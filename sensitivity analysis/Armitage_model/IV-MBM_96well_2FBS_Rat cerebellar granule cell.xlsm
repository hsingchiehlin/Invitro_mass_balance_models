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E151B97D-0624-4325-A89E-83B2C38AC227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7" i="23" l="1"/>
  <c r="B117" i="23"/>
  <c r="C117" i="23"/>
  <c r="D117" i="23"/>
  <c r="A109" i="23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<sst xmlns="http://schemas.openxmlformats.org/spreadsheetml/2006/main" count="3131" uniqueCount="515">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</sst>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5.1400000000000001E-2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5.1400000000000001E-2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3.4266666666666668E-4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3.2656133333333333E-4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8.2213096530567807E-8</v>
      </c>
      <c r="J2" s="67" t="s">
        <v>231</v>
      </c>
      <c r="K2" s="68">
        <v>1.1092822061525159E-3</v>
      </c>
      <c r="L2" s="67" t="s">
        <v>231</v>
      </c>
      <c r="M2" s="68">
        <v>1.1523813683559281E-3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1.1305916046220674E-5</v>
      </c>
      <c r="J3" s="67" t="s">
        <v>231</v>
      </c>
      <c r="K3" s="68">
        <v>0.3302680885080167</v>
      </c>
      <c r="L3" s="67" t="s">
        <v>231</v>
      </c>
      <c r="M3" s="68">
        <v>0.34706355517226328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9.128653472732861E-15</v>
      </c>
      <c r="J4" s="67" t="s">
        <v>231</v>
      </c>
      <c r="K4" s="68">
        <v>3.0011221733223961E-3</v>
      </c>
      <c r="L4" s="67" t="s">
        <v>231</v>
      </c>
      <c r="M4" s="68">
        <v>3.0478005481486097E-3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2.0044041291121486E-10</v>
      </c>
      <c r="J5" s="67" t="s">
        <v>231</v>
      </c>
      <c r="K5" s="68">
        <v>6.9940945766451768E-2</v>
      </c>
      <c r="L5" s="67" t="s">
        <v>231</v>
      </c>
      <c r="M5" s="68">
        <v>7.38629233197E-2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8.4830811330966306E-7</v>
      </c>
      <c r="J6" s="67" t="s">
        <v>231</v>
      </c>
      <c r="K6" s="68">
        <v>0.14641087761507537</v>
      </c>
      <c r="L6" s="67" t="s">
        <v>231</v>
      </c>
      <c r="M6" s="68">
        <v>0.1546407811748387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7.0092309047277868E-6</v>
      </c>
      <c r="J7" s="67" t="s">
        <v>231</v>
      </c>
      <c r="K7" s="68">
        <v>0.35382002492539127</v>
      </c>
      <c r="L7" s="67" t="s">
        <v>231</v>
      </c>
      <c r="M7" s="68">
        <v>0.37371625433325739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1.6077030207507778E-8</v>
      </c>
      <c r="J8" s="67" t="s">
        <v>231</v>
      </c>
      <c r="K8" s="68">
        <v>0.20137262472260994</v>
      </c>
      <c r="L8" s="67" t="s">
        <v>231</v>
      </c>
      <c r="M8" s="68">
        <v>0.21270005635614009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6.2928002999211712E-7</v>
      </c>
      <c r="J9" s="67" t="s">
        <v>231</v>
      </c>
      <c r="K9" s="68">
        <v>5.6079314054590455E-2</v>
      </c>
      <c r="L9" s="67" t="s">
        <v>231</v>
      </c>
      <c r="M9" s="68">
        <v>5.9219742561091034E-2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5.6984455102701396E-4</v>
      </c>
      <c r="J10" s="67" t="s">
        <v>231</v>
      </c>
      <c r="K10" s="68">
        <v>1.7703541060217576</v>
      </c>
      <c r="L10" s="67" t="s">
        <v>232</v>
      </c>
      <c r="M10" s="68">
        <v>1.8690687749266206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2.8837783091175181E-9</v>
      </c>
      <c r="J11" s="67" t="s">
        <v>231</v>
      </c>
      <c r="K11" s="68">
        <v>2.7511541388742882</v>
      </c>
      <c r="L11" s="67" t="s">
        <v>232</v>
      </c>
      <c r="M11" s="68">
        <v>2.9054780386289871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2.4434018618376246E-8</v>
      </c>
      <c r="J12" s="67" t="s">
        <v>231</v>
      </c>
      <c r="K12" s="68">
        <v>7.6272709201226057E-5</v>
      </c>
      <c r="L12" s="67" t="s">
        <v>231</v>
      </c>
      <c r="M12" s="68">
        <v>6.2600610567049221E-5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1.2981879253039343E-3</v>
      </c>
      <c r="J13" s="67" t="s">
        <v>231</v>
      </c>
      <c r="K13" s="68">
        <v>0.2346526342445234</v>
      </c>
      <c r="L13" s="67" t="s">
        <v>231</v>
      </c>
      <c r="M13" s="68">
        <v>0.24771625466459055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5.7584503963678542E-8</v>
      </c>
      <c r="J14" s="67" t="s">
        <v>231</v>
      </c>
      <c r="K14" s="68">
        <v>0.97725924772147188</v>
      </c>
      <c r="L14" s="67" t="s">
        <v>231</v>
      </c>
      <c r="M14" s="68">
        <v>1.0322722234320647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1.1892994719392972E-6</v>
      </c>
      <c r="J15" s="67" t="s">
        <v>231</v>
      </c>
      <c r="K15" s="68">
        <v>3.0729621335908428E-2</v>
      </c>
      <c r="L15" s="67" t="s">
        <v>231</v>
      </c>
      <c r="M15" s="68">
        <v>3.2425691796695508E-2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1.1702702526817288E-4</v>
      </c>
      <c r="J16" s="67" t="s">
        <v>231</v>
      </c>
      <c r="K16" s="68">
        <v>0.27165160443212022</v>
      </c>
      <c r="L16" s="67" t="s">
        <v>231</v>
      </c>
      <c r="M16" s="68">
        <v>0.28677802900024096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2.5851704067422544E-6</v>
      </c>
      <c r="J17" s="67" t="s">
        <v>231</v>
      </c>
      <c r="K17" s="68">
        <v>0.24755531949246606</v>
      </c>
      <c r="L17" s="67" t="s">
        <v>231</v>
      </c>
      <c r="M17" s="68">
        <v>0.26133833691462294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1.9667263149708049E-3</v>
      </c>
      <c r="J18" s="67" t="s">
        <v>231</v>
      </c>
      <c r="K18" s="68">
        <v>2.6370929710341269</v>
      </c>
      <c r="L18" s="67" t="s">
        <v>232</v>
      </c>
      <c r="M18" s="68">
        <v>2.7842006549627651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1.8970878495897974E-6</v>
      </c>
      <c r="J19" s="67" t="s">
        <v>231</v>
      </c>
      <c r="K19" s="68">
        <v>1.0174754905437997E-2</v>
      </c>
      <c r="L19" s="67" t="s">
        <v>231</v>
      </c>
      <c r="M19" s="68">
        <v>1.0723615573333765E-2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5.3999588525126457E-6</v>
      </c>
      <c r="J20" s="67" t="s">
        <v>231</v>
      </c>
      <c r="K20" s="68">
        <v>1.7788701411905795E-2</v>
      </c>
      <c r="L20" s="67" t="s">
        <v>231</v>
      </c>
      <c r="M20" s="68">
        <v>1.8762250097033691E-2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6.9368289852118419E-6</v>
      </c>
      <c r="J21" s="67" t="s">
        <v>231</v>
      </c>
      <c r="K21" s="68">
        <v>0.7149452521545272</v>
      </c>
      <c r="L21" s="67" t="s">
        <v>231</v>
      </c>
      <c r="M21" s="68">
        <v>0.75489691186145658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4.1447567297533676E-8</v>
      </c>
      <c r="J22" s="67" t="s">
        <v>231</v>
      </c>
      <c r="K22" s="68">
        <v>1.8227521991348561E-3</v>
      </c>
      <c r="L22" s="67" t="s">
        <v>231</v>
      </c>
      <c r="M22" s="68">
        <v>1.9066471188501986E-3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1.2394497406030886E-5</v>
      </c>
      <c r="J23" s="67" t="s">
        <v>231</v>
      </c>
      <c r="K23" s="68">
        <v>5.2735736479619932E-2</v>
      </c>
      <c r="L23" s="67" t="s">
        <v>231</v>
      </c>
      <c r="M23" s="68">
        <v>5.565844305454154E-2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2.4195006340142986E-4</v>
      </c>
      <c r="J24" s="67" t="s">
        <v>231</v>
      </c>
      <c r="K24" s="68">
        <v>0.41631619329704345</v>
      </c>
      <c r="L24" s="67" t="s">
        <v>231</v>
      </c>
      <c r="M24" s="68">
        <v>0.4395083008481685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7.2423440501301936E-4</v>
      </c>
      <c r="J25" s="67" t="s">
        <v>231</v>
      </c>
      <c r="K25" s="68">
        <v>2.6065259533422442</v>
      </c>
      <c r="L25" s="67" t="s">
        <v>232</v>
      </c>
      <c r="M25" s="68">
        <v>2.7519226656459725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3.2000614091198256E-4</v>
      </c>
      <c r="J26" s="67" t="s">
        <v>231</v>
      </c>
      <c r="K26" s="68">
        <v>0.74801035623812462</v>
      </c>
      <c r="L26" s="67" t="s">
        <v>231</v>
      </c>
      <c r="M26" s="68">
        <v>0.78970184674355193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8.0713912712161164E-5</v>
      </c>
      <c r="J27" s="67" t="s">
        <v>231</v>
      </c>
      <c r="K27" s="68">
        <v>0.37763286059414702</v>
      </c>
      <c r="L27" s="67" t="s">
        <v>231</v>
      </c>
      <c r="M27" s="68">
        <v>0.39868619262165711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3.3857699053175146E-5</v>
      </c>
      <c r="J28" s="67" t="s">
        <v>231</v>
      </c>
      <c r="K28" s="68">
        <v>0.16403931074772002</v>
      </c>
      <c r="L28" s="67" t="s">
        <v>231</v>
      </c>
      <c r="M28" s="68">
        <v>0.17318285118155266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3.2803292965568624E-7</v>
      </c>
      <c r="J29" s="67" t="s">
        <v>231</v>
      </c>
      <c r="K29" s="68">
        <v>1.8245445914672298E-3</v>
      </c>
      <c r="L29" s="67" t="s">
        <v>231</v>
      </c>
      <c r="M29" s="68">
        <v>1.9247763517348411E-3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7.6559031423378514E-6</v>
      </c>
      <c r="J30" s="67" t="s">
        <v>231</v>
      </c>
      <c r="K30" s="68">
        <v>5.9251464265630278E-2</v>
      </c>
      <c r="L30" s="67" t="s">
        <v>231</v>
      </c>
      <c r="M30" s="68">
        <v>6.2554092901739938E-2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1.1541153406687465E-7</v>
      </c>
      <c r="J31" s="67" t="s">
        <v>231</v>
      </c>
      <c r="K31" s="68">
        <v>9.881496609618224E-4</v>
      </c>
      <c r="L31" s="67" t="s">
        <v>231</v>
      </c>
      <c r="M31" s="68">
        <v>1.0432181037019876E-3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1.1520859688541985E-4</v>
      </c>
      <c r="J32" s="67" t="s">
        <v>231</v>
      </c>
      <c r="K32" s="68">
        <v>0.19745799210692444</v>
      </c>
      <c r="L32" s="67" t="s">
        <v>231</v>
      </c>
      <c r="M32" s="68">
        <v>0.20844797364086459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3.5028724105136668E-5</v>
      </c>
      <c r="J33" s="67" t="s">
        <v>231</v>
      </c>
      <c r="K33" s="68">
        <v>8.9958868028512703E-2</v>
      </c>
      <c r="L33" s="67" t="s">
        <v>231</v>
      </c>
      <c r="M33" s="68">
        <v>9.4955636430975474E-2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1.6008799563449859E-4</v>
      </c>
      <c r="J34" s="67" t="s">
        <v>231</v>
      </c>
      <c r="K34" s="68">
        <v>0.87182591945527332</v>
      </c>
      <c r="L34" s="67" t="s">
        <v>231</v>
      </c>
      <c r="M34" s="68">
        <v>0.92041691375535628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1.0498003008631125E-3</v>
      </c>
      <c r="J35" s="67" t="s">
        <v>231</v>
      </c>
      <c r="K35" s="68">
        <v>1.5996844530001024</v>
      </c>
      <c r="L35" s="67" t="s">
        <v>232</v>
      </c>
      <c r="M35" s="68">
        <v>1.6888754349513431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1.3484082381413894E-3</v>
      </c>
      <c r="J36" s="67" t="s">
        <v>231</v>
      </c>
      <c r="K36" s="68">
        <v>2.2504027471575823</v>
      </c>
      <c r="L36" s="67" t="s">
        <v>232</v>
      </c>
      <c r="M36" s="68">
        <v>2.3759047180751534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4.3482446713261915E-4</v>
      </c>
      <c r="J37" s="67" t="s">
        <v>231</v>
      </c>
      <c r="K37" s="68">
        <v>2.6253226965082384</v>
      </c>
      <c r="L37" s="67" t="s">
        <v>232</v>
      </c>
      <c r="M37" s="68">
        <v>2.7717721613323687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3.5259715728869597E-4</v>
      </c>
      <c r="J38" s="67" t="s">
        <v>231</v>
      </c>
      <c r="K38" s="68">
        <v>2.4412678616459109</v>
      </c>
      <c r="L38" s="67" t="s">
        <v>232</v>
      </c>
      <c r="M38" s="68">
        <v>2.5774272024913953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2.6687105032827043E-4</v>
      </c>
      <c r="J39" s="67" t="s">
        <v>231</v>
      </c>
      <c r="K39" s="68">
        <v>2.2419554236513992</v>
      </c>
      <c r="L39" s="67" t="s">
        <v>232</v>
      </c>
      <c r="M39" s="68">
        <v>2.3669897506236968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3.5259715728869597E-4</v>
      </c>
      <c r="J40" s="67" t="s">
        <v>231</v>
      </c>
      <c r="K40" s="68">
        <v>2.4412678616459109</v>
      </c>
      <c r="L40" s="67" t="s">
        <v>232</v>
      </c>
      <c r="M40" s="68">
        <v>2.5774272024913953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8.7730703989679693E-9</v>
      </c>
      <c r="J41" s="67" t="s">
        <v>231</v>
      </c>
      <c r="K41" s="68">
        <v>5.3969616931196568E-3</v>
      </c>
      <c r="L41" s="67" t="s">
        <v>231</v>
      </c>
      <c r="M41" s="68">
        <v>5.6821288968959792E-3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7.7602472078080271E-4</v>
      </c>
      <c r="J42" s="67" t="s">
        <v>231</v>
      </c>
      <c r="K42" s="68">
        <v>2.6314485832266836</v>
      </c>
      <c r="L42" s="67" t="s">
        <v>232</v>
      </c>
      <c r="M42" s="68">
        <v>2.7782414004340237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2.798458735349165E-3</v>
      </c>
      <c r="J43" s="67" t="s">
        <v>231</v>
      </c>
      <c r="K43" s="68">
        <v>0.45887872383512407</v>
      </c>
      <c r="L43" s="67" t="s">
        <v>231</v>
      </c>
      <c r="M43" s="68">
        <v>0.4844438874331089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3.211043168283214E-3</v>
      </c>
      <c r="J44" s="67" t="s">
        <v>231</v>
      </c>
      <c r="K44" s="68">
        <v>2.0496170739993036</v>
      </c>
      <c r="L44" s="67" t="s">
        <v>232</v>
      </c>
      <c r="M44" s="68">
        <v>2.1639129773151744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1.8454182080575141E-3</v>
      </c>
      <c r="J45" s="67" t="s">
        <v>231</v>
      </c>
      <c r="K45" s="68">
        <v>2.6866760485337582</v>
      </c>
      <c r="L45" s="67" t="s">
        <v>232</v>
      </c>
      <c r="M45" s="68">
        <v>2.8365632431286589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3.0118109162292401E-4</v>
      </c>
      <c r="J46" s="67" t="s">
        <v>231</v>
      </c>
      <c r="K46" s="68">
        <v>2.6458491711109313</v>
      </c>
      <c r="L46" s="67" t="s">
        <v>232</v>
      </c>
      <c r="M46" s="68">
        <v>2.7934472746519519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7.096293551416004E-4</v>
      </c>
      <c r="J47" s="142" t="s">
        <v>231</v>
      </c>
      <c r="K47" s="143">
        <v>2.5649221613081568</v>
      </c>
      <c r="L47" s="142" t="s">
        <v>232</v>
      </c>
      <c r="M47" s="143">
        <v>2.7079917447468023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5.1563627716342576E-4</v>
      </c>
      <c r="J48" s="142" t="s">
        <v>231</v>
      </c>
      <c r="K48" s="143">
        <v>1.3614161046014204</v>
      </c>
      <c r="L48" s="142" t="s">
        <v>232</v>
      </c>
      <c r="M48" s="143">
        <v>1.4373120011544165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1.8433677579382307E-3</v>
      </c>
      <c r="J49" s="142" t="s">
        <v>231</v>
      </c>
      <c r="K49" s="143">
        <v>2.0917840412773225</v>
      </c>
      <c r="L49" s="142" t="s">
        <v>232</v>
      </c>
      <c r="M49" s="143">
        <v>2.2084330086898962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4.1942322072433468E-4</v>
      </c>
      <c r="J50" s="142" t="s">
        <v>231</v>
      </c>
      <c r="K50" s="143">
        <v>2.1570234213534216</v>
      </c>
      <c r="L50" s="142" t="s">
        <v>232</v>
      </c>
      <c r="M50" s="143">
        <v>2.2773132915417076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1.1649815560151738E-3</v>
      </c>
      <c r="J51" s="142" t="s">
        <v>231</v>
      </c>
      <c r="K51" s="143">
        <v>1.5021944673330625</v>
      </c>
      <c r="L51" s="142" t="s">
        <v>232</v>
      </c>
      <c r="M51" s="143">
        <v>1.5859437234987037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2.4155952075720591E-2</v>
      </c>
      <c r="J52" s="142" t="s">
        <v>232</v>
      </c>
      <c r="K52" s="143">
        <v>1.3758277986748764</v>
      </c>
      <c r="L52" s="142" t="s">
        <v>232</v>
      </c>
      <c r="M52" s="143">
        <v>1.4525275998703766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3.1554029456449962E-3</v>
      </c>
      <c r="J53" s="142" t="s">
        <v>231</v>
      </c>
      <c r="K53" s="143">
        <v>2.3281676697862466</v>
      </c>
      <c r="L53" s="142" t="s">
        <v>232</v>
      </c>
      <c r="M53" s="143">
        <v>2.4580109651239197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2.0919104435622006E-3</v>
      </c>
      <c r="J54" s="67" t="s">
        <v>231</v>
      </c>
      <c r="K54" s="68">
        <v>2.1251755290960652</v>
      </c>
      <c r="L54" s="67" t="s">
        <v>232</v>
      </c>
      <c r="M54" s="68">
        <v>2.2436879689692408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7.5448600150214862E-4</v>
      </c>
      <c r="J55" s="67" t="s">
        <v>231</v>
      </c>
      <c r="K55" s="68">
        <v>2.559744085951333</v>
      </c>
      <c r="L55" s="67" t="s">
        <v>232</v>
      </c>
      <c r="M55" s="68">
        <v>2.702524199927764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1.3316661977083486E-3</v>
      </c>
      <c r="J56" s="67" t="s">
        <v>231</v>
      </c>
      <c r="K56" s="68">
        <v>2.064045315170639</v>
      </c>
      <c r="L56" s="67" t="s">
        <v>232</v>
      </c>
      <c r="M56" s="68">
        <v>2.1791463437722505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3.7320771558693889E-3</v>
      </c>
      <c r="J57" s="67" t="s">
        <v>231</v>
      </c>
      <c r="K57" s="68">
        <v>1.2862146918852673</v>
      </c>
      <c r="L57" s="67" t="s">
        <v>232</v>
      </c>
      <c r="M57" s="68">
        <v>1.3579161638671511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1.2618696589577342E-2</v>
      </c>
      <c r="J58" s="67" t="s">
        <v>232</v>
      </c>
      <c r="K58" s="68">
        <v>2.1316968781922232</v>
      </c>
      <c r="L58" s="67" t="s">
        <v>232</v>
      </c>
      <c r="M58" s="68">
        <v>2.2505732648241539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2.4998146104049834E-3</v>
      </c>
      <c r="J59" s="67" t="s">
        <v>231</v>
      </c>
      <c r="K59" s="68">
        <v>1.3761689508599124</v>
      </c>
      <c r="L59" s="67" t="s">
        <v>232</v>
      </c>
      <c r="M59" s="68">
        <v>1.4528877706453809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4.8679127715578639E-3</v>
      </c>
      <c r="J60" s="67" t="s">
        <v>231</v>
      </c>
      <c r="K60" s="68">
        <v>2.2822285719149717</v>
      </c>
      <c r="L60" s="67" t="s">
        <v>232</v>
      </c>
      <c r="M60" s="68">
        <v>2.4095071862552229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3.7328597981587152E-5</v>
      </c>
      <c r="J61" s="67" t="s">
        <v>231</v>
      </c>
      <c r="K61" s="68">
        <v>1.1402561709872667</v>
      </c>
      <c r="L61" s="67" t="s">
        <v>232</v>
      </c>
      <c r="M61" s="68">
        <v>1.1756134366623066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2.4235441537309428E-4</v>
      </c>
      <c r="J62" s="67" t="s">
        <v>231</v>
      </c>
      <c r="K62" s="68">
        <v>0.83516295609667623</v>
      </c>
      <c r="L62" s="67" t="s">
        <v>231</v>
      </c>
      <c r="M62" s="68">
        <v>0.88170949596395931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1.7124015858239041E-6</v>
      </c>
      <c r="J63" s="67" t="s">
        <v>231</v>
      </c>
      <c r="K63" s="68">
        <v>0.11065854887720383</v>
      </c>
      <c r="L63" s="67" t="s">
        <v>231</v>
      </c>
      <c r="M63" s="68">
        <v>0.11336232614667295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1.0630990719851939E-7</v>
      </c>
      <c r="J64" s="67" t="s">
        <v>231</v>
      </c>
      <c r="K64" s="68">
        <v>2.1734307577702581E-3</v>
      </c>
      <c r="L64" s="67" t="s">
        <v>231</v>
      </c>
      <c r="M64" s="68">
        <v>2.2765950376021759E-3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2.0067635907928397E-8</v>
      </c>
      <c r="J65" s="67" t="s">
        <v>231</v>
      </c>
      <c r="K65" s="68">
        <v>9.3527847383094078E-3</v>
      </c>
      <c r="L65" s="67" t="s">
        <v>231</v>
      </c>
      <c r="M65" s="68">
        <v>9.5416406452975364E-3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1.3238044039960527E-7</v>
      </c>
      <c r="J66" s="67" t="s">
        <v>231</v>
      </c>
      <c r="K66" s="68">
        <v>0.78914748464367646</v>
      </c>
      <c r="L66" s="67" t="s">
        <v>231</v>
      </c>
      <c r="M66" s="68">
        <v>0.80652523514602514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1.9778924393350967E-8</v>
      </c>
      <c r="J67" s="67" t="s">
        <v>231</v>
      </c>
      <c r="K67" s="68">
        <v>7.7923879117204027E-3</v>
      </c>
      <c r="L67" s="67" t="s">
        <v>231</v>
      </c>
      <c r="M67" s="68">
        <v>7.9476851353826455E-3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6.4296073510517784E-9</v>
      </c>
      <c r="J68" s="67" t="s">
        <v>231</v>
      </c>
      <c r="K68" s="68">
        <v>1.0500866522248095E-3</v>
      </c>
      <c r="L68" s="67" t="s">
        <v>231</v>
      </c>
      <c r="M68" s="68">
        <v>1.0553639557721473E-3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8.0659706767478325E-5</v>
      </c>
      <c r="J69" s="67" t="s">
        <v>231</v>
      </c>
      <c r="K69" s="68">
        <v>1.9891644180613242</v>
      </c>
      <c r="L69" s="67" t="s">
        <v>232</v>
      </c>
      <c r="M69" s="68">
        <v>2.1000870339760063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2.2823359605921094E-14</v>
      </c>
      <c r="J70" s="67" t="s">
        <v>231</v>
      </c>
      <c r="K70" s="68">
        <v>3.6203730372315343E-3</v>
      </c>
      <c r="L70" s="67" t="s">
        <v>231</v>
      </c>
      <c r="M70" s="68">
        <v>3.8054600834987211E-3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1.9793840204206383E-10</v>
      </c>
      <c r="J71" s="67" t="s">
        <v>231</v>
      </c>
      <c r="K71" s="68">
        <v>6.6109268474944163E-3</v>
      </c>
      <c r="L71" s="67" t="s">
        <v>231</v>
      </c>
      <c r="M71" s="68">
        <v>6.9645121813318783E-3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9.1584660862775929E-14</v>
      </c>
      <c r="J72" s="67" t="s">
        <v>231</v>
      </c>
      <c r="K72" s="68">
        <v>1.9640429160770758</v>
      </c>
      <c r="L72" s="67" t="s">
        <v>232</v>
      </c>
      <c r="M72" s="68">
        <v>2.0746564386423922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9.9630236360536212E-11</v>
      </c>
      <c r="J73" s="67" t="s">
        <v>231</v>
      </c>
      <c r="K73" s="68">
        <v>0.46081395772357253</v>
      </c>
      <c r="L73" s="67" t="s">
        <v>231</v>
      </c>
      <c r="M73" s="68">
        <v>0.48676234433599785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1.8563239113248869E-11</v>
      </c>
      <c r="J74" s="67" t="s">
        <v>231</v>
      </c>
      <c r="K74" s="68">
        <v>6.0264968488498829E-3</v>
      </c>
      <c r="L74" s="67" t="s">
        <v>231</v>
      </c>
      <c r="M74" s="68">
        <v>6.3471532185067677E-3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5.941644178739305E-13</v>
      </c>
      <c r="J75" s="67" t="s">
        <v>231</v>
      </c>
      <c r="K75" s="68">
        <v>0.4456265745294728</v>
      </c>
      <c r="L75" s="67" t="s">
        <v>231</v>
      </c>
      <c r="M75" s="68">
        <v>0.47071901182011994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1.6035885197673573E-8</v>
      </c>
      <c r="J76" s="67" t="s">
        <v>231</v>
      </c>
      <c r="K76" s="68">
        <v>9.7064432599761677E-2</v>
      </c>
      <c r="L76" s="67" t="s">
        <v>231</v>
      </c>
      <c r="M76" s="68">
        <v>0.10251476549905822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4.1454259151538221E-7</v>
      </c>
      <c r="J77" s="67" t="s">
        <v>231</v>
      </c>
      <c r="K77" s="68">
        <v>0.45668298994790046</v>
      </c>
      <c r="L77" s="67" t="s">
        <v>231</v>
      </c>
      <c r="M77" s="68">
        <v>0.48239855253925129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1.0143840213888559E-12</v>
      </c>
      <c r="J78" s="67" t="s">
        <v>231</v>
      </c>
      <c r="K78" s="68">
        <v>1.8444654701059167</v>
      </c>
      <c r="L78" s="67" t="s">
        <v>232</v>
      </c>
      <c r="M78" s="68">
        <v>1.9483443930939257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5.5806158621107272E-16</v>
      </c>
      <c r="J79" s="67" t="s">
        <v>231</v>
      </c>
      <c r="K79" s="68">
        <v>1.8444651759719304</v>
      </c>
      <c r="L79" s="67" t="s">
        <v>232</v>
      </c>
      <c r="M79" s="68">
        <v>1.9483440829952692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7.5355587894876061E-14</v>
      </c>
      <c r="J80" s="67" t="s">
        <v>231</v>
      </c>
      <c r="K80" s="68">
        <v>0.25454395421807752</v>
      </c>
      <c r="L80" s="67" t="s">
        <v>231</v>
      </c>
      <c r="M80" s="68">
        <v>0.26886818149098796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8.4066457273387099E-11</v>
      </c>
      <c r="J81" s="67" t="s">
        <v>231</v>
      </c>
      <c r="K81" s="68">
        <v>2.3876874010944505E-2</v>
      </c>
      <c r="L81" s="67" t="s">
        <v>231</v>
      </c>
      <c r="M81" s="68">
        <v>2.5203307364125932E-2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2.1023563875851946E-15</v>
      </c>
      <c r="J82" s="67" t="s">
        <v>231</v>
      </c>
      <c r="K82" s="68">
        <v>5.6555570063438337E-2</v>
      </c>
      <c r="L82" s="67" t="s">
        <v>231</v>
      </c>
      <c r="M82" s="68">
        <v>5.9723329406952054E-2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3.7951230078111011E-14</v>
      </c>
      <c r="J83" s="67" t="s">
        <v>231</v>
      </c>
      <c r="K83" s="68">
        <v>2.2516868576169489</v>
      </c>
      <c r="L83" s="67" t="s">
        <v>232</v>
      </c>
      <c r="M83" s="68">
        <v>2.3785004646210952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5.8013182767560748E-2</v>
      </c>
      <c r="J84" s="67" t="s">
        <v>232</v>
      </c>
      <c r="K84" s="68">
        <v>0.58947838641388017</v>
      </c>
      <c r="L84" s="67" t="s">
        <v>231</v>
      </c>
      <c r="M84" s="68">
        <v>0.62232541556809196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1.4595310395088495E-6</v>
      </c>
      <c r="J85" s="67" t="s">
        <v>231</v>
      </c>
      <c r="K85" s="68">
        <v>2.7954504332192522</v>
      </c>
      <c r="L85" s="67" t="s">
        <v>232</v>
      </c>
      <c r="M85" s="68">
        <v>2.8568268965954049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1.8374104319949955E-4</v>
      </c>
      <c r="J86" s="67" t="s">
        <v>231</v>
      </c>
      <c r="K86" s="68">
        <v>2.6766041532954103</v>
      </c>
      <c r="L86" s="67" t="s">
        <v>232</v>
      </c>
      <c r="M86" s="68">
        <v>2.8259261617836957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1.1804996596517031E-4</v>
      </c>
      <c r="J87" s="67" t="s">
        <v>231</v>
      </c>
      <c r="K87" s="68">
        <v>2.7178061080060956</v>
      </c>
      <c r="L87" s="67" t="s">
        <v>232</v>
      </c>
      <c r="M87" s="68">
        <v>2.8694436113653574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1.6727263034790757E-4</v>
      </c>
      <c r="J88" s="67" t="s">
        <v>231</v>
      </c>
      <c r="K88" s="68">
        <v>2.7434144577196067</v>
      </c>
      <c r="L88" s="67" t="s">
        <v>232</v>
      </c>
      <c r="M88" s="68">
        <v>2.8964999414879409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3.874618694810231E-8</v>
      </c>
      <c r="J89" s="67" t="s">
        <v>231</v>
      </c>
      <c r="K89" s="68">
        <v>2.9046604075875258</v>
      </c>
      <c r="L89" s="67" t="s">
        <v>232</v>
      </c>
      <c r="M89" s="68">
        <v>2.9698150442881963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1.9332456377476165E-5</v>
      </c>
      <c r="J90" s="67" t="s">
        <v>231</v>
      </c>
      <c r="K90" s="68">
        <v>1.4373330145628811E-3</v>
      </c>
      <c r="L90" s="67" t="s">
        <v>231</v>
      </c>
      <c r="M90" s="68">
        <v>1.4987355588103528E-3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3.966762822701743E-5</v>
      </c>
      <c r="J91" s="67" t="s">
        <v>231</v>
      </c>
      <c r="K91" s="68">
        <v>8.6247005944102589E-2</v>
      </c>
      <c r="L91" s="67" t="s">
        <v>231</v>
      </c>
      <c r="M91" s="68">
        <v>9.1036836935669371E-2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5.8204352854637782E-5</v>
      </c>
      <c r="J92" s="67" t="s">
        <v>231</v>
      </c>
      <c r="K92" s="68">
        <v>1.0362726568575475</v>
      </c>
      <c r="L92" s="67" t="s">
        <v>232</v>
      </c>
      <c r="M92" s="68">
        <v>1.0940341725790907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1.2902509425895148E-8</v>
      </c>
      <c r="J93" s="67" t="s">
        <v>231</v>
      </c>
      <c r="K93" s="68">
        <v>6.0678730533901255E-4</v>
      </c>
      <c r="L93" s="67" t="s">
        <v>231</v>
      </c>
      <c r="M93" s="68">
        <v>6.2207420773180498E-4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2.1071378632596943E-18</v>
      </c>
      <c r="J94" s="67" t="s">
        <v>231</v>
      </c>
      <c r="K94" s="68">
        <v>1.6564914187913577E-4</v>
      </c>
      <c r="L94" s="67" t="s">
        <v>231</v>
      </c>
      <c r="M94" s="68">
        <v>1.5096259598160232E-4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2.3510122769541768E-6</v>
      </c>
      <c r="J95" s="67" t="s">
        <v>231</v>
      </c>
      <c r="K95" s="68">
        <v>6.2736540168309802E-3</v>
      </c>
      <c r="L95" s="67" t="s">
        <v>231</v>
      </c>
      <c r="M95" s="68">
        <v>6.5941907603221167E-3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2.172789128995027E-3</v>
      </c>
      <c r="J96" s="67" t="s">
        <v>231</v>
      </c>
      <c r="K96" s="68">
        <v>2.6540782851242031</v>
      </c>
      <c r="L96" s="67" t="s">
        <v>232</v>
      </c>
      <c r="M96" s="68">
        <v>2.8021374146248457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1.2765277297245497E-4</v>
      </c>
      <c r="J97" s="67" t="s">
        <v>231</v>
      </c>
      <c r="K97" s="68">
        <v>0.16603248170721641</v>
      </c>
      <c r="L97" s="67" t="s">
        <v>231</v>
      </c>
      <c r="M97" s="68">
        <v>0.17527040733007568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3.2393431230442319E-5</v>
      </c>
      <c r="J98" s="67" t="s">
        <v>231</v>
      </c>
      <c r="K98" s="68">
        <v>9.7835064464225449E-2</v>
      </c>
      <c r="L98" s="67" t="s">
        <v>231</v>
      </c>
      <c r="M98" s="68">
        <v>0.10327093193532495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1.9040177851000407E-6</v>
      </c>
      <c r="J99" s="67" t="s">
        <v>231</v>
      </c>
      <c r="K99" s="68">
        <v>2.3213379692310965E-2</v>
      </c>
      <c r="L99" s="67" t="s">
        <v>231</v>
      </c>
      <c r="M99" s="68">
        <v>2.4489033328982803E-2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3.1150418380176204E-3</v>
      </c>
      <c r="J100" s="67" t="s">
        <v>231</v>
      </c>
      <c r="K100" s="68">
        <v>2.365077850645589</v>
      </c>
      <c r="L100" s="67" t="s">
        <v>232</v>
      </c>
      <c r="M100" s="68">
        <v>2.4969820629144164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3.621622674666488E-2</v>
      </c>
      <c r="J101" s="67" t="s">
        <v>232</v>
      </c>
      <c r="K101" s="68">
        <v>0.8627184194039057</v>
      </c>
      <c r="L101" s="67" t="s">
        <v>231</v>
      </c>
      <c r="M101" s="68">
        <v>0.9108015429464642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1.4073561500910454E-2</v>
      </c>
      <c r="J102" s="67" t="s">
        <v>232</v>
      </c>
      <c r="K102" s="68">
        <v>1.4957003844960854</v>
      </c>
      <c r="L102" s="67" t="s">
        <v>232</v>
      </c>
      <c r="M102" s="68">
        <v>1.5790873490153057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1.70480434053657E-9</v>
      </c>
      <c r="J103" s="67" t="s">
        <v>231</v>
      </c>
      <c r="K103" s="68">
        <v>1.2327815112517964E-2</v>
      </c>
      <c r="L103" s="67" t="s">
        <v>231</v>
      </c>
      <c r="M103" s="68">
        <v>1.3003511122095475E-2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1.6769143583977662E-6</v>
      </c>
      <c r="J104" s="67" t="s">
        <v>231</v>
      </c>
      <c r="K104" s="68">
        <v>0.72629956524676775</v>
      </c>
      <c r="L104" s="67" t="s">
        <v>231</v>
      </c>
      <c r="M104" s="68">
        <v>0.76718444104458794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9.8652497255121101E-8</v>
      </c>
      <c r="J105" s="67" t="s">
        <v>231</v>
      </c>
      <c r="K105" s="68">
        <v>1.7548395768446777E-3</v>
      </c>
      <c r="L105" s="67" t="s">
        <v>231</v>
      </c>
      <c r="M105" s="68">
        <v>1.8339593042231426E-3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3.4408315861917292E-8</v>
      </c>
      <c r="J106" s="67" t="s">
        <v>231</v>
      </c>
      <c r="K106" s="68">
        <v>6.7533259995686736E-3</v>
      </c>
      <c r="L106" s="67" t="s">
        <v>231</v>
      </c>
      <c r="M106" s="68">
        <v>7.1020549031494658E-3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2.1820411404294825E-5</v>
      </c>
      <c r="J107" s="67" t="s">
        <v>231</v>
      </c>
      <c r="K107" s="68">
        <v>1.7020306418960371</v>
      </c>
      <c r="L107" s="67" t="s">
        <v>232</v>
      </c>
      <c r="M107" s="68">
        <v>1.7886870857292265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2.6475938268541518E-10</v>
      </c>
      <c r="J108" s="67" t="s">
        <v>231</v>
      </c>
      <c r="K108" s="68">
        <v>9.4352941585694255E-5</v>
      </c>
      <c r="L108" s="67" t="s">
        <v>231</v>
      </c>
      <c r="M108" s="68">
        <v>7.8139251038617552E-5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2.6874322270998516E-6</v>
      </c>
      <c r="J109" s="67" t="s">
        <v>231</v>
      </c>
      <c r="K109" s="68">
        <v>0.24793730099576683</v>
      </c>
      <c r="L109" s="67" t="s">
        <v>231</v>
      </c>
      <c r="M109" s="68">
        <v>0.25348149514696366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5.8472272650616748E-6</v>
      </c>
      <c r="J110" s="67" t="s">
        <v>231</v>
      </c>
      <c r="K110" s="68">
        <v>2.289119922979195E-4</v>
      </c>
      <c r="L110" s="67" t="s">
        <v>231</v>
      </c>
      <c r="M110" s="68">
        <v>2.2284408405108059E-4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8.1200133421823268E-14</v>
      </c>
      <c r="J111" s="67" t="s">
        <v>231</v>
      </c>
      <c r="K111" s="68">
        <v>2.0946275982815244E-5</v>
      </c>
      <c r="L111" s="67" t="s">
        <v>231</v>
      </c>
      <c r="M111" s="68">
        <v>3.2343170251901287E-6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9.2034330536588412E-9</v>
      </c>
      <c r="J112" s="67" t="s">
        <v>231</v>
      </c>
      <c r="K112" s="68">
        <v>1.7737112439164792E-4</v>
      </c>
      <c r="L112" s="67" t="s">
        <v>231</v>
      </c>
      <c r="M112" s="68">
        <v>1.684334609151643E-4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4.3253278848298594E-7</v>
      </c>
      <c r="J113" s="67" t="s">
        <v>231</v>
      </c>
      <c r="K113" s="68">
        <v>3.7479171622620969E-3</v>
      </c>
      <c r="L113" s="67" t="s">
        <v>231</v>
      </c>
      <c r="M113" s="68">
        <v>3.9382112296259351E-3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5.7124950592486749E-8</v>
      </c>
      <c r="J114" s="67" t="s">
        <v>231</v>
      </c>
      <c r="K114" s="68">
        <v>6.7335976612411768E-5</v>
      </c>
      <c r="L114" s="67" t="s">
        <v>231</v>
      </c>
      <c r="M114" s="68">
        <v>5.2238693632793466E-5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4.8471809236878625E-11</v>
      </c>
      <c r="J115" s="67" t="s">
        <v>231</v>
      </c>
      <c r="K115" s="68">
        <v>3.3027333181475413E-3</v>
      </c>
      <c r="L115" s="67" t="s">
        <v>231</v>
      </c>
      <c r="M115" s="68">
        <v>3.4699217512387339E-3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7.8948190611120072E-6</v>
      </c>
      <c r="J116" s="67" t="s">
        <v>231</v>
      </c>
      <c r="K116" s="68">
        <v>2.3664194513062431</v>
      </c>
      <c r="L116" s="67" t="s">
        <v>232</v>
      </c>
      <c r="M116" s="68">
        <v>2.418810764014776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9.6797263921678594E-5</v>
      </c>
      <c r="J117" s="67" t="s">
        <v>231</v>
      </c>
      <c r="K117" s="68">
        <v>0.29211044556437693</v>
      </c>
      <c r="L117" s="67" t="s">
        <v>231</v>
      </c>
      <c r="M117" s="68">
        <v>0.30837750032700628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0.9896558723022908</v>
      </c>
      <c r="F2" s="14">
        <v>0.98995676549273703</v>
      </c>
      <c r="G2" s="14">
        <v>2.9439112669438441E-10</v>
      </c>
      <c r="H2" s="14">
        <v>0.17246311580369894</v>
      </c>
      <c r="I2" s="14">
        <v>0.64084558813252146</v>
      </c>
      <c r="J2" s="14">
        <v>0</v>
      </c>
      <c r="K2" s="14">
        <v>1.0101451243704203</v>
      </c>
      <c r="L2" s="14">
        <v>0.98995676549273715</v>
      </c>
      <c r="M2" s="14">
        <v>0.81225952608679086</v>
      </c>
      <c r="N2" s="14">
        <v>1.1092822061525158</v>
      </c>
      <c r="O2" s="14">
        <v>215.41151161275704</v>
      </c>
      <c r="P2" s="8">
        <v>1.1092822061525158</v>
      </c>
      <c r="Q2" s="54">
        <v>1.5942388886968549E-2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0.7046591078984159</v>
      </c>
      <c r="F3" s="14">
        <v>0.67187358374934647</v>
      </c>
      <c r="G3" s="14">
        <v>3.1808560806069524E-10</v>
      </c>
      <c r="H3" s="14">
        <v>75.569171402502548</v>
      </c>
      <c r="I3" s="14">
        <v>169.97868633425784</v>
      </c>
      <c r="J3" s="14">
        <v>0</v>
      </c>
      <c r="K3" s="14">
        <v>1.4883752303812354</v>
      </c>
      <c r="L3" s="14">
        <v>0.67187358374934658</v>
      </c>
      <c r="M3" s="14">
        <v>0.55127227546633883</v>
      </c>
      <c r="N3" s="14">
        <v>330.26808850801672</v>
      </c>
      <c r="O3" s="14">
        <v>84578.354786017997</v>
      </c>
      <c r="P3" s="8">
        <v>330.26808850801672</v>
      </c>
      <c r="Q3" s="54">
        <v>0.2914704077442839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0.99896293910576628</v>
      </c>
      <c r="F4" s="14">
        <v>0.99931045471045132</v>
      </c>
      <c r="G4" s="14">
        <v>1.505320301039184E-19</v>
      </c>
      <c r="H4" s="14">
        <v>0.11939892900479047</v>
      </c>
      <c r="I4" s="14">
        <v>1.217468373885989E-3</v>
      </c>
      <c r="J4" s="14">
        <v>0</v>
      </c>
      <c r="K4" s="14">
        <v>1.0006900210903411</v>
      </c>
      <c r="L4" s="14">
        <v>0.99931045471045143</v>
      </c>
      <c r="M4" s="14">
        <v>0.81993422808992533</v>
      </c>
      <c r="N4" s="14">
        <v>3.0011221733223961</v>
      </c>
      <c r="O4" s="14">
        <v>888.78233162942752</v>
      </c>
      <c r="P4" s="8">
        <v>3.0011221733223965</v>
      </c>
      <c r="Q4" s="54">
        <v>1.3882180546859405E-5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0.97590334338496998</v>
      </c>
      <c r="F5" s="14">
        <v>0.90205992852177042</v>
      </c>
      <c r="G5" s="14">
        <v>4.1287179308015203E-12</v>
      </c>
      <c r="H5" s="14">
        <v>210.86057716848919</v>
      </c>
      <c r="I5" s="14">
        <v>0.15495880982131358</v>
      </c>
      <c r="J5" s="14">
        <v>0</v>
      </c>
      <c r="K5" s="14">
        <v>1.1085737969080687</v>
      </c>
      <c r="L5" s="14">
        <v>0.90205992852177042</v>
      </c>
      <c r="M5" s="14">
        <v>0.74014017135211263</v>
      </c>
      <c r="N5" s="14">
        <v>69.940945766451762</v>
      </c>
      <c r="O5" s="14">
        <v>15459.746652216498</v>
      </c>
      <c r="P5" s="8">
        <v>69.940945766451762</v>
      </c>
      <c r="Q5" s="54">
        <v>2.0836092274452263E-4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0.94911079045712177</v>
      </c>
      <c r="F6" s="14">
        <v>0.78625664073139034</v>
      </c>
      <c r="G6" s="14">
        <v>4.9881411783761597E-13</v>
      </c>
      <c r="H6" s="14">
        <v>463.6009599125876</v>
      </c>
      <c r="I6" s="14">
        <v>1.2447968134035299</v>
      </c>
      <c r="J6" s="14">
        <v>0</v>
      </c>
      <c r="K6" s="14">
        <v>1.2718493532465196</v>
      </c>
      <c r="L6" s="14">
        <v>0.78625664073139034</v>
      </c>
      <c r="M6" s="14">
        <v>0.64512357372010576</v>
      </c>
      <c r="N6" s="14">
        <v>146.41087761507538</v>
      </c>
      <c r="O6" s="14">
        <v>33712.568679647251</v>
      </c>
      <c r="P6" s="8">
        <v>146.41087761507538</v>
      </c>
      <c r="Q6" s="54">
        <v>1.1505313789791779E-3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0.8717961478022771</v>
      </c>
      <c r="F7" s="14">
        <v>0.47846783354716904</v>
      </c>
      <c r="G7" s="14">
        <v>7.9733322250989557E-9</v>
      </c>
      <c r="H7" s="14">
        <v>1116.1761702470135</v>
      </c>
      <c r="I7" s="14">
        <v>21.037274095495622</v>
      </c>
      <c r="J7" s="14">
        <v>0</v>
      </c>
      <c r="K7" s="14">
        <v>2.0900046562929848</v>
      </c>
      <c r="L7" s="14">
        <v>0.47846783354716904</v>
      </c>
      <c r="M7" s="14">
        <v>0.39258285742545224</v>
      </c>
      <c r="N7" s="14">
        <v>353.82002492539124</v>
      </c>
      <c r="O7" s="14">
        <v>72985.994741609713</v>
      </c>
      <c r="P7" s="8">
        <v>353.82002492539129</v>
      </c>
      <c r="Q7" s="54">
        <v>1.1137544837386085E-2</v>
      </c>
    </row>
    <row r="8" spans="1:20">
      <c r="A8" s="2" t="s">
        <v>289</v>
      </c>
      <c r="B8" s="16" t="s">
        <v>290</v>
      </c>
      <c r="D8" s="14">
        <v>1</v>
      </c>
      <c r="E8" s="14">
        <v>0.93055229441117593</v>
      </c>
      <c r="F8" s="14">
        <v>0.69793638947737346</v>
      </c>
      <c r="G8" s="14">
        <v>3.868935315157991E-19</v>
      </c>
      <c r="H8" s="14">
        <v>661.81383614695972</v>
      </c>
      <c r="I8" s="14">
        <v>0.93179857710779879</v>
      </c>
      <c r="J8" s="14">
        <v>0</v>
      </c>
      <c r="K8" s="14">
        <v>1.432795330744707</v>
      </c>
      <c r="L8" s="14">
        <v>0.69793638947737346</v>
      </c>
      <c r="M8" s="14">
        <v>0.57265680756618498</v>
      </c>
      <c r="N8" s="14">
        <v>201.37262472260994</v>
      </c>
      <c r="O8" s="14">
        <v>70162.249905851757</v>
      </c>
      <c r="P8" s="8">
        <v>201.37262472260994</v>
      </c>
      <c r="Q8" s="54">
        <v>7.1043122753510607E-4</v>
      </c>
    </row>
    <row r="9" spans="1:20">
      <c r="A9" s="2" t="s">
        <v>291</v>
      </c>
      <c r="B9" s="16" t="s">
        <v>292</v>
      </c>
      <c r="D9" s="14">
        <v>1</v>
      </c>
      <c r="E9" s="14">
        <v>0.98024325425999237</v>
      </c>
      <c r="F9" s="14">
        <v>0.92292929483285657</v>
      </c>
      <c r="G9" s="14">
        <v>8.0269492726252977E-15</v>
      </c>
      <c r="H9" s="14">
        <v>163.85829486472008</v>
      </c>
      <c r="I9" s="14">
        <v>0.57504521658599073</v>
      </c>
      <c r="J9" s="14">
        <v>0</v>
      </c>
      <c r="K9" s="14">
        <v>1.083506619194595</v>
      </c>
      <c r="L9" s="14">
        <v>0.92292929483285657</v>
      </c>
      <c r="M9" s="14">
        <v>0.75726348641035879</v>
      </c>
      <c r="N9" s="14">
        <v>56.079314054590455</v>
      </c>
      <c r="O9" s="14">
        <v>17290.934902451874</v>
      </c>
      <c r="P9" s="8">
        <v>56.079314054590455</v>
      </c>
      <c r="Q9" s="54">
        <v>8.6437459744972956E-4</v>
      </c>
    </row>
    <row r="10" spans="1:20">
      <c r="A10" s="2" t="s">
        <v>367</v>
      </c>
      <c r="B10" s="16" t="s">
        <v>368</v>
      </c>
      <c r="D10" s="14">
        <v>1</v>
      </c>
      <c r="E10" s="14">
        <v>0.26671956629333027</v>
      </c>
      <c r="F10" s="14">
        <v>2.8233536587894154E-2</v>
      </c>
      <c r="G10" s="14">
        <v>4.386859949903785E-7</v>
      </c>
      <c r="H10" s="14">
        <v>577.06572780528313</v>
      </c>
      <c r="I10" s="14">
        <v>933.2165946402306</v>
      </c>
      <c r="J10" s="14">
        <v>0</v>
      </c>
      <c r="K10" s="14">
        <v>35.418871344257148</v>
      </c>
      <c r="L10" s="14">
        <v>2.8233536587894154E-2</v>
      </c>
      <c r="M10" s="14">
        <v>2.3165616770367155E-2</v>
      </c>
      <c r="N10" s="14">
        <v>1770.3541060217576</v>
      </c>
      <c r="O10" s="14">
        <v>492760.36187009595</v>
      </c>
      <c r="P10" s="8">
        <v>1770.3541060217576</v>
      </c>
      <c r="Q10" s="54">
        <v>0.20257341657103656</v>
      </c>
    </row>
    <row r="11" spans="1:20">
      <c r="A11" s="2" t="s">
        <v>369</v>
      </c>
      <c r="B11" s="16" t="s">
        <v>370</v>
      </c>
      <c r="D11" s="14">
        <v>1</v>
      </c>
      <c r="E11" s="14">
        <v>5.3178809615100714E-2</v>
      </c>
      <c r="F11" s="14">
        <v>3.3596892787676557E-4</v>
      </c>
      <c r="G11" s="14">
        <v>3.6198887666181831E-14</v>
      </c>
      <c r="H11" s="14">
        <v>86.783890086778314</v>
      </c>
      <c r="I11" s="14">
        <v>587.07704666365032</v>
      </c>
      <c r="J11" s="14">
        <v>0</v>
      </c>
      <c r="K11" s="14">
        <v>2976.4657294938984</v>
      </c>
      <c r="L11" s="14">
        <v>3.3596892787676557E-4</v>
      </c>
      <c r="M11" s="14">
        <v>2.7566250532288616E-4</v>
      </c>
      <c r="N11" s="14">
        <v>2751.1541388742885</v>
      </c>
      <c r="O11" s="14">
        <v>1119444.6191079479</v>
      </c>
      <c r="P11" s="8">
        <v>2751.1541388742885</v>
      </c>
      <c r="Q11" s="54">
        <v>6.5477954049743547E-3</v>
      </c>
    </row>
    <row r="12" spans="1:20">
      <c r="A12" s="2" t="s">
        <v>371</v>
      </c>
      <c r="B12" s="16" t="s">
        <v>372</v>
      </c>
      <c r="D12" s="14">
        <v>1</v>
      </c>
      <c r="E12" s="14">
        <v>0.9389345971840346</v>
      </c>
      <c r="F12" s="14">
        <v>0.93929683905666361</v>
      </c>
      <c r="G12" s="14">
        <v>8.4628893644366171E-4</v>
      </c>
      <c r="H12" s="14">
        <v>7.4750060666402022E-3</v>
      </c>
      <c r="I12" s="14">
        <v>3.4305288802905246E-2</v>
      </c>
      <c r="J12" s="14">
        <v>0</v>
      </c>
      <c r="K12" s="14">
        <v>1.0646261739838287</v>
      </c>
      <c r="L12" s="14">
        <v>0.93929683905666361</v>
      </c>
      <c r="M12" s="14">
        <v>0.77069305644599251</v>
      </c>
      <c r="N12" s="14">
        <v>7.6272709201226058E-2</v>
      </c>
      <c r="O12" s="14">
        <v>10.692671102919881</v>
      </c>
      <c r="P12" s="8">
        <v>7.6272709201226058E-2</v>
      </c>
      <c r="Q12" s="54">
        <v>2.878465839822882E-3</v>
      </c>
    </row>
    <row r="13" spans="1:20">
      <c r="A13" s="2" t="s">
        <v>293</v>
      </c>
      <c r="B13" s="16" t="s">
        <v>294</v>
      </c>
      <c r="D13" s="14">
        <v>1</v>
      </c>
      <c r="E13" s="14">
        <v>0.74689260152310111</v>
      </c>
      <c r="F13" s="14">
        <v>0.72292709977027914</v>
      </c>
      <c r="G13" s="14">
        <v>2.6729017342346879E-10</v>
      </c>
      <c r="H13" s="14">
        <v>54.847205524726299</v>
      </c>
      <c r="I13" s="14">
        <v>130.26018056781103</v>
      </c>
      <c r="J13" s="14">
        <v>0</v>
      </c>
      <c r="K13" s="14">
        <v>1.3832653393651517</v>
      </c>
      <c r="L13" s="14">
        <v>0.72292709977027914</v>
      </c>
      <c r="M13" s="14">
        <v>0.59316168536151404</v>
      </c>
      <c r="N13" s="14">
        <v>234.6526342445234</v>
      </c>
      <c r="O13" s="14">
        <v>77519.844249020753</v>
      </c>
      <c r="P13" s="8">
        <v>234.6526342445234</v>
      </c>
      <c r="Q13" s="54">
        <v>0.27631959002474099</v>
      </c>
    </row>
    <row r="14" spans="1:20">
      <c r="A14" s="2" t="s">
        <v>373</v>
      </c>
      <c r="B14" s="16" t="s">
        <v>374</v>
      </c>
      <c r="D14" s="14">
        <v>1</v>
      </c>
      <c r="E14" s="14">
        <v>0.66309757963265259</v>
      </c>
      <c r="F14" s="14">
        <v>5.4350891282981657E-2</v>
      </c>
      <c r="G14" s="14">
        <v>5.8604320257606546E-9</v>
      </c>
      <c r="H14" s="14">
        <v>1727.5342655430591</v>
      </c>
      <c r="I14" s="14">
        <v>25.058434538392785</v>
      </c>
      <c r="J14" s="14">
        <v>0</v>
      </c>
      <c r="K14" s="14">
        <v>18.398962305759277</v>
      </c>
      <c r="L14" s="14">
        <v>5.4350891282981664E-2</v>
      </c>
      <c r="M14" s="14">
        <v>4.4594906297686455E-2</v>
      </c>
      <c r="N14" s="14">
        <v>977.25924772147187</v>
      </c>
      <c r="O14" s="14">
        <v>260283.22803813679</v>
      </c>
      <c r="P14" s="8">
        <v>977.25924772147187</v>
      </c>
      <c r="Q14" s="54">
        <v>3.2445460019427529E-3</v>
      </c>
    </row>
    <row r="15" spans="1:20">
      <c r="A15" s="2" t="s">
        <v>375</v>
      </c>
      <c r="B15" s="16" t="s">
        <v>376</v>
      </c>
      <c r="D15" s="14">
        <v>1</v>
      </c>
      <c r="E15" s="14">
        <v>0.85573651344394441</v>
      </c>
      <c r="F15" s="14">
        <v>0.853236155997808</v>
      </c>
      <c r="G15" s="14">
        <v>1.0551585882496196E-3</v>
      </c>
      <c r="H15" s="14">
        <v>6.1700580558611753</v>
      </c>
      <c r="I15" s="14">
        <v>17.423942179377473</v>
      </c>
      <c r="J15" s="14">
        <v>0</v>
      </c>
      <c r="K15" s="14">
        <v>1.1720084679610894</v>
      </c>
      <c r="L15" s="14">
        <v>0.853236155997808</v>
      </c>
      <c r="M15" s="14">
        <v>0.70008026599620155</v>
      </c>
      <c r="N15" s="14">
        <v>30.729621335908426</v>
      </c>
      <c r="O15" s="14">
        <v>4591.0054275847197</v>
      </c>
      <c r="P15" s="8">
        <v>30.72962133590843</v>
      </c>
      <c r="Q15" s="54">
        <v>9.5795789547964014E-2</v>
      </c>
    </row>
    <row r="16" spans="1:20">
      <c r="A16" s="2" t="s">
        <v>377</v>
      </c>
      <c r="B16" s="16" t="s">
        <v>378</v>
      </c>
      <c r="D16" s="14">
        <v>1</v>
      </c>
      <c r="E16" s="14">
        <v>0.72215379799975443</v>
      </c>
      <c r="F16" s="14">
        <v>0.69407415903465175</v>
      </c>
      <c r="G16" s="14">
        <v>1.0465846559783224E-5</v>
      </c>
      <c r="H16" s="14">
        <v>64.319976276051804</v>
      </c>
      <c r="I16" s="14">
        <v>150.52306269196518</v>
      </c>
      <c r="J16" s="14">
        <v>0</v>
      </c>
      <c r="K16" s="14">
        <v>1.4407682334562679</v>
      </c>
      <c r="L16" s="14">
        <v>0.69407415903465175</v>
      </c>
      <c r="M16" s="14">
        <v>0.5694878474879318</v>
      </c>
      <c r="N16" s="14">
        <v>271.65160443212022</v>
      </c>
      <c r="O16" s="14">
        <v>60371.8525689944</v>
      </c>
      <c r="P16" s="8">
        <v>271.65160443212022</v>
      </c>
      <c r="Q16" s="54">
        <v>0.29444422872904646</v>
      </c>
    </row>
    <row r="17" spans="1:21">
      <c r="A17" s="2" t="s">
        <v>379</v>
      </c>
      <c r="B17" s="16" t="s">
        <v>380</v>
      </c>
      <c r="D17" s="14">
        <v>1</v>
      </c>
      <c r="E17" s="14">
        <v>0.73638800249949232</v>
      </c>
      <c r="F17" s="14">
        <v>0.71098939521087157</v>
      </c>
      <c r="G17" s="14">
        <v>3.0898088354659819E-5</v>
      </c>
      <c r="H17" s="14">
        <v>58.143761345244521</v>
      </c>
      <c r="I17" s="14">
        <v>137.3283790194449</v>
      </c>
      <c r="J17" s="14">
        <v>0</v>
      </c>
      <c r="K17" s="14">
        <v>1.4064907391528829</v>
      </c>
      <c r="L17" s="14">
        <v>0.71098939521087157</v>
      </c>
      <c r="M17" s="14">
        <v>0.58336679877052011</v>
      </c>
      <c r="N17" s="14">
        <v>247.55531949246605</v>
      </c>
      <c r="O17" s="14">
        <v>31825.711873951437</v>
      </c>
      <c r="P17" s="8">
        <v>247.55531949246608</v>
      </c>
      <c r="Q17" s="54">
        <v>0.28259228027135436</v>
      </c>
    </row>
    <row r="18" spans="1:21">
      <c r="A18" s="2" t="s">
        <v>381</v>
      </c>
      <c r="B18" s="16" t="s">
        <v>382</v>
      </c>
      <c r="D18" s="14">
        <v>1</v>
      </c>
      <c r="E18" s="14">
        <v>6.9746555128561247E-2</v>
      </c>
      <c r="F18" s="14">
        <v>5.0535961298981032E-4</v>
      </c>
      <c r="G18" s="14">
        <v>3.6002198243435935E-10</v>
      </c>
      <c r="H18" s="14">
        <v>53.051849789590854</v>
      </c>
      <c r="I18" s="14">
        <v>1330.9376235524562</v>
      </c>
      <c r="J18" s="14">
        <v>0</v>
      </c>
      <c r="K18" s="14">
        <v>1978.7889144599358</v>
      </c>
      <c r="L18" s="14">
        <v>5.0535961298981032E-4</v>
      </c>
      <c r="M18" s="14">
        <v>4.1464756245813939E-4</v>
      </c>
      <c r="N18" s="14">
        <v>2637.092971034127</v>
      </c>
      <c r="O18" s="14">
        <v>1031868.1086359436</v>
      </c>
      <c r="P18" s="8">
        <v>2637.092971034127</v>
      </c>
      <c r="Q18" s="54">
        <v>4.2575298552862489E-2</v>
      </c>
    </row>
    <row r="19" spans="1:21">
      <c r="A19" s="2" t="s">
        <v>383</v>
      </c>
      <c r="B19" s="16" t="s">
        <v>384</v>
      </c>
      <c r="D19" s="14">
        <v>1</v>
      </c>
      <c r="E19" s="14">
        <v>0.9529584384420583</v>
      </c>
      <c r="F19" s="14">
        <v>0.95244791787491512</v>
      </c>
      <c r="G19" s="14">
        <v>1.3739461910159331E-4</v>
      </c>
      <c r="H19" s="14">
        <v>1.8764683201081891</v>
      </c>
      <c r="I19" s="14">
        <v>5.8317434131775885</v>
      </c>
      <c r="J19" s="14">
        <v>0</v>
      </c>
      <c r="K19" s="14">
        <v>1.0499261757337686</v>
      </c>
      <c r="L19" s="14">
        <v>0.95244791787491512</v>
      </c>
      <c r="M19" s="14">
        <v>0.78148351661636783</v>
      </c>
      <c r="N19" s="14">
        <v>10.174754905437997</v>
      </c>
      <c r="O19" s="14">
        <v>947.57492434344067</v>
      </c>
      <c r="P19" s="8">
        <v>10.174754905437998</v>
      </c>
      <c r="Q19" s="54">
        <v>5.4299822197173012E-2</v>
      </c>
    </row>
    <row r="20" spans="1:21">
      <c r="A20" s="2" t="s">
        <v>385</v>
      </c>
      <c r="B20" s="16" t="s">
        <v>386</v>
      </c>
      <c r="D20" s="14">
        <v>1</v>
      </c>
      <c r="E20" s="14">
        <v>0.92973259785868045</v>
      </c>
      <c r="F20" s="14">
        <v>0.9285064409134185</v>
      </c>
      <c r="G20" s="14">
        <v>2.6206764642631997E-4</v>
      </c>
      <c r="H20" s="14">
        <v>3.418101231139365</v>
      </c>
      <c r="I20" s="14">
        <v>10.144767342727517</v>
      </c>
      <c r="J20" s="14">
        <v>0</v>
      </c>
      <c r="K20" s="14">
        <v>1.076998452499963</v>
      </c>
      <c r="L20" s="14">
        <v>0.9285064409134185</v>
      </c>
      <c r="M20" s="14">
        <v>0.76183953476945987</v>
      </c>
      <c r="N20" s="14">
        <v>17.788701411905794</v>
      </c>
      <c r="O20" s="14">
        <v>1976.6805008909719</v>
      </c>
      <c r="P20" s="8">
        <v>17.788701411905794</v>
      </c>
      <c r="Q20" s="54">
        <v>7.3323314998928774E-2</v>
      </c>
    </row>
    <row r="21" spans="1:21">
      <c r="A21" s="2" t="s">
        <v>387</v>
      </c>
      <c r="B21" s="16" t="s">
        <v>388</v>
      </c>
      <c r="D21" s="14">
        <v>1</v>
      </c>
      <c r="E21" s="14">
        <v>0.65029819618132456</v>
      </c>
      <c r="F21" s="14">
        <v>0.36693716212367816</v>
      </c>
      <c r="G21" s="14">
        <v>7.1307858135768472E-5</v>
      </c>
      <c r="H21" s="14">
        <v>774.51832545783896</v>
      </c>
      <c r="I21" s="14">
        <v>289.40929504849112</v>
      </c>
      <c r="J21" s="14">
        <v>0</v>
      </c>
      <c r="K21" s="14">
        <v>2.7252622607435564</v>
      </c>
      <c r="L21" s="14">
        <v>0.36693716212367816</v>
      </c>
      <c r="M21" s="14">
        <v>0.30107194152247796</v>
      </c>
      <c r="N21" s="14">
        <v>714.94525215452722</v>
      </c>
      <c r="O21" s="14">
        <v>141165.94003791138</v>
      </c>
      <c r="P21" s="8">
        <v>714.94525215452722</v>
      </c>
      <c r="Q21" s="54">
        <v>0.15955575575075226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0.93400272490183478</v>
      </c>
      <c r="F22" s="14">
        <v>0.93422249741601004</v>
      </c>
      <c r="G22" s="14">
        <v>7.5023757081014292E-4</v>
      </c>
      <c r="H22" s="14">
        <v>0.29659943644557596</v>
      </c>
      <c r="I22" s="14">
        <v>1.0544536446939106</v>
      </c>
      <c r="J22" s="14">
        <v>0</v>
      </c>
      <c r="K22" s="14">
        <v>1.0704088188476788</v>
      </c>
      <c r="L22" s="14">
        <v>0.93422249741601004</v>
      </c>
      <c r="M22" s="14">
        <v>0.76652955912983622</v>
      </c>
      <c r="N22" s="14">
        <v>1.8227521991348561</v>
      </c>
      <c r="O22" s="14">
        <v>105.86544772575245</v>
      </c>
      <c r="P22" s="8">
        <v>1.8227521991348563</v>
      </c>
      <c r="Q22" s="54">
        <v>2.0569677953949043E-2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0.84003280080876686</v>
      </c>
      <c r="F23" s="14">
        <v>0.83535495603369136</v>
      </c>
      <c r="G23" s="14">
        <v>8.8218474029582035E-4</v>
      </c>
      <c r="H23" s="14">
        <v>11.008573681855792</v>
      </c>
      <c r="I23" s="14">
        <v>29.743236497671834</v>
      </c>
      <c r="J23" s="14">
        <v>0</v>
      </c>
      <c r="K23" s="14">
        <v>1.1970959084842829</v>
      </c>
      <c r="L23" s="14">
        <v>0.83535495603369136</v>
      </c>
      <c r="M23" s="14">
        <v>0.68540874142564379</v>
      </c>
      <c r="N23" s="14">
        <v>52.735736479619931</v>
      </c>
      <c r="O23" s="14">
        <v>5650.6341637912765</v>
      </c>
      <c r="P23" s="8">
        <v>52.735736479619938</v>
      </c>
      <c r="Q23" s="54">
        <v>0.12822958133894805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0.63728278774490388</v>
      </c>
      <c r="F24" s="14">
        <v>0.59268929318211283</v>
      </c>
      <c r="G24" s="14">
        <v>3.4095382703925772E-5</v>
      </c>
      <c r="H24" s="14">
        <v>102.6282874348129</v>
      </c>
      <c r="I24" s="14">
        <v>229.36347120475205</v>
      </c>
      <c r="J24" s="14">
        <v>0</v>
      </c>
      <c r="K24" s="14">
        <v>1.6872246748900435</v>
      </c>
      <c r="L24" s="14">
        <v>0.59268929318211283</v>
      </c>
      <c r="M24" s="14">
        <v>0.48630156505592359</v>
      </c>
      <c r="N24" s="14">
        <v>416.31619329704341</v>
      </c>
      <c r="O24" s="14">
        <v>67451.549637986987</v>
      </c>
      <c r="P24" s="8">
        <v>416.31619329704347</v>
      </c>
      <c r="Q24" s="54">
        <v>0.34827656516698841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7.5011344557861584E-2</v>
      </c>
      <c r="F25" s="14">
        <v>7.6105531836954011E-4</v>
      </c>
      <c r="G25" s="14">
        <v>1.7908726866717182E-6</v>
      </c>
      <c r="H25" s="14">
        <v>68.365378915048026</v>
      </c>
      <c r="I25" s="14">
        <v>1320.9713424164966</v>
      </c>
      <c r="J25" s="14">
        <v>0</v>
      </c>
      <c r="K25" s="14">
        <v>1313.9649324603197</v>
      </c>
      <c r="L25" s="14">
        <v>7.6105531836954021E-4</v>
      </c>
      <c r="M25" s="14">
        <v>6.2444588872220775E-4</v>
      </c>
      <c r="N25" s="14">
        <v>2606.5259533422441</v>
      </c>
      <c r="O25" s="14">
        <v>608337.09225054632</v>
      </c>
      <c r="P25" s="8">
        <v>2606.5259533422445</v>
      </c>
      <c r="Q25" s="54">
        <v>5.0709974947406214E-2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0.34252647355795157</v>
      </c>
      <c r="F26" s="14">
        <v>0.25560135608371193</v>
      </c>
      <c r="G26" s="14">
        <v>2.7611604325180976E-3</v>
      </c>
      <c r="H26" s="14">
        <v>203.45255754894183</v>
      </c>
      <c r="I26" s="14">
        <v>406.36876997041099</v>
      </c>
      <c r="J26" s="14">
        <v>0</v>
      </c>
      <c r="K26" s="14">
        <v>3.9123423103924782</v>
      </c>
      <c r="L26" s="14">
        <v>0.25560135608371193</v>
      </c>
      <c r="M26" s="14">
        <v>0.20972091266668566</v>
      </c>
      <c r="N26" s="14">
        <v>748.01035623812459</v>
      </c>
      <c r="O26" s="14">
        <v>95872.487359040431</v>
      </c>
      <c r="P26" s="8">
        <v>748.0103562381247</v>
      </c>
      <c r="Q26" s="54">
        <v>0.33259852921842781</v>
      </c>
    </row>
    <row r="27" spans="1:21">
      <c r="A27" s="2" t="s">
        <v>397</v>
      </c>
      <c r="B27" s="16" t="s">
        <v>398</v>
      </c>
      <c r="D27" s="14">
        <v>1</v>
      </c>
      <c r="E27" s="14">
        <v>7.3739031302258395E-2</v>
      </c>
      <c r="F27" s="14">
        <v>2.5685687550971063E-2</v>
      </c>
      <c r="G27" s="14">
        <v>1.0650247073818024E-2</v>
      </c>
      <c r="H27" s="14">
        <v>114.79717355819555</v>
      </c>
      <c r="I27" s="14">
        <v>201.92419776333392</v>
      </c>
      <c r="J27" s="14">
        <v>0</v>
      </c>
      <c r="K27" s="14">
        <v>38.932187352025714</v>
      </c>
      <c r="L27" s="14">
        <v>2.5685687550971063E-2</v>
      </c>
      <c r="M27" s="14">
        <v>2.1075106635571758E-2</v>
      </c>
      <c r="N27" s="14">
        <v>377.63286059414702</v>
      </c>
      <c r="O27" s="14">
        <v>68521.482554807968</v>
      </c>
      <c r="P27" s="8">
        <v>377.63286059414708</v>
      </c>
      <c r="Q27" s="54">
        <v>8.2146367947016449E-2</v>
      </c>
    </row>
    <row r="28" spans="1:21">
      <c r="A28" s="2" t="s">
        <v>399</v>
      </c>
      <c r="B28" s="16" t="s">
        <v>400</v>
      </c>
      <c r="D28" s="14">
        <v>1</v>
      </c>
      <c r="E28" s="14">
        <v>6.0745527049831716E-2</v>
      </c>
      <c r="F28" s="14">
        <v>4.1354701016349193E-2</v>
      </c>
      <c r="G28" s="14">
        <v>1.2045736895516045E-2</v>
      </c>
      <c r="H28" s="14">
        <v>45.562220902128672</v>
      </c>
      <c r="I28" s="14">
        <v>88.85094599794175</v>
      </c>
      <c r="J28" s="14">
        <v>0</v>
      </c>
      <c r="K28" s="14">
        <v>24.181047750887121</v>
      </c>
      <c r="L28" s="14">
        <v>4.1354701016349193E-2</v>
      </c>
      <c r="M28" s="14">
        <v>3.3931532183914516E-2</v>
      </c>
      <c r="N28" s="14">
        <v>164.03931074772004</v>
      </c>
      <c r="O28" s="14">
        <v>24113.778679914845</v>
      </c>
      <c r="P28" s="8">
        <v>164.03931074772004</v>
      </c>
      <c r="Q28" s="54">
        <v>6.3747338316521934E-2</v>
      </c>
    </row>
    <row r="29" spans="1:21">
      <c r="A29" s="2" t="s">
        <v>297</v>
      </c>
      <c r="B29" s="16" t="s">
        <v>298</v>
      </c>
      <c r="D29" s="14">
        <v>1</v>
      </c>
      <c r="E29" s="14">
        <v>7.5519638404799694E-2</v>
      </c>
      <c r="F29" s="14">
        <v>7.538419025430515E-2</v>
      </c>
      <c r="G29" s="14">
        <v>1.313737999288655E-2</v>
      </c>
      <c r="H29" s="14">
        <v>0.35635288091943429</v>
      </c>
      <c r="I29" s="14">
        <v>1.0383348842261872</v>
      </c>
      <c r="J29" s="14">
        <v>0</v>
      </c>
      <c r="K29" s="14">
        <v>13.265380932348616</v>
      </c>
      <c r="L29" s="14">
        <v>7.538419025430515E-2</v>
      </c>
      <c r="M29" s="14">
        <v>6.1852728103657377E-2</v>
      </c>
      <c r="N29" s="14">
        <v>1.8245445914672298</v>
      </c>
      <c r="O29" s="14">
        <v>154.95857215331185</v>
      </c>
      <c r="P29" s="8">
        <v>1.82454459146723</v>
      </c>
      <c r="Q29" s="54">
        <v>6.7816823676779868E-3</v>
      </c>
    </row>
    <row r="30" spans="1:21">
      <c r="A30" s="2" t="s">
        <v>401</v>
      </c>
      <c r="B30" s="16" t="s">
        <v>402</v>
      </c>
      <c r="D30" s="14">
        <v>1</v>
      </c>
      <c r="E30" s="14">
        <v>2.2999943753343629E-2</v>
      </c>
      <c r="F30" s="14">
        <v>1.6023438977265467E-2</v>
      </c>
      <c r="G30" s="14">
        <v>1.3455015997090045E-2</v>
      </c>
      <c r="H30" s="14">
        <v>16.377806312988742</v>
      </c>
      <c r="I30" s="14">
        <v>32.115367904397345</v>
      </c>
      <c r="J30" s="14">
        <v>0</v>
      </c>
      <c r="K30" s="14">
        <v>62.40857542621341</v>
      </c>
      <c r="L30" s="14">
        <v>1.6023438977265471E-2</v>
      </c>
      <c r="M30" s="14">
        <v>1.3147231680846317E-2</v>
      </c>
      <c r="N30" s="14">
        <v>59.251464265630283</v>
      </c>
      <c r="O30" s="14">
        <v>9825.6703191694705</v>
      </c>
      <c r="P30" s="8">
        <v>59.251464265630283</v>
      </c>
      <c r="Q30" s="54">
        <v>2.3752695512528309E-2</v>
      </c>
    </row>
    <row r="31" spans="1:21">
      <c r="A31" s="2" t="s">
        <v>299</v>
      </c>
      <c r="B31" s="16" t="s">
        <v>300</v>
      </c>
      <c r="D31" s="14">
        <v>1</v>
      </c>
      <c r="E31" s="14">
        <v>6.8970615231589503E-4</v>
      </c>
      <c r="F31" s="14">
        <v>5.7830256033610623E-4</v>
      </c>
      <c r="G31" s="14">
        <v>1.4266045432245324E-2</v>
      </c>
      <c r="H31" s="14">
        <v>0.25898530049928864</v>
      </c>
      <c r="I31" s="14">
        <v>0.53967498216422527</v>
      </c>
      <c r="J31" s="14">
        <v>0</v>
      </c>
      <c r="K31" s="14">
        <v>1729.1986385445114</v>
      </c>
      <c r="L31" s="14">
        <v>5.7830256033610623E-4</v>
      </c>
      <c r="M31" s="14">
        <v>4.7449725075577519E-4</v>
      </c>
      <c r="N31" s="14">
        <v>0.98814966096182244</v>
      </c>
      <c r="O31" s="14">
        <v>81.166613151404093</v>
      </c>
      <c r="P31" s="8">
        <v>0.98814966096182255</v>
      </c>
      <c r="Q31" s="54">
        <v>5.5761222403414115E-4</v>
      </c>
    </row>
    <row r="32" spans="1:21">
      <c r="A32" s="2" t="s">
        <v>343</v>
      </c>
      <c r="B32" s="16" t="s">
        <v>344</v>
      </c>
      <c r="D32" s="14">
        <v>1</v>
      </c>
      <c r="E32" s="14">
        <v>0.77077801251017697</v>
      </c>
      <c r="F32" s="14">
        <v>0.75089234622966772</v>
      </c>
      <c r="G32" s="14">
        <v>2.9035289816785688E-5</v>
      </c>
      <c r="H32" s="14">
        <v>45.488087487723298</v>
      </c>
      <c r="I32" s="14">
        <v>109.83856450217885</v>
      </c>
      <c r="J32" s="14">
        <v>0</v>
      </c>
      <c r="K32" s="14">
        <v>1.3317488252758674</v>
      </c>
      <c r="L32" s="14">
        <v>0.75089234622966783</v>
      </c>
      <c r="M32" s="14">
        <v>0.61610717008144245</v>
      </c>
      <c r="N32" s="14">
        <v>197.45799210692445</v>
      </c>
      <c r="O32" s="14">
        <v>32422.602303956992</v>
      </c>
      <c r="P32" s="8">
        <v>197.45799210692445</v>
      </c>
      <c r="Q32" s="54">
        <v>0.2552435923850801</v>
      </c>
    </row>
    <row r="33" spans="1:17">
      <c r="A33" s="2" t="s">
        <v>345</v>
      </c>
      <c r="B33" s="16" t="s">
        <v>346</v>
      </c>
      <c r="D33" s="14">
        <v>1</v>
      </c>
      <c r="E33" s="14">
        <v>0.86023899491152378</v>
      </c>
      <c r="F33" s="14">
        <v>0.85180610607309015</v>
      </c>
      <c r="G33" s="14">
        <v>1.1100671136356597E-6</v>
      </c>
      <c r="H33" s="14">
        <v>19.45901034438571</v>
      </c>
      <c r="I33" s="14">
        <v>50.486808717277718</v>
      </c>
      <c r="J33" s="14">
        <v>0</v>
      </c>
      <c r="K33" s="14">
        <v>1.1739760878330612</v>
      </c>
      <c r="L33" s="14">
        <v>0.85180610607309015</v>
      </c>
      <c r="M33" s="14">
        <v>0.69890691003297045</v>
      </c>
      <c r="N33" s="14">
        <v>89.958868028512697</v>
      </c>
      <c r="O33" s="14">
        <v>13598.182491189978</v>
      </c>
      <c r="P33" s="8">
        <v>89.958868028512697</v>
      </c>
      <c r="Q33" s="54">
        <v>0.17417183191373514</v>
      </c>
    </row>
    <row r="34" spans="1:17">
      <c r="A34" s="2" t="s">
        <v>347</v>
      </c>
      <c r="B34" s="16" t="s">
        <v>348</v>
      </c>
      <c r="D34" s="14">
        <v>1</v>
      </c>
      <c r="E34" s="14">
        <v>0.44332075923436792</v>
      </c>
      <c r="F34" s="14">
        <v>0.34280298168968826</v>
      </c>
      <c r="G34" s="14">
        <v>1.5783854849620923E-6</v>
      </c>
      <c r="H34" s="14">
        <v>234.84676963279938</v>
      </c>
      <c r="I34" s="14">
        <v>474.28759030151167</v>
      </c>
      <c r="J34" s="14">
        <v>0</v>
      </c>
      <c r="K34" s="14">
        <v>2.9171274855048339</v>
      </c>
      <c r="L34" s="14">
        <v>0.34280298168968826</v>
      </c>
      <c r="M34" s="14">
        <v>0.28126984647638925</v>
      </c>
      <c r="N34" s="14">
        <v>871.82591945527327</v>
      </c>
      <c r="O34" s="14">
        <v>153659.31830399192</v>
      </c>
      <c r="P34" s="8">
        <v>871.82591945527338</v>
      </c>
      <c r="Q34" s="54">
        <v>0.41251691527735085</v>
      </c>
    </row>
    <row r="35" spans="1:17">
      <c r="A35" s="2" t="s">
        <v>349</v>
      </c>
      <c r="B35" s="16" t="s">
        <v>350</v>
      </c>
      <c r="D35" s="14">
        <v>1</v>
      </c>
      <c r="E35" s="14">
        <v>0.26576645468426252</v>
      </c>
      <c r="F35" s="14">
        <v>5.3933377578531887E-2</v>
      </c>
      <c r="G35" s="14">
        <v>3.8135206861170139E-4</v>
      </c>
      <c r="H35" s="14">
        <v>510.38466702809563</v>
      </c>
      <c r="I35" s="14">
        <v>849.48319069686033</v>
      </c>
      <c r="J35" s="14">
        <v>0</v>
      </c>
      <c r="K35" s="14">
        <v>18.541393936322812</v>
      </c>
      <c r="L35" s="14">
        <v>5.3933377578531894E-2</v>
      </c>
      <c r="M35" s="14">
        <v>4.4252336303185417E-2</v>
      </c>
      <c r="N35" s="14">
        <v>1599.6844530001024</v>
      </c>
      <c r="O35" s="14">
        <v>307619.32031191973</v>
      </c>
      <c r="P35" s="8">
        <v>1599.6844530001024</v>
      </c>
      <c r="Q35" s="54">
        <v>0.25500857805581306</v>
      </c>
    </row>
    <row r="36" spans="1:17">
      <c r="A36" s="2" t="s">
        <v>351</v>
      </c>
      <c r="B36" s="16" t="s">
        <v>352</v>
      </c>
      <c r="D36" s="14">
        <v>1</v>
      </c>
      <c r="E36" s="14">
        <v>0.14802702058486147</v>
      </c>
      <c r="F36" s="14">
        <v>7.4859861617220689E-3</v>
      </c>
      <c r="G36" s="14">
        <v>6.4514525534530772E-6</v>
      </c>
      <c r="H36" s="14">
        <v>273.29332215574277</v>
      </c>
      <c r="I36" s="14">
        <v>1168.1165866502151</v>
      </c>
      <c r="J36" s="14">
        <v>0</v>
      </c>
      <c r="K36" s="14">
        <v>133.58293461899225</v>
      </c>
      <c r="L36" s="14">
        <v>7.4859861617220689E-3</v>
      </c>
      <c r="M36" s="14">
        <v>6.1422516456929579E-3</v>
      </c>
      <c r="N36" s="14">
        <v>2250.4027471575823</v>
      </c>
      <c r="O36" s="14">
        <v>500422.05888543156</v>
      </c>
      <c r="P36" s="8">
        <v>2250.4027471575823</v>
      </c>
      <c r="Q36" s="54">
        <v>0.12861339153663745</v>
      </c>
    </row>
    <row r="37" spans="1:17">
      <c r="A37" s="2" t="s">
        <v>353</v>
      </c>
      <c r="B37" s="16" t="s">
        <v>354</v>
      </c>
      <c r="D37" s="14">
        <v>1</v>
      </c>
      <c r="E37" s="14">
        <v>7.0976526412024787E-2</v>
      </c>
      <c r="F37" s="14">
        <v>5.6553244864247473E-4</v>
      </c>
      <c r="G37" s="14">
        <v>2.1621509769515976E-5</v>
      </c>
      <c r="H37" s="14">
        <v>56.853542256465516</v>
      </c>
      <c r="I37" s="14">
        <v>1326.5227400799286</v>
      </c>
      <c r="J37" s="14">
        <v>0</v>
      </c>
      <c r="K37" s="14">
        <v>1768.245133237602</v>
      </c>
      <c r="L37" s="14">
        <v>5.6553244864247473E-4</v>
      </c>
      <c r="M37" s="14">
        <v>4.6401937411115051E-4</v>
      </c>
      <c r="N37" s="14">
        <v>2625.3226965082386</v>
      </c>
      <c r="O37" s="14">
        <v>620600.03222758241</v>
      </c>
      <c r="P37" s="8">
        <v>2625.3226965082386</v>
      </c>
      <c r="Q37" s="54">
        <v>4.46390249076574E-2</v>
      </c>
    </row>
    <row r="38" spans="1:17">
      <c r="A38" s="2" t="s">
        <v>355</v>
      </c>
      <c r="B38" s="16" t="s">
        <v>356</v>
      </c>
      <c r="D38" s="14">
        <v>1</v>
      </c>
      <c r="E38" s="14">
        <v>0.10690240598227431</v>
      </c>
      <c r="F38" s="14">
        <v>3.0400897688876174E-3</v>
      </c>
      <c r="G38" s="14">
        <v>1.7816192458360125E-6</v>
      </c>
      <c r="H38" s="14">
        <v>159.65642772434103</v>
      </c>
      <c r="I38" s="14">
        <v>1254.9995745118438</v>
      </c>
      <c r="J38" s="14">
        <v>0</v>
      </c>
      <c r="K38" s="14">
        <v>328.93765514230341</v>
      </c>
      <c r="L38" s="14">
        <v>3.0400897688876174E-3</v>
      </c>
      <c r="M38" s="14">
        <v>2.4943936553722904E-3</v>
      </c>
      <c r="N38" s="14">
        <v>2441.2678616459107</v>
      </c>
      <c r="O38" s="14">
        <v>630823.6154493033</v>
      </c>
      <c r="P38" s="8">
        <v>2441.2678616459111</v>
      </c>
      <c r="Q38" s="54">
        <v>9.0290816127762505E-2</v>
      </c>
    </row>
    <row r="39" spans="1:17">
      <c r="A39" s="2" t="s">
        <v>357</v>
      </c>
      <c r="B39" s="16" t="s">
        <v>358</v>
      </c>
      <c r="D39" s="14">
        <v>1</v>
      </c>
      <c r="E39" s="14">
        <v>0.12999793741833249</v>
      </c>
      <c r="F39" s="14">
        <v>5.6324374491703317E-3</v>
      </c>
      <c r="G39" s="14">
        <v>4.4342978900651899E-4</v>
      </c>
      <c r="H39" s="14">
        <v>228.13734202715779</v>
      </c>
      <c r="I39" s="14">
        <v>1160.5224552563727</v>
      </c>
      <c r="J39" s="14">
        <v>0</v>
      </c>
      <c r="K39" s="14">
        <v>177.5430280450432</v>
      </c>
      <c r="L39" s="14">
        <v>5.6324374491703326E-3</v>
      </c>
      <c r="M39" s="14">
        <v>4.6214149270442581E-3</v>
      </c>
      <c r="N39" s="14">
        <v>2241.9554236513991</v>
      </c>
      <c r="O39" s="14">
        <v>529975.8425969542</v>
      </c>
      <c r="P39" s="8">
        <v>2241.9554236513991</v>
      </c>
      <c r="Q39" s="54">
        <v>0.11314973682133053</v>
      </c>
    </row>
    <row r="40" spans="1:17">
      <c r="A40" s="2" t="s">
        <v>359</v>
      </c>
      <c r="B40" s="16" t="s">
        <v>360</v>
      </c>
      <c r="D40" s="14">
        <v>1</v>
      </c>
      <c r="E40" s="14">
        <v>0.10690240598227431</v>
      </c>
      <c r="F40" s="14">
        <v>3.0400897688876174E-3</v>
      </c>
      <c r="G40" s="14">
        <v>1.7816192458360125E-6</v>
      </c>
      <c r="H40" s="14">
        <v>159.65642772434103</v>
      </c>
      <c r="I40" s="14">
        <v>1254.9995745118438</v>
      </c>
      <c r="J40" s="14">
        <v>0</v>
      </c>
      <c r="K40" s="14">
        <v>328.93765514230341</v>
      </c>
      <c r="L40" s="14">
        <v>3.0400897688876174E-3</v>
      </c>
      <c r="M40" s="14">
        <v>2.4943936553722904E-3</v>
      </c>
      <c r="N40" s="14">
        <v>2441.2678616459107</v>
      </c>
      <c r="O40" s="14">
        <v>630823.6154493033</v>
      </c>
      <c r="P40" s="8">
        <v>2441.2678616459111</v>
      </c>
      <c r="Q40" s="54">
        <v>9.0290816127762505E-2</v>
      </c>
    </row>
    <row r="41" spans="1:17">
      <c r="A41" s="2" t="s">
        <v>313</v>
      </c>
      <c r="B41" s="16" t="s">
        <v>314</v>
      </c>
      <c r="D41" s="14">
        <v>1</v>
      </c>
      <c r="E41" s="14">
        <v>0.99807168218629316</v>
      </c>
      <c r="F41" s="14">
        <v>0.9937336795353866</v>
      </c>
      <c r="G41" s="14">
        <v>6.4684598752355454E-10</v>
      </c>
      <c r="H41" s="14">
        <v>13.427340714476738</v>
      </c>
      <c r="I41" s="14">
        <v>2.9585040925637858E-2</v>
      </c>
      <c r="J41" s="14">
        <v>0</v>
      </c>
      <c r="K41" s="14">
        <v>1.0063058348465588</v>
      </c>
      <c r="L41" s="14">
        <v>0.99373367953538672</v>
      </c>
      <c r="M41" s="14">
        <v>0.81535848405878475</v>
      </c>
      <c r="N41" s="14">
        <v>5.3969616931196569</v>
      </c>
      <c r="O41" s="14">
        <v>993.63461732026008</v>
      </c>
      <c r="P41" s="8">
        <v>5.3969616931196569</v>
      </c>
      <c r="Q41" s="54">
        <v>1.2626185756555401E-4</v>
      </c>
    </row>
    <row r="42" spans="1:17">
      <c r="A42" s="2" t="s">
        <v>315</v>
      </c>
      <c r="B42" s="16" t="s">
        <v>316</v>
      </c>
      <c r="D42" s="14">
        <v>1</v>
      </c>
      <c r="E42" s="14">
        <v>6.9597270818260865E-2</v>
      </c>
      <c r="F42" s="14">
        <v>5.042779500870363E-4</v>
      </c>
      <c r="G42" s="14">
        <v>3.0577252982708067E-5</v>
      </c>
      <c r="H42" s="14">
        <v>52.938298535462238</v>
      </c>
      <c r="I42" s="14">
        <v>1328.0889078729701</v>
      </c>
      <c r="J42" s="14">
        <v>0</v>
      </c>
      <c r="K42" s="14">
        <v>1983.0333644915549</v>
      </c>
      <c r="L42" s="14">
        <v>5.042779500870363E-4</v>
      </c>
      <c r="M42" s="14">
        <v>4.1376005804641327E-4</v>
      </c>
      <c r="N42" s="14">
        <v>2631.4485832266837</v>
      </c>
      <c r="O42" s="14">
        <v>960241.90250524925</v>
      </c>
      <c r="P42" s="8">
        <v>2631.4485832266837</v>
      </c>
      <c r="Q42" s="54">
        <v>4.2484171126302407E-2</v>
      </c>
    </row>
    <row r="43" spans="1:17">
      <c r="A43" s="2" t="s">
        <v>317</v>
      </c>
      <c r="B43" s="16" t="s">
        <v>318</v>
      </c>
      <c r="D43" s="14">
        <v>1</v>
      </c>
      <c r="E43" s="14">
        <v>0.6172917605291689</v>
      </c>
      <c r="F43" s="14">
        <v>0.56773213950964063</v>
      </c>
      <c r="G43" s="14">
        <v>7.8410092856524092E-14</v>
      </c>
      <c r="H43" s="14">
        <v>114.22034838542947</v>
      </c>
      <c r="I43" s="14">
        <v>252.4646931806638</v>
      </c>
      <c r="J43" s="14">
        <v>0</v>
      </c>
      <c r="K43" s="14">
        <v>1.7613940279366886</v>
      </c>
      <c r="L43" s="14">
        <v>0.56773213950964063</v>
      </c>
      <c r="M43" s="14">
        <v>0.4658242204676602</v>
      </c>
      <c r="N43" s="14">
        <v>458.87872383512405</v>
      </c>
      <c r="O43" s="14">
        <v>145611.39664736157</v>
      </c>
      <c r="P43" s="8">
        <v>458.87872383512411</v>
      </c>
      <c r="Q43" s="54">
        <v>0.36074527482320995</v>
      </c>
    </row>
    <row r="44" spans="1:17">
      <c r="A44" s="2" t="s">
        <v>307</v>
      </c>
      <c r="B44" s="16" t="s">
        <v>308</v>
      </c>
      <c r="D44" s="14">
        <v>1</v>
      </c>
      <c r="E44" s="14">
        <v>0.19547619057053622</v>
      </c>
      <c r="F44" s="14">
        <v>1.4413843138303458E-2</v>
      </c>
      <c r="G44" s="14">
        <v>2.7686514116264337E-6</v>
      </c>
      <c r="H44" s="14">
        <v>398.87773168666143</v>
      </c>
      <c r="I44" s="14">
        <v>1071.7585633738649</v>
      </c>
      <c r="J44" s="14">
        <v>0</v>
      </c>
      <c r="K44" s="14">
        <v>69.377749598411569</v>
      </c>
      <c r="L44" s="14">
        <v>1.4413843138303458E-2</v>
      </c>
      <c r="M44" s="14">
        <v>1.1826558294977987E-2</v>
      </c>
      <c r="N44" s="14">
        <v>2049.6170739993036</v>
      </c>
      <c r="O44" s="14">
        <v>718575.24997341586</v>
      </c>
      <c r="P44" s="8">
        <v>2049.617073999304</v>
      </c>
      <c r="Q44" s="54">
        <v>0.16319128502435473</v>
      </c>
    </row>
    <row r="45" spans="1:17">
      <c r="A45" s="2" t="s">
        <v>319</v>
      </c>
      <c r="B45" s="16" t="s">
        <v>320</v>
      </c>
      <c r="D45" s="14">
        <v>1</v>
      </c>
      <c r="E45" s="14">
        <v>6.1632800777721881E-2</v>
      </c>
      <c r="F45" s="14">
        <v>1.9730244671648472E-4</v>
      </c>
      <c r="G45" s="14">
        <v>8.7160749997200081E-8</v>
      </c>
      <c r="H45" s="14">
        <v>29.5387743295462</v>
      </c>
      <c r="I45" s="14">
        <v>1343.2277075600973</v>
      </c>
      <c r="J45" s="14">
        <v>0</v>
      </c>
      <c r="K45" s="14">
        <v>5068.3608675008354</v>
      </c>
      <c r="L45" s="14">
        <v>1.9730244671648474E-4</v>
      </c>
      <c r="M45" s="14">
        <v>1.6188665753087572E-4</v>
      </c>
      <c r="N45" s="14">
        <v>2686.6760485337581</v>
      </c>
      <c r="O45" s="14">
        <v>952399.79244473192</v>
      </c>
      <c r="P45" s="8">
        <v>2686.6760485337581</v>
      </c>
      <c r="Q45" s="54">
        <v>2.836283520886973E-2</v>
      </c>
    </row>
    <row r="46" spans="1:17">
      <c r="A46" s="2" t="s">
        <v>321</v>
      </c>
      <c r="B46" s="16" t="s">
        <v>322</v>
      </c>
      <c r="D46" s="14">
        <v>1</v>
      </c>
      <c r="E46" s="14">
        <v>6.8256960101116634E-2</v>
      </c>
      <c r="F46" s="14">
        <v>4.4063650979128162E-4</v>
      </c>
      <c r="G46" s="14">
        <v>1.4360480325092638E-7</v>
      </c>
      <c r="H46" s="14">
        <v>48.723724469768101</v>
      </c>
      <c r="I46" s="14">
        <v>1333.5142145162929</v>
      </c>
      <c r="J46" s="14">
        <v>0</v>
      </c>
      <c r="K46" s="14">
        <v>2269.4442647834035</v>
      </c>
      <c r="L46" s="14">
        <v>4.4063650979128162E-4</v>
      </c>
      <c r="M46" s="14">
        <v>3.6154225628374657E-4</v>
      </c>
      <c r="N46" s="14">
        <v>2645.8491711109314</v>
      </c>
      <c r="O46" s="14">
        <v>937927.07266711409</v>
      </c>
      <c r="P46" s="8">
        <v>2645.8491711109314</v>
      </c>
      <c r="Q46" s="54">
        <v>4.014187455249571E-2</v>
      </c>
    </row>
    <row r="47" spans="1:17">
      <c r="A47" s="2" t="s">
        <v>323</v>
      </c>
      <c r="B47" s="16" t="s">
        <v>324</v>
      </c>
      <c r="D47" s="14">
        <v>1</v>
      </c>
      <c r="E47" s="14">
        <v>8.2601657950936325E-2</v>
      </c>
      <c r="F47" s="14">
        <v>1.19571406022158E-3</v>
      </c>
      <c r="G47" s="14">
        <v>1.6522502405248258E-6</v>
      </c>
      <c r="H47" s="14">
        <v>90.333187717349062</v>
      </c>
      <c r="I47" s="14">
        <v>1305.8837174055761</v>
      </c>
      <c r="J47" s="14">
        <v>0</v>
      </c>
      <c r="K47" s="14">
        <v>836.32034887562349</v>
      </c>
      <c r="L47" s="14">
        <v>1.19571406022158E-3</v>
      </c>
      <c r="M47" s="14">
        <v>9.8108338641180641E-4</v>
      </c>
      <c r="N47" s="14">
        <v>2564.9221613081568</v>
      </c>
      <c r="O47" s="14">
        <v>820877.6885050626</v>
      </c>
      <c r="P47" s="8">
        <v>2564.9221613081568</v>
      </c>
      <c r="Q47" s="54">
        <v>6.1390971611677114E-2</v>
      </c>
    </row>
    <row r="48" spans="1:17">
      <c r="A48" s="2" t="s">
        <v>325</v>
      </c>
      <c r="B48" s="16" t="s">
        <v>326</v>
      </c>
      <c r="D48" s="14">
        <v>1</v>
      </c>
      <c r="E48" s="14">
        <v>0.31025855100495087</v>
      </c>
      <c r="F48" s="14">
        <v>0.14108831664332003</v>
      </c>
      <c r="G48" s="14">
        <v>2.6673471350996194E-6</v>
      </c>
      <c r="H48" s="14">
        <v>402.02314048570622</v>
      </c>
      <c r="I48" s="14">
        <v>730.98459164474286</v>
      </c>
      <c r="J48" s="14">
        <v>0</v>
      </c>
      <c r="K48" s="14">
        <v>7.0877590986365071</v>
      </c>
      <c r="L48" s="14">
        <v>0.14108831664332003</v>
      </c>
      <c r="M48" s="14">
        <v>0.11576296380584408</v>
      </c>
      <c r="N48" s="14">
        <v>1361.4161046014206</v>
      </c>
      <c r="O48" s="14">
        <v>414346.99143544235</v>
      </c>
      <c r="P48" s="8">
        <v>1361.4161046014206</v>
      </c>
      <c r="Q48" s="54">
        <v>0.35686850589680857</v>
      </c>
    </row>
    <row r="49" spans="1:17">
      <c r="A49" s="2" t="s">
        <v>275</v>
      </c>
      <c r="B49" s="16" t="s">
        <v>276</v>
      </c>
      <c r="D49" s="14">
        <v>1</v>
      </c>
      <c r="E49" s="14">
        <v>0.18539436609428034</v>
      </c>
      <c r="F49" s="14">
        <v>1.2783925461668087E-2</v>
      </c>
      <c r="G49" s="14">
        <v>3.3924442349696006E-8</v>
      </c>
      <c r="H49" s="14">
        <v>372.63550270071363</v>
      </c>
      <c r="I49" s="14">
        <v>1092.2986591551355</v>
      </c>
      <c r="J49" s="14">
        <v>0</v>
      </c>
      <c r="K49" s="14">
        <v>78.223234561124926</v>
      </c>
      <c r="L49" s="14">
        <v>1.2783925461668087E-2</v>
      </c>
      <c r="M49" s="14">
        <v>1.0489210841298665E-2</v>
      </c>
      <c r="N49" s="14">
        <v>2091.7840412773226</v>
      </c>
      <c r="O49" s="14">
        <v>774985.06945283525</v>
      </c>
      <c r="P49" s="8">
        <v>2091.7840412773226</v>
      </c>
      <c r="Q49" s="54">
        <v>0.15650975101396133</v>
      </c>
    </row>
    <row r="50" spans="1:17">
      <c r="A50" s="2" t="s">
        <v>327</v>
      </c>
      <c r="B50" s="16" t="s">
        <v>328</v>
      </c>
      <c r="D50" s="14">
        <v>1</v>
      </c>
      <c r="E50" s="14">
        <v>0.16980464878505552</v>
      </c>
      <c r="F50" s="14">
        <v>1.0432845618911087E-2</v>
      </c>
      <c r="G50" s="14">
        <v>1.6324927777280176E-6</v>
      </c>
      <c r="H50" s="14">
        <v>331.60630614043072</v>
      </c>
      <c r="I50" s="14">
        <v>1123.776514585036</v>
      </c>
      <c r="J50" s="14">
        <v>0</v>
      </c>
      <c r="K50" s="14">
        <v>95.851126004141292</v>
      </c>
      <c r="L50" s="14">
        <v>1.0432845618911087E-2</v>
      </c>
      <c r="M50" s="14">
        <v>8.560149830316546E-3</v>
      </c>
      <c r="N50" s="14">
        <v>2157.0234213534213</v>
      </c>
      <c r="O50" s="14">
        <v>821631.79142773186</v>
      </c>
      <c r="P50" s="8">
        <v>2157.0234213534213</v>
      </c>
      <c r="Q50" s="54">
        <v>0.14550568160543598</v>
      </c>
    </row>
    <row r="51" spans="1:17">
      <c r="A51" s="2" t="s">
        <v>329</v>
      </c>
      <c r="B51" s="16" t="s">
        <v>330</v>
      </c>
      <c r="D51" s="14">
        <v>1</v>
      </c>
      <c r="E51" s="14">
        <v>0.28716361182985167</v>
      </c>
      <c r="F51" s="14">
        <v>9.5250611505204058E-2</v>
      </c>
      <c r="G51" s="14">
        <v>1.4679668900685429E-6</v>
      </c>
      <c r="H51" s="14">
        <v>458.86800008483851</v>
      </c>
      <c r="I51" s="14">
        <v>802.68462297861151</v>
      </c>
      <c r="J51" s="14">
        <v>0</v>
      </c>
      <c r="K51" s="14">
        <v>10.498620262877415</v>
      </c>
      <c r="L51" s="14">
        <v>9.5250611505204058E-2</v>
      </c>
      <c r="M51" s="14">
        <v>7.8153126740019938E-2</v>
      </c>
      <c r="N51" s="14">
        <v>1502.1944673330624</v>
      </c>
      <c r="O51" s="14">
        <v>412202.1618361923</v>
      </c>
      <c r="P51" s="8">
        <v>1502.1944673330627</v>
      </c>
      <c r="Q51" s="54">
        <v>0.31677065549074246</v>
      </c>
    </row>
    <row r="52" spans="1:17">
      <c r="A52" s="2" t="s">
        <v>277</v>
      </c>
      <c r="B52" s="16" t="s">
        <v>278</v>
      </c>
      <c r="D52" s="14">
        <v>1</v>
      </c>
      <c r="E52" s="14">
        <v>0.30747661960171641</v>
      </c>
      <c r="F52" s="14">
        <v>0.13606436315051407</v>
      </c>
      <c r="G52" s="14">
        <v>4.1730432034071347E-6</v>
      </c>
      <c r="H52" s="14">
        <v>407.59081932322806</v>
      </c>
      <c r="I52" s="14">
        <v>738.38278715390459</v>
      </c>
      <c r="J52" s="14">
        <v>0</v>
      </c>
      <c r="K52" s="14">
        <v>7.3494629809408831</v>
      </c>
      <c r="L52" s="14">
        <v>0.13606436315051407</v>
      </c>
      <c r="M52" s="14">
        <v>0.1116408099649968</v>
      </c>
      <c r="N52" s="14">
        <v>1375.8277986748762</v>
      </c>
      <c r="O52" s="14">
        <v>559865.60611476738</v>
      </c>
      <c r="P52" s="8">
        <v>1375.8277986748762</v>
      </c>
      <c r="Q52" s="54">
        <v>0.35324950671165967</v>
      </c>
    </row>
    <row r="53" spans="1:17">
      <c r="A53" s="2" t="s">
        <v>331</v>
      </c>
      <c r="B53" s="16" t="s">
        <v>332</v>
      </c>
      <c r="D53" s="14">
        <v>1</v>
      </c>
      <c r="E53" s="14">
        <v>0.13096423495315918</v>
      </c>
      <c r="F53" s="14">
        <v>5.4526022184975551E-3</v>
      </c>
      <c r="G53" s="14">
        <v>8.5686480243646413E-7</v>
      </c>
      <c r="H53" s="14">
        <v>226.66466143278981</v>
      </c>
      <c r="I53" s="14">
        <v>1204.3174710157293</v>
      </c>
      <c r="J53" s="14">
        <v>0</v>
      </c>
      <c r="K53" s="14">
        <v>183.39867093322394</v>
      </c>
      <c r="L53" s="14">
        <v>5.4526022184975551E-3</v>
      </c>
      <c r="M53" s="14">
        <v>4.4738601202772444E-3</v>
      </c>
      <c r="N53" s="14">
        <v>2328.1676697862467</v>
      </c>
      <c r="O53" s="14">
        <v>886822.34709827928</v>
      </c>
      <c r="P53" s="8">
        <v>2328.1676697862467</v>
      </c>
      <c r="Q53" s="54">
        <v>0.11390452746226561</v>
      </c>
    </row>
    <row r="54" spans="1:17">
      <c r="A54" s="2" t="s">
        <v>333</v>
      </c>
      <c r="B54" s="16" t="s">
        <v>334</v>
      </c>
      <c r="D54" s="14">
        <v>1</v>
      </c>
      <c r="E54" s="14">
        <v>0.17741051055196996</v>
      </c>
      <c r="F54" s="14">
        <v>1.1554268597373359E-2</v>
      </c>
      <c r="G54" s="14">
        <v>1.8488043183469752E-9</v>
      </c>
      <c r="H54" s="14">
        <v>351.69197549017508</v>
      </c>
      <c r="I54" s="14">
        <v>1108.4589898474585</v>
      </c>
      <c r="J54" s="14">
        <v>0</v>
      </c>
      <c r="K54" s="14">
        <v>86.548100519952484</v>
      </c>
      <c r="L54" s="14">
        <v>1.155426859737336E-2</v>
      </c>
      <c r="M54" s="14">
        <v>9.4802773841448414E-3</v>
      </c>
      <c r="N54" s="14">
        <v>2125.175529096065</v>
      </c>
      <c r="O54" s="14">
        <v>817087.48742685514</v>
      </c>
      <c r="P54" s="8">
        <v>2125.175529096065</v>
      </c>
      <c r="Q54" s="54">
        <v>0.15098007263169458</v>
      </c>
    </row>
    <row r="55" spans="1:17">
      <c r="A55" s="2" t="s">
        <v>335</v>
      </c>
      <c r="B55" s="16" t="s">
        <v>336</v>
      </c>
      <c r="D55" s="14">
        <v>1</v>
      </c>
      <c r="E55" s="14">
        <v>8.346359031421105E-2</v>
      </c>
      <c r="F55" s="14">
        <v>1.2504593883902616E-3</v>
      </c>
      <c r="G55" s="14">
        <v>4.3390842154343565E-6</v>
      </c>
      <c r="H55" s="14">
        <v>92.847366827693421</v>
      </c>
      <c r="I55" s="14">
        <v>1303.8473910592922</v>
      </c>
      <c r="J55" s="14">
        <v>0</v>
      </c>
      <c r="K55" s="14">
        <v>799.70609944183605</v>
      </c>
      <c r="L55" s="14">
        <v>1.2504593883902616E-3</v>
      </c>
      <c r="M55" s="14">
        <v>1.0260019281742095E-3</v>
      </c>
      <c r="N55" s="14">
        <v>2559.7440859513331</v>
      </c>
      <c r="O55" s="14">
        <v>955603.66216735158</v>
      </c>
      <c r="P55" s="8">
        <v>2559.7440859513331</v>
      </c>
      <c r="Q55" s="54">
        <v>6.2549920540882556E-2</v>
      </c>
    </row>
    <row r="56" spans="1:17">
      <c r="A56" s="2" t="s">
        <v>337</v>
      </c>
      <c r="B56" s="16" t="s">
        <v>338</v>
      </c>
      <c r="D56" s="14">
        <v>1</v>
      </c>
      <c r="E56" s="14">
        <v>0.19206553894348666</v>
      </c>
      <c r="F56" s="14">
        <v>1.3851805886916762E-2</v>
      </c>
      <c r="G56" s="14">
        <v>7.000271507841076E-7</v>
      </c>
      <c r="H56" s="14">
        <v>390.01956798394713</v>
      </c>
      <c r="I56" s="14">
        <v>1078.8065327659185</v>
      </c>
      <c r="J56" s="14">
        <v>0</v>
      </c>
      <c r="K56" s="14">
        <v>72.192752927942408</v>
      </c>
      <c r="L56" s="14">
        <v>1.3851805886916762E-2</v>
      </c>
      <c r="M56" s="14">
        <v>1.1365406730215204E-2</v>
      </c>
      <c r="N56" s="14">
        <v>2064.0453151706392</v>
      </c>
      <c r="O56" s="14">
        <v>803574.12210223323</v>
      </c>
      <c r="P56" s="8">
        <v>2064.0453151706392</v>
      </c>
      <c r="Q56" s="54">
        <v>0.16096948985197743</v>
      </c>
    </row>
    <row r="57" spans="1:17">
      <c r="A57" s="2" t="s">
        <v>279</v>
      </c>
      <c r="B57" s="16" t="s">
        <v>280</v>
      </c>
      <c r="D57" s="14">
        <v>1</v>
      </c>
      <c r="E57" s="14">
        <v>0.32247611574891605</v>
      </c>
      <c r="F57" s="14">
        <v>0.16453297783437401</v>
      </c>
      <c r="G57" s="14">
        <v>7.8037158179091229E-5</v>
      </c>
      <c r="H57" s="14">
        <v>374.34579401221868</v>
      </c>
      <c r="I57" s="14">
        <v>692.03829698321067</v>
      </c>
      <c r="J57" s="14">
        <v>0</v>
      </c>
      <c r="K57" s="14">
        <v>6.0778089180798949</v>
      </c>
      <c r="L57" s="14">
        <v>0.16453297783437401</v>
      </c>
      <c r="M57" s="14">
        <v>0.13499930831310389</v>
      </c>
      <c r="N57" s="14">
        <v>1286.2146918852673</v>
      </c>
      <c r="O57" s="14">
        <v>374069.81884099229</v>
      </c>
      <c r="P57" s="8">
        <v>1286.2146918852675</v>
      </c>
      <c r="Q57" s="54">
        <v>0.37010941134804681</v>
      </c>
    </row>
    <row r="58" spans="1:17">
      <c r="A58" s="2" t="s">
        <v>339</v>
      </c>
      <c r="B58" s="16" t="s">
        <v>340</v>
      </c>
      <c r="D58" s="14">
        <v>1</v>
      </c>
      <c r="E58" s="14">
        <v>0.17586165378451041</v>
      </c>
      <c r="F58" s="14">
        <v>1.1321739432406093E-2</v>
      </c>
      <c r="G58" s="14">
        <v>6.4286775531056941E-9</v>
      </c>
      <c r="H58" s="14">
        <v>347.61071538172769</v>
      </c>
      <c r="I58" s="14">
        <v>1111.6045768183578</v>
      </c>
      <c r="J58" s="14">
        <v>0</v>
      </c>
      <c r="K58" s="14">
        <v>88.325650485976638</v>
      </c>
      <c r="L58" s="14">
        <v>1.1321739432406093E-2</v>
      </c>
      <c r="M58" s="14">
        <v>9.2894872042891992E-3</v>
      </c>
      <c r="N58" s="14">
        <v>2131.6968781922233</v>
      </c>
      <c r="O58" s="14">
        <v>736821.02594714193</v>
      </c>
      <c r="P58" s="8">
        <v>2131.6968781922233</v>
      </c>
      <c r="Q58" s="54">
        <v>0.14988229218270743</v>
      </c>
    </row>
    <row r="59" spans="1:17">
      <c r="A59" s="2" t="s">
        <v>281</v>
      </c>
      <c r="B59" s="16" t="s">
        <v>282</v>
      </c>
      <c r="D59" s="14">
        <v>1</v>
      </c>
      <c r="E59" s="14">
        <v>0.30755286193431475</v>
      </c>
      <c r="F59" s="14">
        <v>0.13609810186028504</v>
      </c>
      <c r="G59" s="14">
        <v>6.3177226437211534E-7</v>
      </c>
      <c r="H59" s="14">
        <v>407.6918861127977</v>
      </c>
      <c r="I59" s="14">
        <v>738.56587758242563</v>
      </c>
      <c r="J59" s="14">
        <v>0</v>
      </c>
      <c r="K59" s="14">
        <v>7.3476410495906501</v>
      </c>
      <c r="L59" s="14">
        <v>0.13609810186028504</v>
      </c>
      <c r="M59" s="14">
        <v>0.11166849257636388</v>
      </c>
      <c r="N59" s="14">
        <v>1376.1689508599125</v>
      </c>
      <c r="O59" s="14">
        <v>400822.96862745809</v>
      </c>
      <c r="P59" s="8">
        <v>1376.1689508599125</v>
      </c>
      <c r="Q59" s="54">
        <v>0.35333709895335863</v>
      </c>
    </row>
    <row r="60" spans="1:17">
      <c r="A60" s="2" t="s">
        <v>341</v>
      </c>
      <c r="B60" s="16" t="s">
        <v>342</v>
      </c>
      <c r="D60" s="14">
        <v>1</v>
      </c>
      <c r="E60" s="14">
        <v>0.14081253224616291</v>
      </c>
      <c r="F60" s="14">
        <v>6.5976340952008678E-3</v>
      </c>
      <c r="G60" s="14">
        <v>7.6763843894132885E-6</v>
      </c>
      <c r="H60" s="14">
        <v>253.70453239786966</v>
      </c>
      <c r="I60" s="14">
        <v>1183.0017761518754</v>
      </c>
      <c r="J60" s="14">
        <v>0</v>
      </c>
      <c r="K60" s="14">
        <v>151.56948469261152</v>
      </c>
      <c r="L60" s="14">
        <v>6.5976340952008687E-3</v>
      </c>
      <c r="M60" s="14">
        <v>5.4133587751123129E-3</v>
      </c>
      <c r="N60" s="14">
        <v>2282.2285719149718</v>
      </c>
      <c r="O60" s="14">
        <v>765185.59559165174</v>
      </c>
      <c r="P60" s="8">
        <v>2282.2285719149718</v>
      </c>
      <c r="Q60" s="54">
        <v>0.12257034165927619</v>
      </c>
    </row>
    <row r="61" spans="1:17">
      <c r="A61" s="2" t="s">
        <v>483</v>
      </c>
      <c r="B61" s="16" t="s">
        <v>484</v>
      </c>
      <c r="D61" s="14">
        <v>1</v>
      </c>
      <c r="E61" s="14">
        <v>0.48735897442572029</v>
      </c>
      <c r="F61" s="14">
        <v>0.41064763718010439</v>
      </c>
      <c r="G61" s="14">
        <v>1.2519798894713479E-15</v>
      </c>
      <c r="H61" s="14">
        <v>187.28011134322421</v>
      </c>
      <c r="I61" s="14">
        <v>288.915519618269</v>
      </c>
      <c r="J61" s="14">
        <v>0</v>
      </c>
      <c r="K61" s="14">
        <v>2.4351777764190903</v>
      </c>
      <c r="L61" s="14">
        <v>0.41064763718010444</v>
      </c>
      <c r="M61" s="14">
        <v>0.33693638630627565</v>
      </c>
      <c r="N61" s="14">
        <v>1140.2561709872668</v>
      </c>
      <c r="O61" s="14">
        <v>531302.36287151696</v>
      </c>
      <c r="P61" s="8">
        <v>1140.2561709872668</v>
      </c>
      <c r="Q61" s="54">
        <v>0.19506119090542168</v>
      </c>
    </row>
    <row r="62" spans="1:17">
      <c r="A62" s="2" t="s">
        <v>485</v>
      </c>
      <c r="B62" s="16" t="s">
        <v>486</v>
      </c>
      <c r="D62" s="14">
        <v>1</v>
      </c>
      <c r="E62" s="14">
        <v>0.45638508132324845</v>
      </c>
      <c r="F62" s="14">
        <v>0.36059983041653548</v>
      </c>
      <c r="G62" s="14">
        <v>4.4050820880060599E-9</v>
      </c>
      <c r="H62" s="14">
        <v>223.52469870001147</v>
      </c>
      <c r="I62" s="14">
        <v>454.76045142080329</v>
      </c>
      <c r="J62" s="14">
        <v>0</v>
      </c>
      <c r="K62" s="14">
        <v>2.7731571555230117</v>
      </c>
      <c r="L62" s="14">
        <v>0.36059983041653554</v>
      </c>
      <c r="M62" s="14">
        <v>0.29587216085676737</v>
      </c>
      <c r="N62" s="14">
        <v>835.16295609667623</v>
      </c>
      <c r="O62" s="14">
        <v>270918.51132820075</v>
      </c>
      <c r="P62" s="8">
        <v>835.16295609667623</v>
      </c>
      <c r="Q62" s="54">
        <v>0.41189136645100399</v>
      </c>
    </row>
    <row r="63" spans="1:17">
      <c r="A63" s="2" t="s">
        <v>487</v>
      </c>
      <c r="B63" s="16" t="s">
        <v>488</v>
      </c>
      <c r="D63" s="14">
        <v>1</v>
      </c>
      <c r="E63" s="14">
        <v>0.9449213897832508</v>
      </c>
      <c r="F63" s="14">
        <v>0.94161598364814481</v>
      </c>
      <c r="G63" s="14">
        <v>8.0825355680131984E-15</v>
      </c>
      <c r="H63" s="14">
        <v>9.221235900544432</v>
      </c>
      <c r="I63" s="14">
        <v>11.265422919048282</v>
      </c>
      <c r="J63" s="14">
        <v>0</v>
      </c>
      <c r="K63" s="14">
        <v>1.0620040625538825</v>
      </c>
      <c r="L63" s="14">
        <v>0.94161598364814481</v>
      </c>
      <c r="M63" s="14">
        <v>0.7725959145833029</v>
      </c>
      <c r="N63" s="14">
        <v>110.65854887720383</v>
      </c>
      <c r="O63" s="14">
        <v>48862.388842218126</v>
      </c>
      <c r="P63" s="8">
        <v>110.65854887720383</v>
      </c>
      <c r="Q63" s="54">
        <v>2.7455382614818315E-2</v>
      </c>
    </row>
    <row r="64" spans="1:17">
      <c r="A64" s="2" t="s">
        <v>489</v>
      </c>
      <c r="B64" s="16" t="s">
        <v>490</v>
      </c>
      <c r="D64" s="14">
        <v>1</v>
      </c>
      <c r="E64" s="14">
        <v>0.99740597459294955</v>
      </c>
      <c r="F64" s="14">
        <v>0.99655143371585297</v>
      </c>
      <c r="G64" s="14">
        <v>1.4792920276023657E-16</v>
      </c>
      <c r="H64" s="14">
        <v>3.4896327034785863</v>
      </c>
      <c r="I64" s="14">
        <v>0.40116099011657841</v>
      </c>
      <c r="J64" s="14">
        <v>0</v>
      </c>
      <c r="K64" s="14">
        <v>1.0034605000479386</v>
      </c>
      <c r="L64" s="14">
        <v>0.99655143371585297</v>
      </c>
      <c r="M64" s="14">
        <v>0.81767045136385741</v>
      </c>
      <c r="N64" s="14">
        <v>2.1734307577702583</v>
      </c>
      <c r="O64" s="14">
        <v>872.48030909171473</v>
      </c>
      <c r="P64" s="8">
        <v>2.1734307577702583</v>
      </c>
      <c r="Q64" s="54">
        <v>2.9588210144703441E-3</v>
      </c>
    </row>
    <row r="65" spans="1:17">
      <c r="A65" s="2" t="s">
        <v>491</v>
      </c>
      <c r="B65" s="16" t="s">
        <v>492</v>
      </c>
      <c r="D65" s="14">
        <v>1</v>
      </c>
      <c r="E65" s="14">
        <v>0.99598097240689198</v>
      </c>
      <c r="F65" s="14">
        <v>0.99620345833697488</v>
      </c>
      <c r="G65" s="14">
        <v>2.4340550958051358E-14</v>
      </c>
      <c r="H65" s="14">
        <v>0.45137130983007967</v>
      </c>
      <c r="I65" s="14">
        <v>0.18588274906828212</v>
      </c>
      <c r="J65" s="14">
        <v>0</v>
      </c>
      <c r="K65" s="14">
        <v>1.0038110103224926</v>
      </c>
      <c r="L65" s="14">
        <v>0.99620345833697488</v>
      </c>
      <c r="M65" s="14">
        <v>0.81738493756548791</v>
      </c>
      <c r="N65" s="14">
        <v>9.352784738309408</v>
      </c>
      <c r="O65" s="14">
        <v>2594.0883750174976</v>
      </c>
      <c r="P65" s="8">
        <v>9.352784738309408</v>
      </c>
      <c r="Q65" s="54">
        <v>1.3026240337226784E-3</v>
      </c>
    </row>
    <row r="66" spans="1:17">
      <c r="A66" s="2" t="s">
        <v>493</v>
      </c>
      <c r="B66" s="16" t="s">
        <v>494</v>
      </c>
      <c r="D66" s="14">
        <v>1</v>
      </c>
      <c r="E66" s="14">
        <v>0.72294600945857035</v>
      </c>
      <c r="F66" s="14">
        <v>0.70448567326795064</v>
      </c>
      <c r="G66" s="14">
        <v>2.907564374883568E-13</v>
      </c>
      <c r="H66" s="14">
        <v>51.946679647033172</v>
      </c>
      <c r="I66" s="14">
        <v>12.054029433535746</v>
      </c>
      <c r="J66" s="14">
        <v>0</v>
      </c>
      <c r="K66" s="14">
        <v>1.4194752823875394</v>
      </c>
      <c r="L66" s="14">
        <v>0.70448567326795064</v>
      </c>
      <c r="M66" s="14">
        <v>0.5780304949163535</v>
      </c>
      <c r="N66" s="14">
        <v>789.14748464367642</v>
      </c>
      <c r="O66" s="14">
        <v>256015.22696810152</v>
      </c>
      <c r="P66" s="8">
        <v>789.14748464367653</v>
      </c>
      <c r="Q66" s="54">
        <v>1.062312391974931E-2</v>
      </c>
    </row>
    <row r="67" spans="1:17">
      <c r="A67" s="2" t="s">
        <v>495</v>
      </c>
      <c r="B67" s="16" t="s">
        <v>496</v>
      </c>
      <c r="D67" s="14">
        <v>1</v>
      </c>
      <c r="E67" s="14">
        <v>0.99641393835348968</v>
      </c>
      <c r="F67" s="14">
        <v>0.99666117832008205</v>
      </c>
      <c r="G67" s="14">
        <v>1.9023745640608996E-14</v>
      </c>
      <c r="H67" s="14">
        <v>0.38078277322584653</v>
      </c>
      <c r="I67" s="14">
        <v>0.19273200611323063</v>
      </c>
      <c r="J67" s="14">
        <v>0</v>
      </c>
      <c r="K67" s="14">
        <v>1.0033500067550998</v>
      </c>
      <c r="L67" s="14">
        <v>0.99666117832008205</v>
      </c>
      <c r="M67" s="14">
        <v>0.81776049681162732</v>
      </c>
      <c r="N67" s="14">
        <v>7.792387911720402</v>
      </c>
      <c r="O67" s="14">
        <v>2442.2902192914084</v>
      </c>
      <c r="P67" s="8">
        <v>7.7923879117204029</v>
      </c>
      <c r="Q67" s="54">
        <v>1.4653920865528513E-3</v>
      </c>
    </row>
    <row r="68" spans="1:17">
      <c r="A68" s="2" t="s">
        <v>497</v>
      </c>
      <c r="B68" s="16" t="s">
        <v>498</v>
      </c>
      <c r="D68" s="14">
        <v>1</v>
      </c>
      <c r="E68" s="14">
        <v>0.99926964416475894</v>
      </c>
      <c r="F68" s="14">
        <v>0.99964215946030766</v>
      </c>
      <c r="G68" s="14">
        <v>1.7226491182720285E-13</v>
      </c>
      <c r="H68" s="14">
        <v>4.5345180211084968E-2</v>
      </c>
      <c r="I68" s="14">
        <v>3.2393570785487207E-2</v>
      </c>
      <c r="J68" s="14">
        <v>0</v>
      </c>
      <c r="K68" s="14">
        <v>1.0003579686353821</v>
      </c>
      <c r="L68" s="14">
        <v>0.99964215946030766</v>
      </c>
      <c r="M68" s="14">
        <v>0.82020639183718247</v>
      </c>
      <c r="N68" s="14">
        <v>1.0500866522248096</v>
      </c>
      <c r="O68" s="14">
        <v>286.00160059994914</v>
      </c>
      <c r="P68" s="8">
        <v>1.0500866522248096</v>
      </c>
      <c r="Q68" s="54">
        <v>5.9284180856531636E-4</v>
      </c>
    </row>
    <row r="69" spans="1:17">
      <c r="A69" s="2" t="s">
        <v>499</v>
      </c>
      <c r="B69" s="16" t="s">
        <v>500</v>
      </c>
      <c r="D69" s="14">
        <v>1</v>
      </c>
      <c r="E69" s="14">
        <v>0.21050374705754926</v>
      </c>
      <c r="F69" s="14">
        <v>1.6986554372118049E-2</v>
      </c>
      <c r="G69" s="14">
        <v>1.8884077811868661E-13</v>
      </c>
      <c r="H69" s="14">
        <v>437.47908347212439</v>
      </c>
      <c r="I69" s="14">
        <v>1042.1361577619846</v>
      </c>
      <c r="J69" s="14">
        <v>0</v>
      </c>
      <c r="K69" s="14">
        <v>58.870090902096834</v>
      </c>
      <c r="L69" s="14">
        <v>1.6986554372118049E-2</v>
      </c>
      <c r="M69" s="14">
        <v>1.3937467862322861E-2</v>
      </c>
      <c r="N69" s="14">
        <v>1989.1644180613241</v>
      </c>
      <c r="O69" s="14">
        <v>854525.14235496416</v>
      </c>
      <c r="P69" s="8">
        <v>1989.1644180613241</v>
      </c>
      <c r="Q69" s="54">
        <v>0.17260145974434862</v>
      </c>
    </row>
    <row r="70" spans="1:17">
      <c r="A70" s="2" t="s">
        <v>501</v>
      </c>
      <c r="B70" s="16" t="s">
        <v>411</v>
      </c>
      <c r="D70" s="14">
        <v>1</v>
      </c>
      <c r="E70" s="14">
        <v>0.99873488821587397</v>
      </c>
      <c r="F70" s="14">
        <v>0.99602748712077016</v>
      </c>
      <c r="G70" s="14">
        <v>3.1695660863827074E-15</v>
      </c>
      <c r="H70" s="14">
        <v>8.7977440636350899</v>
      </c>
      <c r="I70" s="14">
        <v>7.7415614118097669E-3</v>
      </c>
      <c r="J70" s="14">
        <v>0</v>
      </c>
      <c r="K70" s="14">
        <v>1.0039883566774981</v>
      </c>
      <c r="L70" s="14">
        <v>0.99602748712077016</v>
      </c>
      <c r="M70" s="14">
        <v>0.81724055318259192</v>
      </c>
      <c r="N70" s="14">
        <v>3.6203730372315341</v>
      </c>
      <c r="O70" s="14">
        <v>1086.4739484731836</v>
      </c>
      <c r="P70" s="8">
        <v>3.6203730372315346</v>
      </c>
      <c r="Q70" s="54">
        <v>3.9248997033255498E-5</v>
      </c>
    </row>
    <row r="71" spans="1:17">
      <c r="A71" s="2" t="s">
        <v>502</v>
      </c>
      <c r="B71" s="16" t="s">
        <v>412</v>
      </c>
      <c r="D71" s="14">
        <v>1</v>
      </c>
      <c r="E71" s="14">
        <v>0.99770024539175772</v>
      </c>
      <c r="F71" s="14">
        <v>0.99217911440701734</v>
      </c>
      <c r="G71" s="14">
        <v>1.482102139456242E-10</v>
      </c>
      <c r="H71" s="14">
        <v>16.789976210803154</v>
      </c>
      <c r="I71" s="14">
        <v>1.4127912943492292E-2</v>
      </c>
      <c r="J71" s="14">
        <v>0</v>
      </c>
      <c r="K71" s="14">
        <v>1.0078825339894972</v>
      </c>
      <c r="L71" s="14">
        <v>0.99217911440701745</v>
      </c>
      <c r="M71" s="14">
        <v>0.81408296337095776</v>
      </c>
      <c r="N71" s="14">
        <v>6.6109268474944169</v>
      </c>
      <c r="O71" s="14">
        <v>2169.3756450052929</v>
      </c>
      <c r="P71" s="8">
        <v>6.6109268474944169</v>
      </c>
      <c r="Q71" s="54">
        <v>5.5039947390369882E-5</v>
      </c>
    </row>
    <row r="72" spans="1:17">
      <c r="A72" s="2" t="s">
        <v>503</v>
      </c>
      <c r="B72" s="16" t="s">
        <v>413</v>
      </c>
      <c r="D72" s="14">
        <v>1</v>
      </c>
      <c r="E72" s="14">
        <v>0.32687052032012442</v>
      </c>
      <c r="F72" s="14">
        <v>1.2350658172651185E-2</v>
      </c>
      <c r="G72" s="14">
        <v>6.0511590461655757E-12</v>
      </c>
      <c r="H72" s="14">
        <v>893.53198251275751</v>
      </c>
      <c r="I72" s="14">
        <v>3.799584230703235</v>
      </c>
      <c r="J72" s="14">
        <v>0</v>
      </c>
      <c r="K72" s="14">
        <v>80.967344899428994</v>
      </c>
      <c r="L72" s="14">
        <v>1.2350658172651185E-2</v>
      </c>
      <c r="M72" s="14">
        <v>1.0133715030660297E-2</v>
      </c>
      <c r="N72" s="14">
        <v>1964.0429160770757</v>
      </c>
      <c r="O72" s="14">
        <v>911473.03649304935</v>
      </c>
      <c r="P72" s="8">
        <v>1964.0429160770759</v>
      </c>
      <c r="Q72" s="54">
        <v>1.8790402221251687E-4</v>
      </c>
    </row>
    <row r="73" spans="1:17">
      <c r="A73" s="2" t="s">
        <v>504</v>
      </c>
      <c r="B73" s="16" t="s">
        <v>414</v>
      </c>
      <c r="D73" s="14">
        <v>1</v>
      </c>
      <c r="E73" s="14">
        <v>0.8419031284145545</v>
      </c>
      <c r="F73" s="14">
        <v>0.2301340539303931</v>
      </c>
      <c r="G73" s="14">
        <v>1.5882152206939256E-11</v>
      </c>
      <c r="H73" s="14">
        <v>1738.925146589226</v>
      </c>
      <c r="I73" s="14">
        <v>0.9306938892740797</v>
      </c>
      <c r="J73" s="14">
        <v>0</v>
      </c>
      <c r="K73" s="14">
        <v>4.3452934623159347</v>
      </c>
      <c r="L73" s="14">
        <v>0.23013405393039313</v>
      </c>
      <c r="M73" s="14">
        <v>0.18882499124988755</v>
      </c>
      <c r="N73" s="14">
        <v>460.81395772357251</v>
      </c>
      <c r="O73" s="14">
        <v>144718.62342308796</v>
      </c>
      <c r="P73" s="8">
        <v>460.81395772357251</v>
      </c>
      <c r="Q73" s="54">
        <v>3.0606020333409276E-4</v>
      </c>
    </row>
    <row r="74" spans="1:17">
      <c r="A74" s="2" t="s">
        <v>505</v>
      </c>
      <c r="B74" s="16" t="s">
        <v>415</v>
      </c>
      <c r="D74" s="14">
        <v>1</v>
      </c>
      <c r="E74" s="14">
        <v>0.99790233930092986</v>
      </c>
      <c r="F74" s="14">
        <v>0.99293974763684212</v>
      </c>
      <c r="G74" s="14">
        <v>1.82377543550849E-11</v>
      </c>
      <c r="H74" s="14">
        <v>15.203476107952635</v>
      </c>
      <c r="I74" s="14">
        <v>1.2848986432983944E-2</v>
      </c>
      <c r="J74" s="14">
        <v>0</v>
      </c>
      <c r="K74" s="14">
        <v>1.0071104539625502</v>
      </c>
      <c r="L74" s="14">
        <v>0.99293974763684212</v>
      </c>
      <c r="M74" s="14">
        <v>0.81470706293602901</v>
      </c>
      <c r="N74" s="14">
        <v>6.0264968488498827</v>
      </c>
      <c r="O74" s="14">
        <v>1289.9113855278288</v>
      </c>
      <c r="P74" s="8">
        <v>6.0264968488498827</v>
      </c>
      <c r="Q74" s="54">
        <v>5.2127736887662005E-5</v>
      </c>
    </row>
    <row r="75" spans="1:17">
      <c r="A75" s="2" t="s">
        <v>506</v>
      </c>
      <c r="B75" s="16" t="s">
        <v>416</v>
      </c>
      <c r="D75" s="14">
        <v>1</v>
      </c>
      <c r="E75" s="14">
        <v>0.84709972397149746</v>
      </c>
      <c r="F75" s="14">
        <v>0.26214745940163414</v>
      </c>
      <c r="G75" s="14">
        <v>6.5622703607086377E-11</v>
      </c>
      <c r="H75" s="14">
        <v>1662.7450097995868</v>
      </c>
      <c r="I75" s="14">
        <v>0.90147072499762748</v>
      </c>
      <c r="J75" s="14">
        <v>0</v>
      </c>
      <c r="K75" s="14">
        <v>3.8146469253699968</v>
      </c>
      <c r="L75" s="14">
        <v>0.2621474594016342</v>
      </c>
      <c r="M75" s="14">
        <v>0.21509199043904084</v>
      </c>
      <c r="N75" s="14">
        <v>445.6265745294728</v>
      </c>
      <c r="O75" s="14">
        <v>184520.59571541881</v>
      </c>
      <c r="P75" s="8">
        <v>445.6265745294728</v>
      </c>
      <c r="Q75" s="54">
        <v>3.1823770050181689E-4</v>
      </c>
    </row>
    <row r="76" spans="1:17">
      <c r="A76" s="2" t="s">
        <v>507</v>
      </c>
      <c r="B76" s="16" t="s">
        <v>417</v>
      </c>
      <c r="D76" s="14">
        <v>1</v>
      </c>
      <c r="E76" s="14">
        <v>0.96659469259667363</v>
      </c>
      <c r="F76" s="14">
        <v>0.86124319034817287</v>
      </c>
      <c r="G76" s="14">
        <v>4.7497839371052493E-10</v>
      </c>
      <c r="H76" s="14">
        <v>300.36256268681382</v>
      </c>
      <c r="I76" s="14">
        <v>0.2022431078304297</v>
      </c>
      <c r="J76" s="14">
        <v>0</v>
      </c>
      <c r="K76" s="14">
        <v>1.1611122284702562</v>
      </c>
      <c r="L76" s="14">
        <v>0.86124319034817287</v>
      </c>
      <c r="M76" s="14">
        <v>0.70665003768067591</v>
      </c>
      <c r="N76" s="14">
        <v>97.064432599761687</v>
      </c>
      <c r="O76" s="14">
        <v>41560.078106239962</v>
      </c>
      <c r="P76" s="8">
        <v>97.064432599761687</v>
      </c>
      <c r="Q76" s="54">
        <v>2.3124573437904663E-4</v>
      </c>
    </row>
    <row r="77" spans="1:17">
      <c r="A77" s="2" t="s">
        <v>508</v>
      </c>
      <c r="B77" s="16" t="s">
        <v>418</v>
      </c>
      <c r="D77" s="14">
        <v>1</v>
      </c>
      <c r="E77" s="14">
        <v>0.84331580668936934</v>
      </c>
      <c r="F77" s="14">
        <v>0.23899310656250208</v>
      </c>
      <c r="G77" s="14">
        <v>4.8662389199884367E-10</v>
      </c>
      <c r="H77" s="14">
        <v>1717.7714268773025</v>
      </c>
      <c r="I77" s="14">
        <v>0.92553597419723088</v>
      </c>
      <c r="J77" s="14">
        <v>0</v>
      </c>
      <c r="K77" s="14">
        <v>4.1842211032077508</v>
      </c>
      <c r="L77" s="14">
        <v>0.23899310656250208</v>
      </c>
      <c r="M77" s="14">
        <v>0.19609384393453297</v>
      </c>
      <c r="N77" s="14">
        <v>456.68298994790047</v>
      </c>
      <c r="O77" s="14">
        <v>241210.82163068207</v>
      </c>
      <c r="P77" s="8">
        <v>456.68298994790052</v>
      </c>
      <c r="Q77" s="54">
        <v>3.1059417303061948E-4</v>
      </c>
    </row>
    <row r="78" spans="1:17">
      <c r="A78" s="2" t="s">
        <v>509</v>
      </c>
      <c r="B78" s="16" t="s">
        <v>419</v>
      </c>
      <c r="D78" s="14">
        <v>1</v>
      </c>
      <c r="E78" s="14">
        <v>0.36783827137697062</v>
      </c>
      <c r="F78" s="14">
        <v>1.535782235724689E-2</v>
      </c>
      <c r="G78" s="14">
        <v>2.7274582142813869E-11</v>
      </c>
      <c r="H78" s="14">
        <v>1001.450850755984</v>
      </c>
      <c r="I78" s="14">
        <v>3.5781258738447606</v>
      </c>
      <c r="J78" s="14">
        <v>0</v>
      </c>
      <c r="K78" s="14">
        <v>65.113398028603342</v>
      </c>
      <c r="L78" s="14">
        <v>1.535782235724689E-2</v>
      </c>
      <c r="M78" s="14">
        <v>1.2601093244121073E-2</v>
      </c>
      <c r="N78" s="14">
        <v>1844.4654701059167</v>
      </c>
      <c r="O78" s="14">
        <v>1040444.5270320466</v>
      </c>
      <c r="P78" s="8">
        <v>1844.4654701059167</v>
      </c>
      <c r="Q78" s="54">
        <v>1.9982766535589779E-4</v>
      </c>
    </row>
    <row r="79" spans="1:17">
      <c r="A79" s="2" t="s">
        <v>510</v>
      </c>
      <c r="B79" s="16" t="s">
        <v>420</v>
      </c>
      <c r="D79" s="14">
        <v>1</v>
      </c>
      <c r="E79" s="14">
        <v>0.36783839379210864</v>
      </c>
      <c r="F79" s="14">
        <v>1.5357828366673555E-2</v>
      </c>
      <c r="G79" s="14">
        <v>6.8510683047682242E-16</v>
      </c>
      <c r="H79" s="14">
        <v>1001.4512426178838</v>
      </c>
      <c r="I79" s="14">
        <v>3.5775610149816255</v>
      </c>
      <c r="J79" s="14">
        <v>0</v>
      </c>
      <c r="K79" s="14">
        <v>65.113372550118953</v>
      </c>
      <c r="L79" s="14">
        <v>1.5357828366673555E-2</v>
      </c>
      <c r="M79" s="14">
        <v>1.2601098174855652E-2</v>
      </c>
      <c r="N79" s="14">
        <v>1844.4651759719304</v>
      </c>
      <c r="O79" s="14">
        <v>922472.36845884158</v>
      </c>
      <c r="P79" s="8">
        <v>1844.4651759719304</v>
      </c>
      <c r="Q79" s="54">
        <v>1.9979611967196838E-4</v>
      </c>
    </row>
    <row r="80" spans="1:17">
      <c r="A80" s="2" t="s">
        <v>511</v>
      </c>
      <c r="B80" s="16" t="s">
        <v>421</v>
      </c>
      <c r="D80" s="14">
        <v>1</v>
      </c>
      <c r="E80" s="14">
        <v>0.91256471793899352</v>
      </c>
      <c r="F80" s="14">
        <v>0.60942929058006567</v>
      </c>
      <c r="G80" s="14">
        <v>7.9402063589720272E-11</v>
      </c>
      <c r="H80" s="14">
        <v>862.19067925184925</v>
      </c>
      <c r="I80" s="14">
        <v>0.52207067360444492</v>
      </c>
      <c r="J80" s="14">
        <v>0</v>
      </c>
      <c r="K80" s="14">
        <v>1.6408794514096658</v>
      </c>
      <c r="L80" s="14">
        <v>0.60942929058006567</v>
      </c>
      <c r="M80" s="14">
        <v>0.50003673292094386</v>
      </c>
      <c r="N80" s="14">
        <v>254.54395421807752</v>
      </c>
      <c r="O80" s="14">
        <v>92669.271972633302</v>
      </c>
      <c r="P80" s="8">
        <v>254.54395421807754</v>
      </c>
      <c r="Q80" s="54">
        <v>3.3847710528124564E-4</v>
      </c>
    </row>
    <row r="81" spans="1:17">
      <c r="A81" s="2" t="s">
        <v>512</v>
      </c>
      <c r="B81" s="16" t="s">
        <v>422</v>
      </c>
      <c r="D81" s="14">
        <v>1</v>
      </c>
      <c r="E81" s="14">
        <v>0.9917487139574116</v>
      </c>
      <c r="F81" s="14">
        <v>0.96872710088242386</v>
      </c>
      <c r="G81" s="14">
        <v>3.4186128091635224E-11</v>
      </c>
      <c r="H81" s="14">
        <v>66.49997003777807</v>
      </c>
      <c r="I81" s="14">
        <v>5.032078694285777E-2</v>
      </c>
      <c r="J81" s="14">
        <v>0</v>
      </c>
      <c r="K81" s="14">
        <v>1.0322824654013389</v>
      </c>
      <c r="L81" s="14">
        <v>0.96872710088242386</v>
      </c>
      <c r="M81" s="14">
        <v>0.79484058627402887</v>
      </c>
      <c r="N81" s="14">
        <v>23.876874010944505</v>
      </c>
      <c r="O81" s="14">
        <v>6304.6885825898971</v>
      </c>
      <c r="P81" s="8">
        <v>23.876874010944508</v>
      </c>
      <c r="Q81" s="54">
        <v>1.1115971489421651E-4</v>
      </c>
    </row>
    <row r="82" spans="1:17">
      <c r="A82" s="2" t="s">
        <v>513</v>
      </c>
      <c r="B82" s="16" t="s">
        <v>423</v>
      </c>
      <c r="D82" s="14">
        <v>1</v>
      </c>
      <c r="E82" s="14">
        <v>0.98051040455107996</v>
      </c>
      <c r="F82" s="14">
        <v>0.92182432330106812</v>
      </c>
      <c r="G82" s="14">
        <v>1.0830204343016214E-14</v>
      </c>
      <c r="H82" s="14">
        <v>167.8062619847739</v>
      </c>
      <c r="I82" s="14">
        <v>0.11815861801950303</v>
      </c>
      <c r="J82" s="14">
        <v>0</v>
      </c>
      <c r="K82" s="14">
        <v>1.0848053959120794</v>
      </c>
      <c r="L82" s="14">
        <v>0.92182432330106823</v>
      </c>
      <c r="M82" s="14">
        <v>0.75635685726852642</v>
      </c>
      <c r="N82" s="14">
        <v>56.555570063438338</v>
      </c>
      <c r="O82" s="14">
        <v>22628.449138082313</v>
      </c>
      <c r="P82" s="8">
        <v>56.555570063438338</v>
      </c>
      <c r="Q82" s="54">
        <v>1.7581883694436801E-4</v>
      </c>
    </row>
    <row r="83" spans="1:17">
      <c r="A83" s="2" t="s">
        <v>514</v>
      </c>
      <c r="B83" s="16" t="s">
        <v>424</v>
      </c>
      <c r="D83" s="14">
        <v>1</v>
      </c>
      <c r="E83" s="14">
        <v>0.2283263222987322</v>
      </c>
      <c r="F83" s="14">
        <v>6.5428528699727718E-3</v>
      </c>
      <c r="G83" s="14">
        <v>6.136145093864876E-12</v>
      </c>
      <c r="H83" s="14">
        <v>629.89353998627098</v>
      </c>
      <c r="I83" s="14">
        <v>4.3230785724399468</v>
      </c>
      <c r="J83" s="14">
        <v>0</v>
      </c>
      <c r="K83" s="14">
        <v>152.83852776046933</v>
      </c>
      <c r="L83" s="14">
        <v>6.5428528699727718E-3</v>
      </c>
      <c r="M83" s="14">
        <v>5.3684107798126594E-3</v>
      </c>
      <c r="N83" s="14">
        <v>2251.6868576169491</v>
      </c>
      <c r="O83" s="14">
        <v>1157547.1797637213</v>
      </c>
      <c r="P83" s="8">
        <v>2251.6868576169491</v>
      </c>
      <c r="Q83" s="54">
        <v>1.5303583199385113E-4</v>
      </c>
    </row>
    <row r="84" spans="1:17">
      <c r="A84" s="2" t="s">
        <v>403</v>
      </c>
      <c r="B84" s="16" t="s">
        <v>404</v>
      </c>
      <c r="D84" s="14">
        <v>1</v>
      </c>
      <c r="E84" s="14">
        <v>0.55514611352298948</v>
      </c>
      <c r="F84" s="14">
        <v>0.49000164474921842</v>
      </c>
      <c r="G84" s="14">
        <v>8.5397670780573236E-46</v>
      </c>
      <c r="H84" s="14">
        <v>150.80562392904002</v>
      </c>
      <c r="I84" s="14">
        <v>323.05369188859584</v>
      </c>
      <c r="J84" s="14">
        <v>0</v>
      </c>
      <c r="K84" s="14">
        <v>2.0408094762861406</v>
      </c>
      <c r="L84" s="14">
        <v>0.49000164474921848</v>
      </c>
      <c r="M84" s="14">
        <v>0.40204634951673374</v>
      </c>
      <c r="N84" s="14">
        <v>589.47838641388023</v>
      </c>
      <c r="O84" s="14">
        <v>708912.60228519642</v>
      </c>
      <c r="P84" s="8">
        <v>589.47838641388023</v>
      </c>
      <c r="Q84" s="54">
        <v>0.38857486837203326</v>
      </c>
    </row>
    <row r="85" spans="1:17">
      <c r="A85" s="2" t="s">
        <v>405</v>
      </c>
      <c r="B85" s="16" t="s">
        <v>406</v>
      </c>
      <c r="D85" s="14">
        <v>1</v>
      </c>
      <c r="E85" s="14">
        <v>4.0122938453863666E-2</v>
      </c>
      <c r="F85" s="14">
        <v>1.5157655237588899E-2</v>
      </c>
      <c r="G85" s="14">
        <v>4.5972607676594854E-11</v>
      </c>
      <c r="H85" s="14">
        <v>67.447108533605373</v>
      </c>
      <c r="I85" s="14">
        <v>32.647410792865337</v>
      </c>
      <c r="J85" s="14">
        <v>0</v>
      </c>
      <c r="K85" s="14">
        <v>65.973264619460252</v>
      </c>
      <c r="L85" s="14">
        <v>1.5157655237588899E-2</v>
      </c>
      <c r="M85" s="14">
        <v>1.2436856122441692E-2</v>
      </c>
      <c r="N85" s="14">
        <v>2795.4504332192523</v>
      </c>
      <c r="O85" s="14">
        <v>891357.32513629086</v>
      </c>
      <c r="P85" s="8">
        <v>2795.4504332192523</v>
      </c>
      <c r="Q85" s="54">
        <v>3.1510024718770803E-3</v>
      </c>
    </row>
    <row r="86" spans="1:17">
      <c r="A86" s="2" t="s">
        <v>407</v>
      </c>
      <c r="B86" s="16" t="s">
        <v>408</v>
      </c>
      <c r="D86" s="14">
        <v>1</v>
      </c>
      <c r="E86" s="14">
        <v>6.3214663512392258E-2</v>
      </c>
      <c r="F86" s="14">
        <v>2.4837095662478246E-4</v>
      </c>
      <c r="G86" s="14">
        <v>1.9938353780528158E-7</v>
      </c>
      <c r="H86" s="14">
        <v>34.100504957939798</v>
      </c>
      <c r="I86" s="14">
        <v>1341.2754662184127</v>
      </c>
      <c r="J86" s="14">
        <v>0</v>
      </c>
      <c r="K86" s="14">
        <v>4026.2356500511219</v>
      </c>
      <c r="L86" s="14">
        <v>2.4837095662478246E-4</v>
      </c>
      <c r="M86" s="14">
        <v>2.0378836991063399E-4</v>
      </c>
      <c r="N86" s="14">
        <v>2676.60415329541</v>
      </c>
      <c r="O86" s="14">
        <v>1300267.5316293773</v>
      </c>
      <c r="P86" s="8">
        <v>2676.6041532954105</v>
      </c>
      <c r="Q86" s="54">
        <v>3.134137031050744E-2</v>
      </c>
    </row>
    <row r="87" spans="1:17">
      <c r="A87" s="2" t="s">
        <v>409</v>
      </c>
      <c r="B87" s="16" t="s">
        <v>410</v>
      </c>
      <c r="D87" s="14">
        <v>1</v>
      </c>
      <c r="E87" s="14">
        <v>5.6971309745719526E-2</v>
      </c>
      <c r="F87" s="14">
        <v>7.6485250722493748E-5</v>
      </c>
      <c r="G87" s="14">
        <v>2.1939472546097984E-8</v>
      </c>
      <c r="H87" s="14">
        <v>16.330432793005414</v>
      </c>
      <c r="I87" s="14">
        <v>1346.0303904767411</v>
      </c>
      <c r="J87" s="14">
        <v>0</v>
      </c>
      <c r="K87" s="14">
        <v>13074.416185523562</v>
      </c>
      <c r="L87" s="14">
        <v>7.6485250722493748E-5</v>
      </c>
      <c r="M87" s="14">
        <v>6.2756148217806118E-5</v>
      </c>
      <c r="N87" s="14">
        <v>2717.8061080060957</v>
      </c>
      <c r="O87" s="14">
        <v>1534717.9311299622</v>
      </c>
      <c r="P87" s="8">
        <v>2717.8061080060957</v>
      </c>
      <c r="Q87" s="54">
        <v>1.8760951703114627E-2</v>
      </c>
    </row>
    <row r="88" spans="1:17">
      <c r="A88" s="2" t="s">
        <v>301</v>
      </c>
      <c r="B88" s="16" t="s">
        <v>302</v>
      </c>
      <c r="D88" s="14">
        <v>1</v>
      </c>
      <c r="E88" s="14">
        <v>5.3433644696304607E-2</v>
      </c>
      <c r="F88" s="14">
        <v>1.9878038346632996E-5</v>
      </c>
      <c r="G88" s="14">
        <v>2.5090078017195955E-9</v>
      </c>
      <c r="H88" s="14">
        <v>7.012510492211951</v>
      </c>
      <c r="I88" s="14">
        <v>1340.6971767271737</v>
      </c>
      <c r="J88" s="14">
        <v>0</v>
      </c>
      <c r="K88" s="14">
        <v>50306.774871947207</v>
      </c>
      <c r="L88" s="14">
        <v>1.9878038346633E-5</v>
      </c>
      <c r="M88" s="14">
        <v>1.6309930463412376E-5</v>
      </c>
      <c r="N88" s="14">
        <v>2743.4144577196066</v>
      </c>
      <c r="O88" s="14">
        <v>1765606.6766991846</v>
      </c>
      <c r="P88" s="8">
        <v>2743.4144577196066</v>
      </c>
      <c r="Q88" s="54">
        <v>1.0383187457968897E-2</v>
      </c>
    </row>
    <row r="89" spans="1:17">
      <c r="A89" s="2" t="s">
        <v>303</v>
      </c>
      <c r="B89" s="16" t="s">
        <v>304</v>
      </c>
      <c r="D89" s="14">
        <v>1</v>
      </c>
      <c r="E89" s="14">
        <v>4.1491101357871256E-3</v>
      </c>
      <c r="F89" s="14">
        <v>9.8805179043383987E-5</v>
      </c>
      <c r="G89" s="14">
        <v>1.422833138769898E-16</v>
      </c>
      <c r="H89" s="14">
        <v>3.1970415286825458</v>
      </c>
      <c r="I89" s="14">
        <v>76.986746934291403</v>
      </c>
      <c r="J89" s="14">
        <v>0</v>
      </c>
      <c r="K89" s="14">
        <v>10120.926956277401</v>
      </c>
      <c r="L89" s="14">
        <v>9.8805179043384001E-5</v>
      </c>
      <c r="M89" s="14">
        <v>8.1069649405096571E-5</v>
      </c>
      <c r="N89" s="14">
        <v>2904.6604075875257</v>
      </c>
      <c r="O89" s="14">
        <v>1874406.4076203061</v>
      </c>
      <c r="P89" s="8">
        <v>2904.6604075875257</v>
      </c>
      <c r="Q89" s="54">
        <v>8.3294431607018734E-4</v>
      </c>
    </row>
    <row r="90" spans="1:17">
      <c r="A90" s="2" t="s">
        <v>425</v>
      </c>
      <c r="B90" s="16" t="s">
        <v>426</v>
      </c>
      <c r="D90" s="14">
        <v>1</v>
      </c>
      <c r="E90" s="14">
        <v>0.98878283289228142</v>
      </c>
      <c r="F90" s="14">
        <v>0.98904452561254463</v>
      </c>
      <c r="G90" s="14">
        <v>1.8015747941825E-15</v>
      </c>
      <c r="H90" s="14">
        <v>0.26358205733661672</v>
      </c>
      <c r="I90" s="14">
        <v>0.81941280390268678</v>
      </c>
      <c r="J90" s="14">
        <v>0</v>
      </c>
      <c r="K90" s="14">
        <v>1.0110768262739944</v>
      </c>
      <c r="L90" s="14">
        <v>0.98904452561254463</v>
      </c>
      <c r="M90" s="14">
        <v>0.81151103326509288</v>
      </c>
      <c r="N90" s="14">
        <v>1.4373330145628811</v>
      </c>
      <c r="O90" s="14">
        <v>398.51495161770436</v>
      </c>
      <c r="P90" s="8">
        <v>1.4373330145628811</v>
      </c>
      <c r="Q90" s="54">
        <v>1.7159425591363214E-2</v>
      </c>
    </row>
    <row r="91" spans="1:17">
      <c r="A91" s="2" t="s">
        <v>427</v>
      </c>
      <c r="B91" s="16" t="s">
        <v>428</v>
      </c>
      <c r="D91" s="14">
        <v>1</v>
      </c>
      <c r="E91" s="14">
        <v>0.86381953842775905</v>
      </c>
      <c r="F91" s="14">
        <v>0.85577020114450331</v>
      </c>
      <c r="G91" s="14">
        <v>1.0895461928190037E-6</v>
      </c>
      <c r="H91" s="14">
        <v>18.59589818944875</v>
      </c>
      <c r="I91" s="14">
        <v>48.425524197219772</v>
      </c>
      <c r="J91" s="14">
        <v>0</v>
      </c>
      <c r="K91" s="14">
        <v>1.1685380008121389</v>
      </c>
      <c r="L91" s="14">
        <v>0.85577020114450342</v>
      </c>
      <c r="M91" s="14">
        <v>0.70215945003906499</v>
      </c>
      <c r="N91" s="14">
        <v>86.247005944102597</v>
      </c>
      <c r="O91" s="14">
        <v>14247.142911906307</v>
      </c>
      <c r="P91" s="8">
        <v>86.247005944102597</v>
      </c>
      <c r="Q91" s="54">
        <v>0.17048035088303631</v>
      </c>
    </row>
    <row r="92" spans="1:17">
      <c r="A92" s="2" t="s">
        <v>429</v>
      </c>
      <c r="B92" s="16" t="s">
        <v>430</v>
      </c>
      <c r="D92" s="14">
        <v>1</v>
      </c>
      <c r="E92" s="14">
        <v>0.38976599056986622</v>
      </c>
      <c r="F92" s="14">
        <v>0.26743046998491959</v>
      </c>
      <c r="G92" s="14">
        <v>1.1788522459592909E-5</v>
      </c>
      <c r="H92" s="14">
        <v>287.3630255572541</v>
      </c>
      <c r="I92" s="14">
        <v>561.42023071845404</v>
      </c>
      <c r="J92" s="14">
        <v>0</v>
      </c>
      <c r="K92" s="14">
        <v>3.7392896929672599</v>
      </c>
      <c r="L92" s="14">
        <v>0.26743046998491959</v>
      </c>
      <c r="M92" s="14">
        <v>0.21942670062262654</v>
      </c>
      <c r="N92" s="14">
        <v>1036.2726568575474</v>
      </c>
      <c r="O92" s="14">
        <v>186777.78367200436</v>
      </c>
      <c r="P92" s="8">
        <v>1036.2726568575476</v>
      </c>
      <c r="Q92" s="54">
        <v>0.40690034523964164</v>
      </c>
    </row>
    <row r="93" spans="1:17">
      <c r="A93" s="2" t="s">
        <v>431</v>
      </c>
      <c r="B93" s="16" t="s">
        <v>432</v>
      </c>
      <c r="D93" s="14">
        <v>1</v>
      </c>
      <c r="E93" s="14">
        <v>0.99972750659326104</v>
      </c>
      <c r="F93" s="14">
        <v>0.9996805612074956</v>
      </c>
      <c r="G93" s="14">
        <v>1.3397200806820088E-19</v>
      </c>
      <c r="H93" s="14">
        <v>1.2400844089442069</v>
      </c>
      <c r="I93" s="14">
        <v>9.1988764133805641E-3</v>
      </c>
      <c r="J93" s="14">
        <v>0</v>
      </c>
      <c r="K93" s="14">
        <v>1.0003195408662529</v>
      </c>
      <c r="L93" s="14">
        <v>0.9996805612074956</v>
      </c>
      <c r="M93" s="14">
        <v>0.82023790047075018</v>
      </c>
      <c r="N93" s="14">
        <v>0.60678730533901248</v>
      </c>
      <c r="O93" s="14">
        <v>235.97351517328858</v>
      </c>
      <c r="P93" s="8">
        <v>0.60678730533901248</v>
      </c>
      <c r="Q93" s="54">
        <v>1.0330819750787348E-4</v>
      </c>
    </row>
    <row r="94" spans="1:17">
      <c r="A94" s="2" t="s">
        <v>433</v>
      </c>
      <c r="B94" s="16" t="s">
        <v>434</v>
      </c>
      <c r="D94" s="14">
        <v>1</v>
      </c>
      <c r="E94" s="14">
        <v>0.99994161024987238</v>
      </c>
      <c r="F94" s="14">
        <v>1.0003298849667541</v>
      </c>
      <c r="G94" s="14">
        <v>2.8207313882014391E-20</v>
      </c>
      <c r="H94" s="14">
        <v>4.8076544347940061E-3</v>
      </c>
      <c r="I94" s="14">
        <v>6.2114143490800549E-5</v>
      </c>
      <c r="J94" s="14">
        <v>0</v>
      </c>
      <c r="K94" s="14">
        <v>0.99967022382144954</v>
      </c>
      <c r="L94" s="14">
        <v>1.0003298849667541</v>
      </c>
      <c r="M94" s="14">
        <v>0.82077067061522169</v>
      </c>
      <c r="N94" s="14">
        <v>0.16564914187913576</v>
      </c>
      <c r="O94" s="14">
        <v>29.690952190416297</v>
      </c>
      <c r="P94" s="8">
        <v>0.16564914187913579</v>
      </c>
      <c r="Q94" s="54">
        <v>2.6036973495332451E-6</v>
      </c>
    </row>
    <row r="95" spans="1:17">
      <c r="A95" s="2" t="s">
        <v>435</v>
      </c>
      <c r="B95" s="16" t="s">
        <v>436</v>
      </c>
      <c r="D95" s="14">
        <v>1</v>
      </c>
      <c r="E95" s="14">
        <v>0.97258969974136267</v>
      </c>
      <c r="F95" s="14">
        <v>0.97244840643075225</v>
      </c>
      <c r="G95" s="14">
        <v>1.5650443705915388E-10</v>
      </c>
      <c r="H95" s="14">
        <v>1.0981694533603925</v>
      </c>
      <c r="I95" s="14">
        <v>3.526648865867025</v>
      </c>
      <c r="J95" s="14">
        <v>0</v>
      </c>
      <c r="K95" s="14">
        <v>1.0283321905687235</v>
      </c>
      <c r="L95" s="14">
        <v>0.97244840643075237</v>
      </c>
      <c r="M95" s="14">
        <v>0.79789391747643235</v>
      </c>
      <c r="N95" s="14">
        <v>6.2736540168309807</v>
      </c>
      <c r="O95" s="14">
        <v>1637.9883272544005</v>
      </c>
      <c r="P95" s="8">
        <v>6.2736540168309807</v>
      </c>
      <c r="Q95" s="54">
        <v>4.0416827509694719E-2</v>
      </c>
    </row>
    <row r="96" spans="1:17">
      <c r="A96" s="2" t="s">
        <v>437</v>
      </c>
      <c r="B96" s="166" t="s">
        <v>438</v>
      </c>
      <c r="D96" s="14">
        <v>1</v>
      </c>
      <c r="E96" s="14">
        <v>6.6886059807366907E-2</v>
      </c>
      <c r="F96" s="14">
        <v>3.8412221891052749E-4</v>
      </c>
      <c r="G96" s="14">
        <v>3.9620314321231917E-10</v>
      </c>
      <c r="H96" s="14">
        <v>44.739325154211826</v>
      </c>
      <c r="I96" s="14">
        <v>1335.8158729580084</v>
      </c>
      <c r="J96" s="14">
        <v>0</v>
      </c>
      <c r="K96" s="14">
        <v>2603.3380803543864</v>
      </c>
      <c r="L96" s="14">
        <v>3.8412221891052749E-4</v>
      </c>
      <c r="M96" s="14">
        <v>3.1517228061608783E-4</v>
      </c>
      <c r="N96" s="14">
        <v>2654.0782851242029</v>
      </c>
      <c r="O96" s="14">
        <v>1104892.7900972059</v>
      </c>
      <c r="P96" s="8">
        <v>2654.0782851242034</v>
      </c>
      <c r="Q96" s="54">
        <v>3.7839605476030706E-2</v>
      </c>
    </row>
    <row r="97" spans="1:17">
      <c r="A97" s="2" t="s">
        <v>439</v>
      </c>
      <c r="B97" s="16" t="s">
        <v>440</v>
      </c>
      <c r="D97" s="14">
        <v>1</v>
      </c>
      <c r="E97" s="14">
        <v>0.79581928515959643</v>
      </c>
      <c r="F97" s="14">
        <v>0.77934292285152795</v>
      </c>
      <c r="G97" s="14">
        <v>5.735048350402822E-7</v>
      </c>
      <c r="H97" s="14">
        <v>37.697156795046197</v>
      </c>
      <c r="I97" s="14">
        <v>92.54772911430932</v>
      </c>
      <c r="J97" s="14">
        <v>0</v>
      </c>
      <c r="K97" s="14">
        <v>1.2831322010869266</v>
      </c>
      <c r="L97" s="14">
        <v>0.77934292285152806</v>
      </c>
      <c r="M97" s="14">
        <v>0.63945086819967878</v>
      </c>
      <c r="N97" s="14">
        <v>166.03248170721642</v>
      </c>
      <c r="O97" s="14">
        <v>31757.032776139287</v>
      </c>
      <c r="P97" s="8">
        <v>166.03248170721642</v>
      </c>
      <c r="Q97" s="54">
        <v>0.23559483589911132</v>
      </c>
    </row>
    <row r="98" spans="1:17">
      <c r="A98" s="2" t="s">
        <v>441</v>
      </c>
      <c r="B98" s="16" t="s">
        <v>442</v>
      </c>
      <c r="D98" s="14">
        <v>1</v>
      </c>
      <c r="E98" s="14">
        <v>0.85289167483326911</v>
      </c>
      <c r="F98" s="14">
        <v>0.84364181274170869</v>
      </c>
      <c r="G98" s="14">
        <v>3.6425589071849114E-19</v>
      </c>
      <c r="H98" s="14">
        <v>21.299926076996787</v>
      </c>
      <c r="I98" s="14">
        <v>54.857405918662188</v>
      </c>
      <c r="J98" s="14">
        <v>0</v>
      </c>
      <c r="K98" s="14">
        <v>1.1853371714118233</v>
      </c>
      <c r="L98" s="14">
        <v>0.84364181274170869</v>
      </c>
      <c r="M98" s="14">
        <v>0.69220810735457194</v>
      </c>
      <c r="N98" s="14">
        <v>97.835064464225454</v>
      </c>
      <c r="O98" s="14">
        <v>38396.349399629915</v>
      </c>
      <c r="P98" s="8">
        <v>97.835064464225454</v>
      </c>
      <c r="Q98" s="54">
        <v>0.18173361558984977</v>
      </c>
    </row>
    <row r="99" spans="1:17">
      <c r="A99" s="2" t="s">
        <v>443</v>
      </c>
      <c r="B99" s="16" t="s">
        <v>444</v>
      </c>
      <c r="D99" s="14">
        <v>1</v>
      </c>
      <c r="E99" s="14">
        <v>0.93867411963645553</v>
      </c>
      <c r="F99" s="14">
        <v>0.93693970220574885</v>
      </c>
      <c r="G99" s="14">
        <v>5.0466144859238815E-31</v>
      </c>
      <c r="H99" s="14">
        <v>4.5412105935094385</v>
      </c>
      <c r="I99" s="14">
        <v>13.207749184055487</v>
      </c>
      <c r="J99" s="14">
        <v>0</v>
      </c>
      <c r="K99" s="14">
        <v>1.0673045422728851</v>
      </c>
      <c r="L99" s="14">
        <v>0.93693970220574885</v>
      </c>
      <c r="M99" s="14">
        <v>0.76875902565981702</v>
      </c>
      <c r="N99" s="14">
        <v>23.213379692310966</v>
      </c>
      <c r="O99" s="14">
        <v>18128.256736913325</v>
      </c>
      <c r="P99" s="8">
        <v>23.213379692310966</v>
      </c>
      <c r="Q99" s="54">
        <v>8.5394286275699838E-2</v>
      </c>
    </row>
    <row r="100" spans="1:17">
      <c r="A100" s="2" t="s">
        <v>445</v>
      </c>
      <c r="B100" s="16" t="s">
        <v>446</v>
      </c>
      <c r="D100" s="14">
        <v>1</v>
      </c>
      <c r="E100" s="14">
        <v>0.12300058054028597</v>
      </c>
      <c r="F100" s="14">
        <v>4.593623771721185E-3</v>
      </c>
      <c r="G100" s="14">
        <v>7.5673515536127117E-10</v>
      </c>
      <c r="H100" s="14">
        <v>204.65173110738237</v>
      </c>
      <c r="I100" s="14">
        <v>1221.1600651061722</v>
      </c>
      <c r="J100" s="14">
        <v>0</v>
      </c>
      <c r="K100" s="14">
        <v>217.6930566573827</v>
      </c>
      <c r="L100" s="14">
        <v>4.593623771721185E-3</v>
      </c>
      <c r="M100" s="14">
        <v>3.7690683046972327E-3</v>
      </c>
      <c r="N100" s="14">
        <v>2365.077850645589</v>
      </c>
      <c r="O100" s="14">
        <v>724659.85343780834</v>
      </c>
      <c r="P100" s="8">
        <v>2365.077850645589</v>
      </c>
      <c r="Q100" s="54">
        <v>0.10650563680058342</v>
      </c>
    </row>
    <row r="101" spans="1:17">
      <c r="A101" s="2" t="s">
        <v>447</v>
      </c>
      <c r="B101" s="16" t="s">
        <v>448</v>
      </c>
      <c r="D101" s="14">
        <v>1</v>
      </c>
      <c r="E101" s="14">
        <v>0.44658818777347931</v>
      </c>
      <c r="F101" s="14">
        <v>0.34725120196140119</v>
      </c>
      <c r="G101" s="14">
        <v>9.6327933894217754E-11</v>
      </c>
      <c r="H101" s="14">
        <v>232.01911059201657</v>
      </c>
      <c r="I101" s="14">
        <v>469.44090394620082</v>
      </c>
      <c r="J101" s="14">
        <v>0</v>
      </c>
      <c r="K101" s="14">
        <v>2.8797596505113185</v>
      </c>
      <c r="L101" s="14">
        <v>0.34725120196140119</v>
      </c>
      <c r="M101" s="14">
        <v>0.28491961120932968</v>
      </c>
      <c r="N101" s="14">
        <v>862.71841940390561</v>
      </c>
      <c r="O101" s="14">
        <v>290580.81802362349</v>
      </c>
      <c r="P101" s="8">
        <v>862.71841940390573</v>
      </c>
      <c r="Q101" s="54">
        <v>0.41245913669518969</v>
      </c>
    </row>
    <row r="102" spans="1:17">
      <c r="A102" s="2" t="s">
        <v>449</v>
      </c>
      <c r="B102" s="16" t="s">
        <v>450</v>
      </c>
      <c r="D102" s="14">
        <v>1</v>
      </c>
      <c r="E102" s="14">
        <v>0.28791421107724091</v>
      </c>
      <c r="F102" s="14">
        <v>9.7083663026260009E-2</v>
      </c>
      <c r="G102" s="14">
        <v>5.4316858243775389E-6</v>
      </c>
      <c r="H102" s="14">
        <v>456.14839822363689</v>
      </c>
      <c r="I102" s="14">
        <v>799.39849250449197</v>
      </c>
      <c r="J102" s="14">
        <v>0</v>
      </c>
      <c r="K102" s="14">
        <v>10.300394204630612</v>
      </c>
      <c r="L102" s="14">
        <v>9.7083663026260023E-2</v>
      </c>
      <c r="M102" s="14">
        <v>7.965714551304634E-2</v>
      </c>
      <c r="N102" s="14">
        <v>1495.7003844960852</v>
      </c>
      <c r="O102" s="14">
        <v>695635.29182528425</v>
      </c>
      <c r="P102" s="8">
        <v>1495.7003844960855</v>
      </c>
      <c r="Q102" s="54">
        <v>0.31868624932436368</v>
      </c>
    </row>
    <row r="103" spans="1:17">
      <c r="A103" s="2" t="s">
        <v>451</v>
      </c>
      <c r="B103" s="16" t="s">
        <v>452</v>
      </c>
      <c r="D103" s="14">
        <v>1</v>
      </c>
      <c r="E103" s="14">
        <v>0.99572119941308235</v>
      </c>
      <c r="F103" s="14">
        <v>0.98458848900360918</v>
      </c>
      <c r="G103" s="14">
        <v>5.3597675192371858E-21</v>
      </c>
      <c r="H103" s="14">
        <v>32.729152075833611</v>
      </c>
      <c r="I103" s="14">
        <v>2.9408412242427334E-2</v>
      </c>
      <c r="J103" s="14">
        <v>0</v>
      </c>
      <c r="K103" s="14">
        <v>1.0156527434237903</v>
      </c>
      <c r="L103" s="14">
        <v>0.98458848900360918</v>
      </c>
      <c r="M103" s="14">
        <v>0.80785485522746137</v>
      </c>
      <c r="N103" s="14">
        <v>12.327815112517964</v>
      </c>
      <c r="O103" s="14">
        <v>4077.3015703141918</v>
      </c>
      <c r="P103" s="8">
        <v>12.327815112517966</v>
      </c>
      <c r="Q103" s="54">
        <v>8.7150840044678517E-5</v>
      </c>
    </row>
    <row r="104" spans="1:17">
      <c r="A104" s="2" t="s">
        <v>453</v>
      </c>
      <c r="B104" s="16" t="s">
        <v>454</v>
      </c>
      <c r="D104" s="14">
        <v>1</v>
      </c>
      <c r="E104" s="14">
        <v>0.74912774221136746</v>
      </c>
      <c r="F104" s="14">
        <v>7.5968266316621944E-2</v>
      </c>
      <c r="G104" s="14">
        <v>8.5454547350018474E-22</v>
      </c>
      <c r="H104" s="14">
        <v>1911.3147678873793</v>
      </c>
      <c r="I104" s="14">
        <v>18.739563952391833</v>
      </c>
      <c r="J104" s="14">
        <v>0</v>
      </c>
      <c r="K104" s="14">
        <v>13.163391090592768</v>
      </c>
      <c r="L104" s="14">
        <v>7.5968266316621944E-2</v>
      </c>
      <c r="M104" s="14">
        <v>6.233196251278831E-2</v>
      </c>
      <c r="N104" s="14">
        <v>726.29956524676766</v>
      </c>
      <c r="O104" s="14">
        <v>358791.98523190327</v>
      </c>
      <c r="P104" s="8">
        <v>726.29956524676777</v>
      </c>
      <c r="Q104" s="54">
        <v>3.1897708225175122E-3</v>
      </c>
    </row>
    <row r="105" spans="1:17">
      <c r="A105" s="2" t="s">
        <v>455</v>
      </c>
      <c r="B105" s="166">
        <v>354656</v>
      </c>
      <c r="D105" s="14">
        <v>1</v>
      </c>
      <c r="E105" s="14">
        <v>0.9865094473801036</v>
      </c>
      <c r="F105" s="14">
        <v>0.98675581500159892</v>
      </c>
      <c r="G105" s="14">
        <v>4.1564080959574716E-12</v>
      </c>
      <c r="H105" s="14">
        <v>0.28345863692777884</v>
      </c>
      <c r="I105" s="14">
        <v>1.0151889107444478</v>
      </c>
      <c r="J105" s="14">
        <v>0</v>
      </c>
      <c r="K105" s="14">
        <v>1.0134219477575408</v>
      </c>
      <c r="L105" s="14">
        <v>0.98675581500159892</v>
      </c>
      <c r="M105" s="14">
        <v>0.80963314620881199</v>
      </c>
      <c r="N105" s="14">
        <v>1.7548395768446776</v>
      </c>
      <c r="O105" s="14">
        <v>346.03681615800201</v>
      </c>
      <c r="P105" s="8">
        <v>1.7548395768446778</v>
      </c>
      <c r="Q105" s="54">
        <v>2.0622763680984646E-2</v>
      </c>
    </row>
    <row r="106" spans="1:17">
      <c r="A106" s="2" t="s">
        <v>457</v>
      </c>
      <c r="B106" s="16" t="s">
        <v>458</v>
      </c>
      <c r="D106" s="14">
        <v>1</v>
      </c>
      <c r="E106" s="14">
        <v>0.97119704140941854</v>
      </c>
      <c r="F106" s="14">
        <v>0.97101115779311276</v>
      </c>
      <c r="G106" s="14">
        <v>6.2856242952453368E-12</v>
      </c>
      <c r="H106" s="14">
        <v>1.1924644925420678</v>
      </c>
      <c r="I106" s="14">
        <v>3.8122605001007139</v>
      </c>
      <c r="J106" s="14">
        <v>0</v>
      </c>
      <c r="K106" s="14">
        <v>1.0298542833151085</v>
      </c>
      <c r="L106" s="14">
        <v>0.97101115779311276</v>
      </c>
      <c r="M106" s="14">
        <v>0.79671465496924909</v>
      </c>
      <c r="N106" s="14">
        <v>6.7533259995686734</v>
      </c>
      <c r="O106" s="14">
        <v>1081.7477586109101</v>
      </c>
      <c r="P106" s="8">
        <v>6.7533259995686734</v>
      </c>
      <c r="Q106" s="54">
        <v>4.2382109506243465E-2</v>
      </c>
    </row>
    <row r="107" spans="1:17">
      <c r="A107" s="2" t="s">
        <v>459</v>
      </c>
      <c r="B107" s="16" t="s">
        <v>460</v>
      </c>
      <c r="D107" s="14">
        <v>1</v>
      </c>
      <c r="E107" s="14">
        <v>0.2683141184927304</v>
      </c>
      <c r="F107" s="14">
        <v>5.3818665705210919E-2</v>
      </c>
      <c r="G107" s="14">
        <v>1.3087882275361518E-21</v>
      </c>
      <c r="H107" s="14">
        <v>518.88369087221258</v>
      </c>
      <c r="I107" s="14">
        <v>840.85251735996667</v>
      </c>
      <c r="J107" s="14">
        <v>0</v>
      </c>
      <c r="K107" s="14">
        <v>18.580914017405235</v>
      </c>
      <c r="L107" s="14">
        <v>5.3818665705210926E-2</v>
      </c>
      <c r="M107" s="14">
        <v>4.4158215211125562E-2</v>
      </c>
      <c r="N107" s="14">
        <v>1702.0306418960372</v>
      </c>
      <c r="O107" s="14">
        <v>904510.14402281097</v>
      </c>
      <c r="P107" s="8">
        <v>1702.0306418960372</v>
      </c>
      <c r="Q107" s="54">
        <v>0.23753074381476369</v>
      </c>
    </row>
    <row r="108" spans="1:17">
      <c r="A108" s="2" t="s">
        <v>461</v>
      </c>
      <c r="B108" s="16" t="s">
        <v>462</v>
      </c>
      <c r="D108" s="14">
        <v>1</v>
      </c>
      <c r="E108" s="14">
        <v>0.99994429699925569</v>
      </c>
      <c r="F108" s="14">
        <v>1.0003333653468838</v>
      </c>
      <c r="G108" s="14">
        <v>1.2187696700426813E-11</v>
      </c>
      <c r="H108" s="14">
        <v>2.4903794607074431E-3</v>
      </c>
      <c r="I108" s="14">
        <v>6.6832656333700813E-4</v>
      </c>
      <c r="J108" s="14">
        <v>0</v>
      </c>
      <c r="K108" s="14">
        <v>0.99966674574853531</v>
      </c>
      <c r="L108" s="14">
        <v>1.0003333653468838</v>
      </c>
      <c r="M108" s="14">
        <v>0.82077352626711808</v>
      </c>
      <c r="N108" s="14">
        <v>9.4352941585694253E-2</v>
      </c>
      <c r="O108" s="14">
        <v>12.186625935208269</v>
      </c>
      <c r="P108" s="8">
        <v>9.4352941585694253E-2</v>
      </c>
      <c r="Q108" s="54">
        <v>3.7392863395259954E-5</v>
      </c>
    </row>
    <row r="109" spans="1:17">
      <c r="A109" s="2" t="s">
        <v>463</v>
      </c>
      <c r="B109" s="16" t="s">
        <v>464</v>
      </c>
      <c r="D109" s="14">
        <v>1</v>
      </c>
      <c r="E109" s="14">
        <v>0.90753753337096565</v>
      </c>
      <c r="F109" s="14">
        <v>0.90197929140018984</v>
      </c>
      <c r="G109" s="14">
        <v>3.0469885963489981E-14</v>
      </c>
      <c r="H109" s="14">
        <v>16.001663555095057</v>
      </c>
      <c r="I109" s="14">
        <v>7.3643229608055458</v>
      </c>
      <c r="J109" s="14">
        <v>0</v>
      </c>
      <c r="K109" s="14">
        <v>1.1086729036180503</v>
      </c>
      <c r="L109" s="14">
        <v>0.90197929140018995</v>
      </c>
      <c r="M109" s="14">
        <v>0.74007400859385586</v>
      </c>
      <c r="N109" s="14">
        <v>247.93730099576683</v>
      </c>
      <c r="O109" s="14">
        <v>74331.602838530904</v>
      </c>
      <c r="P109" s="8">
        <v>247.93730099576683</v>
      </c>
      <c r="Q109" s="54">
        <v>1.2004189043762855E-2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0.99728119756005817</v>
      </c>
      <c r="F110" s="14">
        <v>0.9976433253040301</v>
      </c>
      <c r="G110" s="14">
        <v>2.3226399829878942E-13</v>
      </c>
      <c r="H110" s="14">
        <v>6.3922728056941838E-2</v>
      </c>
      <c r="I110" s="14">
        <v>0.11323571908089203</v>
      </c>
      <c r="J110" s="14">
        <v>0</v>
      </c>
      <c r="K110" s="14">
        <v>1.0023622417312839</v>
      </c>
      <c r="L110" s="14">
        <v>0.9976433253040301</v>
      </c>
      <c r="M110" s="14">
        <v>0.81856634841195675</v>
      </c>
      <c r="N110" s="14">
        <v>0.2289119922979195</v>
      </c>
      <c r="O110" s="14">
        <v>54.517680085672502</v>
      </c>
      <c r="P110" s="8">
        <v>0.2289119922979195</v>
      </c>
      <c r="Q110" s="54">
        <v>4.2245790629160621E-3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0.99999045976653611</v>
      </c>
      <c r="F111" s="14">
        <v>1.000378853825707</v>
      </c>
      <c r="G111" s="14">
        <v>4.1130746346397522E-32</v>
      </c>
      <c r="H111" s="14">
        <v>4.5256868796431588E-3</v>
      </c>
      <c r="I111" s="14">
        <v>3.4619282840133335E-5</v>
      </c>
      <c r="J111" s="14">
        <v>0</v>
      </c>
      <c r="K111" s="14">
        <v>0.99962128965015784</v>
      </c>
      <c r="L111" s="14">
        <v>1.000378853825707</v>
      </c>
      <c r="M111" s="14">
        <v>0.82081084956399264</v>
      </c>
      <c r="N111" s="14">
        <v>2.0946275982815243E-2</v>
      </c>
      <c r="O111" s="14">
        <v>9.6442938507676228</v>
      </c>
      <c r="P111" s="8">
        <v>2.0946275982815243E-2</v>
      </c>
      <c r="Q111" s="54">
        <v>3.7802286298970301E-6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0.99651536427840004</v>
      </c>
      <c r="F112" s="14">
        <v>0.99689260061153961</v>
      </c>
      <c r="G112" s="14">
        <v>2.6122026167317753E-15</v>
      </c>
      <c r="H112" s="14">
        <v>2.2068782398396544E-2</v>
      </c>
      <c r="I112" s="14">
        <v>9.5463102203719896E-2</v>
      </c>
      <c r="J112" s="14">
        <v>0</v>
      </c>
      <c r="K112" s="14">
        <v>1.0031170854177813</v>
      </c>
      <c r="L112" s="14">
        <v>0.99689260061153961</v>
      </c>
      <c r="M112" s="14">
        <v>0.81795037880176824</v>
      </c>
      <c r="N112" s="14">
        <v>0.17737112439164793</v>
      </c>
      <c r="O112" s="14">
        <v>36.405423281385737</v>
      </c>
      <c r="P112" s="8">
        <v>0.17737112439164793</v>
      </c>
      <c r="Q112" s="54">
        <v>5.4781704791339782E-3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0.97905332647133769</v>
      </c>
      <c r="F113" s="14">
        <v>0.97912695391441196</v>
      </c>
      <c r="G113" s="14">
        <v>3.2909970568404177E-11</v>
      </c>
      <c r="H113" s="14">
        <v>0.64194675255698341</v>
      </c>
      <c r="I113" s="14">
        <v>2.1634964005274551</v>
      </c>
      <c r="J113" s="14">
        <v>0</v>
      </c>
      <c r="K113" s="14">
        <v>1.0213180180589865</v>
      </c>
      <c r="L113" s="14">
        <v>0.97912695391441207</v>
      </c>
      <c r="M113" s="14">
        <v>0.80337366568677504</v>
      </c>
      <c r="N113" s="14">
        <v>3.7479171622620968</v>
      </c>
      <c r="O113" s="14">
        <v>566.53515824753856</v>
      </c>
      <c r="P113" s="8">
        <v>3.7479171622620973</v>
      </c>
      <c r="Q113" s="54">
        <v>3.145981591044663E-2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0.99820576466782263</v>
      </c>
      <c r="F114" s="14">
        <v>0.99859166340066818</v>
      </c>
      <c r="G114" s="14">
        <v>2.5582754042542626E-18</v>
      </c>
      <c r="H114" s="14">
        <v>6.4113271197200825E-3</v>
      </c>
      <c r="I114" s="14">
        <v>2.9907365284945826E-2</v>
      </c>
      <c r="J114" s="14">
        <v>0</v>
      </c>
      <c r="K114" s="14">
        <v>1.00141032280856</v>
      </c>
      <c r="L114" s="14">
        <v>0.99859166340066818</v>
      </c>
      <c r="M114" s="14">
        <v>0.81934445982024828</v>
      </c>
      <c r="N114" s="14">
        <v>6.7335976612411766E-2</v>
      </c>
      <c r="O114" s="14">
        <v>22.851137023188056</v>
      </c>
      <c r="P114" s="8">
        <v>6.7335976612411766E-2</v>
      </c>
      <c r="Q114" s="54">
        <v>2.8338584600389781E-3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0.99883912065065772</v>
      </c>
      <c r="F115" s="14">
        <v>0.9964253486086867</v>
      </c>
      <c r="G115" s="14">
        <v>1.3517574104046342E-14</v>
      </c>
      <c r="H115" s="14">
        <v>7.9635143550816014</v>
      </c>
      <c r="I115" s="14">
        <v>8.8318205427264738E-3</v>
      </c>
      <c r="J115" s="14">
        <v>0</v>
      </c>
      <c r="K115" s="14">
        <v>1.0035874753651184</v>
      </c>
      <c r="L115" s="14">
        <v>0.99642534860868681</v>
      </c>
      <c r="M115" s="14">
        <v>0.81756699853342751</v>
      </c>
      <c r="N115" s="14">
        <v>3.3027333181475416</v>
      </c>
      <c r="O115" s="14">
        <v>634.5541524156871</v>
      </c>
      <c r="P115" s="8">
        <v>3.3027333181475416</v>
      </c>
      <c r="Q115" s="54">
        <v>4.6628370203703658E-5</v>
      </c>
    </row>
    <row r="116" spans="1:17">
      <c r="A116" s="2" t="s">
        <v>477</v>
      </c>
      <c r="B116" s="16" t="s">
        <v>478</v>
      </c>
      <c r="D116" s="14">
        <v>1</v>
      </c>
      <c r="E116" s="14">
        <v>0.18234761572648478</v>
      </c>
      <c r="F116" s="14">
        <v>0.11221085755536675</v>
      </c>
      <c r="G116" s="14">
        <v>3.1175558379660488E-19</v>
      </c>
      <c r="H116" s="14">
        <v>194.75014390102351</v>
      </c>
      <c r="I116" s="14">
        <v>43.673995307665976</v>
      </c>
      <c r="J116" s="14">
        <v>0</v>
      </c>
      <c r="K116" s="14">
        <v>8.9117935802832875</v>
      </c>
      <c r="L116" s="14">
        <v>0.11221085755536676</v>
      </c>
      <c r="M116" s="14">
        <v>9.2069008624178425E-2</v>
      </c>
      <c r="N116" s="14">
        <v>2366.419451306243</v>
      </c>
      <c r="O116" s="14">
        <v>1075774.2825638182</v>
      </c>
      <c r="P116" s="8">
        <v>2366.419451306243</v>
      </c>
      <c r="Q116" s="54">
        <v>1.0814910334787544E-2</v>
      </c>
    </row>
    <row r="117" spans="1:17">
      <c r="A117" s="2" t="s">
        <v>291</v>
      </c>
      <c r="B117" s="16" t="s">
        <v>479</v>
      </c>
      <c r="D117" s="14">
        <v>1</v>
      </c>
      <c r="E117" s="14">
        <v>0.71004943442610147</v>
      </c>
      <c r="F117" s="14">
        <v>0.67967717208413447</v>
      </c>
      <c r="G117" s="14">
        <v>4.6871750307979421E-12</v>
      </c>
      <c r="H117" s="14">
        <v>69.611771151368586</v>
      </c>
      <c r="I117" s="14">
        <v>161.71110865354737</v>
      </c>
      <c r="J117" s="14">
        <v>0</v>
      </c>
      <c r="K117" s="14">
        <v>1.4712867241570591</v>
      </c>
      <c r="L117" s="14">
        <v>0.67967717208413447</v>
      </c>
      <c r="M117" s="14">
        <v>0.55767511969503236</v>
      </c>
      <c r="N117" s="14">
        <v>292.11044556437696</v>
      </c>
      <c r="O117" s="14">
        <v>90066.413680864338</v>
      </c>
      <c r="P117" s="8">
        <v>292.11044556437696</v>
      </c>
      <c r="Q117" s="54">
        <v>0.30376648410517809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2.0607378868606915E-8</v>
      </c>
      <c r="E2" s="20">
        <v>0.98965587230229091</v>
      </c>
      <c r="F2" s="20">
        <v>6.0679422664373444E-5</v>
      </c>
      <c r="G2" s="20">
        <v>2.4352132349035814E-5</v>
      </c>
      <c r="H2" s="20">
        <v>0</v>
      </c>
      <c r="I2" s="20">
        <v>0.98957084074727752</v>
      </c>
      <c r="J2" s="20">
        <v>3.8011403597492885E-4</v>
      </c>
      <c r="K2" s="20">
        <v>9.9639930543553405E-3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2.2265992564248672E-8</v>
      </c>
      <c r="E3" s="20">
        <v>0.70465910789841602</v>
      </c>
      <c r="F3" s="20">
        <v>2.6588257266256497E-2</v>
      </c>
      <c r="G3" s="20">
        <v>6.4591900807017969E-3</v>
      </c>
      <c r="H3" s="20">
        <v>0</v>
      </c>
      <c r="I3" s="20">
        <v>0.67161166055145771</v>
      </c>
      <c r="J3" s="20">
        <v>0.11317186499541376</v>
      </c>
      <c r="K3" s="20">
        <v>0.18216900484017742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1.0537242107274289E-17</v>
      </c>
      <c r="E4" s="20">
        <v>0.99896293910576639</v>
      </c>
      <c r="F4" s="20">
        <v>4.2009319181045489E-5</v>
      </c>
      <c r="G4" s="20">
        <v>4.6263798207667582E-8</v>
      </c>
      <c r="H4" s="20">
        <v>0</v>
      </c>
      <c r="I4" s="20">
        <v>0.99892088352278718</v>
      </c>
      <c r="J4" s="20">
        <v>1.0283845313918082E-3</v>
      </c>
      <c r="K4" s="20">
        <v>8.6763628417871281E-6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2.8901025515610647E-10</v>
      </c>
      <c r="E5" s="20">
        <v>0.97590334338497009</v>
      </c>
      <c r="F5" s="20">
        <v>7.4189185470961247E-2</v>
      </c>
      <c r="G5" s="20">
        <v>5.888434773209916E-6</v>
      </c>
      <c r="H5" s="20">
        <v>0</v>
      </c>
      <c r="I5" s="20">
        <v>0.90170826947923566</v>
      </c>
      <c r="J5" s="20">
        <v>2.3966430749304143E-2</v>
      </c>
      <c r="K5" s="20">
        <v>1.3022557671532663E-4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3.4916988248633128E-11</v>
      </c>
      <c r="E6" s="20">
        <v>0.94911079045712199</v>
      </c>
      <c r="F6" s="20">
        <v>0.16311336173564484</v>
      </c>
      <c r="G6" s="20">
        <v>4.7302278909334134E-5</v>
      </c>
      <c r="H6" s="20">
        <v>0</v>
      </c>
      <c r="I6" s="20">
        <v>0.78595012644256779</v>
      </c>
      <c r="J6" s="20">
        <v>5.0170127396099176E-2</v>
      </c>
      <c r="K6" s="20">
        <v>7.1908211186198616E-4</v>
      </c>
      <c r="L6" s="20">
        <v>0</v>
      </c>
    </row>
    <row r="7" spans="1:14">
      <c r="A7" s="2" t="s">
        <v>366</v>
      </c>
      <c r="B7" s="3" t="s">
        <v>305</v>
      </c>
      <c r="D7" s="20">
        <v>5.581332557569271E-7</v>
      </c>
      <c r="E7" s="20">
        <v>0.87179614780227732</v>
      </c>
      <c r="F7" s="20">
        <v>0.3927154237397093</v>
      </c>
      <c r="G7" s="20">
        <v>7.994164156288336E-4</v>
      </c>
      <c r="H7" s="20">
        <v>0</v>
      </c>
      <c r="I7" s="20">
        <v>0.47828130764693916</v>
      </c>
      <c r="J7" s="20">
        <v>0.12124232854110076</v>
      </c>
      <c r="K7" s="20">
        <v>6.9609655233663029E-3</v>
      </c>
      <c r="L7" s="20">
        <v>0</v>
      </c>
    </row>
    <row r="8" spans="1:14">
      <c r="A8" s="2" t="s">
        <v>289</v>
      </c>
      <c r="B8" s="3" t="s">
        <v>290</v>
      </c>
      <c r="D8" s="20">
        <v>2.7082547206105942E-17</v>
      </c>
      <c r="E8" s="20">
        <v>0.93055229441117615</v>
      </c>
      <c r="F8" s="20">
        <v>0.23285258010994633</v>
      </c>
      <c r="G8" s="20">
        <v>3.5408345930096346E-5</v>
      </c>
      <c r="H8" s="20">
        <v>0</v>
      </c>
      <c r="I8" s="20">
        <v>0.69766430595529971</v>
      </c>
      <c r="J8" s="20">
        <v>6.9003686071614348E-2</v>
      </c>
      <c r="K8" s="20">
        <v>4.4401951720944132E-4</v>
      </c>
      <c r="L8" s="20">
        <v>0</v>
      </c>
    </row>
    <row r="9" spans="1:14">
      <c r="A9" s="2" t="s">
        <v>291</v>
      </c>
      <c r="B9" s="3" t="s">
        <v>292</v>
      </c>
      <c r="D9" s="20">
        <v>5.6188644908377086E-13</v>
      </c>
      <c r="E9" s="20">
        <v>0.98024325425999248</v>
      </c>
      <c r="F9" s="20">
        <v>5.7651902465203124E-2</v>
      </c>
      <c r="G9" s="20">
        <v>2.185171823026765E-5</v>
      </c>
      <c r="H9" s="20">
        <v>0</v>
      </c>
      <c r="I9" s="20">
        <v>0.92256950007655913</v>
      </c>
      <c r="J9" s="20">
        <v>1.9216511616039666E-2</v>
      </c>
      <c r="K9" s="20">
        <v>5.4023412340608093E-4</v>
      </c>
      <c r="L9" s="20">
        <v>0</v>
      </c>
    </row>
    <row r="10" spans="1:14">
      <c r="A10" s="2" t="s">
        <v>367</v>
      </c>
      <c r="B10" s="3" t="s">
        <v>368</v>
      </c>
      <c r="D10" s="20">
        <v>3.0708019649326503E-5</v>
      </c>
      <c r="E10" s="20">
        <v>0.26671956629333032</v>
      </c>
      <c r="F10" s="20">
        <v>0.20303480567101084</v>
      </c>
      <c r="G10" s="20">
        <v>3.5462230596328762E-2</v>
      </c>
      <c r="H10" s="20">
        <v>0</v>
      </c>
      <c r="I10" s="20">
        <v>2.8222530025990733E-2</v>
      </c>
      <c r="J10" s="20">
        <v>0.6066413403301224</v>
      </c>
      <c r="K10" s="20">
        <v>0.12660838535689783</v>
      </c>
      <c r="L10" s="20">
        <v>0</v>
      </c>
    </row>
    <row r="11" spans="1:14">
      <c r="A11" s="2" t="s">
        <v>369</v>
      </c>
      <c r="B11" s="3" t="s">
        <v>370</v>
      </c>
      <c r="D11" s="20">
        <v>2.5339221366327284E-12</v>
      </c>
      <c r="E11" s="20">
        <v>5.3178809615100721E-2</v>
      </c>
      <c r="F11" s="20">
        <v>3.0534043888132086E-2</v>
      </c>
      <c r="G11" s="20">
        <v>2.2308927773218714E-2</v>
      </c>
      <c r="H11" s="20">
        <v>0</v>
      </c>
      <c r="I11" s="20">
        <v>3.3583795374992216E-4</v>
      </c>
      <c r="J11" s="20">
        <v>0.94272881825425636</v>
      </c>
      <c r="K11" s="20">
        <v>4.0923721281089717E-3</v>
      </c>
      <c r="L11" s="20">
        <v>0</v>
      </c>
    </row>
    <row r="12" spans="1:14">
      <c r="A12" s="2" t="s">
        <v>371</v>
      </c>
      <c r="B12" s="3" t="s">
        <v>372</v>
      </c>
      <c r="D12" s="20">
        <v>5.9240225551056333E-2</v>
      </c>
      <c r="E12" s="20">
        <v>0.93893459718403482</v>
      </c>
      <c r="F12" s="20">
        <v>2.6300061344866893E-6</v>
      </c>
      <c r="G12" s="20">
        <v>1.3036009745103992E-6</v>
      </c>
      <c r="H12" s="20">
        <v>0</v>
      </c>
      <c r="I12" s="20">
        <v>0.93893066357692578</v>
      </c>
      <c r="J12" s="20">
        <v>2.6136115019620136E-5</v>
      </c>
      <c r="K12" s="20">
        <v>1.799041149889301E-3</v>
      </c>
      <c r="L12" s="20">
        <v>0</v>
      </c>
    </row>
    <row r="13" spans="1:14">
      <c r="A13" s="2" t="s">
        <v>293</v>
      </c>
      <c r="B13" s="3" t="s">
        <v>294</v>
      </c>
      <c r="D13" s="20">
        <v>1.8710312139642821E-8</v>
      </c>
      <c r="E13" s="20">
        <v>0.74689260152310133</v>
      </c>
      <c r="F13" s="20">
        <v>1.9297440791819703E-2</v>
      </c>
      <c r="G13" s="20">
        <v>4.94988686157682E-3</v>
      </c>
      <c r="H13" s="20">
        <v>0</v>
      </c>
      <c r="I13" s="20">
        <v>0.72264527386970479</v>
      </c>
      <c r="J13" s="20">
        <v>8.040763600112337E-2</v>
      </c>
      <c r="K13" s="20">
        <v>0.17269974376546313</v>
      </c>
      <c r="L13" s="20">
        <v>0</v>
      </c>
    </row>
    <row r="14" spans="1:14">
      <c r="A14" s="2" t="s">
        <v>373</v>
      </c>
      <c r="B14" s="3" t="s">
        <v>374</v>
      </c>
      <c r="D14" s="20">
        <v>4.1023024180324591E-7</v>
      </c>
      <c r="E14" s="20">
        <v>0.66309757963265281</v>
      </c>
      <c r="F14" s="20">
        <v>0.60781565598866993</v>
      </c>
      <c r="G14" s="20">
        <v>9.5222051245892581E-4</v>
      </c>
      <c r="H14" s="20">
        <v>0</v>
      </c>
      <c r="I14" s="20">
        <v>5.432970313152391E-2</v>
      </c>
      <c r="J14" s="20">
        <v>0.33487416888589111</v>
      </c>
      <c r="K14" s="20">
        <v>2.0278412512142203E-3</v>
      </c>
      <c r="L14" s="20">
        <v>0</v>
      </c>
    </row>
    <row r="15" spans="1:14">
      <c r="A15" s="2" t="s">
        <v>375</v>
      </c>
      <c r="B15" s="3" t="s">
        <v>376</v>
      </c>
      <c r="D15" s="20">
        <v>7.3861101177473396E-2</v>
      </c>
      <c r="E15" s="20">
        <v>0.85573651344394452</v>
      </c>
      <c r="F15" s="20">
        <v>2.1708732263741961E-3</v>
      </c>
      <c r="G15" s="20">
        <v>6.6210980281634403E-4</v>
      </c>
      <c r="H15" s="20">
        <v>0</v>
      </c>
      <c r="I15" s="20">
        <v>0.85290353041475397</v>
      </c>
      <c r="J15" s="20">
        <v>1.0530016911104624E-2</v>
      </c>
      <c r="K15" s="20">
        <v>5.9872368467477503E-2</v>
      </c>
      <c r="L15" s="20">
        <v>0</v>
      </c>
    </row>
    <row r="16" spans="1:14">
      <c r="A16" s="2" t="s">
        <v>377</v>
      </c>
      <c r="B16" s="3" t="s">
        <v>378</v>
      </c>
      <c r="D16" s="20">
        <v>7.3260925918482579E-4</v>
      </c>
      <c r="E16" s="20">
        <v>0.72215379799975454</v>
      </c>
      <c r="F16" s="20">
        <v>2.263034045296607E-2</v>
      </c>
      <c r="G16" s="20">
        <v>5.7198763822946773E-3</v>
      </c>
      <c r="H16" s="20">
        <v>0</v>
      </c>
      <c r="I16" s="20">
        <v>0.69380358116449381</v>
      </c>
      <c r="J16" s="20">
        <v>9.308594978540656E-2</v>
      </c>
      <c r="K16" s="20">
        <v>0.18402764295565402</v>
      </c>
      <c r="L16" s="20">
        <v>0</v>
      </c>
    </row>
    <row r="17" spans="1:12">
      <c r="A17" s="2" t="s">
        <v>379</v>
      </c>
      <c r="B17" s="3" t="s">
        <v>380</v>
      </c>
      <c r="D17" s="20">
        <v>2.162866184826188E-3</v>
      </c>
      <c r="E17" s="20">
        <v>0.73638800249949243</v>
      </c>
      <c r="F17" s="20">
        <v>2.0457300991710833E-2</v>
      </c>
      <c r="G17" s="20">
        <v>5.2184784027389068E-3</v>
      </c>
      <c r="H17" s="20">
        <v>0</v>
      </c>
      <c r="I17" s="20">
        <v>0.71071222310504267</v>
      </c>
      <c r="J17" s="20">
        <v>8.4828956146085058E-2</v>
      </c>
      <c r="K17" s="20">
        <v>0.17662017516959647</v>
      </c>
      <c r="L17" s="20">
        <v>0</v>
      </c>
    </row>
    <row r="18" spans="1:12">
      <c r="A18" s="2" t="s">
        <v>381</v>
      </c>
      <c r="B18" s="3" t="s">
        <v>382</v>
      </c>
      <c r="D18" s="20">
        <v>2.520153877040516E-8</v>
      </c>
      <c r="E18" s="20">
        <v>6.9746555128561261E-2</v>
      </c>
      <c r="F18" s="20">
        <v>1.8665762829969648E-2</v>
      </c>
      <c r="G18" s="20">
        <v>5.0575629694993331E-2</v>
      </c>
      <c r="H18" s="20">
        <v>0</v>
      </c>
      <c r="I18" s="20">
        <v>5.0516260359828255E-4</v>
      </c>
      <c r="J18" s="20">
        <v>0.90364385807436121</v>
      </c>
      <c r="K18" s="20">
        <v>2.6609561595539056E-2</v>
      </c>
      <c r="L18" s="20">
        <v>0</v>
      </c>
    </row>
    <row r="19" spans="1:12">
      <c r="A19" s="2" t="s">
        <v>383</v>
      </c>
      <c r="B19" s="3" t="s">
        <v>384</v>
      </c>
      <c r="D19" s="20">
        <v>9.6176233371115336E-3</v>
      </c>
      <c r="E19" s="20">
        <v>0.95295843844205852</v>
      </c>
      <c r="F19" s="20">
        <v>6.6021661374686532E-4</v>
      </c>
      <c r="G19" s="20">
        <v>2.2160624970074837E-4</v>
      </c>
      <c r="H19" s="20">
        <v>0</v>
      </c>
      <c r="I19" s="20">
        <v>0.9520766155786109</v>
      </c>
      <c r="J19" s="20">
        <v>3.4865493475967546E-3</v>
      </c>
      <c r="K19" s="20">
        <v>3.3937388873233131E-2</v>
      </c>
      <c r="L19" s="20">
        <v>0</v>
      </c>
    </row>
    <row r="20" spans="1:12">
      <c r="A20" s="2" t="s">
        <v>385</v>
      </c>
      <c r="B20" s="3" t="s">
        <v>386</v>
      </c>
      <c r="D20" s="20">
        <v>1.8344735249842401E-2</v>
      </c>
      <c r="E20" s="20">
        <v>0.92973259785868068</v>
      </c>
      <c r="F20" s="20">
        <v>1.2026247371640744E-3</v>
      </c>
      <c r="G20" s="20">
        <v>3.8550115902364566E-4</v>
      </c>
      <c r="H20" s="20">
        <v>0</v>
      </c>
      <c r="I20" s="20">
        <v>0.92814447196249295</v>
      </c>
      <c r="J20" s="20">
        <v>6.0955950171463864E-3</v>
      </c>
      <c r="K20" s="20">
        <v>4.582707187433048E-2</v>
      </c>
      <c r="L20" s="20">
        <v>0</v>
      </c>
    </row>
    <row r="21" spans="1:12">
      <c r="A21" s="2" t="s">
        <v>387</v>
      </c>
      <c r="B21" s="3" t="s">
        <v>388</v>
      </c>
      <c r="D21" s="20">
        <v>4.9915500695037951E-3</v>
      </c>
      <c r="E21" s="20">
        <v>0.65029819618132467</v>
      </c>
      <c r="F21" s="20">
        <v>0.27250652762908606</v>
      </c>
      <c r="G21" s="20">
        <v>1.0997553211842663E-2</v>
      </c>
      <c r="H21" s="20">
        <v>0</v>
      </c>
      <c r="I21" s="20">
        <v>0.36679411534039591</v>
      </c>
      <c r="J21" s="20">
        <v>0.24498790640495138</v>
      </c>
      <c r="K21" s="20">
        <v>9.9722347344220155E-2</v>
      </c>
      <c r="L21" s="20">
        <v>0</v>
      </c>
    </row>
    <row r="22" spans="1:12">
      <c r="A22" s="2" t="s">
        <v>295</v>
      </c>
      <c r="B22" s="3" t="s">
        <v>296</v>
      </c>
      <c r="D22" s="20">
        <v>5.2516629956710012E-2</v>
      </c>
      <c r="E22" s="20">
        <v>0.934002724901835</v>
      </c>
      <c r="F22" s="20">
        <v>1.0435554571901146E-4</v>
      </c>
      <c r="G22" s="20">
        <v>4.0069238498368602E-5</v>
      </c>
      <c r="H22" s="20">
        <v>0</v>
      </c>
      <c r="I22" s="20">
        <v>0.93385830011761761</v>
      </c>
      <c r="J22" s="20">
        <v>6.2459642023687757E-4</v>
      </c>
      <c r="K22" s="20">
        <v>1.285604872121815E-2</v>
      </c>
      <c r="L22" s="20">
        <v>0</v>
      </c>
    </row>
    <row r="23" spans="1:12">
      <c r="A23" s="2" t="s">
        <v>389</v>
      </c>
      <c r="B23" s="3" t="s">
        <v>390</v>
      </c>
      <c r="D23" s="20">
        <v>6.1752931820707437E-2</v>
      </c>
      <c r="E23" s="20">
        <v>0.84003280080876708</v>
      </c>
      <c r="F23" s="20">
        <v>3.8732565642241416E-3</v>
      </c>
      <c r="G23" s="20">
        <v>1.1302429869115298E-3</v>
      </c>
      <c r="H23" s="20">
        <v>0</v>
      </c>
      <c r="I23" s="20">
        <v>0.83502930125763142</v>
      </c>
      <c r="J23" s="20">
        <v>1.80707790336831E-2</v>
      </c>
      <c r="K23" s="20">
        <v>8.0143488336842525E-2</v>
      </c>
      <c r="L23" s="20">
        <v>0</v>
      </c>
    </row>
    <row r="24" spans="1:12">
      <c r="A24" s="2" t="s">
        <v>391</v>
      </c>
      <c r="B24" s="3" t="s">
        <v>392</v>
      </c>
      <c r="D24" s="20">
        <v>2.3866767892748047E-3</v>
      </c>
      <c r="E24" s="20">
        <v>0.63728278774490388</v>
      </c>
      <c r="F24" s="20">
        <v>3.6108736651064573E-2</v>
      </c>
      <c r="G24" s="20">
        <v>8.7158119057805777E-3</v>
      </c>
      <c r="H24" s="20">
        <v>0</v>
      </c>
      <c r="I24" s="20">
        <v>0.59245823918805873</v>
      </c>
      <c r="J24" s="20">
        <v>0.14265768223645359</v>
      </c>
      <c r="K24" s="20">
        <v>0.21767285322936775</v>
      </c>
      <c r="L24" s="20">
        <v>0</v>
      </c>
    </row>
    <row r="25" spans="1:12">
      <c r="A25" s="2" t="s">
        <v>393</v>
      </c>
      <c r="B25" s="3" t="s">
        <v>394</v>
      </c>
      <c r="D25" s="20">
        <v>1.253610880670203E-4</v>
      </c>
      <c r="E25" s="20">
        <v>7.5011344557861598E-2</v>
      </c>
      <c r="F25" s="20">
        <v>2.4053674917470499E-2</v>
      </c>
      <c r="G25" s="20">
        <v>5.019691101182687E-2</v>
      </c>
      <c r="H25" s="20">
        <v>0</v>
      </c>
      <c r="I25" s="20">
        <v>7.6075862856422719E-4</v>
      </c>
      <c r="J25" s="20">
        <v>0.89316956001194259</v>
      </c>
      <c r="K25" s="20">
        <v>3.1693734342128882E-2</v>
      </c>
      <c r="L25" s="20">
        <v>0</v>
      </c>
    </row>
    <row r="26" spans="1:12">
      <c r="A26" s="2" t="s">
        <v>395</v>
      </c>
      <c r="B26" s="3" t="s">
        <v>396</v>
      </c>
      <c r="D26" s="20">
        <v>0.19328123027626687</v>
      </c>
      <c r="E26" s="20">
        <v>0.34252647355795163</v>
      </c>
      <c r="F26" s="20">
        <v>7.1582747848019698E-2</v>
      </c>
      <c r="G26" s="20">
        <v>1.5442013258875618E-2</v>
      </c>
      <c r="H26" s="20">
        <v>0</v>
      </c>
      <c r="I26" s="20">
        <v>0.2555017124510563</v>
      </c>
      <c r="J26" s="20">
        <v>0.25631821540426414</v>
      </c>
      <c r="K26" s="20">
        <v>0.20787408076151737</v>
      </c>
      <c r="L26" s="20">
        <v>0</v>
      </c>
    </row>
    <row r="27" spans="1:12">
      <c r="A27" s="2" t="s">
        <v>397</v>
      </c>
      <c r="B27" s="3" t="s">
        <v>398</v>
      </c>
      <c r="D27" s="20">
        <v>0.74551729516726195</v>
      </c>
      <c r="E27" s="20">
        <v>7.3739031302258409E-2</v>
      </c>
      <c r="F27" s="20">
        <v>4.0390237544715525E-2</v>
      </c>
      <c r="G27" s="20">
        <v>7.6731195150066892E-3</v>
      </c>
      <c r="H27" s="20">
        <v>0</v>
      </c>
      <c r="I27" s="20">
        <v>2.5675674242536195E-2</v>
      </c>
      <c r="J27" s="20">
        <v>0.12940219356359442</v>
      </c>
      <c r="K27" s="20">
        <v>5.1341479966885269E-2</v>
      </c>
      <c r="L27" s="20">
        <v>0</v>
      </c>
    </row>
    <row r="28" spans="1:12">
      <c r="A28" s="2" t="s">
        <v>399</v>
      </c>
      <c r="B28" s="3" t="s">
        <v>400</v>
      </c>
      <c r="D28" s="20">
        <v>0.84320158268612333</v>
      </c>
      <c r="E28" s="20">
        <v>6.074552704983173E-2</v>
      </c>
      <c r="F28" s="20">
        <v>1.6030611802204952E-2</v>
      </c>
      <c r="G28" s="20">
        <v>3.3763359479217865E-3</v>
      </c>
      <c r="H28" s="20">
        <v>0</v>
      </c>
      <c r="I28" s="20">
        <v>4.133857929970499E-2</v>
      </c>
      <c r="J28" s="20">
        <v>5.6210803816218749E-2</v>
      </c>
      <c r="K28" s="20">
        <v>3.9842086447826205E-2</v>
      </c>
      <c r="L28" s="20">
        <v>0</v>
      </c>
    </row>
    <row r="29" spans="1:12">
      <c r="A29" s="2" t="s">
        <v>297</v>
      </c>
      <c r="B29" s="3" t="s">
        <v>298</v>
      </c>
      <c r="D29" s="20">
        <v>0.91961659950205876</v>
      </c>
      <c r="E29" s="20">
        <v>7.5519638404799722E-2</v>
      </c>
      <c r="F29" s="20">
        <v>1.253791976226938E-4</v>
      </c>
      <c r="G29" s="20">
        <v>3.9456725600595114E-5</v>
      </c>
      <c r="H29" s="20">
        <v>0</v>
      </c>
      <c r="I29" s="20">
        <v>7.535480248157643E-2</v>
      </c>
      <c r="J29" s="20">
        <v>6.2521061334277084E-4</v>
      </c>
      <c r="K29" s="20">
        <v>4.2385514797987408E-3</v>
      </c>
      <c r="L29" s="20">
        <v>0</v>
      </c>
    </row>
    <row r="30" spans="1:12">
      <c r="A30" s="2" t="s">
        <v>401</v>
      </c>
      <c r="B30" s="3" t="s">
        <v>402</v>
      </c>
      <c r="D30" s="20">
        <v>0.94185111979630332</v>
      </c>
      <c r="E30" s="20">
        <v>2.2999943753343632E-2</v>
      </c>
      <c r="F30" s="20">
        <v>5.7623673731619597E-3</v>
      </c>
      <c r="G30" s="20">
        <v>1.2203839803670989E-3</v>
      </c>
      <c r="H30" s="20">
        <v>0</v>
      </c>
      <c r="I30" s="20">
        <v>1.6017192399814573E-2</v>
      </c>
      <c r="J30" s="20">
        <v>2.0303501755022647E-2</v>
      </c>
      <c r="K30" s="20">
        <v>1.4845434695330194E-2</v>
      </c>
      <c r="L30" s="20">
        <v>0</v>
      </c>
    </row>
    <row r="31" spans="1:12">
      <c r="A31" s="2" t="s">
        <v>299</v>
      </c>
      <c r="B31" s="3" t="s">
        <v>300</v>
      </c>
      <c r="D31" s="20">
        <v>0.998623180257173</v>
      </c>
      <c r="E31" s="20">
        <v>6.8970615231589514E-4</v>
      </c>
      <c r="F31" s="20">
        <v>9.1121388127669717E-5</v>
      </c>
      <c r="G31" s="20">
        <v>2.050764932224056E-5</v>
      </c>
      <c r="H31" s="20">
        <v>0</v>
      </c>
      <c r="I31" s="20">
        <v>5.7807711486598486E-4</v>
      </c>
      <c r="J31" s="20">
        <v>3.3860595048958457E-4</v>
      </c>
      <c r="K31" s="20">
        <v>3.4850764002133819E-4</v>
      </c>
      <c r="L31" s="20">
        <v>0</v>
      </c>
    </row>
    <row r="32" spans="1:12">
      <c r="A32" s="2" t="s">
        <v>343</v>
      </c>
      <c r="B32" s="3" t="s">
        <v>344</v>
      </c>
      <c r="D32" s="20">
        <v>2.0324702871749984E-3</v>
      </c>
      <c r="E32" s="20">
        <v>0.77077801251017708</v>
      </c>
      <c r="F32" s="20">
        <v>1.6004528701680568E-2</v>
      </c>
      <c r="G32" s="20">
        <v>4.1738654510827967E-3</v>
      </c>
      <c r="H32" s="20">
        <v>0</v>
      </c>
      <c r="I32" s="20">
        <v>0.75059961835741373</v>
      </c>
      <c r="J32" s="20">
        <v>6.7662271961972789E-2</v>
      </c>
      <c r="K32" s="20">
        <v>0.15952724524067502</v>
      </c>
      <c r="L32" s="20">
        <v>0</v>
      </c>
    </row>
    <row r="33" spans="1:12">
      <c r="A33" s="2" t="s">
        <v>345</v>
      </c>
      <c r="B33" s="3" t="s">
        <v>346</v>
      </c>
      <c r="D33" s="20">
        <v>7.77046979544962E-5</v>
      </c>
      <c r="E33" s="20">
        <v>0.860238994911524</v>
      </c>
      <c r="F33" s="20">
        <v>6.8464581995686686E-3</v>
      </c>
      <c r="G33" s="20">
        <v>1.9184987312565534E-3</v>
      </c>
      <c r="H33" s="20">
        <v>0</v>
      </c>
      <c r="I33" s="20">
        <v>0.85147403798069876</v>
      </c>
      <c r="J33" s="20">
        <v>3.0825905444437023E-2</v>
      </c>
      <c r="K33" s="20">
        <v>0.10885739494608446</v>
      </c>
      <c r="L33" s="20">
        <v>0</v>
      </c>
    </row>
    <row r="34" spans="1:12">
      <c r="A34" s="2" t="s">
        <v>347</v>
      </c>
      <c r="B34" s="3" t="s">
        <v>348</v>
      </c>
      <c r="D34" s="20">
        <v>1.1048698394734649E-4</v>
      </c>
      <c r="E34" s="20">
        <v>0.44332075923436798</v>
      </c>
      <c r="F34" s="20">
        <v>8.2628487427604133E-2</v>
      </c>
      <c r="G34" s="20">
        <v>1.8022928431457443E-2</v>
      </c>
      <c r="H34" s="20">
        <v>0</v>
      </c>
      <c r="I34" s="20">
        <v>0.34266934337530641</v>
      </c>
      <c r="J34" s="20">
        <v>0.29874568173334043</v>
      </c>
      <c r="K34" s="20">
        <v>0.25782307204834426</v>
      </c>
      <c r="L34" s="20">
        <v>0</v>
      </c>
    </row>
    <row r="35" spans="1:12">
      <c r="A35" s="2" t="s">
        <v>349</v>
      </c>
      <c r="B35" s="3" t="s">
        <v>350</v>
      </c>
      <c r="D35" s="20">
        <v>2.6694644802819103E-2</v>
      </c>
      <c r="E35" s="20">
        <v>0.26576645468426258</v>
      </c>
      <c r="F35" s="20">
        <v>0.17957374124716519</v>
      </c>
      <c r="G35" s="20">
        <v>3.2280361246480697E-2</v>
      </c>
      <c r="H35" s="20">
        <v>0</v>
      </c>
      <c r="I35" s="20">
        <v>5.3912352190616686E-2</v>
      </c>
      <c r="J35" s="20">
        <v>0.54815853922803526</v>
      </c>
      <c r="K35" s="20">
        <v>0.15938036128488314</v>
      </c>
      <c r="L35" s="20">
        <v>0</v>
      </c>
    </row>
    <row r="36" spans="1:12">
      <c r="A36" s="2" t="s">
        <v>351</v>
      </c>
      <c r="B36" s="3" t="s">
        <v>352</v>
      </c>
      <c r="D36" s="20">
        <v>4.5160167874171554E-4</v>
      </c>
      <c r="E36" s="20">
        <v>0.14802702058486147</v>
      </c>
      <c r="F36" s="20">
        <v>9.615552246727653E-2</v>
      </c>
      <c r="G36" s="20">
        <v>4.438843029270817E-2</v>
      </c>
      <c r="H36" s="20">
        <v>0</v>
      </c>
      <c r="I36" s="20">
        <v>7.4830678248767844E-3</v>
      </c>
      <c r="J36" s="20">
        <v>0.77113800802599841</v>
      </c>
      <c r="K36" s="20">
        <v>8.0383369710398403E-2</v>
      </c>
      <c r="L36" s="20">
        <v>0</v>
      </c>
    </row>
    <row r="37" spans="1:12">
      <c r="A37" s="2" t="s">
        <v>353</v>
      </c>
      <c r="B37" s="3" t="s">
        <v>354</v>
      </c>
      <c r="D37" s="20">
        <v>1.5135056838661187E-3</v>
      </c>
      <c r="E37" s="20">
        <v>7.0976526412024801E-2</v>
      </c>
      <c r="F37" s="20">
        <v>2.0003350307514829E-2</v>
      </c>
      <c r="G37" s="20">
        <v>5.0407864123037278E-2</v>
      </c>
      <c r="H37" s="20">
        <v>0</v>
      </c>
      <c r="I37" s="20">
        <v>5.6531198147269596E-4</v>
      </c>
      <c r="J37" s="20">
        <v>0.89961057733682326</v>
      </c>
      <c r="K37" s="20">
        <v>2.7899390567285871E-2</v>
      </c>
      <c r="L37" s="20">
        <v>0</v>
      </c>
    </row>
    <row r="38" spans="1:12">
      <c r="A38" s="2" t="s">
        <v>355</v>
      </c>
      <c r="B38" s="3" t="s">
        <v>356</v>
      </c>
      <c r="D38" s="20">
        <v>1.247133472085209E-4</v>
      </c>
      <c r="E38" s="20">
        <v>0.10690240598227432</v>
      </c>
      <c r="F38" s="20">
        <v>5.6173517530532145E-2</v>
      </c>
      <c r="G38" s="20">
        <v>4.7689983831450067E-2</v>
      </c>
      <c r="H38" s="20">
        <v>0</v>
      </c>
      <c r="I38" s="20">
        <v>3.0389046202921148E-3</v>
      </c>
      <c r="J38" s="20">
        <v>0.83654112059066565</v>
      </c>
      <c r="K38" s="20">
        <v>5.643176007985156E-2</v>
      </c>
      <c r="L38" s="20">
        <v>0</v>
      </c>
    </row>
    <row r="39" spans="1:12">
      <c r="A39" s="2" t="s">
        <v>357</v>
      </c>
      <c r="B39" s="3" t="s">
        <v>358</v>
      </c>
      <c r="D39" s="20">
        <v>3.104008523045634E-2</v>
      </c>
      <c r="E39" s="20">
        <v>0.12999793741833252</v>
      </c>
      <c r="F39" s="20">
        <v>8.0267842418835209E-2</v>
      </c>
      <c r="G39" s="20">
        <v>4.4099853299742163E-2</v>
      </c>
      <c r="H39" s="20">
        <v>0</v>
      </c>
      <c r="I39" s="20">
        <v>5.6302416997551482E-3</v>
      </c>
      <c r="J39" s="20">
        <v>0.7682433918378796</v>
      </c>
      <c r="K39" s="20">
        <v>7.0718585513331572E-2</v>
      </c>
      <c r="L39" s="20">
        <v>0</v>
      </c>
    </row>
    <row r="40" spans="1:12">
      <c r="A40" s="2" t="s">
        <v>359</v>
      </c>
      <c r="B40" s="3" t="s">
        <v>360</v>
      </c>
      <c r="D40" s="20">
        <v>1.247133472085209E-4</v>
      </c>
      <c r="E40" s="20">
        <v>0.10690240598227432</v>
      </c>
      <c r="F40" s="20">
        <v>5.6173517530532145E-2</v>
      </c>
      <c r="G40" s="20">
        <v>4.7689983831450067E-2</v>
      </c>
      <c r="H40" s="20">
        <v>0</v>
      </c>
      <c r="I40" s="20">
        <v>3.0389046202921148E-3</v>
      </c>
      <c r="J40" s="20">
        <v>0.83654112059066565</v>
      </c>
      <c r="K40" s="20">
        <v>5.643176007985156E-2</v>
      </c>
      <c r="L40" s="20">
        <v>0</v>
      </c>
    </row>
    <row r="41" spans="1:12">
      <c r="A41" s="2" t="s">
        <v>313</v>
      </c>
      <c r="B41" s="3" t="s">
        <v>314</v>
      </c>
      <c r="D41" s="20">
        <v>4.5279219126648834E-8</v>
      </c>
      <c r="E41" s="20">
        <v>0.99807168218629339</v>
      </c>
      <c r="F41" s="20">
        <v>4.7242755569814965E-3</v>
      </c>
      <c r="G41" s="20">
        <v>1.1242315551742387E-6</v>
      </c>
      <c r="H41" s="20">
        <v>0</v>
      </c>
      <c r="I41" s="20">
        <v>0.99334628239775669</v>
      </c>
      <c r="J41" s="20">
        <v>1.8493588735090029E-3</v>
      </c>
      <c r="K41" s="20">
        <v>7.8913660978471265E-5</v>
      </c>
      <c r="L41" s="20">
        <v>0</v>
      </c>
    </row>
    <row r="42" spans="1:12">
      <c r="A42" s="2" t="s">
        <v>315</v>
      </c>
      <c r="B42" s="3" t="s">
        <v>316</v>
      </c>
      <c r="D42" s="20">
        <v>2.1404077087895652E-3</v>
      </c>
      <c r="E42" s="20">
        <v>6.9597270818260878E-2</v>
      </c>
      <c r="F42" s="20">
        <v>1.8625810956717035E-2</v>
      </c>
      <c r="G42" s="20">
        <v>5.0467378499172863E-2</v>
      </c>
      <c r="H42" s="20">
        <v>0</v>
      </c>
      <c r="I42" s="20">
        <v>5.0408136237097445E-4</v>
      </c>
      <c r="J42" s="20">
        <v>0.9017097145190105</v>
      </c>
      <c r="K42" s="20">
        <v>2.6552606953939004E-2</v>
      </c>
      <c r="L42" s="20">
        <v>0</v>
      </c>
    </row>
    <row r="43" spans="1:12">
      <c r="A43" s="2" t="s">
        <v>317</v>
      </c>
      <c r="B43" s="3" t="s">
        <v>318</v>
      </c>
      <c r="D43" s="20">
        <v>5.4887064999566877E-12</v>
      </c>
      <c r="E43" s="20">
        <v>0.61729176052916901</v>
      </c>
      <c r="F43" s="20">
        <v>4.0187287375929505E-2</v>
      </c>
      <c r="G43" s="20">
        <v>9.5936583408652246E-3</v>
      </c>
      <c r="H43" s="20">
        <v>0</v>
      </c>
      <c r="I43" s="20">
        <v>0.56751081481237431</v>
      </c>
      <c r="J43" s="20">
        <v>0.15724244270083587</v>
      </c>
      <c r="K43" s="20">
        <v>0.22546579676450618</v>
      </c>
      <c r="L43" s="20">
        <v>0</v>
      </c>
    </row>
    <row r="44" spans="1:12">
      <c r="A44" s="2" t="s">
        <v>307</v>
      </c>
      <c r="B44" s="3" t="s">
        <v>308</v>
      </c>
      <c r="D44" s="20">
        <v>1.9380559881385041E-4</v>
      </c>
      <c r="E44" s="20">
        <v>0.19547619057053628</v>
      </c>
      <c r="F44" s="20">
        <v>0.14034114111663498</v>
      </c>
      <c r="G44" s="20">
        <v>4.0726825408206865E-2</v>
      </c>
      <c r="H44" s="20">
        <v>0</v>
      </c>
      <c r="I44" s="20">
        <v>1.4408224045694425E-2</v>
      </c>
      <c r="J44" s="20">
        <v>0.70233545069042824</v>
      </c>
      <c r="K44" s="20">
        <v>0.1019945531402217</v>
      </c>
      <c r="L44" s="20">
        <v>0</v>
      </c>
    </row>
    <row r="45" spans="1:12">
      <c r="A45" s="2" t="s">
        <v>319</v>
      </c>
      <c r="B45" s="3" t="s">
        <v>320</v>
      </c>
      <c r="D45" s="20">
        <v>6.1012524998040072E-6</v>
      </c>
      <c r="E45" s="20">
        <v>6.1632800777721895E-2</v>
      </c>
      <c r="F45" s="20">
        <v>1.0392922360107536E-2</v>
      </c>
      <c r="G45" s="20">
        <v>5.1042652887283699E-2</v>
      </c>
      <c r="H45" s="20">
        <v>0</v>
      </c>
      <c r="I45" s="20">
        <v>1.9722553033065684E-4</v>
      </c>
      <c r="J45" s="20">
        <v>0.92063432596423456</v>
      </c>
      <c r="K45" s="20">
        <v>1.7726772005543578E-2</v>
      </c>
      <c r="L45" s="20">
        <v>0</v>
      </c>
    </row>
    <row r="46" spans="1:12">
      <c r="A46" s="2" t="s">
        <v>321</v>
      </c>
      <c r="B46" s="3" t="s">
        <v>322</v>
      </c>
      <c r="D46" s="20">
        <v>1.005233622756485E-5</v>
      </c>
      <c r="E46" s="20">
        <v>6.8256960101116648E-2</v>
      </c>
      <c r="F46" s="20">
        <v>1.7142955217443207E-2</v>
      </c>
      <c r="G46" s="20">
        <v>5.067354015161913E-2</v>
      </c>
      <c r="H46" s="20">
        <v>0</v>
      </c>
      <c r="I46" s="20">
        <v>4.4046473205430466E-4</v>
      </c>
      <c r="J46" s="20">
        <v>0.90664431596734607</v>
      </c>
      <c r="K46" s="20">
        <v>2.5088671595309815E-2</v>
      </c>
      <c r="L46" s="20">
        <v>0</v>
      </c>
    </row>
    <row r="47" spans="1:12">
      <c r="A47" s="2" t="s">
        <v>323</v>
      </c>
      <c r="B47" s="3" t="s">
        <v>324</v>
      </c>
      <c r="D47" s="20">
        <v>1.1565751683673784E-4</v>
      </c>
      <c r="E47" s="20">
        <v>8.2601657950936339E-2</v>
      </c>
      <c r="F47" s="20">
        <v>3.1782828766472093E-2</v>
      </c>
      <c r="G47" s="20">
        <v>4.9623581261411899E-2</v>
      </c>
      <c r="H47" s="20">
        <v>0</v>
      </c>
      <c r="I47" s="20">
        <v>1.1952479230523433E-3</v>
      </c>
      <c r="J47" s="20">
        <v>0.87891332727492866</v>
      </c>
      <c r="K47" s="20">
        <v>3.8369357257298189E-2</v>
      </c>
      <c r="L47" s="20">
        <v>0</v>
      </c>
    </row>
    <row r="48" spans="1:12">
      <c r="A48" s="2" t="s">
        <v>325</v>
      </c>
      <c r="B48" s="3" t="s">
        <v>326</v>
      </c>
      <c r="D48" s="20">
        <v>1.8671429945697342E-4</v>
      </c>
      <c r="E48" s="20">
        <v>0.31025855100495092</v>
      </c>
      <c r="F48" s="20">
        <v>0.14144782174849091</v>
      </c>
      <c r="G48" s="20">
        <v>2.7777414482500231E-2</v>
      </c>
      <c r="H48" s="20">
        <v>0</v>
      </c>
      <c r="I48" s="20">
        <v>0.14103331477395981</v>
      </c>
      <c r="J48" s="20">
        <v>0.46651191851008689</v>
      </c>
      <c r="K48" s="20">
        <v>0.22304281618550534</v>
      </c>
      <c r="L48" s="20">
        <v>0</v>
      </c>
    </row>
    <row r="49" spans="1:12">
      <c r="A49" s="2" t="s">
        <v>275</v>
      </c>
      <c r="B49" s="3" t="s">
        <v>276</v>
      </c>
      <c r="D49" s="20">
        <v>2.3747109644787209E-6</v>
      </c>
      <c r="E49" s="20">
        <v>0.18539436609428037</v>
      </c>
      <c r="F49" s="20">
        <v>0.13110807527021912</v>
      </c>
      <c r="G49" s="20">
        <v>4.1507349047895145E-2</v>
      </c>
      <c r="H49" s="20">
        <v>0</v>
      </c>
      <c r="I49" s="20">
        <v>1.2778941776166111E-2</v>
      </c>
      <c r="J49" s="20">
        <v>0.71678466481102932</v>
      </c>
      <c r="K49" s="20">
        <v>9.7818594383725838E-2</v>
      </c>
      <c r="L49" s="20">
        <v>0</v>
      </c>
    </row>
    <row r="50" spans="1:12">
      <c r="A50" s="2" t="s">
        <v>327</v>
      </c>
      <c r="B50" s="3" t="s">
        <v>328</v>
      </c>
      <c r="D50" s="20">
        <v>1.1427449444096126E-4</v>
      </c>
      <c r="E50" s="20">
        <v>0.16980464878505555</v>
      </c>
      <c r="F50" s="20">
        <v>0.11667236275244917</v>
      </c>
      <c r="G50" s="20">
        <v>4.2703507554231364E-2</v>
      </c>
      <c r="H50" s="20">
        <v>0</v>
      </c>
      <c r="I50" s="20">
        <v>1.0428778478375011E-2</v>
      </c>
      <c r="J50" s="20">
        <v>0.73914002571710591</v>
      </c>
      <c r="K50" s="20">
        <v>9.0941051003397486E-2</v>
      </c>
      <c r="L50" s="20">
        <v>0</v>
      </c>
    </row>
    <row r="51" spans="1:12">
      <c r="A51" s="2" t="s">
        <v>329</v>
      </c>
      <c r="B51" s="3" t="s">
        <v>330</v>
      </c>
      <c r="D51" s="20">
        <v>1.0275768230479803E-4</v>
      </c>
      <c r="E51" s="20">
        <v>0.28716361182985173</v>
      </c>
      <c r="F51" s="20">
        <v>0.16144811714984961</v>
      </c>
      <c r="G51" s="20">
        <v>3.0502015673187239E-2</v>
      </c>
      <c r="H51" s="20">
        <v>0</v>
      </c>
      <c r="I51" s="20">
        <v>9.5213479006814886E-2</v>
      </c>
      <c r="J51" s="20">
        <v>0.51475197080612956</v>
      </c>
      <c r="K51" s="20">
        <v>0.19798165968171402</v>
      </c>
      <c r="L51" s="20">
        <v>0</v>
      </c>
    </row>
    <row r="52" spans="1:12">
      <c r="A52" s="2" t="s">
        <v>277</v>
      </c>
      <c r="B52" s="3" t="s">
        <v>278</v>
      </c>
      <c r="D52" s="20">
        <v>2.9211302423849949E-4</v>
      </c>
      <c r="E52" s="20">
        <v>0.30747661960171646</v>
      </c>
      <c r="F52" s="20">
        <v>0.14340675387068458</v>
      </c>
      <c r="G52" s="20">
        <v>2.8058545911848372E-2</v>
      </c>
      <c r="H52" s="20">
        <v>0</v>
      </c>
      <c r="I52" s="20">
        <v>0.13601131981918349</v>
      </c>
      <c r="J52" s="20">
        <v>0.47145032567925776</v>
      </c>
      <c r="K52" s="20">
        <v>0.22078094169478726</v>
      </c>
      <c r="L52" s="20">
        <v>0</v>
      </c>
    </row>
    <row r="53" spans="1:12">
      <c r="A53" s="2" t="s">
        <v>331</v>
      </c>
      <c r="B53" s="3" t="s">
        <v>332</v>
      </c>
      <c r="D53" s="20">
        <v>5.9980536170552508E-5</v>
      </c>
      <c r="E53" s="20">
        <v>0.13096423495315918</v>
      </c>
      <c r="F53" s="20">
        <v>7.9749694478512767E-2</v>
      </c>
      <c r="G53" s="20">
        <v>4.5764063898597718E-2</v>
      </c>
      <c r="H53" s="20">
        <v>0</v>
      </c>
      <c r="I53" s="20">
        <v>5.4504765760486967E-3</v>
      </c>
      <c r="J53" s="20">
        <v>0.79778545484675401</v>
      </c>
      <c r="K53" s="20">
        <v>7.1190329663915988E-2</v>
      </c>
      <c r="L53" s="20">
        <v>0</v>
      </c>
    </row>
    <row r="54" spans="1:12">
      <c r="A54" s="2" t="s">
        <v>333</v>
      </c>
      <c r="B54" s="3" t="s">
        <v>334</v>
      </c>
      <c r="D54" s="20">
        <v>1.2941630228428827E-7</v>
      </c>
      <c r="E54" s="20">
        <v>0.17741051055196999</v>
      </c>
      <c r="F54" s="20">
        <v>0.12373930465646321</v>
      </c>
      <c r="G54" s="20">
        <v>4.212144161420342E-2</v>
      </c>
      <c r="H54" s="20">
        <v>0</v>
      </c>
      <c r="I54" s="20">
        <v>1.1549764281303361E-2</v>
      </c>
      <c r="J54" s="20">
        <v>0.72822681463691852</v>
      </c>
      <c r="K54" s="20">
        <v>9.4362545394809108E-2</v>
      </c>
      <c r="L54" s="20">
        <v>0</v>
      </c>
    </row>
    <row r="55" spans="1:12">
      <c r="A55" s="2" t="s">
        <v>335</v>
      </c>
      <c r="B55" s="3" t="s">
        <v>336</v>
      </c>
      <c r="D55" s="20">
        <v>3.0373589508040505E-4</v>
      </c>
      <c r="E55" s="20">
        <v>8.3463590314211064E-2</v>
      </c>
      <c r="F55" s="20">
        <v>3.2667417544655658E-2</v>
      </c>
      <c r="G55" s="20">
        <v>4.954620086025311E-2</v>
      </c>
      <c r="H55" s="20">
        <v>0</v>
      </c>
      <c r="I55" s="20">
        <v>1.2499719093022916E-3</v>
      </c>
      <c r="J55" s="20">
        <v>0.8771389734526569</v>
      </c>
      <c r="K55" s="20">
        <v>3.9093700338051589E-2</v>
      </c>
      <c r="L55" s="20">
        <v>0</v>
      </c>
    </row>
    <row r="56" spans="1:12">
      <c r="A56" s="2" t="s">
        <v>337</v>
      </c>
      <c r="B56" s="3" t="s">
        <v>338</v>
      </c>
      <c r="D56" s="20">
        <v>4.9001900554887539E-5</v>
      </c>
      <c r="E56" s="20">
        <v>0.19206553894348669</v>
      </c>
      <c r="F56" s="20">
        <v>0.13722448479947197</v>
      </c>
      <c r="G56" s="20">
        <v>4.0994648245104903E-2</v>
      </c>
      <c r="H56" s="20">
        <v>0</v>
      </c>
      <c r="I56" s="20">
        <v>1.3846405898909809E-2</v>
      </c>
      <c r="J56" s="20">
        <v>0.7072795279984726</v>
      </c>
      <c r="K56" s="20">
        <v>0.10060593115748588</v>
      </c>
      <c r="L56" s="20">
        <v>0</v>
      </c>
    </row>
    <row r="57" spans="1:12">
      <c r="A57" s="2" t="s">
        <v>279</v>
      </c>
      <c r="B57" s="3" t="s">
        <v>280</v>
      </c>
      <c r="D57" s="20">
        <v>5.4626010725363876E-3</v>
      </c>
      <c r="E57" s="20">
        <v>0.3224761157489161</v>
      </c>
      <c r="F57" s="20">
        <v>0.13170982416525903</v>
      </c>
      <c r="G57" s="20">
        <v>2.6297455285362006E-2</v>
      </c>
      <c r="H57" s="20">
        <v>0</v>
      </c>
      <c r="I57" s="20">
        <v>0.16446883629829509</v>
      </c>
      <c r="J57" s="20">
        <v>0.44074290108601832</v>
      </c>
      <c r="K57" s="20">
        <v>0.2313183820925292</v>
      </c>
      <c r="L57" s="20">
        <v>0</v>
      </c>
    </row>
    <row r="58" spans="1:12">
      <c r="A58" s="2" t="s">
        <v>339</v>
      </c>
      <c r="B58" s="3" t="s">
        <v>340</v>
      </c>
      <c r="D58" s="20">
        <v>4.5000742871739866E-7</v>
      </c>
      <c r="E58" s="20">
        <v>0.17586165378451046</v>
      </c>
      <c r="F58" s="20">
        <v>0.12230335409990709</v>
      </c>
      <c r="G58" s="20">
        <v>4.2240973919097598E-2</v>
      </c>
      <c r="H58" s="20">
        <v>0</v>
      </c>
      <c r="I58" s="20">
        <v>1.1317325765505766E-2</v>
      </c>
      <c r="J58" s="20">
        <v>0.73046146359386865</v>
      </c>
      <c r="K58" s="20">
        <v>9.3676432614192132E-2</v>
      </c>
      <c r="L58" s="20">
        <v>0</v>
      </c>
    </row>
    <row r="59" spans="1:12">
      <c r="A59" s="2" t="s">
        <v>281</v>
      </c>
      <c r="B59" s="3" t="s">
        <v>282</v>
      </c>
      <c r="D59" s="20">
        <v>4.4224058506048085E-5</v>
      </c>
      <c r="E59" s="20">
        <v>0.3075528619343148</v>
      </c>
      <c r="F59" s="20">
        <v>0.14344231320992676</v>
      </c>
      <c r="G59" s="20">
        <v>2.8065503348132171E-2</v>
      </c>
      <c r="H59" s="20">
        <v>0</v>
      </c>
      <c r="I59" s="20">
        <v>0.13604504537625586</v>
      </c>
      <c r="J59" s="20">
        <v>0.47156722716133004</v>
      </c>
      <c r="K59" s="20">
        <v>0.22083568684584914</v>
      </c>
      <c r="L59" s="20">
        <v>0</v>
      </c>
    </row>
    <row r="60" spans="1:12">
      <c r="A60" s="2" t="s">
        <v>341</v>
      </c>
      <c r="B60" s="3" t="s">
        <v>342</v>
      </c>
      <c r="D60" s="20">
        <v>5.3734690725893038E-4</v>
      </c>
      <c r="E60" s="20">
        <v>0.14081253224616294</v>
      </c>
      <c r="F60" s="20">
        <v>8.9263402678866469E-2</v>
      </c>
      <c r="G60" s="20">
        <v>4.4954067493771274E-2</v>
      </c>
      <c r="H60" s="20">
        <v>0</v>
      </c>
      <c r="I60" s="20">
        <v>6.595062073525196E-3</v>
      </c>
      <c r="J60" s="20">
        <v>0.78204365730953052</v>
      </c>
      <c r="K60" s="20">
        <v>7.6606463537047614E-2</v>
      </c>
      <c r="L60" s="20">
        <v>0</v>
      </c>
    </row>
    <row r="61" spans="1:12">
      <c r="A61" s="2" t="s">
        <v>483</v>
      </c>
      <c r="B61" s="3" t="s">
        <v>484</v>
      </c>
      <c r="D61" s="20">
        <v>8.7638592262994368E-14</v>
      </c>
      <c r="E61" s="20">
        <v>0.4873589744257204</v>
      </c>
      <c r="F61" s="20">
        <v>6.5892634375000009E-2</v>
      </c>
      <c r="G61" s="20">
        <v>1.0978789745494221E-2</v>
      </c>
      <c r="H61" s="20">
        <v>0</v>
      </c>
      <c r="I61" s="20">
        <v>0.41048755030522616</v>
      </c>
      <c r="J61" s="20">
        <v>0.39072778125830349</v>
      </c>
      <c r="K61" s="20">
        <v>0.12191324431588854</v>
      </c>
      <c r="L61" s="20">
        <v>0</v>
      </c>
    </row>
    <row r="62" spans="1:12">
      <c r="A62" s="2" t="s">
        <v>485</v>
      </c>
      <c r="B62" s="3" t="s">
        <v>486</v>
      </c>
      <c r="D62" s="20">
        <v>3.083557461604243E-7</v>
      </c>
      <c r="E62" s="20">
        <v>0.45638508132324856</v>
      </c>
      <c r="F62" s="20">
        <v>7.8644929990612039E-2</v>
      </c>
      <c r="G62" s="20">
        <v>1.7280897153990525E-2</v>
      </c>
      <c r="H62" s="20">
        <v>0</v>
      </c>
      <c r="I62" s="20">
        <v>0.36045925417864599</v>
      </c>
      <c r="J62" s="20">
        <v>0.28618250628912778</v>
      </c>
      <c r="K62" s="20">
        <v>0.2574321040318775</v>
      </c>
      <c r="L62" s="20">
        <v>0</v>
      </c>
    </row>
    <row r="63" spans="1:12">
      <c r="A63" s="2" t="s">
        <v>487</v>
      </c>
      <c r="B63" s="3" t="s">
        <v>488</v>
      </c>
      <c r="D63" s="20">
        <v>5.6577748976092403E-13</v>
      </c>
      <c r="E63" s="20">
        <v>0.94492138978325102</v>
      </c>
      <c r="F63" s="20">
        <v>3.2443996392475527E-3</v>
      </c>
      <c r="G63" s="20">
        <v>4.2808607092383472E-4</v>
      </c>
      <c r="H63" s="20">
        <v>0</v>
      </c>
      <c r="I63" s="20">
        <v>0.9412489040730796</v>
      </c>
      <c r="J63" s="20">
        <v>3.7918996081921855E-2</v>
      </c>
      <c r="K63" s="20">
        <v>1.7159614134261446E-2</v>
      </c>
      <c r="L63" s="20">
        <v>0</v>
      </c>
    </row>
    <row r="64" spans="1:12">
      <c r="A64" s="2" t="s">
        <v>489</v>
      </c>
      <c r="B64" s="3" t="s">
        <v>490</v>
      </c>
      <c r="D64" s="20">
        <v>1.0355044193216563E-14</v>
      </c>
      <c r="E64" s="20">
        <v>0.99740597459294977</v>
      </c>
      <c r="F64" s="20">
        <v>1.2277923703919061E-3</v>
      </c>
      <c r="G64" s="20">
        <v>1.5244117624429978E-5</v>
      </c>
      <c r="H64" s="20">
        <v>0</v>
      </c>
      <c r="I64" s="20">
        <v>0.99616293810493339</v>
      </c>
      <c r="J64" s="20">
        <v>7.4476227299594198E-4</v>
      </c>
      <c r="K64" s="20">
        <v>1.8492631340439652E-3</v>
      </c>
      <c r="L64" s="20">
        <v>0</v>
      </c>
    </row>
    <row r="65" spans="1:12">
      <c r="A65" s="2" t="s">
        <v>491</v>
      </c>
      <c r="B65" s="3" t="s">
        <v>492</v>
      </c>
      <c r="D65" s="20">
        <v>1.7038385670635953E-12</v>
      </c>
      <c r="E65" s="20">
        <v>0.99598097240689221</v>
      </c>
      <c r="F65" s="20">
        <v>1.5881048165061523E-4</v>
      </c>
      <c r="G65" s="20">
        <v>7.063544464594721E-6</v>
      </c>
      <c r="H65" s="20">
        <v>0</v>
      </c>
      <c r="I65" s="20">
        <v>0.99581509838077698</v>
      </c>
      <c r="J65" s="20">
        <v>3.2048875703273578E-3</v>
      </c>
      <c r="K65" s="20">
        <v>8.1414002107667381E-4</v>
      </c>
      <c r="L65" s="20">
        <v>0</v>
      </c>
    </row>
    <row r="66" spans="1:12">
      <c r="A66" s="2" t="s">
        <v>493</v>
      </c>
      <c r="B66" s="3" t="s">
        <v>494</v>
      </c>
      <c r="D66" s="20">
        <v>2.0352950624184981E-11</v>
      </c>
      <c r="E66" s="20">
        <v>0.72294600945857057</v>
      </c>
      <c r="F66" s="20">
        <v>1.8276919767012151E-2</v>
      </c>
      <c r="G66" s="20">
        <v>4.5805311847435835E-4</v>
      </c>
      <c r="H66" s="20">
        <v>0</v>
      </c>
      <c r="I66" s="20">
        <v>0.70421103657308404</v>
      </c>
      <c r="J66" s="20">
        <v>0.27041453807123317</v>
      </c>
      <c r="K66" s="20">
        <v>6.6394524498433177E-3</v>
      </c>
      <c r="L66" s="20">
        <v>0</v>
      </c>
    </row>
    <row r="67" spans="1:12">
      <c r="A67" s="2" t="s">
        <v>495</v>
      </c>
      <c r="B67" s="3" t="s">
        <v>496</v>
      </c>
      <c r="D67" s="20">
        <v>1.3316621948426301E-12</v>
      </c>
      <c r="E67" s="20">
        <v>0.99641393835348979</v>
      </c>
      <c r="F67" s="20">
        <v>1.3397461093178186E-4</v>
      </c>
      <c r="G67" s="20">
        <v>7.323816232302764E-6</v>
      </c>
      <c r="H67" s="20">
        <v>0</v>
      </c>
      <c r="I67" s="20">
        <v>0.99627263992632575</v>
      </c>
      <c r="J67" s="20">
        <v>2.6701915910828586E-3</v>
      </c>
      <c r="K67" s="20">
        <v>9.1587005409553203E-4</v>
      </c>
      <c r="L67" s="20">
        <v>0</v>
      </c>
    </row>
    <row r="68" spans="1:12">
      <c r="A68" s="2" t="s">
        <v>497</v>
      </c>
      <c r="B68" s="3" t="s">
        <v>498</v>
      </c>
      <c r="D68" s="20">
        <v>1.2058543827904202E-11</v>
      </c>
      <c r="E68" s="20">
        <v>0.99926964416475905</v>
      </c>
      <c r="F68" s="20">
        <v>1.5954248205468138E-5</v>
      </c>
      <c r="G68" s="20">
        <v>1.230955689848514E-6</v>
      </c>
      <c r="H68" s="20">
        <v>0</v>
      </c>
      <c r="I68" s="20">
        <v>0.99925245896086379</v>
      </c>
      <c r="J68" s="20">
        <v>3.5982969282903485E-4</v>
      </c>
      <c r="K68" s="20">
        <v>3.7052613035332268E-4</v>
      </c>
      <c r="L68" s="20">
        <v>0</v>
      </c>
    </row>
    <row r="69" spans="1:12">
      <c r="A69" s="2" t="s">
        <v>499</v>
      </c>
      <c r="B69" s="3" t="s">
        <v>500</v>
      </c>
      <c r="D69" s="20">
        <v>1.3218854468308066E-11</v>
      </c>
      <c r="E69" s="20">
        <v>0.21050374705754932</v>
      </c>
      <c r="F69" s="20">
        <v>0.15392264072883227</v>
      </c>
      <c r="G69" s="20">
        <v>3.960117399495542E-2</v>
      </c>
      <c r="H69" s="20">
        <v>0</v>
      </c>
      <c r="I69" s="20">
        <v>1.6979932333761626E-2</v>
      </c>
      <c r="J69" s="20">
        <v>0.68162034058901388</v>
      </c>
      <c r="K69" s="20">
        <v>0.10787591234021789</v>
      </c>
      <c r="L69" s="20">
        <v>0</v>
      </c>
    </row>
    <row r="70" spans="1:12">
      <c r="A70" s="2" t="s">
        <v>501</v>
      </c>
      <c r="B70" s="3" t="s">
        <v>411</v>
      </c>
      <c r="D70" s="20">
        <v>2.2186962604678957E-13</v>
      </c>
      <c r="E70" s="20">
        <v>0.99873488821587419</v>
      </c>
      <c r="F70" s="20">
        <v>3.0953982713493701E-3</v>
      </c>
      <c r="G70" s="20">
        <v>2.9417933364877114E-7</v>
      </c>
      <c r="H70" s="20">
        <v>0</v>
      </c>
      <c r="I70" s="20">
        <v>0.99563919576519122</v>
      </c>
      <c r="J70" s="20">
        <v>1.2405811607580062E-3</v>
      </c>
      <c r="K70" s="20">
        <v>2.4530623145784685E-5</v>
      </c>
      <c r="L70" s="20">
        <v>0</v>
      </c>
    </row>
    <row r="71" spans="1:12">
      <c r="A71" s="2" t="s">
        <v>502</v>
      </c>
      <c r="B71" s="3" t="s">
        <v>412</v>
      </c>
      <c r="D71" s="20">
        <v>1.0374714976193696E-8</v>
      </c>
      <c r="E71" s="20">
        <v>0.99770024539175783</v>
      </c>
      <c r="F71" s="20">
        <v>5.9073852300089826E-3</v>
      </c>
      <c r="G71" s="20">
        <v>5.3686069185270714E-7</v>
      </c>
      <c r="H71" s="20">
        <v>0</v>
      </c>
      <c r="I71" s="20">
        <v>0.99179232330105704</v>
      </c>
      <c r="J71" s="20">
        <v>2.2653442664080873E-3</v>
      </c>
      <c r="K71" s="20">
        <v>3.4399967118981172E-5</v>
      </c>
      <c r="L71" s="20">
        <v>0</v>
      </c>
    </row>
    <row r="72" spans="1:12">
      <c r="A72" s="2" t="s">
        <v>503</v>
      </c>
      <c r="B72" s="3" t="s">
        <v>413</v>
      </c>
      <c r="D72" s="20">
        <v>4.2358113323159041E-10</v>
      </c>
      <c r="E72" s="20">
        <v>0.32687052032012448</v>
      </c>
      <c r="F72" s="20">
        <v>0.31438029272728862</v>
      </c>
      <c r="G72" s="20">
        <v>1.4438420076672294E-4</v>
      </c>
      <c r="H72" s="20">
        <v>0</v>
      </c>
      <c r="I72" s="20">
        <v>1.2345843392069161E-2</v>
      </c>
      <c r="J72" s="20">
        <v>0.67301203924241149</v>
      </c>
      <c r="K72" s="20">
        <v>1.1744001388282303E-4</v>
      </c>
      <c r="L72" s="20">
        <v>0</v>
      </c>
    </row>
    <row r="73" spans="1:12">
      <c r="A73" s="2" t="s">
        <v>504</v>
      </c>
      <c r="B73" s="3" t="s">
        <v>414</v>
      </c>
      <c r="D73" s="20">
        <v>1.1117506544857484E-9</v>
      </c>
      <c r="E73" s="20">
        <v>0.84190312841455461</v>
      </c>
      <c r="F73" s="20">
        <v>0.61182342357595332</v>
      </c>
      <c r="G73" s="20">
        <v>3.5366367792415033E-5</v>
      </c>
      <c r="H73" s="20">
        <v>0</v>
      </c>
      <c r="I73" s="20">
        <v>0.23004433847080893</v>
      </c>
      <c r="J73" s="20">
        <v>0.15790558284661088</v>
      </c>
      <c r="K73" s="20">
        <v>1.9128762708380795E-4</v>
      </c>
      <c r="L73" s="20">
        <v>0</v>
      </c>
    </row>
    <row r="74" spans="1:12">
      <c r="A74" s="2" t="s">
        <v>505</v>
      </c>
      <c r="B74" s="3" t="s">
        <v>415</v>
      </c>
      <c r="D74" s="20">
        <v>1.2766428048559432E-9</v>
      </c>
      <c r="E74" s="20">
        <v>0.99790233930092997</v>
      </c>
      <c r="F74" s="20">
        <v>5.3491910338220559E-3</v>
      </c>
      <c r="G74" s="20">
        <v>4.8826148445338983E-7</v>
      </c>
      <c r="H74" s="20">
        <v>0</v>
      </c>
      <c r="I74" s="20">
        <v>0.99255266000562348</v>
      </c>
      <c r="J74" s="20">
        <v>2.0650795868725601E-3</v>
      </c>
      <c r="K74" s="20">
        <v>3.257983555478875E-5</v>
      </c>
      <c r="L74" s="20">
        <v>0</v>
      </c>
    </row>
    <row r="75" spans="1:12">
      <c r="A75" s="2" t="s">
        <v>506</v>
      </c>
      <c r="B75" s="3" t="s">
        <v>416</v>
      </c>
      <c r="D75" s="20">
        <v>4.5935892524960475E-9</v>
      </c>
      <c r="E75" s="20">
        <v>0.84709972397149758</v>
      </c>
      <c r="F75" s="20">
        <v>0.58502020424788659</v>
      </c>
      <c r="G75" s="20">
        <v>3.4255887549909838E-5</v>
      </c>
      <c r="H75" s="20">
        <v>0</v>
      </c>
      <c r="I75" s="20">
        <v>0.26204526383606108</v>
      </c>
      <c r="J75" s="20">
        <v>0.15270137287209939</v>
      </c>
      <c r="K75" s="20">
        <v>1.9889856281363555E-4</v>
      </c>
      <c r="L75" s="20">
        <v>0</v>
      </c>
    </row>
    <row r="76" spans="1:12">
      <c r="A76" s="2" t="s">
        <v>507</v>
      </c>
      <c r="B76" s="3" t="s">
        <v>417</v>
      </c>
      <c r="D76" s="20">
        <v>3.3248487559736756E-8</v>
      </c>
      <c r="E76" s="20">
        <v>0.96659469259667374</v>
      </c>
      <c r="F76" s="20">
        <v>0.10567956405572858</v>
      </c>
      <c r="G76" s="20">
        <v>7.6852380975563297E-6</v>
      </c>
      <c r="H76" s="20">
        <v>0</v>
      </c>
      <c r="I76" s="20">
        <v>0.86090744330284763</v>
      </c>
      <c r="J76" s="20">
        <v>3.3260745570851673E-2</v>
      </c>
      <c r="K76" s="20">
        <v>1.4452858398690413E-4</v>
      </c>
      <c r="L76" s="20">
        <v>0</v>
      </c>
    </row>
    <row r="77" spans="1:12">
      <c r="A77" s="2" t="s">
        <v>508</v>
      </c>
      <c r="B77" s="3" t="s">
        <v>418</v>
      </c>
      <c r="D77" s="20">
        <v>3.4063672439919063E-8</v>
      </c>
      <c r="E77" s="20">
        <v>0.84331580668936945</v>
      </c>
      <c r="F77" s="20">
        <v>0.60438069883251022</v>
      </c>
      <c r="G77" s="20">
        <v>3.5170367019494776E-5</v>
      </c>
      <c r="H77" s="20">
        <v>0</v>
      </c>
      <c r="I77" s="20">
        <v>0.23889993748983979</v>
      </c>
      <c r="J77" s="20">
        <v>0.15649003788881394</v>
      </c>
      <c r="K77" s="20">
        <v>1.9412135814413716E-4</v>
      </c>
      <c r="L77" s="20">
        <v>0</v>
      </c>
    </row>
    <row r="78" spans="1:12">
      <c r="A78" s="2" t="s">
        <v>509</v>
      </c>
      <c r="B78" s="3" t="s">
        <v>419</v>
      </c>
      <c r="D78" s="20">
        <v>1.9092207499969713E-9</v>
      </c>
      <c r="E78" s="20">
        <v>0.36783827137697067</v>
      </c>
      <c r="F78" s="20">
        <v>0.35235046732998543</v>
      </c>
      <c r="G78" s="20">
        <v>1.3596878320610092E-4</v>
      </c>
      <c r="H78" s="20">
        <v>0</v>
      </c>
      <c r="I78" s="20">
        <v>1.5351835263779144E-2</v>
      </c>
      <c r="J78" s="20">
        <v>0.63203683442296088</v>
      </c>
      <c r="K78" s="20">
        <v>1.248922908474361E-4</v>
      </c>
      <c r="L78" s="20">
        <v>0</v>
      </c>
    </row>
    <row r="79" spans="1:12">
      <c r="A79" s="2" t="s">
        <v>510</v>
      </c>
      <c r="B79" s="3" t="s">
        <v>420</v>
      </c>
      <c r="D79" s="20">
        <v>4.7957478133377583E-14</v>
      </c>
      <c r="E79" s="20">
        <v>0.3678383937921087</v>
      </c>
      <c r="F79" s="20">
        <v>0.3523506052026763</v>
      </c>
      <c r="G79" s="20">
        <v>1.3594731856930175E-4</v>
      </c>
      <c r="H79" s="20">
        <v>0</v>
      </c>
      <c r="I79" s="20">
        <v>1.5351841270863094E-2</v>
      </c>
      <c r="J79" s="20">
        <v>0.63203673363304824</v>
      </c>
      <c r="K79" s="20">
        <v>1.2487257479498021E-4</v>
      </c>
      <c r="L79" s="20">
        <v>0</v>
      </c>
    </row>
    <row r="80" spans="1:12">
      <c r="A80" s="2" t="s">
        <v>511</v>
      </c>
      <c r="B80" s="3" t="s">
        <v>421</v>
      </c>
      <c r="D80" s="20">
        <v>5.5581444512804199E-9</v>
      </c>
      <c r="E80" s="20">
        <v>0.91256471793899363</v>
      </c>
      <c r="F80" s="20">
        <v>0.30335316858797068</v>
      </c>
      <c r="G80" s="20">
        <v>1.9838685596968908E-5</v>
      </c>
      <c r="H80" s="20">
        <v>0</v>
      </c>
      <c r="I80" s="20">
        <v>0.60919171066542599</v>
      </c>
      <c r="J80" s="20">
        <v>8.7223728312061252E-2</v>
      </c>
      <c r="K80" s="20">
        <v>2.1154819080077851E-4</v>
      </c>
      <c r="L80" s="20">
        <v>0</v>
      </c>
    </row>
    <row r="81" spans="1:12">
      <c r="A81" s="2" t="s">
        <v>512</v>
      </c>
      <c r="B81" s="3" t="s">
        <v>422</v>
      </c>
      <c r="D81" s="20">
        <v>2.3930289664144658E-9</v>
      </c>
      <c r="E81" s="20">
        <v>0.99174871395741171</v>
      </c>
      <c r="F81" s="20">
        <v>2.3397349458091837E-2</v>
      </c>
      <c r="G81" s="20">
        <v>1.9121899038285956E-6</v>
      </c>
      <c r="H81" s="20">
        <v>0</v>
      </c>
      <c r="I81" s="20">
        <v>0.96834945230941605</v>
      </c>
      <c r="J81" s="20">
        <v>8.1818088277503202E-3</v>
      </c>
      <c r="K81" s="20">
        <v>6.9474821808885313E-5</v>
      </c>
      <c r="L81" s="20">
        <v>0</v>
      </c>
    </row>
    <row r="82" spans="1:12">
      <c r="A82" s="2" t="s">
        <v>513</v>
      </c>
      <c r="B82" s="3" t="s">
        <v>423</v>
      </c>
      <c r="D82" s="20">
        <v>7.5811430401113525E-13</v>
      </c>
      <c r="E82" s="20">
        <v>0.98051040455108018</v>
      </c>
      <c r="F82" s="20">
        <v>5.9040955216722854E-2</v>
      </c>
      <c r="G82" s="20">
        <v>4.4900274847411152E-6</v>
      </c>
      <c r="H82" s="20">
        <v>0</v>
      </c>
      <c r="I82" s="20">
        <v>0.92146495930687256</v>
      </c>
      <c r="J82" s="20">
        <v>1.9379708675071543E-2</v>
      </c>
      <c r="K82" s="20">
        <v>1.0988677309023E-4</v>
      </c>
      <c r="L82" s="20">
        <v>0</v>
      </c>
    </row>
    <row r="83" spans="1:12">
      <c r="A83" s="2" t="s">
        <v>514</v>
      </c>
      <c r="B83" s="3" t="s">
        <v>424</v>
      </c>
      <c r="D83" s="20">
        <v>4.2953015657054144E-10</v>
      </c>
      <c r="E83" s="20">
        <v>0.22832632229873226</v>
      </c>
      <c r="F83" s="20">
        <v>0.22162174310876959</v>
      </c>
      <c r="G83" s="20">
        <v>1.6427698575271799E-4</v>
      </c>
      <c r="H83" s="20">
        <v>0</v>
      </c>
      <c r="I83" s="20">
        <v>6.5403022042099437E-3</v>
      </c>
      <c r="J83" s="20">
        <v>0.7715780298767414</v>
      </c>
      <c r="K83" s="20">
        <v>9.5647394996156945E-5</v>
      </c>
      <c r="L83" s="20">
        <v>0</v>
      </c>
    </row>
    <row r="84" spans="1:12">
      <c r="A84" s="2" t="s">
        <v>403</v>
      </c>
      <c r="B84" s="3" t="s">
        <v>404</v>
      </c>
      <c r="D84" s="20">
        <v>5.9778369546401275E-44</v>
      </c>
      <c r="E84" s="20">
        <v>0.55514611352298959</v>
      </c>
      <c r="F84" s="20">
        <v>5.3059450723193451E-2</v>
      </c>
      <c r="G84" s="20">
        <v>1.2276040291766642E-2</v>
      </c>
      <c r="H84" s="20">
        <v>0</v>
      </c>
      <c r="I84" s="20">
        <v>0.48981062250802948</v>
      </c>
      <c r="J84" s="20">
        <v>0.20199459374448969</v>
      </c>
      <c r="K84" s="20">
        <v>0.24285929273252077</v>
      </c>
      <c r="L84" s="20">
        <v>0</v>
      </c>
    </row>
    <row r="85" spans="1:12">
      <c r="A85" s="2" t="s">
        <v>405</v>
      </c>
      <c r="B85" s="3" t="s">
        <v>406</v>
      </c>
      <c r="D85" s="20">
        <v>3.2180825373616403E-9</v>
      </c>
      <c r="E85" s="20">
        <v>4.0122938453863673E-2</v>
      </c>
      <c r="F85" s="20">
        <v>2.3730590666463713E-2</v>
      </c>
      <c r="G85" s="20">
        <v>1.2406016101288828E-3</v>
      </c>
      <c r="H85" s="20">
        <v>0</v>
      </c>
      <c r="I85" s="20">
        <v>1.5151746177271079E-2</v>
      </c>
      <c r="J85" s="20">
        <v>0.95790768178313068</v>
      </c>
      <c r="K85" s="20">
        <v>1.9693765449231748E-3</v>
      </c>
      <c r="L85" s="20">
        <v>0</v>
      </c>
    </row>
    <row r="86" spans="1:12">
      <c r="A86" s="2" t="s">
        <v>407</v>
      </c>
      <c r="B86" s="3" t="s">
        <v>408</v>
      </c>
      <c r="D86" s="20">
        <v>1.3956847646369716E-5</v>
      </c>
      <c r="E86" s="20">
        <v>6.3214663512392272E-2</v>
      </c>
      <c r="F86" s="20">
        <v>1.1997921664401539E-2</v>
      </c>
      <c r="G86" s="20">
        <v>5.0968467716299683E-2</v>
      </c>
      <c r="H86" s="20">
        <v>0</v>
      </c>
      <c r="I86" s="20">
        <v>2.4827413169105188E-4</v>
      </c>
      <c r="J86" s="20">
        <v>0.91718302319589418</v>
      </c>
      <c r="K86" s="20">
        <v>1.9588356444067145E-2</v>
      </c>
      <c r="L86" s="20">
        <v>0</v>
      </c>
    </row>
    <row r="87" spans="1:12">
      <c r="A87" s="2" t="s">
        <v>409</v>
      </c>
      <c r="B87" s="3" t="s">
        <v>410</v>
      </c>
      <c r="D87" s="20">
        <v>1.535763078226859E-6</v>
      </c>
      <c r="E87" s="20">
        <v>5.6971309745719539E-2</v>
      </c>
      <c r="F87" s="20">
        <v>5.7456994738910253E-3</v>
      </c>
      <c r="G87" s="20">
        <v>5.1149154838116162E-2</v>
      </c>
      <c r="H87" s="20">
        <v>0</v>
      </c>
      <c r="I87" s="20">
        <v>7.645543371235211E-5</v>
      </c>
      <c r="J87" s="20">
        <v>0.93130155967675565</v>
      </c>
      <c r="K87" s="20">
        <v>1.1725594814446641E-2</v>
      </c>
      <c r="L87" s="20">
        <v>0</v>
      </c>
    </row>
    <row r="88" spans="1:12">
      <c r="A88" s="2" t="s">
        <v>301</v>
      </c>
      <c r="B88" s="3" t="s">
        <v>302</v>
      </c>
      <c r="D88" s="20">
        <v>1.7563054612037173E-7</v>
      </c>
      <c r="E88" s="20">
        <v>5.3433644696304614E-2</v>
      </c>
      <c r="F88" s="20">
        <v>2.4672816915798533E-3</v>
      </c>
      <c r="G88" s="20">
        <v>5.0946492715632598E-2</v>
      </c>
      <c r="H88" s="20">
        <v>0</v>
      </c>
      <c r="I88" s="20">
        <v>1.9870289092163949E-5</v>
      </c>
      <c r="J88" s="20">
        <v>0.94007668751191886</v>
      </c>
      <c r="K88" s="20">
        <v>6.4894921612305614E-3</v>
      </c>
      <c r="L88" s="20">
        <v>0</v>
      </c>
    </row>
    <row r="89" spans="1:12">
      <c r="A89" s="2" t="s">
        <v>303</v>
      </c>
      <c r="B89" s="3" t="s">
        <v>304</v>
      </c>
      <c r="D89" s="20">
        <v>9.9598319713892894E-15</v>
      </c>
      <c r="E89" s="20">
        <v>4.1491101357871265E-3</v>
      </c>
      <c r="F89" s="20">
        <v>1.124847091451667E-3</v>
      </c>
      <c r="G89" s="20">
        <v>2.9254963835030736E-3</v>
      </c>
      <c r="H89" s="20">
        <v>0</v>
      </c>
      <c r="I89" s="20">
        <v>9.876666083238573E-5</v>
      </c>
      <c r="J89" s="20">
        <v>0.99533029966665898</v>
      </c>
      <c r="K89" s="20">
        <v>5.2059019754386703E-4</v>
      </c>
      <c r="L89" s="20">
        <v>0</v>
      </c>
    </row>
    <row r="90" spans="1:12">
      <c r="A90" s="2" t="s">
        <v>425</v>
      </c>
      <c r="B90" s="3" t="s">
        <v>426</v>
      </c>
      <c r="D90" s="20">
        <v>1.2611023559277504E-13</v>
      </c>
      <c r="E90" s="20">
        <v>0.98878283289228153</v>
      </c>
      <c r="F90" s="20">
        <v>9.2738711053315232E-5</v>
      </c>
      <c r="G90" s="20">
        <v>3.1137686548302099E-5</v>
      </c>
      <c r="H90" s="20">
        <v>0</v>
      </c>
      <c r="I90" s="20">
        <v>0.98865895649467994</v>
      </c>
      <c r="J90" s="20">
        <v>4.9252611299021394E-4</v>
      </c>
      <c r="K90" s="20">
        <v>1.0724640994602007E-2</v>
      </c>
      <c r="L90" s="20">
        <v>0</v>
      </c>
    </row>
    <row r="91" spans="1:12">
      <c r="A91" s="2" t="s">
        <v>427</v>
      </c>
      <c r="B91" s="3" t="s">
        <v>428</v>
      </c>
      <c r="D91" s="20">
        <v>7.6268233497330285E-5</v>
      </c>
      <c r="E91" s="20">
        <v>0.86381953842775916</v>
      </c>
      <c r="F91" s="20">
        <v>6.5427808189756492E-3</v>
      </c>
      <c r="G91" s="20">
        <v>1.8401699194943515E-3</v>
      </c>
      <c r="H91" s="20">
        <v>0</v>
      </c>
      <c r="I91" s="20">
        <v>0.85543658768928921</v>
      </c>
      <c r="J91" s="20">
        <v>2.9553974036845829E-2</v>
      </c>
      <c r="K91" s="20">
        <v>0.10655021930189769</v>
      </c>
      <c r="L91" s="20">
        <v>0</v>
      </c>
    </row>
    <row r="92" spans="1:12">
      <c r="A92" s="2" t="s">
        <v>429</v>
      </c>
      <c r="B92" s="3" t="s">
        <v>430</v>
      </c>
      <c r="D92" s="20">
        <v>8.2519657217150391E-4</v>
      </c>
      <c r="E92" s="20">
        <v>0.38976599056986627</v>
      </c>
      <c r="F92" s="20">
        <v>0.10110580691206431</v>
      </c>
      <c r="G92" s="20">
        <v>2.1333968767301256E-2</v>
      </c>
      <c r="H92" s="20">
        <v>0</v>
      </c>
      <c r="I92" s="20">
        <v>0.26732621489050074</v>
      </c>
      <c r="J92" s="20">
        <v>0.35509609708318635</v>
      </c>
      <c r="K92" s="20">
        <v>0.25431271577477599</v>
      </c>
      <c r="L92" s="20">
        <v>0</v>
      </c>
    </row>
    <row r="93" spans="1:12">
      <c r="A93" s="2" t="s">
        <v>431</v>
      </c>
      <c r="B93" s="3" t="s">
        <v>432</v>
      </c>
      <c r="D93" s="20">
        <v>9.3780405647740638E-18</v>
      </c>
      <c r="E93" s="20">
        <v>0.99972750659326126</v>
      </c>
      <c r="F93" s="20">
        <v>4.3631129844292981E-4</v>
      </c>
      <c r="G93" s="20">
        <v>3.495573037084614E-7</v>
      </c>
      <c r="H93" s="20">
        <v>0</v>
      </c>
      <c r="I93" s="20">
        <v>0.99929084573751459</v>
      </c>
      <c r="J93" s="20">
        <v>2.0792578329616832E-4</v>
      </c>
      <c r="K93" s="20">
        <v>6.4567623442420919E-5</v>
      </c>
      <c r="L93" s="20">
        <v>0</v>
      </c>
    </row>
    <row r="94" spans="1:12">
      <c r="A94" s="2" t="s">
        <v>433</v>
      </c>
      <c r="B94" s="3" t="s">
        <v>434</v>
      </c>
      <c r="D94" s="20">
        <v>1.9745119717410076E-18</v>
      </c>
      <c r="E94" s="20">
        <v>0.9999416102498726</v>
      </c>
      <c r="F94" s="20">
        <v>1.6915251363379235E-6</v>
      </c>
      <c r="G94" s="20">
        <v>2.3603374526504208E-9</v>
      </c>
      <c r="H94" s="20">
        <v>0</v>
      </c>
      <c r="I94" s="20">
        <v>0.99993991636439883</v>
      </c>
      <c r="J94" s="20">
        <v>5.6762439283917208E-5</v>
      </c>
      <c r="K94" s="20">
        <v>1.627310843458278E-6</v>
      </c>
      <c r="L94" s="20">
        <v>0</v>
      </c>
    </row>
    <row r="95" spans="1:12">
      <c r="A95" s="2" t="s">
        <v>435</v>
      </c>
      <c r="B95" s="3" t="s">
        <v>436</v>
      </c>
      <c r="D95" s="20">
        <v>1.0955310594140775E-8</v>
      </c>
      <c r="E95" s="20">
        <v>0.97258969974136278</v>
      </c>
      <c r="F95" s="20">
        <v>3.8637994047032055E-4</v>
      </c>
      <c r="G95" s="20">
        <v>1.3401265690294695E-4</v>
      </c>
      <c r="H95" s="20">
        <v>0</v>
      </c>
      <c r="I95" s="20">
        <v>0.97206930714398954</v>
      </c>
      <c r="J95" s="20">
        <v>2.1497721097674164E-3</v>
      </c>
      <c r="K95" s="20">
        <v>2.52605171935592E-2</v>
      </c>
      <c r="L95" s="20">
        <v>0</v>
      </c>
    </row>
    <row r="96" spans="1:12">
      <c r="A96" s="2" t="s">
        <v>437</v>
      </c>
      <c r="B96" s="165" t="s">
        <v>438</v>
      </c>
      <c r="D96" s="20">
        <v>2.7734220024862349E-8</v>
      </c>
      <c r="E96" s="20">
        <v>6.6886059807366921E-2</v>
      </c>
      <c r="F96" s="20">
        <v>1.574108416225789E-2</v>
      </c>
      <c r="G96" s="20">
        <v>5.0761003172404319E-2</v>
      </c>
      <c r="H96" s="20">
        <v>0</v>
      </c>
      <c r="I96" s="20">
        <v>3.8397247270470747E-4</v>
      </c>
      <c r="J96" s="20">
        <v>0.90946415903589395</v>
      </c>
      <c r="K96" s="20">
        <v>2.3649753422519189E-2</v>
      </c>
      <c r="L96" s="20">
        <v>0</v>
      </c>
    </row>
    <row r="97" spans="1:12">
      <c r="A97" s="2" t="s">
        <v>439</v>
      </c>
      <c r="B97" s="3" t="s">
        <v>440</v>
      </c>
      <c r="D97" s="20">
        <v>4.0145338452819769E-5</v>
      </c>
      <c r="E97" s="20">
        <v>0.79581928515959655</v>
      </c>
      <c r="F97" s="20">
        <v>1.3263367646769055E-2</v>
      </c>
      <c r="G97" s="20">
        <v>3.516813706343754E-3</v>
      </c>
      <c r="H97" s="20">
        <v>0</v>
      </c>
      <c r="I97" s="20">
        <v>0.77903910380648378</v>
      </c>
      <c r="J97" s="20">
        <v>5.6893797065006177E-2</v>
      </c>
      <c r="K97" s="20">
        <v>0.14724677243694456</v>
      </c>
      <c r="L97" s="20">
        <v>0</v>
      </c>
    </row>
    <row r="98" spans="1:12">
      <c r="A98" s="2" t="s">
        <v>441</v>
      </c>
      <c r="B98" s="3" t="s">
        <v>442</v>
      </c>
      <c r="D98" s="20">
        <v>2.5497912350294385E-17</v>
      </c>
      <c r="E98" s="20">
        <v>0.85289167483326933</v>
      </c>
      <c r="F98" s="20">
        <v>7.4941659909305491E-3</v>
      </c>
      <c r="G98" s="20">
        <v>2.0845814249091633E-3</v>
      </c>
      <c r="H98" s="20">
        <v>0</v>
      </c>
      <c r="I98" s="20">
        <v>0.84331292741742958</v>
      </c>
      <c r="J98" s="20">
        <v>3.3524815423074596E-2</v>
      </c>
      <c r="K98" s="20">
        <v>0.11358350974365611</v>
      </c>
      <c r="L98" s="20">
        <v>0</v>
      </c>
    </row>
    <row r="99" spans="1:12">
      <c r="A99" s="2" t="s">
        <v>443</v>
      </c>
      <c r="B99" s="3" t="s">
        <v>444</v>
      </c>
      <c r="D99" s="20">
        <v>3.5326301401467176E-29</v>
      </c>
      <c r="E99" s="20">
        <v>0.93867411963645575</v>
      </c>
      <c r="F99" s="20">
        <v>1.597779535220361E-3</v>
      </c>
      <c r="G99" s="20">
        <v>5.0189446899410854E-4</v>
      </c>
      <c r="H99" s="20">
        <v>0</v>
      </c>
      <c r="I99" s="20">
        <v>0.93657444563224124</v>
      </c>
      <c r="J99" s="20">
        <v>7.9544514412318926E-3</v>
      </c>
      <c r="K99" s="20">
        <v>5.3371428922312385E-2</v>
      </c>
      <c r="L99" s="20">
        <v>0</v>
      </c>
    </row>
    <row r="100" spans="1:12">
      <c r="A100" s="2" t="s">
        <v>445</v>
      </c>
      <c r="B100" s="3" t="s">
        <v>446</v>
      </c>
      <c r="D100" s="20">
        <v>5.2971460875288993E-8</v>
      </c>
      <c r="E100" s="20">
        <v>0.12300058054028599</v>
      </c>
      <c r="F100" s="20">
        <v>7.2004665072821425E-2</v>
      </c>
      <c r="G100" s="20">
        <v>4.6404082474034547E-2</v>
      </c>
      <c r="H100" s="20">
        <v>0</v>
      </c>
      <c r="I100" s="20">
        <v>4.5918329934300176E-3</v>
      </c>
      <c r="J100" s="20">
        <v>0.81043334348788876</v>
      </c>
      <c r="K100" s="20">
        <v>6.6566023000364627E-2</v>
      </c>
      <c r="L100" s="20">
        <v>0</v>
      </c>
    </row>
    <row r="101" spans="1:12">
      <c r="A101" s="2" t="s">
        <v>447</v>
      </c>
      <c r="B101" s="3" t="s">
        <v>448</v>
      </c>
      <c r="D101" s="20">
        <v>6.7429553725952443E-9</v>
      </c>
      <c r="E101" s="20">
        <v>0.44658818777347942</v>
      </c>
      <c r="F101" s="20">
        <v>8.1633603870695126E-2</v>
      </c>
      <c r="G101" s="20">
        <v>1.7838754349955632E-2</v>
      </c>
      <c r="H101" s="20">
        <v>0</v>
      </c>
      <c r="I101" s="20">
        <v>0.34711582955282866</v>
      </c>
      <c r="J101" s="20">
        <v>0.29562484504907172</v>
      </c>
      <c r="K101" s="20">
        <v>0.25778696043449351</v>
      </c>
      <c r="L101" s="20">
        <v>0</v>
      </c>
    </row>
    <row r="102" spans="1:12">
      <c r="A102" s="2" t="s">
        <v>449</v>
      </c>
      <c r="B102" s="3" t="s">
        <v>450</v>
      </c>
      <c r="D102" s="20">
        <v>3.8021800770642782E-4</v>
      </c>
      <c r="E102" s="20">
        <v>0.28791421107724097</v>
      </c>
      <c r="F102" s="20">
        <v>0.1604912524310044</v>
      </c>
      <c r="G102" s="20">
        <v>3.0377142715170696E-2</v>
      </c>
      <c r="H102" s="20">
        <v>0</v>
      </c>
      <c r="I102" s="20">
        <v>9.7045815931065871E-2</v>
      </c>
      <c r="J102" s="20">
        <v>0.51252666508732536</v>
      </c>
      <c r="K102" s="20">
        <v>0.19917890582772729</v>
      </c>
      <c r="L102" s="20">
        <v>0</v>
      </c>
    </row>
    <row r="103" spans="1:12">
      <c r="A103" s="2" t="s">
        <v>451</v>
      </c>
      <c r="B103" s="3" t="s">
        <v>452</v>
      </c>
      <c r="D103" s="20">
        <v>3.7518372634660311E-19</v>
      </c>
      <c r="E103" s="20">
        <v>0.99572119941308257</v>
      </c>
      <c r="F103" s="20">
        <v>1.15154248663613E-2</v>
      </c>
      <c r="G103" s="20">
        <v>1.1175196652122387E-6</v>
      </c>
      <c r="H103" s="20">
        <v>0</v>
      </c>
      <c r="I103" s="20">
        <v>0.98420465702705606</v>
      </c>
      <c r="J103" s="20">
        <v>4.2243313118894904E-3</v>
      </c>
      <c r="K103" s="20">
        <v>5.4469275027924069E-5</v>
      </c>
      <c r="L103" s="20">
        <v>0</v>
      </c>
    </row>
    <row r="104" spans="1:12">
      <c r="A104" s="2" t="s">
        <v>453</v>
      </c>
      <c r="B104" s="3" t="s">
        <v>454</v>
      </c>
      <c r="D104" s="20">
        <v>5.9818183145012945E-20</v>
      </c>
      <c r="E104" s="20">
        <v>0.74912774221136758</v>
      </c>
      <c r="F104" s="20">
        <v>0.67247698793349564</v>
      </c>
      <c r="G104" s="20">
        <v>7.121034301908897E-4</v>
      </c>
      <c r="H104" s="20">
        <v>0</v>
      </c>
      <c r="I104" s="20">
        <v>7.5938650847681088E-2</v>
      </c>
      <c r="J104" s="20">
        <v>0.24887865102455914</v>
      </c>
      <c r="K104" s="20">
        <v>1.9936067640734449E-3</v>
      </c>
      <c r="L104" s="20">
        <v>0</v>
      </c>
    </row>
    <row r="105" spans="1:12">
      <c r="A105" s="2" t="s">
        <v>455</v>
      </c>
      <c r="B105" s="165">
        <v>354656</v>
      </c>
      <c r="D105" s="20">
        <v>2.9094856671702308E-10</v>
      </c>
      <c r="E105" s="20">
        <v>0.98650944738010371</v>
      </c>
      <c r="F105" s="20">
        <v>9.9732086816669711E-5</v>
      </c>
      <c r="G105" s="20">
        <v>3.8577178608289014E-5</v>
      </c>
      <c r="H105" s="20">
        <v>0</v>
      </c>
      <c r="I105" s="20">
        <v>0.9863711381146788</v>
      </c>
      <c r="J105" s="20">
        <v>6.0132502833210966E-4</v>
      </c>
      <c r="K105" s="20">
        <v>1.2889227300615402E-2</v>
      </c>
      <c r="L105" s="20">
        <v>0</v>
      </c>
    </row>
    <row r="106" spans="1:12">
      <c r="A106" s="2" t="s">
        <v>457</v>
      </c>
      <c r="B106" s="3" t="s">
        <v>458</v>
      </c>
      <c r="D106" s="20">
        <v>4.3999370066717368E-10</v>
      </c>
      <c r="E106" s="20">
        <v>0.97119704140941876</v>
      </c>
      <c r="F106" s="20">
        <v>4.1955670705600122E-4</v>
      </c>
      <c r="G106" s="20">
        <v>1.4486589900382713E-4</v>
      </c>
      <c r="H106" s="20">
        <v>0</v>
      </c>
      <c r="I106" s="20">
        <v>0.97063261880335894</v>
      </c>
      <c r="J106" s="20">
        <v>2.3141397091855326E-3</v>
      </c>
      <c r="K106" s="20">
        <v>2.6488818441402162E-2</v>
      </c>
      <c r="L106" s="20">
        <v>0</v>
      </c>
    </row>
    <row r="107" spans="1:12">
      <c r="A107" s="2" t="s">
        <v>459</v>
      </c>
      <c r="B107" s="3" t="s">
        <v>460</v>
      </c>
      <c r="D107" s="20">
        <v>9.1615175927530646E-20</v>
      </c>
      <c r="E107" s="20">
        <v>0.26831411849273046</v>
      </c>
      <c r="F107" s="20">
        <v>0.18256403779647928</v>
      </c>
      <c r="G107" s="20">
        <v>3.1952395659678737E-2</v>
      </c>
      <c r="H107" s="20">
        <v>0</v>
      </c>
      <c r="I107" s="20">
        <v>5.3797685036572417E-2</v>
      </c>
      <c r="J107" s="20">
        <v>0.58322916662304225</v>
      </c>
      <c r="K107" s="20">
        <v>0.14845671488422729</v>
      </c>
      <c r="L107" s="20">
        <v>0</v>
      </c>
    </row>
    <row r="108" spans="1:12">
      <c r="A108" s="2" t="s">
        <v>461</v>
      </c>
      <c r="B108" s="3" t="s">
        <v>462</v>
      </c>
      <c r="D108" s="20">
        <v>8.5313876902987711E-10</v>
      </c>
      <c r="E108" s="20">
        <v>0.99994429699925591</v>
      </c>
      <c r="F108" s="20">
        <v>8.7621510945530693E-7</v>
      </c>
      <c r="G108" s="20">
        <v>2.5396409406806309E-8</v>
      </c>
      <c r="H108" s="20">
        <v>0</v>
      </c>
      <c r="I108" s="20">
        <v>0.99994339538773702</v>
      </c>
      <c r="J108" s="20">
        <v>3.2331607983364574E-5</v>
      </c>
      <c r="K108" s="20">
        <v>2.3370539622037469E-5</v>
      </c>
      <c r="L108" s="20">
        <v>0</v>
      </c>
    </row>
    <row r="109" spans="1:12">
      <c r="A109" s="2" t="s">
        <v>463</v>
      </c>
      <c r="B109" s="3" t="s">
        <v>464</v>
      </c>
      <c r="D109" s="20">
        <v>2.1328920174442994E-12</v>
      </c>
      <c r="E109" s="20">
        <v>0.90753753337096577</v>
      </c>
      <c r="F109" s="20">
        <v>5.6300253052246453E-3</v>
      </c>
      <c r="G109" s="20">
        <v>2.7984427251061072E-4</v>
      </c>
      <c r="H109" s="20">
        <v>0</v>
      </c>
      <c r="I109" s="20">
        <v>0.90162766379323056</v>
      </c>
      <c r="J109" s="20">
        <v>8.495984847454946E-2</v>
      </c>
      <c r="K109" s="20">
        <v>7.5026181523517831E-3</v>
      </c>
      <c r="L109" s="20">
        <v>0</v>
      </c>
    </row>
    <row r="110" spans="1:12">
      <c r="A110" s="2" t="s">
        <v>465</v>
      </c>
      <c r="B110" s="3" t="s">
        <v>466</v>
      </c>
      <c r="D110" s="20">
        <v>1.6258479880915262E-11</v>
      </c>
      <c r="E110" s="20">
        <v>0.99728119756005829</v>
      </c>
      <c r="F110" s="20">
        <v>2.2490572639554417E-5</v>
      </c>
      <c r="G110" s="20">
        <v>4.3029573250738971E-6</v>
      </c>
      <c r="H110" s="20">
        <v>0</v>
      </c>
      <c r="I110" s="20">
        <v>0.99725440403009369</v>
      </c>
      <c r="J110" s="20">
        <v>7.8440509360753758E-5</v>
      </c>
      <c r="K110" s="20">
        <v>2.6403619143225386E-3</v>
      </c>
      <c r="L110" s="20">
        <v>0</v>
      </c>
    </row>
    <row r="111" spans="1:12">
      <c r="A111" s="2" t="s">
        <v>467</v>
      </c>
      <c r="B111" s="3" t="s">
        <v>468</v>
      </c>
      <c r="D111" s="20">
        <v>2.8791522442478271E-30</v>
      </c>
      <c r="E111" s="20">
        <v>0.99999045976653633</v>
      </c>
      <c r="F111" s="20">
        <v>1.5923176717336491E-6</v>
      </c>
      <c r="G111" s="20">
        <v>1.3155327479250666E-9</v>
      </c>
      <c r="H111" s="20">
        <v>0</v>
      </c>
      <c r="I111" s="20">
        <v>0.99998886613333182</v>
      </c>
      <c r="J111" s="20">
        <v>7.1775905701113586E-6</v>
      </c>
      <c r="K111" s="20">
        <v>2.3626428936856441E-6</v>
      </c>
      <c r="L111" s="20">
        <v>0</v>
      </c>
    </row>
    <row r="112" spans="1:12">
      <c r="A112" s="2" t="s">
        <v>469</v>
      </c>
      <c r="B112" s="3" t="s">
        <v>470</v>
      </c>
      <c r="D112" s="20">
        <v>1.8285418317122433E-13</v>
      </c>
      <c r="E112" s="20">
        <v>0.99651536427840026</v>
      </c>
      <c r="F112" s="20">
        <v>7.7646803990518402E-6</v>
      </c>
      <c r="G112" s="20">
        <v>3.6275978837413557E-6</v>
      </c>
      <c r="H112" s="20">
        <v>0</v>
      </c>
      <c r="I112" s="20">
        <v>0.99650397200011742</v>
      </c>
      <c r="J112" s="20">
        <v>6.0779171958204703E-5</v>
      </c>
      <c r="K112" s="20">
        <v>3.4238565494587357E-3</v>
      </c>
      <c r="L112" s="20">
        <v>0</v>
      </c>
    </row>
    <row r="113" spans="1:12">
      <c r="A113" s="2" t="s">
        <v>471</v>
      </c>
      <c r="B113" s="3" t="s">
        <v>472</v>
      </c>
      <c r="D113" s="20">
        <v>2.3036979397882932E-9</v>
      </c>
      <c r="E113" s="20">
        <v>0.9790533264713378</v>
      </c>
      <c r="F113" s="20">
        <v>2.2586254541964907E-4</v>
      </c>
      <c r="G113" s="20">
        <v>8.2212863220043289E-5</v>
      </c>
      <c r="H113" s="20">
        <v>0</v>
      </c>
      <c r="I113" s="20">
        <v>0.97874525106269816</v>
      </c>
      <c r="J113" s="20">
        <v>1.2842862809351455E-3</v>
      </c>
      <c r="K113" s="20">
        <v>1.9662384944029141E-2</v>
      </c>
      <c r="L113" s="20">
        <v>0</v>
      </c>
    </row>
    <row r="114" spans="1:12">
      <c r="A114" s="2" t="s">
        <v>473</v>
      </c>
      <c r="B114" s="3" t="s">
        <v>474</v>
      </c>
      <c r="D114" s="20">
        <v>1.790792782977984E-16</v>
      </c>
      <c r="E114" s="20">
        <v>0.99820576466782274</v>
      </c>
      <c r="F114" s="20">
        <v>2.2557613338023141E-6</v>
      </c>
      <c r="G114" s="20">
        <v>1.1364798808279414E-6</v>
      </c>
      <c r="H114" s="20">
        <v>0</v>
      </c>
      <c r="I114" s="20">
        <v>0.99820237242660814</v>
      </c>
      <c r="J114" s="20">
        <v>2.3073794652519769E-5</v>
      </c>
      <c r="K114" s="20">
        <v>1.771161537524361E-3</v>
      </c>
      <c r="L114" s="20">
        <v>0</v>
      </c>
    </row>
    <row r="115" spans="1:12">
      <c r="A115" s="2" t="s">
        <v>475</v>
      </c>
      <c r="B115" s="3" t="s">
        <v>476</v>
      </c>
      <c r="D115" s="20">
        <v>9.4623018728324415E-13</v>
      </c>
      <c r="E115" s="20">
        <v>0.99883912065065783</v>
      </c>
      <c r="F115" s="20">
        <v>2.8018828906919107E-3</v>
      </c>
      <c r="G115" s="20">
        <v>3.35609180623606E-7</v>
      </c>
      <c r="H115" s="20">
        <v>0</v>
      </c>
      <c r="I115" s="20">
        <v>0.99603690215078533</v>
      </c>
      <c r="J115" s="20">
        <v>1.1317366170185577E-3</v>
      </c>
      <c r="K115" s="20">
        <v>2.9142731377314783E-5</v>
      </c>
      <c r="L115" s="20">
        <v>0</v>
      </c>
    </row>
    <row r="116" spans="1:12">
      <c r="A116" s="2" t="s">
        <v>477</v>
      </c>
      <c r="B116" s="3" t="s">
        <v>478</v>
      </c>
      <c r="D116" s="20">
        <v>2.1822890865762348E-17</v>
      </c>
      <c r="E116" s="20">
        <v>0.18234761572648481</v>
      </c>
      <c r="F116" s="20">
        <v>6.8520890630136111E-2</v>
      </c>
      <c r="G116" s="20">
        <v>1.6596118216913071E-3</v>
      </c>
      <c r="H116" s="20">
        <v>0</v>
      </c>
      <c r="I116" s="20">
        <v>0.11216711327465739</v>
      </c>
      <c r="J116" s="20">
        <v>0.81089306531427274</v>
      </c>
      <c r="K116" s="20">
        <v>6.7593189592422137E-3</v>
      </c>
      <c r="L116" s="20">
        <v>0</v>
      </c>
    </row>
    <row r="117" spans="1:12">
      <c r="A117" s="2" t="s">
        <v>291</v>
      </c>
      <c r="B117" s="3" t="s">
        <v>479</v>
      </c>
      <c r="D117" s="20">
        <v>3.2810225215585604E-10</v>
      </c>
      <c r="E117" s="20">
        <v>0.71004943442610158</v>
      </c>
      <c r="F117" s="20">
        <v>2.4492205561897525E-2</v>
      </c>
      <c r="G117" s="20">
        <v>6.1450221288348013E-3</v>
      </c>
      <c r="H117" s="20">
        <v>0</v>
      </c>
      <c r="I117" s="20">
        <v>0.67941220673536928</v>
      </c>
      <c r="J117" s="20">
        <v>0.10009651268005987</v>
      </c>
      <c r="K117" s="20">
        <v>0.18985405256573629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3.0911068302910365E-12</v>
      </c>
      <c r="E2" s="14">
        <v>1.484356261120916E-4</v>
      </c>
      <c r="F2" s="14">
        <v>9.1019133996560152E-9</v>
      </c>
      <c r="G2" s="14">
        <v>3.6528198523553713E-9</v>
      </c>
      <c r="H2" s="14">
        <v>0</v>
      </c>
      <c r="I2" s="9">
        <v>5.7017105396239323E-8</v>
      </c>
      <c r="J2" s="14">
        <v>1.494598958153301E-6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3.3398988846373001E-12</v>
      </c>
      <c r="E3" s="14">
        <v>1.0074174908271864E-4</v>
      </c>
      <c r="F3" s="14">
        <v>3.9882385899384739E-6</v>
      </c>
      <c r="G3" s="14">
        <v>9.6887851210526939E-7</v>
      </c>
      <c r="H3" s="14">
        <v>0</v>
      </c>
      <c r="I3" s="14">
        <v>1.6975779749312061E-5</v>
      </c>
      <c r="J3" s="14">
        <v>2.7325350726026607E-5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1.5805863160911432E-21</v>
      </c>
      <c r="E4" s="14">
        <v>1.4983813252841805E-4</v>
      </c>
      <c r="F4" s="14">
        <v>6.3013978771568217E-9</v>
      </c>
      <c r="G4" s="14">
        <v>6.9395697311501367E-12</v>
      </c>
      <c r="H4" s="14">
        <v>0</v>
      </c>
      <c r="I4" s="14">
        <v>1.5425767970877118E-7</v>
      </c>
      <c r="J4" s="14">
        <v>1.301454426268069E-9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4.3351538273415965E-14</v>
      </c>
      <c r="E5" s="14">
        <v>1.3525624042188533E-4</v>
      </c>
      <c r="F5" s="14">
        <v>1.1128377820644183E-5</v>
      </c>
      <c r="G5" s="14">
        <v>8.8326521598148731E-10</v>
      </c>
      <c r="H5" s="14">
        <v>0</v>
      </c>
      <c r="I5" s="14">
        <v>3.594964612395621E-6</v>
      </c>
      <c r="J5" s="14">
        <v>1.9533836507298989E-8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5.2375482372949687E-15</v>
      </c>
      <c r="E6" s="14">
        <v>1.1789251896638514E-4</v>
      </c>
      <c r="F6" s="14">
        <v>2.4467004260346722E-5</v>
      </c>
      <c r="G6" s="14">
        <v>7.095341836400119E-9</v>
      </c>
      <c r="H6" s="14">
        <v>0</v>
      </c>
      <c r="I6" s="14">
        <v>7.525519109414875E-6</v>
      </c>
      <c r="J6" s="14">
        <v>1.078623167792979E-7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8.3719988363539044E-11</v>
      </c>
      <c r="E7" s="14">
        <v>7.1742196147040862E-5</v>
      </c>
      <c r="F7" s="14">
        <v>5.8907313560956385E-5</v>
      </c>
      <c r="G7" s="14">
        <v>1.1991246234432504E-7</v>
      </c>
      <c r="H7" s="14">
        <v>0</v>
      </c>
      <c r="I7" s="14">
        <v>1.8186349281165109E-5</v>
      </c>
      <c r="J7" s="14">
        <v>1.0441448285049452E-6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4.0623820809158904E-21</v>
      </c>
      <c r="E8" s="14">
        <v>1.0464964589329494E-4</v>
      </c>
      <c r="F8" s="14">
        <v>3.4927887016491941E-5</v>
      </c>
      <c r="G8" s="14">
        <v>5.3112518895144514E-9</v>
      </c>
      <c r="H8" s="14">
        <v>0</v>
      </c>
      <c r="I8" s="14">
        <v>1.0350552910742152E-5</v>
      </c>
      <c r="J8" s="14">
        <v>6.6602927581416178E-8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8.4282967362565621E-17</v>
      </c>
      <c r="E9" s="14">
        <v>1.3838542501148384E-4</v>
      </c>
      <c r="F9" s="14">
        <v>8.6477853697804674E-6</v>
      </c>
      <c r="G9" s="14">
        <v>3.2777577345401467E-9</v>
      </c>
      <c r="H9" s="14">
        <v>0</v>
      </c>
      <c r="I9" s="14">
        <v>2.8824767424059495E-6</v>
      </c>
      <c r="J9" s="14">
        <v>8.1035118510912117E-8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4.6062029473989746E-9</v>
      </c>
      <c r="E10" s="14">
        <v>4.2333795038986095E-6</v>
      </c>
      <c r="F10" s="14">
        <v>3.0455220850651622E-5</v>
      </c>
      <c r="G10" s="14">
        <v>5.3193345894493129E-6</v>
      </c>
      <c r="H10" s="14">
        <v>0</v>
      </c>
      <c r="I10" s="14">
        <v>9.099620104951835E-5</v>
      </c>
      <c r="J10" s="14">
        <v>1.8991257803534673E-5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3.8008832049490923E-16</v>
      </c>
      <c r="E11" s="14">
        <v>5.0375693062488319E-8</v>
      </c>
      <c r="F11" s="14">
        <v>4.5801065832198121E-6</v>
      </c>
      <c r="G11" s="14">
        <v>3.3463391659828065E-6</v>
      </c>
      <c r="H11" s="14">
        <v>0</v>
      </c>
      <c r="I11" s="14">
        <v>1.4140932273813843E-4</v>
      </c>
      <c r="J11" s="14">
        <v>6.1385581921634565E-7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8.8860338326584487E-6</v>
      </c>
      <c r="E12" s="14">
        <v>1.4083959953653885E-4</v>
      </c>
      <c r="F12" s="14">
        <v>3.9450092017300327E-10</v>
      </c>
      <c r="G12" s="14">
        <v>1.9554014617655986E-10</v>
      </c>
      <c r="H12" s="14">
        <v>0</v>
      </c>
      <c r="I12" s="14">
        <v>3.9204172529430196E-9</v>
      </c>
      <c r="J12" s="14">
        <v>2.6985617248339513E-7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2.8065468209464226E-12</v>
      </c>
      <c r="E13" s="14">
        <v>1.083967910804557E-4</v>
      </c>
      <c r="F13" s="14">
        <v>2.8946161187729548E-6</v>
      </c>
      <c r="G13" s="14">
        <v>7.4248302923652288E-7</v>
      </c>
      <c r="H13" s="14">
        <v>0</v>
      </c>
      <c r="I13" s="14">
        <v>1.2061145400168504E-5</v>
      </c>
      <c r="J13" s="14">
        <v>2.5904961564819462E-5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6.1534536270486872E-11</v>
      </c>
      <c r="E14" s="14">
        <v>8.1494554697285845E-6</v>
      </c>
      <c r="F14" s="14">
        <v>9.1172348398300471E-5</v>
      </c>
      <c r="G14" s="14">
        <v>1.4283307686883883E-7</v>
      </c>
      <c r="H14" s="14">
        <v>0</v>
      </c>
      <c r="I14" s="14">
        <v>5.023112533288366E-5</v>
      </c>
      <c r="J14" s="14">
        <v>3.04176187682133E-7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1.1079165176621006E-5</v>
      </c>
      <c r="E15" s="14">
        <v>1.2793552956221306E-4</v>
      </c>
      <c r="F15" s="14">
        <v>3.2563098395612937E-7</v>
      </c>
      <c r="G15" s="14">
        <v>9.931647042245158E-8</v>
      </c>
      <c r="H15" s="14">
        <v>0</v>
      </c>
      <c r="I15" s="14">
        <v>1.5795025366656933E-6</v>
      </c>
      <c r="J15" s="14">
        <v>8.980855270121625E-6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1.0989138887772386E-7</v>
      </c>
      <c r="E16" s="14">
        <v>1.0407053717467406E-4</v>
      </c>
      <c r="F16" s="14">
        <v>3.3945510679449094E-6</v>
      </c>
      <c r="G16" s="14">
        <v>8.5798145734420142E-7</v>
      </c>
      <c r="H16" s="14">
        <v>0</v>
      </c>
      <c r="I16" s="14">
        <v>1.396289246781098E-5</v>
      </c>
      <c r="J16" s="14">
        <v>2.7604146443348098E-5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3.2442992772392814E-7</v>
      </c>
      <c r="E17" s="14">
        <v>1.0660683346575639E-4</v>
      </c>
      <c r="F17" s="14">
        <v>3.0685951487566244E-6</v>
      </c>
      <c r="G17" s="14">
        <v>7.8277176041083585E-7</v>
      </c>
      <c r="H17" s="14">
        <v>0</v>
      </c>
      <c r="I17" s="14">
        <v>1.2724343421912756E-5</v>
      </c>
      <c r="J17" s="14">
        <v>2.6493026275439464E-5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3.7802308155607734E-12</v>
      </c>
      <c r="E18" s="14">
        <v>7.5774390539742364E-8</v>
      </c>
      <c r="F18" s="14">
        <v>2.7998644244954467E-6</v>
      </c>
      <c r="G18" s="14">
        <v>7.5863444542489983E-6</v>
      </c>
      <c r="H18" s="14">
        <v>0</v>
      </c>
      <c r="I18" s="14">
        <v>1.3554657871115415E-4</v>
      </c>
      <c r="J18" s="14">
        <v>3.9914342393308577E-6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1.4426435005667298E-6</v>
      </c>
      <c r="E19" s="14">
        <v>1.428114923367916E-4</v>
      </c>
      <c r="F19" s="14">
        <v>9.9032492062029779E-8</v>
      </c>
      <c r="G19" s="14">
        <v>3.3240937455112248E-8</v>
      </c>
      <c r="H19" s="14">
        <v>0</v>
      </c>
      <c r="I19" s="14">
        <v>5.2298240213951312E-7</v>
      </c>
      <c r="J19" s="14">
        <v>5.0906083309849684E-6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2.7517102874763595E-6</v>
      </c>
      <c r="E20" s="14">
        <v>1.3922167079437391E-4</v>
      </c>
      <c r="F20" s="14">
        <v>1.8039371057461111E-7</v>
      </c>
      <c r="G20" s="14">
        <v>5.7825173853546838E-8</v>
      </c>
      <c r="H20" s="14">
        <v>0</v>
      </c>
      <c r="I20" s="14">
        <v>9.1433925257195789E-7</v>
      </c>
      <c r="J20" s="14">
        <v>6.8740607811495707E-6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7.4873251042556905E-7</v>
      </c>
      <c r="E21" s="14">
        <v>5.5019117301059378E-5</v>
      </c>
      <c r="F21" s="14">
        <v>4.0875979144362904E-5</v>
      </c>
      <c r="G21" s="14">
        <v>1.649632981776399E-6</v>
      </c>
      <c r="H21" s="14">
        <v>0</v>
      </c>
      <c r="I21" s="14">
        <v>3.6748185960742703E-5</v>
      </c>
      <c r="J21" s="14">
        <v>1.4958352101633021E-5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7.8774944935065001E-6</v>
      </c>
      <c r="E22" s="14">
        <v>1.4007874501764263E-4</v>
      </c>
      <c r="F22" s="14">
        <v>1.5653331857851716E-8</v>
      </c>
      <c r="G22" s="14">
        <v>6.0103857747552892E-9</v>
      </c>
      <c r="H22" s="14">
        <v>0</v>
      </c>
      <c r="I22" s="14">
        <v>9.3689463035531614E-8</v>
      </c>
      <c r="J22" s="14">
        <v>1.9284073081827222E-6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9.2629397731061146E-6</v>
      </c>
      <c r="E23" s="14">
        <v>1.2525439518864468E-4</v>
      </c>
      <c r="F23" s="14">
        <v>5.8098848463362117E-7</v>
      </c>
      <c r="G23" s="14">
        <v>1.6953644803672941E-7</v>
      </c>
      <c r="H23" s="14">
        <v>0</v>
      </c>
      <c r="I23" s="14">
        <v>2.7106168550524646E-6</v>
      </c>
      <c r="J23" s="14">
        <v>1.2021523250526375E-5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3.5800151839122059E-7</v>
      </c>
      <c r="E24" s="14">
        <v>8.8868735878208809E-5</v>
      </c>
      <c r="F24" s="14">
        <v>5.4163104976596849E-6</v>
      </c>
      <c r="G24" s="14">
        <v>1.3073717858670865E-6</v>
      </c>
      <c r="H24" s="14">
        <v>0</v>
      </c>
      <c r="I24" s="14">
        <v>2.1398652335468033E-5</v>
      </c>
      <c r="J24" s="14">
        <v>3.2650927984405154E-5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1.8804163210053044E-8</v>
      </c>
      <c r="E25" s="14">
        <v>1.1411379428463406E-7</v>
      </c>
      <c r="F25" s="14">
        <v>3.6080512376205743E-6</v>
      </c>
      <c r="G25" s="14">
        <v>7.5295366517740286E-6</v>
      </c>
      <c r="H25" s="14">
        <v>0</v>
      </c>
      <c r="I25" s="14">
        <v>1.3397543400179136E-4</v>
      </c>
      <c r="J25" s="14">
        <v>4.7540601513193313E-6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2.8992184541440024E-5</v>
      </c>
      <c r="E26" s="14">
        <v>3.832525686765844E-5</v>
      </c>
      <c r="F26" s="14">
        <v>1.0737412177202953E-5</v>
      </c>
      <c r="G26" s="14">
        <v>2.3163019888313423E-6</v>
      </c>
      <c r="H26" s="14">
        <v>0</v>
      </c>
      <c r="I26" s="14">
        <v>3.8447732310639612E-5</v>
      </c>
      <c r="J26" s="14">
        <v>3.1181112114227595E-5</v>
      </c>
      <c r="K26" s="14">
        <v>0</v>
      </c>
    </row>
    <row r="27" spans="1:13">
      <c r="A27" s="2" t="s">
        <v>397</v>
      </c>
      <c r="B27" s="3" t="s">
        <v>398</v>
      </c>
      <c r="D27" s="14">
        <v>1.1182759427508927E-4</v>
      </c>
      <c r="E27" s="14">
        <v>3.8513511363804286E-6</v>
      </c>
      <c r="F27" s="14">
        <v>6.0585356317073283E-6</v>
      </c>
      <c r="G27" s="14">
        <v>1.1509679272510031E-6</v>
      </c>
      <c r="H27" s="14">
        <v>0</v>
      </c>
      <c r="I27" s="14">
        <v>1.941032903453916E-5</v>
      </c>
      <c r="J27" s="14">
        <v>7.701221995032789E-6</v>
      </c>
      <c r="K27" s="14">
        <v>0</v>
      </c>
    </row>
    <row r="28" spans="1:13">
      <c r="A28" s="2" t="s">
        <v>399</v>
      </c>
      <c r="B28" s="3" t="s">
        <v>400</v>
      </c>
      <c r="D28" s="14">
        <v>1.2648023740291847E-4</v>
      </c>
      <c r="E28" s="14">
        <v>6.2007868949557472E-6</v>
      </c>
      <c r="F28" s="14">
        <v>2.4045917703307425E-6</v>
      </c>
      <c r="G28" s="14">
        <v>5.0645039218826787E-7</v>
      </c>
      <c r="H28" s="14">
        <v>0</v>
      </c>
      <c r="I28" s="14">
        <v>8.4316205724328114E-6</v>
      </c>
      <c r="J28" s="14">
        <v>5.9763129671739297E-6</v>
      </c>
      <c r="K28" s="14">
        <v>0</v>
      </c>
    </row>
    <row r="29" spans="1:13">
      <c r="A29" s="2" t="s">
        <v>297</v>
      </c>
      <c r="B29" s="3" t="s">
        <v>298</v>
      </c>
      <c r="D29" s="14">
        <v>1.3794248992530879E-4</v>
      </c>
      <c r="E29" s="14">
        <v>1.1303220372236462E-5</v>
      </c>
      <c r="F29" s="14">
        <v>1.8806879643404065E-8</v>
      </c>
      <c r="G29" s="14">
        <v>5.9185088400892659E-9</v>
      </c>
      <c r="H29" s="14">
        <v>0</v>
      </c>
      <c r="I29" s="14">
        <v>9.3781592001415618E-8</v>
      </c>
      <c r="J29" s="14">
        <v>6.3578272196981102E-7</v>
      </c>
      <c r="K29" s="14">
        <v>0</v>
      </c>
    </row>
    <row r="30" spans="1:13">
      <c r="A30" s="2" t="s">
        <v>401</v>
      </c>
      <c r="B30" s="3" t="s">
        <v>402</v>
      </c>
      <c r="D30" s="14">
        <v>1.4127766796944547E-4</v>
      </c>
      <c r="E30" s="14">
        <v>2.4025788599721856E-6</v>
      </c>
      <c r="F30" s="14">
        <v>8.6435510597429374E-7</v>
      </c>
      <c r="G30" s="14">
        <v>1.8305759705506481E-7</v>
      </c>
      <c r="H30" s="14">
        <v>0</v>
      </c>
      <c r="I30" s="14">
        <v>3.0455252632533968E-6</v>
      </c>
      <c r="J30" s="14">
        <v>2.2268152042995287E-6</v>
      </c>
      <c r="K30" s="14">
        <v>0</v>
      </c>
    </row>
    <row r="31" spans="1:13">
      <c r="A31" s="2" t="s">
        <v>299</v>
      </c>
      <c r="B31" s="3" t="s">
        <v>300</v>
      </c>
      <c r="D31" s="14">
        <v>1.4979347703857591E-4</v>
      </c>
      <c r="E31" s="14">
        <v>8.6711567229897719E-8</v>
      </c>
      <c r="F31" s="14">
        <v>1.3668208219150454E-8</v>
      </c>
      <c r="G31" s="14">
        <v>3.0761473983360836E-9</v>
      </c>
      <c r="H31" s="14">
        <v>0</v>
      </c>
      <c r="I31" s="14">
        <v>5.0790892573437679E-8</v>
      </c>
      <c r="J31" s="14">
        <v>5.2276146003200717E-8</v>
      </c>
      <c r="K31" s="14">
        <v>0</v>
      </c>
    </row>
    <row r="32" spans="1:13">
      <c r="A32" s="2" t="s">
        <v>343</v>
      </c>
      <c r="B32" s="3" t="s">
        <v>344</v>
      </c>
      <c r="D32" s="14">
        <v>3.0487054307624971E-7</v>
      </c>
      <c r="E32" s="14">
        <v>1.1258994275361204E-4</v>
      </c>
      <c r="F32" s="14">
        <v>2.4006793052520846E-6</v>
      </c>
      <c r="G32" s="14">
        <v>6.2607981766241934E-7</v>
      </c>
      <c r="H32" s="14">
        <v>0</v>
      </c>
      <c r="I32" s="14">
        <v>1.0149340794295918E-5</v>
      </c>
      <c r="J32" s="14">
        <v>2.3929086786101252E-5</v>
      </c>
      <c r="K32" s="14">
        <v>0</v>
      </c>
    </row>
    <row r="33" spans="1:11">
      <c r="A33" s="2" t="s">
        <v>345</v>
      </c>
      <c r="B33" s="3" t="s">
        <v>346</v>
      </c>
      <c r="D33" s="14">
        <v>1.1655704693174429E-8</v>
      </c>
      <c r="E33" s="14">
        <v>1.2772110569710479E-4</v>
      </c>
      <c r="F33" s="14">
        <v>1.0269687299353002E-6</v>
      </c>
      <c r="G33" s="14">
        <v>2.8777480968848295E-7</v>
      </c>
      <c r="H33" s="14">
        <v>0</v>
      </c>
      <c r="I33" s="14">
        <v>4.6238858166655529E-6</v>
      </c>
      <c r="J33" s="14">
        <v>1.6328609241912663E-5</v>
      </c>
      <c r="K33" s="14">
        <v>0</v>
      </c>
    </row>
    <row r="34" spans="1:11">
      <c r="A34" s="2" t="s">
        <v>347</v>
      </c>
      <c r="B34" s="3" t="s">
        <v>348</v>
      </c>
      <c r="D34" s="14">
        <v>1.6573047592101971E-8</v>
      </c>
      <c r="E34" s="14">
        <v>5.1400401506295953E-5</v>
      </c>
      <c r="F34" s="14">
        <v>1.2394273114140619E-5</v>
      </c>
      <c r="G34" s="14">
        <v>2.7034392647186159E-6</v>
      </c>
      <c r="H34" s="14">
        <v>0</v>
      </c>
      <c r="I34" s="14">
        <v>4.4811852260001052E-5</v>
      </c>
      <c r="J34" s="14">
        <v>3.867346080725163E-5</v>
      </c>
      <c r="K34" s="14">
        <v>0</v>
      </c>
    </row>
    <row r="35" spans="1:11">
      <c r="A35" s="2" t="s">
        <v>349</v>
      </c>
      <c r="B35" s="3" t="s">
        <v>350</v>
      </c>
      <c r="D35" s="14">
        <v>4.0041967204228648E-6</v>
      </c>
      <c r="E35" s="14">
        <v>8.0868528285925021E-6</v>
      </c>
      <c r="F35" s="14">
        <v>2.6936061187074773E-5</v>
      </c>
      <c r="G35" s="14">
        <v>4.8420541869721035E-6</v>
      </c>
      <c r="H35" s="14">
        <v>0</v>
      </c>
      <c r="I35" s="14">
        <v>8.2223780884205268E-5</v>
      </c>
      <c r="J35" s="14">
        <v>2.3907054192732465E-5</v>
      </c>
      <c r="K35" s="14">
        <v>0</v>
      </c>
    </row>
    <row r="36" spans="1:11">
      <c r="A36" s="2" t="s">
        <v>351</v>
      </c>
      <c r="B36" s="3" t="s">
        <v>352</v>
      </c>
      <c r="D36" s="14">
        <v>6.7740251811257313E-8</v>
      </c>
      <c r="E36" s="14">
        <v>1.1224601737315175E-6</v>
      </c>
      <c r="F36" s="14">
        <v>1.4423328370091478E-5</v>
      </c>
      <c r="G36" s="14">
        <v>6.6582645439062245E-6</v>
      </c>
      <c r="H36" s="14">
        <v>0</v>
      </c>
      <c r="I36" s="14">
        <v>1.1567070120389974E-4</v>
      </c>
      <c r="J36" s="14">
        <v>1.2057505456559759E-5</v>
      </c>
      <c r="K36" s="14">
        <v>0</v>
      </c>
    </row>
    <row r="37" spans="1:11">
      <c r="A37" s="2" t="s">
        <v>353</v>
      </c>
      <c r="B37" s="3" t="s">
        <v>354</v>
      </c>
      <c r="D37" s="14">
        <v>2.2702585257991775E-7</v>
      </c>
      <c r="E37" s="14">
        <v>8.4796797220904386E-8</v>
      </c>
      <c r="F37" s="14">
        <v>3.000502546127224E-6</v>
      </c>
      <c r="G37" s="14">
        <v>7.5611796184555903E-6</v>
      </c>
      <c r="H37" s="14">
        <v>0</v>
      </c>
      <c r="I37" s="14">
        <v>1.3494158660052347E-4</v>
      </c>
      <c r="J37" s="14">
        <v>4.1849085850928802E-6</v>
      </c>
      <c r="K37" s="14">
        <v>0</v>
      </c>
    </row>
    <row r="38" spans="1:11">
      <c r="A38" s="2" t="s">
        <v>355</v>
      </c>
      <c r="B38" s="3" t="s">
        <v>356</v>
      </c>
      <c r="D38" s="14">
        <v>1.8707002081278132E-8</v>
      </c>
      <c r="E38" s="14">
        <v>4.558356930438171E-7</v>
      </c>
      <c r="F38" s="14">
        <v>8.4260276295798208E-6</v>
      </c>
      <c r="G38" s="14">
        <v>7.1534975747175081E-6</v>
      </c>
      <c r="H38" s="14">
        <v>0</v>
      </c>
      <c r="I38" s="14">
        <v>1.2548116808859983E-4</v>
      </c>
      <c r="J38" s="14">
        <v>8.4647640119777325E-6</v>
      </c>
      <c r="K38" s="14">
        <v>0</v>
      </c>
    </row>
    <row r="39" spans="1:11">
      <c r="A39" s="2" t="s">
        <v>357</v>
      </c>
      <c r="B39" s="3" t="s">
        <v>358</v>
      </c>
      <c r="D39" s="14">
        <v>4.6560127845684503E-6</v>
      </c>
      <c r="E39" s="14">
        <v>8.4453625496327205E-7</v>
      </c>
      <c r="F39" s="14">
        <v>1.2040176362825279E-5</v>
      </c>
      <c r="G39" s="14">
        <v>6.6149779949613237E-6</v>
      </c>
      <c r="H39" s="14">
        <v>0</v>
      </c>
      <c r="I39" s="14">
        <v>1.1523650877568192E-4</v>
      </c>
      <c r="J39" s="14">
        <v>1.0607787826999735E-5</v>
      </c>
      <c r="K39" s="14">
        <v>0</v>
      </c>
    </row>
    <row r="40" spans="1:11">
      <c r="A40" s="2" t="s">
        <v>359</v>
      </c>
      <c r="B40" s="3" t="s">
        <v>360</v>
      </c>
      <c r="D40" s="14">
        <v>1.8707002081278132E-8</v>
      </c>
      <c r="E40" s="14">
        <v>4.558356930438171E-7</v>
      </c>
      <c r="F40" s="14">
        <v>8.4260276295798208E-6</v>
      </c>
      <c r="G40" s="14">
        <v>7.1534975747175081E-6</v>
      </c>
      <c r="H40" s="14">
        <v>0</v>
      </c>
      <c r="I40" s="14">
        <v>1.2548116808859983E-4</v>
      </c>
      <c r="J40" s="14">
        <v>8.4647640119777325E-6</v>
      </c>
      <c r="K40" s="14">
        <v>0</v>
      </c>
    </row>
    <row r="41" spans="1:11">
      <c r="A41" s="2" t="s">
        <v>313</v>
      </c>
      <c r="B41" s="3" t="s">
        <v>314</v>
      </c>
      <c r="D41" s="14">
        <v>6.7918828689973235E-12</v>
      </c>
      <c r="E41" s="14">
        <v>1.4900194235966348E-4</v>
      </c>
      <c r="F41" s="14">
        <v>7.0864133354722435E-7</v>
      </c>
      <c r="G41" s="14">
        <v>1.6863473327613577E-10</v>
      </c>
      <c r="H41" s="14">
        <v>0</v>
      </c>
      <c r="I41" s="14">
        <v>2.7740383102635041E-7</v>
      </c>
      <c r="J41" s="14">
        <v>1.1837049146770687E-8</v>
      </c>
      <c r="K41" s="14">
        <v>0</v>
      </c>
    </row>
    <row r="42" spans="1:11">
      <c r="A42" s="2" t="s">
        <v>315</v>
      </c>
      <c r="B42" s="3" t="s">
        <v>316</v>
      </c>
      <c r="D42" s="14">
        <v>3.2106115631843473E-7</v>
      </c>
      <c r="E42" s="14">
        <v>7.5612204355646147E-8</v>
      </c>
      <c r="F42" s="14">
        <v>2.7938716435075551E-6</v>
      </c>
      <c r="G42" s="14">
        <v>7.5701067748759286E-6</v>
      </c>
      <c r="H42" s="14">
        <v>0</v>
      </c>
      <c r="I42" s="14">
        <v>1.3525645717785156E-4</v>
      </c>
      <c r="J42" s="14">
        <v>3.9828910430908496E-6</v>
      </c>
      <c r="K42" s="14">
        <v>0</v>
      </c>
    </row>
    <row r="43" spans="1:11">
      <c r="A43" s="2" t="s">
        <v>317</v>
      </c>
      <c r="B43" s="3" t="s">
        <v>318</v>
      </c>
      <c r="D43" s="14">
        <v>8.2330597499350304E-16</v>
      </c>
      <c r="E43" s="14">
        <v>8.5126622221856136E-5</v>
      </c>
      <c r="F43" s="14">
        <v>6.0280931063894252E-6</v>
      </c>
      <c r="G43" s="14">
        <v>1.4390487511297835E-6</v>
      </c>
      <c r="H43" s="14">
        <v>0</v>
      </c>
      <c r="I43" s="14">
        <v>2.3586366405125378E-5</v>
      </c>
      <c r="J43" s="14">
        <v>3.3819869514675921E-5</v>
      </c>
      <c r="K43" s="14">
        <v>0</v>
      </c>
    </row>
    <row r="44" spans="1:11">
      <c r="A44" s="2" t="s">
        <v>307</v>
      </c>
      <c r="B44" s="3" t="s">
        <v>308</v>
      </c>
      <c r="D44" s="14">
        <v>2.9070839822077558E-8</v>
      </c>
      <c r="E44" s="14">
        <v>2.1612336068541632E-6</v>
      </c>
      <c r="F44" s="14">
        <v>2.1051171167495243E-5</v>
      </c>
      <c r="G44" s="14">
        <v>6.1090238112310286E-6</v>
      </c>
      <c r="H44" s="14">
        <v>0</v>
      </c>
      <c r="I44" s="14">
        <v>1.0535031760356423E-4</v>
      </c>
      <c r="J44" s="14">
        <v>1.529918297103325E-5</v>
      </c>
      <c r="K44" s="14">
        <v>0</v>
      </c>
    </row>
    <row r="45" spans="1:11">
      <c r="A45" s="2" t="s">
        <v>319</v>
      </c>
      <c r="B45" s="3" t="s">
        <v>320</v>
      </c>
      <c r="D45" s="14">
        <v>9.1518787497060093E-10</v>
      </c>
      <c r="E45" s="14">
        <v>2.9583829549598519E-8</v>
      </c>
      <c r="F45" s="14">
        <v>1.5589383540161301E-6</v>
      </c>
      <c r="G45" s="14">
        <v>7.6563979330925537E-6</v>
      </c>
      <c r="H45" s="14">
        <v>0</v>
      </c>
      <c r="I45" s="14">
        <v>1.3809514889463517E-4</v>
      </c>
      <c r="J45" s="14">
        <v>2.6590158008315365E-6</v>
      </c>
      <c r="K45" s="14">
        <v>0</v>
      </c>
    </row>
    <row r="46" spans="1:11">
      <c r="A46" s="2" t="s">
        <v>321</v>
      </c>
      <c r="B46" s="3" t="s">
        <v>322</v>
      </c>
      <c r="D46" s="14">
        <v>1.5078504341347272E-9</v>
      </c>
      <c r="E46" s="14">
        <v>6.606970980814569E-8</v>
      </c>
      <c r="F46" s="14">
        <v>2.5714432826164809E-6</v>
      </c>
      <c r="G46" s="14">
        <v>7.601031022742868E-6</v>
      </c>
      <c r="H46" s="14">
        <v>0</v>
      </c>
      <c r="I46" s="14">
        <v>1.359966473951019E-4</v>
      </c>
      <c r="J46" s="14">
        <v>3.763300739296472E-6</v>
      </c>
      <c r="K46" s="14">
        <v>0</v>
      </c>
    </row>
    <row r="47" spans="1:11">
      <c r="A47" s="2" t="s">
        <v>323</v>
      </c>
      <c r="B47" s="3" t="s">
        <v>324</v>
      </c>
      <c r="D47" s="14">
        <v>1.7348627525510674E-8</v>
      </c>
      <c r="E47" s="14">
        <v>1.7928718845785146E-7</v>
      </c>
      <c r="F47" s="14">
        <v>4.7674243149708135E-6</v>
      </c>
      <c r="G47" s="14">
        <v>7.4435371892117829E-6</v>
      </c>
      <c r="H47" s="14">
        <v>0</v>
      </c>
      <c r="I47" s="14">
        <v>1.3183699909123927E-4</v>
      </c>
      <c r="J47" s="14">
        <v>5.755403588594728E-6</v>
      </c>
      <c r="K47" s="14">
        <v>0</v>
      </c>
    </row>
    <row r="48" spans="1:11">
      <c r="A48" s="2" t="s">
        <v>325</v>
      </c>
      <c r="B48" s="3" t="s">
        <v>326</v>
      </c>
      <c r="D48" s="14">
        <v>2.8007144918546007E-8</v>
      </c>
      <c r="E48" s="14">
        <v>2.1154997216093966E-5</v>
      </c>
      <c r="F48" s="14">
        <v>2.1217173262273632E-5</v>
      </c>
      <c r="G48" s="14">
        <v>4.1666121723750337E-6</v>
      </c>
      <c r="H48" s="14">
        <v>0</v>
      </c>
      <c r="I48" s="14">
        <v>6.9976787776513018E-5</v>
      </c>
      <c r="J48" s="14">
        <v>3.3456422427825798E-5</v>
      </c>
      <c r="K48" s="14">
        <v>0</v>
      </c>
    </row>
    <row r="49" spans="1:11">
      <c r="A49" s="2" t="s">
        <v>275</v>
      </c>
      <c r="B49" s="3" t="s">
        <v>276</v>
      </c>
      <c r="D49" s="14">
        <v>3.5620664467180808E-10</v>
      </c>
      <c r="E49" s="14">
        <v>1.9168412664249162E-6</v>
      </c>
      <c r="F49" s="14">
        <v>1.9666211290532862E-5</v>
      </c>
      <c r="G49" s="14">
        <v>6.2261023571842707E-6</v>
      </c>
      <c r="H49" s="14">
        <v>0</v>
      </c>
      <c r="I49" s="14">
        <v>1.0751769972165438E-4</v>
      </c>
      <c r="J49" s="14">
        <v>1.4672789157558871E-5</v>
      </c>
      <c r="K49" s="14">
        <v>0</v>
      </c>
    </row>
    <row r="50" spans="1:11">
      <c r="A50" s="2" t="s">
        <v>327</v>
      </c>
      <c r="B50" s="3" t="s">
        <v>328</v>
      </c>
      <c r="D50" s="14">
        <v>1.7141174166144186E-8</v>
      </c>
      <c r="E50" s="14">
        <v>1.5643167717562515E-6</v>
      </c>
      <c r="F50" s="14">
        <v>1.7500854412867373E-5</v>
      </c>
      <c r="G50" s="14">
        <v>6.4055261331347034E-6</v>
      </c>
      <c r="H50" s="14">
        <v>0</v>
      </c>
      <c r="I50" s="14">
        <v>1.1087100385756587E-4</v>
      </c>
      <c r="J50" s="14">
        <v>1.3641157650509619E-5</v>
      </c>
      <c r="K50" s="14">
        <v>0</v>
      </c>
    </row>
    <row r="51" spans="1:11">
      <c r="A51" s="2" t="s">
        <v>329</v>
      </c>
      <c r="B51" s="3" t="s">
        <v>330</v>
      </c>
      <c r="D51" s="14">
        <v>1.54136523457197E-8</v>
      </c>
      <c r="E51" s="14">
        <v>1.4282021851022229E-5</v>
      </c>
      <c r="F51" s="14">
        <v>2.4217217572477438E-5</v>
      </c>
      <c r="G51" s="14">
        <v>4.5753023509780845E-6</v>
      </c>
      <c r="H51" s="14">
        <v>0</v>
      </c>
      <c r="I51" s="14">
        <v>7.7212795620919413E-5</v>
      </c>
      <c r="J51" s="14">
        <v>2.9697248952257098E-5</v>
      </c>
      <c r="K51" s="14">
        <v>0</v>
      </c>
    </row>
    <row r="52" spans="1:11">
      <c r="A52" s="2" t="s">
        <v>277</v>
      </c>
      <c r="B52" s="3" t="s">
        <v>278</v>
      </c>
      <c r="D52" s="14">
        <v>4.3816953635774913E-8</v>
      </c>
      <c r="E52" s="14">
        <v>2.040169797287752E-5</v>
      </c>
      <c r="F52" s="14">
        <v>2.1511013080602683E-5</v>
      </c>
      <c r="G52" s="14">
        <v>4.2087818867772552E-6</v>
      </c>
      <c r="H52" s="14">
        <v>0</v>
      </c>
      <c r="I52" s="14">
        <v>7.0717548851888655E-5</v>
      </c>
      <c r="J52" s="14">
        <v>3.3117141254218088E-5</v>
      </c>
      <c r="K52" s="14">
        <v>0</v>
      </c>
    </row>
    <row r="53" spans="1:11">
      <c r="A53" s="2" t="s">
        <v>331</v>
      </c>
      <c r="B53" s="3" t="s">
        <v>332</v>
      </c>
      <c r="D53" s="14">
        <v>8.9970804255828735E-9</v>
      </c>
      <c r="E53" s="14">
        <v>8.1757148640730439E-7</v>
      </c>
      <c r="F53" s="14">
        <v>1.1962454171776913E-5</v>
      </c>
      <c r="G53" s="14">
        <v>6.8646095847896561E-6</v>
      </c>
      <c r="H53" s="14">
        <v>0</v>
      </c>
      <c r="I53" s="14">
        <v>1.1966781822701309E-4</v>
      </c>
      <c r="J53" s="14">
        <v>1.0678549449587397E-5</v>
      </c>
      <c r="K53" s="14">
        <v>0</v>
      </c>
    </row>
    <row r="54" spans="1:11">
      <c r="A54" s="2" t="s">
        <v>333</v>
      </c>
      <c r="B54" s="3" t="s">
        <v>334</v>
      </c>
      <c r="D54" s="14">
        <v>1.9412445342643238E-11</v>
      </c>
      <c r="E54" s="14">
        <v>1.7324646421955039E-6</v>
      </c>
      <c r="F54" s="14">
        <v>1.8560895698469477E-5</v>
      </c>
      <c r="G54" s="14">
        <v>6.3182162421305119E-6</v>
      </c>
      <c r="H54" s="14">
        <v>0</v>
      </c>
      <c r="I54" s="14">
        <v>1.0923402219553776E-4</v>
      </c>
      <c r="J54" s="14">
        <v>1.4154381809221364E-5</v>
      </c>
      <c r="K54" s="14">
        <v>0</v>
      </c>
    </row>
    <row r="55" spans="1:11">
      <c r="A55" s="2" t="s">
        <v>335</v>
      </c>
      <c r="B55" s="3" t="s">
        <v>336</v>
      </c>
      <c r="D55" s="14">
        <v>4.5560384262060753E-8</v>
      </c>
      <c r="E55" s="14">
        <v>1.874957863953437E-7</v>
      </c>
      <c r="F55" s="14">
        <v>4.9001126316983478E-6</v>
      </c>
      <c r="G55" s="14">
        <v>7.4319301290379652E-6</v>
      </c>
      <c r="H55" s="14">
        <v>0</v>
      </c>
      <c r="I55" s="14">
        <v>1.3157084601789852E-4</v>
      </c>
      <c r="J55" s="14">
        <v>5.8640550507077372E-6</v>
      </c>
      <c r="K55" s="14">
        <v>0</v>
      </c>
    </row>
    <row r="56" spans="1:11">
      <c r="A56" s="2" t="s">
        <v>337</v>
      </c>
      <c r="B56" s="3" t="s">
        <v>338</v>
      </c>
      <c r="D56" s="14">
        <v>7.3502850832331296E-9</v>
      </c>
      <c r="E56" s="14">
        <v>2.076960884836471E-6</v>
      </c>
      <c r="F56" s="14">
        <v>2.0583672719920794E-5</v>
      </c>
      <c r="G56" s="14">
        <v>6.1491972367657339E-6</v>
      </c>
      <c r="H56" s="14">
        <v>0</v>
      </c>
      <c r="I56" s="14">
        <v>1.0609192919977086E-4</v>
      </c>
      <c r="J56" s="14">
        <v>1.509088967362288E-5</v>
      </c>
      <c r="K56" s="14">
        <v>0</v>
      </c>
    </row>
    <row r="57" spans="1:11">
      <c r="A57" s="2" t="s">
        <v>279</v>
      </c>
      <c r="B57" s="3" t="s">
        <v>280</v>
      </c>
      <c r="D57" s="14">
        <v>8.1939016088045796E-7</v>
      </c>
      <c r="E57" s="14">
        <v>2.4670325444744259E-5</v>
      </c>
      <c r="F57" s="14">
        <v>1.9756473624788848E-5</v>
      </c>
      <c r="G57" s="14">
        <v>3.9446182928043003E-6</v>
      </c>
      <c r="H57" s="14">
        <v>0</v>
      </c>
      <c r="I57" s="14">
        <v>6.6111435162902733E-5</v>
      </c>
      <c r="J57" s="14">
        <v>3.4697757313879376E-5</v>
      </c>
      <c r="K57" s="14">
        <v>0</v>
      </c>
    </row>
    <row r="58" spans="1:11">
      <c r="A58" s="2" t="s">
        <v>339</v>
      </c>
      <c r="B58" s="3" t="s">
        <v>340</v>
      </c>
      <c r="D58" s="14">
        <v>6.750111430760979E-11</v>
      </c>
      <c r="E58" s="14">
        <v>1.6975988648258645E-6</v>
      </c>
      <c r="F58" s="14">
        <v>1.8345503114986058E-5</v>
      </c>
      <c r="G58" s="14">
        <v>6.3361460878646387E-6</v>
      </c>
      <c r="H58" s="14">
        <v>0</v>
      </c>
      <c r="I58" s="14">
        <v>1.0956921953908027E-4</v>
      </c>
      <c r="J58" s="14">
        <v>1.4051464892128818E-5</v>
      </c>
      <c r="K58" s="14">
        <v>0</v>
      </c>
    </row>
    <row r="59" spans="1:11">
      <c r="A59" s="2" t="s">
        <v>281</v>
      </c>
      <c r="B59" s="3" t="s">
        <v>282</v>
      </c>
      <c r="D59" s="14">
        <v>6.6336087759072118E-9</v>
      </c>
      <c r="E59" s="14">
        <v>2.0406756806438377E-5</v>
      </c>
      <c r="F59" s="14">
        <v>2.1516346981489011E-5</v>
      </c>
      <c r="G59" s="14">
        <v>4.2098255022198248E-6</v>
      </c>
      <c r="H59" s="14">
        <v>0</v>
      </c>
      <c r="I59" s="14">
        <v>7.0735084074199499E-5</v>
      </c>
      <c r="J59" s="14">
        <v>3.3125353026877363E-5</v>
      </c>
      <c r="K59" s="14">
        <v>0</v>
      </c>
    </row>
    <row r="60" spans="1:11">
      <c r="A60" s="2" t="s">
        <v>341</v>
      </c>
      <c r="B60" s="3" t="s">
        <v>342</v>
      </c>
      <c r="D60" s="14">
        <v>8.0602036088839536E-8</v>
      </c>
      <c r="E60" s="14">
        <v>9.8925931102877932E-7</v>
      </c>
      <c r="F60" s="14">
        <v>1.3389510401829967E-5</v>
      </c>
      <c r="G60" s="14">
        <v>6.7431101240656897E-6</v>
      </c>
      <c r="H60" s="14">
        <v>0</v>
      </c>
      <c r="I60" s="14">
        <v>1.1730654859642956E-4</v>
      </c>
      <c r="J60" s="14">
        <v>1.1490969530557141E-5</v>
      </c>
      <c r="K60" s="14">
        <v>0</v>
      </c>
    </row>
    <row r="61" spans="1:11">
      <c r="A61" s="2" t="s">
        <v>483</v>
      </c>
      <c r="B61" s="3" t="s">
        <v>484</v>
      </c>
      <c r="D61" s="14">
        <v>1.3145788839449152E-17</v>
      </c>
      <c r="E61" s="14">
        <v>6.1573132545783907E-5</v>
      </c>
      <c r="F61" s="14">
        <v>9.8838951562499994E-6</v>
      </c>
      <c r="G61" s="14">
        <v>1.6468184618241328E-6</v>
      </c>
      <c r="H61" s="14">
        <v>0</v>
      </c>
      <c r="I61" s="14">
        <v>5.8609167188745515E-5</v>
      </c>
      <c r="J61" s="14">
        <v>1.8286986647383278E-5</v>
      </c>
      <c r="K61" s="14">
        <v>0</v>
      </c>
    </row>
    <row r="62" spans="1:11">
      <c r="A62" s="2" t="s">
        <v>485</v>
      </c>
      <c r="B62" s="3" t="s">
        <v>486</v>
      </c>
      <c r="D62" s="14">
        <v>4.6253361924063635E-11</v>
      </c>
      <c r="E62" s="14">
        <v>5.4068888126796889E-5</v>
      </c>
      <c r="F62" s="14">
        <v>1.1796739498591802E-5</v>
      </c>
      <c r="G62" s="14">
        <v>2.5921345730985782E-6</v>
      </c>
      <c r="H62" s="14">
        <v>0</v>
      </c>
      <c r="I62" s="14">
        <v>4.2927375943369159E-5</v>
      </c>
      <c r="J62" s="14">
        <v>3.8614815604781615E-5</v>
      </c>
      <c r="K62" s="14">
        <v>0</v>
      </c>
    </row>
    <row r="63" spans="1:11">
      <c r="A63" s="2" t="s">
        <v>487</v>
      </c>
      <c r="B63" s="3" t="s">
        <v>488</v>
      </c>
      <c r="D63" s="14">
        <v>8.4866623464138591E-17</v>
      </c>
      <c r="E63" s="14">
        <v>1.411873356109619E-4</v>
      </c>
      <c r="F63" s="14">
        <v>4.8665994588713287E-7</v>
      </c>
      <c r="G63" s="14">
        <v>6.4212910638575199E-8</v>
      </c>
      <c r="H63" s="14">
        <v>0</v>
      </c>
      <c r="I63" s="14">
        <v>5.6878494122882776E-6</v>
      </c>
      <c r="J63" s="14">
        <v>2.5739421201392162E-6</v>
      </c>
      <c r="K63" s="14">
        <v>0</v>
      </c>
    </row>
    <row r="64" spans="1:11">
      <c r="A64" s="2" t="s">
        <v>489</v>
      </c>
      <c r="B64" s="3" t="s">
        <v>490</v>
      </c>
      <c r="D64" s="14">
        <v>1.5532566289824842E-18</v>
      </c>
      <c r="E64" s="14">
        <v>1.4942444071574E-4</v>
      </c>
      <c r="F64" s="14">
        <v>1.8416885555878588E-7</v>
      </c>
      <c r="G64" s="14">
        <v>2.2866176436644965E-9</v>
      </c>
      <c r="H64" s="14">
        <v>0</v>
      </c>
      <c r="I64" s="14">
        <v>1.1171434094939129E-7</v>
      </c>
      <c r="J64" s="14">
        <v>2.7738947010659471E-7</v>
      </c>
      <c r="K64" s="14">
        <v>0</v>
      </c>
    </row>
    <row r="65" spans="1:11">
      <c r="A65" s="2" t="s">
        <v>491</v>
      </c>
      <c r="B65" s="3" t="s">
        <v>492</v>
      </c>
      <c r="D65" s="14">
        <v>2.5557578505953925E-16</v>
      </c>
      <c r="E65" s="14">
        <v>1.493722647571165E-4</v>
      </c>
      <c r="F65" s="14">
        <v>2.3821572247592282E-8</v>
      </c>
      <c r="G65" s="14">
        <v>1.0595316696892079E-9</v>
      </c>
      <c r="H65" s="14">
        <v>0</v>
      </c>
      <c r="I65" s="14">
        <v>4.8073313554910365E-7</v>
      </c>
      <c r="J65" s="14">
        <v>1.2212100316150104E-7</v>
      </c>
      <c r="K65" s="14">
        <v>0</v>
      </c>
    </row>
    <row r="66" spans="1:11">
      <c r="A66" s="2" t="s">
        <v>493</v>
      </c>
      <c r="B66" s="3" t="s">
        <v>494</v>
      </c>
      <c r="D66" s="14">
        <v>3.0529425936277467E-15</v>
      </c>
      <c r="E66" s="14">
        <v>1.0563165548596258E-4</v>
      </c>
      <c r="F66" s="14">
        <v>2.7415379650518222E-6</v>
      </c>
      <c r="G66" s="14">
        <v>6.8707967771153746E-8</v>
      </c>
      <c r="H66" s="14">
        <v>0</v>
      </c>
      <c r="I66" s="14">
        <v>4.0562180710684971E-5</v>
      </c>
      <c r="J66" s="14">
        <v>9.9591786747649752E-7</v>
      </c>
      <c r="K66" s="14">
        <v>0</v>
      </c>
    </row>
    <row r="67" spans="1:11">
      <c r="A67" s="2" t="s">
        <v>495</v>
      </c>
      <c r="B67" s="3" t="s">
        <v>496</v>
      </c>
      <c r="D67" s="14">
        <v>1.9974932922639447E-16</v>
      </c>
      <c r="E67" s="14">
        <v>1.4944089598894884E-4</v>
      </c>
      <c r="F67" s="14">
        <v>2.0096191639767275E-8</v>
      </c>
      <c r="G67" s="14">
        <v>1.0985724348454145E-9</v>
      </c>
      <c r="H67" s="14">
        <v>0</v>
      </c>
      <c r="I67" s="14">
        <v>4.0052873866242871E-7</v>
      </c>
      <c r="J67" s="14">
        <v>1.3738050811432977E-7</v>
      </c>
      <c r="K67" s="14">
        <v>0</v>
      </c>
    </row>
    <row r="68" spans="1:11">
      <c r="A68" s="2" t="s">
        <v>497</v>
      </c>
      <c r="B68" s="3" t="s">
        <v>498</v>
      </c>
      <c r="D68" s="14">
        <v>1.80878157418563E-15</v>
      </c>
      <c r="E68" s="14">
        <v>1.4988786884412953E-4</v>
      </c>
      <c r="F68" s="14">
        <v>2.3931372308202204E-9</v>
      </c>
      <c r="G68" s="14">
        <v>1.8464335347727707E-10</v>
      </c>
      <c r="H68" s="14">
        <v>0</v>
      </c>
      <c r="I68" s="14">
        <v>5.3974453924355216E-8</v>
      </c>
      <c r="J68" s="14">
        <v>5.5578919552998392E-8</v>
      </c>
      <c r="K68" s="14">
        <v>0</v>
      </c>
    </row>
    <row r="69" spans="1:11">
      <c r="A69" s="2" t="s">
        <v>499</v>
      </c>
      <c r="B69" s="3" t="s">
        <v>500</v>
      </c>
      <c r="D69" s="14">
        <v>1.9828281702462097E-15</v>
      </c>
      <c r="E69" s="14">
        <v>2.5469898500642434E-6</v>
      </c>
      <c r="F69" s="14">
        <v>2.3088396109324835E-5</v>
      </c>
      <c r="G69" s="14">
        <v>5.9401760992433112E-6</v>
      </c>
      <c r="H69" s="14">
        <v>0</v>
      </c>
      <c r="I69" s="14">
        <v>1.0224305108835206E-4</v>
      </c>
      <c r="J69" s="14">
        <v>1.618138685103268E-5</v>
      </c>
      <c r="K69" s="14">
        <v>0</v>
      </c>
    </row>
    <row r="70" spans="1:11">
      <c r="A70" s="2" t="s">
        <v>501</v>
      </c>
      <c r="B70" s="3" t="s">
        <v>411</v>
      </c>
      <c r="D70" s="14">
        <v>3.3280443907018426E-17</v>
      </c>
      <c r="E70" s="14">
        <v>1.4934587936477864E-4</v>
      </c>
      <c r="F70" s="14">
        <v>4.6430974070240542E-7</v>
      </c>
      <c r="G70" s="14">
        <v>4.4126900047315663E-11</v>
      </c>
      <c r="H70" s="14">
        <v>0</v>
      </c>
      <c r="I70" s="14">
        <v>1.860871741137009E-7</v>
      </c>
      <c r="J70" s="14">
        <v>3.6795934718677019E-9</v>
      </c>
      <c r="K70" s="14">
        <v>0</v>
      </c>
    </row>
    <row r="71" spans="1:11">
      <c r="A71" s="2" t="s">
        <v>502</v>
      </c>
      <c r="B71" s="3" t="s">
        <v>412</v>
      </c>
      <c r="D71" s="14">
        <v>1.5562072464290541E-12</v>
      </c>
      <c r="E71" s="14">
        <v>1.4876884849515854E-4</v>
      </c>
      <c r="F71" s="14">
        <v>8.861077845013472E-7</v>
      </c>
      <c r="G71" s="14">
        <v>8.0529103777906056E-11</v>
      </c>
      <c r="H71" s="14">
        <v>0</v>
      </c>
      <c r="I71" s="14">
        <v>3.3980163996121302E-7</v>
      </c>
      <c r="J71" s="14">
        <v>5.1599950678471741E-9</v>
      </c>
      <c r="K71" s="14">
        <v>0</v>
      </c>
    </row>
    <row r="72" spans="1:11">
      <c r="A72" s="2" t="s">
        <v>503</v>
      </c>
      <c r="B72" s="3" t="s">
        <v>413</v>
      </c>
      <c r="D72" s="14">
        <v>6.353716998473855E-14</v>
      </c>
      <c r="E72" s="14">
        <v>1.8518765088103737E-6</v>
      </c>
      <c r="F72" s="14">
        <v>4.7157043909093283E-5</v>
      </c>
      <c r="G72" s="14">
        <v>2.1657630115008435E-8</v>
      </c>
      <c r="H72" s="14">
        <v>0</v>
      </c>
      <c r="I72" s="14">
        <v>1.009518058863617E-4</v>
      </c>
      <c r="J72" s="14">
        <v>1.7616002082423454E-8</v>
      </c>
      <c r="K72" s="14">
        <v>0</v>
      </c>
    </row>
    <row r="73" spans="1:11">
      <c r="A73" s="2" t="s">
        <v>504</v>
      </c>
      <c r="B73" s="3" t="s">
        <v>414</v>
      </c>
      <c r="D73" s="14">
        <v>1.6676259817286221E-13</v>
      </c>
      <c r="E73" s="14">
        <v>3.4506650770621335E-5</v>
      </c>
      <c r="F73" s="14">
        <v>9.1773513536392979E-5</v>
      </c>
      <c r="G73" s="14">
        <v>5.3049551688622541E-9</v>
      </c>
      <c r="H73" s="14">
        <v>0</v>
      </c>
      <c r="I73" s="14">
        <v>2.368583742699163E-5</v>
      </c>
      <c r="J73" s="14">
        <v>2.8693144062571188E-8</v>
      </c>
      <c r="K73" s="14">
        <v>0</v>
      </c>
    </row>
    <row r="74" spans="1:11">
      <c r="A74" s="2" t="s">
        <v>505</v>
      </c>
      <c r="B74" s="3" t="s">
        <v>415</v>
      </c>
      <c r="D74" s="14">
        <v>1.9149642072839145E-13</v>
      </c>
      <c r="E74" s="14">
        <v>1.488828990008435E-4</v>
      </c>
      <c r="F74" s="14">
        <v>8.0237865507330817E-7</v>
      </c>
      <c r="G74" s="14">
        <v>7.3239222668008471E-11</v>
      </c>
      <c r="H74" s="14">
        <v>0</v>
      </c>
      <c r="I74" s="14">
        <v>3.0976193803088402E-7</v>
      </c>
      <c r="J74" s="14">
        <v>4.8869753332183117E-9</v>
      </c>
      <c r="K74" s="14">
        <v>0</v>
      </c>
    </row>
    <row r="75" spans="1:11">
      <c r="A75" s="2" t="s">
        <v>506</v>
      </c>
      <c r="B75" s="3" t="s">
        <v>416</v>
      </c>
      <c r="D75" s="14">
        <v>6.8903838787440701E-13</v>
      </c>
      <c r="E75" s="14">
        <v>3.9306789575409157E-5</v>
      </c>
      <c r="F75" s="14">
        <v>8.7753030637182974E-5</v>
      </c>
      <c r="G75" s="14">
        <v>5.1383831324864754E-9</v>
      </c>
      <c r="H75" s="14">
        <v>0</v>
      </c>
      <c r="I75" s="14">
        <v>2.2905205930814903E-5</v>
      </c>
      <c r="J75" s="14">
        <v>2.9834784422045322E-8</v>
      </c>
      <c r="K75" s="14">
        <v>0</v>
      </c>
    </row>
    <row r="76" spans="1:11">
      <c r="A76" s="2" t="s">
        <v>507</v>
      </c>
      <c r="B76" s="3" t="s">
        <v>417</v>
      </c>
      <c r="D76" s="14">
        <v>4.9872731339605129E-12</v>
      </c>
      <c r="E76" s="14">
        <v>1.2913611649542712E-4</v>
      </c>
      <c r="F76" s="14">
        <v>1.5851934608359286E-5</v>
      </c>
      <c r="G76" s="14">
        <v>1.1527857146334491E-9</v>
      </c>
      <c r="H76" s="14">
        <v>0</v>
      </c>
      <c r="I76" s="14">
        <v>4.9891118356277506E-6</v>
      </c>
      <c r="J76" s="14">
        <v>2.1679287598035619E-8</v>
      </c>
      <c r="K76" s="14">
        <v>0</v>
      </c>
    </row>
    <row r="77" spans="1:11">
      <c r="A77" s="2" t="s">
        <v>508</v>
      </c>
      <c r="B77" s="3" t="s">
        <v>418</v>
      </c>
      <c r="D77" s="14">
        <v>5.109550865987859E-12</v>
      </c>
      <c r="E77" s="14">
        <v>3.5834990623475959E-5</v>
      </c>
      <c r="F77" s="14">
        <v>9.0657104824876504E-5</v>
      </c>
      <c r="G77" s="14">
        <v>5.275555052924215E-9</v>
      </c>
      <c r="H77" s="14">
        <v>0</v>
      </c>
      <c r="I77" s="14">
        <v>2.3473505683322087E-5</v>
      </c>
      <c r="J77" s="14">
        <v>2.9118203721620569E-8</v>
      </c>
      <c r="K77" s="14">
        <v>0</v>
      </c>
    </row>
    <row r="78" spans="1:11">
      <c r="A78" s="2" t="s">
        <v>509</v>
      </c>
      <c r="B78" s="3" t="s">
        <v>419</v>
      </c>
      <c r="D78" s="14">
        <v>2.8638311249954563E-13</v>
      </c>
      <c r="E78" s="14">
        <v>2.3027752895668711E-6</v>
      </c>
      <c r="F78" s="14">
        <v>5.285257009949781E-5</v>
      </c>
      <c r="G78" s="14">
        <v>2.0395317480915132E-8</v>
      </c>
      <c r="H78" s="14">
        <v>0</v>
      </c>
      <c r="I78" s="14">
        <v>9.4805525163444115E-5</v>
      </c>
      <c r="J78" s="14">
        <v>1.8733843627115411E-8</v>
      </c>
      <c r="K78" s="14">
        <v>0</v>
      </c>
    </row>
    <row r="79" spans="1:11">
      <c r="A79" s="2" t="s">
        <v>510</v>
      </c>
      <c r="B79" s="3" t="s">
        <v>420</v>
      </c>
      <c r="D79" s="14">
        <v>7.1936217200066361E-18</v>
      </c>
      <c r="E79" s="14">
        <v>2.3027761906294637E-6</v>
      </c>
      <c r="F79" s="14">
        <v>5.2852590780401435E-5</v>
      </c>
      <c r="G79" s="14">
        <v>2.0392097785395259E-8</v>
      </c>
      <c r="H79" s="14">
        <v>0</v>
      </c>
      <c r="I79" s="14">
        <v>9.4805510044957222E-5</v>
      </c>
      <c r="J79" s="14">
        <v>1.8730886219247031E-8</v>
      </c>
      <c r="K79" s="14">
        <v>0</v>
      </c>
    </row>
    <row r="80" spans="1:11">
      <c r="A80" s="2" t="s">
        <v>511</v>
      </c>
      <c r="B80" s="3" t="s">
        <v>421</v>
      </c>
      <c r="D80" s="14">
        <v>8.3372166769206282E-13</v>
      </c>
      <c r="E80" s="14">
        <v>9.1378756599813879E-5</v>
      </c>
      <c r="F80" s="14">
        <v>4.5502975288195594E-5</v>
      </c>
      <c r="G80" s="14">
        <v>2.9758028395453355E-9</v>
      </c>
      <c r="H80" s="14">
        <v>0</v>
      </c>
      <c r="I80" s="14">
        <v>1.3083559246809186E-5</v>
      </c>
      <c r="J80" s="14">
        <v>3.1732228620116774E-8</v>
      </c>
      <c r="K80" s="14">
        <v>0</v>
      </c>
    </row>
    <row r="81" spans="1:11">
      <c r="A81" s="2" t="s">
        <v>512</v>
      </c>
      <c r="B81" s="3" t="s">
        <v>422</v>
      </c>
      <c r="D81" s="14">
        <v>3.5895434496216981E-13</v>
      </c>
      <c r="E81" s="14">
        <v>1.452524178464124E-4</v>
      </c>
      <c r="F81" s="14">
        <v>3.5096024187137747E-6</v>
      </c>
      <c r="G81" s="14">
        <v>2.8682848557428927E-10</v>
      </c>
      <c r="H81" s="14">
        <v>0</v>
      </c>
      <c r="I81" s="14">
        <v>1.2272713241625478E-6</v>
      </c>
      <c r="J81" s="14">
        <v>1.0421223271332795E-8</v>
      </c>
      <c r="K81" s="14">
        <v>0</v>
      </c>
    </row>
    <row r="82" spans="1:11">
      <c r="A82" s="2" t="s">
        <v>513</v>
      </c>
      <c r="B82" s="3" t="s">
        <v>423</v>
      </c>
      <c r="D82" s="14">
        <v>1.1371714560167028E-16</v>
      </c>
      <c r="E82" s="14">
        <v>1.3821974389603087E-4</v>
      </c>
      <c r="F82" s="14">
        <v>8.8561432825084263E-6</v>
      </c>
      <c r="G82" s="14">
        <v>6.7350412271116712E-10</v>
      </c>
      <c r="H82" s="14">
        <v>0</v>
      </c>
      <c r="I82" s="14">
        <v>2.9069563012607308E-6</v>
      </c>
      <c r="J82" s="14">
        <v>1.6483015963534498E-8</v>
      </c>
      <c r="K82" s="14">
        <v>0</v>
      </c>
    </row>
    <row r="83" spans="1:11">
      <c r="A83" s="2" t="s">
        <v>514</v>
      </c>
      <c r="B83" s="3" t="s">
        <v>424</v>
      </c>
      <c r="D83" s="14">
        <v>6.442952348558121E-14</v>
      </c>
      <c r="E83" s="14">
        <v>9.8104533063149135E-7</v>
      </c>
      <c r="F83" s="14">
        <v>3.3243261466315436E-5</v>
      </c>
      <c r="G83" s="14">
        <v>2.4641547862907692E-8</v>
      </c>
      <c r="H83" s="14">
        <v>0</v>
      </c>
      <c r="I83" s="14">
        <v>1.1573670448151118E-4</v>
      </c>
      <c r="J83" s="14">
        <v>1.434710924942354E-8</v>
      </c>
      <c r="K83" s="14">
        <v>0</v>
      </c>
    </row>
    <row r="84" spans="1:11">
      <c r="A84" s="2" t="s">
        <v>403</v>
      </c>
      <c r="B84" s="3" t="s">
        <v>404</v>
      </c>
      <c r="D84" s="14">
        <v>8.9667554319601887E-48</v>
      </c>
      <c r="E84" s="14">
        <v>7.3471593376204402E-5</v>
      </c>
      <c r="F84" s="14">
        <v>7.9589176084790154E-6</v>
      </c>
      <c r="G84" s="14">
        <v>1.8414060437649962E-6</v>
      </c>
      <c r="H84" s="14">
        <v>0</v>
      </c>
      <c r="I84" s="14">
        <v>3.0299189061673447E-5</v>
      </c>
      <c r="J84" s="14">
        <v>3.642889390987811E-5</v>
      </c>
      <c r="K84" s="14">
        <v>0</v>
      </c>
    </row>
    <row r="85" spans="1:11">
      <c r="A85" s="2" t="s">
        <v>405</v>
      </c>
      <c r="B85" s="3" t="s">
        <v>406</v>
      </c>
      <c r="D85" s="14">
        <v>4.8271238060424602E-13</v>
      </c>
      <c r="E85" s="14">
        <v>2.2727619265906613E-6</v>
      </c>
      <c r="F85" s="14">
        <v>3.5595885999695563E-6</v>
      </c>
      <c r="G85" s="14">
        <v>1.8609024151933236E-7</v>
      </c>
      <c r="H85" s="14">
        <v>0</v>
      </c>
      <c r="I85" s="14">
        <v>1.4368615226746957E-4</v>
      </c>
      <c r="J85" s="14">
        <v>2.9540648173847621E-7</v>
      </c>
      <c r="K85" s="14">
        <v>0</v>
      </c>
    </row>
    <row r="86" spans="1:11">
      <c r="A86" s="2" t="s">
        <v>407</v>
      </c>
      <c r="B86" s="3" t="s">
        <v>408</v>
      </c>
      <c r="D86" s="14">
        <v>2.0935271469554569E-9</v>
      </c>
      <c r="E86" s="14">
        <v>3.7241119753657773E-8</v>
      </c>
      <c r="F86" s="14">
        <v>1.7996882496602306E-6</v>
      </c>
      <c r="G86" s="14">
        <v>7.6452701574449502E-6</v>
      </c>
      <c r="H86" s="14">
        <v>0</v>
      </c>
      <c r="I86" s="14">
        <v>1.3757745347938409E-4</v>
      </c>
      <c r="J86" s="14">
        <v>2.9382534666100715E-6</v>
      </c>
      <c r="K86" s="14">
        <v>0</v>
      </c>
    </row>
    <row r="87" spans="1:11">
      <c r="A87" s="2" t="s">
        <v>409</v>
      </c>
      <c r="B87" s="3" t="s">
        <v>410</v>
      </c>
      <c r="D87" s="14">
        <v>2.3036446173402883E-10</v>
      </c>
      <c r="E87" s="14">
        <v>1.1468315056852813E-8</v>
      </c>
      <c r="F87" s="14">
        <v>8.6185492108365362E-7</v>
      </c>
      <c r="G87" s="14">
        <v>7.6723732257174218E-6</v>
      </c>
      <c r="H87" s="14">
        <v>0</v>
      </c>
      <c r="I87" s="14">
        <v>1.3969523395151334E-4</v>
      </c>
      <c r="J87" s="14">
        <v>1.7588392221669959E-6</v>
      </c>
      <c r="K87" s="14">
        <v>0</v>
      </c>
    </row>
    <row r="88" spans="1:11">
      <c r="A88" s="2" t="s">
        <v>301</v>
      </c>
      <c r="B88" s="3" t="s">
        <v>302</v>
      </c>
      <c r="D88" s="14">
        <v>2.6344581918055755E-11</v>
      </c>
      <c r="E88" s="14">
        <v>2.9805433638245922E-9</v>
      </c>
      <c r="F88" s="14">
        <v>3.7009225373697792E-7</v>
      </c>
      <c r="G88" s="14">
        <v>7.6419739073448883E-6</v>
      </c>
      <c r="H88" s="14">
        <v>0</v>
      </c>
      <c r="I88" s="14">
        <v>1.4101150312678779E-4</v>
      </c>
      <c r="J88" s="14">
        <v>9.7342382418458404E-7</v>
      </c>
      <c r="K88" s="14">
        <v>0</v>
      </c>
    </row>
    <row r="89" spans="1:11">
      <c r="A89" s="2" t="s">
        <v>303</v>
      </c>
      <c r="B89" s="3" t="s">
        <v>304</v>
      </c>
      <c r="D89" s="14">
        <v>1.493974795708393E-18</v>
      </c>
      <c r="E89" s="14">
        <v>1.4814999124857856E-8</v>
      </c>
      <c r="F89" s="14">
        <v>1.6872706371775001E-7</v>
      </c>
      <c r="G89" s="14">
        <v>4.3882445752546094E-7</v>
      </c>
      <c r="H89" s="14">
        <v>0</v>
      </c>
      <c r="I89" s="14">
        <v>1.4929954494999882E-4</v>
      </c>
      <c r="J89" s="14">
        <v>7.8088529631580049E-8</v>
      </c>
      <c r="K89" s="14">
        <v>0</v>
      </c>
    </row>
    <row r="90" spans="1:11">
      <c r="A90" s="2" t="s">
        <v>425</v>
      </c>
      <c r="B90" s="3" t="s">
        <v>426</v>
      </c>
      <c r="D90" s="14">
        <v>1.8916535338916252E-17</v>
      </c>
      <c r="E90" s="14">
        <v>1.4829884347420196E-4</v>
      </c>
      <c r="F90" s="14">
        <v>1.3910806657997281E-8</v>
      </c>
      <c r="G90" s="14">
        <v>4.6706529822453138E-9</v>
      </c>
      <c r="H90" s="14">
        <v>0</v>
      </c>
      <c r="I90" s="14">
        <v>7.387891694853208E-8</v>
      </c>
      <c r="J90" s="14">
        <v>1.6086961491903008E-6</v>
      </c>
      <c r="K90" s="14">
        <v>0</v>
      </c>
    </row>
    <row r="91" spans="1:11">
      <c r="A91" s="2" t="s">
        <v>427</v>
      </c>
      <c r="B91" s="3" t="s">
        <v>428</v>
      </c>
      <c r="D91" s="14">
        <v>1.144023502459954E-8</v>
      </c>
      <c r="E91" s="14">
        <v>1.2831548815339335E-4</v>
      </c>
      <c r="F91" s="14">
        <v>9.8141712284634717E-7</v>
      </c>
      <c r="G91" s="14">
        <v>2.7602548792415265E-7</v>
      </c>
      <c r="H91" s="14">
        <v>0</v>
      </c>
      <c r="I91" s="14">
        <v>4.4330961055268737E-6</v>
      </c>
      <c r="J91" s="14">
        <v>1.5982532895284652E-5</v>
      </c>
      <c r="K91" s="14">
        <v>0</v>
      </c>
    </row>
    <row r="92" spans="1:11">
      <c r="A92" s="2" t="s">
        <v>429</v>
      </c>
      <c r="B92" s="3" t="s">
        <v>430</v>
      </c>
      <c r="D92" s="14">
        <v>1.2377948582572557E-7</v>
      </c>
      <c r="E92" s="14">
        <v>4.0098932233575099E-5</v>
      </c>
      <c r="F92" s="14">
        <v>1.5165871036809644E-5</v>
      </c>
      <c r="G92" s="14">
        <v>3.2000953150951876E-6</v>
      </c>
      <c r="H92" s="14">
        <v>0</v>
      </c>
      <c r="I92" s="14">
        <v>5.3264414562477944E-5</v>
      </c>
      <c r="J92" s="14">
        <v>3.8146907366216387E-5</v>
      </c>
      <c r="K92" s="14">
        <v>0</v>
      </c>
    </row>
    <row r="93" spans="1:11">
      <c r="A93" s="2" t="s">
        <v>431</v>
      </c>
      <c r="B93" s="3" t="s">
        <v>432</v>
      </c>
      <c r="D93" s="14">
        <v>1.4067060847161095E-21</v>
      </c>
      <c r="E93" s="14">
        <v>1.4989362686062716E-4</v>
      </c>
      <c r="F93" s="14">
        <v>6.5446694766439462E-8</v>
      </c>
      <c r="G93" s="14">
        <v>5.2433595556269198E-11</v>
      </c>
      <c r="H93" s="14">
        <v>0</v>
      </c>
      <c r="I93" s="14">
        <v>3.1188867494425244E-8</v>
      </c>
      <c r="J93" s="14">
        <v>9.6851435163631361E-9</v>
      </c>
      <c r="K93" s="14">
        <v>0</v>
      </c>
    </row>
    <row r="94" spans="1:11">
      <c r="A94" s="2" t="s">
        <v>433</v>
      </c>
      <c r="B94" s="3" t="s">
        <v>434</v>
      </c>
      <c r="D94" s="14">
        <v>2.961767957611511E-22</v>
      </c>
      <c r="E94" s="14">
        <v>1.4999098745465981E-4</v>
      </c>
      <c r="F94" s="14">
        <v>2.5372877045068849E-10</v>
      </c>
      <c r="G94" s="14">
        <v>3.5405061789756306E-13</v>
      </c>
      <c r="H94" s="14">
        <v>0</v>
      </c>
      <c r="I94" s="14">
        <v>8.5143658925875801E-9</v>
      </c>
      <c r="J94" s="14">
        <v>2.4409662651874168E-10</v>
      </c>
      <c r="K94" s="14">
        <v>0</v>
      </c>
    </row>
    <row r="95" spans="1:11">
      <c r="A95" s="2" t="s">
        <v>435</v>
      </c>
      <c r="B95" s="3" t="s">
        <v>436</v>
      </c>
      <c r="D95" s="14">
        <v>1.6432965891211158E-12</v>
      </c>
      <c r="E95" s="14">
        <v>1.4581039607159841E-4</v>
      </c>
      <c r="F95" s="14">
        <v>5.7956991070548078E-8</v>
      </c>
      <c r="G95" s="14">
        <v>2.0101898535442038E-8</v>
      </c>
      <c r="H95" s="14">
        <v>0</v>
      </c>
      <c r="I95" s="14">
        <v>3.2246581646511243E-7</v>
      </c>
      <c r="J95" s="14">
        <v>3.7890775790338791E-6</v>
      </c>
      <c r="K95" s="14">
        <v>0</v>
      </c>
    </row>
    <row r="96" spans="1:11">
      <c r="A96" s="2" t="s">
        <v>437</v>
      </c>
      <c r="B96" s="165" t="s">
        <v>438</v>
      </c>
      <c r="D96" s="14">
        <v>4.1601330037293511E-12</v>
      </c>
      <c r="E96" s="14">
        <v>5.7595870905706112E-8</v>
      </c>
      <c r="F96" s="14">
        <v>2.361162624338683E-6</v>
      </c>
      <c r="G96" s="14">
        <v>7.6141504758606472E-6</v>
      </c>
      <c r="H96" s="14">
        <v>0</v>
      </c>
      <c r="I96" s="14">
        <v>1.3641962385538406E-4</v>
      </c>
      <c r="J96" s="14">
        <v>3.5474630133778778E-6</v>
      </c>
      <c r="K96" s="14">
        <v>0</v>
      </c>
    </row>
    <row r="97" spans="1:11">
      <c r="A97" s="2" t="s">
        <v>439</v>
      </c>
      <c r="B97" s="3" t="s">
        <v>440</v>
      </c>
      <c r="D97" s="14">
        <v>6.0218007679229643E-9</v>
      </c>
      <c r="E97" s="14">
        <v>1.1685586557097254E-4</v>
      </c>
      <c r="F97" s="14">
        <v>1.9895051470153579E-6</v>
      </c>
      <c r="G97" s="14">
        <v>5.2752205595156305E-7</v>
      </c>
      <c r="H97" s="14">
        <v>0</v>
      </c>
      <c r="I97" s="14">
        <v>8.5340695597509256E-6</v>
      </c>
      <c r="J97" s="14">
        <v>2.2087015865541679E-5</v>
      </c>
      <c r="K97" s="14">
        <v>0</v>
      </c>
    </row>
    <row r="98" spans="1:11">
      <c r="A98" s="2" t="s">
        <v>441</v>
      </c>
      <c r="B98" s="3" t="s">
        <v>442</v>
      </c>
      <c r="D98" s="14">
        <v>3.8246868525441571E-21</v>
      </c>
      <c r="E98" s="14">
        <v>1.2649693911261442E-4</v>
      </c>
      <c r="F98" s="14">
        <v>1.1241248986395822E-6</v>
      </c>
      <c r="G98" s="14">
        <v>3.1268721373637442E-7</v>
      </c>
      <c r="H98" s="14">
        <v>0</v>
      </c>
      <c r="I98" s="14">
        <v>5.028722313461188E-6</v>
      </c>
      <c r="J98" s="14">
        <v>1.7037526461548414E-5</v>
      </c>
      <c r="K98" s="14">
        <v>0</v>
      </c>
    </row>
    <row r="99" spans="1:11">
      <c r="A99" s="2" t="s">
        <v>443</v>
      </c>
      <c r="B99" s="3" t="s">
        <v>444</v>
      </c>
      <c r="D99" s="14">
        <v>5.2989452102200756E-33</v>
      </c>
      <c r="E99" s="14">
        <v>1.4048616684483615E-4</v>
      </c>
      <c r="F99" s="14">
        <v>2.3966693028305412E-7</v>
      </c>
      <c r="G99" s="14">
        <v>7.5284170349116272E-8</v>
      </c>
      <c r="H99" s="14">
        <v>0</v>
      </c>
      <c r="I99" s="14">
        <v>1.1931677161847837E-6</v>
      </c>
      <c r="J99" s="14">
        <v>8.005714338346857E-6</v>
      </c>
      <c r="K99" s="14">
        <v>0</v>
      </c>
    </row>
    <row r="100" spans="1:11">
      <c r="A100" s="2" t="s">
        <v>445</v>
      </c>
      <c r="B100" s="3" t="s">
        <v>446</v>
      </c>
      <c r="D100" s="14">
        <v>7.9457191312933473E-12</v>
      </c>
      <c r="E100" s="14">
        <v>6.8877494901450263E-7</v>
      </c>
      <c r="F100" s="14">
        <v>1.0800699760923212E-5</v>
      </c>
      <c r="G100" s="14">
        <v>6.9606123711051803E-6</v>
      </c>
      <c r="H100" s="14">
        <v>0</v>
      </c>
      <c r="I100" s="14">
        <v>1.2156500152318329E-4</v>
      </c>
      <c r="J100" s="14">
        <v>9.9849034500546933E-6</v>
      </c>
      <c r="K100" s="14">
        <v>0</v>
      </c>
    </row>
    <row r="101" spans="1:11">
      <c r="A101" s="2" t="s">
        <v>447</v>
      </c>
      <c r="B101" s="3" t="s">
        <v>448</v>
      </c>
      <c r="D101" s="14">
        <v>1.0114433058892865E-12</v>
      </c>
      <c r="E101" s="14">
        <v>5.2067374432924283E-5</v>
      </c>
      <c r="F101" s="14">
        <v>1.2245040580604266E-5</v>
      </c>
      <c r="G101" s="14">
        <v>2.6758131524933443E-6</v>
      </c>
      <c r="H101" s="14">
        <v>0</v>
      </c>
      <c r="I101" s="14">
        <v>4.4343726757360752E-5</v>
      </c>
      <c r="J101" s="14">
        <v>3.8668044065174019E-5</v>
      </c>
      <c r="K101" s="14">
        <v>0</v>
      </c>
    </row>
    <row r="102" spans="1:11">
      <c r="A102" s="2" t="s">
        <v>449</v>
      </c>
      <c r="B102" s="3" t="s">
        <v>450</v>
      </c>
      <c r="D102" s="14">
        <v>5.7032701155964163E-8</v>
      </c>
      <c r="E102" s="14">
        <v>1.4556872389659877E-5</v>
      </c>
      <c r="F102" s="14">
        <v>2.4073687864650657E-5</v>
      </c>
      <c r="G102" s="14">
        <v>4.5565714072756032E-6</v>
      </c>
      <c r="H102" s="14">
        <v>0</v>
      </c>
      <c r="I102" s="14">
        <v>7.6878999763098797E-5</v>
      </c>
      <c r="J102" s="14">
        <v>2.9876835874159087E-5</v>
      </c>
      <c r="K102" s="14">
        <v>0</v>
      </c>
    </row>
    <row r="103" spans="1:11">
      <c r="A103" s="2" t="s">
        <v>451</v>
      </c>
      <c r="B103" s="3" t="s">
        <v>452</v>
      </c>
      <c r="D103" s="14">
        <v>5.6277558951990452E-23</v>
      </c>
      <c r="E103" s="14">
        <v>1.476306985540584E-4</v>
      </c>
      <c r="F103" s="14">
        <v>1.7273137299541946E-6</v>
      </c>
      <c r="G103" s="14">
        <v>1.6762794978183578E-10</v>
      </c>
      <c r="H103" s="14">
        <v>0</v>
      </c>
      <c r="I103" s="14">
        <v>6.3364969678342344E-7</v>
      </c>
      <c r="J103" s="14">
        <v>8.1703912541886089E-9</v>
      </c>
      <c r="K103" s="14">
        <v>0</v>
      </c>
    </row>
    <row r="104" spans="1:11">
      <c r="A104" s="2" t="s">
        <v>453</v>
      </c>
      <c r="B104" s="3" t="s">
        <v>454</v>
      </c>
      <c r="D104" s="14">
        <v>8.972727471751941E-24</v>
      </c>
      <c r="E104" s="14">
        <v>1.139079762715216E-5</v>
      </c>
      <c r="F104" s="14">
        <v>1.0087154819002433E-4</v>
      </c>
      <c r="G104" s="14">
        <v>1.0681551452863343E-7</v>
      </c>
      <c r="H104" s="14">
        <v>0</v>
      </c>
      <c r="I104" s="14">
        <v>3.7331797653683866E-5</v>
      </c>
      <c r="J104" s="14">
        <v>2.9904101461101673E-7</v>
      </c>
      <c r="K104" s="14">
        <v>0</v>
      </c>
    </row>
    <row r="105" spans="1:11">
      <c r="A105" s="2" t="s">
        <v>455</v>
      </c>
      <c r="B105" s="165">
        <v>354656</v>
      </c>
      <c r="D105" s="14">
        <v>4.3642285007553453E-14</v>
      </c>
      <c r="E105" s="14">
        <v>1.4795567071720179E-4</v>
      </c>
      <c r="F105" s="14">
        <v>1.4959813022500454E-8</v>
      </c>
      <c r="G105" s="14">
        <v>5.786576791243351E-9</v>
      </c>
      <c r="H105" s="14">
        <v>0</v>
      </c>
      <c r="I105" s="14">
        <v>9.019875424981644E-8</v>
      </c>
      <c r="J105" s="14">
        <v>1.9333840950923101E-6</v>
      </c>
      <c r="K105" s="14">
        <v>0</v>
      </c>
    </row>
    <row r="106" spans="1:11">
      <c r="A106" s="2" t="s">
        <v>457</v>
      </c>
      <c r="B106" s="3" t="s">
        <v>458</v>
      </c>
      <c r="D106" s="14">
        <v>6.5999055100076039E-14</v>
      </c>
      <c r="E106" s="14">
        <v>1.4559489282050381E-4</v>
      </c>
      <c r="F106" s="14">
        <v>6.2933506058400176E-8</v>
      </c>
      <c r="G106" s="14">
        <v>2.1729884850574067E-8</v>
      </c>
      <c r="H106" s="14">
        <v>0</v>
      </c>
      <c r="I106" s="14">
        <v>3.4712095637782982E-7</v>
      </c>
      <c r="J106" s="14">
        <v>3.9733227662103237E-6</v>
      </c>
      <c r="K106" s="14">
        <v>0</v>
      </c>
    </row>
    <row r="107" spans="1:11">
      <c r="A107" s="2" t="s">
        <v>459</v>
      </c>
      <c r="B107" s="3" t="s">
        <v>460</v>
      </c>
      <c r="D107" s="14">
        <v>1.3742276389129595E-23</v>
      </c>
      <c r="E107" s="14">
        <v>8.0696527554858605E-6</v>
      </c>
      <c r="F107" s="14">
        <v>2.7384605669471889E-5</v>
      </c>
      <c r="G107" s="14">
        <v>4.792859348951809E-6</v>
      </c>
      <c r="H107" s="14">
        <v>0</v>
      </c>
      <c r="I107" s="14">
        <v>8.7484374993456322E-5</v>
      </c>
      <c r="J107" s="14">
        <v>2.226850723263409E-5</v>
      </c>
      <c r="K107" s="14">
        <v>0</v>
      </c>
    </row>
    <row r="108" spans="1:11">
      <c r="A108" s="2" t="s">
        <v>461</v>
      </c>
      <c r="B108" s="3" t="s">
        <v>462</v>
      </c>
      <c r="D108" s="14">
        <v>1.2797081535448155E-13</v>
      </c>
      <c r="E108" s="14">
        <v>1.4999150930816054E-4</v>
      </c>
      <c r="F108" s="14">
        <v>1.3143226641829602E-10</v>
      </c>
      <c r="G108" s="14">
        <v>3.8094614110209459E-12</v>
      </c>
      <c r="H108" s="14">
        <v>0</v>
      </c>
      <c r="I108" s="14">
        <v>4.8497411975046854E-9</v>
      </c>
      <c r="J108" s="14">
        <v>3.5055809433056195E-9</v>
      </c>
      <c r="K108" s="14">
        <v>0</v>
      </c>
    </row>
    <row r="109" spans="1:11">
      <c r="A109" s="2" t="s">
        <v>463</v>
      </c>
      <c r="B109" s="3" t="s">
        <v>464</v>
      </c>
      <c r="D109" s="14">
        <v>3.1993380261664483E-16</v>
      </c>
      <c r="E109" s="14">
        <v>1.3524414956898455E-4</v>
      </c>
      <c r="F109" s="14">
        <v>8.4450379578369672E-7</v>
      </c>
      <c r="G109" s="14">
        <v>4.1976640876591602E-8</v>
      </c>
      <c r="H109" s="14">
        <v>0</v>
      </c>
      <c r="I109" s="14">
        <v>1.2743977271182417E-5</v>
      </c>
      <c r="J109" s="14">
        <v>1.1253927228527673E-6</v>
      </c>
      <c r="K109" s="14">
        <v>0</v>
      </c>
    </row>
    <row r="110" spans="1:11">
      <c r="A110" s="2" t="s">
        <v>465</v>
      </c>
      <c r="B110" s="3" t="s">
        <v>466</v>
      </c>
      <c r="D110" s="14">
        <v>2.4387719821372889E-15</v>
      </c>
      <c r="E110" s="14">
        <v>1.4958816060451404E-4</v>
      </c>
      <c r="F110" s="14">
        <v>3.3735858959331616E-9</v>
      </c>
      <c r="G110" s="14">
        <v>6.4544359876108445E-10</v>
      </c>
      <c r="H110" s="14">
        <v>0</v>
      </c>
      <c r="I110" s="14">
        <v>1.1766076404113062E-8</v>
      </c>
      <c r="J110" s="14">
        <v>3.9605428714838068E-7</v>
      </c>
      <c r="K110" s="14">
        <v>0</v>
      </c>
    </row>
    <row r="111" spans="1:11">
      <c r="A111" s="2" t="s">
        <v>467</v>
      </c>
      <c r="B111" s="3" t="s">
        <v>468</v>
      </c>
      <c r="D111" s="14">
        <v>4.3187283663717401E-34</v>
      </c>
      <c r="E111" s="14">
        <v>1.4999832991999975E-4</v>
      </c>
      <c r="F111" s="14">
        <v>2.3884765076004734E-10</v>
      </c>
      <c r="G111" s="14">
        <v>1.9732991218875997E-13</v>
      </c>
      <c r="H111" s="14">
        <v>0</v>
      </c>
      <c r="I111" s="14">
        <v>1.0766385855167037E-9</v>
      </c>
      <c r="J111" s="14">
        <v>3.5439643405284654E-10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2.7428127475683647E-17</v>
      </c>
      <c r="E112" s="14">
        <v>1.4947559580001757E-4</v>
      </c>
      <c r="F112" s="14">
        <v>1.1647020598577758E-9</v>
      </c>
      <c r="G112" s="14">
        <v>5.4413968256120322E-10</v>
      </c>
      <c r="H112" s="14">
        <v>0</v>
      </c>
      <c r="I112" s="14">
        <v>9.1168757937307038E-9</v>
      </c>
      <c r="J112" s="14">
        <v>5.1357848241881028E-7</v>
      </c>
      <c r="K112" s="14">
        <v>0</v>
      </c>
    </row>
    <row r="113" spans="1:11">
      <c r="A113" s="2" t="s">
        <v>471</v>
      </c>
      <c r="B113" s="3" t="s">
        <v>472</v>
      </c>
      <c r="D113" s="14">
        <v>3.4555469096824391E-13</v>
      </c>
      <c r="E113" s="14">
        <v>1.4681178765940469E-4</v>
      </c>
      <c r="F113" s="14">
        <v>3.3879381812947356E-8</v>
      </c>
      <c r="G113" s="14">
        <v>1.2331929483006492E-8</v>
      </c>
      <c r="H113" s="14">
        <v>0</v>
      </c>
      <c r="I113" s="14">
        <v>1.9264294214027179E-7</v>
      </c>
      <c r="J113" s="14">
        <v>2.9493577416043707E-6</v>
      </c>
      <c r="K113" s="14">
        <v>0</v>
      </c>
    </row>
    <row r="114" spans="1:11">
      <c r="A114" s="2" t="s">
        <v>473</v>
      </c>
      <c r="B114" s="3" t="s">
        <v>474</v>
      </c>
      <c r="D114" s="14">
        <v>2.6861891744669758E-20</v>
      </c>
      <c r="E114" s="14">
        <v>1.4973035586399121E-4</v>
      </c>
      <c r="F114" s="14">
        <v>3.3836420007034706E-10</v>
      </c>
      <c r="G114" s="14">
        <v>1.7047198212419117E-10</v>
      </c>
      <c r="H114" s="14">
        <v>0</v>
      </c>
      <c r="I114" s="14">
        <v>3.4610691978779646E-9</v>
      </c>
      <c r="J114" s="14">
        <v>2.656742306286541E-7</v>
      </c>
      <c r="K114" s="14">
        <v>0</v>
      </c>
    </row>
    <row r="115" spans="1:11">
      <c r="A115" s="2" t="s">
        <v>475</v>
      </c>
      <c r="B115" s="3" t="s">
        <v>476</v>
      </c>
      <c r="D115" s="14">
        <v>1.419345280924866E-16</v>
      </c>
      <c r="E115" s="14">
        <v>1.4940553532261777E-4</v>
      </c>
      <c r="F115" s="14">
        <v>4.2028243360378657E-7</v>
      </c>
      <c r="G115" s="14">
        <v>5.034137709354089E-11</v>
      </c>
      <c r="H115" s="14">
        <v>0</v>
      </c>
      <c r="I115" s="14">
        <v>1.6976049255278362E-7</v>
      </c>
      <c r="J115" s="14">
        <v>4.3714097065972168E-9</v>
      </c>
      <c r="K115" s="14">
        <v>0</v>
      </c>
    </row>
    <row r="116" spans="1:11">
      <c r="A116" s="2" t="s">
        <v>477</v>
      </c>
      <c r="B116" s="3" t="s">
        <v>478</v>
      </c>
      <c r="D116" s="14">
        <v>3.2734336298643518E-21</v>
      </c>
      <c r="E116" s="14">
        <v>1.6825066991198605E-5</v>
      </c>
      <c r="F116" s="14">
        <v>1.0278133594520416E-5</v>
      </c>
      <c r="G116" s="14">
        <v>2.4894177325369603E-7</v>
      </c>
      <c r="H116" s="14">
        <v>0</v>
      </c>
      <c r="I116" s="14">
        <v>1.2163395979714089E-4</v>
      </c>
      <c r="J116" s="14">
        <v>1.0138978438863319E-6</v>
      </c>
      <c r="K116" s="14">
        <v>0</v>
      </c>
    </row>
    <row r="117" spans="1:11">
      <c r="A117" s="2" t="s">
        <v>291</v>
      </c>
      <c r="B117" s="3" t="s">
        <v>479</v>
      </c>
      <c r="D117" s="14">
        <v>4.9215337823378395E-14</v>
      </c>
      <c r="E117" s="14">
        <v>1.0191183101030536E-4</v>
      </c>
      <c r="F117" s="14">
        <v>3.6738308342846282E-6</v>
      </c>
      <c r="G117" s="14">
        <v>9.2175331932521997E-7</v>
      </c>
      <c r="H117" s="14">
        <v>0</v>
      </c>
      <c r="I117" s="14">
        <v>1.5014476902008978E-5</v>
      </c>
      <c r="J117" s="14">
        <v>2.8478107884860439E-5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18"/>
  <sheetViews>
    <sheetView tabSelected="1" topLeftCell="A87" workbookViewId="0">
      <selection activeCell="A118" sqref="A118:D118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5.7017105396239323E-8</v>
      </c>
      <c r="B2">
        <f>'Mass Balance'!E2</f>
        <v>1.484356261120916E-4</v>
      </c>
      <c r="C2">
        <f>SUM('Mass Balance'!E2:H2)</f>
        <v>1.4844838084534362E-4</v>
      </c>
      <c r="D2">
        <f>Concentrations!F2/Concentrations!E2</f>
        <v>1.0003040382004162</v>
      </c>
    </row>
    <row r="3" spans="1:4">
      <c r="A3" s="164">
        <f>'Mass Balance'!I3</f>
        <v>1.6975779749312061E-5</v>
      </c>
      <c r="B3">
        <f>'Mass Balance'!E3</f>
        <v>1.0074174908271864E-4</v>
      </c>
      <c r="C3">
        <f>SUM('Mass Balance'!E3:H3)</f>
        <v>1.0569886618476239E-4</v>
      </c>
      <c r="D3">
        <f>Concentrations!F3/Concentrations!E3</f>
        <v>0.95347321310179411</v>
      </c>
    </row>
    <row r="4" spans="1:4">
      <c r="A4" s="164">
        <f>'Mass Balance'!I4</f>
        <v>1.5425767970877118E-7</v>
      </c>
      <c r="B4">
        <f>'Mass Balance'!E4</f>
        <v>1.4983813252841805E-4</v>
      </c>
      <c r="C4">
        <f>SUM('Mass Balance'!E4:H4)</f>
        <v>1.4984444086586494E-4</v>
      </c>
      <c r="D4">
        <f>Concentrations!F4/Concentrations!E4</f>
        <v>1.0003478763736682</v>
      </c>
    </row>
    <row r="5" spans="1:4">
      <c r="A5" s="164">
        <f>'Mass Balance'!I5</f>
        <v>3.594964612395621E-6</v>
      </c>
      <c r="B5">
        <f>'Mass Balance'!E5</f>
        <v>1.3525624042188533E-4</v>
      </c>
      <c r="C5">
        <f>SUM('Mass Balance'!E5:H5)</f>
        <v>1.463855015077455E-4</v>
      </c>
      <c r="D5">
        <f>Concentrations!F5/Concentrations!E5</f>
        <v>0.92433326992500098</v>
      </c>
    </row>
    <row r="6" spans="1:4">
      <c r="A6" s="164">
        <f>'Mass Balance'!I6</f>
        <v>7.525519109414875E-6</v>
      </c>
      <c r="B6">
        <f>'Mass Balance'!E6</f>
        <v>1.1789251896638514E-4</v>
      </c>
      <c r="C6">
        <f>SUM('Mass Balance'!E6:H6)</f>
        <v>1.4236661856856825E-4</v>
      </c>
      <c r="D6">
        <f>Concentrations!F6/Concentrations!E6</f>
        <v>0.82841397299118713</v>
      </c>
    </row>
    <row r="7" spans="1:4">
      <c r="A7" s="164">
        <f>'Mass Balance'!I7</f>
        <v>1.8186349281165109E-5</v>
      </c>
      <c r="B7">
        <f>'Mass Balance'!E7</f>
        <v>7.1742196147040862E-5</v>
      </c>
      <c r="C7">
        <f>SUM('Mass Balance'!E7:H7)</f>
        <v>1.3076942217034158E-4</v>
      </c>
      <c r="D7">
        <f>Concentrations!F7/Concentrations!E7</f>
        <v>0.5488299469472826</v>
      </c>
    </row>
    <row r="8" spans="1:4">
      <c r="A8" s="164">
        <f>'Mass Balance'!I8</f>
        <v>1.0350552910742152E-5</v>
      </c>
      <c r="B8">
        <f>'Mass Balance'!E8</f>
        <v>1.0464964589329494E-4</v>
      </c>
      <c r="C8">
        <f>SUM('Mass Balance'!E8:H8)</f>
        <v>1.395828441616764E-4</v>
      </c>
      <c r="D8">
        <f>Concentrations!F8/Concentrations!E8</f>
        <v>0.75002382313076299</v>
      </c>
    </row>
    <row r="9" spans="1:4">
      <c r="A9" s="164">
        <f>'Mass Balance'!I9</f>
        <v>2.8824767424059495E-6</v>
      </c>
      <c r="B9">
        <f>'Mass Balance'!E9</f>
        <v>1.3838542501148384E-4</v>
      </c>
      <c r="C9">
        <f>SUM('Mass Balance'!E9:H9)</f>
        <v>1.4703648813899883E-4</v>
      </c>
      <c r="D9">
        <f>Concentrations!F9/Concentrations!E9</f>
        <v>0.94153088105625027</v>
      </c>
    </row>
    <row r="10" spans="1:4">
      <c r="A10" s="164">
        <f>'Mass Balance'!I10</f>
        <v>9.099620104951835E-5</v>
      </c>
      <c r="B10">
        <f>'Mass Balance'!E10</f>
        <v>4.2333795038986095E-6</v>
      </c>
      <c r="C10">
        <f>SUM('Mass Balance'!E10:H10)</f>
        <v>4.0007934943999544E-5</v>
      </c>
      <c r="D10">
        <f>Concentrations!F10/Concentrations!E10</f>
        <v>0.10585476341410868</v>
      </c>
    </row>
    <row r="11" spans="1:4">
      <c r="A11" s="164">
        <f>'Mass Balance'!I11</f>
        <v>1.4140932273813843E-4</v>
      </c>
      <c r="B11">
        <f>'Mass Balance'!E11</f>
        <v>5.0375693062488319E-8</v>
      </c>
      <c r="C11">
        <f>SUM('Mass Balance'!E11:H11)</f>
        <v>7.9768214422651061E-6</v>
      </c>
      <c r="D11">
        <f>Concentrations!F11/Concentrations!E11</f>
        <v>6.3177218577935871E-3</v>
      </c>
    </row>
    <row r="12" spans="1:4">
      <c r="A12" s="164">
        <f>'Mass Balance'!I12</f>
        <v>3.9204172529430196E-9</v>
      </c>
      <c r="B12">
        <f>'Mass Balance'!E12</f>
        <v>1.4083959953653885E-4</v>
      </c>
      <c r="C12">
        <f>SUM('Mass Balance'!E12:H12)</f>
        <v>1.408401895776052E-4</v>
      </c>
      <c r="D12">
        <f>Concentrations!F12/Concentrations!E12</f>
        <v>1.0003858009638962</v>
      </c>
    </row>
    <row r="13" spans="1:4">
      <c r="A13" s="164">
        <f>'Mass Balance'!I13</f>
        <v>1.2061145400168504E-5</v>
      </c>
      <c r="B13">
        <f>'Mass Balance'!E13</f>
        <v>1.083967910804557E-4</v>
      </c>
      <c r="C13">
        <f>SUM('Mass Balance'!E13:H13)</f>
        <v>1.1203389022846518E-4</v>
      </c>
      <c r="D13">
        <f>Concentrations!F13/Concentrations!E13</f>
        <v>0.96791305509794812</v>
      </c>
    </row>
    <row r="14" spans="1:4">
      <c r="A14" s="164">
        <f>'Mass Balance'!I14</f>
        <v>5.023112533288366E-5</v>
      </c>
      <c r="B14">
        <f>'Mass Balance'!E14</f>
        <v>8.1494554697285845E-6</v>
      </c>
      <c r="C14">
        <f>SUM('Mass Balance'!E14:H14)</f>
        <v>9.9464636944897902E-5</v>
      </c>
      <c r="D14">
        <f>Concentrations!F14/Concentrations!E14</f>
        <v>8.1965148045166053E-2</v>
      </c>
    </row>
    <row r="15" spans="1:4">
      <c r="A15" s="164">
        <f>'Mass Balance'!I15</f>
        <v>1.5795025366656933E-6</v>
      </c>
      <c r="B15">
        <f>'Mass Balance'!E15</f>
        <v>1.2793552956221306E-4</v>
      </c>
      <c r="C15">
        <f>SUM('Mass Balance'!E15:H15)</f>
        <v>1.2836047701659164E-4</v>
      </c>
      <c r="D15">
        <f>Concentrations!F15/Concentrations!E15</f>
        <v>0.99707812228781312</v>
      </c>
    </row>
    <row r="16" spans="1:4">
      <c r="A16" s="164">
        <f>'Mass Balance'!I16</f>
        <v>1.396289246781098E-5</v>
      </c>
      <c r="B16">
        <f>'Mass Balance'!E16</f>
        <v>1.0407053717467406E-4</v>
      </c>
      <c r="C16">
        <f>SUM('Mass Balance'!E16:H16)</f>
        <v>1.0832306969996317E-4</v>
      </c>
      <c r="D16">
        <f>Concentrations!F16/Concentrations!E16</f>
        <v>0.96111681605375665</v>
      </c>
    </row>
    <row r="17" spans="1:4">
      <c r="A17" s="164">
        <f>'Mass Balance'!I17</f>
        <v>1.2724343421912756E-5</v>
      </c>
      <c r="B17">
        <f>'Mass Balance'!E17</f>
        <v>1.0660683346575639E-4</v>
      </c>
      <c r="C17">
        <f>SUM('Mass Balance'!E17:H17)</f>
        <v>1.1045820037492385E-4</v>
      </c>
      <c r="D17">
        <f>Concentrations!F17/Concentrations!E17</f>
        <v>0.96550920546992713</v>
      </c>
    </row>
    <row r="18" spans="1:4">
      <c r="A18" s="164">
        <f>'Mass Balance'!I18</f>
        <v>1.3554657871115415E-4</v>
      </c>
      <c r="B18">
        <f>'Mass Balance'!E18</f>
        <v>7.5774390539742364E-8</v>
      </c>
      <c r="C18">
        <f>SUM('Mass Balance'!E18:H18)</f>
        <v>1.0461983269284187E-5</v>
      </c>
      <c r="D18">
        <f>Concentrations!F18/Concentrations!E18</f>
        <v>7.245656965541877E-3</v>
      </c>
    </row>
    <row r="19" spans="1:4">
      <c r="A19" s="164">
        <f>'Mass Balance'!I19</f>
        <v>5.2298240213951312E-7</v>
      </c>
      <c r="B19">
        <f>'Mass Balance'!E19</f>
        <v>1.428114923367916E-4</v>
      </c>
      <c r="C19">
        <f>SUM('Mass Balance'!E19:H19)</f>
        <v>1.4294376576630874E-4</v>
      </c>
      <c r="D19">
        <f>Concentrations!F19/Concentrations!E19</f>
        <v>0.99946427824493811</v>
      </c>
    </row>
    <row r="20" spans="1:4">
      <c r="A20" s="164">
        <f>'Mass Balance'!I20</f>
        <v>9.1433925257195789E-7</v>
      </c>
      <c r="B20">
        <f>'Mass Balance'!E20</f>
        <v>1.3922167079437391E-4</v>
      </c>
      <c r="C20">
        <f>SUM('Mass Balance'!E20:H20)</f>
        <v>1.3945988967880205E-4</v>
      </c>
      <c r="D20">
        <f>Concentrations!F20/Concentrations!E20</f>
        <v>0.99868117247035759</v>
      </c>
    </row>
    <row r="21" spans="1:4">
      <c r="A21" s="164">
        <f>'Mass Balance'!I21</f>
        <v>3.6748185960742703E-5</v>
      </c>
      <c r="B21">
        <f>'Mass Balance'!E21</f>
        <v>5.5019117301059378E-5</v>
      </c>
      <c r="C21">
        <f>SUM('Mass Balance'!E21:H21)</f>
        <v>9.7544729427198682E-5</v>
      </c>
      <c r="D21">
        <f>Concentrations!F21/Concentrations!E21</f>
        <v>0.56425984921748729</v>
      </c>
    </row>
    <row r="22" spans="1:4">
      <c r="A22" s="164">
        <f>'Mass Balance'!I22</f>
        <v>9.3689463035531614E-8</v>
      </c>
      <c r="B22">
        <f>'Mass Balance'!E22</f>
        <v>1.4007874501764263E-4</v>
      </c>
      <c r="C22">
        <f>SUM('Mass Balance'!E22:H22)</f>
        <v>1.4010040873527522E-4</v>
      </c>
      <c r="D22">
        <f>Concentrations!F22/Concentrations!E22</f>
        <v>1.0002353017912216</v>
      </c>
    </row>
    <row r="23" spans="1:4">
      <c r="A23" s="164">
        <f>'Mass Balance'!I23</f>
        <v>2.7106168550524646E-6</v>
      </c>
      <c r="B23">
        <f>'Mass Balance'!E23</f>
        <v>1.2525439518864468E-4</v>
      </c>
      <c r="C23">
        <f>SUM('Mass Balance'!E23:H23)</f>
        <v>1.2600492012131503E-4</v>
      </c>
      <c r="D23">
        <f>Concentrations!F23/Concentrations!E23</f>
        <v>0.99443135462023413</v>
      </c>
    </row>
    <row r="24" spans="1:4">
      <c r="A24" s="164">
        <f>'Mass Balance'!I24</f>
        <v>2.1398652335468033E-5</v>
      </c>
      <c r="B24">
        <f>'Mass Balance'!E24</f>
        <v>8.8868735878208809E-5</v>
      </c>
      <c r="C24">
        <f>SUM('Mass Balance'!E24:H24)</f>
        <v>9.5592418161735587E-5</v>
      </c>
      <c r="D24">
        <f>Concentrations!F24/Concentrations!E24</f>
        <v>0.93002557825139121</v>
      </c>
    </row>
    <row r="25" spans="1:4">
      <c r="A25" s="164">
        <f>'Mass Balance'!I25</f>
        <v>1.3397543400179136E-4</v>
      </c>
      <c r="B25">
        <f>'Mass Balance'!E25</f>
        <v>1.1411379428463406E-7</v>
      </c>
      <c r="C25">
        <f>SUM('Mass Balance'!E25:H25)</f>
        <v>1.1251701683679237E-5</v>
      </c>
      <c r="D25">
        <f>Concentrations!F25/Concentrations!E25</f>
        <v>1.0145869572868196E-2</v>
      </c>
    </row>
    <row r="26" spans="1:4">
      <c r="A26" s="164">
        <f>'Mass Balance'!I26</f>
        <v>3.8447732310639612E-5</v>
      </c>
      <c r="B26">
        <f>'Mass Balance'!E26</f>
        <v>3.832525686765844E-5</v>
      </c>
      <c r="C26">
        <f>SUM('Mass Balance'!E26:H26)</f>
        <v>5.1378971033692739E-5</v>
      </c>
      <c r="D26">
        <f>Concentrations!F26/Concentrations!E26</f>
        <v>0.7462236522295177</v>
      </c>
    </row>
    <row r="27" spans="1:4">
      <c r="A27" s="164">
        <f>'Mass Balance'!I27</f>
        <v>1.941032903453916E-5</v>
      </c>
      <c r="B27">
        <f>'Mass Balance'!E27</f>
        <v>3.8513511363804286E-6</v>
      </c>
      <c r="C27">
        <f>SUM('Mass Balance'!E27:H27)</f>
        <v>1.1060854695338761E-5</v>
      </c>
      <c r="D27">
        <f>Concentrations!F27/Concentrations!E27</f>
        <v>0.34833231597096381</v>
      </c>
    </row>
    <row r="28" spans="1:4">
      <c r="A28" s="164">
        <f>'Mass Balance'!I28</f>
        <v>8.4316205724328114E-6</v>
      </c>
      <c r="B28">
        <f>'Mass Balance'!E28</f>
        <v>6.2007868949557472E-6</v>
      </c>
      <c r="C28">
        <f>SUM('Mass Balance'!E28:H28)</f>
        <v>9.1118290574747573E-6</v>
      </c>
      <c r="D28">
        <f>Concentrations!F28/Concentrations!E28</f>
        <v>0.68078594465769404</v>
      </c>
    </row>
    <row r="29" spans="1:4">
      <c r="A29" s="164">
        <f>'Mass Balance'!I29</f>
        <v>9.3781592001415618E-8</v>
      </c>
      <c r="B29">
        <f>'Mass Balance'!E29</f>
        <v>1.1303220372236462E-5</v>
      </c>
      <c r="C29">
        <f>SUM('Mass Balance'!E29:H29)</f>
        <v>1.1327945760719956E-5</v>
      </c>
      <c r="D29">
        <f>Concentrations!F29/Concentrations!E29</f>
        <v>0.99820645128398899</v>
      </c>
    </row>
    <row r="30" spans="1:4">
      <c r="A30" s="164">
        <f>'Mass Balance'!I30</f>
        <v>3.0455252632533968E-6</v>
      </c>
      <c r="B30">
        <f>'Mass Balance'!E30</f>
        <v>2.4025788599721856E-6</v>
      </c>
      <c r="C30">
        <f>SUM('Mass Balance'!E30:H30)</f>
        <v>3.4499915630015441E-6</v>
      </c>
      <c r="D30">
        <f>Concentrations!F30/Concentrations!E30</f>
        <v>0.69667296359957631</v>
      </c>
    </row>
    <row r="31" spans="1:4">
      <c r="A31" s="164">
        <f>'Mass Balance'!I31</f>
        <v>5.0790892573437679E-8</v>
      </c>
      <c r="B31">
        <f>'Mass Balance'!E31</f>
        <v>8.6711567229897719E-8</v>
      </c>
      <c r="C31">
        <f>SUM('Mass Balance'!E31:H31)</f>
        <v>1.0345592284738426E-7</v>
      </c>
      <c r="D31">
        <f>Concentrations!F31/Concentrations!E31</f>
        <v>0.83847673156790348</v>
      </c>
    </row>
    <row r="32" spans="1:4">
      <c r="A32" s="164">
        <f>'Mass Balance'!I32</f>
        <v>1.0149340794295918E-5</v>
      </c>
      <c r="B32">
        <f>'Mass Balance'!E32</f>
        <v>1.1258994275361204E-4</v>
      </c>
      <c r="C32">
        <f>SUM('Mass Balance'!E32:H32)</f>
        <v>1.1561670187652654E-4</v>
      </c>
      <c r="D32">
        <f>Concentrations!F32/Concentrations!E32</f>
        <v>0.97420052731428075</v>
      </c>
    </row>
    <row r="33" spans="1:4">
      <c r="A33" s="164">
        <f>'Mass Balance'!I33</f>
        <v>4.6238858166655529E-6</v>
      </c>
      <c r="B33">
        <f>'Mass Balance'!E33</f>
        <v>1.2772110569710479E-4</v>
      </c>
      <c r="C33">
        <f>SUM('Mass Balance'!E33:H33)</f>
        <v>1.2903584923672857E-4</v>
      </c>
      <c r="D33">
        <f>Concentrations!F33/Concentrations!E33</f>
        <v>0.99019703955724425</v>
      </c>
    </row>
    <row r="34" spans="1:4">
      <c r="A34" s="164">
        <f>'Mass Balance'!I34</f>
        <v>4.4811852260001052E-5</v>
      </c>
      <c r="B34">
        <f>'Mass Balance'!E34</f>
        <v>5.1400401506295953E-5</v>
      </c>
      <c r="C34">
        <f>SUM('Mass Balance'!E34:H34)</f>
        <v>6.6498113885155185E-5</v>
      </c>
      <c r="D34">
        <f>Concentrations!F34/Concentrations!E34</f>
        <v>0.7732617400586479</v>
      </c>
    </row>
    <row r="35" spans="1:4">
      <c r="A35" s="164">
        <f>'Mass Balance'!I35</f>
        <v>8.2223780884205268E-5</v>
      </c>
      <c r="B35">
        <f>'Mass Balance'!E35</f>
        <v>8.0868528285925021E-6</v>
      </c>
      <c r="C35">
        <f>SUM('Mass Balance'!E35:H35)</f>
        <v>3.9864968202639376E-5</v>
      </c>
      <c r="D35">
        <f>Concentrations!F35/Concentrations!E35</f>
        <v>0.2029352336531943</v>
      </c>
    </row>
    <row r="36" spans="1:4">
      <c r="A36" s="164">
        <f>'Mass Balance'!I36</f>
        <v>1.1567070120389974E-4</v>
      </c>
      <c r="B36">
        <f>'Mass Balance'!E36</f>
        <v>1.1224601737315175E-6</v>
      </c>
      <c r="C36">
        <f>SUM('Mass Balance'!E36:H36)</f>
        <v>2.2204053087729219E-5</v>
      </c>
      <c r="D36">
        <f>Concentrations!F36/Concentrations!E36</f>
        <v>5.0571754617127318E-2</v>
      </c>
    </row>
    <row r="37" spans="1:4">
      <c r="A37" s="164">
        <f>'Mass Balance'!I37</f>
        <v>1.3494158660052347E-4</v>
      </c>
      <c r="B37">
        <f>'Mass Balance'!E37</f>
        <v>8.4796797220904386E-8</v>
      </c>
      <c r="C37">
        <f>SUM('Mass Balance'!E37:H37)</f>
        <v>1.0646478961803718E-5</v>
      </c>
      <c r="D37">
        <f>Concentrations!F37/Concentrations!E37</f>
        <v>7.9678800475457279E-3</v>
      </c>
    </row>
    <row r="38" spans="1:4">
      <c r="A38" s="164">
        <f>'Mass Balance'!I38</f>
        <v>1.2548116808859983E-4</v>
      </c>
      <c r="B38">
        <f>'Mass Balance'!E38</f>
        <v>4.558356930438171E-7</v>
      </c>
      <c r="C38">
        <f>SUM('Mass Balance'!E38:H38)</f>
        <v>1.6035360897341144E-5</v>
      </c>
      <c r="D38">
        <f>Concentrations!F38/Concentrations!E38</f>
        <v>2.8437992026032609E-2</v>
      </c>
    </row>
    <row r="39" spans="1:4">
      <c r="A39" s="164">
        <f>'Mass Balance'!I39</f>
        <v>1.1523650877568192E-4</v>
      </c>
      <c r="B39">
        <f>'Mass Balance'!E39</f>
        <v>8.4453625496327205E-7</v>
      </c>
      <c r="C39">
        <f>SUM('Mass Balance'!E39:H39)</f>
        <v>1.9499690612749873E-5</v>
      </c>
      <c r="D39">
        <f>Concentrations!F39/Concentrations!E39</f>
        <v>4.3327129345484813E-2</v>
      </c>
    </row>
    <row r="40" spans="1:4">
      <c r="A40" s="164">
        <f>'Mass Balance'!I40</f>
        <v>1.2548116808859983E-4</v>
      </c>
      <c r="B40">
        <f>'Mass Balance'!E40</f>
        <v>4.558356930438171E-7</v>
      </c>
      <c r="C40">
        <f>SUM('Mass Balance'!E40:H40)</f>
        <v>1.6035360897341144E-5</v>
      </c>
      <c r="D40">
        <f>Concentrations!F40/Concentrations!E40</f>
        <v>2.8437992026032609E-2</v>
      </c>
    </row>
    <row r="41" spans="1:4">
      <c r="A41" s="164">
        <f>'Mass Balance'!I41</f>
        <v>2.7740383102635041E-7</v>
      </c>
      <c r="B41">
        <f>'Mass Balance'!E41</f>
        <v>1.4900194235966348E-4</v>
      </c>
      <c r="C41">
        <f>SUM('Mass Balance'!E41:H41)</f>
        <v>1.4971075232794398E-4</v>
      </c>
      <c r="D41">
        <f>Concentrations!F41/Concentrations!E41</f>
        <v>0.99565361613967041</v>
      </c>
    </row>
    <row r="42" spans="1:4">
      <c r="A42" s="164">
        <f>'Mass Balance'!I42</f>
        <v>1.3525645717785156E-4</v>
      </c>
      <c r="B42">
        <f>'Mass Balance'!E42</f>
        <v>7.5612204355646147E-8</v>
      </c>
      <c r="C42">
        <f>SUM('Mass Balance'!E42:H42)</f>
        <v>1.0439590622739129E-5</v>
      </c>
      <c r="D42">
        <f>Concentrations!F42/Concentrations!E42</f>
        <v>7.2456569655418778E-3</v>
      </c>
    </row>
    <row r="43" spans="1:4">
      <c r="A43" s="164">
        <f>'Mass Balance'!I43</f>
        <v>2.3586366405125378E-5</v>
      </c>
      <c r="B43">
        <f>'Mass Balance'!E43</f>
        <v>8.5126622221856136E-5</v>
      </c>
      <c r="C43">
        <f>SUM('Mass Balance'!E43:H43)</f>
        <v>9.2593764079375345E-5</v>
      </c>
      <c r="D43">
        <f>Concentrations!F43/Concentrations!E43</f>
        <v>0.91971442972599593</v>
      </c>
    </row>
    <row r="44" spans="1:4">
      <c r="A44" s="164">
        <f>'Mass Balance'!I44</f>
        <v>1.0535031760356423E-4</v>
      </c>
      <c r="B44">
        <f>'Mass Balance'!E44</f>
        <v>2.1612336068541632E-6</v>
      </c>
      <c r="C44">
        <f>SUM('Mass Balance'!E44:H44)</f>
        <v>2.9321428585580433E-5</v>
      </c>
      <c r="D44">
        <f>Concentrations!F44/Concentrations!E44</f>
        <v>7.3737078138436107E-2</v>
      </c>
    </row>
    <row r="45" spans="1:4">
      <c r="A45" s="164">
        <f>'Mass Balance'!I45</f>
        <v>1.3809514889463517E-4</v>
      </c>
      <c r="B45">
        <f>'Mass Balance'!E45</f>
        <v>2.9583829549598519E-8</v>
      </c>
      <c r="C45">
        <f>SUM('Mass Balance'!E45:H45)</f>
        <v>9.2449201166582817E-6</v>
      </c>
      <c r="D45">
        <f>Concentrations!F45/Concentrations!E45</f>
        <v>3.2012571914110171E-3</v>
      </c>
    </row>
    <row r="46" spans="1:4">
      <c r="A46" s="164">
        <f>'Mass Balance'!I46</f>
        <v>1.359966473951019E-4</v>
      </c>
      <c r="B46">
        <f>'Mass Balance'!E46</f>
        <v>6.606970980814569E-8</v>
      </c>
      <c r="C46">
        <f>SUM('Mass Balance'!E46:H46)</f>
        <v>1.0238544015167494E-5</v>
      </c>
      <c r="D46">
        <f>Concentrations!F46/Concentrations!E46</f>
        <v>6.4555542634555903E-3</v>
      </c>
    </row>
    <row r="47" spans="1:4">
      <c r="A47" s="164">
        <f>'Mass Balance'!I47</f>
        <v>1.3183699909123927E-4</v>
      </c>
      <c r="B47">
        <f>'Mass Balance'!E47</f>
        <v>1.7928718845785146E-7</v>
      </c>
      <c r="C47">
        <f>SUM('Mass Balance'!E47:H47)</f>
        <v>1.2390248692640447E-5</v>
      </c>
      <c r="D47">
        <f>Concentrations!F47/Concentrations!E47</f>
        <v>1.4475666589305138E-2</v>
      </c>
    </row>
    <row r="48" spans="1:4">
      <c r="A48" s="164">
        <f>'Mass Balance'!I48</f>
        <v>6.9976787776513018E-5</v>
      </c>
      <c r="B48">
        <f>'Mass Balance'!E48</f>
        <v>2.1154997216093966E-5</v>
      </c>
      <c r="C48">
        <f>SUM('Mass Balance'!E48:H48)</f>
        <v>4.653878265074263E-5</v>
      </c>
      <c r="D48">
        <f>Concentrations!F48/Concentrations!E48</f>
        <v>0.45474432916135371</v>
      </c>
    </row>
    <row r="49" spans="1:4">
      <c r="A49" s="164">
        <f>'Mass Balance'!I49</f>
        <v>1.0751769972165438E-4</v>
      </c>
      <c r="B49">
        <f>'Mass Balance'!E49</f>
        <v>1.9168412664249162E-6</v>
      </c>
      <c r="C49">
        <f>SUM('Mass Balance'!E49:H49)</f>
        <v>2.7809154914142048E-5</v>
      </c>
      <c r="D49">
        <f>Concentrations!F49/Concentrations!E49</f>
        <v>6.895530717026728E-2</v>
      </c>
    </row>
    <row r="50" spans="1:4">
      <c r="A50" s="164">
        <f>'Mass Balance'!I50</f>
        <v>1.1087100385756587E-4</v>
      </c>
      <c r="B50">
        <f>'Mass Balance'!E50</f>
        <v>1.5643167717562515E-6</v>
      </c>
      <c r="C50">
        <f>SUM('Mass Balance'!E50:H50)</f>
        <v>2.5470697317758327E-5</v>
      </c>
      <c r="D50">
        <f>Concentrations!F50/Concentrations!E50</f>
        <v>6.1440282663387719E-2</v>
      </c>
    </row>
    <row r="51" spans="1:4">
      <c r="A51" s="164">
        <f>'Mass Balance'!I51</f>
        <v>7.7212795620919413E-5</v>
      </c>
      <c r="B51">
        <f>'Mass Balance'!E51</f>
        <v>1.4282021851022229E-5</v>
      </c>
      <c r="C51">
        <f>SUM('Mass Balance'!E51:H51)</f>
        <v>4.3074541774477753E-5</v>
      </c>
      <c r="D51">
        <f>Concentrations!F51/Concentrations!E51</f>
        <v>0.33169457264537172</v>
      </c>
    </row>
    <row r="52" spans="1:4">
      <c r="A52" s="164">
        <f>'Mass Balance'!I52</f>
        <v>7.0717548851888655E-5</v>
      </c>
      <c r="B52">
        <f>'Mass Balance'!E52</f>
        <v>2.040169797287752E-5</v>
      </c>
      <c r="C52">
        <f>SUM('Mass Balance'!E52:H52)</f>
        <v>4.6121492940257461E-5</v>
      </c>
      <c r="D52">
        <f>Concentrations!F52/Concentrations!E52</f>
        <v>0.4425193802597488</v>
      </c>
    </row>
    <row r="53" spans="1:4">
      <c r="A53" s="164">
        <f>'Mass Balance'!I53</f>
        <v>1.1966781822701309E-4</v>
      </c>
      <c r="B53">
        <f>'Mass Balance'!E53</f>
        <v>8.1757148640730439E-7</v>
      </c>
      <c r="C53">
        <f>SUM('Mass Balance'!E53:H53)</f>
        <v>1.9644635242973875E-5</v>
      </c>
      <c r="D53">
        <f>Concentrations!F53/Concentrations!E53</f>
        <v>4.1634284508650317E-2</v>
      </c>
    </row>
    <row r="54" spans="1:4">
      <c r="A54" s="164">
        <f>'Mass Balance'!I54</f>
        <v>1.0923402219553776E-4</v>
      </c>
      <c r="B54">
        <f>'Mass Balance'!E54</f>
        <v>1.7324646421955039E-6</v>
      </c>
      <c r="C54">
        <f>SUM('Mass Balance'!E54:H54)</f>
        <v>2.6611576582795492E-5</v>
      </c>
      <c r="D54">
        <f>Concentrations!F54/Concentrations!E54</f>
        <v>6.512730593821664E-2</v>
      </c>
    </row>
    <row r="55" spans="1:4">
      <c r="A55" s="164">
        <f>'Mass Balance'!I55</f>
        <v>1.3157084601789852E-4</v>
      </c>
      <c r="B55">
        <f>'Mass Balance'!E55</f>
        <v>1.874957863953437E-7</v>
      </c>
      <c r="C55">
        <f>SUM('Mass Balance'!E55:H55)</f>
        <v>1.2519538547131657E-5</v>
      </c>
      <c r="D55">
        <f>Concentrations!F55/Concentrations!E55</f>
        <v>1.4982094392090275E-2</v>
      </c>
    </row>
    <row r="56" spans="1:4">
      <c r="A56" s="164">
        <f>'Mass Balance'!I56</f>
        <v>1.0609192919977086E-4</v>
      </c>
      <c r="B56">
        <f>'Mass Balance'!E56</f>
        <v>2.076960884836471E-6</v>
      </c>
      <c r="C56">
        <f>SUM('Mass Balance'!E56:H56)</f>
        <v>2.8809830841523E-5</v>
      </c>
      <c r="D56">
        <f>Concentrations!F56/Concentrations!E56</f>
        <v>7.2120204192343509E-2</v>
      </c>
    </row>
    <row r="57" spans="1:4">
      <c r="A57" s="164">
        <f>'Mass Balance'!I57</f>
        <v>6.6111435162902733E-5</v>
      </c>
      <c r="B57">
        <f>'Mass Balance'!E57</f>
        <v>2.4670325444744259E-5</v>
      </c>
      <c r="C57">
        <f>SUM('Mass Balance'!E57:H57)</f>
        <v>4.8371417362337407E-5</v>
      </c>
      <c r="D57">
        <f>Concentrations!F57/Concentrations!E57</f>
        <v>0.51021756278682495</v>
      </c>
    </row>
    <row r="58" spans="1:4">
      <c r="A58" s="164">
        <f>'Mass Balance'!I58</f>
        <v>1.0956921953908027E-4</v>
      </c>
      <c r="B58">
        <f>'Mass Balance'!E58</f>
        <v>1.6975988648258645E-6</v>
      </c>
      <c r="C58">
        <f>SUM('Mass Balance'!E58:H58)</f>
        <v>2.6379248067676561E-5</v>
      </c>
      <c r="D58">
        <f>Concentrations!F58/Concentrations!E58</f>
        <v>6.4378670328433432E-2</v>
      </c>
    </row>
    <row r="59" spans="1:4">
      <c r="A59" s="164">
        <f>'Mass Balance'!I59</f>
        <v>7.0735084074199499E-5</v>
      </c>
      <c r="B59">
        <f>'Mass Balance'!E59</f>
        <v>2.0406756806438377E-5</v>
      </c>
      <c r="C59">
        <f>SUM('Mass Balance'!E59:H59)</f>
        <v>4.6132929290147212E-5</v>
      </c>
      <c r="D59">
        <f>Concentrations!F59/Concentrations!E59</f>
        <v>0.44251938025974874</v>
      </c>
    </row>
    <row r="60" spans="1:4">
      <c r="A60" s="164">
        <f>'Mass Balance'!I60</f>
        <v>1.1730654859642956E-4</v>
      </c>
      <c r="B60">
        <f>'Mass Balance'!E60</f>
        <v>9.8925931102877932E-7</v>
      </c>
      <c r="C60">
        <f>SUM('Mass Balance'!E60:H60)</f>
        <v>2.1121879836924437E-5</v>
      </c>
      <c r="D60">
        <f>Concentrations!F60/Concentrations!E60</f>
        <v>4.685402634239362E-2</v>
      </c>
    </row>
    <row r="61" spans="1:4">
      <c r="A61" s="164">
        <f>'Mass Balance'!I61</f>
        <v>5.8609167188745515E-5</v>
      </c>
      <c r="B61">
        <f>'Mass Balance'!E61</f>
        <v>6.1573132545783907E-5</v>
      </c>
      <c r="C61">
        <f>SUM('Mass Balance'!E61:H61)</f>
        <v>7.3103846163858038E-5</v>
      </c>
      <c r="D61">
        <f>Concentrations!F61/Concentrations!E61</f>
        <v>0.8425978769837803</v>
      </c>
    </row>
    <row r="62" spans="1:4">
      <c r="A62" s="164">
        <f>'Mass Balance'!I62</f>
        <v>4.2927375943369159E-5</v>
      </c>
      <c r="B62">
        <f>'Mass Balance'!E62</f>
        <v>5.4068888126796889E-5</v>
      </c>
      <c r="C62">
        <f>SUM('Mass Balance'!E62:H62)</f>
        <v>6.8457762198487267E-5</v>
      </c>
      <c r="D62">
        <f>Concentrations!F62/Concentrations!E62</f>
        <v>0.79012186237772708</v>
      </c>
    </row>
    <row r="63" spans="1:4">
      <c r="A63" s="164">
        <f>'Mass Balance'!I63</f>
        <v>5.6878494122882776E-6</v>
      </c>
      <c r="B63">
        <f>'Mass Balance'!E63</f>
        <v>1.411873356109619E-4</v>
      </c>
      <c r="C63">
        <f>SUM('Mass Balance'!E63:H63)</f>
        <v>1.4173820846748763E-4</v>
      </c>
      <c r="D63">
        <f>Concentrations!F63/Concentrations!E63</f>
        <v>0.99650192474120602</v>
      </c>
    </row>
    <row r="64" spans="1:4">
      <c r="A64" s="164">
        <f>'Mass Balance'!I64</f>
        <v>1.1171434094939129E-7</v>
      </c>
      <c r="B64">
        <f>'Mass Balance'!E64</f>
        <v>1.4942444071574E-4</v>
      </c>
      <c r="C64">
        <f>SUM('Mass Balance'!E64:H64)</f>
        <v>1.4961089618894245E-4</v>
      </c>
      <c r="D64">
        <f>Concentrations!F64/Concentrations!E64</f>
        <v>0.99914323665702387</v>
      </c>
    </row>
    <row r="65" spans="1:4">
      <c r="A65" s="164">
        <f>'Mass Balance'!I65</f>
        <v>4.8073313554910365E-7</v>
      </c>
      <c r="B65">
        <f>'Mass Balance'!E65</f>
        <v>1.493722647571165E-4</v>
      </c>
      <c r="C65">
        <f>SUM('Mass Balance'!E65:H65)</f>
        <v>1.4939714586103376E-4</v>
      </c>
      <c r="D65">
        <f>Concentrations!F65/Concentrations!E65</f>
        <v>1.0002233837153989</v>
      </c>
    </row>
    <row r="66" spans="1:4">
      <c r="A66" s="164">
        <f>'Mass Balance'!I66</f>
        <v>4.0562180710684971E-5</v>
      </c>
      <c r="B66">
        <f>'Mass Balance'!E66</f>
        <v>1.0563165548596258E-4</v>
      </c>
      <c r="C66">
        <f>SUM('Mass Balance'!E66:H66)</f>
        <v>1.0844190141878556E-4</v>
      </c>
      <c r="D66">
        <f>Concentrations!F66/Concentrations!E66</f>
        <v>0.97446512471319258</v>
      </c>
    </row>
    <row r="67" spans="1:4">
      <c r="A67" s="164">
        <f>'Mass Balance'!I67</f>
        <v>4.0052873866242871E-7</v>
      </c>
      <c r="B67">
        <f>'Mass Balance'!E67</f>
        <v>1.4944089598894884E-4</v>
      </c>
      <c r="C67">
        <f>SUM('Mass Balance'!E67:H67)</f>
        <v>1.4946209075302345E-4</v>
      </c>
      <c r="D67">
        <f>Concentrations!F67/Concentrations!E67</f>
        <v>1.0002481297752628</v>
      </c>
    </row>
    <row r="68" spans="1:4">
      <c r="A68" s="164">
        <f>'Mass Balance'!I68</f>
        <v>5.3974453924355216E-8</v>
      </c>
      <c r="B68">
        <f>'Mass Balance'!E68</f>
        <v>1.4988786884412953E-4</v>
      </c>
      <c r="C68">
        <f>SUM('Mass Balance'!E68:H68)</f>
        <v>1.4989044662471382E-4</v>
      </c>
      <c r="D68">
        <f>Concentrations!F68/Concentrations!E68</f>
        <v>1.0003727875631208</v>
      </c>
    </row>
    <row r="69" spans="1:4">
      <c r="A69" s="164">
        <f>'Mass Balance'!I69</f>
        <v>1.0224305108835206E-4</v>
      </c>
      <c r="B69">
        <f>'Mass Balance'!E69</f>
        <v>2.5469898500642434E-6</v>
      </c>
      <c r="C69">
        <f>SUM('Mass Balance'!E69:H69)</f>
        <v>3.1575562058632385E-5</v>
      </c>
      <c r="D69">
        <f>Concentrations!F69/Concentrations!E69</f>
        <v>8.0694783867548567E-2</v>
      </c>
    </row>
    <row r="70" spans="1:4">
      <c r="A70" s="164">
        <f>'Mass Balance'!I70</f>
        <v>1.860871741137009E-7</v>
      </c>
      <c r="B70">
        <f>'Mass Balance'!E70</f>
        <v>1.4934587936477864E-4</v>
      </c>
      <c r="C70">
        <f>SUM('Mass Balance'!E70:H70)</f>
        <v>1.4981023323238108E-4</v>
      </c>
      <c r="D70">
        <f>Concentrations!F70/Concentrations!E70</f>
        <v>0.99728916940116086</v>
      </c>
    </row>
    <row r="71" spans="1:4">
      <c r="A71" s="164">
        <f>'Mass Balance'!I71</f>
        <v>3.3980163996121302E-7</v>
      </c>
      <c r="B71">
        <f>'Mass Balance'!E71</f>
        <v>1.4876884849515854E-4</v>
      </c>
      <c r="C71">
        <f>SUM('Mass Balance'!E71:H71)</f>
        <v>1.4965503680876367E-4</v>
      </c>
      <c r="D71">
        <f>Concentrations!F71/Concentrations!E71</f>
        <v>0.99446614250097487</v>
      </c>
    </row>
    <row r="72" spans="1:4">
      <c r="A72" s="164">
        <f>'Mass Balance'!I72</f>
        <v>1.009518058863617E-4</v>
      </c>
      <c r="B72">
        <f>'Mass Balance'!E72</f>
        <v>1.8518765088103737E-6</v>
      </c>
      <c r="C72">
        <f>SUM('Mass Balance'!E72:H72)</f>
        <v>4.9030578048018668E-5</v>
      </c>
      <c r="D72">
        <f>Concentrations!F72/Concentrations!E72</f>
        <v>3.7784558119696526E-2</v>
      </c>
    </row>
    <row r="73" spans="1:4">
      <c r="A73" s="164">
        <f>'Mass Balance'!I73</f>
        <v>2.368583742699163E-5</v>
      </c>
      <c r="B73">
        <f>'Mass Balance'!E73</f>
        <v>3.4506650770621335E-5</v>
      </c>
      <c r="C73">
        <f>SUM('Mass Balance'!E73:H73)</f>
        <v>1.2628546926218319E-4</v>
      </c>
      <c r="D73">
        <f>Concentrations!F73/Concentrations!E73</f>
        <v>0.27334980256430963</v>
      </c>
    </row>
    <row r="74" spans="1:4">
      <c r="A74" s="164">
        <f>'Mass Balance'!I74</f>
        <v>3.0976193803088402E-7</v>
      </c>
      <c r="B74">
        <f>'Mass Balance'!E74</f>
        <v>1.488828990008435E-4</v>
      </c>
      <c r="C74">
        <f>SUM('Mass Balance'!E74:H74)</f>
        <v>1.4968535089513946E-4</v>
      </c>
      <c r="D74">
        <f>Concentrations!F74/Concentrations!E74</f>
        <v>0.99502697662021289</v>
      </c>
    </row>
    <row r="75" spans="1:4">
      <c r="A75" s="164">
        <f>'Mass Balance'!I75</f>
        <v>2.2905205930814903E-5</v>
      </c>
      <c r="B75">
        <f>'Mass Balance'!E75</f>
        <v>3.9306789575409157E-5</v>
      </c>
      <c r="C75">
        <f>SUM('Mass Balance'!E75:H75)</f>
        <v>1.2706495859572461E-4</v>
      </c>
      <c r="D75">
        <f>Concentrations!F75/Concentrations!E75</f>
        <v>0.30946469699293006</v>
      </c>
    </row>
    <row r="76" spans="1:4">
      <c r="A76" s="164">
        <f>'Mass Balance'!I76</f>
        <v>4.9891118356277506E-6</v>
      </c>
      <c r="B76">
        <f>'Mass Balance'!E76</f>
        <v>1.2913611649542712E-4</v>
      </c>
      <c r="C76">
        <f>SUM('Mass Balance'!E76:H76)</f>
        <v>1.4498920388950103E-4</v>
      </c>
      <c r="D76">
        <f>Concentrations!F76/Concentrations!E76</f>
        <v>0.89100757219607429</v>
      </c>
    </row>
    <row r="77" spans="1:4">
      <c r="A77" s="164">
        <f>'Mass Balance'!I77</f>
        <v>2.3473505683322087E-5</v>
      </c>
      <c r="B77">
        <f>'Mass Balance'!E77</f>
        <v>3.5834990623475959E-5</v>
      </c>
      <c r="C77">
        <f>SUM('Mass Balance'!E77:H77)</f>
        <v>1.264973710034054E-4</v>
      </c>
      <c r="D77">
        <f>Concentrations!F77/Concentrations!E77</f>
        <v>0.28339692516937948</v>
      </c>
    </row>
    <row r="78" spans="1:4">
      <c r="A78" s="164">
        <f>'Mass Balance'!I78</f>
        <v>9.4805525163444115E-5</v>
      </c>
      <c r="B78">
        <f>'Mass Balance'!E78</f>
        <v>2.3027752895668711E-6</v>
      </c>
      <c r="C78">
        <f>SUM('Mass Balance'!E78:H78)</f>
        <v>5.5175740706545598E-5</v>
      </c>
      <c r="D78">
        <f>Concentrations!F78/Concentrations!E78</f>
        <v>4.175156190180053E-2</v>
      </c>
    </row>
    <row r="79" spans="1:4">
      <c r="A79" s="164">
        <f>'Mass Balance'!I79</f>
        <v>9.4805510044957222E-5</v>
      </c>
      <c r="B79">
        <f>'Mass Balance'!E79</f>
        <v>2.3027761906294637E-6</v>
      </c>
      <c r="C79">
        <f>SUM('Mass Balance'!E79:H79)</f>
        <v>5.5175759068816293E-5</v>
      </c>
      <c r="D79">
        <f>Concentrations!F79/Concentrations!E79</f>
        <v>4.1751564344186823E-2</v>
      </c>
    </row>
    <row r="80" spans="1:4">
      <c r="A80" s="164">
        <f>'Mass Balance'!I80</f>
        <v>1.3083559246809186E-5</v>
      </c>
      <c r="B80">
        <f>'Mass Balance'!E80</f>
        <v>9.1378756599813879E-5</v>
      </c>
      <c r="C80">
        <f>SUM('Mass Balance'!E80:H80)</f>
        <v>1.3688470769084902E-4</v>
      </c>
      <c r="D80">
        <f>Concentrations!F80/Concentrations!E80</f>
        <v>0.66782035136800788</v>
      </c>
    </row>
    <row r="81" spans="1:4">
      <c r="A81" s="164">
        <f>'Mass Balance'!I81</f>
        <v>1.2272713241625478E-6</v>
      </c>
      <c r="B81">
        <f>'Mass Balance'!E81</f>
        <v>1.452524178464124E-4</v>
      </c>
      <c r="C81">
        <f>SUM('Mass Balance'!E81:H81)</f>
        <v>1.4876230709361175E-4</v>
      </c>
      <c r="D81">
        <f>Concentrations!F81/Concentrations!E81</f>
        <v>0.9767868485726352</v>
      </c>
    </row>
    <row r="82" spans="1:4">
      <c r="A82" s="164">
        <f>'Mass Balance'!I82</f>
        <v>2.9069563012607308E-6</v>
      </c>
      <c r="B82">
        <f>'Mass Balance'!E82</f>
        <v>1.3821974389603087E-4</v>
      </c>
      <c r="C82">
        <f>SUM('Mass Balance'!E82:H82)</f>
        <v>1.47076560682662E-4</v>
      </c>
      <c r="D82">
        <f>Concentrations!F82/Concentrations!E82</f>
        <v>0.94014741610326835</v>
      </c>
    </row>
    <row r="83" spans="1:4">
      <c r="A83" s="164">
        <f>'Mass Balance'!I83</f>
        <v>1.1573670448151118E-4</v>
      </c>
      <c r="B83">
        <f>'Mass Balance'!E83</f>
        <v>9.8104533063149135E-7</v>
      </c>
      <c r="C83">
        <f>SUM('Mass Balance'!E83:H83)</f>
        <v>3.4248948344809835E-5</v>
      </c>
      <c r="D83">
        <f>Concentrations!F83/Concentrations!E83</f>
        <v>2.8655709968526486E-2</v>
      </c>
    </row>
    <row r="84" spans="1:4">
      <c r="A84" s="164">
        <f>'Mass Balance'!I84</f>
        <v>3.0299189061673447E-5</v>
      </c>
      <c r="B84">
        <f>'Mass Balance'!E84</f>
        <v>7.3471593376204402E-5</v>
      </c>
      <c r="C84">
        <f>SUM('Mass Balance'!E84:H84)</f>
        <v>8.3271917028448426E-5</v>
      </c>
      <c r="D84">
        <f>Concentrations!F84/Concentrations!E84</f>
        <v>0.88265347232576219</v>
      </c>
    </row>
    <row r="85" spans="1:4">
      <c r="A85" s="164">
        <f>'Mass Balance'!I85</f>
        <v>1.4368615226746957E-4</v>
      </c>
      <c r="B85">
        <f>'Mass Balance'!E85</f>
        <v>2.2727619265906613E-6</v>
      </c>
      <c r="C85">
        <f>SUM('Mass Balance'!E85:H85)</f>
        <v>6.0184407680795494E-6</v>
      </c>
      <c r="D85">
        <f>Concentrations!F85/Concentrations!E85</f>
        <v>0.37778028782758016</v>
      </c>
    </row>
    <row r="86" spans="1:4">
      <c r="A86" s="164">
        <f>'Mass Balance'!I86</f>
        <v>1.3757745347938409E-4</v>
      </c>
      <c r="B86">
        <f>'Mass Balance'!E86</f>
        <v>3.7241119753657773E-8</v>
      </c>
      <c r="C86">
        <f>SUM('Mass Balance'!E86:H86)</f>
        <v>9.4821995268588378E-6</v>
      </c>
      <c r="D86">
        <f>Concentrations!F86/Concentrations!E86</f>
        <v>3.9290086006088312E-3</v>
      </c>
    </row>
    <row r="87" spans="1:4">
      <c r="A87" s="164">
        <f>'Mass Balance'!I87</f>
        <v>1.3969523395151334E-4</v>
      </c>
      <c r="B87">
        <f>'Mass Balance'!E87</f>
        <v>1.1468315056852813E-8</v>
      </c>
      <c r="C87">
        <f>SUM('Mass Balance'!E87:H87)</f>
        <v>8.5456964618579291E-6</v>
      </c>
      <c r="D87">
        <f>Concentrations!F87/Concentrations!E87</f>
        <v>1.3425222460896711E-3</v>
      </c>
    </row>
    <row r="88" spans="1:4">
      <c r="A88" s="164">
        <f>'Mass Balance'!I88</f>
        <v>1.4101150312678779E-4</v>
      </c>
      <c r="B88">
        <f>'Mass Balance'!E88</f>
        <v>2.9805433638245922E-9</v>
      </c>
      <c r="C88">
        <f>SUM('Mass Balance'!E88:H88)</f>
        <v>8.0150467044456905E-6</v>
      </c>
      <c r="D88">
        <f>Concentrations!F88/Concentrations!E88</f>
        <v>3.7201352181030864E-4</v>
      </c>
    </row>
    <row r="89" spans="1:4">
      <c r="A89" s="164">
        <f>'Mass Balance'!I89</f>
        <v>1.4929954494999882E-4</v>
      </c>
      <c r="B89">
        <f>'Mass Balance'!E89</f>
        <v>1.4814999124857856E-8</v>
      </c>
      <c r="C89">
        <f>SUM('Mass Balance'!E89:H89)</f>
        <v>6.2236652036806881E-7</v>
      </c>
      <c r="D89">
        <f>Concentrations!F89/Concentrations!E89</f>
        <v>2.3813583108137887E-2</v>
      </c>
    </row>
    <row r="90" spans="1:4">
      <c r="A90" s="164">
        <f>'Mass Balance'!I90</f>
        <v>7.387891694853208E-8</v>
      </c>
      <c r="B90">
        <f>'Mass Balance'!E90</f>
        <v>1.4829884347420196E-4</v>
      </c>
      <c r="C90">
        <f>SUM('Mass Balance'!E90:H90)</f>
        <v>1.4831742493384221E-4</v>
      </c>
      <c r="D90">
        <f>Concentrations!F90/Concentrations!E90</f>
        <v>1.0002646614722241</v>
      </c>
    </row>
    <row r="91" spans="1:4">
      <c r="A91" s="164">
        <f>'Mass Balance'!I91</f>
        <v>4.4330961055268737E-6</v>
      </c>
      <c r="B91">
        <f>'Mass Balance'!E91</f>
        <v>1.2831548815339335E-4</v>
      </c>
      <c r="C91">
        <f>SUM('Mass Balance'!E91:H91)</f>
        <v>1.2957293076416385E-4</v>
      </c>
      <c r="D91">
        <f>Concentrations!F91/Concentrations!E91</f>
        <v>0.99068169111119397</v>
      </c>
    </row>
    <row r="92" spans="1:4">
      <c r="A92" s="164">
        <f>'Mass Balance'!I92</f>
        <v>5.3264414562477944E-5</v>
      </c>
      <c r="B92">
        <f>'Mass Balance'!E92</f>
        <v>4.0098932233575099E-5</v>
      </c>
      <c r="C92">
        <f>SUM('Mass Balance'!E92:H92)</f>
        <v>5.8464898585479932E-5</v>
      </c>
      <c r="D92">
        <f>Concentrations!F92/Concentrations!E92</f>
        <v>0.68613084890735798</v>
      </c>
    </row>
    <row r="93" spans="1:4">
      <c r="A93" s="164">
        <f>'Mass Balance'!I93</f>
        <v>3.1188867494425244E-8</v>
      </c>
      <c r="B93">
        <f>'Mass Balance'!E93</f>
        <v>1.4989362686062716E-4</v>
      </c>
      <c r="C93">
        <f>SUM('Mass Balance'!E93:H93)</f>
        <v>1.4995912598898914E-4</v>
      </c>
      <c r="D93">
        <f>Concentrations!F93/Concentrations!E93</f>
        <v>0.99995304181843969</v>
      </c>
    </row>
    <row r="94" spans="1:4">
      <c r="A94" s="164">
        <f>'Mass Balance'!I94</f>
        <v>8.5143658925875801E-9</v>
      </c>
      <c r="B94">
        <f>'Mass Balance'!E94</f>
        <v>1.4999098745465981E-4</v>
      </c>
      <c r="C94">
        <f>SUM('Mass Balance'!E94:H94)</f>
        <v>1.4999124153748086E-4</v>
      </c>
      <c r="D94">
        <f>Concentrations!F94/Concentrations!E94</f>
        <v>1.0003882973894693</v>
      </c>
    </row>
    <row r="95" spans="1:4">
      <c r="A95" s="164">
        <f>'Mass Balance'!I95</f>
        <v>3.2246581646511243E-7</v>
      </c>
      <c r="B95">
        <f>'Mass Balance'!E95</f>
        <v>1.4581039607159841E-4</v>
      </c>
      <c r="C95">
        <f>SUM('Mass Balance'!E95:H95)</f>
        <v>1.4588845496120439E-4</v>
      </c>
      <c r="D95">
        <f>Concentrations!F95/Concentrations!E95</f>
        <v>0.99985472464838154</v>
      </c>
    </row>
    <row r="96" spans="1:4">
      <c r="A96" s="164">
        <f>'Mass Balance'!I96</f>
        <v>1.3641962385538406E-4</v>
      </c>
      <c r="B96">
        <f>'Mass Balance'!E96</f>
        <v>5.7595870905706112E-8</v>
      </c>
      <c r="C96">
        <f>SUM('Mass Balance'!E96:H96)</f>
        <v>1.0032908971105036E-5</v>
      </c>
      <c r="D96">
        <f>Concentrations!F96/Concentrations!E96</f>
        <v>5.742933879149207E-3</v>
      </c>
    </row>
    <row r="97" spans="1:4">
      <c r="A97" s="164">
        <f>'Mass Balance'!I97</f>
        <v>8.5340695597509256E-6</v>
      </c>
      <c r="B97">
        <f>'Mass Balance'!E97</f>
        <v>1.1685586557097254E-4</v>
      </c>
      <c r="C97">
        <f>SUM('Mass Balance'!E97:H97)</f>
        <v>1.1937289277393946E-4</v>
      </c>
      <c r="D97">
        <f>Concentrations!F97/Concentrations!E97</f>
        <v>0.97929635205464483</v>
      </c>
    </row>
    <row r="98" spans="1:4">
      <c r="A98" s="164">
        <f>'Mass Balance'!I98</f>
        <v>5.028722313461188E-6</v>
      </c>
      <c r="B98">
        <f>'Mass Balance'!E98</f>
        <v>1.2649693911261442E-4</v>
      </c>
      <c r="C98">
        <f>SUM('Mass Balance'!E98:H98)</f>
        <v>1.2793375122499036E-4</v>
      </c>
      <c r="D98">
        <f>Concentrations!F98/Concentrations!E98</f>
        <v>0.98915470467762667</v>
      </c>
    </row>
    <row r="99" spans="1:4">
      <c r="A99" s="164">
        <f>'Mass Balance'!I99</f>
        <v>1.1931677161847837E-6</v>
      </c>
      <c r="B99">
        <f>'Mass Balance'!E99</f>
        <v>1.4048616684483615E-4</v>
      </c>
      <c r="C99">
        <f>SUM('Mass Balance'!E99:H99)</f>
        <v>1.408011179454683E-4</v>
      </c>
      <c r="D99">
        <f>Concentrations!F99/Concentrations!E99</f>
        <v>0.99815226882852759</v>
      </c>
    </row>
    <row r="100" spans="1:4">
      <c r="A100" s="164">
        <f>'Mass Balance'!I100</f>
        <v>1.2156500152318329E-4</v>
      </c>
      <c r="B100">
        <f>'Mass Balance'!E100</f>
        <v>6.8877494901450263E-7</v>
      </c>
      <c r="C100">
        <f>SUM('Mass Balance'!E100:H100)</f>
        <v>1.8450087081042895E-5</v>
      </c>
      <c r="D100">
        <f>Concentrations!F100/Concentrations!E100</f>
        <v>3.7346358460614348E-2</v>
      </c>
    </row>
    <row r="101" spans="1:4">
      <c r="A101" s="164">
        <f>'Mass Balance'!I101</f>
        <v>4.4343726757360752E-5</v>
      </c>
      <c r="B101">
        <f>'Mass Balance'!E101</f>
        <v>5.2067374432924283E-5</v>
      </c>
      <c r="C101">
        <f>SUM('Mass Balance'!E101:H101)</f>
        <v>6.69882281660219E-5</v>
      </c>
      <c r="D101">
        <f>Concentrations!F101/Concentrations!E101</f>
        <v>0.7775646814410051</v>
      </c>
    </row>
    <row r="102" spans="1:4">
      <c r="A102" s="164">
        <f>'Mass Balance'!I102</f>
        <v>7.6878999763098797E-5</v>
      </c>
      <c r="B102">
        <f>'Mass Balance'!E102</f>
        <v>1.4556872389659877E-5</v>
      </c>
      <c r="C102">
        <f>SUM('Mass Balance'!E102:H102)</f>
        <v>4.3187131661586139E-5</v>
      </c>
      <c r="D102">
        <f>Concentrations!F102/Concentrations!E102</f>
        <v>0.33719649566104481</v>
      </c>
    </row>
    <row r="103" spans="1:4">
      <c r="A103" s="164">
        <f>'Mass Balance'!I103</f>
        <v>6.3364969678342344E-7</v>
      </c>
      <c r="B103">
        <f>'Mass Balance'!E103</f>
        <v>1.476306985540584E-4</v>
      </c>
      <c r="C103">
        <f>SUM('Mass Balance'!E103:H103)</f>
        <v>1.4935817991196235E-4</v>
      </c>
      <c r="D103">
        <f>Concentrations!F103/Concentrations!E103</f>
        <v>0.98881945024768458</v>
      </c>
    </row>
    <row r="104" spans="1:4">
      <c r="A104" s="164">
        <f>'Mass Balance'!I104</f>
        <v>3.7331797653683866E-5</v>
      </c>
      <c r="B104">
        <f>'Mass Balance'!E104</f>
        <v>1.139079762715216E-5</v>
      </c>
      <c r="C104">
        <f>SUM('Mass Balance'!E104:H104)</f>
        <v>1.1236916133170512E-4</v>
      </c>
      <c r="D104">
        <f>Concentrations!F104/Concentrations!E104</f>
        <v>0.10140896143075608</v>
      </c>
    </row>
    <row r="105" spans="1:4">
      <c r="A105" s="164">
        <f>'Mass Balance'!I105</f>
        <v>9.019875424981644E-8</v>
      </c>
      <c r="B105">
        <f>'Mass Balance'!E105</f>
        <v>1.4795567071720179E-4</v>
      </c>
      <c r="C105">
        <f>SUM('Mass Balance'!E105:H105)</f>
        <v>1.4797641710701553E-4</v>
      </c>
      <c r="D105">
        <f>Concentrations!F105/Concentrations!E105</f>
        <v>1.0002497367076915</v>
      </c>
    </row>
    <row r="106" spans="1:4">
      <c r="A106" s="164">
        <f>'Mass Balance'!I106</f>
        <v>3.4712095637782982E-7</v>
      </c>
      <c r="B106">
        <f>'Mass Balance'!E106</f>
        <v>1.4559489282050381E-4</v>
      </c>
      <c r="C106">
        <f>SUM('Mass Balance'!E106:H106)</f>
        <v>1.4567955621141277E-4</v>
      </c>
      <c r="D106">
        <f>Concentrations!F106/Concentrations!E106</f>
        <v>0.99980860360114354</v>
      </c>
    </row>
    <row r="107" spans="1:4">
      <c r="A107" s="164">
        <f>'Mass Balance'!I107</f>
        <v>8.7484374993456322E-5</v>
      </c>
      <c r="B107">
        <f>'Mass Balance'!E107</f>
        <v>8.0696527554858605E-6</v>
      </c>
      <c r="C107">
        <f>SUM('Mass Balance'!E107:H107)</f>
        <v>4.0247117773909558E-5</v>
      </c>
      <c r="D107">
        <f>Concentrations!F107/Concentrations!E107</f>
        <v>0.20058081925595378</v>
      </c>
    </row>
    <row r="108" spans="1:4">
      <c r="A108" s="164">
        <f>'Mass Balance'!I108</f>
        <v>4.8497411975046854E-9</v>
      </c>
      <c r="B108">
        <f>'Mass Balance'!E108</f>
        <v>1.4999150930816054E-4</v>
      </c>
      <c r="C108">
        <f>SUM('Mass Balance'!E108:H108)</f>
        <v>1.4999164454988835E-4</v>
      </c>
      <c r="D108">
        <f>Concentrations!F108/Concentrations!E108</f>
        <v>1.0003890900211099</v>
      </c>
    </row>
    <row r="109" spans="1:4">
      <c r="A109" s="164">
        <f>'Mass Balance'!I109</f>
        <v>1.2743977271182417E-5</v>
      </c>
      <c r="B109">
        <f>'Mass Balance'!E109</f>
        <v>1.3524414956898455E-4</v>
      </c>
      <c r="C109">
        <f>SUM('Mass Balance'!E109:H109)</f>
        <v>1.3613063000564483E-4</v>
      </c>
      <c r="D109">
        <f>Concentrations!F109/Concentrations!E109</f>
        <v>0.99387546876421717</v>
      </c>
    </row>
    <row r="110" spans="1:4">
      <c r="A110" s="164">
        <f>'Mass Balance'!I110</f>
        <v>1.1766076404113062E-8</v>
      </c>
      <c r="B110">
        <f>'Mass Balance'!E110</f>
        <v>1.4958816060451404E-4</v>
      </c>
      <c r="C110">
        <f>SUM('Mass Balance'!E110:H110)</f>
        <v>1.4959217963400875E-4</v>
      </c>
      <c r="D110">
        <f>Concentrations!F110/Concentrations!E110</f>
        <v>1.0003631149818706</v>
      </c>
    </row>
    <row r="111" spans="1:4">
      <c r="A111" s="164">
        <f>'Mass Balance'!I111</f>
        <v>1.0766385855167037E-9</v>
      </c>
      <c r="B111">
        <f>'Mass Balance'!E111</f>
        <v>1.4999832991999975E-4</v>
      </c>
      <c r="C111">
        <f>SUM('Mass Balance'!E111:H111)</f>
        <v>1.4999856896498042E-4</v>
      </c>
      <c r="D111">
        <f>Concentrations!F111/Concentrations!E111</f>
        <v>1.0003883977645762</v>
      </c>
    </row>
    <row r="112" spans="1:4">
      <c r="A112" s="164">
        <f>'Mass Balance'!I112</f>
        <v>9.1168757937307038E-9</v>
      </c>
      <c r="B112">
        <f>'Mass Balance'!E112</f>
        <v>1.4947559580001757E-4</v>
      </c>
      <c r="C112">
        <f>SUM('Mass Balance'!E112:H112)</f>
        <v>1.4947730464176E-4</v>
      </c>
      <c r="D112">
        <f>Concentrations!F112/Concentrations!E112</f>
        <v>1.0003785554610216</v>
      </c>
    </row>
    <row r="113" spans="1:4">
      <c r="A113" s="164">
        <f>'Mass Balance'!I113</f>
        <v>1.9264294214027179E-7</v>
      </c>
      <c r="B113">
        <f>'Mass Balance'!E113</f>
        <v>1.4681178765940469E-4</v>
      </c>
      <c r="C113">
        <f>SUM('Mass Balance'!E113:H113)</f>
        <v>1.4685799897070064E-4</v>
      </c>
      <c r="D113">
        <f>Concentrations!F113/Concentrations!E113</f>
        <v>1.0000752026892545</v>
      </c>
    </row>
    <row r="114" spans="1:4">
      <c r="A114" s="164">
        <f>'Mass Balance'!I114</f>
        <v>3.4610691978779646E-9</v>
      </c>
      <c r="B114">
        <f>'Mass Balance'!E114</f>
        <v>1.4973035586399121E-4</v>
      </c>
      <c r="C114">
        <f>SUM('Mass Balance'!E114:H114)</f>
        <v>1.4973086470017341E-4</v>
      </c>
      <c r="D114">
        <f>Concentrations!F114/Concentrations!E114</f>
        <v>1.000386592370536</v>
      </c>
    </row>
    <row r="115" spans="1:4">
      <c r="A115" s="164">
        <f>'Mass Balance'!I115</f>
        <v>1.6976049255278362E-7</v>
      </c>
      <c r="B115">
        <f>'Mass Balance'!E115</f>
        <v>1.4940553532261777E-4</v>
      </c>
      <c r="C115">
        <f>SUM('Mass Balance'!E115:H115)</f>
        <v>1.4982586809759866E-4</v>
      </c>
      <c r="D115">
        <f>Concentrations!F115/Concentrations!E115</f>
        <v>0.99758342260323296</v>
      </c>
    </row>
    <row r="116" spans="1:4">
      <c r="A116" s="164">
        <f>'Mass Balance'!I116</f>
        <v>1.2163395979714089E-4</v>
      </c>
      <c r="B116">
        <f>'Mass Balance'!E116</f>
        <v>1.6825066991198605E-5</v>
      </c>
      <c r="C116">
        <f>SUM('Mass Balance'!E116:H116)</f>
        <v>2.7352142358972719E-5</v>
      </c>
      <c r="D116">
        <f>Concentrations!F116/Concentrations!E116</f>
        <v>0.61536783526514116</v>
      </c>
    </row>
    <row r="117" spans="1:4">
      <c r="A117" s="164">
        <f>'Mass Balance'!I117</f>
        <v>1.5014476902008978E-5</v>
      </c>
      <c r="B117">
        <f>'Mass Balance'!E117</f>
        <v>1.0191183101030536E-4</v>
      </c>
      <c r="C117">
        <f>SUM('Mass Balance'!E117:H117)</f>
        <v>1.0650741516391521E-4</v>
      </c>
      <c r="D117">
        <f>Concentrations!F117/Concentrations!E117</f>
        <v>0.95722514395562408</v>
      </c>
    </row>
    <row r="118" spans="1:4">
      <c r="A118" s="164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0.98339045409108028</v>
      </c>
      <c r="M2" s="115">
        <v>1.1092822061525158</v>
      </c>
      <c r="N2" s="115">
        <v>1.1523813683559281</v>
      </c>
      <c r="O2" s="115">
        <v>0.82228116527926076</v>
      </c>
      <c r="P2" s="115">
        <v>0.95169491783220694</v>
      </c>
      <c r="Q2" s="111">
        <v>0.82228116527926087</v>
      </c>
      <c r="R2" s="68">
        <v>0.95169491783220694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0.67051718976318675</v>
      </c>
      <c r="M3" s="115">
        <v>330.26808850801672</v>
      </c>
      <c r="N3" s="115">
        <v>347.06355517226331</v>
      </c>
      <c r="O3" s="115">
        <v>3.438368108907754</v>
      </c>
      <c r="P3" s="115">
        <v>3.1857272588860686</v>
      </c>
      <c r="Q3" s="111">
        <v>3.438368108907754</v>
      </c>
      <c r="R3" s="68">
        <v>3.1857272588860686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1.0261792637457403</v>
      </c>
      <c r="M4" s="115">
        <v>3.0011221733223961</v>
      </c>
      <c r="N4" s="115">
        <v>3.0478005481486097</v>
      </c>
      <c r="O4" s="115">
        <v>0.82476616157922389</v>
      </c>
      <c r="P4" s="115">
        <v>0.95864365898956994</v>
      </c>
      <c r="Q4" s="111">
        <v>0.824766161579224</v>
      </c>
      <c r="R4" s="68">
        <v>0.95864365898957005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0.8960791293875664</v>
      </c>
      <c r="M5" s="115">
        <v>69.940945766451762</v>
      </c>
      <c r="N5" s="115">
        <v>73.862923319700002</v>
      </c>
      <c r="O5" s="115">
        <v>4.3109381270005258</v>
      </c>
      <c r="P5" s="115">
        <v>7.0476659152962791</v>
      </c>
      <c r="Q5" s="111">
        <v>4.3109381270005267</v>
      </c>
      <c r="R5" s="68">
        <v>7.0476659152962791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0.78104365273103771</v>
      </c>
      <c r="M6" s="115">
        <v>146.41087761507538</v>
      </c>
      <c r="N6" s="115">
        <v>154.64078117483871</v>
      </c>
      <c r="O6" s="115">
        <v>8.47806378187137</v>
      </c>
      <c r="P6" s="115">
        <v>14.344304085623973</v>
      </c>
      <c r="Q6" s="111">
        <v>8.47806378187137</v>
      </c>
      <c r="R6" s="68">
        <v>14.344304085623975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0.4752955286817494</v>
      </c>
      <c r="M7" s="115">
        <v>353.82002492539124</v>
      </c>
      <c r="N7" s="115">
        <v>373.71625433325738</v>
      </c>
      <c r="O7" s="115">
        <v>19.338456694344082</v>
      </c>
      <c r="P7" s="115">
        <v>33.189463521391431</v>
      </c>
      <c r="Q7" s="111">
        <v>19.338456694344082</v>
      </c>
      <c r="R7" s="68">
        <v>33.189463521391431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0.69330898120335227</v>
      </c>
      <c r="M8" s="115">
        <v>201.37262472260994</v>
      </c>
      <c r="N8" s="115">
        <v>212.7000563561401</v>
      </c>
      <c r="O8" s="115">
        <v>11.728688998446673</v>
      </c>
      <c r="P8" s="115">
        <v>20.063781872793243</v>
      </c>
      <c r="Q8" s="111">
        <v>11.728688998446673</v>
      </c>
      <c r="R8" s="68">
        <v>20.063781872793246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0.91681011726767236</v>
      </c>
      <c r="M9" s="115">
        <v>56.079314054590455</v>
      </c>
      <c r="N9" s="115">
        <v>59.219742561091032</v>
      </c>
      <c r="O9" s="115">
        <v>3.5393860699984017</v>
      </c>
      <c r="P9" s="115">
        <v>5.6905652779396876</v>
      </c>
      <c r="Q9" s="111">
        <v>3.5393860699984017</v>
      </c>
      <c r="R9" s="68">
        <v>5.6905652779396885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2.8046342368081359E-2</v>
      </c>
      <c r="M10" s="115">
        <v>1770.3541060217576</v>
      </c>
      <c r="N10" s="115">
        <v>1869.0687749266206</v>
      </c>
      <c r="O10" s="115">
        <v>20.251739117075299</v>
      </c>
      <c r="P10" s="115">
        <v>20.659592647628205</v>
      </c>
      <c r="Q10" s="111">
        <v>20.251739117075299</v>
      </c>
      <c r="R10" s="68">
        <v>20.659592647628209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3.3374140207862092E-4</v>
      </c>
      <c r="M11" s="115">
        <v>2751.1541388742885</v>
      </c>
      <c r="N11" s="115">
        <v>2905.4780386289872</v>
      </c>
      <c r="O11" s="115">
        <v>11.794352440253437</v>
      </c>
      <c r="P11" s="115">
        <v>5.4138567114021017</v>
      </c>
      <c r="Q11" s="111">
        <v>11.794352440253437</v>
      </c>
      <c r="R11" s="68">
        <v>5.4138567114021026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0.93527682873785944</v>
      </c>
      <c r="M12" s="115">
        <v>7.6272709201226058E-2</v>
      </c>
      <c r="N12" s="115">
        <v>6.2600610567049214E-2</v>
      </c>
      <c r="O12" s="115">
        <v>0.77125157496119356</v>
      </c>
      <c r="P12" s="115">
        <v>0.89622160003435869</v>
      </c>
      <c r="Q12" s="111">
        <v>0.77125157496119356</v>
      </c>
      <c r="R12" s="68">
        <v>0.89622160003435869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0.71813393254311453</v>
      </c>
      <c r="M13" s="115">
        <v>234.6526342445234</v>
      </c>
      <c r="N13" s="115">
        <v>247.71625466459056</v>
      </c>
      <c r="O13" s="115">
        <v>2.9765148497208207</v>
      </c>
      <c r="P13" s="115">
        <v>2.8135438697844948</v>
      </c>
      <c r="Q13" s="111">
        <v>2.9765148497208207</v>
      </c>
      <c r="R13" s="68">
        <v>2.8135438697844948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5.3990538231615065E-2</v>
      </c>
      <c r="M14" s="115">
        <v>977.25924772147187</v>
      </c>
      <c r="N14" s="115">
        <v>1032.2722234320647</v>
      </c>
      <c r="O14" s="115">
        <v>30.528761600840525</v>
      </c>
      <c r="P14" s="115">
        <v>51.14657119882105</v>
      </c>
      <c r="Q14" s="111">
        <v>30.528761600840525</v>
      </c>
      <c r="R14" s="68">
        <v>51.14657119882105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0.84757894507113551</v>
      </c>
      <c r="M15" s="115">
        <v>30.729621335908426</v>
      </c>
      <c r="N15" s="115">
        <v>32.42569179669551</v>
      </c>
      <c r="O15" s="115">
        <v>0.99865979408592731</v>
      </c>
      <c r="P15" s="115">
        <v>1.0634603606443473</v>
      </c>
      <c r="Q15" s="111">
        <v>0.99865979408592731</v>
      </c>
      <c r="R15" s="68">
        <v>1.0634603606443476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0.68947229444192337</v>
      </c>
      <c r="M16" s="115">
        <v>271.65160443212022</v>
      </c>
      <c r="N16" s="115">
        <v>286.77802900024096</v>
      </c>
      <c r="O16" s="115">
        <v>3.3398038474729534</v>
      </c>
      <c r="P16" s="115">
        <v>3.1441520586203136</v>
      </c>
      <c r="Q16" s="111">
        <v>3.3398038474729534</v>
      </c>
      <c r="R16" s="68">
        <v>3.1441520586203136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0.70627537811353924</v>
      </c>
      <c r="M17" s="115">
        <v>247.55531949246605</v>
      </c>
      <c r="N17" s="115">
        <v>261.33833691462297</v>
      </c>
      <c r="O17" s="115">
        <v>3.1015697183103184</v>
      </c>
      <c r="P17" s="115">
        <v>2.9268532810048651</v>
      </c>
      <c r="Q17" s="111">
        <v>3.1015697183103188</v>
      </c>
      <c r="R17" s="68">
        <v>2.9268532810048651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5.0200897561333596E-4</v>
      </c>
      <c r="M18" s="115">
        <v>2637.092971034127</v>
      </c>
      <c r="N18" s="115">
        <v>2784.2006549627654</v>
      </c>
      <c r="O18" s="115">
        <v>16.79171684320222</v>
      </c>
      <c r="P18" s="115">
        <v>7.19275815038222</v>
      </c>
      <c r="Q18" s="111">
        <v>16.79171684320222</v>
      </c>
      <c r="R18" s="68">
        <v>7.1927581503822209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0.94613271179382119</v>
      </c>
      <c r="M19" s="115">
        <v>10.174754905437997</v>
      </c>
      <c r="N19" s="115">
        <v>10.723615573333763</v>
      </c>
      <c r="O19" s="115">
        <v>0.87811493419119191</v>
      </c>
      <c r="P19" s="115">
        <v>0.98635949570868031</v>
      </c>
      <c r="Q19" s="111">
        <v>0.87811493419119202</v>
      </c>
      <c r="R19" s="68">
        <v>0.98635949570868042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0.92235009605648244</v>
      </c>
      <c r="M20" s="115">
        <v>17.788701411905794</v>
      </c>
      <c r="N20" s="115">
        <v>18.762250097033693</v>
      </c>
      <c r="O20" s="115">
        <v>0.93263570171573529</v>
      </c>
      <c r="P20" s="115">
        <v>1.0257683696985325</v>
      </c>
      <c r="Q20" s="111">
        <v>0.93263570171573529</v>
      </c>
      <c r="R20" s="68">
        <v>1.0257683696985325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0.36450429955505281</v>
      </c>
      <c r="M21" s="115">
        <v>714.94525215452722</v>
      </c>
      <c r="N21" s="115">
        <v>754.8969118614566</v>
      </c>
      <c r="O21" s="115">
        <v>16.057936525217503</v>
      </c>
      <c r="P21" s="115">
        <v>23.59751527376465</v>
      </c>
      <c r="Q21" s="111">
        <v>16.057936525217503</v>
      </c>
      <c r="R21" s="68">
        <v>23.59751527376465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0.92802694531033025</v>
      </c>
      <c r="M22" s="115">
        <v>1.8227521991348561</v>
      </c>
      <c r="N22" s="115">
        <v>1.9066471188501986</v>
      </c>
      <c r="O22" s="115">
        <v>0.78324761023518474</v>
      </c>
      <c r="P22" s="115">
        <v>0.90380931920549534</v>
      </c>
      <c r="Q22" s="111">
        <v>0.78324761023518485</v>
      </c>
      <c r="R22" s="68">
        <v>0.90380931920549534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0.82981633350166684</v>
      </c>
      <c r="M23" s="115">
        <v>52.735736479619931</v>
      </c>
      <c r="N23" s="115">
        <v>55.658443054541536</v>
      </c>
      <c r="O23" s="115">
        <v>1.2033858646583242</v>
      </c>
      <c r="P23" s="115">
        <v>1.2370254333511768</v>
      </c>
      <c r="Q23" s="111">
        <v>1.2033858646583244</v>
      </c>
      <c r="R23" s="68">
        <v>1.2370254333511768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0.58875963494552253</v>
      </c>
      <c r="M24" s="115">
        <v>416.31619329704341</v>
      </c>
      <c r="N24" s="115">
        <v>439.50830084816852</v>
      </c>
      <c r="O24" s="115">
        <v>4.7870979300888026</v>
      </c>
      <c r="P24" s="115">
        <v>4.4835560377283352</v>
      </c>
      <c r="Q24" s="111">
        <v>4.7870979300888026</v>
      </c>
      <c r="R24" s="68">
        <v>4.4835560377283352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7.5600936600634294E-4</v>
      </c>
      <c r="M25" s="115">
        <v>2606.5259533422441</v>
      </c>
      <c r="N25" s="115">
        <v>2751.9226656459723</v>
      </c>
      <c r="O25" s="115">
        <v>16.892418479813315</v>
      </c>
      <c r="P25" s="115">
        <v>7.5856144204293106</v>
      </c>
      <c r="Q25" s="111">
        <v>16.892418479813315</v>
      </c>
      <c r="R25" s="68">
        <v>7.5856144204293106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0.25390666497173053</v>
      </c>
      <c r="M26" s="115">
        <v>748.01035623812459</v>
      </c>
      <c r="N26" s="115">
        <v>789.70184674355198</v>
      </c>
      <c r="O26" s="115">
        <v>8.1997537703483694</v>
      </c>
      <c r="P26" s="115">
        <v>7.8218225279554616</v>
      </c>
      <c r="Q26" s="111">
        <v>8.1997537703483694</v>
      </c>
      <c r="R26" s="68">
        <v>7.8218225279554625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2.5515386062806004E-2</v>
      </c>
      <c r="M27" s="115">
        <v>377.63286059414702</v>
      </c>
      <c r="N27" s="115">
        <v>398.68619262165709</v>
      </c>
      <c r="O27" s="115">
        <v>4.2243680806757782</v>
      </c>
      <c r="P27" s="115">
        <v>4.1924040919436028</v>
      </c>
      <c r="Q27" s="111">
        <v>4.2243680806757782</v>
      </c>
      <c r="R27" s="68">
        <v>4.1924040919436028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4.108051061489354E-2</v>
      </c>
      <c r="M28" s="115">
        <v>164.03931074772004</v>
      </c>
      <c r="N28" s="115">
        <v>173.18285118155268</v>
      </c>
      <c r="O28" s="115">
        <v>1.7993096215392594</v>
      </c>
      <c r="P28" s="115">
        <v>1.7280316252691044</v>
      </c>
      <c r="Q28" s="111">
        <v>1.7993096215392597</v>
      </c>
      <c r="R28" s="68">
        <v>1.7280316252691044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7.4884367394789972E-2</v>
      </c>
      <c r="M29" s="115">
        <v>1.8245445914672298</v>
      </c>
      <c r="N29" s="115">
        <v>1.9247763517348413</v>
      </c>
      <c r="O29" s="115">
        <v>7.9447823806690118E-2</v>
      </c>
      <c r="P29" s="115">
        <v>8.644108224492239E-2</v>
      </c>
      <c r="Q29" s="111">
        <v>7.9447823806690118E-2</v>
      </c>
      <c r="R29" s="68">
        <v>8.644108224492239E-2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1.5917200190930837E-2</v>
      </c>
      <c r="M30" s="115">
        <v>59.251464265630283</v>
      </c>
      <c r="N30" s="115">
        <v>62.554092901739942</v>
      </c>
      <c r="O30" s="115">
        <v>0.64969976721203393</v>
      </c>
      <c r="P30" s="115">
        <v>0.62296012915616306</v>
      </c>
      <c r="Q30" s="111">
        <v>0.64969976721203393</v>
      </c>
      <c r="R30" s="68">
        <v>0.62296012915616317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5.7446829119787762E-4</v>
      </c>
      <c r="M31" s="115">
        <v>0.98814966096182244</v>
      </c>
      <c r="N31" s="115">
        <v>1.0432181037019876</v>
      </c>
      <c r="O31" s="115">
        <v>1.0894079944320744E-2</v>
      </c>
      <c r="P31" s="115">
        <v>1.0286033357922397E-2</v>
      </c>
      <c r="Q31" s="111">
        <v>1.0894079944320744E-2</v>
      </c>
      <c r="R31" s="68">
        <v>1.0286033357922398E-2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0.74591376141381571</v>
      </c>
      <c r="M32" s="115">
        <v>197.45799210692445</v>
      </c>
      <c r="N32" s="115">
        <v>208.4479736408646</v>
      </c>
      <c r="O32" s="115">
        <v>2.612690777921439</v>
      </c>
      <c r="P32" s="115">
        <v>2.4848111601129919</v>
      </c>
      <c r="Q32" s="111">
        <v>2.612690777921439</v>
      </c>
      <c r="R32" s="68">
        <v>2.4848111601129919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0.84615842499232674</v>
      </c>
      <c r="M33" s="115">
        <v>89.958868028512697</v>
      </c>
      <c r="N33" s="115">
        <v>94.955636430975474</v>
      </c>
      <c r="O33" s="115">
        <v>1.5915531004676657</v>
      </c>
      <c r="P33" s="115">
        <v>1.5826182854853921</v>
      </c>
      <c r="Q33" s="111">
        <v>1.5915531004676657</v>
      </c>
      <c r="R33" s="68">
        <v>1.5826182854853921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0.34053012523816062</v>
      </c>
      <c r="M34" s="115">
        <v>871.82591945527327</v>
      </c>
      <c r="N34" s="115">
        <v>920.41691375535629</v>
      </c>
      <c r="O34" s="115">
        <v>9.5621644685201215</v>
      </c>
      <c r="P34" s="115">
        <v>9.0948434911727833</v>
      </c>
      <c r="Q34" s="111">
        <v>9.5621644685201215</v>
      </c>
      <c r="R34" s="68">
        <v>9.0948434911727851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5.3575788028790296E-2</v>
      </c>
      <c r="M35" s="115">
        <v>1599.6844530001024</v>
      </c>
      <c r="N35" s="115">
        <v>1688.8754349513431</v>
      </c>
      <c r="O35" s="115">
        <v>18.191871128639328</v>
      </c>
      <c r="P35" s="115">
        <v>18.390630969578233</v>
      </c>
      <c r="Q35" s="111">
        <v>18.191871128639328</v>
      </c>
      <c r="R35" s="68">
        <v>18.390630969578236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7.4363525271041089E-3</v>
      </c>
      <c r="M36" s="115">
        <v>2250.4027471575823</v>
      </c>
      <c r="N36" s="115">
        <v>2375.9047180751536</v>
      </c>
      <c r="O36" s="115">
        <v>18.222060196748828</v>
      </c>
      <c r="P36" s="115">
        <v>12.840609393360507</v>
      </c>
      <c r="Q36" s="111">
        <v>18.222060196748828</v>
      </c>
      <c r="R36" s="68">
        <v>12.840609393360507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5.6178285302820074E-4</v>
      </c>
      <c r="M37" s="115">
        <v>2625.3226965082386</v>
      </c>
      <c r="N37" s="115">
        <v>2771.7721613323688</v>
      </c>
      <c r="O37" s="115">
        <v>16.792685647661234</v>
      </c>
      <c r="P37" s="115">
        <v>7.281755994578007</v>
      </c>
      <c r="Q37" s="111">
        <v>16.792685647661234</v>
      </c>
      <c r="R37" s="68">
        <v>7.281755994578007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3.0199333483536478E-3</v>
      </c>
      <c r="M38" s="115">
        <v>2441.2678616459107</v>
      </c>
      <c r="N38" s="115">
        <v>2577.4272024913953</v>
      </c>
      <c r="O38" s="115">
        <v>17.484435768838399</v>
      </c>
      <c r="P38" s="115">
        <v>9.9257919710528224</v>
      </c>
      <c r="Q38" s="111">
        <v>17.484435768838402</v>
      </c>
      <c r="R38" s="68">
        <v>9.9257919710528224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5.5950932267955786E-3</v>
      </c>
      <c r="M39" s="115">
        <v>2241.9554236513991</v>
      </c>
      <c r="N39" s="115">
        <v>2366.9897506236966</v>
      </c>
      <c r="O39" s="115">
        <v>17.422415094135708</v>
      </c>
      <c r="P39" s="115">
        <v>11.502635670775616</v>
      </c>
      <c r="Q39" s="111">
        <v>17.422415094135708</v>
      </c>
      <c r="R39" s="68">
        <v>11.502635670775616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3.0199333483536478E-3</v>
      </c>
      <c r="M40" s="115">
        <v>2441.2678616459107</v>
      </c>
      <c r="N40" s="115">
        <v>2577.4272024913953</v>
      </c>
      <c r="O40" s="115">
        <v>17.484435768838399</v>
      </c>
      <c r="P40" s="115">
        <v>9.9257919710528224</v>
      </c>
      <c r="Q40" s="111">
        <v>17.484435768838402</v>
      </c>
      <c r="R40" s="68">
        <v>9.9257919710528224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0.98714455159168191</v>
      </c>
      <c r="M41" s="115">
        <v>5.3969616931196569</v>
      </c>
      <c r="N41" s="115">
        <v>5.6821288968959793</v>
      </c>
      <c r="O41" s="115">
        <v>1.0467144594562481</v>
      </c>
      <c r="P41" s="115">
        <v>1.3441647920306645</v>
      </c>
      <c r="Q41" s="111">
        <v>1.0467144594562481</v>
      </c>
      <c r="R41" s="68">
        <v>1.3441647920306647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5.009344843563715E-4</v>
      </c>
      <c r="M42" s="115">
        <v>2631.4485832266837</v>
      </c>
      <c r="N42" s="115">
        <v>2778.2414004340239</v>
      </c>
      <c r="O42" s="115">
        <v>16.755776145298558</v>
      </c>
      <c r="P42" s="115">
        <v>7.1773628962702709</v>
      </c>
      <c r="Q42" s="111">
        <v>16.755776145298558</v>
      </c>
      <c r="R42" s="68">
        <v>7.1773628962702718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0.56396795299641045</v>
      </c>
      <c r="M43" s="115">
        <v>458.87872383512405</v>
      </c>
      <c r="N43" s="115">
        <v>484.4438874331089</v>
      </c>
      <c r="O43" s="115">
        <v>5.2213505476940325</v>
      </c>
      <c r="P43" s="115">
        <v>4.8913452249113769</v>
      </c>
      <c r="Q43" s="111">
        <v>5.2213505476940325</v>
      </c>
      <c r="R43" s="68">
        <v>4.8913452249113778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1.4318276371221928E-2</v>
      </c>
      <c r="M44" s="115">
        <v>2049.6170739993036</v>
      </c>
      <c r="N44" s="115">
        <v>2163.9129773151744</v>
      </c>
      <c r="O44" s="115">
        <v>19.059959414997564</v>
      </c>
      <c r="P44" s="115">
        <v>16.071503534194115</v>
      </c>
      <c r="Q44" s="111">
        <v>19.059959414997568</v>
      </c>
      <c r="R44" s="68">
        <v>16.071503534194115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1.9599429138618423E-4</v>
      </c>
      <c r="M45" s="115">
        <v>2686.6760485337581</v>
      </c>
      <c r="N45" s="115">
        <v>2836.563243128659</v>
      </c>
      <c r="O45" s="115">
        <v>16.621106400846948</v>
      </c>
      <c r="P45" s="115">
        <v>6.5841152573688833</v>
      </c>
      <c r="Q45" s="111">
        <v>16.621106400846948</v>
      </c>
      <c r="R45" s="68">
        <v>6.5841152573688833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4.3771499985139809E-4</v>
      </c>
      <c r="M46" s="115">
        <v>2645.8491711109314</v>
      </c>
      <c r="N46" s="115">
        <v>2793.4472746519518</v>
      </c>
      <c r="O46" s="115">
        <v>16.761761686463657</v>
      </c>
      <c r="P46" s="115">
        <v>7.0812113506578349</v>
      </c>
      <c r="Q46" s="111">
        <v>16.761761686463657</v>
      </c>
      <c r="R46" s="68">
        <v>7.0812113506578349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1.1877862310517792E-3</v>
      </c>
      <c r="M47" s="115">
        <v>2564.9221613081568</v>
      </c>
      <c r="N47" s="115">
        <v>2707.9917447468019</v>
      </c>
      <c r="O47" s="115">
        <v>17.036323043311242</v>
      </c>
      <c r="P47" s="115">
        <v>8.1491085674297103</v>
      </c>
      <c r="Q47" s="111">
        <v>17.036323043311242</v>
      </c>
      <c r="R47" s="68">
        <v>8.1491085674297103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0.14015287148503836</v>
      </c>
      <c r="M48" s="115">
        <v>1361.4161046014206</v>
      </c>
      <c r="N48" s="115">
        <v>1437.3120011544163</v>
      </c>
      <c r="O48" s="115">
        <v>15.102091165559502</v>
      </c>
      <c r="P48" s="115">
        <v>14.824948711165332</v>
      </c>
      <c r="Q48" s="111">
        <v>15.102091165559504</v>
      </c>
      <c r="R48" s="68">
        <v>14.824948711165334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1.2699165388176828E-2</v>
      </c>
      <c r="M49" s="115">
        <v>2091.7840412773226</v>
      </c>
      <c r="N49" s="115">
        <v>2208.4330086898963</v>
      </c>
      <c r="O49" s="115">
        <v>18.888197849792331</v>
      </c>
      <c r="P49" s="115">
        <v>15.397419601833867</v>
      </c>
      <c r="Q49" s="111">
        <v>18.888197849792331</v>
      </c>
      <c r="R49" s="68">
        <v>15.397419601833867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1.036367369389519E-2</v>
      </c>
      <c r="M50" s="115">
        <v>2157.0234213534213</v>
      </c>
      <c r="N50" s="115">
        <v>2277.3132915417073</v>
      </c>
      <c r="O50" s="115">
        <v>18.613524491536431</v>
      </c>
      <c r="P50" s="115">
        <v>14.341472586781215</v>
      </c>
      <c r="Q50" s="111">
        <v>18.613524491536431</v>
      </c>
      <c r="R50" s="68">
        <v>14.341472586781215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9.4619080008650394E-2</v>
      </c>
      <c r="M51" s="115">
        <v>1502.1944673330624</v>
      </c>
      <c r="N51" s="115">
        <v>1585.9437234987038</v>
      </c>
      <c r="O51" s="115">
        <v>16.829860975527104</v>
      </c>
      <c r="P51" s="115">
        <v>16.733226647729751</v>
      </c>
      <c r="Q51" s="111">
        <v>16.829860975527104</v>
      </c>
      <c r="R51" s="68">
        <v>16.733226647729754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0.13516222786629292</v>
      </c>
      <c r="M52" s="115">
        <v>1375.8277986748762</v>
      </c>
      <c r="N52" s="115">
        <v>1452.5275998703767</v>
      </c>
      <c r="O52" s="115">
        <v>15.275096588020428</v>
      </c>
      <c r="P52" s="115">
        <v>15.012838703324386</v>
      </c>
      <c r="Q52" s="111">
        <v>15.27509658802043</v>
      </c>
      <c r="R52" s="68">
        <v>15.012838703324388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5.4164503411423242E-3</v>
      </c>
      <c r="M53" s="115">
        <v>2328.1676697862467</v>
      </c>
      <c r="N53" s="115">
        <v>2458.0109651239195</v>
      </c>
      <c r="O53" s="115">
        <v>17.921991098846089</v>
      </c>
      <c r="P53" s="115">
        <v>11.64532080517731</v>
      </c>
      <c r="Q53" s="111">
        <v>17.921991098846089</v>
      </c>
      <c r="R53" s="68">
        <v>11.645320805177311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1.1477661404778928E-2</v>
      </c>
      <c r="M54" s="115">
        <v>2125.175529096065</v>
      </c>
      <c r="N54" s="115">
        <v>2243.687968969241</v>
      </c>
      <c r="O54" s="115">
        <v>18.748854849149126</v>
      </c>
      <c r="P54" s="115">
        <v>14.858692273534105</v>
      </c>
      <c r="Q54" s="111">
        <v>18.748854849149126</v>
      </c>
      <c r="R54" s="68">
        <v>14.858692273534105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1.2421685864294424E-3</v>
      </c>
      <c r="M55" s="115">
        <v>2559.7440859513331</v>
      </c>
      <c r="N55" s="115">
        <v>2702.5241999277641</v>
      </c>
      <c r="O55" s="115">
        <v>17.049545925960345</v>
      </c>
      <c r="P55" s="115">
        <v>8.2124555471577967</v>
      </c>
      <c r="Q55" s="111">
        <v>17.049545925960345</v>
      </c>
      <c r="R55" s="68">
        <v>8.2124555471577985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1.3759965543871001E-2</v>
      </c>
      <c r="M56" s="115">
        <v>2064.0453151706392</v>
      </c>
      <c r="N56" s="115">
        <v>2179.1463437722505</v>
      </c>
      <c r="O56" s="115">
        <v>19.003268118378067</v>
      </c>
      <c r="P56" s="115">
        <v>15.844412002124805</v>
      </c>
      <c r="Q56" s="111">
        <v>19.003268118378067</v>
      </c>
      <c r="R56" s="68">
        <v>15.844412002124807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0.16344208960710818</v>
      </c>
      <c r="M57" s="115">
        <v>1286.2146918852673</v>
      </c>
      <c r="N57" s="115">
        <v>1357.916163867151</v>
      </c>
      <c r="O57" s="115">
        <v>14.216544371174336</v>
      </c>
      <c r="P57" s="115">
        <v>13.880883474000298</v>
      </c>
      <c r="Q57" s="111">
        <v>14.216544371174336</v>
      </c>
      <c r="R57" s="68">
        <v>13.880883474000298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1.1246673956547224E-2</v>
      </c>
      <c r="M58" s="115">
        <v>2131.6968781922233</v>
      </c>
      <c r="N58" s="115">
        <v>2250.5732648241542</v>
      </c>
      <c r="O58" s="115">
        <v>18.721713953603142</v>
      </c>
      <c r="P58" s="115">
        <v>14.753720312304134</v>
      </c>
      <c r="Q58" s="111">
        <v>18.721713953603142</v>
      </c>
      <c r="R58" s="68">
        <v>14.753720312304134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0.13519574288133721</v>
      </c>
      <c r="M59" s="115">
        <v>1376.1689508599125</v>
      </c>
      <c r="N59" s="115">
        <v>1452.8877706453809</v>
      </c>
      <c r="O59" s="115">
        <v>15.278884222332412</v>
      </c>
      <c r="P59" s="115">
        <v>15.016561307804515</v>
      </c>
      <c r="Q59" s="111">
        <v>15.278884222332412</v>
      </c>
      <c r="R59" s="68">
        <v>15.016561307804517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6.5538904191072738E-3</v>
      </c>
      <c r="M60" s="115">
        <v>2282.2285719149718</v>
      </c>
      <c r="N60" s="115">
        <v>2409.5071862552227</v>
      </c>
      <c r="O60" s="115">
        <v>18.091631886509514</v>
      </c>
      <c r="P60" s="115">
        <v>12.336890192146988</v>
      </c>
      <c r="Q60" s="111">
        <v>18.091631886509514</v>
      </c>
      <c r="R60" s="68">
        <v>12.336890192146988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0.41782824370434168</v>
      </c>
      <c r="M61" s="115">
        <v>1140.2561709872668</v>
      </c>
      <c r="N61" s="115">
        <v>1175.6134366623066</v>
      </c>
      <c r="O61" s="115">
        <v>6.5029330889523917</v>
      </c>
      <c r="P61" s="115">
        <v>6.5391098294315455</v>
      </c>
      <c r="Q61" s="111">
        <v>6.5029330889523917</v>
      </c>
      <c r="R61" s="68">
        <v>6.5391098294315455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0.35820897701139442</v>
      </c>
      <c r="M62" s="115">
        <v>835.16295609667623</v>
      </c>
      <c r="N62" s="115">
        <v>881.70949596395928</v>
      </c>
      <c r="O62" s="115">
        <v>9.166421700976974</v>
      </c>
      <c r="P62" s="115">
        <v>8.7022390103081495</v>
      </c>
      <c r="Q62" s="111">
        <v>9.166421700976974</v>
      </c>
      <c r="R62" s="68">
        <v>8.7022390103081495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0.96423536831970835</v>
      </c>
      <c r="M63" s="115">
        <v>110.65854887720383</v>
      </c>
      <c r="N63" s="115">
        <v>113.36232614667296</v>
      </c>
      <c r="O63" s="115">
        <v>1.0780922539075033</v>
      </c>
      <c r="P63" s="115">
        <v>1.2067957917550387</v>
      </c>
      <c r="Q63" s="111">
        <v>1.0780922539075033</v>
      </c>
      <c r="R63" s="68">
        <v>1.2067957917550387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0.98994276097692047</v>
      </c>
      <c r="M64" s="115">
        <v>2.1734307577702583</v>
      </c>
      <c r="N64" s="115">
        <v>2.276595037602176</v>
      </c>
      <c r="O64" s="115">
        <v>0.88275209343983996</v>
      </c>
      <c r="P64" s="115">
        <v>1.0554072478068952</v>
      </c>
      <c r="Q64" s="111">
        <v>0.88275209343983996</v>
      </c>
      <c r="R64" s="68">
        <v>1.0554072478068952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1.0226062741574087</v>
      </c>
      <c r="M65" s="115">
        <v>9.352784738309408</v>
      </c>
      <c r="N65" s="115">
        <v>9.5416406452975355</v>
      </c>
      <c r="O65" s="115">
        <v>0.83241981014780031</v>
      </c>
      <c r="P65" s="115">
        <v>0.96679431006234895</v>
      </c>
      <c r="Q65" s="111">
        <v>0.83241981014780031</v>
      </c>
      <c r="R65" s="68">
        <v>0.96679431006234895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0.72327824612564628</v>
      </c>
      <c r="M66" s="115">
        <v>789.14748464367642</v>
      </c>
      <c r="N66" s="115">
        <v>806.52523514602512</v>
      </c>
      <c r="O66" s="115">
        <v>1.9265090811386905</v>
      </c>
      <c r="P66" s="115">
        <v>2.3490068124084336</v>
      </c>
      <c r="Q66" s="111">
        <v>1.9265090811386905</v>
      </c>
      <c r="R66" s="68">
        <v>2.3490068124084336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1.0229300120951694</v>
      </c>
      <c r="M67" s="115">
        <v>7.792387911720402</v>
      </c>
      <c r="N67" s="115">
        <v>7.9476851353826454</v>
      </c>
      <c r="O67" s="115">
        <v>0.8309095255965302</v>
      </c>
      <c r="P67" s="115">
        <v>0.96489337963965804</v>
      </c>
      <c r="Q67" s="111">
        <v>0.83090952559653031</v>
      </c>
      <c r="R67" s="68">
        <v>0.96489337963965816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1.0253202744687138</v>
      </c>
      <c r="M68" s="115">
        <v>1.0500866522248096</v>
      </c>
      <c r="N68" s="115">
        <v>1.0553639557721475</v>
      </c>
      <c r="O68" s="115">
        <v>0.82307100008128709</v>
      </c>
      <c r="P68" s="115">
        <v>0.95644797430196915</v>
      </c>
      <c r="Q68" s="111">
        <v>0.8230710000812872</v>
      </c>
      <c r="R68" s="68">
        <v>0.95644797430196915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1.6873929993409972E-2</v>
      </c>
      <c r="M69" s="115">
        <v>1989.1644180613241</v>
      </c>
      <c r="N69" s="115">
        <v>2100.0870339760063</v>
      </c>
      <c r="O69" s="115">
        <v>19.320774778153933</v>
      </c>
      <c r="P69" s="115">
        <v>17.066074626667483</v>
      </c>
      <c r="Q69" s="111">
        <v>19.320774778153936</v>
      </c>
      <c r="R69" s="68">
        <v>17.066074626667483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0.98942287495761261</v>
      </c>
      <c r="M70" s="115">
        <v>3.6203730372315341</v>
      </c>
      <c r="N70" s="115">
        <v>3.8054600834987209</v>
      </c>
      <c r="O70" s="115">
        <v>0.96946424279009724</v>
      </c>
      <c r="P70" s="115">
        <v>1.2102880548228525</v>
      </c>
      <c r="Q70" s="111">
        <v>0.96946424279009735</v>
      </c>
      <c r="R70" s="68">
        <v>1.2102880548228525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0.98560039746384542</v>
      </c>
      <c r="M71" s="115">
        <v>6.6109268474944169</v>
      </c>
      <c r="N71" s="115">
        <v>6.9645121813318775</v>
      </c>
      <c r="O71" s="115">
        <v>1.1025534387643521</v>
      </c>
      <c r="P71" s="115">
        <v>1.4414266635454269</v>
      </c>
      <c r="Q71" s="111">
        <v>1.1025534387643523</v>
      </c>
      <c r="R71" s="68">
        <v>1.4414266635454269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1.226877185160961E-2</v>
      </c>
      <c r="M72" s="115">
        <v>1964.0429160770757</v>
      </c>
      <c r="N72" s="115">
        <v>2074.656438642392</v>
      </c>
      <c r="O72" s="115">
        <v>19.802296541852847</v>
      </c>
      <c r="P72" s="115">
        <v>27.916896698073487</v>
      </c>
      <c r="Q72" s="111">
        <v>19.802296541852847</v>
      </c>
      <c r="R72" s="68">
        <v>27.916896698073487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0.22860823764933005</v>
      </c>
      <c r="M73" s="115">
        <v>460.81395772357251</v>
      </c>
      <c r="N73" s="115">
        <v>486.76234433599785</v>
      </c>
      <c r="O73" s="115">
        <v>29.301579257963141</v>
      </c>
      <c r="P73" s="115">
        <v>51.116235502735094</v>
      </c>
      <c r="Q73" s="111">
        <v>29.301579257963144</v>
      </c>
      <c r="R73" s="68">
        <v>51.116235502735094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0.98635594298050377</v>
      </c>
      <c r="M74" s="115">
        <v>6.0264968488498827</v>
      </c>
      <c r="N74" s="115">
        <v>6.3471532185067678</v>
      </c>
      <c r="O74" s="115">
        <v>1.0761576916071367</v>
      </c>
      <c r="P74" s="115">
        <v>1.395550889830619</v>
      </c>
      <c r="Q74" s="111">
        <v>1.0761576916071367</v>
      </c>
      <c r="R74" s="68">
        <v>1.3955508898306193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0.26040939034544414</v>
      </c>
      <c r="M75" s="115">
        <v>445.6265745294728</v>
      </c>
      <c r="N75" s="115">
        <v>470.71901182011993</v>
      </c>
      <c r="O75" s="115">
        <v>28.066512703592981</v>
      </c>
      <c r="P75" s="115">
        <v>48.922185991350986</v>
      </c>
      <c r="Q75" s="111">
        <v>28.066512703592981</v>
      </c>
      <c r="R75" s="68">
        <v>48.922185991350986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0.85553302315281332</v>
      </c>
      <c r="M76" s="115">
        <v>97.064432599761687</v>
      </c>
      <c r="N76" s="115">
        <v>102.51476549905821</v>
      </c>
      <c r="O76" s="115">
        <v>5.7853001494385925</v>
      </c>
      <c r="P76" s="115">
        <v>9.6317529505342421</v>
      </c>
      <c r="Q76" s="111">
        <v>5.7853001494385925</v>
      </c>
      <c r="R76" s="68">
        <v>9.6317529505342421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0.23740855368608782</v>
      </c>
      <c r="M77" s="115">
        <v>456.68298994790047</v>
      </c>
      <c r="N77" s="115">
        <v>482.39855253925128</v>
      </c>
      <c r="O77" s="115">
        <v>28.958855249701383</v>
      </c>
      <c r="P77" s="115">
        <v>50.507050319102191</v>
      </c>
      <c r="Q77" s="111">
        <v>28.958855249701383</v>
      </c>
      <c r="R77" s="68">
        <v>50.507050319102191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1.5255998182711976E-2</v>
      </c>
      <c r="M78" s="115">
        <v>1844.4654701059167</v>
      </c>
      <c r="N78" s="115">
        <v>1948.3443930939259</v>
      </c>
      <c r="O78" s="115">
        <v>21.196932911384561</v>
      </c>
      <c r="P78" s="115">
        <v>30.92810165098096</v>
      </c>
      <c r="Q78" s="111">
        <v>21.196932911384565</v>
      </c>
      <c r="R78" s="68">
        <v>30.92810165098096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1.5256004152296231E-2</v>
      </c>
      <c r="M79" s="115">
        <v>1844.4651759719304</v>
      </c>
      <c r="N79" s="115">
        <v>1948.3440829952692</v>
      </c>
      <c r="O79" s="115">
        <v>21.196935717603822</v>
      </c>
      <c r="P79" s="115">
        <v>30.928112612897433</v>
      </c>
      <c r="Q79" s="111">
        <v>21.196935717603825</v>
      </c>
      <c r="R79" s="68">
        <v>30.928112612897433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0.60538869803921369</v>
      </c>
      <c r="M80" s="115">
        <v>254.54395421807752</v>
      </c>
      <c r="N80" s="115">
        <v>268.86818149098792</v>
      </c>
      <c r="O80" s="115">
        <v>15.008333656422819</v>
      </c>
      <c r="P80" s="115">
        <v>25.843999313090197</v>
      </c>
      <c r="Q80" s="111">
        <v>15.008333656422819</v>
      </c>
      <c r="R80" s="68">
        <v>25.843999313090201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0.96230420649818638</v>
      </c>
      <c r="M81" s="115">
        <v>23.876874010944505</v>
      </c>
      <c r="N81" s="115">
        <v>25.203307364125934</v>
      </c>
      <c r="O81" s="115">
        <v>1.9269779620095173</v>
      </c>
      <c r="P81" s="115">
        <v>2.8781443425030595</v>
      </c>
      <c r="Q81" s="111">
        <v>1.9269779620095173</v>
      </c>
      <c r="R81" s="68">
        <v>2.8781443425030595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0.91571247361630748</v>
      </c>
      <c r="M82" s="115">
        <v>56.555570063438338</v>
      </c>
      <c r="N82" s="115">
        <v>59.723329406952054</v>
      </c>
      <c r="O82" s="115">
        <v>3.6008035828733296</v>
      </c>
      <c r="P82" s="115">
        <v>5.8043863675099674</v>
      </c>
      <c r="Q82" s="111">
        <v>3.6008035828733296</v>
      </c>
      <c r="R82" s="68">
        <v>5.8043863675099674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6.4994729834828551E-3</v>
      </c>
      <c r="M83" s="115">
        <v>2251.6868576169491</v>
      </c>
      <c r="N83" s="115">
        <v>2378.500464621095</v>
      </c>
      <c r="O83" s="115">
        <v>16.383986503940935</v>
      </c>
      <c r="P83" s="115">
        <v>20.557652455513367</v>
      </c>
      <c r="Q83" s="111">
        <v>16.383986503940935</v>
      </c>
      <c r="R83" s="68">
        <v>20.557652455513367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0.48675282896262628</v>
      </c>
      <c r="M84" s="115">
        <v>589.47838641388023</v>
      </c>
      <c r="N84" s="115">
        <v>622.32541556809201</v>
      </c>
      <c r="O84" s="115">
        <v>6.5669533786008358</v>
      </c>
      <c r="P84" s="115">
        <v>6.1702186340741569</v>
      </c>
      <c r="Q84" s="111">
        <v>6.5669533786008367</v>
      </c>
      <c r="R84" s="68">
        <v>6.1702186340741569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1.5563299130006886E-2</v>
      </c>
      <c r="M85" s="115">
        <v>2795.4504332192523</v>
      </c>
      <c r="N85" s="115">
        <v>2856.8268965954053</v>
      </c>
      <c r="O85" s="115">
        <v>2.8368333839322468</v>
      </c>
      <c r="P85" s="115">
        <v>2.5557449626869579</v>
      </c>
      <c r="Q85" s="111">
        <v>2.8368333839322468</v>
      </c>
      <c r="R85" s="68">
        <v>2.5557449626869579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2.4672420664332141E-4</v>
      </c>
      <c r="M86" s="115">
        <v>2676.60415329541</v>
      </c>
      <c r="N86" s="115">
        <v>2825.9261617836955</v>
      </c>
      <c r="O86" s="115">
        <v>16.656334336454588</v>
      </c>
      <c r="P86" s="115">
        <v>6.7029185666729001</v>
      </c>
      <c r="Q86" s="111">
        <v>16.656334336454588</v>
      </c>
      <c r="R86" s="68">
        <v>6.7029185666729001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7.5978138023445954E-5</v>
      </c>
      <c r="M87" s="115">
        <v>2717.8061080060957</v>
      </c>
      <c r="N87" s="115">
        <v>2869.4436113653574</v>
      </c>
      <c r="O87" s="115">
        <v>16.502683700448543</v>
      </c>
      <c r="P87" s="115">
        <v>6.2344777482333846</v>
      </c>
      <c r="Q87" s="111">
        <v>16.502683700448543</v>
      </c>
      <c r="R87" s="68">
        <v>6.2344777482333846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1.9746242949844423E-5</v>
      </c>
      <c r="M88" s="115">
        <v>2743.4144577196066</v>
      </c>
      <c r="N88" s="115">
        <v>2896.4999414879412</v>
      </c>
      <c r="O88" s="115">
        <v>16.373735696411249</v>
      </c>
      <c r="P88" s="115">
        <v>5.972119068692689</v>
      </c>
      <c r="Q88" s="111">
        <v>16.373735696411249</v>
      </c>
      <c r="R88" s="68">
        <v>5.972119068692689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1.0140065962548233E-4</v>
      </c>
      <c r="M89" s="115">
        <v>2904.6604075875257</v>
      </c>
      <c r="N89" s="115">
        <v>2969.8150442881965</v>
      </c>
      <c r="O89" s="115">
        <v>2.2687704811332021</v>
      </c>
      <c r="P89" s="115">
        <v>0.7828643234348277</v>
      </c>
      <c r="Q89" s="111">
        <v>2.2687704811332021</v>
      </c>
      <c r="R89" s="68">
        <v>0.7828643234348277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0.98248488016160485</v>
      </c>
      <c r="M90" s="115">
        <v>1.4373330145628811</v>
      </c>
      <c r="N90" s="115">
        <v>1.4987355588103528</v>
      </c>
      <c r="O90" s="115">
        <v>0.82380652841050139</v>
      </c>
      <c r="P90" s="115">
        <v>0.9527398778382159</v>
      </c>
      <c r="Q90" s="111">
        <v>0.82380652841050139</v>
      </c>
      <c r="R90" s="68">
        <v>0.9527398778382159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0.85009623593594497</v>
      </c>
      <c r="M91" s="115">
        <v>86.247005944102597</v>
      </c>
      <c r="N91" s="115">
        <v>91.036836935669371</v>
      </c>
      <c r="O91" s="115">
        <v>1.5571700881476263</v>
      </c>
      <c r="P91" s="115">
        <v>1.5529269084404618</v>
      </c>
      <c r="Q91" s="111">
        <v>1.5571700881476265</v>
      </c>
      <c r="R91" s="68">
        <v>1.5529269084404618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0.26565734947960717</v>
      </c>
      <c r="M92" s="115">
        <v>1036.2726568575474</v>
      </c>
      <c r="N92" s="115">
        <v>1094.0341725790909</v>
      </c>
      <c r="O92" s="115">
        <v>11.365245143511189</v>
      </c>
      <c r="P92" s="115">
        <v>10.909143249892931</v>
      </c>
      <c r="Q92" s="111">
        <v>11.365245143511189</v>
      </c>
      <c r="R92" s="68">
        <v>10.909143249892933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0.99304755605247641</v>
      </c>
      <c r="M93" s="115">
        <v>0.60678730533901248</v>
      </c>
      <c r="N93" s="115">
        <v>0.622074207731805</v>
      </c>
      <c r="O93" s="115">
        <v>0.84312832259070025</v>
      </c>
      <c r="P93" s="115">
        <v>0.99152929510985088</v>
      </c>
      <c r="Q93" s="111">
        <v>0.84312832259070025</v>
      </c>
      <c r="R93" s="68">
        <v>0.99152929510985088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1.0236631414500397</v>
      </c>
      <c r="M94" s="115">
        <v>0.16564914187913576</v>
      </c>
      <c r="N94" s="115">
        <v>0.1509625959816023</v>
      </c>
      <c r="O94" s="115">
        <v>0.82226649657023176</v>
      </c>
      <c r="P94" s="115">
        <v>0.95573018047072378</v>
      </c>
      <c r="Q94" s="111">
        <v>0.82226649657023176</v>
      </c>
      <c r="R94" s="68">
        <v>0.95573018047072378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0.96756046100394322</v>
      </c>
      <c r="M95" s="115">
        <v>6.2736540168309807</v>
      </c>
      <c r="N95" s="115">
        <v>6.5941907603221166</v>
      </c>
      <c r="O95" s="115">
        <v>0.84954980068114205</v>
      </c>
      <c r="P95" s="115">
        <v>0.96638715446954737</v>
      </c>
      <c r="Q95" s="111">
        <v>0.84954980068114216</v>
      </c>
      <c r="R95" s="68">
        <v>0.96638715446954737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3.8157541029261557E-4</v>
      </c>
      <c r="M96" s="115">
        <v>2654.0782851242029</v>
      </c>
      <c r="N96" s="115">
        <v>2802.1374146248454</v>
      </c>
      <c r="O96" s="115">
        <v>16.734060674869802</v>
      </c>
      <c r="P96" s="115">
        <v>6.9784874541993265</v>
      </c>
      <c r="Q96" s="111">
        <v>16.734060674869802</v>
      </c>
      <c r="R96" s="68">
        <v>6.9784874541993265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0.77417570206372588</v>
      </c>
      <c r="M97" s="115">
        <v>166.03248170721642</v>
      </c>
      <c r="N97" s="115">
        <v>175.27040733007567</v>
      </c>
      <c r="O97" s="115">
        <v>2.3108486810510311</v>
      </c>
      <c r="P97" s="115">
        <v>2.2149513050338929</v>
      </c>
      <c r="Q97" s="111">
        <v>2.3108486810510311</v>
      </c>
      <c r="R97" s="68">
        <v>2.2149513050338934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0.83804826514662811</v>
      </c>
      <c r="M98" s="115">
        <v>97.835064464225454</v>
      </c>
      <c r="N98" s="115">
        <v>103.27093193532495</v>
      </c>
      <c r="O98" s="115">
        <v>1.6648408970927064</v>
      </c>
      <c r="P98" s="115">
        <v>1.6461226087432661</v>
      </c>
      <c r="Q98" s="111">
        <v>1.6648408970927067</v>
      </c>
      <c r="R98" s="68">
        <v>1.6461226087432661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0.9307274755666729</v>
      </c>
      <c r="M99" s="115">
        <v>23.213379692310966</v>
      </c>
      <c r="N99" s="115">
        <v>24.489033328982803</v>
      </c>
      <c r="O99" s="115">
        <v>0.99271696096612483</v>
      </c>
      <c r="P99" s="115">
        <v>1.0788482158698471</v>
      </c>
      <c r="Q99" s="111">
        <v>0.99271696096612494</v>
      </c>
      <c r="R99" s="68">
        <v>1.0788482158698471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4.5631670993940918E-3</v>
      </c>
      <c r="M100" s="115">
        <v>2365.077850645589</v>
      </c>
      <c r="N100" s="115">
        <v>2496.9820629144165</v>
      </c>
      <c r="O100" s="115">
        <v>17.779049787947496</v>
      </c>
      <c r="P100" s="115">
        <v>11.080663655138684</v>
      </c>
      <c r="Q100" s="111">
        <v>17.779049787947496</v>
      </c>
      <c r="R100" s="68">
        <v>11.080663655138686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0.34494885284907734</v>
      </c>
      <c r="M101" s="115">
        <v>862.71841940390561</v>
      </c>
      <c r="N101" s="115">
        <v>910.80154294646422</v>
      </c>
      <c r="O101" s="115">
        <v>9.4636678575994964</v>
      </c>
      <c r="P101" s="115">
        <v>8.9969138724121756</v>
      </c>
      <c r="Q101" s="111">
        <v>9.4636678575994964</v>
      </c>
      <c r="R101" s="68">
        <v>8.9969138724121756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9.6439978011854929E-2</v>
      </c>
      <c r="M102" s="115">
        <v>1495.7003844960852</v>
      </c>
      <c r="N102" s="115">
        <v>1579.0873490153058</v>
      </c>
      <c r="O102" s="115">
        <v>16.748528261448019</v>
      </c>
      <c r="P102" s="115">
        <v>16.642161347034509</v>
      </c>
      <c r="Q102" s="111">
        <v>16.748528261448019</v>
      </c>
      <c r="R102" s="68">
        <v>16.642161347034513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0.97806031221809153</v>
      </c>
      <c r="M103" s="115">
        <v>12.327815112517964</v>
      </c>
      <c r="N103" s="115">
        <v>13.003511122095475</v>
      </c>
      <c r="O103" s="115">
        <v>1.3673645490668751</v>
      </c>
      <c r="P103" s="115">
        <v>1.9022188598858794</v>
      </c>
      <c r="Q103" s="111">
        <v>1.3673645490668751</v>
      </c>
      <c r="R103" s="68">
        <v>1.9022188598858796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7.5464587413564252E-2</v>
      </c>
      <c r="M104" s="115">
        <v>726.29956524676766</v>
      </c>
      <c r="N104" s="115">
        <v>767.18444104458797</v>
      </c>
      <c r="O104" s="115">
        <v>32.757446191812363</v>
      </c>
      <c r="P104" s="115">
        <v>56.241106685290418</v>
      </c>
      <c r="Q104" s="111">
        <v>32.757446191812363</v>
      </c>
      <c r="R104" s="68">
        <v>56.241106685290426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0.98021172464127138</v>
      </c>
      <c r="M105" s="115">
        <v>1.7548395768446776</v>
      </c>
      <c r="N105" s="115">
        <v>1.8339593042231426</v>
      </c>
      <c r="O105" s="115">
        <v>0.82569140771193872</v>
      </c>
      <c r="P105" s="115">
        <v>0.95337002625501421</v>
      </c>
      <c r="Q105" s="111">
        <v>0.82569140771193872</v>
      </c>
      <c r="R105" s="68">
        <v>0.95337002625501432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0.96582260130422593</v>
      </c>
      <c r="M106" s="115">
        <v>6.7533259995686734</v>
      </c>
      <c r="N106" s="115">
        <v>7.1020549031494662</v>
      </c>
      <c r="O106" s="115">
        <v>0.85261686228040789</v>
      </c>
      <c r="P106" s="115">
        <v>0.96830501589172013</v>
      </c>
      <c r="Q106" s="111">
        <v>0.85261686228040789</v>
      </c>
      <c r="R106" s="68">
        <v>0.96830501589172013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5.3710029978756325E-2</v>
      </c>
      <c r="M107" s="115">
        <v>1702.0306418960372</v>
      </c>
      <c r="N107" s="115">
        <v>1788.6870857292265</v>
      </c>
      <c r="O107" s="115">
        <v>16.796597213441242</v>
      </c>
      <c r="P107" s="115">
        <v>16.901337863609829</v>
      </c>
      <c r="Q107" s="111">
        <v>16.796597213441242</v>
      </c>
      <c r="R107" s="68">
        <v>16.901337863609829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1.0206655181469302</v>
      </c>
      <c r="M108" s="115">
        <v>9.4352941585694253E-2</v>
      </c>
      <c r="N108" s="115">
        <v>7.8139251038617547E-2</v>
      </c>
      <c r="O108" s="115">
        <v>0.82218688026490017</v>
      </c>
      <c r="P108" s="115">
        <v>0.95563809062059579</v>
      </c>
      <c r="Q108" s="111">
        <v>0.82218688026490028</v>
      </c>
      <c r="R108" s="68">
        <v>0.95563809062059579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0.92567098333331344</v>
      </c>
      <c r="M109" s="115">
        <v>247.93730099576683</v>
      </c>
      <c r="N109" s="115">
        <v>253.48149514696365</v>
      </c>
      <c r="O109" s="115">
        <v>1.191049750247394</v>
      </c>
      <c r="P109" s="115">
        <v>1.3850043703972166</v>
      </c>
      <c r="Q109" s="111">
        <v>1.191049750247394</v>
      </c>
      <c r="R109" s="68">
        <v>1.3850043703972166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0.99101554104092282</v>
      </c>
      <c r="M110" s="115">
        <v>0.2289119922979195</v>
      </c>
      <c r="N110" s="115">
        <v>0.22284408405108058</v>
      </c>
      <c r="O110" s="115">
        <v>0.82146979783981366</v>
      </c>
      <c r="P110" s="115">
        <v>0.95440924839670604</v>
      </c>
      <c r="Q110" s="111">
        <v>0.82146979783981366</v>
      </c>
      <c r="R110" s="68">
        <v>0.95440924839670616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0.99360111632771342</v>
      </c>
      <c r="M111" s="115">
        <v>2.0946275982815243E-2</v>
      </c>
      <c r="N111" s="115">
        <v>3.2343170251901286E-3</v>
      </c>
      <c r="O111" s="115">
        <v>0.82221472888463965</v>
      </c>
      <c r="P111" s="115">
        <v>0.95572193467306032</v>
      </c>
      <c r="Q111" s="111">
        <v>0.82221472888463965</v>
      </c>
      <c r="R111" s="68">
        <v>0.95572193467306032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0.99026597432810148</v>
      </c>
      <c r="M112" s="115">
        <v>0.17737112439164793</v>
      </c>
      <c r="N112" s="115">
        <v>0.16843346091516431</v>
      </c>
      <c r="O112" s="115">
        <v>0.81937818564936782</v>
      </c>
      <c r="P112" s="115">
        <v>0.95175697818578842</v>
      </c>
      <c r="Q112" s="111">
        <v>0.81937818564936782</v>
      </c>
      <c r="R112" s="68">
        <v>0.95175697818578842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0.97263435320847558</v>
      </c>
      <c r="M113" s="115">
        <v>3.7479171622620968</v>
      </c>
      <c r="N113" s="115">
        <v>3.9382112296259351</v>
      </c>
      <c r="O113" s="115">
        <v>0.8382672102868981</v>
      </c>
      <c r="P113" s="115">
        <v>0.96113018099447478</v>
      </c>
      <c r="Q113" s="111">
        <v>0.8382672102868981</v>
      </c>
      <c r="R113" s="68">
        <v>0.96113018099447478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0.99192582501821713</v>
      </c>
      <c r="M114" s="115">
        <v>6.7335976612411766E-2</v>
      </c>
      <c r="N114" s="115">
        <v>5.2238693632793466E-2</v>
      </c>
      <c r="O114" s="115">
        <v>0.8197501607383203</v>
      </c>
      <c r="P114" s="115">
        <v>0.95262416627229174</v>
      </c>
      <c r="Q114" s="111">
        <v>0.81975016073832041</v>
      </c>
      <c r="R114" s="68">
        <v>0.95262416627229174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0.98981801770264777</v>
      </c>
      <c r="M115" s="115">
        <v>3.3027333181475416</v>
      </c>
      <c r="N115" s="115">
        <v>3.4699217512387341</v>
      </c>
      <c r="O115" s="115">
        <v>0.95556197200109783</v>
      </c>
      <c r="P115" s="115">
        <v>1.1861525555160195</v>
      </c>
      <c r="Q115" s="111">
        <v>0.95556197200109794</v>
      </c>
      <c r="R115" s="68">
        <v>1.1861525555160197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0.115192202563387</v>
      </c>
      <c r="M116" s="115">
        <v>2366.419451306243</v>
      </c>
      <c r="N116" s="115">
        <v>2418.8107640147759</v>
      </c>
      <c r="O116" s="115">
        <v>4.8278215768493729</v>
      </c>
      <c r="P116" s="115">
        <v>6.2779070472759253</v>
      </c>
      <c r="Q116" s="111">
        <v>4.8278215768493729</v>
      </c>
      <c r="R116" s="68">
        <v>6.2779070472759253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0.67517076321713265</v>
      </c>
      <c r="M117" s="115">
        <v>292.11044556437696</v>
      </c>
      <c r="N117" s="115">
        <v>308.37750032700626</v>
      </c>
      <c r="O117" s="115">
        <v>3.5427036791335209</v>
      </c>
      <c r="P117" s="115">
        <v>3.3299661745233289</v>
      </c>
      <c r="Q117" s="111">
        <v>3.5427036791335214</v>
      </c>
      <c r="R117" s="68">
        <v>3.3299661745233289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2025-02-02T13:17:55Z</dcterms:modified>
</cp:coreProperties>
</file>