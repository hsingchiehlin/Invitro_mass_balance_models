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3CB2F3B8-7AE7-4772-B304-023DD60598BB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Input System Parameters" sheetId="2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definedNames>
    <definedName name="_xlnm._FilterDatabase" localSheetId="1" hidden="1">'Input Chemical Data'!$A$1:$Z$117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<sst xmlns="http://schemas.openxmlformats.org/spreadsheetml/2006/main" count="3131" uniqueCount="515">
  <si>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</si>
  <si>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</si>
  <si>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</si>
  <si>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</si>
  <si>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</si>
  <si>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</si>
  <si>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</si>
  <si>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</si>
  <si>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</si>
  <si>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</si>
  <si>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</si>
  <si>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</si>
  <si>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</si>
  <si>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</si>
  <si>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</si>
  <si>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</si>
  <si>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</si>
  <si>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</si>
  <si>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</si>
  <si>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</si>
  <si>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</si>
  <si>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</si>
  <si>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</si>
  <si>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</si>
  <si>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</si>
  <si>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</si>
  <si>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</si>
  <si>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</si>
  <si>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</si>
  <si>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</si>
  <si>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</si>
  <si>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</si>
  <si>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</si>
  <si>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</si>
  <si>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</si>
  <si>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</si>
  <si>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</si>
  <si>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</si>
  <si>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</si>
  <si>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</si>
  <si>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</si>
  <si>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</si>
  <si>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</si>
  <si>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</si>
  <si>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</si>
  <si>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</si>
  <si>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</si>
  <si>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</si>
  <si>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</si>
  <si>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</si>
  <si>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</si>
  <si>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</si>
  <si>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</si>
  <si>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</si>
  <si>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</si>
  <si>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</si>
  <si>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</si>
  <si>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</si>
  <si>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</si>
  <si>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</si>
  <si>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</si>
  <si>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</si>
  <si>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</si>
  <si>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</si>
  <si>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</si>
  <si>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</si>
  <si>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</si>
  <si>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</si>
  <si>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</si>
  <si>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</si>
  <si>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</si>
  <si>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</si>
  <si>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</si>
  <si>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</si>
  <si>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</si>
  <si>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</si>
  <si>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</si>
  <si>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</si>
  <si>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</si>
  <si>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</si>
  <si>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</si>
  <si>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</si>
  <si>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</si>
  <si>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</si>
  <si>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</si>
  <si>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</si>
  <si>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</si>
  <si>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</si>
  <si>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</si>
  <si>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</si>
  <si>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</si>
  <si>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</si>
  <si>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</si>
  <si>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</si>
  <si>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</si>
  <si>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</si>
  <si>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</si>
  <si>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</si>
  <si>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</si>
  <si>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</si>
  <si>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</si>
  <si>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</si>
  <si>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</si>
  <si>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</si>
  <si>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</si>
  <si>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</si>
  <si>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</si>
  <si>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</si>
  <si>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</si>
  <si>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</si>
  <si>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</si>
  <si>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</si>
  <si>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</si>
  <si>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</si>
  <si>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</si>
  <si>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</si>
  <si>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</si>
  <si>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</si>
  <si>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</si>
  <si>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</si>
  <si>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</si>
  <si>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</si>
  <si>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</si>
  <si>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</si>
  <si>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</si>
  <si>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</si>
  <si>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</si>
  <si>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</si>
  <si>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</si>
  <si>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</si>
  <si>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</si>
  <si>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</si>
  <si>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</si>
  <si>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</si>
  <si>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</si>
  <si>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</si>
  <si>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</si>
  <si>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</si>
  <si>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</si>
  <si>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</si>
  <si>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</si>
  <si>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</si>
  <si>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</si>
  <si>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</si>
  <si>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</si>
  <si>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</si>
  <si>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</si>
  <si>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</si>
  <si>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</si>
  <si>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</si>
  <si>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</si>
  <si>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</si>
  <si>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</si>
  <si>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</si>
  <si>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</si>
  <si>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</si>
  <si>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</si>
  <si>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</si>
  <si>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</si>
  <si>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</si>
  <si>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</si>
  <si>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</si>
  <si>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</si>
  <si>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</si>
  <si>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</si>
  <si>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</si>
  <si>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</si>
  <si>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</si>
  <si>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</si>
  <si>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</si>
  <si>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</si>
  <si>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</si>
  <si>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</si>
  <si>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</si>
  <si>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</si>
  <si>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</si>
  <si>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</si>
  <si>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</si>
  <si>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</si>
  <si>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</si>
  <si>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</si>
  <si>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</si>
  <si>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</si>
  <si>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</si>
  <si>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</si>
  <si>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</si>
  <si>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</si>
  <si>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</si>
  <si>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</si>
  <si>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</si>
  <si>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</si>
  <si>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</si>
  <si>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</si>
  <si>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</si>
  <si>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</si>
  <si>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</si>
  <si>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</si>
  <si>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</si>
  <si>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</si>
  <si>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</si>
  <si>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</si>
  <si>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</si>
  <si>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</si>
  <si>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</si>
  <si>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</si>
  <si>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</si>
  <si>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</si>
  <si>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</si>
  <si>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</si>
  <si>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</si>
  <si>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</si>
  <si>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</si>
  <si>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</si>
  <si>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</si>
  <si>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</si>
  <si>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</si>
  <si>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</si>
  <si>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</si>
  <si>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</si>
  <si>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</si>
  <si>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</si>
  <si>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</si>
  <si>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</si>
  <si>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</si>
  <si>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</si>
  <si>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</si>
  <si>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</si>
  <si>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</si>
  <si>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</si>
  <si>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</si>
  <si>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</si>
  <si>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</si>
  <si>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</si>
  <si>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</si>
  <si>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</si>
  <si>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</si>
  <si>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</si>
  <si>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</si>
  <si>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</si>
  <si>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</si>
  <si>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</si>
  <si>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</si>
  <si>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</si>
  <si>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</si>
  <si>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</si>
  <si>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</si>
  <si>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</si>
  <si>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</si>
  <si>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</si>
  <si>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</si>
  <si>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</si>
  <si>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</si>
  <si>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</si>
  <si>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</si>
  <si>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</si>
  <si>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</si>
  <si>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</si>
  <si>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</si>
  <si>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</si>
  <si>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</si>
  <si>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</si>
  <si>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</si>
  <si>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</si>
  <si>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</si>
  <si>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</si>
  <si>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</si>
  <si>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</si>
  <si>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</si>
  <si>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</si>
  <si>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</si>
  <si>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</si>
  <si>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</si>
  <si>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</si>
  <si>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</si>
  <si>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</si>
  <si>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</si>
  <si>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</si>
  <si>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</si>
  <si>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</si>
  <si>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</si>
  <si>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</si>
  <si>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</si>
  <si>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</si>
  <si>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</si>
  <si>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</si>
  <si>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</si>
  <si>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</si>
  <si>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</si>
  <si>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</si>
  <si>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</si>
  <si>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</si>
  <si>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</si>
  <si>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</si>
  <si>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</si>
  <si>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</si>
  <si>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</si>
  <si>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</si>
  <si>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</si>
  <si>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</si>
  <si>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</si>
  <si>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</si>
  <si>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</si>
  <si>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</si>
  <si>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</si>
  <si>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</si>
  <si>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</si>
  <si>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</si>
  <si>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</si>
  <si>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</si>
  <si>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</si>
  <si>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</si>
  <si>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</si>
  <si>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</si>
  <si>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</si>
  <si>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</si>
  <si>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</si>
  <si>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</si>
  <si>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</si>
  <si>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</si>
  <si>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</si>
  <si>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</si>
  <si>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</si>
  <si>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</si>
  <si>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</si>
  <si>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</si>
  <si>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</si>
  <si>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</si>
  <si>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</si>
  <si>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</si>
  <si>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</si>
  <si>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</si>
  <si>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</si>
  <si>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</si>
  <si>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</si>
  <si>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</si>
  <si>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</si>
  <si>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</si>
  <si>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</si>
  <si>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</si>
  <si>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</si>
  <si>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</si>
  <si>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</si>
  <si>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</si>
  <si>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</si>
  <si>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Methyl-antranilate</t>
  </si>
  <si>
    <t>Lilyfore</t>
  </si>
  <si>
    <t>Damascone beta</t>
  </si>
  <si>
    <t>Veloutone</t>
  </si>
  <si>
    <t>Verdox</t>
  </si>
  <si>
    <t>82356-51-2</t>
  </si>
  <si>
    <t>Nirvanol</t>
  </si>
  <si>
    <t>1506-02-1</t>
  </si>
  <si>
    <t>Cetalox</t>
  </si>
  <si>
    <t>Tonalide</t>
  </si>
  <si>
    <t>Lamotrigine</t>
  </si>
  <si>
    <t>84057-84-1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</si>
  <si>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</si>
  <si>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</si>
  <si>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</si>
  <si>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</si>
  <si>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</si>
  <si>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</si>
  <si>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</si>
  <si>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</si>
  <si>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</si>
  <si>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</si>
  <si>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</si>
  <si>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</si>
  <si>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</si>
  <si>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</si>
  <si>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</si>
  <si>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</si>
  <si>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</si>
  <si>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</si>
  <si>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</si>
  <si>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</si>
  <si>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</si>
  <si>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</si>
  <si>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</si>
  <si>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</si>
  <si>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</si>
  <si>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</si>
  <si>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</si>
  <si>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</si>
  <si>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</si>
  <si>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</si>
  <si>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</si>
  <si>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</si>
  <si>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</si>
  <si>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</si>
  <si>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</si>
  <si>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</si>
  <si>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</si>
  <si>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</si>
  <si>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</si>
  <si>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</si>
  <si>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</si>
  <si>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</si>
  <si>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</si>
  <si>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</si>
  <si>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</si>
  <si>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</si>
  <si>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</si>
  <si>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97-53-0</t>
  </si>
  <si>
    <t>134-20-3</t>
  </si>
  <si>
    <t>285977-85-7</t>
  </si>
  <si>
    <t>23726-91-2</t>
  </si>
  <si>
    <t>14595-54-1</t>
  </si>
  <si>
    <t>3738-00-9</t>
  </si>
  <si>
    <t>21145-77-7</t>
  </si>
  <si>
    <t>B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</si>
  <si>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</si>
  <si>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</si>
  <si>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</si>
  <si>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</si>
  <si>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</si>
  <si>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</si>
  <si>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</si>
  <si>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</si>
  <si>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</si>
  <si>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</si>
  <si>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</si>
  <si>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</si>
  <si>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</si>
  <si>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</si>
  <si>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</si>
  <si>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</si>
  <si>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</si>
  <si>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</si>
  <si>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</si>
  <si>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</si>
  <si>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</si>
  <si>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</si>
  <si>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</si>
  <si>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</si>
  <si>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</si>
  <si>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</si>
  <si>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</si>
  <si>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</si>
  <si>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</si>
  <si>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</si>
  <si>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</si>
  <si>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</si>
  <si>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</si>
  <si>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</si>
  <si>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</si>
  <si>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</si>
  <si>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</si>
  <si>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</si>
  <si>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</si>
  <si>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</si>
  <si>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</si>
  <si>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</si>
  <si>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</si>
  <si>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</si>
  <si>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</si>
  <si>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</si>
  <si>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</si>
  <si>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</si>
  <si>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</si>
  <si>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</si>
  <si>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</si>
  <si>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</si>
  <si>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</si>
  <si>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</si>
  <si>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</si>
  <si>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</si>
  <si>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</si>
  <si>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</si>
  <si>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</si>
  <si>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</si>
  <si>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</si>
  <si>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</si>
  <si>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</si>
  <si>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</si>
  <si>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</si>
  <si>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</si>
  <si>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</si>
  <si>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</si>
  <si>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</si>
  <si>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</si>
  <si>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</si>
  <si>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</si>
  <si>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</si>
  <si>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</si>
  <si>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</si>
  <si>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</si>
  <si>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</si>
  <si>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</si>
  <si>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</si>
  <si>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</si>
  <si>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</si>
  <si>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</si>
  <si>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</si>
  <si>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</si>
  <si>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</si>
  <si>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</si>
  <si>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</si>
  <si>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</si>
  <si>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</si>
  <si>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</si>
  <si>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</si>
  <si>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</si>
  <si>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</si>
  <si>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</si>
  <si>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</si>
  <si>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</si>
  <si>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</si>
  <si>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</si>
  <si>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</si>
  <si>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</si>
  <si>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</si>
  <si>
    <t>A</t>
    <phoneticPr fontId="24" type="noConversion"/>
  </si>
  <si>
    <t>B</t>
    <phoneticPr fontId="24" type="noConversion"/>
  </si>
  <si>
    <t>N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</si>
</sst>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77" activePane="bottomLeft" state="frozen"/>
      <selection pane="bottomLeft" activeCell="A2" sqref="A2: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514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354</v>
      </c>
      <c r="B3" s="103" t="s">
        <v>355</v>
      </c>
      <c r="C3" s="127"/>
      <c r="D3" s="104">
        <v>256.08999999999997</v>
      </c>
      <c r="E3" s="104">
        <v>207</v>
      </c>
      <c r="F3" s="103"/>
      <c r="G3" s="104" t="s">
        <v>513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356</v>
      </c>
      <c r="B4" s="103" t="s">
        <v>357</v>
      </c>
      <c r="C4" s="127"/>
      <c r="D4" s="104">
        <v>296.14999999999998</v>
      </c>
      <c r="E4" s="104">
        <v>284</v>
      </c>
      <c r="F4" s="104"/>
      <c r="G4" s="104" t="s">
        <v>513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512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512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358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512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512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512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359</v>
      </c>
      <c r="B10" s="103" t="s">
        <v>360</v>
      </c>
      <c r="C10" s="127"/>
      <c r="D10" s="104">
        <v>278.33999999999997</v>
      </c>
      <c r="E10" s="104">
        <v>-35</v>
      </c>
      <c r="F10" s="103"/>
      <c r="G10" s="104" t="s">
        <v>514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361</v>
      </c>
      <c r="B11" s="103" t="s">
        <v>362</v>
      </c>
      <c r="C11" s="128"/>
      <c r="D11" s="104">
        <v>406.9</v>
      </c>
      <c r="E11" s="104">
        <v>166</v>
      </c>
      <c r="F11" s="103"/>
      <c r="G11" s="104" t="s">
        <v>512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363</v>
      </c>
      <c r="B12" s="103" t="s">
        <v>364</v>
      </c>
      <c r="C12" s="128"/>
      <c r="D12" s="104">
        <v>140.19</v>
      </c>
      <c r="E12" s="104">
        <v>96.3</v>
      </c>
      <c r="F12" s="104"/>
      <c r="G12" s="104" t="s">
        <v>513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514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365</v>
      </c>
      <c r="B14" s="103" t="s">
        <v>366</v>
      </c>
      <c r="C14" s="127"/>
      <c r="D14" s="104">
        <v>266.33999999999997</v>
      </c>
      <c r="E14" s="104">
        <v>174</v>
      </c>
      <c r="F14" s="104"/>
      <c r="G14" s="104" t="s">
        <v>512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367</v>
      </c>
      <c r="B15" s="103" t="s">
        <v>368</v>
      </c>
      <c r="C15" s="127"/>
      <c r="D15" s="104">
        <v>149.4</v>
      </c>
      <c r="E15" s="104">
        <v>19</v>
      </c>
      <c r="F15" s="103"/>
      <c r="G15" s="104" t="s">
        <v>514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369</v>
      </c>
      <c r="B16" s="103" t="s">
        <v>370</v>
      </c>
      <c r="C16" s="127"/>
      <c r="D16" s="104">
        <v>222.24</v>
      </c>
      <c r="E16" s="104">
        <v>-40.5</v>
      </c>
      <c r="F16" s="104"/>
      <c r="G16" s="104" t="s">
        <v>514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371</v>
      </c>
      <c r="B17" s="103" t="s">
        <v>372</v>
      </c>
      <c r="C17" s="128"/>
      <c r="D17" s="104">
        <v>128.56</v>
      </c>
      <c r="E17" s="104">
        <v>42.7</v>
      </c>
      <c r="F17" s="103"/>
      <c r="G17" s="104" t="s">
        <v>514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373</v>
      </c>
      <c r="B18" s="103" t="s">
        <v>374</v>
      </c>
      <c r="C18" s="127"/>
      <c r="D18" s="104">
        <v>391.29</v>
      </c>
      <c r="E18" s="104">
        <v>34</v>
      </c>
      <c r="F18" s="104"/>
      <c r="G18" s="104" t="s">
        <v>514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375</v>
      </c>
      <c r="B19" s="103" t="s">
        <v>376</v>
      </c>
      <c r="C19" s="127"/>
      <c r="D19" s="104">
        <v>93.13</v>
      </c>
      <c r="E19" s="104">
        <v>-6</v>
      </c>
      <c r="F19" s="103"/>
      <c r="G19" s="104" t="s">
        <v>514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377</v>
      </c>
      <c r="B20" s="103" t="s">
        <v>378</v>
      </c>
      <c r="C20" s="127"/>
      <c r="D20" s="104">
        <v>111.12</v>
      </c>
      <c r="E20" s="104">
        <v>-0.8</v>
      </c>
      <c r="F20" s="104"/>
      <c r="G20" s="104" t="s">
        <v>514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379</v>
      </c>
      <c r="B21" s="103" t="s">
        <v>380</v>
      </c>
      <c r="C21" s="128"/>
      <c r="D21" s="104">
        <v>197.45</v>
      </c>
      <c r="E21" s="104">
        <v>69</v>
      </c>
      <c r="F21" s="103"/>
      <c r="G21" s="104" t="s">
        <v>512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514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381</v>
      </c>
      <c r="B23" s="103" t="s">
        <v>382</v>
      </c>
      <c r="C23" s="128"/>
      <c r="D23" s="104">
        <v>107.15</v>
      </c>
      <c r="E23" s="104">
        <v>-57</v>
      </c>
      <c r="F23" s="103"/>
      <c r="G23" s="104" t="s">
        <v>514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383</v>
      </c>
      <c r="B24" s="103" t="s">
        <v>384</v>
      </c>
      <c r="C24" s="127"/>
      <c r="D24" s="104">
        <v>162.02000000000001</v>
      </c>
      <c r="E24" s="104">
        <v>72</v>
      </c>
      <c r="F24" s="103"/>
      <c r="G24" s="104" t="s">
        <v>514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385</v>
      </c>
      <c r="B25" s="103" t="s">
        <v>386</v>
      </c>
      <c r="C25" s="128"/>
      <c r="D25" s="104">
        <v>233.39</v>
      </c>
      <c r="E25" s="104">
        <v>25</v>
      </c>
      <c r="F25" s="103"/>
      <c r="G25" s="104" t="s">
        <v>514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387</v>
      </c>
      <c r="B26" s="103" t="s">
        <v>388</v>
      </c>
      <c r="C26" s="127"/>
      <c r="D26" s="104">
        <v>128.16999999999999</v>
      </c>
      <c r="E26" s="104">
        <v>80.2</v>
      </c>
      <c r="F26" s="104"/>
      <c r="G26" s="104" t="s">
        <v>514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389</v>
      </c>
      <c r="B27" s="103" t="s">
        <v>390</v>
      </c>
      <c r="C27" s="128"/>
      <c r="D27" s="104">
        <v>181.45</v>
      </c>
      <c r="E27" s="104">
        <v>17</v>
      </c>
      <c r="F27" s="103"/>
      <c r="G27" s="104" t="s">
        <v>514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391</v>
      </c>
      <c r="B28" s="103" t="s">
        <v>392</v>
      </c>
      <c r="C28" s="128"/>
      <c r="D28" s="104">
        <v>147</v>
      </c>
      <c r="E28" s="104">
        <v>-16.7</v>
      </c>
      <c r="F28" s="103"/>
      <c r="G28" s="104" t="s">
        <v>514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514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393</v>
      </c>
      <c r="B30" s="103" t="s">
        <v>394</v>
      </c>
      <c r="C30" s="127"/>
      <c r="D30" s="104">
        <v>165.83</v>
      </c>
      <c r="E30" s="104">
        <v>-22.3</v>
      </c>
      <c r="F30" s="103"/>
      <c r="G30" s="104" t="s">
        <v>514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514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403</v>
      </c>
      <c r="C32" s="127"/>
      <c r="D32" s="104">
        <v>164.2</v>
      </c>
      <c r="E32" s="104">
        <v>-9.1</v>
      </c>
      <c r="F32" s="103"/>
      <c r="G32" s="104" t="s">
        <v>514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344</v>
      </c>
      <c r="B33" s="103" t="s">
        <v>404</v>
      </c>
      <c r="C33" s="127"/>
      <c r="D33" s="104">
        <v>151.16</v>
      </c>
      <c r="E33" s="104">
        <v>24.5</v>
      </c>
      <c r="F33" s="103"/>
      <c r="G33" s="104" t="s">
        <v>514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345</v>
      </c>
      <c r="B34" s="103" t="s">
        <v>405</v>
      </c>
      <c r="C34" s="127"/>
      <c r="D34" s="104">
        <v>176.25</v>
      </c>
      <c r="E34" s="104">
        <v>50.8</v>
      </c>
      <c r="F34" s="103"/>
      <c r="G34" s="104" t="s">
        <v>514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346</v>
      </c>
      <c r="B35" s="103" t="s">
        <v>406</v>
      </c>
      <c r="C35" s="127"/>
      <c r="D35" s="104">
        <v>192.3</v>
      </c>
      <c r="E35" s="104">
        <v>17.5</v>
      </c>
      <c r="F35" s="103"/>
      <c r="G35" s="104" t="s">
        <v>514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347</v>
      </c>
      <c r="B36" s="103" t="s">
        <v>407</v>
      </c>
      <c r="C36" s="127"/>
      <c r="D36" s="104">
        <v>222.37</v>
      </c>
      <c r="E36" s="104">
        <v>40.4</v>
      </c>
      <c r="F36" s="103"/>
      <c r="G36" s="104" t="s">
        <v>514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348</v>
      </c>
      <c r="B37" s="103" t="s">
        <v>349</v>
      </c>
      <c r="C37" s="127"/>
      <c r="D37" s="104">
        <v>236.39</v>
      </c>
      <c r="E37" s="104">
        <v>60.7</v>
      </c>
      <c r="F37" s="103"/>
      <c r="G37" s="104" t="s">
        <v>514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350</v>
      </c>
      <c r="B38" s="103" t="s">
        <v>351</v>
      </c>
      <c r="C38" s="127"/>
      <c r="D38" s="104">
        <v>258.39999999999998</v>
      </c>
      <c r="E38" s="104">
        <v>54.5</v>
      </c>
      <c r="F38" s="104"/>
      <c r="G38" s="104" t="s">
        <v>514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352</v>
      </c>
      <c r="B39" s="103" t="s">
        <v>408</v>
      </c>
      <c r="C39" s="127"/>
      <c r="D39" s="104">
        <v>236.39</v>
      </c>
      <c r="E39" s="104">
        <v>60.7</v>
      </c>
      <c r="F39" s="103"/>
      <c r="G39" s="104" t="s">
        <v>514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353</v>
      </c>
      <c r="B40" s="103" t="s">
        <v>409</v>
      </c>
      <c r="C40" s="127"/>
      <c r="D40" s="104">
        <v>258.39999999999998</v>
      </c>
      <c r="E40" s="104">
        <v>54.5</v>
      </c>
      <c r="F40" s="103"/>
      <c r="G40" s="104" t="s">
        <v>514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512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514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514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514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514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514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514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514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514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514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514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514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514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514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514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514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514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514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514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514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480</v>
      </c>
      <c r="B61" s="103" t="s">
        <v>481</v>
      </c>
      <c r="C61" s="103"/>
      <c r="D61" s="104">
        <v>465.95</v>
      </c>
      <c r="E61" s="103">
        <v>199.43</v>
      </c>
      <c r="F61" s="103"/>
      <c r="G61" s="104" t="s">
        <v>513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482</v>
      </c>
      <c r="B62" s="103" t="s">
        <v>483</v>
      </c>
      <c r="C62" s="103"/>
      <c r="D62" s="104">
        <v>324.39</v>
      </c>
      <c r="E62" s="103">
        <v>153.36699999999999</v>
      </c>
      <c r="F62" s="103"/>
      <c r="G62" s="104" t="s">
        <v>514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484</v>
      </c>
      <c r="B63" s="103" t="s">
        <v>485</v>
      </c>
      <c r="C63" s="103"/>
      <c r="D63" s="104">
        <v>441.56</v>
      </c>
      <c r="E63" s="103">
        <v>230.64</v>
      </c>
      <c r="F63" s="103"/>
      <c r="G63" s="104" t="s">
        <v>513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486</v>
      </c>
      <c r="B64" s="103" t="s">
        <v>487</v>
      </c>
      <c r="C64" s="103"/>
      <c r="D64" s="104">
        <v>401.43</v>
      </c>
      <c r="E64" s="103">
        <v>266.85700000000003</v>
      </c>
      <c r="F64" s="103"/>
      <c r="G64" s="104" t="s">
        <v>512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488</v>
      </c>
      <c r="B65" s="103" t="s">
        <v>489</v>
      </c>
      <c r="C65" s="103"/>
      <c r="D65" s="104">
        <v>277.36</v>
      </c>
      <c r="E65" s="103">
        <v>174.12299999999999</v>
      </c>
      <c r="F65" s="103"/>
      <c r="G65" s="104" t="s">
        <v>513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490</v>
      </c>
      <c r="B66" s="103" t="s">
        <v>491</v>
      </c>
      <c r="C66" s="103"/>
      <c r="D66" s="104">
        <v>324.42</v>
      </c>
      <c r="E66" s="103">
        <v>180.1</v>
      </c>
      <c r="F66" s="103"/>
      <c r="G66" s="104" t="s">
        <v>513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492</v>
      </c>
      <c r="B67" s="103" t="s">
        <v>493</v>
      </c>
      <c r="C67" s="103"/>
      <c r="D67" s="104">
        <v>313.42</v>
      </c>
      <c r="E67" s="103">
        <v>177.47300000000001</v>
      </c>
      <c r="F67" s="103"/>
      <c r="G67" s="104" t="s">
        <v>513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494</v>
      </c>
      <c r="B68" s="103" t="s">
        <v>495</v>
      </c>
      <c r="C68" s="103"/>
      <c r="D68" s="104">
        <v>272.36</v>
      </c>
      <c r="E68" s="104">
        <v>165.84</v>
      </c>
      <c r="F68" s="104"/>
      <c r="G68" s="104" t="s">
        <v>513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496</v>
      </c>
      <c r="B69" s="103" t="s">
        <v>497</v>
      </c>
      <c r="C69" s="103"/>
      <c r="D69" s="104">
        <v>429.59</v>
      </c>
      <c r="E69" s="103">
        <v>241.96700000000001</v>
      </c>
      <c r="F69" s="103"/>
      <c r="G69" s="104" t="s">
        <v>514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498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512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499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512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500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512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501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512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502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512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503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512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504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512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505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512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506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512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507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512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508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512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509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512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510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512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511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512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395</v>
      </c>
      <c r="B84" s="103" t="s">
        <v>396</v>
      </c>
      <c r="C84" s="103"/>
      <c r="D84" s="104">
        <v>1202.6099999999999</v>
      </c>
      <c r="E84" s="104">
        <v>150</v>
      </c>
      <c r="F84" s="104"/>
      <c r="G84" s="104" t="s">
        <v>514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397</v>
      </c>
      <c r="B85" s="103" t="s">
        <v>398</v>
      </c>
      <c r="C85" s="103"/>
      <c r="D85" s="104">
        <v>318.86</v>
      </c>
      <c r="E85" s="104">
        <v>151</v>
      </c>
      <c r="F85" s="104"/>
      <c r="G85" s="104" t="s">
        <v>513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399</v>
      </c>
      <c r="B86" s="103" t="s">
        <v>400</v>
      </c>
      <c r="C86" s="103"/>
      <c r="D86" s="104">
        <v>485.79</v>
      </c>
      <c r="E86" s="104">
        <v>152</v>
      </c>
      <c r="F86" s="104"/>
      <c r="G86" s="104" t="s">
        <v>514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401</v>
      </c>
      <c r="B87" s="103" t="s">
        <v>402</v>
      </c>
      <c r="C87" s="103"/>
      <c r="D87" s="104">
        <v>564.69000000000005</v>
      </c>
      <c r="E87" s="104">
        <v>177</v>
      </c>
      <c r="F87" s="104"/>
      <c r="G87" s="104" t="s">
        <v>514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514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513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512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514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514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512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513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513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514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514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514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514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514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514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514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512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512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514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513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513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513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513</v>
      </c>
      <c r="H109" s="10">
        <v>9</v>
      </c>
      <c r="I109" s="107">
        <v>2.62</v>
      </c>
      <c r="T109" s="107">
        <v>-12.3</v>
      </c>
      <c r="V109" s="103">
        <v>174.7834</v>
      </c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512</v>
      </c>
      <c r="H110" s="10">
        <v>7.3</v>
      </c>
      <c r="I110" s="107">
        <v>-0.47</v>
      </c>
      <c r="T110" s="107">
        <v>-12.7</v>
      </c>
      <c r="V110" s="103">
        <v>96.216639999999998</v>
      </c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512</v>
      </c>
      <c r="H111" s="10">
        <v>4.5</v>
      </c>
      <c r="I111" s="107">
        <v>-1.53</v>
      </c>
      <c r="T111" s="107">
        <v>-28.9</v>
      </c>
      <c r="V111" s="103">
        <v>501868.7</v>
      </c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514</v>
      </c>
      <c r="I112" s="107">
        <v>-0.89500000000000002</v>
      </c>
      <c r="T112" s="107">
        <v>-15</v>
      </c>
      <c r="V112" s="103">
        <v>1034460</v>
      </c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514</v>
      </c>
      <c r="I113" s="107">
        <v>0.46</v>
      </c>
      <c r="T113" s="107">
        <v>-10.9</v>
      </c>
      <c r="V113" s="103">
        <v>14224.156000000001</v>
      </c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512</v>
      </c>
      <c r="H114" s="10">
        <v>9.1999999999999993</v>
      </c>
      <c r="I114" s="107">
        <v>-1.39</v>
      </c>
      <c r="T114" s="107">
        <v>-18</v>
      </c>
      <c r="V114" s="103">
        <v>264022.08</v>
      </c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512</v>
      </c>
      <c r="H115" s="10">
        <v>3.3</v>
      </c>
      <c r="I115" s="107">
        <v>1.46</v>
      </c>
      <c r="T115" s="107">
        <v>-10.199999999999999</v>
      </c>
      <c r="V115" s="103">
        <v>15754.66</v>
      </c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513</v>
      </c>
      <c r="H116" s="10">
        <v>9.1999999999999993</v>
      </c>
      <c r="I116" s="107">
        <v>4.4800000000000004</v>
      </c>
      <c r="T116" s="107">
        <v>-16.2</v>
      </c>
      <c r="V116" s="103">
        <v>2.2957299999999998</v>
      </c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514</v>
      </c>
      <c r="I117" s="107">
        <v>2.48</v>
      </c>
      <c r="T117" s="107">
        <v>-11.6</v>
      </c>
      <c r="V117" s="103">
        <v>82.940770000000001</v>
      </c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autoFilter ref="A1:Z117" xr:uid="{00000000-0001-0000-0100-000000000000}"/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4.7E-2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3.9199999999999999E-2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3.9199999999999999E-2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2.6133333333333331E-4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2.6133333333333334E-6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1.8620000000000001</v>
      </c>
      <c r="K5" s="136">
        <v>1.96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0.74480000000000002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0.37240000000000001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0.1862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3.9199999999999999E-2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3.1359999999999999E-2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1.0976E-2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6.0759999999999998E-3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3.9199999999999999E-3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4.5079999999999999E-3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2.3519999999999999E-3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3.9199999999999999E-2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8.2224188206409465E-8</v>
      </c>
      <c r="J2" s="67" t="s">
        <v>231</v>
      </c>
      <c r="K2" s="68">
        <v>9.3846269585967255E-4</v>
      </c>
      <c r="L2" s="67" t="s">
        <v>231</v>
      </c>
      <c r="M2" s="68">
        <v>1.1525368404293951E-3</v>
      </c>
      <c r="N2" s="67" t="s">
        <v>231</v>
      </c>
      <c r="P2" s="109" t="s">
        <v>188</v>
      </c>
    </row>
    <row r="3" spans="1:17">
      <c r="A3" s="65" t="s">
        <v>354</v>
      </c>
      <c r="B3" s="66" t="s">
        <v>355</v>
      </c>
      <c r="D3" s="66" t="s">
        <v>410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1.2728424493488614E-5</v>
      </c>
      <c r="J3" s="67" t="s">
        <v>231</v>
      </c>
      <c r="K3" s="68">
        <v>6.0891537326075275E-3</v>
      </c>
      <c r="L3" s="67" t="s">
        <v>231</v>
      </c>
      <c r="M3" s="68">
        <v>0.3907310330619847</v>
      </c>
      <c r="N3" s="67" t="s">
        <v>231</v>
      </c>
      <c r="P3" s="109" t="s">
        <v>189</v>
      </c>
    </row>
    <row r="4" spans="1:17">
      <c r="A4" s="65" t="s">
        <v>356</v>
      </c>
      <c r="B4" s="66" t="s">
        <v>357</v>
      </c>
      <c r="D4" s="66" t="s">
        <v>410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9.1355281748474871E-15</v>
      </c>
      <c r="J4" s="67" t="s">
        <v>231</v>
      </c>
      <c r="K4" s="68">
        <v>1.0563845978666807E-3</v>
      </c>
      <c r="L4" s="67" t="s">
        <v>231</v>
      </c>
      <c r="M4" s="68">
        <v>3.0500958177561042E-3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2.0528685120152177E-10</v>
      </c>
      <c r="J5" s="67" t="s">
        <v>231</v>
      </c>
      <c r="K5" s="68">
        <v>1.4042065599694628E-3</v>
      </c>
      <c r="L5" s="67" t="s">
        <v>231</v>
      </c>
      <c r="M5" s="68">
        <v>7.5648851090509173E-2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8.9266337129650108E-7</v>
      </c>
      <c r="J6" s="67" t="s">
        <v>231</v>
      </c>
      <c r="K6" s="68">
        <v>1.9386294911471959E-3</v>
      </c>
      <c r="L6" s="67" t="s">
        <v>231</v>
      </c>
      <c r="M6" s="68">
        <v>0.16272644207643647</v>
      </c>
      <c r="N6" s="67" t="s">
        <v>231</v>
      </c>
      <c r="P6" s="109" t="s">
        <v>191</v>
      </c>
    </row>
    <row r="7" spans="1:17">
      <c r="A7" s="65" t="s">
        <v>358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7.9687028974761692E-6</v>
      </c>
      <c r="J7" s="67" t="s">
        <v>231</v>
      </c>
      <c r="K7" s="68">
        <v>3.642482730915862E-3</v>
      </c>
      <c r="L7" s="67" t="s">
        <v>231</v>
      </c>
      <c r="M7" s="68">
        <v>0.42487311935046385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1.7258111171068677E-8</v>
      </c>
      <c r="J8" s="67" t="s">
        <v>231</v>
      </c>
      <c r="K8" s="68">
        <v>2.3306928544583982E-3</v>
      </c>
      <c r="L8" s="67" t="s">
        <v>231</v>
      </c>
      <c r="M8" s="68">
        <v>0.22832582705309709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6.4138934484159214E-7</v>
      </c>
      <c r="J9" s="67" t="s">
        <v>231</v>
      </c>
      <c r="K9" s="68">
        <v>1.3131560935114388E-3</v>
      </c>
      <c r="L9" s="67" t="s">
        <v>231</v>
      </c>
      <c r="M9" s="68">
        <v>6.0359315523522541E-2</v>
      </c>
      <c r="N9" s="67" t="s">
        <v>231</v>
      </c>
      <c r="P9" s="109" t="s">
        <v>194</v>
      </c>
    </row>
    <row r="10" spans="1:17">
      <c r="A10" s="65" t="s">
        <v>359</v>
      </c>
      <c r="B10" s="66" t="s">
        <v>360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1.4318937351083961E-3</v>
      </c>
      <c r="J10" s="67" t="s">
        <v>231</v>
      </c>
      <c r="K10" s="68">
        <v>4.429746331333146E-2</v>
      </c>
      <c r="L10" s="67" t="s">
        <v>231</v>
      </c>
      <c r="M10" s="68">
        <v>4.6965577971759531</v>
      </c>
      <c r="N10" s="67" t="s">
        <v>231</v>
      </c>
    </row>
    <row r="11" spans="1:17" ht="13.15">
      <c r="A11" s="65" t="s">
        <v>361</v>
      </c>
      <c r="B11" s="66" t="s">
        <v>362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4.5499140100797107E-8</v>
      </c>
      <c r="J11" s="67" t="s">
        <v>231</v>
      </c>
      <c r="K11" s="68">
        <v>0.36886767628757378</v>
      </c>
      <c r="L11" s="67" t="s">
        <v>231</v>
      </c>
      <c r="M11" s="68">
        <v>45.841510049995406</v>
      </c>
      <c r="N11" s="67" t="s">
        <v>232</v>
      </c>
      <c r="P11" s="15" t="s">
        <v>195</v>
      </c>
    </row>
    <row r="12" spans="1:17">
      <c r="A12" s="65" t="s">
        <v>363</v>
      </c>
      <c r="B12" s="66" t="s">
        <v>364</v>
      </c>
      <c r="D12" s="66" t="s">
        <v>410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2.442903574996563E-8</v>
      </c>
      <c r="J12" s="67" t="s">
        <v>231</v>
      </c>
      <c r="K12" s="68">
        <v>8.8034074331694019E-4</v>
      </c>
      <c r="L12" s="67" t="s">
        <v>231</v>
      </c>
      <c r="M12" s="68">
        <v>6.2587844324633201E-5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1.4104806475513021E-3</v>
      </c>
      <c r="J13" s="67" t="s">
        <v>231</v>
      </c>
      <c r="K13" s="68">
        <v>3.3033454622631475E-3</v>
      </c>
      <c r="L13" s="67" t="s">
        <v>231</v>
      </c>
      <c r="M13" s="68">
        <v>0.26914360893203731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365</v>
      </c>
      <c r="B14" s="66" t="s">
        <v>366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8.6322129228824841E-8</v>
      </c>
      <c r="J14" s="67" t="s">
        <v>231</v>
      </c>
      <c r="K14" s="68">
        <v>1.1258477458962704E-2</v>
      </c>
      <c r="L14" s="67" t="s">
        <v>231</v>
      </c>
      <c r="M14" s="68">
        <v>1.5474290848564731</v>
      </c>
      <c r="N14" s="67" t="s">
        <v>231</v>
      </c>
      <c r="P14" s="109" t="s">
        <v>229</v>
      </c>
      <c r="Q14" s="103">
        <f>COUNTIF(N2:N50000,"Yes")</f>
        <v>15</v>
      </c>
    </row>
    <row r="15" spans="1:17" ht="15">
      <c r="A15" s="65" t="s">
        <v>367</v>
      </c>
      <c r="B15" s="66" t="s">
        <v>368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1.2016037556939748E-6</v>
      </c>
      <c r="J15" s="67" t="s">
        <v>231</v>
      </c>
      <c r="K15" s="68">
        <v>1.121686230343524E-3</v>
      </c>
      <c r="L15" s="67" t="s">
        <v>231</v>
      </c>
      <c r="M15" s="68">
        <v>3.2761162317133628E-2</v>
      </c>
      <c r="N15" s="67" t="s">
        <v>231</v>
      </c>
      <c r="P15" s="109" t="s">
        <v>230</v>
      </c>
      <c r="Q15" s="103">
        <f>COUNTIF(M2:M50000,"&gt;=60")</f>
        <v>1</v>
      </c>
    </row>
    <row r="16" spans="1:17">
      <c r="A16" s="65" t="s">
        <v>369</v>
      </c>
      <c r="B16" s="66" t="s">
        <v>370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1.2891298446553566E-4</v>
      </c>
      <c r="J16" s="67" t="s">
        <v>231</v>
      </c>
      <c r="K16" s="68">
        <v>3.7284820935571282E-3</v>
      </c>
      <c r="L16" s="67" t="s">
        <v>231</v>
      </c>
      <c r="M16" s="68">
        <v>0.31590490754462797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371</v>
      </c>
      <c r="B17" s="66" t="s">
        <v>372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2.8222491690236845E-6</v>
      </c>
      <c r="J17" s="67" t="s">
        <v>231</v>
      </c>
      <c r="K17" s="68">
        <v>3.4483704232464159E-3</v>
      </c>
      <c r="L17" s="67" t="s">
        <v>231</v>
      </c>
      <c r="M17" s="68">
        <v>0.28530494634617815</v>
      </c>
      <c r="N17" s="67" t="s">
        <v>231</v>
      </c>
      <c r="Q17" s="103">
        <f>COUNT(I2:I50000)</f>
        <v>116</v>
      </c>
      <c r="R17" s="111"/>
    </row>
    <row r="18" spans="1:18">
      <c r="A18" s="65" t="s">
        <v>373</v>
      </c>
      <c r="B18" s="66" t="s">
        <v>374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1.9069012831916966E-2</v>
      </c>
      <c r="J18" s="67" t="s">
        <v>232</v>
      </c>
      <c r="K18" s="68">
        <v>0.25158962668518664</v>
      </c>
      <c r="L18" s="67" t="s">
        <v>231</v>
      </c>
      <c r="M18" s="68">
        <v>26.995092104060603</v>
      </c>
      <c r="N18" s="67" t="s">
        <v>232</v>
      </c>
      <c r="R18" s="111"/>
    </row>
    <row r="19" spans="1:18">
      <c r="A19" s="65" t="s">
        <v>375</v>
      </c>
      <c r="B19" s="66" t="s">
        <v>376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1.9032285372018193E-6</v>
      </c>
      <c r="J19" s="67" t="s">
        <v>231</v>
      </c>
      <c r="K19" s="68">
        <v>9.9846766613254177E-4</v>
      </c>
      <c r="L19" s="67" t="s">
        <v>231</v>
      </c>
      <c r="M19" s="68">
        <v>1.0758326866920664E-2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377</v>
      </c>
      <c r="B20" s="66" t="s">
        <v>378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5.4315772508803638E-6</v>
      </c>
      <c r="J20" s="67" t="s">
        <v>231</v>
      </c>
      <c r="K20" s="68">
        <v>1.0560574078804805E-3</v>
      </c>
      <c r="L20" s="67" t="s">
        <v>231</v>
      </c>
      <c r="M20" s="68">
        <v>1.8872108767080176E-2</v>
      </c>
      <c r="N20" s="67" t="s">
        <v>231</v>
      </c>
      <c r="Q20" s="111"/>
      <c r="R20" s="111"/>
    </row>
    <row r="21" spans="1:18">
      <c r="A21" s="65" t="s">
        <v>379</v>
      </c>
      <c r="B21" s="66" t="s">
        <v>380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9.1653422058811021E-6</v>
      </c>
      <c r="J21" s="67" t="s">
        <v>231</v>
      </c>
      <c r="K21" s="68">
        <v>9.3140712279874884E-3</v>
      </c>
      <c r="L21" s="67" t="s">
        <v>231</v>
      </c>
      <c r="M21" s="68">
        <v>0.99741373790863608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4.1463784552004427E-8</v>
      </c>
      <c r="J22" s="67" t="s">
        <v>231</v>
      </c>
      <c r="K22" s="68">
        <v>8.9375985952885959E-4</v>
      </c>
      <c r="L22" s="67" t="s">
        <v>231</v>
      </c>
      <c r="M22" s="68">
        <v>1.9073931356499388E-3</v>
      </c>
      <c r="N22" s="67" t="s">
        <v>231</v>
      </c>
      <c r="Q22" s="111"/>
      <c r="R22" s="111"/>
    </row>
    <row r="23" spans="1:18">
      <c r="A23" s="65" t="s">
        <v>381</v>
      </c>
      <c r="B23" s="66" t="s">
        <v>382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1.2618179576277297E-5</v>
      </c>
      <c r="J23" s="67" t="s">
        <v>231</v>
      </c>
      <c r="K23" s="68">
        <v>1.3393136825019722E-3</v>
      </c>
      <c r="L23" s="67" t="s">
        <v>231</v>
      </c>
      <c r="M23" s="68">
        <v>5.6662905028846224E-2</v>
      </c>
      <c r="N23" s="67" t="s">
        <v>231</v>
      </c>
      <c r="Q23" s="111"/>
      <c r="R23" s="111"/>
    </row>
    <row r="24" spans="1:18">
      <c r="A24" s="65" t="s">
        <v>383</v>
      </c>
      <c r="B24" s="66" t="s">
        <v>384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2.8180224031684135E-4</v>
      </c>
      <c r="J24" s="67" t="s">
        <v>231</v>
      </c>
      <c r="K24" s="68">
        <v>5.5207916190462072E-3</v>
      </c>
      <c r="L24" s="67" t="s">
        <v>231</v>
      </c>
      <c r="M24" s="68">
        <v>0.5119007702484869</v>
      </c>
      <c r="N24" s="67" t="s">
        <v>231</v>
      </c>
      <c r="Q24" s="111"/>
      <c r="R24" s="111"/>
    </row>
    <row r="25" spans="1:18">
      <c r="A25" s="65" t="s">
        <v>385</v>
      </c>
      <c r="B25" s="66" t="s">
        <v>386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6.3786930006402088E-3</v>
      </c>
      <c r="J25" s="67" t="s">
        <v>231</v>
      </c>
      <c r="K25" s="68">
        <v>0.22611399581831504</v>
      </c>
      <c r="L25" s="67" t="s">
        <v>231</v>
      </c>
      <c r="M25" s="68">
        <v>24.237553096284554</v>
      </c>
      <c r="N25" s="67" t="s">
        <v>232</v>
      </c>
      <c r="Q25" s="111"/>
      <c r="R25" s="111"/>
    </row>
    <row r="26" spans="1:18">
      <c r="A26" s="65" t="s">
        <v>387</v>
      </c>
      <c r="B26" s="66" t="s">
        <v>388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4.2913379339016634E-4</v>
      </c>
      <c r="J26" s="67" t="s">
        <v>231</v>
      </c>
      <c r="K26" s="68">
        <v>1.0369168198488583E-2</v>
      </c>
      <c r="L26" s="67" t="s">
        <v>231</v>
      </c>
      <c r="M26" s="68">
        <v>1.0590038934080674</v>
      </c>
      <c r="N26" s="67" t="s">
        <v>231</v>
      </c>
      <c r="Q26" s="111"/>
      <c r="R26" s="111"/>
    </row>
    <row r="27" spans="1:18">
      <c r="A27" s="65" t="s">
        <v>389</v>
      </c>
      <c r="B27" s="66" t="s">
        <v>390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9.2605497685554239E-5</v>
      </c>
      <c r="J27" s="67" t="s">
        <v>231</v>
      </c>
      <c r="K27" s="68">
        <v>4.3506631128065907E-3</v>
      </c>
      <c r="L27" s="67" t="s">
        <v>231</v>
      </c>
      <c r="M27" s="68">
        <v>0.45742465019323097</v>
      </c>
      <c r="N27" s="67" t="s">
        <v>231</v>
      </c>
      <c r="Q27" s="111"/>
      <c r="R27" s="111"/>
    </row>
    <row r="28" spans="1:18">
      <c r="A28" s="65" t="s">
        <v>391</v>
      </c>
      <c r="B28" s="66" t="s">
        <v>392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3.5857530071004823E-5</v>
      </c>
      <c r="J28" s="67" t="s">
        <v>231</v>
      </c>
      <c r="K28" s="68">
        <v>1.779985488278133E-3</v>
      </c>
      <c r="L28" s="67" t="s">
        <v>231</v>
      </c>
      <c r="M28" s="68">
        <v>0.1834120293960885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3.2823050113078457E-7</v>
      </c>
      <c r="J29" s="67" t="s">
        <v>231</v>
      </c>
      <c r="K29" s="68">
        <v>8.9141255553144909E-5</v>
      </c>
      <c r="L29" s="67" t="s">
        <v>231</v>
      </c>
      <c r="M29" s="68">
        <v>1.9259356283460208E-3</v>
      </c>
      <c r="N29" s="67" t="s">
        <v>231</v>
      </c>
      <c r="Q29" s="111"/>
      <c r="R29" s="111"/>
    </row>
    <row r="30" spans="1:18">
      <c r="A30" s="65" t="s">
        <v>393</v>
      </c>
      <c r="B30" s="66" t="s">
        <v>394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7.8132986011275002E-6</v>
      </c>
      <c r="J30" s="67" t="s">
        <v>231</v>
      </c>
      <c r="K30" s="68">
        <v>6.2070104186468433E-4</v>
      </c>
      <c r="L30" s="67" t="s">
        <v>231</v>
      </c>
      <c r="M30" s="68">
        <v>6.3840124081652849E-2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1.1545031084729018E-7</v>
      </c>
      <c r="J31" s="67" t="s">
        <v>231</v>
      </c>
      <c r="K31" s="68">
        <v>1.0456651589892066E-5</v>
      </c>
      <c r="L31" s="67" t="s">
        <v>231</v>
      </c>
      <c r="M31" s="68">
        <v>1.0435686114710753E-3</v>
      </c>
      <c r="N31" s="67" t="s">
        <v>231</v>
      </c>
    </row>
    <row r="32" spans="1:18">
      <c r="A32" s="65" t="s">
        <v>343</v>
      </c>
      <c r="B32" s="66" t="s">
        <v>403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1.2347639206960228E-4</v>
      </c>
      <c r="J32" s="67" t="s">
        <v>231</v>
      </c>
      <c r="K32" s="68">
        <v>2.8862255715768137E-3</v>
      </c>
      <c r="L32" s="67" t="s">
        <v>231</v>
      </c>
      <c r="M32" s="68">
        <v>0.22340697148661157</v>
      </c>
      <c r="N32" s="67" t="s">
        <v>231</v>
      </c>
    </row>
    <row r="33" spans="1:18">
      <c r="A33" s="65" t="s">
        <v>344</v>
      </c>
      <c r="B33" s="66" t="s">
        <v>404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3.6126239453885471E-5</v>
      </c>
      <c r="J33" s="67" t="s">
        <v>231</v>
      </c>
      <c r="K33" s="68">
        <v>1.7597102774977564E-3</v>
      </c>
      <c r="L33" s="67" t="s">
        <v>231</v>
      </c>
      <c r="M33" s="68">
        <v>9.7930773867338006E-2</v>
      </c>
      <c r="N33" s="67" t="s">
        <v>231</v>
      </c>
      <c r="O33" s="65"/>
      <c r="P33" s="102"/>
    </row>
    <row r="34" spans="1:18">
      <c r="A34" s="65" t="s">
        <v>345</v>
      </c>
      <c r="B34" s="66" t="s">
        <v>405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2.2752011498083612E-4</v>
      </c>
      <c r="J34" s="67" t="s">
        <v>231</v>
      </c>
      <c r="K34" s="68">
        <v>1.2872365185096549E-2</v>
      </c>
      <c r="L34" s="67" t="s">
        <v>231</v>
      </c>
      <c r="M34" s="68">
        <v>1.308114085743459</v>
      </c>
      <c r="N34" s="67" t="s">
        <v>231</v>
      </c>
      <c r="O34" s="65"/>
      <c r="P34" s="102"/>
    </row>
    <row r="35" spans="1:18">
      <c r="A35" s="65" t="s">
        <v>346</v>
      </c>
      <c r="B35" s="66" t="s">
        <v>406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2.3020987608753205E-3</v>
      </c>
      <c r="J35" s="67" t="s">
        <v>231</v>
      </c>
      <c r="K35" s="68">
        <v>3.5052708600855839E-2</v>
      </c>
      <c r="L35" s="67" t="s">
        <v>231</v>
      </c>
      <c r="M35" s="68">
        <v>3.7035215582217873</v>
      </c>
      <c r="N35" s="67" t="s">
        <v>231</v>
      </c>
      <c r="O35" s="65"/>
      <c r="P35" s="102"/>
    </row>
    <row r="36" spans="1:18">
      <c r="A36" s="65" t="s">
        <v>347</v>
      </c>
      <c r="B36" s="66" t="s">
        <v>407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5.7455002433580149E-3</v>
      </c>
      <c r="J36" s="67" t="s">
        <v>231</v>
      </c>
      <c r="K36" s="68">
        <v>9.5014545780044007E-2</v>
      </c>
      <c r="L36" s="67" t="s">
        <v>231</v>
      </c>
      <c r="M36" s="68">
        <v>10.1236114922526</v>
      </c>
      <c r="N36" s="67" t="s">
        <v>231</v>
      </c>
      <c r="O36" s="65"/>
      <c r="P36" s="102"/>
    </row>
    <row r="37" spans="1:18">
      <c r="A37" s="65" t="s">
        <v>348</v>
      </c>
      <c r="B37" s="66" t="s">
        <v>349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4.0583882489839945E-3</v>
      </c>
      <c r="J37" s="67" t="s">
        <v>231</v>
      </c>
      <c r="K37" s="68">
        <v>0.24117062803726461</v>
      </c>
      <c r="L37" s="67" t="s">
        <v>231</v>
      </c>
      <c r="M37" s="68">
        <v>25.870042784371169</v>
      </c>
      <c r="N37" s="67" t="s">
        <v>232</v>
      </c>
      <c r="O37" s="65"/>
      <c r="P37" s="102"/>
    </row>
    <row r="38" spans="1:18">
      <c r="A38" s="65" t="s">
        <v>350</v>
      </c>
      <c r="B38" s="66" t="s">
        <v>351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2.0769761858486177E-3</v>
      </c>
      <c r="J38" s="67" t="s">
        <v>231</v>
      </c>
      <c r="K38" s="68">
        <v>0.14213361436461344</v>
      </c>
      <c r="L38" s="67" t="s">
        <v>231</v>
      </c>
      <c r="M38" s="68">
        <v>15.182354167279817</v>
      </c>
      <c r="N38" s="67" t="s">
        <v>231</v>
      </c>
      <c r="O38" s="65"/>
      <c r="P38" s="102"/>
    </row>
    <row r="39" spans="1:18">
      <c r="A39" s="65" t="s">
        <v>352</v>
      </c>
      <c r="B39" s="66" t="s">
        <v>408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1.1233938383154087E-3</v>
      </c>
      <c r="J39" s="67" t="s">
        <v>231</v>
      </c>
      <c r="K39" s="68">
        <v>9.3445507566771072E-2</v>
      </c>
      <c r="L39" s="67" t="s">
        <v>231</v>
      </c>
      <c r="M39" s="68">
        <v>9.963844703033736</v>
      </c>
      <c r="N39" s="67" t="s">
        <v>231</v>
      </c>
      <c r="O39" s="65"/>
      <c r="P39" s="102"/>
    </row>
    <row r="40" spans="1:18">
      <c r="A40" s="65" t="s">
        <v>353</v>
      </c>
      <c r="B40" s="66" t="s">
        <v>409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2.0769761858486177E-3</v>
      </c>
      <c r="J40" s="67" t="s">
        <v>231</v>
      </c>
      <c r="K40" s="68">
        <v>0.14213361436461344</v>
      </c>
      <c r="L40" s="67" t="s">
        <v>231</v>
      </c>
      <c r="M40" s="68">
        <v>15.182354167279817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8.7870904756929075E-9</v>
      </c>
      <c r="J41" s="67" t="s">
        <v>231</v>
      </c>
      <c r="K41" s="68">
        <v>9.7283167082283354E-4</v>
      </c>
      <c r="L41" s="67" t="s">
        <v>231</v>
      </c>
      <c r="M41" s="68">
        <v>5.6912093988722139E-3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7.3867073452172092E-3</v>
      </c>
      <c r="J42" s="67" t="s">
        <v>231</v>
      </c>
      <c r="K42" s="68">
        <v>0.24646385247805369</v>
      </c>
      <c r="L42" s="67" t="s">
        <v>231</v>
      </c>
      <c r="M42" s="68">
        <v>26.445106205797337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3.3153103975391562E-3</v>
      </c>
      <c r="J43" s="67" t="s">
        <v>231</v>
      </c>
      <c r="K43" s="68">
        <v>6.092789414531786E-3</v>
      </c>
      <c r="L43" s="67" t="s">
        <v>231</v>
      </c>
      <c r="M43" s="68">
        <v>0.57391657655830441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1.059808335395742E-2</v>
      </c>
      <c r="J44" s="67" t="s">
        <v>232</v>
      </c>
      <c r="K44" s="68">
        <v>6.7174268659189934E-2</v>
      </c>
      <c r="L44" s="67" t="s">
        <v>231</v>
      </c>
      <c r="M44" s="68">
        <v>7.1420186221157858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2.1393941251615617E-2</v>
      </c>
      <c r="J45" s="67" t="s">
        <v>232</v>
      </c>
      <c r="K45" s="68">
        <v>0.30579106502902159</v>
      </c>
      <c r="L45" s="67" t="s">
        <v>231</v>
      </c>
      <c r="M45" s="68">
        <v>32.884289921396224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3.0070863477128975E-3</v>
      </c>
      <c r="J46" s="67" t="s">
        <v>231</v>
      </c>
      <c r="K46" s="68">
        <v>0.25985055580819083</v>
      </c>
      <c r="L46" s="67" t="s">
        <v>231</v>
      </c>
      <c r="M46" s="68">
        <v>27.89065248883081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5.5571734384091557E-3</v>
      </c>
      <c r="J47" s="142" t="s">
        <v>231</v>
      </c>
      <c r="K47" s="143">
        <v>0.19805744075091322</v>
      </c>
      <c r="L47" s="142" t="s">
        <v>231</v>
      </c>
      <c r="M47" s="143">
        <v>21.20653505425426</v>
      </c>
      <c r="N47" s="142" t="s">
        <v>232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9.6008034451353541E-4</v>
      </c>
      <c r="J48" s="142" t="s">
        <v>231</v>
      </c>
      <c r="K48" s="143">
        <v>2.5564235639324636E-2</v>
      </c>
      <c r="L48" s="142" t="s">
        <v>231</v>
      </c>
      <c r="M48" s="143">
        <v>2.6761790478221426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6.3863615827294169E-3</v>
      </c>
      <c r="J49" s="142" t="s">
        <v>231</v>
      </c>
      <c r="K49" s="143">
        <v>7.1932356604178807E-2</v>
      </c>
      <c r="L49" s="142" t="s">
        <v>231</v>
      </c>
      <c r="M49" s="143">
        <v>7.6511329136534139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1.5741078672572623E-3</v>
      </c>
      <c r="J50" s="142" t="s">
        <v>231</v>
      </c>
      <c r="K50" s="143">
        <v>8.0298710917916516E-2</v>
      </c>
      <c r="L50" s="142" t="s">
        <v>231</v>
      </c>
      <c r="M50" s="143">
        <v>8.5468247614773727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2.3814613454964419E-3</v>
      </c>
      <c r="J51" s="142" t="s">
        <v>231</v>
      </c>
      <c r="K51" s="143">
        <v>3.0816808431032936E-2</v>
      </c>
      <c r="L51" s="142" t="s">
        <v>231</v>
      </c>
      <c r="M51" s="143">
        <v>3.2419943939401445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4.5391100787420036E-2</v>
      </c>
      <c r="J52" s="142" t="s">
        <v>232</v>
      </c>
      <c r="K52" s="143">
        <v>2.6058436462596795E-2</v>
      </c>
      <c r="L52" s="142" t="s">
        <v>231</v>
      </c>
      <c r="M52" s="143">
        <v>2.7294236416578417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1.5152883119108961E-2</v>
      </c>
      <c r="J53" s="142" t="s">
        <v>232</v>
      </c>
      <c r="K53" s="143">
        <v>0.11068184952098967</v>
      </c>
      <c r="L53" s="142" t="s">
        <v>231</v>
      </c>
      <c r="M53" s="143">
        <v>11.803865782472204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7.5442914134267788E-3</v>
      </c>
      <c r="J54" s="67" t="s">
        <v>231</v>
      </c>
      <c r="K54" s="68">
        <v>7.6047932831977652E-2</v>
      </c>
      <c r="L54" s="67" t="s">
        <v>231</v>
      </c>
      <c r="M54" s="68">
        <v>8.0916637377073783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5.8280439593159268E-3</v>
      </c>
      <c r="J55" s="67" t="s">
        <v>231</v>
      </c>
      <c r="K55" s="68">
        <v>0.19498950796557429</v>
      </c>
      <c r="L55" s="67" t="s">
        <v>231</v>
      </c>
      <c r="M55" s="68">
        <v>20.875708504777684</v>
      </c>
      <c r="N55" s="67" t="s">
        <v>232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4.4675393040795736E-3</v>
      </c>
      <c r="J56" s="67" t="s">
        <v>231</v>
      </c>
      <c r="K56" s="68">
        <v>6.8751095510641069E-2</v>
      </c>
      <c r="L56" s="67" t="s">
        <v>231</v>
      </c>
      <c r="M56" s="68">
        <v>7.3107074106840155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6.6329600398711396E-3</v>
      </c>
      <c r="J57" s="67" t="s">
        <v>231</v>
      </c>
      <c r="K57" s="68">
        <v>2.3117802826187951E-2</v>
      </c>
      <c r="L57" s="67" t="s">
        <v>231</v>
      </c>
      <c r="M57" s="68">
        <v>2.4134023162572418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4.5875197041036028E-2</v>
      </c>
      <c r="J58" s="67" t="s">
        <v>232</v>
      </c>
      <c r="K58" s="68">
        <v>7.6891225713520236E-2</v>
      </c>
      <c r="L58" s="67" t="s">
        <v>231</v>
      </c>
      <c r="M58" s="68">
        <v>8.1819458330088892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4.6983896942931246E-3</v>
      </c>
      <c r="J59" s="67" t="s">
        <v>231</v>
      </c>
      <c r="K59" s="68">
        <v>2.6070580795516204E-2</v>
      </c>
      <c r="L59" s="67" t="s">
        <v>231</v>
      </c>
      <c r="M59" s="68">
        <v>2.7306956684515433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2.1744956334335847E-2</v>
      </c>
      <c r="J60" s="67" t="s">
        <v>232</v>
      </c>
      <c r="K60" s="68">
        <v>0.10098009822113294</v>
      </c>
      <c r="L60" s="67" t="s">
        <v>231</v>
      </c>
      <c r="M60" s="68">
        <v>10.763263643202167</v>
      </c>
      <c r="N60" s="67" t="s">
        <v>231</v>
      </c>
      <c r="O60" s="65"/>
      <c r="P60" s="102"/>
    </row>
    <row r="61" spans="1:18">
      <c r="A61" s="65" t="s">
        <v>480</v>
      </c>
      <c r="B61" s="66" t="s">
        <v>481</v>
      </c>
      <c r="D61" s="66" t="s">
        <v>410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6.0307645609802608E-5</v>
      </c>
      <c r="J61" s="67" t="s">
        <v>231</v>
      </c>
      <c r="K61" s="68">
        <v>5.9950028478171269E-2</v>
      </c>
      <c r="L61" s="67" t="s">
        <v>231</v>
      </c>
      <c r="M61" s="68">
        <v>1.8993072964413016</v>
      </c>
      <c r="N61" s="67" t="s">
        <v>231</v>
      </c>
      <c r="O61" s="65"/>
      <c r="P61" s="102"/>
    </row>
    <row r="62" spans="1:18">
      <c r="A62" s="65" t="s">
        <v>482</v>
      </c>
      <c r="B62" s="66" t="s">
        <v>483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3.3843971510827647E-4</v>
      </c>
      <c r="J62" s="67" t="s">
        <v>231</v>
      </c>
      <c r="K62" s="68">
        <v>1.2161090540849637E-2</v>
      </c>
      <c r="L62" s="67" t="s">
        <v>231</v>
      </c>
      <c r="M62" s="68">
        <v>1.2312773842511673</v>
      </c>
      <c r="N62" s="67" t="s">
        <v>231</v>
      </c>
      <c r="O62" s="65"/>
      <c r="P62" s="102"/>
    </row>
    <row r="63" spans="1:18">
      <c r="A63" s="65" t="s">
        <v>484</v>
      </c>
      <c r="B63" s="66" t="s">
        <v>485</v>
      </c>
      <c r="D63" s="66" t="s">
        <v>410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1.7774538252123618E-6</v>
      </c>
      <c r="J63" s="67" t="s">
        <v>231</v>
      </c>
      <c r="K63" s="68">
        <v>5.2446599116833864E-3</v>
      </c>
      <c r="L63" s="67" t="s">
        <v>231</v>
      </c>
      <c r="M63" s="68">
        <v>0.11766883534356652</v>
      </c>
      <c r="N63" s="67" t="s">
        <v>231</v>
      </c>
      <c r="O63" s="65"/>
      <c r="P63" s="102"/>
    </row>
    <row r="64" spans="1:18">
      <c r="A64" s="65" t="s">
        <v>486</v>
      </c>
      <c r="B64" s="66" t="s">
        <v>487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1.0636267675187563E-7</v>
      </c>
      <c r="J64" s="67" t="s">
        <v>231</v>
      </c>
      <c r="K64" s="68">
        <v>9.5187706588555098E-4</v>
      </c>
      <c r="L64" s="67" t="s">
        <v>231</v>
      </c>
      <c r="M64" s="68">
        <v>2.277725081889421E-3</v>
      </c>
      <c r="N64" s="67" t="s">
        <v>231</v>
      </c>
      <c r="O64" s="65"/>
      <c r="P64" s="102"/>
    </row>
    <row r="65" spans="1:16">
      <c r="A65" s="65" t="s">
        <v>488</v>
      </c>
      <c r="B65" s="66" t="s">
        <v>489</v>
      </c>
      <c r="D65" s="66" t="s">
        <v>410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2.0125278662796818E-8</v>
      </c>
      <c r="J65" s="67" t="s">
        <v>231</v>
      </c>
      <c r="K65" s="68">
        <v>1.3074090756981763E-3</v>
      </c>
      <c r="L65" s="67" t="s">
        <v>231</v>
      </c>
      <c r="M65" s="68">
        <v>9.569048280919536E-3</v>
      </c>
      <c r="N65" s="67" t="s">
        <v>231</v>
      </c>
      <c r="O65" s="65"/>
      <c r="P65" s="102"/>
    </row>
    <row r="66" spans="1:16">
      <c r="A66" s="65" t="s">
        <v>490</v>
      </c>
      <c r="B66" s="66" t="s">
        <v>491</v>
      </c>
      <c r="D66" s="66" t="s">
        <v>410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1.7938650022103791E-7</v>
      </c>
      <c r="J66" s="67" t="s">
        <v>231</v>
      </c>
      <c r="K66" s="68">
        <v>4.3435162680659486E-2</v>
      </c>
      <c r="L66" s="67" t="s">
        <v>231</v>
      </c>
      <c r="M66" s="68">
        <v>1.0929087321062161</v>
      </c>
      <c r="N66" s="67" t="s">
        <v>231</v>
      </c>
      <c r="O66" s="65"/>
      <c r="P66" s="102"/>
    </row>
    <row r="67" spans="1:16">
      <c r="A67" s="65" t="s">
        <v>492</v>
      </c>
      <c r="B67" s="66" t="s">
        <v>493</v>
      </c>
      <c r="D67" s="66" t="s">
        <v>410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1.9825430646399861E-8</v>
      </c>
      <c r="J67" s="67" t="s">
        <v>231</v>
      </c>
      <c r="K67" s="68">
        <v>1.2442598630957096E-3</v>
      </c>
      <c r="L67" s="67" t="s">
        <v>231</v>
      </c>
      <c r="M67" s="68">
        <v>7.9663725548149832E-3</v>
      </c>
      <c r="N67" s="67" t="s">
        <v>231</v>
      </c>
      <c r="O67" s="65"/>
      <c r="P67" s="102"/>
    </row>
    <row r="68" spans="1:16">
      <c r="A68" s="65" t="s">
        <v>494</v>
      </c>
      <c r="B68" s="66" t="s">
        <v>495</v>
      </c>
      <c r="D68" s="66" t="s">
        <v>410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6.4302793615466159E-9</v>
      </c>
      <c r="J68" s="67" t="s">
        <v>231</v>
      </c>
      <c r="K68" s="68">
        <v>9.7710144683274157E-4</v>
      </c>
      <c r="L68" s="67" t="s">
        <v>231</v>
      </c>
      <c r="M68" s="68">
        <v>1.0554742604323591E-3</v>
      </c>
      <c r="N68" s="67" t="s">
        <v>231</v>
      </c>
      <c r="O68" s="65"/>
      <c r="P68" s="102"/>
    </row>
    <row r="69" spans="1:16">
      <c r="A69" s="65" t="s">
        <v>496</v>
      </c>
      <c r="B69" s="66" t="s">
        <v>497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2.4930000537131151E-4</v>
      </c>
      <c r="J69" s="67" t="s">
        <v>231</v>
      </c>
      <c r="K69" s="68">
        <v>6.1086943781239959E-2</v>
      </c>
      <c r="L69" s="67" t="s">
        <v>231</v>
      </c>
      <c r="M69" s="68">
        <v>6.4908704709243246</v>
      </c>
      <c r="N69" s="67" t="s">
        <v>231</v>
      </c>
      <c r="O69" s="65"/>
      <c r="P69" s="102"/>
    </row>
    <row r="70" spans="1:16">
      <c r="A70" s="65" t="s">
        <v>498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2.2845970433352154E-14</v>
      </c>
      <c r="J70" s="67" t="s">
        <v>231</v>
      </c>
      <c r="K70" s="68">
        <v>9.6092692188053791E-4</v>
      </c>
      <c r="L70" s="67" t="s">
        <v>231</v>
      </c>
      <c r="M70" s="68">
        <v>3.8092301069628147E-3</v>
      </c>
      <c r="N70" s="67" t="s">
        <v>231</v>
      </c>
      <c r="O70" s="65"/>
      <c r="P70" s="102"/>
    </row>
    <row r="71" spans="1:16">
      <c r="A71" s="65" t="s">
        <v>499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1.983369664202769E-10</v>
      </c>
      <c r="J71" s="67" t="s">
        <v>231</v>
      </c>
      <c r="K71" s="68">
        <v>9.8084648960257816E-4</v>
      </c>
      <c r="L71" s="67" t="s">
        <v>231</v>
      </c>
      <c r="M71" s="68">
        <v>6.9785357686624463E-3</v>
      </c>
      <c r="N71" s="67" t="s">
        <v>231</v>
      </c>
      <c r="O71" s="65"/>
      <c r="P71" s="102"/>
    </row>
    <row r="72" spans="1:16">
      <c r="A72" s="65" t="s">
        <v>500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2.7681394407343985E-13</v>
      </c>
      <c r="J72" s="67" t="s">
        <v>231</v>
      </c>
      <c r="K72" s="68">
        <v>4.4699097798721742E-2</v>
      </c>
      <c r="L72" s="67" t="s">
        <v>231</v>
      </c>
      <c r="M72" s="68">
        <v>6.270633378644475</v>
      </c>
      <c r="N72" s="67" t="s">
        <v>231</v>
      </c>
      <c r="O72" s="65"/>
      <c r="P72" s="102"/>
    </row>
    <row r="73" spans="1:16">
      <c r="A73" s="65" t="s">
        <v>501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1.1817736312510666E-10</v>
      </c>
      <c r="J73" s="67" t="s">
        <v>231</v>
      </c>
      <c r="K73" s="68">
        <v>4.3683965805152002E-3</v>
      </c>
      <c r="L73" s="67" t="s">
        <v>231</v>
      </c>
      <c r="M73" s="68">
        <v>0.57737783652402275</v>
      </c>
      <c r="N73" s="67" t="s">
        <v>231</v>
      </c>
      <c r="O73" s="65"/>
      <c r="P73" s="102"/>
    </row>
    <row r="74" spans="1:16">
      <c r="A74" s="65" t="s">
        <v>502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1.8596903785777177E-11</v>
      </c>
      <c r="J74" s="67" t="s">
        <v>231</v>
      </c>
      <c r="K74" s="68">
        <v>9.7695839093017733E-4</v>
      </c>
      <c r="L74" s="67" t="s">
        <v>231</v>
      </c>
      <c r="M74" s="68">
        <v>6.3586638623811731E-3</v>
      </c>
      <c r="N74" s="67" t="s">
        <v>231</v>
      </c>
      <c r="O74" s="65"/>
      <c r="P74" s="102"/>
    </row>
    <row r="75" spans="1:16">
      <c r="A75" s="65" t="s">
        <v>503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7.0046813449850939E-13</v>
      </c>
      <c r="J75" s="67" t="s">
        <v>231</v>
      </c>
      <c r="K75" s="68">
        <v>4.2423397379091057E-3</v>
      </c>
      <c r="L75" s="67" t="s">
        <v>231</v>
      </c>
      <c r="M75" s="68">
        <v>0.55493674505527502</v>
      </c>
      <c r="N75" s="67" t="s">
        <v>231</v>
      </c>
      <c r="O75" s="65"/>
      <c r="P75" s="102"/>
    </row>
    <row r="76" spans="1:16">
      <c r="A76" s="65" t="s">
        <v>504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1.6580712602821565E-8</v>
      </c>
      <c r="J76" s="67" t="s">
        <v>231</v>
      </c>
      <c r="K76" s="68">
        <v>1.5890996995100292E-3</v>
      </c>
      <c r="L76" s="67" t="s">
        <v>231</v>
      </c>
      <c r="M76" s="68">
        <v>0.10599775711365954</v>
      </c>
      <c r="N76" s="67" t="s">
        <v>231</v>
      </c>
      <c r="O76" s="65"/>
      <c r="P76" s="102"/>
    </row>
    <row r="77" spans="1:16">
      <c r="A77" s="65" t="s">
        <v>505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4.9089290748700141E-7</v>
      </c>
      <c r="J77" s="67" t="s">
        <v>231</v>
      </c>
      <c r="K77" s="68">
        <v>4.3341388587258495E-3</v>
      </c>
      <c r="L77" s="67" t="s">
        <v>231</v>
      </c>
      <c r="M77" s="68">
        <v>0.57124655673584046</v>
      </c>
      <c r="N77" s="67" t="s">
        <v>231</v>
      </c>
      <c r="O77" s="65"/>
      <c r="P77" s="102"/>
    </row>
    <row r="78" spans="1:16">
      <c r="A78" s="65" t="s">
        <v>506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2.7298209747745241E-12</v>
      </c>
      <c r="J78" s="67" t="s">
        <v>231</v>
      </c>
      <c r="K78" s="68">
        <v>3.7384910460398248E-2</v>
      </c>
      <c r="L78" s="67" t="s">
        <v>231</v>
      </c>
      <c r="M78" s="68">
        <v>5.2432129037975894</v>
      </c>
      <c r="N78" s="67" t="s">
        <v>231</v>
      </c>
      <c r="O78" s="65"/>
      <c r="P78" s="102"/>
    </row>
    <row r="79" spans="1:16">
      <c r="A79" s="65" t="s">
        <v>507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1.5018058083310204E-15</v>
      </c>
      <c r="J79" s="67" t="s">
        <v>231</v>
      </c>
      <c r="K79" s="68">
        <v>3.738488751195515E-2</v>
      </c>
      <c r="L79" s="67" t="s">
        <v>231</v>
      </c>
      <c r="M79" s="68">
        <v>5.2432106648583616</v>
      </c>
      <c r="N79" s="67" t="s">
        <v>231</v>
      </c>
      <c r="O79" s="65"/>
      <c r="P79" s="102"/>
    </row>
    <row r="80" spans="1:16">
      <c r="A80" s="65" t="s">
        <v>508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8.249775275031594E-14</v>
      </c>
      <c r="J80" s="67" t="s">
        <v>231</v>
      </c>
      <c r="K80" s="68">
        <v>2.7216226867291526E-3</v>
      </c>
      <c r="L80" s="67" t="s">
        <v>231</v>
      </c>
      <c r="M80" s="68">
        <v>0.29435137298661873</v>
      </c>
      <c r="N80" s="67" t="s">
        <v>231</v>
      </c>
      <c r="O80" s="65"/>
      <c r="P80" s="102"/>
    </row>
    <row r="81" spans="1:16">
      <c r="A81" s="65" t="s">
        <v>509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8.4735681290983971E-11</v>
      </c>
      <c r="J81" s="67" t="s">
        <v>231</v>
      </c>
      <c r="K81" s="68">
        <v>1.0954856854341274E-3</v>
      </c>
      <c r="L81" s="67" t="s">
        <v>231</v>
      </c>
      <c r="M81" s="68">
        <v>2.5403942185171124E-2</v>
      </c>
      <c r="N81" s="67" t="s">
        <v>231</v>
      </c>
      <c r="O81" s="65"/>
      <c r="P81" s="102"/>
    </row>
    <row r="82" spans="1:16">
      <c r="A82" s="65" t="s">
        <v>510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2.1431685343590761E-15</v>
      </c>
      <c r="J82" s="67" t="s">
        <v>231</v>
      </c>
      <c r="K82" s="68">
        <v>1.3138229008550534E-3</v>
      </c>
      <c r="L82" s="67" t="s">
        <v>231</v>
      </c>
      <c r="M82" s="68">
        <v>6.0882712896818444E-2</v>
      </c>
      <c r="N82" s="67" t="s">
        <v>231</v>
      </c>
      <c r="O82" s="65"/>
      <c r="P82" s="102"/>
    </row>
    <row r="83" spans="1:16">
      <c r="A83" s="65" t="s">
        <v>511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1.6298511278525084E-13</v>
      </c>
      <c r="J83" s="67" t="s">
        <v>231</v>
      </c>
      <c r="K83" s="68">
        <v>7.2782338297772184E-2</v>
      </c>
      <c r="L83" s="67" t="s">
        <v>231</v>
      </c>
      <c r="M83" s="68">
        <v>10.214693059702171</v>
      </c>
      <c r="N83" s="67" t="s">
        <v>231</v>
      </c>
      <c r="O83" s="65"/>
      <c r="P83" s="102"/>
    </row>
    <row r="84" spans="1:16">
      <c r="A84" s="65" t="s">
        <v>395</v>
      </c>
      <c r="B84" s="66" t="s">
        <v>396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7.254623553799916E-2</v>
      </c>
      <c r="J84" s="67" t="s">
        <v>232</v>
      </c>
      <c r="K84" s="68">
        <v>7.9741686952675278E-3</v>
      </c>
      <c r="L84" s="67" t="s">
        <v>231</v>
      </c>
      <c r="M84" s="68">
        <v>0.77822598287662093</v>
      </c>
      <c r="N84" s="67" t="s">
        <v>231</v>
      </c>
      <c r="O84" s="65"/>
      <c r="P84" s="102"/>
    </row>
    <row r="85" spans="1:16">
      <c r="A85" s="65" t="s">
        <v>397</v>
      </c>
      <c r="B85" s="66" t="s">
        <v>398</v>
      </c>
      <c r="D85" s="66" t="s">
        <v>410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2.0497543359829329E-5</v>
      </c>
      <c r="J85" s="67" t="s">
        <v>231</v>
      </c>
      <c r="K85" s="68">
        <v>1.5645102223569136</v>
      </c>
      <c r="L85" s="67" t="s">
        <v>232</v>
      </c>
      <c r="M85" s="68">
        <v>40.121060532016131</v>
      </c>
      <c r="N85" s="67" t="s">
        <v>232</v>
      </c>
      <c r="O85" s="65"/>
      <c r="P85" s="102"/>
    </row>
    <row r="86" spans="1:16">
      <c r="A86" s="65" t="s">
        <v>399</v>
      </c>
      <c r="B86" s="66" t="s">
        <v>400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2.0486668625945572E-3</v>
      </c>
      <c r="J86" s="67" t="s">
        <v>231</v>
      </c>
      <c r="K86" s="68">
        <v>0.29315563001116712</v>
      </c>
      <c r="L86" s="67" t="s">
        <v>231</v>
      </c>
      <c r="M86" s="68">
        <v>31.508372778200545</v>
      </c>
      <c r="N86" s="67" t="s">
        <v>232</v>
      </c>
      <c r="O86" s="65"/>
      <c r="P86" s="102"/>
    </row>
    <row r="87" spans="1:16">
      <c r="A87" s="65" t="s">
        <v>401</v>
      </c>
      <c r="B87" s="66" t="s">
        <v>402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1.5603482822339008E-3</v>
      </c>
      <c r="J87" s="67" t="s">
        <v>231</v>
      </c>
      <c r="K87" s="68">
        <v>0.35190713069078666</v>
      </c>
      <c r="L87" s="67" t="s">
        <v>231</v>
      </c>
      <c r="M87" s="68">
        <v>37.927426521088336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2.4994081526259282E-3</v>
      </c>
      <c r="J88" s="67" t="s">
        <v>231</v>
      </c>
      <c r="K88" s="68">
        <v>0.4003259593072333</v>
      </c>
      <c r="L88" s="67" t="s">
        <v>231</v>
      </c>
      <c r="M88" s="68">
        <v>43.279857277177349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410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1.1192567473975843E-6</v>
      </c>
      <c r="J89" s="67" t="s">
        <v>231</v>
      </c>
      <c r="K89" s="68">
        <v>3.3103580025503025</v>
      </c>
      <c r="L89" s="67" t="s">
        <v>232</v>
      </c>
      <c r="M89" s="68">
        <v>85.788713384742991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1.9337226323245038E-5</v>
      </c>
      <c r="J90" s="67" t="s">
        <v>231</v>
      </c>
      <c r="K90" s="68">
        <v>9.4100169870262702E-4</v>
      </c>
      <c r="L90" s="67" t="s">
        <v>231</v>
      </c>
      <c r="M90" s="68">
        <v>1.4991053456184966E-3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4.0857264066128337E-5</v>
      </c>
      <c r="J91" s="67" t="s">
        <v>231</v>
      </c>
      <c r="K91" s="68">
        <v>1.7227345730233647E-3</v>
      </c>
      <c r="L91" s="67" t="s">
        <v>231</v>
      </c>
      <c r="M91" s="68">
        <v>9.3767040094733078E-2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8.9865874130779351E-5</v>
      </c>
      <c r="J92" s="67" t="s">
        <v>231</v>
      </c>
      <c r="K92" s="68">
        <v>1.6402879078829445E-2</v>
      </c>
      <c r="L92" s="67" t="s">
        <v>231</v>
      </c>
      <c r="M92" s="68">
        <v>1.6891578108136283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1.2902020113651001E-8</v>
      </c>
      <c r="J93" s="67" t="s">
        <v>231</v>
      </c>
      <c r="K93" s="68">
        <v>9.4072079996682263E-4</v>
      </c>
      <c r="L93" s="67" t="s">
        <v>231</v>
      </c>
      <c r="M93" s="68">
        <v>6.2205061631120907E-4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410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2.1067383653708268E-18</v>
      </c>
      <c r="J94" s="67" t="s">
        <v>231</v>
      </c>
      <c r="K94" s="68">
        <v>9.4264417851219631E-4</v>
      </c>
      <c r="L94" s="67" t="s">
        <v>231</v>
      </c>
      <c r="M94" s="68">
        <v>1.5093397458029576E-4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410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2.3554702371695977E-6</v>
      </c>
      <c r="J95" s="67" t="s">
        <v>231</v>
      </c>
      <c r="K95" s="68">
        <v>9.8594742989620092E-4</v>
      </c>
      <c r="L95" s="67" t="s">
        <v>231</v>
      </c>
      <c r="M95" s="68">
        <v>6.6066945827608905E-3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2.2317935250520365E-2</v>
      </c>
      <c r="J96" s="67" t="s">
        <v>232</v>
      </c>
      <c r="K96" s="68">
        <v>0.26806997967749369</v>
      </c>
      <c r="L96" s="67" t="s">
        <v>231</v>
      </c>
      <c r="M96" s="68">
        <v>28.782324316756551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1.3526345247885671E-4</v>
      </c>
      <c r="J97" s="67" t="s">
        <v>231</v>
      </c>
      <c r="K97" s="68">
        <v>2.5471253332450408E-3</v>
      </c>
      <c r="L97" s="67" t="s">
        <v>231</v>
      </c>
      <c r="M97" s="68">
        <v>0.18572005809820688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3.3500979802715112E-5</v>
      </c>
      <c r="J98" s="67" t="s">
        <v>231</v>
      </c>
      <c r="K98" s="68">
        <v>1.838712739791225E-3</v>
      </c>
      <c r="L98" s="67" t="s">
        <v>231</v>
      </c>
      <c r="M98" s="68">
        <v>0.10680181979986092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1.9187222406211298E-6</v>
      </c>
      <c r="J99" s="67" t="s">
        <v>231</v>
      </c>
      <c r="K99" s="68">
        <v>1.1212742768456415E-3</v>
      </c>
      <c r="L99" s="67" t="s">
        <v>231</v>
      </c>
      <c r="M99" s="68">
        <v>2.4678158611403198E-2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1.5918861116714263E-2</v>
      </c>
      <c r="J100" s="67" t="s">
        <v>232</v>
      </c>
      <c r="K100" s="68">
        <v>0.11959321221650926</v>
      </c>
      <c r="L100" s="67" t="s">
        <v>231</v>
      </c>
      <c r="M100" s="68">
        <v>12.760377785409515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5.124554686583193E-2</v>
      </c>
      <c r="J101" s="67" t="s">
        <v>232</v>
      </c>
      <c r="K101" s="68">
        <v>1.2693395360592068E-2</v>
      </c>
      <c r="L101" s="67" t="s">
        <v>231</v>
      </c>
      <c r="M101" s="68">
        <v>1.2887737720725772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2.8639917030569697E-2</v>
      </c>
      <c r="J102" s="67" t="s">
        <v>232</v>
      </c>
      <c r="K102" s="68">
        <v>3.0551651034038629E-2</v>
      </c>
      <c r="L102" s="67" t="s">
        <v>231</v>
      </c>
      <c r="M102" s="68">
        <v>3.2134673697837539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1.7115807115458848E-9</v>
      </c>
      <c r="J103" s="67" t="s">
        <v>231</v>
      </c>
      <c r="K103" s="68">
        <v>1.0188335896211102E-3</v>
      </c>
      <c r="L103" s="67" t="s">
        <v>231</v>
      </c>
      <c r="M103" s="68">
        <v>1.3055198353111874E-2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2.2281944168568231E-6</v>
      </c>
      <c r="J104" s="67" t="s">
        <v>231</v>
      </c>
      <c r="K104" s="68">
        <v>7.4616872987177648E-3</v>
      </c>
      <c r="L104" s="67" t="s">
        <v>231</v>
      </c>
      <c r="M104" s="68">
        <v>1.0193937929354251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9.8687548257897714E-8</v>
      </c>
      <c r="J105" s="67" t="s">
        <v>231</v>
      </c>
      <c r="K105" s="68">
        <v>9.4224873996629247E-4</v>
      </c>
      <c r="L105" s="67" t="s">
        <v>231</v>
      </c>
      <c r="M105" s="68">
        <v>1.834610905697541E-3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410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3.4479218554479815E-8</v>
      </c>
      <c r="J106" s="67" t="s">
        <v>231</v>
      </c>
      <c r="K106" s="68">
        <v>9.8832260044242584E-4</v>
      </c>
      <c r="L106" s="67" t="s">
        <v>231</v>
      </c>
      <c r="M106" s="68">
        <v>7.1166895867352869E-3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410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5.1563113333922095E-5</v>
      </c>
      <c r="J107" s="67" t="s">
        <v>231</v>
      </c>
      <c r="K107" s="68">
        <v>5.7942206707558133E-2</v>
      </c>
      <c r="L107" s="67" t="s">
        <v>231</v>
      </c>
      <c r="M107" s="68">
        <v>4.2267890009729889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410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2.6470291894677544E-10</v>
      </c>
      <c r="J108" s="67" t="s">
        <v>231</v>
      </c>
      <c r="K108" s="68">
        <v>9.3975408108605627E-4</v>
      </c>
      <c r="L108" s="67" t="s">
        <v>231</v>
      </c>
      <c r="M108" s="68">
        <v>7.8122586721744629E-5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410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2.9280665225409168E-6</v>
      </c>
      <c r="J109" s="67" t="s">
        <v>231</v>
      </c>
      <c r="K109" s="68">
        <v>1.1581392158230439E-2</v>
      </c>
      <c r="L109" s="67" t="s">
        <v>231</v>
      </c>
      <c r="M109" s="68">
        <v>0.27617838044027637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5.8462550617222241E-6</v>
      </c>
      <c r="J110" s="67" t="s">
        <v>231</v>
      </c>
      <c r="K110" s="68">
        <v>9.3633244268907301E-4</v>
      </c>
      <c r="L110" s="67" t="s">
        <v>231</v>
      </c>
      <c r="M110" s="68">
        <v>2.2280703234214738E-4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8.1180838136745127E-14</v>
      </c>
      <c r="J111" s="67" t="s">
        <v>231</v>
      </c>
      <c r="K111" s="68">
        <v>9.3674295175982976E-4</v>
      </c>
      <c r="L111" s="67" t="s">
        <v>231</v>
      </c>
      <c r="M111" s="68">
        <v>3.233548466489493E-6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9.2017431529616047E-9</v>
      </c>
      <c r="J112" s="67" t="s">
        <v>231</v>
      </c>
      <c r="K112" s="68">
        <v>9.3514420559988906E-4</v>
      </c>
      <c r="L112" s="67" t="s">
        <v>231</v>
      </c>
      <c r="M112" s="68">
        <v>1.684025337794554E-4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4.3298079514515215E-7</v>
      </c>
      <c r="J113" s="67" t="s">
        <v>231</v>
      </c>
      <c r="K113" s="68">
        <v>9.5602607960296616E-4</v>
      </c>
      <c r="L113" s="67" t="s">
        <v>231</v>
      </c>
      <c r="M113" s="68">
        <v>3.9422903304822616E-3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5.711230157479165E-8</v>
      </c>
      <c r="J114" s="67" t="s">
        <v>231</v>
      </c>
      <c r="K114" s="68">
        <v>9.3557097934872933E-4</v>
      </c>
      <c r="L114" s="67" t="s">
        <v>231</v>
      </c>
      <c r="M114" s="68">
        <v>5.222712656528134E-5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4.851456939895004E-11</v>
      </c>
      <c r="J115" s="67" t="s">
        <v>231</v>
      </c>
      <c r="K115" s="68">
        <v>9.588115126576873E-4</v>
      </c>
      <c r="L115" s="67" t="s">
        <v>231</v>
      </c>
      <c r="M115" s="68">
        <v>3.4729827967989071E-3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410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3.6946240779995817E-5</v>
      </c>
      <c r="J116" s="67" t="s">
        <v>231</v>
      </c>
      <c r="K116" s="68">
        <v>0.44011137726294886</v>
      </c>
      <c r="L116" s="67" t="s">
        <v>231</v>
      </c>
      <c r="M116" s="68">
        <v>11.31957099925582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1.0745244765570003E-4</v>
      </c>
      <c r="J117" s="67" t="s">
        <v>231</v>
      </c>
      <c r="K117" s="68">
        <v>3.9701992084570812E-3</v>
      </c>
      <c r="L117" s="67" t="s">
        <v>231</v>
      </c>
      <c r="M117" s="68">
        <v>0.34232287018871177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0.98978939047145853</v>
      </c>
      <c r="F2" s="14">
        <v>0.99009032425652865</v>
      </c>
      <c r="G2" s="14">
        <v>2.9443084410056121E-10</v>
      </c>
      <c r="H2" s="14">
        <v>0.17248638344663983</v>
      </c>
      <c r="I2" s="14">
        <v>0.64093204700377293</v>
      </c>
      <c r="J2" s="14">
        <v>0</v>
      </c>
      <c r="K2" s="14">
        <v>1.0100088603036421</v>
      </c>
      <c r="L2" s="14">
        <v>0.99009032425652876</v>
      </c>
      <c r="M2" s="14">
        <v>0.81236911105248188</v>
      </c>
      <c r="N2" s="14">
        <v>0.93846269585967257</v>
      </c>
      <c r="O2" s="14">
        <v>182.24007090898982</v>
      </c>
      <c r="P2" s="8">
        <v>0.93846269585967257</v>
      </c>
      <c r="Q2" s="54">
        <v>1.5944539734183142E-2</v>
      </c>
      <c r="S2" s="102"/>
    </row>
    <row r="3" spans="1:20">
      <c r="A3" s="2" t="s">
        <v>354</v>
      </c>
      <c r="B3" s="16" t="s">
        <v>355</v>
      </c>
      <c r="D3" s="14">
        <v>1</v>
      </c>
      <c r="E3" s="14">
        <v>0.79331919783114302</v>
      </c>
      <c r="F3" s="14">
        <v>0.75640860457139791</v>
      </c>
      <c r="G3" s="14">
        <v>3.5810708553946637E-10</v>
      </c>
      <c r="H3" s="14">
        <v>85.077271784075165</v>
      </c>
      <c r="I3" s="14">
        <v>191.36537593795578</v>
      </c>
      <c r="J3" s="14">
        <v>0</v>
      </c>
      <c r="K3" s="14">
        <v>1.3220367853517845</v>
      </c>
      <c r="L3" s="14">
        <v>0.75640860457139791</v>
      </c>
      <c r="M3" s="14">
        <v>0.62063326005083197</v>
      </c>
      <c r="N3" s="14">
        <v>6.0891537326075271</v>
      </c>
      <c r="O3" s="14">
        <v>1559.3713793834615</v>
      </c>
      <c r="P3" s="8">
        <v>6.0891537326075271</v>
      </c>
      <c r="Q3" s="54">
        <v>0.32814316521478298</v>
      </c>
      <c r="S3" s="109"/>
      <c r="T3" s="22"/>
    </row>
    <row r="4" spans="1:20">
      <c r="A4" s="2" t="s">
        <v>356</v>
      </c>
      <c r="B4" s="16" t="s">
        <v>357</v>
      </c>
      <c r="D4" s="14">
        <v>1</v>
      </c>
      <c r="E4" s="14">
        <v>0.99971524859482919</v>
      </c>
      <c r="F4" s="14">
        <v>1.0000630259102112</v>
      </c>
      <c r="G4" s="14">
        <v>1.5064539434419387E-19</v>
      </c>
      <c r="H4" s="14">
        <v>0.11948884720271147</v>
      </c>
      <c r="I4" s="14">
        <v>1.2183852377399456E-3</v>
      </c>
      <c r="J4" s="14">
        <v>0</v>
      </c>
      <c r="K4" s="14">
        <v>0.99993697806180382</v>
      </c>
      <c r="L4" s="14">
        <v>1.0000630259102112</v>
      </c>
      <c r="M4" s="14">
        <v>0.82055171275932837</v>
      </c>
      <c r="N4" s="14">
        <v>1.0563845978666806</v>
      </c>
      <c r="O4" s="14">
        <v>312.84829865821746</v>
      </c>
      <c r="P4" s="8">
        <v>1.0563845978666806</v>
      </c>
      <c r="Q4" s="54">
        <v>1.3892635085006372E-5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0.9994996594288531</v>
      </c>
      <c r="F5" s="14">
        <v>0.92387078848879667</v>
      </c>
      <c r="G5" s="14">
        <v>4.2285459863273114E-12</v>
      </c>
      <c r="H5" s="14">
        <v>215.95896406693487</v>
      </c>
      <c r="I5" s="14">
        <v>0.15870555080249013</v>
      </c>
      <c r="J5" s="14">
        <v>0</v>
      </c>
      <c r="K5" s="14">
        <v>1.0824024446489213</v>
      </c>
      <c r="L5" s="14">
        <v>0.92387078848879667</v>
      </c>
      <c r="M5" s="14">
        <v>0.75803598195505772</v>
      </c>
      <c r="N5" s="14">
        <v>1.4042065599694629</v>
      </c>
      <c r="O5" s="14">
        <v>310.38581801565005</v>
      </c>
      <c r="P5" s="8">
        <v>1.4042065599694629</v>
      </c>
      <c r="Q5" s="54">
        <v>2.1339887062901453E-4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0.99873669089154338</v>
      </c>
      <c r="F6" s="14">
        <v>0.82736743007353453</v>
      </c>
      <c r="G6" s="14">
        <v>5.2489547735431801E-13</v>
      </c>
      <c r="H6" s="14">
        <v>487.84113851896888</v>
      </c>
      <c r="I6" s="14">
        <v>1.3098831693317945</v>
      </c>
      <c r="J6" s="14">
        <v>0</v>
      </c>
      <c r="K6" s="14">
        <v>1.2086528471529538</v>
      </c>
      <c r="L6" s="14">
        <v>0.82736743007353464</v>
      </c>
      <c r="M6" s="14">
        <v>0.6788549763753351</v>
      </c>
      <c r="N6" s="14">
        <v>1.938629491147196</v>
      </c>
      <c r="O6" s="14">
        <v>446.38882663155334</v>
      </c>
      <c r="P6" s="8">
        <v>1.9386294911471962</v>
      </c>
      <c r="Q6" s="54">
        <v>1.2106889035105334E-3</v>
      </c>
      <c r="S6" s="102"/>
    </row>
    <row r="7" spans="1:20">
      <c r="A7" s="2" t="s">
        <v>358</v>
      </c>
      <c r="B7" s="16" t="s">
        <v>305</v>
      </c>
      <c r="D7" s="14">
        <v>1</v>
      </c>
      <c r="E7" s="14">
        <v>0.99113363269495069</v>
      </c>
      <c r="F7" s="14">
        <v>0.5439638190496372</v>
      </c>
      <c r="G7" s="14">
        <v>9.0647770730209242E-9</v>
      </c>
      <c r="H7" s="14">
        <v>1268.9660824188043</v>
      </c>
      <c r="I7" s="14">
        <v>23.917001639466864</v>
      </c>
      <c r="J7" s="14">
        <v>0</v>
      </c>
      <c r="K7" s="14">
        <v>1.8383575616244228</v>
      </c>
      <c r="L7" s="14">
        <v>0.54396381904963731</v>
      </c>
      <c r="M7" s="14">
        <v>0.44632231353022739</v>
      </c>
      <c r="N7" s="14">
        <v>3.6424827309158623</v>
      </c>
      <c r="O7" s="14">
        <v>751.37133773332403</v>
      </c>
      <c r="P7" s="8">
        <v>3.6424827309158623</v>
      </c>
      <c r="Q7" s="54">
        <v>1.2662128987159686E-2</v>
      </c>
    </row>
    <row r="8" spans="1:20">
      <c r="A8" s="2" t="s">
        <v>289</v>
      </c>
      <c r="B8" s="16" t="s">
        <v>290</v>
      </c>
      <c r="D8" s="14">
        <v>1</v>
      </c>
      <c r="E8" s="14">
        <v>0.99891427335512994</v>
      </c>
      <c r="F8" s="14">
        <v>0.74920950228170258</v>
      </c>
      <c r="G8" s="14">
        <v>4.153162301796834E-19</v>
      </c>
      <c r="H8" s="14">
        <v>710.43324615026768</v>
      </c>
      <c r="I8" s="14">
        <v>1.0002521128100095</v>
      </c>
      <c r="J8" s="14">
        <v>0</v>
      </c>
      <c r="K8" s="14">
        <v>1.33474014538593</v>
      </c>
      <c r="L8" s="14">
        <v>0.74920950228170258</v>
      </c>
      <c r="M8" s="14">
        <v>0.61472639662213691</v>
      </c>
      <c r="N8" s="14">
        <v>2.3306928544583982</v>
      </c>
      <c r="O8" s="14">
        <v>812.06000435039516</v>
      </c>
      <c r="P8" s="8">
        <v>2.3306928544583982</v>
      </c>
      <c r="Q8" s="54">
        <v>7.6262225958088014E-4</v>
      </c>
    </row>
    <row r="9" spans="1:20">
      <c r="A9" s="2" t="s">
        <v>291</v>
      </c>
      <c r="B9" s="16" t="s">
        <v>292</v>
      </c>
      <c r="D9" s="14">
        <v>1</v>
      </c>
      <c r="E9" s="14">
        <v>0.99910619862365946</v>
      </c>
      <c r="F9" s="14">
        <v>0.94068933945889521</v>
      </c>
      <c r="G9" s="14">
        <v>8.1814128681476292E-15</v>
      </c>
      <c r="H9" s="14">
        <v>167.01144066411857</v>
      </c>
      <c r="I9" s="14">
        <v>0.58611088409241308</v>
      </c>
      <c r="J9" s="14">
        <v>0</v>
      </c>
      <c r="K9" s="14">
        <v>1.0630502101525054</v>
      </c>
      <c r="L9" s="14">
        <v>0.94068933945889521</v>
      </c>
      <c r="M9" s="14">
        <v>0.7718356030260235</v>
      </c>
      <c r="N9" s="14">
        <v>1.3131560935114388</v>
      </c>
      <c r="O9" s="14">
        <v>404.88541831238189</v>
      </c>
      <c r="P9" s="8">
        <v>1.3131560935114388</v>
      </c>
      <c r="Q9" s="54">
        <v>8.810078666614318E-4</v>
      </c>
    </row>
    <row r="10" spans="1:20">
      <c r="A10" s="2" t="s">
        <v>359</v>
      </c>
      <c r="B10" s="16" t="s">
        <v>360</v>
      </c>
      <c r="D10" s="14">
        <v>1</v>
      </c>
      <c r="E10" s="14">
        <v>0.67020747205169506</v>
      </c>
      <c r="F10" s="14">
        <v>7.0944653392400039E-2</v>
      </c>
      <c r="G10" s="14">
        <v>1.1023211975518883E-6</v>
      </c>
      <c r="H10" s="14">
        <v>1450.0389604514805</v>
      </c>
      <c r="I10" s="14">
        <v>2344.9675757295972</v>
      </c>
      <c r="J10" s="14">
        <v>0</v>
      </c>
      <c r="K10" s="14">
        <v>14.095494898945059</v>
      </c>
      <c r="L10" s="14">
        <v>7.0944653392400039E-2</v>
      </c>
      <c r="M10" s="14">
        <v>5.8210088108464231E-2</v>
      </c>
      <c r="N10" s="14">
        <v>44.297463313331463</v>
      </c>
      <c r="O10" s="14">
        <v>12329.755938632677</v>
      </c>
      <c r="P10" s="8">
        <v>44.297463313331463</v>
      </c>
      <c r="Q10" s="54">
        <v>0.50902233874974767</v>
      </c>
    </row>
    <row r="11" spans="1:20">
      <c r="A11" s="2" t="s">
        <v>361</v>
      </c>
      <c r="B11" s="16" t="s">
        <v>362</v>
      </c>
      <c r="D11" s="14">
        <v>1</v>
      </c>
      <c r="E11" s="14">
        <v>0.83903471408366226</v>
      </c>
      <c r="F11" s="14">
        <v>5.3007879526139464E-3</v>
      </c>
      <c r="G11" s="14">
        <v>5.7113206525249063E-13</v>
      </c>
      <c r="H11" s="14">
        <v>1369.2426914601613</v>
      </c>
      <c r="I11" s="14">
        <v>9262.6748428126484</v>
      </c>
      <c r="J11" s="14">
        <v>0</v>
      </c>
      <c r="K11" s="14">
        <v>188.6511984518973</v>
      </c>
      <c r="L11" s="14">
        <v>5.3007879526139464E-3</v>
      </c>
      <c r="M11" s="14">
        <v>4.3492965151197428E-3</v>
      </c>
      <c r="N11" s="14">
        <v>368.86767628757377</v>
      </c>
      <c r="O11" s="14">
        <v>150092.25748141378</v>
      </c>
      <c r="P11" s="8">
        <v>368.86767628757383</v>
      </c>
      <c r="Q11" s="54">
        <v>0.1033085863571294</v>
      </c>
    </row>
    <row r="12" spans="1:20">
      <c r="A12" s="2" t="s">
        <v>363</v>
      </c>
      <c r="B12" s="16" t="s">
        <v>364</v>
      </c>
      <c r="D12" s="14">
        <v>1</v>
      </c>
      <c r="E12" s="14">
        <v>0.93874311875320371</v>
      </c>
      <c r="F12" s="14">
        <v>0.93910528675326943</v>
      </c>
      <c r="G12" s="14">
        <v>8.4611635139027685E-4</v>
      </c>
      <c r="H12" s="14">
        <v>7.4734816767238173E-3</v>
      </c>
      <c r="I12" s="14">
        <v>3.4298292870612535E-2</v>
      </c>
      <c r="J12" s="14">
        <v>0</v>
      </c>
      <c r="K12" s="14">
        <v>1.0648433291833117</v>
      </c>
      <c r="L12" s="14">
        <v>0.93910528675326943</v>
      </c>
      <c r="M12" s="14">
        <v>0.77053588778105764</v>
      </c>
      <c r="N12" s="14">
        <v>0.88034074331694023</v>
      </c>
      <c r="O12" s="14">
        <v>123.41496880560184</v>
      </c>
      <c r="P12" s="8">
        <v>0.88034074331694023</v>
      </c>
      <c r="Q12" s="54">
        <v>2.8778788296904799E-3</v>
      </c>
    </row>
    <row r="13" spans="1:20">
      <c r="A13" s="2" t="s">
        <v>293</v>
      </c>
      <c r="B13" s="16" t="s">
        <v>294</v>
      </c>
      <c r="D13" s="14">
        <v>1</v>
      </c>
      <c r="E13" s="14">
        <v>0.81149850473377205</v>
      </c>
      <c r="F13" s="14">
        <v>0.78545999692428181</v>
      </c>
      <c r="G13" s="14">
        <v>2.9041066362265567E-10</v>
      </c>
      <c r="H13" s="14">
        <v>59.591466271559568</v>
      </c>
      <c r="I13" s="14">
        <v>141.52763267646367</v>
      </c>
      <c r="J13" s="14">
        <v>0</v>
      </c>
      <c r="K13" s="14">
        <v>1.2731393118883427</v>
      </c>
      <c r="L13" s="14">
        <v>0.78545999692428181</v>
      </c>
      <c r="M13" s="14">
        <v>0.64446992747637322</v>
      </c>
      <c r="N13" s="14">
        <v>3.3033454622631475</v>
      </c>
      <c r="O13" s="14">
        <v>1091.2932069132535</v>
      </c>
      <c r="P13" s="8">
        <v>3.3033454622631475</v>
      </c>
      <c r="Q13" s="54">
        <v>0.30022112105068266</v>
      </c>
    </row>
    <row r="14" spans="1:20">
      <c r="A14" s="2" t="s">
        <v>365</v>
      </c>
      <c r="B14" s="16" t="s">
        <v>366</v>
      </c>
      <c r="D14" s="14">
        <v>1</v>
      </c>
      <c r="E14" s="14">
        <v>0.99401733140698711</v>
      </c>
      <c r="F14" s="14">
        <v>8.1474777728234582E-2</v>
      </c>
      <c r="G14" s="14">
        <v>8.7850886235564717E-9</v>
      </c>
      <c r="H14" s="14">
        <v>2589.662597623334</v>
      </c>
      <c r="I14" s="14">
        <v>37.563880481797057</v>
      </c>
      <c r="J14" s="14">
        <v>0</v>
      </c>
      <c r="K14" s="14">
        <v>12.273737074012983</v>
      </c>
      <c r="L14" s="14">
        <v>8.1474777728234582E-2</v>
      </c>
      <c r="M14" s="14">
        <v>6.685005512601648E-2</v>
      </c>
      <c r="N14" s="14">
        <v>11.258477458962705</v>
      </c>
      <c r="O14" s="14">
        <v>2998.5828864201267</v>
      </c>
      <c r="P14" s="8">
        <v>11.258477458962705</v>
      </c>
      <c r="Q14" s="54">
        <v>4.8637411107201253E-3</v>
      </c>
    </row>
    <row r="15" spans="1:20">
      <c r="A15" s="2" t="s">
        <v>367</v>
      </c>
      <c r="B15" s="16" t="s">
        <v>368</v>
      </c>
      <c r="D15" s="14">
        <v>1</v>
      </c>
      <c r="E15" s="14">
        <v>0.86458981333104823</v>
      </c>
      <c r="F15" s="14">
        <v>0.86206358762529234</v>
      </c>
      <c r="G15" s="14">
        <v>1.0660750739475726E-3</v>
      </c>
      <c r="H15" s="14">
        <v>6.2338923943885067</v>
      </c>
      <c r="I15" s="14">
        <v>17.604207229315289</v>
      </c>
      <c r="J15" s="14">
        <v>0</v>
      </c>
      <c r="K15" s="14">
        <v>1.1600072365365508</v>
      </c>
      <c r="L15" s="14">
        <v>0.86206358762529234</v>
      </c>
      <c r="M15" s="14">
        <v>0.70732317364655239</v>
      </c>
      <c r="N15" s="14">
        <v>1.121686230343524</v>
      </c>
      <c r="O15" s="14">
        <v>167.5799228133225</v>
      </c>
      <c r="P15" s="8">
        <v>1.121686230343524</v>
      </c>
      <c r="Q15" s="54">
        <v>9.678687598574702E-2</v>
      </c>
    </row>
    <row r="16" spans="1:20">
      <c r="A16" s="2" t="s">
        <v>369</v>
      </c>
      <c r="B16" s="16" t="s">
        <v>370</v>
      </c>
      <c r="D16" s="14">
        <v>1</v>
      </c>
      <c r="E16" s="14">
        <v>0.79550002343423143</v>
      </c>
      <c r="F16" s="14">
        <v>0.76456844969379734</v>
      </c>
      <c r="G16" s="14">
        <v>1.1528820047235224E-5</v>
      </c>
      <c r="H16" s="14">
        <v>70.852694781376499</v>
      </c>
      <c r="I16" s="14">
        <v>165.81107823639985</v>
      </c>
      <c r="J16" s="14">
        <v>0</v>
      </c>
      <c r="K16" s="14">
        <v>1.3079273679164904</v>
      </c>
      <c r="L16" s="14">
        <v>0.76456844969379734</v>
      </c>
      <c r="M16" s="14">
        <v>0.62732841297376074</v>
      </c>
      <c r="N16" s="14">
        <v>3.7284820935571279</v>
      </c>
      <c r="O16" s="14">
        <v>828.61786047213616</v>
      </c>
      <c r="P16" s="8">
        <v>3.7284820935571283</v>
      </c>
      <c r="Q16" s="54">
        <v>0.3243497320138865</v>
      </c>
    </row>
    <row r="17" spans="1:21">
      <c r="A17" s="2" t="s">
        <v>371</v>
      </c>
      <c r="B17" s="16" t="s">
        <v>372</v>
      </c>
      <c r="D17" s="14">
        <v>1</v>
      </c>
      <c r="E17" s="14">
        <v>0.80392009080444726</v>
      </c>
      <c r="F17" s="14">
        <v>0.77619224813391363</v>
      </c>
      <c r="G17" s="14">
        <v>3.3731665795001982E-5</v>
      </c>
      <c r="H17" s="14">
        <v>63.475963407501766</v>
      </c>
      <c r="I17" s="14">
        <v>149.92238134870456</v>
      </c>
      <c r="J17" s="14">
        <v>0</v>
      </c>
      <c r="K17" s="14">
        <v>1.2883406171655989</v>
      </c>
      <c r="L17" s="14">
        <v>0.77619224813391363</v>
      </c>
      <c r="M17" s="14">
        <v>0.63686573959387616</v>
      </c>
      <c r="N17" s="14">
        <v>3.4483704232464159</v>
      </c>
      <c r="O17" s="14">
        <v>443.32250161255922</v>
      </c>
      <c r="P17" s="8">
        <v>3.4483704232464159</v>
      </c>
      <c r="Q17" s="54">
        <v>0.30850802952420403</v>
      </c>
    </row>
    <row r="18" spans="1:21">
      <c r="A18" s="2" t="s">
        <v>373</v>
      </c>
      <c r="B18" s="16" t="s">
        <v>374</v>
      </c>
      <c r="D18" s="14">
        <v>1</v>
      </c>
      <c r="E18" s="14">
        <v>0.67624963605995247</v>
      </c>
      <c r="F18" s="14">
        <v>4.8998728859629545E-3</v>
      </c>
      <c r="G18" s="14">
        <v>3.4907062312403617E-9</v>
      </c>
      <c r="H18" s="14">
        <v>514.38087582087223</v>
      </c>
      <c r="I18" s="14">
        <v>12904.523841884733</v>
      </c>
      <c r="J18" s="14">
        <v>0</v>
      </c>
      <c r="K18" s="14">
        <v>204.08692700269378</v>
      </c>
      <c r="L18" s="14">
        <v>4.8998728859629545E-3</v>
      </c>
      <c r="M18" s="14">
        <v>4.0203457029326043E-3</v>
      </c>
      <c r="N18" s="14">
        <v>251.58962668518663</v>
      </c>
      <c r="O18" s="14">
        <v>98444.505025646678</v>
      </c>
      <c r="P18" s="8">
        <v>251.58962668518666</v>
      </c>
      <c r="Q18" s="54">
        <v>0.41280218210701192</v>
      </c>
    </row>
    <row r="19" spans="1:21">
      <c r="A19" s="2" t="s">
        <v>375</v>
      </c>
      <c r="B19" s="16" t="s">
        <v>376</v>
      </c>
      <c r="D19" s="14">
        <v>1</v>
      </c>
      <c r="E19" s="14">
        <v>0.95604307159648927</v>
      </c>
      <c r="F19" s="14">
        <v>0.95553089852425888</v>
      </c>
      <c r="G19" s="14">
        <v>1.3783935203035992E-4</v>
      </c>
      <c r="H19" s="14">
        <v>1.8825422643222807</v>
      </c>
      <c r="I19" s="14">
        <v>5.8506201955793795</v>
      </c>
      <c r="J19" s="14">
        <v>0</v>
      </c>
      <c r="K19" s="14">
        <v>1.0465386326537636</v>
      </c>
      <c r="L19" s="14">
        <v>0.95553089852425888</v>
      </c>
      <c r="M19" s="14">
        <v>0.78401310223915444</v>
      </c>
      <c r="N19" s="14">
        <v>0.99846766613254168</v>
      </c>
      <c r="O19" s="14">
        <v>92.987293746923598</v>
      </c>
      <c r="P19" s="8">
        <v>0.99846766613254168</v>
      </c>
      <c r="Q19" s="54">
        <v>5.4475585404751017E-2</v>
      </c>
    </row>
    <row r="20" spans="1:21">
      <c r="A20" s="2" t="s">
        <v>377</v>
      </c>
      <c r="B20" s="16" t="s">
        <v>378</v>
      </c>
      <c r="D20" s="14">
        <v>1</v>
      </c>
      <c r="E20" s="14">
        <v>0.93517646446163993</v>
      </c>
      <c r="F20" s="14">
        <v>0.93394312799523427</v>
      </c>
      <c r="G20" s="14">
        <v>2.6360213205302838E-4</v>
      </c>
      <c r="H20" s="14">
        <v>3.4381152514938096</v>
      </c>
      <c r="I20" s="14">
        <v>10.204168035205187</v>
      </c>
      <c r="J20" s="14">
        <v>0</v>
      </c>
      <c r="K20" s="14">
        <v>1.0707290091063262</v>
      </c>
      <c r="L20" s="14">
        <v>0.93394312799523438</v>
      </c>
      <c r="M20" s="14">
        <v>0.76630033652008978</v>
      </c>
      <c r="N20" s="14">
        <v>1.0560574078804805</v>
      </c>
      <c r="O20" s="14">
        <v>117.349099163679</v>
      </c>
      <c r="P20" s="8">
        <v>1.0560574078804805</v>
      </c>
      <c r="Q20" s="54">
        <v>7.3752645267287961E-2</v>
      </c>
    </row>
    <row r="21" spans="1:21">
      <c r="A21" s="2" t="s">
        <v>379</v>
      </c>
      <c r="B21" s="16" t="s">
        <v>380</v>
      </c>
      <c r="D21" s="14">
        <v>1</v>
      </c>
      <c r="E21" s="14">
        <v>0.85921182669706897</v>
      </c>
      <c r="F21" s="14">
        <v>0.48481873577797002</v>
      </c>
      <c r="G21" s="14">
        <v>9.4216092565641073E-5</v>
      </c>
      <c r="H21" s="14">
        <v>1023.3386915953068</v>
      </c>
      <c r="I21" s="14">
        <v>382.38440537268445</v>
      </c>
      <c r="J21" s="14">
        <v>0</v>
      </c>
      <c r="K21" s="14">
        <v>2.0626265575222424</v>
      </c>
      <c r="L21" s="14">
        <v>0.48481873577797002</v>
      </c>
      <c r="M21" s="14">
        <v>0.39779377270582439</v>
      </c>
      <c r="N21" s="14">
        <v>9.3140712279874887</v>
      </c>
      <c r="O21" s="14">
        <v>1839.0633639661294</v>
      </c>
      <c r="P21" s="8">
        <v>9.3140712279874887</v>
      </c>
      <c r="Q21" s="54">
        <v>0.21081435126787498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0.93436817360856783</v>
      </c>
      <c r="F22" s="14">
        <v>0.9345880321134783</v>
      </c>
      <c r="G22" s="14">
        <v>7.5053111743766888E-4</v>
      </c>
      <c r="H22" s="14">
        <v>0.29671548737088582</v>
      </c>
      <c r="I22" s="14">
        <v>1.0548662224203875</v>
      </c>
      <c r="J22" s="14">
        <v>0</v>
      </c>
      <c r="K22" s="14">
        <v>1.0699901621237318</v>
      </c>
      <c r="L22" s="14">
        <v>0.9345880321134783</v>
      </c>
      <c r="M22" s="14">
        <v>0.76682948034910903</v>
      </c>
      <c r="N22" s="14">
        <v>0.89375985952885961</v>
      </c>
      <c r="O22" s="14">
        <v>51.909572641436164</v>
      </c>
      <c r="P22" s="8">
        <v>0.89375985952885961</v>
      </c>
      <c r="Q22" s="54">
        <v>2.0577726284008224E-2</v>
      </c>
      <c r="T22" s="22"/>
      <c r="U22" s="22"/>
    </row>
    <row r="23" spans="1:21">
      <c r="A23" s="2" t="s">
        <v>381</v>
      </c>
      <c r="B23" s="16" t="s">
        <v>382</v>
      </c>
      <c r="D23" s="14">
        <v>1</v>
      </c>
      <c r="E23" s="14">
        <v>0.85519278300148127</v>
      </c>
      <c r="F23" s="14">
        <v>0.85043051766161104</v>
      </c>
      <c r="G23" s="14">
        <v>8.9810543403622315E-4</v>
      </c>
      <c r="H23" s="14">
        <v>11.207244234747824</v>
      </c>
      <c r="I23" s="14">
        <v>30.28000950846889</v>
      </c>
      <c r="J23" s="14">
        <v>0</v>
      </c>
      <c r="K23" s="14">
        <v>1.1758750176906316</v>
      </c>
      <c r="L23" s="14">
        <v>0.85043051766161115</v>
      </c>
      <c r="M23" s="14">
        <v>0.69777823974135189</v>
      </c>
      <c r="N23" s="14">
        <v>1.3393136825019722</v>
      </c>
      <c r="O23" s="14">
        <v>143.50746108008633</v>
      </c>
      <c r="P23" s="8">
        <v>1.3393136825019722</v>
      </c>
      <c r="Q23" s="54">
        <v>0.13054372689112897</v>
      </c>
      <c r="T23" s="22"/>
      <c r="U23" s="22"/>
    </row>
    <row r="24" spans="1:21">
      <c r="A24" s="2" t="s">
        <v>383</v>
      </c>
      <c r="B24" s="16" t="s">
        <v>384</v>
      </c>
      <c r="D24" s="14">
        <v>1</v>
      </c>
      <c r="E24" s="14">
        <v>0.74225116859719198</v>
      </c>
      <c r="F24" s="14">
        <v>0.69031257228237441</v>
      </c>
      <c r="G24" s="14">
        <v>3.9711315200133091E-5</v>
      </c>
      <c r="H24" s="14">
        <v>119.53243951429401</v>
      </c>
      <c r="I24" s="14">
        <v>267.14248024439445</v>
      </c>
      <c r="J24" s="14">
        <v>0</v>
      </c>
      <c r="K24" s="14">
        <v>1.4486191330598381</v>
      </c>
      <c r="L24" s="14">
        <v>0.69031257228237441</v>
      </c>
      <c r="M24" s="14">
        <v>0.56640146555768822</v>
      </c>
      <c r="N24" s="14">
        <v>5.5207916190462072</v>
      </c>
      <c r="O24" s="14">
        <v>894.47865811786653</v>
      </c>
      <c r="P24" s="8">
        <v>5.5207916190462072</v>
      </c>
      <c r="Q24" s="54">
        <v>0.40564203593976711</v>
      </c>
      <c r="T24" s="22"/>
      <c r="U24" s="22"/>
    </row>
    <row r="25" spans="1:21">
      <c r="A25" s="2" t="s">
        <v>385</v>
      </c>
      <c r="B25" s="16" t="s">
        <v>386</v>
      </c>
      <c r="D25" s="14">
        <v>1</v>
      </c>
      <c r="E25" s="14">
        <v>0.66066225960535707</v>
      </c>
      <c r="F25" s="14">
        <v>6.7029931176723406E-3</v>
      </c>
      <c r="G25" s="14">
        <v>1.5773107425496111E-5</v>
      </c>
      <c r="H25" s="14">
        <v>602.12793116849116</v>
      </c>
      <c r="I25" s="14">
        <v>11634.452323163154</v>
      </c>
      <c r="J25" s="14">
        <v>0</v>
      </c>
      <c r="K25" s="14">
        <v>149.18708440316237</v>
      </c>
      <c r="L25" s="14">
        <v>6.7029931176723406E-3</v>
      </c>
      <c r="M25" s="14">
        <v>5.4998058530501557E-3</v>
      </c>
      <c r="N25" s="14">
        <v>226.11399581831506</v>
      </c>
      <c r="O25" s="14">
        <v>52772.745484036546</v>
      </c>
      <c r="P25" s="8">
        <v>226.11399581831506</v>
      </c>
      <c r="Q25" s="54">
        <v>0.44662799781494156</v>
      </c>
      <c r="T25" s="22"/>
      <c r="U25" s="22"/>
    </row>
    <row r="26" spans="1:21">
      <c r="A26" s="2" t="s">
        <v>387</v>
      </c>
      <c r="B26" s="16" t="s">
        <v>388</v>
      </c>
      <c r="D26" s="14">
        <v>1</v>
      </c>
      <c r="E26" s="14">
        <v>0.45933395064099614</v>
      </c>
      <c r="F26" s="14">
        <v>0.34276585824033712</v>
      </c>
      <c r="G26" s="14">
        <v>3.7027641006777781E-3</v>
      </c>
      <c r="H26" s="14">
        <v>272.83341359353045</v>
      </c>
      <c r="I26" s="14">
        <v>544.94757905493839</v>
      </c>
      <c r="J26" s="14">
        <v>0</v>
      </c>
      <c r="K26" s="14">
        <v>2.9174434266403222</v>
      </c>
      <c r="L26" s="14">
        <v>0.34276585824033712</v>
      </c>
      <c r="M26" s="14">
        <v>0.28123938668619664</v>
      </c>
      <c r="N26" s="14">
        <v>10.369168198488582</v>
      </c>
      <c r="O26" s="14">
        <v>1329.0162880002815</v>
      </c>
      <c r="P26" s="8">
        <v>10.369168198488584</v>
      </c>
      <c r="Q26" s="54">
        <v>0.44602040483576705</v>
      </c>
    </row>
    <row r="27" spans="1:21">
      <c r="A27" s="2" t="s">
        <v>389</v>
      </c>
      <c r="B27" s="16" t="s">
        <v>390</v>
      </c>
      <c r="D27" s="14">
        <v>1</v>
      </c>
      <c r="E27" s="14">
        <v>8.4603006633420588E-2</v>
      </c>
      <c r="F27" s="14">
        <v>2.9469961238726208E-2</v>
      </c>
      <c r="G27" s="14">
        <v>1.2219348531178743E-2</v>
      </c>
      <c r="H27" s="14">
        <v>131.71024713128418</v>
      </c>
      <c r="I27" s="14">
        <v>231.67370036085978</v>
      </c>
      <c r="J27" s="14">
        <v>0</v>
      </c>
      <c r="K27" s="14">
        <v>33.932857661377206</v>
      </c>
      <c r="L27" s="14">
        <v>2.9469961238726208E-2</v>
      </c>
      <c r="M27" s="14">
        <v>2.4180103196374855E-2</v>
      </c>
      <c r="N27" s="14">
        <v>4.3506631128065907</v>
      </c>
      <c r="O27" s="14">
        <v>789.42782181875589</v>
      </c>
      <c r="P27" s="8">
        <v>4.3506631128065916</v>
      </c>
      <c r="Q27" s="54">
        <v>9.4248996624939241E-2</v>
      </c>
    </row>
    <row r="28" spans="1:21">
      <c r="A28" s="2" t="s">
        <v>391</v>
      </c>
      <c r="B28" s="16" t="s">
        <v>392</v>
      </c>
      <c r="D28" s="14">
        <v>1</v>
      </c>
      <c r="E28" s="14">
        <v>6.4333508294448297E-2</v>
      </c>
      <c r="F28" s="14">
        <v>4.3797348217379579E-2</v>
      </c>
      <c r="G28" s="14">
        <v>1.2757227603683623E-2</v>
      </c>
      <c r="H28" s="14">
        <v>48.253388499140542</v>
      </c>
      <c r="I28" s="14">
        <v>94.098995414741395</v>
      </c>
      <c r="J28" s="14">
        <v>0</v>
      </c>
      <c r="K28" s="14">
        <v>22.832432571869312</v>
      </c>
      <c r="L28" s="14">
        <v>4.3797348217379586E-2</v>
      </c>
      <c r="M28" s="14">
        <v>3.5935724212359951E-2</v>
      </c>
      <c r="N28" s="14">
        <v>1.779985488278133</v>
      </c>
      <c r="O28" s="14">
        <v>261.65786677688556</v>
      </c>
      <c r="P28" s="8">
        <v>1.779985488278133</v>
      </c>
      <c r="Q28" s="54">
        <v>6.7512623850817799E-2</v>
      </c>
    </row>
    <row r="29" spans="1:21">
      <c r="A29" s="2" t="s">
        <v>297</v>
      </c>
      <c r="B29" s="16" t="s">
        <v>298</v>
      </c>
      <c r="D29" s="14">
        <v>1</v>
      </c>
      <c r="E29" s="14">
        <v>7.5565123247965257E-2</v>
      </c>
      <c r="F29" s="14">
        <v>7.5429593518188648E-2</v>
      </c>
      <c r="G29" s="14">
        <v>1.3145292526383861E-2</v>
      </c>
      <c r="H29" s="14">
        <v>0.35656750926303593</v>
      </c>
      <c r="I29" s="14">
        <v>1.0389602645955847</v>
      </c>
      <c r="J29" s="14">
        <v>0</v>
      </c>
      <c r="K29" s="14">
        <v>13.257396114150687</v>
      </c>
      <c r="L29" s="14">
        <v>7.5429593518188648E-2</v>
      </c>
      <c r="M29" s="14">
        <v>6.1889981481673788E-2</v>
      </c>
      <c r="N29" s="14">
        <v>8.9141255553144907E-2</v>
      </c>
      <c r="O29" s="14">
        <v>7.5707668341285972</v>
      </c>
      <c r="P29" s="8">
        <v>8.9141255553144907E-2</v>
      </c>
      <c r="Q29" s="54">
        <v>6.785766917940781E-3</v>
      </c>
    </row>
    <row r="30" spans="1:21">
      <c r="A30" s="2" t="s">
        <v>393</v>
      </c>
      <c r="B30" s="16" t="s">
        <v>394</v>
      </c>
      <c r="D30" s="14">
        <v>1</v>
      </c>
      <c r="E30" s="14">
        <v>2.3472792825737741E-2</v>
      </c>
      <c r="F30" s="14">
        <v>1.6352860141865586E-2</v>
      </c>
      <c r="G30" s="14">
        <v>1.3731633709789762E-2</v>
      </c>
      <c r="H30" s="14">
        <v>16.714512811317523</v>
      </c>
      <c r="I30" s="14">
        <v>32.775618298313304</v>
      </c>
      <c r="J30" s="14">
        <v>0</v>
      </c>
      <c r="K30" s="14">
        <v>61.151382163408918</v>
      </c>
      <c r="L30" s="14">
        <v>1.6352860141865589E-2</v>
      </c>
      <c r="M30" s="14">
        <v>1.3417521746400716E-2</v>
      </c>
      <c r="N30" s="14">
        <v>0.62070104186468433</v>
      </c>
      <c r="O30" s="14">
        <v>102.93085377242062</v>
      </c>
      <c r="P30" s="8">
        <v>0.62070104186468444</v>
      </c>
      <c r="Q30" s="54">
        <v>2.4241020186727833E-2</v>
      </c>
    </row>
    <row r="31" spans="1:21">
      <c r="A31" s="2" t="s">
        <v>299</v>
      </c>
      <c r="B31" s="16" t="s">
        <v>300</v>
      </c>
      <c r="D31" s="14">
        <v>1</v>
      </c>
      <c r="E31" s="14">
        <v>6.8993788464867989E-4</v>
      </c>
      <c r="F31" s="14">
        <v>5.7849686250509823E-4</v>
      </c>
      <c r="G31" s="14">
        <v>1.4270838638709453E-2</v>
      </c>
      <c r="H31" s="14">
        <v>0.2590723162053834</v>
      </c>
      <c r="I31" s="14">
        <v>0.53985630596732981</v>
      </c>
      <c r="J31" s="14">
        <v>0</v>
      </c>
      <c r="K31" s="14">
        <v>1728.6178453408413</v>
      </c>
      <c r="L31" s="14">
        <v>5.7849686250509833E-4</v>
      </c>
      <c r="M31" s="14">
        <v>4.7465667568543317E-4</v>
      </c>
      <c r="N31" s="14">
        <v>1.0456651589892067E-2</v>
      </c>
      <c r="O31" s="14">
        <v>0.85890936159373432</v>
      </c>
      <c r="P31" s="8">
        <v>1.0456651589892067E-2</v>
      </c>
      <c r="Q31" s="54">
        <v>5.5779957451815656E-4</v>
      </c>
    </row>
    <row r="32" spans="1:21">
      <c r="A32" s="2" t="s">
        <v>343</v>
      </c>
      <c r="B32" s="16" t="s">
        <v>403</v>
      </c>
      <c r="D32" s="14">
        <v>1</v>
      </c>
      <c r="E32" s="14">
        <v>0.8260918945657254</v>
      </c>
      <c r="F32" s="14">
        <v>0.80477915929598309</v>
      </c>
      <c r="G32" s="14">
        <v>3.111896964457936E-5</v>
      </c>
      <c r="H32" s="14">
        <v>48.75248095171716</v>
      </c>
      <c r="I32" s="14">
        <v>117.72098629342585</v>
      </c>
      <c r="J32" s="14">
        <v>0</v>
      </c>
      <c r="K32" s="14">
        <v>1.2425769087693512</v>
      </c>
      <c r="L32" s="14">
        <v>0.80477915929598309</v>
      </c>
      <c r="M32" s="14">
        <v>0.66032130020235413</v>
      </c>
      <c r="N32" s="14">
        <v>2.8862255715768139</v>
      </c>
      <c r="O32" s="14">
        <v>473.91823885291279</v>
      </c>
      <c r="P32" s="8">
        <v>2.8862255715768139</v>
      </c>
      <c r="Q32" s="54">
        <v>0.27356081697565104</v>
      </c>
    </row>
    <row r="33" spans="1:17">
      <c r="A33" s="2" t="s">
        <v>344</v>
      </c>
      <c r="B33" s="16" t="s">
        <v>404</v>
      </c>
      <c r="D33" s="14">
        <v>1</v>
      </c>
      <c r="E33" s="14">
        <v>0.88719188927541504</v>
      </c>
      <c r="F33" s="14">
        <v>0.87849478227971434</v>
      </c>
      <c r="G33" s="14">
        <v>1.1448475895587823E-6</v>
      </c>
      <c r="H33" s="14">
        <v>20.068697481728325</v>
      </c>
      <c r="I33" s="14">
        <v>52.06865472771895</v>
      </c>
      <c r="J33" s="14">
        <v>0</v>
      </c>
      <c r="K33" s="14">
        <v>1.1383106879758313</v>
      </c>
      <c r="L33" s="14">
        <v>0.87849478227971445</v>
      </c>
      <c r="M33" s="14">
        <v>0.72080496886050571</v>
      </c>
      <c r="N33" s="14">
        <v>1.7597102774977564</v>
      </c>
      <c r="O33" s="14">
        <v>265.99780554656087</v>
      </c>
      <c r="P33" s="8">
        <v>1.7597102774977564</v>
      </c>
      <c r="Q33" s="54">
        <v>0.17962896070527423</v>
      </c>
    </row>
    <row r="34" spans="1:17">
      <c r="A34" s="2" t="s">
        <v>345</v>
      </c>
      <c r="B34" s="16" t="s">
        <v>405</v>
      </c>
      <c r="D34" s="14">
        <v>1</v>
      </c>
      <c r="E34" s="14">
        <v>0.63005592464710025</v>
      </c>
      <c r="F34" s="14">
        <v>0.48719814062687711</v>
      </c>
      <c r="G34" s="14">
        <v>2.2432315777290532E-6</v>
      </c>
      <c r="H34" s="14">
        <v>333.76871150117574</v>
      </c>
      <c r="I34" s="14">
        <v>674.06657602082737</v>
      </c>
      <c r="J34" s="14">
        <v>0</v>
      </c>
      <c r="K34" s="14">
        <v>2.0525529894537393</v>
      </c>
      <c r="L34" s="14">
        <v>0.48719814062687716</v>
      </c>
      <c r="M34" s="14">
        <v>0.39974607438435272</v>
      </c>
      <c r="N34" s="14">
        <v>12.87236518509655</v>
      </c>
      <c r="O34" s="14">
        <v>2268.7543638732668</v>
      </c>
      <c r="P34" s="8">
        <v>12.87236518509655</v>
      </c>
      <c r="Q34" s="54">
        <v>0.5862769136652054</v>
      </c>
    </row>
    <row r="35" spans="1:17">
      <c r="A35" s="2" t="s">
        <v>346</v>
      </c>
      <c r="B35" s="16" t="s">
        <v>406</v>
      </c>
      <c r="D35" s="14">
        <v>1</v>
      </c>
      <c r="E35" s="14">
        <v>0.58279715247542629</v>
      </c>
      <c r="F35" s="14">
        <v>0.11827007631001696</v>
      </c>
      <c r="G35" s="14">
        <v>8.3626392932679506E-4</v>
      </c>
      <c r="H35" s="14">
        <v>1119.2184919066328</v>
      </c>
      <c r="I35" s="14">
        <v>1862.824957356012</v>
      </c>
      <c r="J35" s="14">
        <v>0</v>
      </c>
      <c r="K35" s="14">
        <v>8.455224104013741</v>
      </c>
      <c r="L35" s="14">
        <v>0.11827007631001696</v>
      </c>
      <c r="M35" s="14">
        <v>9.7040597612368912E-2</v>
      </c>
      <c r="N35" s="14">
        <v>35.052708600855837</v>
      </c>
      <c r="O35" s="14">
        <v>6740.635863944578</v>
      </c>
      <c r="P35" s="8">
        <v>35.052708600855837</v>
      </c>
      <c r="Q35" s="54">
        <v>0.55920629006507883</v>
      </c>
    </row>
    <row r="36" spans="1:17">
      <c r="A36" s="2" t="s">
        <v>347</v>
      </c>
      <c r="B36" s="16" t="s">
        <v>407</v>
      </c>
      <c r="D36" s="14">
        <v>1</v>
      </c>
      <c r="E36" s="14">
        <v>0.63073575104092772</v>
      </c>
      <c r="F36" s="14">
        <v>3.1897413629891305E-2</v>
      </c>
      <c r="G36" s="14">
        <v>2.7489317528176242E-5</v>
      </c>
      <c r="H36" s="14">
        <v>1164.4892136807709</v>
      </c>
      <c r="I36" s="14">
        <v>4977.2865094032513</v>
      </c>
      <c r="J36" s="14">
        <v>0</v>
      </c>
      <c r="K36" s="14">
        <v>31.350504200845066</v>
      </c>
      <c r="L36" s="14">
        <v>3.1897413629891305E-2</v>
      </c>
      <c r="M36" s="14">
        <v>2.6171827883325817E-2</v>
      </c>
      <c r="N36" s="14">
        <v>95.014545780044017</v>
      </c>
      <c r="O36" s="14">
        <v>21128.384545108387</v>
      </c>
      <c r="P36" s="8">
        <v>95.014545780044017</v>
      </c>
      <c r="Q36" s="54">
        <v>0.54801524602919749</v>
      </c>
    </row>
    <row r="37" spans="1:17">
      <c r="A37" s="2" t="s">
        <v>348</v>
      </c>
      <c r="B37" s="16" t="s">
        <v>349</v>
      </c>
      <c r="D37" s="14">
        <v>1</v>
      </c>
      <c r="E37" s="14">
        <v>0.662451914547876</v>
      </c>
      <c r="F37" s="14">
        <v>5.2783373923844879E-3</v>
      </c>
      <c r="G37" s="14">
        <v>2.0180207832493806E-4</v>
      </c>
      <c r="H37" s="14">
        <v>530.63653323901406</v>
      </c>
      <c r="I37" s="14">
        <v>12380.959921255946</v>
      </c>
      <c r="J37" s="14">
        <v>0</v>
      </c>
      <c r="K37" s="14">
        <v>189.45359602112325</v>
      </c>
      <c r="L37" s="14">
        <v>5.2783373923844887E-3</v>
      </c>
      <c r="M37" s="14">
        <v>4.3308758304514729E-3</v>
      </c>
      <c r="N37" s="14">
        <v>241.17062803726461</v>
      </c>
      <c r="O37" s="14">
        <v>57010.324761728974</v>
      </c>
      <c r="P37" s="8">
        <v>241.17062803726461</v>
      </c>
      <c r="Q37" s="54">
        <v>0.41663362534769011</v>
      </c>
    </row>
    <row r="38" spans="1:17">
      <c r="A38" s="2" t="s">
        <v>350</v>
      </c>
      <c r="B38" s="16" t="s">
        <v>351</v>
      </c>
      <c r="D38" s="14">
        <v>1</v>
      </c>
      <c r="E38" s="14">
        <v>0.62970942007144415</v>
      </c>
      <c r="F38" s="14">
        <v>1.7907671466709348E-2</v>
      </c>
      <c r="G38" s="14">
        <v>1.0494641460824968E-5</v>
      </c>
      <c r="H38" s="14">
        <v>940.45737875762586</v>
      </c>
      <c r="I38" s="14">
        <v>7392.5843576130646</v>
      </c>
      <c r="J38" s="14">
        <v>0</v>
      </c>
      <c r="K38" s="14">
        <v>55.841989387565896</v>
      </c>
      <c r="L38" s="14">
        <v>1.7907671466709348E-2</v>
      </c>
      <c r="M38" s="14">
        <v>1.4693244438435022E-2</v>
      </c>
      <c r="N38" s="14">
        <v>142.13361436461346</v>
      </c>
      <c r="O38" s="14">
        <v>36727.325951816114</v>
      </c>
      <c r="P38" s="8">
        <v>142.13361436461346</v>
      </c>
      <c r="Q38" s="54">
        <v>0.53185872608908635</v>
      </c>
    </row>
    <row r="39" spans="1:17">
      <c r="A39" s="2" t="s">
        <v>352</v>
      </c>
      <c r="B39" s="16" t="s">
        <v>408</v>
      </c>
      <c r="D39" s="14">
        <v>1</v>
      </c>
      <c r="E39" s="14">
        <v>0.54722639158435737</v>
      </c>
      <c r="F39" s="14">
        <v>2.3709748649438374E-2</v>
      </c>
      <c r="G39" s="14">
        <v>1.8666179493154833E-3</v>
      </c>
      <c r="H39" s="14">
        <v>960.34427116658549</v>
      </c>
      <c r="I39" s="14">
        <v>4885.2199362126603</v>
      </c>
      <c r="J39" s="14">
        <v>0</v>
      </c>
      <c r="K39" s="14">
        <v>42.176744038308797</v>
      </c>
      <c r="L39" s="14">
        <v>2.3709748649438374E-2</v>
      </c>
      <c r="M39" s="14">
        <v>1.9453848766864186E-2</v>
      </c>
      <c r="N39" s="14">
        <v>93.44550756677107</v>
      </c>
      <c r="O39" s="14">
        <v>22089.58353370901</v>
      </c>
      <c r="P39" s="8">
        <v>93.44550756677107</v>
      </c>
      <c r="Q39" s="54">
        <v>0.47630388157777459</v>
      </c>
    </row>
    <row r="40" spans="1:17">
      <c r="A40" s="2" t="s">
        <v>353</v>
      </c>
      <c r="B40" s="16" t="s">
        <v>409</v>
      </c>
      <c r="D40" s="14">
        <v>1</v>
      </c>
      <c r="E40" s="14">
        <v>0.62970942007144415</v>
      </c>
      <c r="F40" s="14">
        <v>1.7907671466709348E-2</v>
      </c>
      <c r="G40" s="14">
        <v>1.0494641460824968E-5</v>
      </c>
      <c r="H40" s="14">
        <v>940.45737875762586</v>
      </c>
      <c r="I40" s="14">
        <v>7392.5843576130646</v>
      </c>
      <c r="J40" s="14">
        <v>0</v>
      </c>
      <c r="K40" s="14">
        <v>55.841989387565896</v>
      </c>
      <c r="L40" s="14">
        <v>1.7907671466709348E-2</v>
      </c>
      <c r="M40" s="14">
        <v>1.4693244438435022E-2</v>
      </c>
      <c r="N40" s="14">
        <v>142.13361436461346</v>
      </c>
      <c r="O40" s="14">
        <v>36727.325951816114</v>
      </c>
      <c r="P40" s="8">
        <v>142.13361436461346</v>
      </c>
      <c r="Q40" s="54">
        <v>0.53185872608908635</v>
      </c>
    </row>
    <row r="41" spans="1:17">
      <c r="A41" s="2" t="s">
        <v>313</v>
      </c>
      <c r="B41" s="16" t="s">
        <v>314</v>
      </c>
      <c r="D41" s="14">
        <v>1</v>
      </c>
      <c r="E41" s="14">
        <v>0.99966668153371518</v>
      </c>
      <c r="F41" s="14">
        <v>0.99532174640338766</v>
      </c>
      <c r="G41" s="14">
        <v>6.4787969977729035E-10</v>
      </c>
      <c r="H41" s="14">
        <v>13.448798691954158</v>
      </c>
      <c r="I41" s="14">
        <v>2.9632320216105731E-2</v>
      </c>
      <c r="J41" s="14">
        <v>0</v>
      </c>
      <c r="K41" s="14">
        <v>1.0047002425231009</v>
      </c>
      <c r="L41" s="14">
        <v>0.99532174640338777</v>
      </c>
      <c r="M41" s="14">
        <v>0.81666149292397971</v>
      </c>
      <c r="N41" s="14">
        <v>0.97283167082283362</v>
      </c>
      <c r="O41" s="14">
        <v>179.10803891519191</v>
      </c>
      <c r="P41" s="8">
        <v>0.97283167082283362</v>
      </c>
      <c r="Q41" s="54">
        <v>1.2646363423552244E-4</v>
      </c>
    </row>
    <row r="42" spans="1:17">
      <c r="A42" s="2" t="s">
        <v>315</v>
      </c>
      <c r="B42" s="16" t="s">
        <v>316</v>
      </c>
      <c r="D42" s="14">
        <v>1</v>
      </c>
      <c r="E42" s="14">
        <v>0.66247202929702931</v>
      </c>
      <c r="F42" s="14">
        <v>4.8000450735526824E-3</v>
      </c>
      <c r="G42" s="14">
        <v>2.9105415479120124E-4</v>
      </c>
      <c r="H42" s="14">
        <v>503.90111057512831</v>
      </c>
      <c r="I42" s="14">
        <v>12641.612861270924</v>
      </c>
      <c r="J42" s="14">
        <v>0</v>
      </c>
      <c r="K42" s="14">
        <v>208.33137703431285</v>
      </c>
      <c r="L42" s="14">
        <v>4.8000450735526832E-3</v>
      </c>
      <c r="M42" s="14">
        <v>3.9384369828499768E-3</v>
      </c>
      <c r="N42" s="14">
        <v>246.4638524780537</v>
      </c>
      <c r="O42" s="14">
        <v>89937.124407766576</v>
      </c>
      <c r="P42" s="8">
        <v>246.4638524780537</v>
      </c>
      <c r="Q42" s="54">
        <v>0.404391935605315</v>
      </c>
    </row>
    <row r="43" spans="1:17">
      <c r="A43" s="2" t="s">
        <v>317</v>
      </c>
      <c r="B43" s="16" t="s">
        <v>318</v>
      </c>
      <c r="D43" s="14">
        <v>1</v>
      </c>
      <c r="E43" s="14">
        <v>0.73130032833671943</v>
      </c>
      <c r="F43" s="14">
        <v>0.67258746443463946</v>
      </c>
      <c r="G43" s="14">
        <v>9.2891773902397931E-14</v>
      </c>
      <c r="H43" s="14">
        <v>135.31588078446745</v>
      </c>
      <c r="I43" s="14">
        <v>299.09278694758206</v>
      </c>
      <c r="J43" s="14">
        <v>0</v>
      </c>
      <c r="K43" s="14">
        <v>1.4867954769876295</v>
      </c>
      <c r="L43" s="14">
        <v>0.67258746443463946</v>
      </c>
      <c r="M43" s="14">
        <v>0.55185801456862171</v>
      </c>
      <c r="N43" s="14">
        <v>6.0927894145317865</v>
      </c>
      <c r="O43" s="14">
        <v>1933.3639370192263</v>
      </c>
      <c r="P43" s="8">
        <v>6.0927894145317865</v>
      </c>
      <c r="Q43" s="54">
        <v>0.4273718763036487</v>
      </c>
    </row>
    <row r="44" spans="1:17">
      <c r="A44" s="2" t="s">
        <v>307</v>
      </c>
      <c r="B44" s="16" t="s">
        <v>308</v>
      </c>
      <c r="D44" s="14">
        <v>1</v>
      </c>
      <c r="E44" s="14">
        <v>0.64517132059866678</v>
      </c>
      <c r="F44" s="14">
        <v>4.7573048079661916E-2</v>
      </c>
      <c r="G44" s="14">
        <v>9.1379644871472567E-6</v>
      </c>
      <c r="H44" s="14">
        <v>1316.5003479890461</v>
      </c>
      <c r="I44" s="14">
        <v>3537.3509463053247</v>
      </c>
      <c r="J44" s="14">
        <v>0</v>
      </c>
      <c r="K44" s="14">
        <v>21.020305411700384</v>
      </c>
      <c r="L44" s="14">
        <v>4.7573048079661916E-2</v>
      </c>
      <c r="M44" s="14">
        <v>3.9033685949362601E-2</v>
      </c>
      <c r="N44" s="14">
        <v>67.174268659189934</v>
      </c>
      <c r="O44" s="14">
        <v>23550.626849225398</v>
      </c>
      <c r="P44" s="8">
        <v>67.174268659189934</v>
      </c>
      <c r="Q44" s="54">
        <v>0.53861463415087651</v>
      </c>
    </row>
    <row r="45" spans="1:17">
      <c r="A45" s="2" t="s">
        <v>319</v>
      </c>
      <c r="B45" s="16" t="s">
        <v>320</v>
      </c>
      <c r="D45" s="14">
        <v>1</v>
      </c>
      <c r="E45" s="14">
        <v>0.71450932544934387</v>
      </c>
      <c r="F45" s="14">
        <v>2.2873281164249469E-3</v>
      </c>
      <c r="G45" s="14">
        <v>1.0104549509401714E-6</v>
      </c>
      <c r="H45" s="14">
        <v>342.44313830426211</v>
      </c>
      <c r="I45" s="14">
        <v>15572.044611682641</v>
      </c>
      <c r="J45" s="14">
        <v>0</v>
      </c>
      <c r="K45" s="14">
        <v>437.19132065887516</v>
      </c>
      <c r="L45" s="14">
        <v>2.2873281164249473E-3</v>
      </c>
      <c r="M45" s="14">
        <v>1.8767527195266691E-3</v>
      </c>
      <c r="N45" s="14">
        <v>305.79106502902158</v>
      </c>
      <c r="O45" s="14">
        <v>108399.87464213786</v>
      </c>
      <c r="P45" s="8">
        <v>305.79106502902158</v>
      </c>
      <c r="Q45" s="54">
        <v>0.32881047100240962</v>
      </c>
    </row>
    <row r="46" spans="1:17">
      <c r="A46" s="2" t="s">
        <v>321</v>
      </c>
      <c r="B46" s="16" t="s">
        <v>322</v>
      </c>
      <c r="D46" s="14">
        <v>1</v>
      </c>
      <c r="E46" s="14">
        <v>0.68149886751001165</v>
      </c>
      <c r="F46" s="14">
        <v>4.3994529196944125E-3</v>
      </c>
      <c r="G46" s="14">
        <v>1.4337953322199498E-6</v>
      </c>
      <c r="H46" s="14">
        <v>486.47292522002596</v>
      </c>
      <c r="I46" s="14">
        <v>13314.223570095517</v>
      </c>
      <c r="J46" s="14">
        <v>0</v>
      </c>
      <c r="K46" s="14">
        <v>227.30098906694525</v>
      </c>
      <c r="L46" s="14">
        <v>4.3994529196944125E-3</v>
      </c>
      <c r="M46" s="14">
        <v>3.6097511206092656E-3</v>
      </c>
      <c r="N46" s="14">
        <v>259.85055580819079</v>
      </c>
      <c r="O46" s="14">
        <v>92114.423528445564</v>
      </c>
      <c r="P46" s="8">
        <v>259.85055580819085</v>
      </c>
      <c r="Q46" s="54">
        <v>0.40078904783817426</v>
      </c>
    </row>
    <row r="47" spans="1:17">
      <c r="A47" s="2" t="s">
        <v>323</v>
      </c>
      <c r="B47" s="16" t="s">
        <v>324</v>
      </c>
      <c r="D47" s="14">
        <v>1</v>
      </c>
      <c r="E47" s="14">
        <v>0.64686126103380526</v>
      </c>
      <c r="F47" s="14">
        <v>9.3637479442628437E-3</v>
      </c>
      <c r="G47" s="14">
        <v>1.2938925206127561E-5</v>
      </c>
      <c r="H47" s="14">
        <v>707.40758926117303</v>
      </c>
      <c r="I47" s="14">
        <v>10226.49676966816</v>
      </c>
      <c r="J47" s="14">
        <v>0</v>
      </c>
      <c r="K47" s="14">
        <v>106.79484389717031</v>
      </c>
      <c r="L47" s="14">
        <v>9.3637479442628454E-3</v>
      </c>
      <c r="M47" s="14">
        <v>7.6829551882676645E-3</v>
      </c>
      <c r="N47" s="14">
        <v>198.0574407509132</v>
      </c>
      <c r="O47" s="14">
        <v>63386.303337922269</v>
      </c>
      <c r="P47" s="8">
        <v>198.05744075091323</v>
      </c>
      <c r="Q47" s="54">
        <v>0.48075840483017634</v>
      </c>
    </row>
    <row r="48" spans="1:17">
      <c r="A48" s="2" t="s">
        <v>325</v>
      </c>
      <c r="B48" s="16" t="s">
        <v>326</v>
      </c>
      <c r="D48" s="14">
        <v>1</v>
      </c>
      <c r="E48" s="14">
        <v>0.57768072133275372</v>
      </c>
      <c r="F48" s="14">
        <v>0.26269703209190998</v>
      </c>
      <c r="G48" s="14">
        <v>4.9664223985388694E-6</v>
      </c>
      <c r="H48" s="14">
        <v>748.54026435692276</v>
      </c>
      <c r="I48" s="14">
        <v>1361.0445379077566</v>
      </c>
      <c r="J48" s="14">
        <v>0</v>
      </c>
      <c r="K48" s="14">
        <v>3.8066665315431862</v>
      </c>
      <c r="L48" s="14">
        <v>0.26269703209190998</v>
      </c>
      <c r="M48" s="14">
        <v>0.21554291483141216</v>
      </c>
      <c r="N48" s="14">
        <v>25.564235639324636</v>
      </c>
      <c r="O48" s="14">
        <v>7780.4751168284538</v>
      </c>
      <c r="P48" s="8">
        <v>25.564235639324639</v>
      </c>
      <c r="Q48" s="54">
        <v>0.66446534749696806</v>
      </c>
    </row>
    <row r="49" spans="1:17">
      <c r="A49" s="2" t="s">
        <v>275</v>
      </c>
      <c r="B49" s="16" t="s">
        <v>276</v>
      </c>
      <c r="D49" s="14">
        <v>1</v>
      </c>
      <c r="E49" s="14">
        <v>0.64230018789265353</v>
      </c>
      <c r="F49" s="14">
        <v>4.4290006751658319E-2</v>
      </c>
      <c r="G49" s="14">
        <v>1.1753148790013571E-7</v>
      </c>
      <c r="H49" s="14">
        <v>1290.9985262358296</v>
      </c>
      <c r="I49" s="14">
        <v>3784.2769917477112</v>
      </c>
      <c r="J49" s="14">
        <v>0</v>
      </c>
      <c r="K49" s="14">
        <v>22.578456707111648</v>
      </c>
      <c r="L49" s="14">
        <v>4.4290006751658319E-2</v>
      </c>
      <c r="M49" s="14">
        <v>3.6339950539735655E-2</v>
      </c>
      <c r="N49" s="14">
        <v>71.932356604178807</v>
      </c>
      <c r="O49" s="14">
        <v>26650.218798282207</v>
      </c>
      <c r="P49" s="8">
        <v>71.932356604178807</v>
      </c>
      <c r="Q49" s="54">
        <v>0.54222921980368188</v>
      </c>
    </row>
    <row r="50" spans="1:17">
      <c r="A50" s="2" t="s">
        <v>327</v>
      </c>
      <c r="B50" s="16" t="s">
        <v>328</v>
      </c>
      <c r="D50" s="14">
        <v>1</v>
      </c>
      <c r="E50" s="14">
        <v>0.63728191559782221</v>
      </c>
      <c r="F50" s="14">
        <v>3.9154781030595387E-2</v>
      </c>
      <c r="G50" s="14">
        <v>6.1267941250951346E-6</v>
      </c>
      <c r="H50" s="14">
        <v>1244.5283654689342</v>
      </c>
      <c r="I50" s="14">
        <v>4217.5668042230009</v>
      </c>
      <c r="J50" s="14">
        <v>0</v>
      </c>
      <c r="K50" s="14">
        <v>25.539665238291182</v>
      </c>
      <c r="L50" s="14">
        <v>3.9154781030595387E-2</v>
      </c>
      <c r="M50" s="14">
        <v>3.2126497835603521E-2</v>
      </c>
      <c r="N50" s="14">
        <v>80.298710917916523</v>
      </c>
      <c r="O50" s="14">
        <v>30586.581975743582</v>
      </c>
      <c r="P50" s="8">
        <v>80.298710917916523</v>
      </c>
      <c r="Q50" s="54">
        <v>0.54608716644299571</v>
      </c>
    </row>
    <row r="51" spans="1:17">
      <c r="A51" s="2" t="s">
        <v>329</v>
      </c>
      <c r="B51" s="16" t="s">
        <v>330</v>
      </c>
      <c r="D51" s="14">
        <v>1</v>
      </c>
      <c r="E51" s="14">
        <v>0.58702134628218028</v>
      </c>
      <c r="F51" s="14">
        <v>0.19471179458877855</v>
      </c>
      <c r="G51" s="14">
        <v>3.000825538495758E-6</v>
      </c>
      <c r="H51" s="14">
        <v>938.02034825782914</v>
      </c>
      <c r="I51" s="14">
        <v>1640.8520739044652</v>
      </c>
      <c r="J51" s="14">
        <v>0</v>
      </c>
      <c r="K51" s="14">
        <v>5.1357957134129917</v>
      </c>
      <c r="L51" s="14">
        <v>0.19471179458877858</v>
      </c>
      <c r="M51" s="14">
        <v>0.15976102746009282</v>
      </c>
      <c r="N51" s="14">
        <v>30.816808431032936</v>
      </c>
      <c r="O51" s="14">
        <v>8456.1322334754368</v>
      </c>
      <c r="P51" s="8">
        <v>30.816808431032939</v>
      </c>
      <c r="Q51" s="54">
        <v>0.64754421865623746</v>
      </c>
    </row>
    <row r="52" spans="1:17">
      <c r="A52" s="2" t="s">
        <v>277</v>
      </c>
      <c r="B52" s="16" t="s">
        <v>278</v>
      </c>
      <c r="D52" s="14">
        <v>1</v>
      </c>
      <c r="E52" s="14">
        <v>0.57777487661704519</v>
      </c>
      <c r="F52" s="14">
        <v>0.25567658033022767</v>
      </c>
      <c r="G52" s="14">
        <v>7.8415052340867382E-6</v>
      </c>
      <c r="H52" s="14">
        <v>765.89802388800513</v>
      </c>
      <c r="I52" s="14">
        <v>1387.4844347404673</v>
      </c>
      <c r="J52" s="14">
        <v>0</v>
      </c>
      <c r="K52" s="14">
        <v>3.9111912350689941</v>
      </c>
      <c r="L52" s="14">
        <v>0.25567658033022767</v>
      </c>
      <c r="M52" s="14">
        <v>0.2097826341609518</v>
      </c>
      <c r="N52" s="14">
        <v>26.058436462596795</v>
      </c>
      <c r="O52" s="14">
        <v>10603.959549724514</v>
      </c>
      <c r="P52" s="8">
        <v>26.058436462596795</v>
      </c>
      <c r="Q52" s="54">
        <v>0.66378604792694929</v>
      </c>
    </row>
    <row r="53" spans="1:17">
      <c r="A53" s="2" t="s">
        <v>331</v>
      </c>
      <c r="B53" s="16" t="s">
        <v>332</v>
      </c>
      <c r="D53" s="14">
        <v>1</v>
      </c>
      <c r="E53" s="14">
        <v>0.62891674350741167</v>
      </c>
      <c r="F53" s="14">
        <v>2.6184498631441434E-2</v>
      </c>
      <c r="G53" s="14">
        <v>4.1148380805431735E-6</v>
      </c>
      <c r="H53" s="14">
        <v>1088.4895466881164</v>
      </c>
      <c r="I53" s="14">
        <v>5783.3760666886828</v>
      </c>
      <c r="J53" s="14">
        <v>0</v>
      </c>
      <c r="K53" s="14">
        <v>38.190534563042377</v>
      </c>
      <c r="L53" s="14">
        <v>2.6184498631441434E-2</v>
      </c>
      <c r="M53" s="14">
        <v>2.1484381127097697E-2</v>
      </c>
      <c r="N53" s="14">
        <v>110.68184952098967</v>
      </c>
      <c r="O53" s="14">
        <v>42159.823301040175</v>
      </c>
      <c r="P53" s="8">
        <v>110.68184952098967</v>
      </c>
      <c r="Q53" s="54">
        <v>0.54699257784341049</v>
      </c>
    </row>
    <row r="54" spans="1:17">
      <c r="A54" s="2" t="s">
        <v>333</v>
      </c>
      <c r="B54" s="16" t="s">
        <v>334</v>
      </c>
      <c r="D54" s="14">
        <v>1</v>
      </c>
      <c r="E54" s="14">
        <v>0.63981543546851705</v>
      </c>
      <c r="F54" s="14">
        <v>4.1669455609751417E-2</v>
      </c>
      <c r="G54" s="14">
        <v>6.6675505096003438E-9</v>
      </c>
      <c r="H54" s="14">
        <v>1268.3462425587998</v>
      </c>
      <c r="I54" s="14">
        <v>3997.5600604592764</v>
      </c>
      <c r="J54" s="14">
        <v>0</v>
      </c>
      <c r="K54" s="14">
        <v>23.998393676301873</v>
      </c>
      <c r="L54" s="14">
        <v>4.1669455609751417E-2</v>
      </c>
      <c r="M54" s="14">
        <v>3.4189788327801035E-2</v>
      </c>
      <c r="N54" s="14">
        <v>76.047932831977647</v>
      </c>
      <c r="O54" s="14">
        <v>29238.909215238768</v>
      </c>
      <c r="P54" s="8">
        <v>76.047932831977647</v>
      </c>
      <c r="Q54" s="54">
        <v>0.54449638083657137</v>
      </c>
    </row>
    <row r="55" spans="1:17">
      <c r="A55" s="2" t="s">
        <v>335</v>
      </c>
      <c r="B55" s="16" t="s">
        <v>336</v>
      </c>
      <c r="D55" s="14">
        <v>1</v>
      </c>
      <c r="E55" s="14">
        <v>0.6447163663541764</v>
      </c>
      <c r="F55" s="14">
        <v>9.659201456843727E-3</v>
      </c>
      <c r="G55" s="14">
        <v>3.3517352873846894E-5</v>
      </c>
      <c r="H55" s="14">
        <v>717.20155748573904</v>
      </c>
      <c r="I55" s="14">
        <v>10071.598275122271</v>
      </c>
      <c r="J55" s="14">
        <v>0</v>
      </c>
      <c r="K55" s="14">
        <v>103.52822688996523</v>
      </c>
      <c r="L55" s="14">
        <v>9.659201456843727E-3</v>
      </c>
      <c r="M55" s="14">
        <v>7.9253747953402787E-3</v>
      </c>
      <c r="N55" s="14">
        <v>194.98950796557429</v>
      </c>
      <c r="O55" s="14">
        <v>72793.483113708193</v>
      </c>
      <c r="P55" s="8">
        <v>194.98950796557429</v>
      </c>
      <c r="Q55" s="54">
        <v>0.48316825738077479</v>
      </c>
    </row>
    <row r="56" spans="1:17">
      <c r="A56" s="2" t="s">
        <v>337</v>
      </c>
      <c r="B56" s="16" t="s">
        <v>338</v>
      </c>
      <c r="D56" s="14">
        <v>1</v>
      </c>
      <c r="E56" s="14">
        <v>0.64435092342651656</v>
      </c>
      <c r="F56" s="14">
        <v>4.6470720169045479E-2</v>
      </c>
      <c r="G56" s="14">
        <v>2.348485540470089E-6</v>
      </c>
      <c r="H56" s="14">
        <v>1308.4568432591789</v>
      </c>
      <c r="I56" s="14">
        <v>3619.233254492432</v>
      </c>
      <c r="J56" s="14">
        <v>0</v>
      </c>
      <c r="K56" s="14">
        <v>21.518926247803407</v>
      </c>
      <c r="L56" s="14">
        <v>4.6470720169045479E-2</v>
      </c>
      <c r="M56" s="14">
        <v>3.8129225898701817E-2</v>
      </c>
      <c r="N56" s="14">
        <v>68.751095510641065</v>
      </c>
      <c r="O56" s="14">
        <v>26766.17650420278</v>
      </c>
      <c r="P56" s="8">
        <v>68.751095510641079</v>
      </c>
      <c r="Q56" s="54">
        <v>0.5400283674008578</v>
      </c>
    </row>
    <row r="57" spans="1:17">
      <c r="A57" s="2" t="s">
        <v>279</v>
      </c>
      <c r="B57" s="16" t="s">
        <v>280</v>
      </c>
      <c r="D57" s="14">
        <v>1</v>
      </c>
      <c r="E57" s="14">
        <v>0.57313155656803294</v>
      </c>
      <c r="F57" s="14">
        <v>0.2924217859483611</v>
      </c>
      <c r="G57" s="14">
        <v>1.3869417222871862E-4</v>
      </c>
      <c r="H57" s="14">
        <v>665.31869226547599</v>
      </c>
      <c r="I57" s="14">
        <v>1229.94841163213</v>
      </c>
      <c r="J57" s="14">
        <v>0</v>
      </c>
      <c r="K57" s="14">
        <v>3.4197178461135262</v>
      </c>
      <c r="L57" s="14">
        <v>0.2924217859483611</v>
      </c>
      <c r="M57" s="14">
        <v>0.2399320753706303</v>
      </c>
      <c r="N57" s="14">
        <v>23.117802826187951</v>
      </c>
      <c r="O57" s="14">
        <v>6723.350595940241</v>
      </c>
      <c r="P57" s="8">
        <v>23.117802826187951</v>
      </c>
      <c r="Q57" s="54">
        <v>0.65778943824647407</v>
      </c>
    </row>
    <row r="58" spans="1:17">
      <c r="A58" s="2" t="s">
        <v>339</v>
      </c>
      <c r="B58" s="16" t="s">
        <v>340</v>
      </c>
      <c r="D58" s="14">
        <v>1</v>
      </c>
      <c r="E58" s="14">
        <v>0.63934400530642277</v>
      </c>
      <c r="F58" s="14">
        <v>4.1160116944082378E-2</v>
      </c>
      <c r="G58" s="14">
        <v>2.3371419335464595E-8</v>
      </c>
      <c r="H58" s="14">
        <v>1263.736705967219</v>
      </c>
      <c r="I58" s="14">
        <v>4041.2318840743037</v>
      </c>
      <c r="J58" s="14">
        <v>0</v>
      </c>
      <c r="K58" s="14">
        <v>24.295363430539787</v>
      </c>
      <c r="L58" s="14">
        <v>4.1160116944082378E-2</v>
      </c>
      <c r="M58" s="14">
        <v>3.3771875952619594E-2</v>
      </c>
      <c r="N58" s="14">
        <v>76.891225713520242</v>
      </c>
      <c r="O58" s="14">
        <v>26577.452167878269</v>
      </c>
      <c r="P58" s="8">
        <v>76.891225713520242</v>
      </c>
      <c r="Q58" s="54">
        <v>0.54489618939907825</v>
      </c>
    </row>
    <row r="59" spans="1:17">
      <c r="A59" s="2" t="s">
        <v>281</v>
      </c>
      <c r="B59" s="16" t="s">
        <v>282</v>
      </c>
      <c r="D59" s="14">
        <v>1</v>
      </c>
      <c r="E59" s="14">
        <v>0.57804414413292926</v>
      </c>
      <c r="F59" s="14">
        <v>0.25579573642448078</v>
      </c>
      <c r="G59" s="14">
        <v>1.1874129720304721E-6</v>
      </c>
      <c r="H59" s="14">
        <v>766.25496474275531</v>
      </c>
      <c r="I59" s="14">
        <v>1388.1310611380322</v>
      </c>
      <c r="J59" s="14">
        <v>0</v>
      </c>
      <c r="K59" s="14">
        <v>3.9093693037187607</v>
      </c>
      <c r="L59" s="14">
        <v>0.25579573642448078</v>
      </c>
      <c r="M59" s="14">
        <v>0.20988040173628647</v>
      </c>
      <c r="N59" s="14">
        <v>26.070580795516204</v>
      </c>
      <c r="O59" s="14">
        <v>7593.317362502049</v>
      </c>
      <c r="P59" s="8">
        <v>26.070580795516204</v>
      </c>
      <c r="Q59" s="54">
        <v>0.66409540028448055</v>
      </c>
    </row>
    <row r="60" spans="1:17">
      <c r="A60" s="2" t="s">
        <v>341</v>
      </c>
      <c r="B60" s="16" t="s">
        <v>342</v>
      </c>
      <c r="D60" s="14">
        <v>1</v>
      </c>
      <c r="E60" s="14">
        <v>0.62900929180786447</v>
      </c>
      <c r="F60" s="14">
        <v>2.9471617927976042E-2</v>
      </c>
      <c r="G60" s="14">
        <v>3.4290393272587244E-5</v>
      </c>
      <c r="H60" s="14">
        <v>1133.2976241990561</v>
      </c>
      <c r="I60" s="14">
        <v>5284.4664999269908</v>
      </c>
      <c r="J60" s="14">
        <v>0</v>
      </c>
      <c r="K60" s="14">
        <v>33.930950192277919</v>
      </c>
      <c r="L60" s="14">
        <v>2.9471617927976042E-2</v>
      </c>
      <c r="M60" s="14">
        <v>2.4181462509904345E-2</v>
      </c>
      <c r="N60" s="14">
        <v>100.98009822113293</v>
      </c>
      <c r="O60" s="14">
        <v>33856.60733158145</v>
      </c>
      <c r="P60" s="8">
        <v>100.98009822113295</v>
      </c>
      <c r="Q60" s="54">
        <v>0.54752146399135726</v>
      </c>
    </row>
    <row r="61" spans="1:17">
      <c r="A61" s="2" t="s">
        <v>480</v>
      </c>
      <c r="B61" s="16" t="s">
        <v>481</v>
      </c>
      <c r="D61" s="14">
        <v>1</v>
      </c>
      <c r="E61" s="14">
        <v>0.78737144987124741</v>
      </c>
      <c r="F61" s="14">
        <v>0.66343751205915402</v>
      </c>
      <c r="G61" s="14">
        <v>2.022684042997845E-15</v>
      </c>
      <c r="H61" s="14">
        <v>302.56755397624818</v>
      </c>
      <c r="I61" s="14">
        <v>466.76852896819429</v>
      </c>
      <c r="J61" s="14">
        <v>0</v>
      </c>
      <c r="K61" s="14">
        <v>1.5073009617684041</v>
      </c>
      <c r="L61" s="14">
        <v>0.66343751205915402</v>
      </c>
      <c r="M61" s="14">
        <v>0.5443504786445359</v>
      </c>
      <c r="N61" s="14">
        <v>59.950028478171269</v>
      </c>
      <c r="O61" s="14">
        <v>27933.715769403902</v>
      </c>
      <c r="P61" s="8">
        <v>59.950028478171276</v>
      </c>
      <c r="Q61" s="54">
        <v>0.31513857496477155</v>
      </c>
    </row>
    <row r="62" spans="1:17">
      <c r="A62" s="2" t="s">
        <v>482</v>
      </c>
      <c r="B62" s="16" t="s">
        <v>483</v>
      </c>
      <c r="D62" s="14">
        <v>1</v>
      </c>
      <c r="E62" s="14">
        <v>0.63732627550822629</v>
      </c>
      <c r="F62" s="14">
        <v>0.50356542374682012</v>
      </c>
      <c r="G62" s="14">
        <v>6.1515476192098056E-9</v>
      </c>
      <c r="H62" s="14">
        <v>312.14465488997109</v>
      </c>
      <c r="I62" s="14">
        <v>635.05753499242655</v>
      </c>
      <c r="J62" s="14">
        <v>0</v>
      </c>
      <c r="K62" s="14">
        <v>1.9858392829265707</v>
      </c>
      <c r="L62" s="14">
        <v>0.50356542374682012</v>
      </c>
      <c r="M62" s="14">
        <v>0.41317543018426595</v>
      </c>
      <c r="N62" s="14">
        <v>12.161090540849639</v>
      </c>
      <c r="O62" s="14">
        <v>3944.9361605462141</v>
      </c>
      <c r="P62" s="8">
        <v>12.161090540849639</v>
      </c>
      <c r="Q62" s="54">
        <v>0.57519231288869044</v>
      </c>
    </row>
    <row r="63" spans="1:17">
      <c r="A63" s="2" t="s">
        <v>484</v>
      </c>
      <c r="B63" s="16" t="s">
        <v>485</v>
      </c>
      <c r="D63" s="14">
        <v>1</v>
      </c>
      <c r="E63" s="14">
        <v>0.98081790667527347</v>
      </c>
      <c r="F63" s="14">
        <v>0.97738693182255065</v>
      </c>
      <c r="G63" s="14">
        <v>8.3895821410769235E-15</v>
      </c>
      <c r="H63" s="14">
        <v>9.5715404378828737</v>
      </c>
      <c r="I63" s="14">
        <v>11.693383856838203</v>
      </c>
      <c r="J63" s="14">
        <v>0</v>
      </c>
      <c r="K63" s="14">
        <v>1.0231362497708889</v>
      </c>
      <c r="L63" s="14">
        <v>0.97738693182255065</v>
      </c>
      <c r="M63" s="14">
        <v>0.80194597756040287</v>
      </c>
      <c r="N63" s="14">
        <v>5.2446599116833861</v>
      </c>
      <c r="O63" s="14">
        <v>2315.8320306029159</v>
      </c>
      <c r="P63" s="8">
        <v>5.2446599116833861</v>
      </c>
      <c r="Q63" s="54">
        <v>2.8498382187550856E-2</v>
      </c>
    </row>
    <row r="64" spans="1:17">
      <c r="A64" s="2" t="s">
        <v>486</v>
      </c>
      <c r="B64" s="16" t="s">
        <v>487</v>
      </c>
      <c r="D64" s="14">
        <v>1</v>
      </c>
      <c r="E64" s="14">
        <v>0.99790106173187276</v>
      </c>
      <c r="F64" s="14">
        <v>0.99704609668226396</v>
      </c>
      <c r="G64" s="14">
        <v>1.480026310809238E-16</v>
      </c>
      <c r="H64" s="14">
        <v>3.4913648690310968</v>
      </c>
      <c r="I64" s="14">
        <v>0.40136011630180651</v>
      </c>
      <c r="J64" s="14">
        <v>0</v>
      </c>
      <c r="K64" s="14">
        <v>1.002962654713323</v>
      </c>
      <c r="L64" s="14">
        <v>0.99704609668226396</v>
      </c>
      <c r="M64" s="14">
        <v>0.81807632232779759</v>
      </c>
      <c r="N64" s="14">
        <v>0.95187706588555099</v>
      </c>
      <c r="O64" s="14">
        <v>382.11201055843674</v>
      </c>
      <c r="P64" s="8">
        <v>0.95187706588555099</v>
      </c>
      <c r="Q64" s="54">
        <v>2.9602896985046838E-3</v>
      </c>
    </row>
    <row r="65" spans="1:17">
      <c r="A65" s="2" t="s">
        <v>488</v>
      </c>
      <c r="B65" s="16" t="s">
        <v>489</v>
      </c>
      <c r="D65" s="14">
        <v>1</v>
      </c>
      <c r="E65" s="14">
        <v>0.99884185185026386</v>
      </c>
      <c r="F65" s="14">
        <v>0.99906497685422602</v>
      </c>
      <c r="G65" s="14">
        <v>2.4410467335778889E-14</v>
      </c>
      <c r="H65" s="14">
        <v>0.45266783952030065</v>
      </c>
      <c r="I65" s="14">
        <v>0.18641668309957365</v>
      </c>
      <c r="J65" s="14">
        <v>0</v>
      </c>
      <c r="K65" s="14">
        <v>1.0009358982322831</v>
      </c>
      <c r="L65" s="14">
        <v>0.99906497685422613</v>
      </c>
      <c r="M65" s="14">
        <v>0.81973281350889249</v>
      </c>
      <c r="N65" s="14">
        <v>1.3074090756981762</v>
      </c>
      <c r="O65" s="14">
        <v>362.62298123564614</v>
      </c>
      <c r="P65" s="8">
        <v>1.3074090756981762</v>
      </c>
      <c r="Q65" s="54">
        <v>1.3063657219915953E-3</v>
      </c>
    </row>
    <row r="66" spans="1:17">
      <c r="A66" s="2" t="s">
        <v>490</v>
      </c>
      <c r="B66" s="16" t="s">
        <v>491</v>
      </c>
      <c r="D66" s="14">
        <v>1</v>
      </c>
      <c r="E66" s="14">
        <v>0.97965193418351104</v>
      </c>
      <c r="F66" s="14">
        <v>0.95463664421965544</v>
      </c>
      <c r="G66" s="14">
        <v>3.9399914050995136E-13</v>
      </c>
      <c r="H66" s="14">
        <v>70.392068736556993</v>
      </c>
      <c r="I66" s="14">
        <v>16.334211814948802</v>
      </c>
      <c r="J66" s="14">
        <v>0</v>
      </c>
      <c r="K66" s="14">
        <v>1.0475189759947103</v>
      </c>
      <c r="L66" s="14">
        <v>0.95463664421965544</v>
      </c>
      <c r="M66" s="14">
        <v>0.7832793665822273</v>
      </c>
      <c r="N66" s="14">
        <v>43.435162680659481</v>
      </c>
      <c r="O66" s="14">
        <v>14091.235476859551</v>
      </c>
      <c r="P66" s="8">
        <v>43.435162680659488</v>
      </c>
      <c r="Q66" s="54">
        <v>1.4395215906714155E-2</v>
      </c>
    </row>
    <row r="67" spans="1:17">
      <c r="A67" s="2" t="s">
        <v>492</v>
      </c>
      <c r="B67" s="16" t="s">
        <v>493</v>
      </c>
      <c r="D67" s="14">
        <v>1</v>
      </c>
      <c r="E67" s="14">
        <v>0.99875680987860127</v>
      </c>
      <c r="F67" s="14">
        <v>0.99900463118137839</v>
      </c>
      <c r="G67" s="14">
        <v>1.9068476239255575E-14</v>
      </c>
      <c r="H67" s="14">
        <v>0.38167810907202904</v>
      </c>
      <c r="I67" s="14">
        <v>0.19318517754301456</v>
      </c>
      <c r="J67" s="14">
        <v>0</v>
      </c>
      <c r="K67" s="14">
        <v>1.00099636056486</v>
      </c>
      <c r="L67" s="14">
        <v>0.99900463118137839</v>
      </c>
      <c r="M67" s="14">
        <v>0.81968329988432098</v>
      </c>
      <c r="N67" s="14">
        <v>1.2442598630957098</v>
      </c>
      <c r="O67" s="14">
        <v>389.97592629145737</v>
      </c>
      <c r="P67" s="8">
        <v>1.2442598630957098</v>
      </c>
      <c r="Q67" s="54">
        <v>1.468837668013084E-3</v>
      </c>
    </row>
    <row r="68" spans="1:17">
      <c r="A68" s="2" t="s">
        <v>494</v>
      </c>
      <c r="B68" s="16" t="s">
        <v>495</v>
      </c>
      <c r="D68" s="14">
        <v>1</v>
      </c>
      <c r="E68" s="14">
        <v>0.99937408595278532</v>
      </c>
      <c r="F68" s="14">
        <v>0.99974664018293358</v>
      </c>
      <c r="G68" s="14">
        <v>1.7228291663252289E-13</v>
      </c>
      <c r="H68" s="14">
        <v>4.5349919604228031E-2</v>
      </c>
      <c r="I68" s="14">
        <v>3.2396956500717479E-2</v>
      </c>
      <c r="J68" s="14">
        <v>0</v>
      </c>
      <c r="K68" s="14">
        <v>1.0002534240245309</v>
      </c>
      <c r="L68" s="14">
        <v>0.99974664018293369</v>
      </c>
      <c r="M68" s="14">
        <v>0.82029211827009707</v>
      </c>
      <c r="N68" s="14">
        <v>0.97710144683274147</v>
      </c>
      <c r="O68" s="14">
        <v>266.12335005936546</v>
      </c>
      <c r="P68" s="8">
        <v>0.97710144683274147</v>
      </c>
      <c r="Q68" s="54">
        <v>5.929037712786489E-4</v>
      </c>
    </row>
    <row r="69" spans="1:17">
      <c r="A69" s="2" t="s">
        <v>496</v>
      </c>
      <c r="B69" s="16" t="s">
        <v>497</v>
      </c>
      <c r="D69" s="14">
        <v>1</v>
      </c>
      <c r="E69" s="14">
        <v>0.65061710952422391</v>
      </c>
      <c r="F69" s="14">
        <v>5.2501407033586418E-2</v>
      </c>
      <c r="G69" s="14">
        <v>5.8366201522434601E-13</v>
      </c>
      <c r="H69" s="14">
        <v>1352.143991470733</v>
      </c>
      <c r="I69" s="14">
        <v>3220.9954652655997</v>
      </c>
      <c r="J69" s="14">
        <v>0</v>
      </c>
      <c r="K69" s="14">
        <v>19.047108572924067</v>
      </c>
      <c r="L69" s="14">
        <v>5.2501407033586425E-2</v>
      </c>
      <c r="M69" s="14">
        <v>4.3077404471057658E-2</v>
      </c>
      <c r="N69" s="14">
        <v>61.08694378123996</v>
      </c>
      <c r="O69" s="14">
        <v>26242.340178982871</v>
      </c>
      <c r="P69" s="8">
        <v>61.08694378123996</v>
      </c>
      <c r="Q69" s="54">
        <v>0.53347013726947579</v>
      </c>
    </row>
    <row r="70" spans="1:17">
      <c r="A70" s="2" t="s">
        <v>498</v>
      </c>
      <c r="B70" s="16" t="s">
        <v>411</v>
      </c>
      <c r="D70" s="14">
        <v>1</v>
      </c>
      <c r="E70" s="14">
        <v>0.99972432283885437</v>
      </c>
      <c r="F70" s="14">
        <v>0.99701423955409896</v>
      </c>
      <c r="G70" s="14">
        <v>3.1727061373238467E-15</v>
      </c>
      <c r="H70" s="14">
        <v>8.8064598827011782</v>
      </c>
      <c r="I70" s="14">
        <v>7.7492308834454854E-3</v>
      </c>
      <c r="J70" s="14">
        <v>0</v>
      </c>
      <c r="K70" s="14">
        <v>1.0029947019084064</v>
      </c>
      <c r="L70" s="14">
        <v>0.99701423955409896</v>
      </c>
      <c r="M70" s="14">
        <v>0.81805018355413817</v>
      </c>
      <c r="N70" s="14">
        <v>0.96092692188053785</v>
      </c>
      <c r="O70" s="14">
        <v>288.37416925634943</v>
      </c>
      <c r="P70" s="8">
        <v>0.96092692188053797</v>
      </c>
      <c r="Q70" s="54">
        <v>3.9287880541822357E-5</v>
      </c>
    </row>
    <row r="71" spans="1:17">
      <c r="A71" s="2" t="s">
        <v>499</v>
      </c>
      <c r="B71" s="16" t="s">
        <v>412</v>
      </c>
      <c r="D71" s="14">
        <v>1</v>
      </c>
      <c r="E71" s="14">
        <v>0.99970919248764822</v>
      </c>
      <c r="F71" s="14">
        <v>0.99417694427595604</v>
      </c>
      <c r="G71" s="14">
        <v>1.4850864674672114E-10</v>
      </c>
      <c r="H71" s="14">
        <v>16.82378413468065</v>
      </c>
      <c r="I71" s="14">
        <v>1.4156360595790582E-2</v>
      </c>
      <c r="J71" s="14">
        <v>0</v>
      </c>
      <c r="K71" s="14">
        <v>1.0058571623065395</v>
      </c>
      <c r="L71" s="14">
        <v>0.99417694427595615</v>
      </c>
      <c r="M71" s="14">
        <v>0.81572218277842201</v>
      </c>
      <c r="N71" s="14">
        <v>0.98084648960257814</v>
      </c>
      <c r="O71" s="14">
        <v>321.86477556308597</v>
      </c>
      <c r="P71" s="8">
        <v>0.98084648960257814</v>
      </c>
      <c r="Q71" s="54">
        <v>5.5150774608242748E-5</v>
      </c>
    </row>
    <row r="72" spans="1:17">
      <c r="A72" s="2" t="s">
        <v>500</v>
      </c>
      <c r="B72" s="16" t="s">
        <v>413</v>
      </c>
      <c r="D72" s="14">
        <v>1</v>
      </c>
      <c r="E72" s="14">
        <v>0.9879636729421698</v>
      </c>
      <c r="F72" s="14">
        <v>3.7329770820432262E-2</v>
      </c>
      <c r="G72" s="14">
        <v>1.8289582403919563E-11</v>
      </c>
      <c r="H72" s="14">
        <v>2700.6936522450678</v>
      </c>
      <c r="I72" s="14">
        <v>11.484214570779706</v>
      </c>
      <c r="J72" s="14">
        <v>0</v>
      </c>
      <c r="K72" s="14">
        <v>26.788270541769702</v>
      </c>
      <c r="L72" s="14">
        <v>3.7329770820432269E-2</v>
      </c>
      <c r="M72" s="14">
        <v>3.0629076958164674E-2</v>
      </c>
      <c r="N72" s="14">
        <v>44.699097798721745</v>
      </c>
      <c r="O72" s="14">
        <v>20743.957306430788</v>
      </c>
      <c r="P72" s="8">
        <v>44.699097798721745</v>
      </c>
      <c r="Q72" s="54">
        <v>5.6793848452247784E-4</v>
      </c>
    </row>
    <row r="73" spans="1:17">
      <c r="A73" s="2" t="s">
        <v>501</v>
      </c>
      <c r="B73" s="16" t="s">
        <v>414</v>
      </c>
      <c r="D73" s="14">
        <v>1</v>
      </c>
      <c r="E73" s="14">
        <v>0.99863149338286505</v>
      </c>
      <c r="F73" s="14">
        <v>0.27297572155070787</v>
      </c>
      <c r="G73" s="14">
        <v>1.8838767598378638E-11</v>
      </c>
      <c r="H73" s="14">
        <v>2062.6427880005908</v>
      </c>
      <c r="I73" s="14">
        <v>1.1039515083859306</v>
      </c>
      <c r="J73" s="14">
        <v>0</v>
      </c>
      <c r="K73" s="14">
        <v>3.6633294503967098</v>
      </c>
      <c r="L73" s="14">
        <v>0.27297572155070787</v>
      </c>
      <c r="M73" s="14">
        <v>0.22397657953235584</v>
      </c>
      <c r="N73" s="14">
        <v>4.3683965805152001</v>
      </c>
      <c r="O73" s="14">
        <v>1371.8949461107989</v>
      </c>
      <c r="P73" s="8">
        <v>4.368396580515201</v>
      </c>
      <c r="Q73" s="54">
        <v>3.6303625394071477E-4</v>
      </c>
    </row>
    <row r="74" spans="1:17">
      <c r="A74" s="2" t="s">
        <v>502</v>
      </c>
      <c r="B74" s="16" t="s">
        <v>415</v>
      </c>
      <c r="D74" s="14">
        <v>1</v>
      </c>
      <c r="E74" s="14">
        <v>0.99971204800870717</v>
      </c>
      <c r="F74" s="14">
        <v>0.99474045662090504</v>
      </c>
      <c r="G74" s="14">
        <v>1.8270828756824276E-11</v>
      </c>
      <c r="H74" s="14">
        <v>15.231047807123439</v>
      </c>
      <c r="I74" s="14">
        <v>1.2872288234891905E-2</v>
      </c>
      <c r="J74" s="14">
        <v>0</v>
      </c>
      <c r="K74" s="14">
        <v>1.0052873524386063</v>
      </c>
      <c r="L74" s="14">
        <v>0.99474045662090504</v>
      </c>
      <c r="M74" s="14">
        <v>0.8161845446574526</v>
      </c>
      <c r="N74" s="14">
        <v>0.97695839093017722</v>
      </c>
      <c r="O74" s="14">
        <v>209.10817399469514</v>
      </c>
      <c r="P74" s="8">
        <v>0.97695839093017733</v>
      </c>
      <c r="Q74" s="54">
        <v>5.2222271207952725E-5</v>
      </c>
    </row>
    <row r="75" spans="1:17">
      <c r="A75" s="2" t="s">
        <v>503</v>
      </c>
      <c r="B75" s="16" t="s">
        <v>416</v>
      </c>
      <c r="D75" s="14">
        <v>1</v>
      </c>
      <c r="E75" s="14">
        <v>0.99865684570565671</v>
      </c>
      <c r="F75" s="14">
        <v>0.30904903815621637</v>
      </c>
      <c r="G75" s="14">
        <v>7.7363455962045796E-11</v>
      </c>
      <c r="H75" s="14">
        <v>1960.2316465341546</v>
      </c>
      <c r="I75" s="14">
        <v>1.0627555236370416</v>
      </c>
      <c r="J75" s="14">
        <v>0</v>
      </c>
      <c r="K75" s="14">
        <v>3.2357324454591105</v>
      </c>
      <c r="L75" s="14">
        <v>0.30904903815621637</v>
      </c>
      <c r="M75" s="14">
        <v>0.25357473580717554</v>
      </c>
      <c r="N75" s="14">
        <v>4.2423397379091057</v>
      </c>
      <c r="O75" s="14">
        <v>1756.6256152760234</v>
      </c>
      <c r="P75" s="8">
        <v>4.2423397379091057</v>
      </c>
      <c r="Q75" s="54">
        <v>3.7517455049773972E-4</v>
      </c>
    </row>
    <row r="76" spans="1:17">
      <c r="A76" s="2" t="s">
        <v>504</v>
      </c>
      <c r="B76" s="16" t="s">
        <v>417</v>
      </c>
      <c r="D76" s="14">
        <v>1</v>
      </c>
      <c r="E76" s="14">
        <v>0.99943524188382282</v>
      </c>
      <c r="F76" s="14">
        <v>0.89050436843810121</v>
      </c>
      <c r="G76" s="14">
        <v>4.9111602768312341E-10</v>
      </c>
      <c r="H76" s="14">
        <v>310.56753444952</v>
      </c>
      <c r="I76" s="14">
        <v>0.20911442090669841</v>
      </c>
      <c r="J76" s="14">
        <v>0</v>
      </c>
      <c r="K76" s="14">
        <v>1.1229591178243723</v>
      </c>
      <c r="L76" s="14">
        <v>0.89050436843810121</v>
      </c>
      <c r="M76" s="14">
        <v>0.73065883430346201</v>
      </c>
      <c r="N76" s="14">
        <v>1.5890996995100293</v>
      </c>
      <c r="O76" s="14">
        <v>680.40481833920921</v>
      </c>
      <c r="P76" s="8">
        <v>1.5890996995100293</v>
      </c>
      <c r="Q76" s="54">
        <v>2.3910242653293879E-4</v>
      </c>
    </row>
    <row r="77" spans="1:17">
      <c r="A77" s="2" t="s">
        <v>505</v>
      </c>
      <c r="B77" s="16" t="s">
        <v>418</v>
      </c>
      <c r="D77" s="14">
        <v>1</v>
      </c>
      <c r="E77" s="14">
        <v>0.9986374301423967</v>
      </c>
      <c r="F77" s="14">
        <v>0.2830107770614062</v>
      </c>
      <c r="G77" s="14">
        <v>5.7625011780505781E-10</v>
      </c>
      <c r="H77" s="14">
        <v>2034.1499942270816</v>
      </c>
      <c r="I77" s="14">
        <v>1.0960008806251553</v>
      </c>
      <c r="J77" s="14">
        <v>0</v>
      </c>
      <c r="K77" s="14">
        <v>3.5334343461522146</v>
      </c>
      <c r="L77" s="14">
        <v>0.2830107770614062</v>
      </c>
      <c r="M77" s="14">
        <v>0.23221034257888379</v>
      </c>
      <c r="N77" s="14">
        <v>4.3341388587258498</v>
      </c>
      <c r="O77" s="14">
        <v>2289.2054624018187</v>
      </c>
      <c r="P77" s="8">
        <v>4.3341388587258498</v>
      </c>
      <c r="Q77" s="54">
        <v>3.6779930402365915E-4</v>
      </c>
    </row>
    <row r="78" spans="1:17">
      <c r="A78" s="2" t="s">
        <v>506</v>
      </c>
      <c r="B78" s="16" t="s">
        <v>419</v>
      </c>
      <c r="D78" s="14">
        <v>1</v>
      </c>
      <c r="E78" s="14">
        <v>0.98989397245713506</v>
      </c>
      <c r="F78" s="14">
        <v>4.1329619467263295E-2</v>
      </c>
      <c r="G78" s="14">
        <v>7.3398954283332886E-11</v>
      </c>
      <c r="H78" s="14">
        <v>2695.0163645682114</v>
      </c>
      <c r="I78" s="14">
        <v>9.6291373433025562</v>
      </c>
      <c r="J78" s="14">
        <v>0</v>
      </c>
      <c r="K78" s="14">
        <v>24.195722411431539</v>
      </c>
      <c r="L78" s="14">
        <v>4.1329619467263302E-2</v>
      </c>
      <c r="M78" s="14">
        <v>3.3910952772889538E-2</v>
      </c>
      <c r="N78" s="14">
        <v>37.384910460398252</v>
      </c>
      <c r="O78" s="14">
        <v>21088.454141606049</v>
      </c>
      <c r="P78" s="8">
        <v>37.384910460398252</v>
      </c>
      <c r="Q78" s="54">
        <v>5.3775862072618719E-4</v>
      </c>
    </row>
    <row r="79" spans="1:17">
      <c r="A79" s="2" t="s">
        <v>507</v>
      </c>
      <c r="B79" s="16" t="s">
        <v>420</v>
      </c>
      <c r="D79" s="14">
        <v>1</v>
      </c>
      <c r="E79" s="14">
        <v>0.98989403674024279</v>
      </c>
      <c r="F79" s="14">
        <v>4.1329624568887086E-2</v>
      </c>
      <c r="G79" s="14">
        <v>1.843698693405844E-15</v>
      </c>
      <c r="H79" s="14">
        <v>2695.0166972342208</v>
      </c>
      <c r="I79" s="14">
        <v>9.6276146660377702</v>
      </c>
      <c r="J79" s="14">
        <v>0</v>
      </c>
      <c r="K79" s="14">
        <v>24.195719424773081</v>
      </c>
      <c r="L79" s="14">
        <v>4.1329624568887086E-2</v>
      </c>
      <c r="M79" s="14">
        <v>3.391095695877186E-2</v>
      </c>
      <c r="N79" s="14">
        <v>37.384887511955149</v>
      </c>
      <c r="O79" s="14">
        <v>18697.30379135413</v>
      </c>
      <c r="P79" s="8">
        <v>37.384887511955149</v>
      </c>
      <c r="Q79" s="54">
        <v>5.3767358373932859E-4</v>
      </c>
    </row>
    <row r="80" spans="1:17">
      <c r="A80" s="2" t="s">
        <v>508</v>
      </c>
      <c r="B80" s="16" t="s">
        <v>421</v>
      </c>
      <c r="D80" s="14">
        <v>1</v>
      </c>
      <c r="E80" s="14">
        <v>0.99905714456395334</v>
      </c>
      <c r="F80" s="14">
        <v>0.66719069331941794</v>
      </c>
      <c r="G80" s="14">
        <v>8.6927751383584101E-11</v>
      </c>
      <c r="H80" s="14">
        <v>943.90867973551497</v>
      </c>
      <c r="I80" s="14">
        <v>0.57155227040752732</v>
      </c>
      <c r="J80" s="14">
        <v>0</v>
      </c>
      <c r="K80" s="14">
        <v>1.4988218660916621</v>
      </c>
      <c r="L80" s="14">
        <v>0.66719069331941805</v>
      </c>
      <c r="M80" s="14">
        <v>0.54742996386858245</v>
      </c>
      <c r="N80" s="14">
        <v>2.7216226867291526</v>
      </c>
      <c r="O80" s="14">
        <v>990.83395533061525</v>
      </c>
      <c r="P80" s="8">
        <v>2.7216226867291526</v>
      </c>
      <c r="Q80" s="54">
        <v>3.7055779568848107E-4</v>
      </c>
    </row>
    <row r="81" spans="1:17">
      <c r="A81" s="2" t="s">
        <v>509</v>
      </c>
      <c r="B81" s="16" t="s">
        <v>422</v>
      </c>
      <c r="D81" s="14">
        <v>1</v>
      </c>
      <c r="E81" s="14">
        <v>0.9996436827752686</v>
      </c>
      <c r="F81" s="14">
        <v>0.97643880259359772</v>
      </c>
      <c r="G81" s="14">
        <v>3.4458272044521983E-11</v>
      </c>
      <c r="H81" s="14">
        <v>67.029353320506715</v>
      </c>
      <c r="I81" s="14">
        <v>5.0721373339606003E-2</v>
      </c>
      <c r="J81" s="14">
        <v>0</v>
      </c>
      <c r="K81" s="14">
        <v>1.0241297225630723</v>
      </c>
      <c r="L81" s="14">
        <v>0.97643880259359783</v>
      </c>
      <c r="M81" s="14">
        <v>0.80116803752804699</v>
      </c>
      <c r="N81" s="14">
        <v>1.0954856854341275</v>
      </c>
      <c r="O81" s="14">
        <v>289.26299523888139</v>
      </c>
      <c r="P81" s="8">
        <v>1.0954856854341275</v>
      </c>
      <c r="Q81" s="54">
        <v>1.1204461897378903E-4</v>
      </c>
    </row>
    <row r="82" spans="1:17">
      <c r="A82" s="2" t="s">
        <v>510</v>
      </c>
      <c r="B82" s="16" t="s">
        <v>423</v>
      </c>
      <c r="D82" s="14">
        <v>1</v>
      </c>
      <c r="E82" s="14">
        <v>0.99954463432304597</v>
      </c>
      <c r="F82" s="14">
        <v>0.93971930523869784</v>
      </c>
      <c r="G82" s="14">
        <v>1.1040446475058348E-14</v>
      </c>
      <c r="H82" s="14">
        <v>171.06381328965298</v>
      </c>
      <c r="I82" s="14">
        <v>0.12045238081333173</v>
      </c>
      <c r="J82" s="14">
        <v>0</v>
      </c>
      <c r="K82" s="14">
        <v>1.0641475538761973</v>
      </c>
      <c r="L82" s="14">
        <v>0.93971930523869784</v>
      </c>
      <c r="M82" s="14">
        <v>0.77103968994835159</v>
      </c>
      <c r="N82" s="14">
        <v>1.3138229008550533</v>
      </c>
      <c r="O82" s="14">
        <v>525.67368086111537</v>
      </c>
      <c r="P82" s="8">
        <v>1.3138229008550535</v>
      </c>
      <c r="Q82" s="54">
        <v>1.7923193294529328E-4</v>
      </c>
    </row>
    <row r="83" spans="1:17">
      <c r="A83" s="2" t="s">
        <v>511</v>
      </c>
      <c r="B83" s="16" t="s">
        <v>424</v>
      </c>
      <c r="D83" s="14">
        <v>1</v>
      </c>
      <c r="E83" s="14">
        <v>0.98056878038227457</v>
      </c>
      <c r="F83" s="14">
        <v>2.8098894574826203E-2</v>
      </c>
      <c r="G83" s="14">
        <v>2.6352249930551126E-11</v>
      </c>
      <c r="H83" s="14">
        <v>2705.1368149612631</v>
      </c>
      <c r="I83" s="14">
        <v>18.565865908915931</v>
      </c>
      <c r="J83" s="14">
        <v>0</v>
      </c>
      <c r="K83" s="14">
        <v>35.588588630668049</v>
      </c>
      <c r="L83" s="14">
        <v>2.8098894574826203E-2</v>
      </c>
      <c r="M83" s="14">
        <v>2.30551429986449E-2</v>
      </c>
      <c r="N83" s="14">
        <v>72.782338297772185</v>
      </c>
      <c r="O83" s="14">
        <v>37415.944472118725</v>
      </c>
      <c r="P83" s="8">
        <v>72.782338297772185</v>
      </c>
      <c r="Q83" s="54">
        <v>6.5722671666678235E-4</v>
      </c>
    </row>
    <row r="84" spans="1:17">
      <c r="A84" s="2" t="s">
        <v>395</v>
      </c>
      <c r="B84" s="16" t="s">
        <v>396</v>
      </c>
      <c r="D84" s="14">
        <v>1</v>
      </c>
      <c r="E84" s="14">
        <v>0.6942173966046129</v>
      </c>
      <c r="F84" s="14">
        <v>0.61275339566201237</v>
      </c>
      <c r="G84" s="14">
        <v>1.067908920575237E-45</v>
      </c>
      <c r="H84" s="14">
        <v>188.58438361924516</v>
      </c>
      <c r="I84" s="14">
        <v>403.98282088868922</v>
      </c>
      <c r="J84" s="14">
        <v>0</v>
      </c>
      <c r="K84" s="14">
        <v>1.6319779002115695</v>
      </c>
      <c r="L84" s="14">
        <v>0.61275339566201237</v>
      </c>
      <c r="M84" s="14">
        <v>0.50276416114068123</v>
      </c>
      <c r="N84" s="14">
        <v>7.9741686952675277</v>
      </c>
      <c r="O84" s="14">
        <v>9589.8150146156804</v>
      </c>
      <c r="P84" s="8">
        <v>7.9741686952675286</v>
      </c>
      <c r="Q84" s="54">
        <v>0.48591789969550436</v>
      </c>
    </row>
    <row r="85" spans="1:17">
      <c r="A85" s="2" t="s">
        <v>397</v>
      </c>
      <c r="B85" s="16" t="s">
        <v>398</v>
      </c>
      <c r="D85" s="14">
        <v>1</v>
      </c>
      <c r="E85" s="14">
        <v>0.56348350834565974</v>
      </c>
      <c r="F85" s="14">
        <v>0.21287296196891795</v>
      </c>
      <c r="G85" s="14">
        <v>6.4563581979902949E-10</v>
      </c>
      <c r="H85" s="14">
        <v>947.22208314796751</v>
      </c>
      <c r="I85" s="14">
        <v>458.49776414354892</v>
      </c>
      <c r="J85" s="14">
        <v>0</v>
      </c>
      <c r="K85" s="14">
        <v>4.697637458279047</v>
      </c>
      <c r="L85" s="14">
        <v>0.21287296196891795</v>
      </c>
      <c r="M85" s="14">
        <v>0.17466226529549717</v>
      </c>
      <c r="N85" s="14">
        <v>1564.5102223569136</v>
      </c>
      <c r="O85" s="14">
        <v>498859.72950072546</v>
      </c>
      <c r="P85" s="8">
        <v>1564.5102223569136</v>
      </c>
      <c r="Q85" s="54">
        <v>4.4252440027561499E-2</v>
      </c>
    </row>
    <row r="86" spans="1:17">
      <c r="A86" s="2" t="s">
        <v>399</v>
      </c>
      <c r="B86" s="16" t="s">
        <v>400</v>
      </c>
      <c r="D86" s="14">
        <v>1</v>
      </c>
      <c r="E86" s="14">
        <v>0.70482775167054246</v>
      </c>
      <c r="F86" s="14">
        <v>2.7692742982613466E-3</v>
      </c>
      <c r="G86" s="14">
        <v>2.2230767809729186E-6</v>
      </c>
      <c r="H86" s="14">
        <v>380.21213599631363</v>
      </c>
      <c r="I86" s="14">
        <v>14954.887342558701</v>
      </c>
      <c r="J86" s="14">
        <v>0</v>
      </c>
      <c r="K86" s="14">
        <v>361.10543496100667</v>
      </c>
      <c r="L86" s="14">
        <v>2.7692742982613466E-3</v>
      </c>
      <c r="M86" s="14">
        <v>2.2721895617234351E-3</v>
      </c>
      <c r="N86" s="14">
        <v>293.15563001116709</v>
      </c>
      <c r="O86" s="14">
        <v>142412.07350312488</v>
      </c>
      <c r="P86" s="8">
        <v>293.15563001116715</v>
      </c>
      <c r="Q86" s="54">
        <v>0.34944847196566015</v>
      </c>
    </row>
    <row r="87" spans="1:17">
      <c r="A87" s="2" t="s">
        <v>401</v>
      </c>
      <c r="B87" s="16" t="s">
        <v>402</v>
      </c>
      <c r="D87" s="14">
        <v>1</v>
      </c>
      <c r="E87" s="14">
        <v>0.75302931747203317</v>
      </c>
      <c r="F87" s="14">
        <v>1.0109586106639261E-3</v>
      </c>
      <c r="G87" s="14">
        <v>2.8998922634608847E-7</v>
      </c>
      <c r="H87" s="14">
        <v>215.85065737520139</v>
      </c>
      <c r="I87" s="14">
        <v>17791.417307436404</v>
      </c>
      <c r="J87" s="14">
        <v>0</v>
      </c>
      <c r="K87" s="14">
        <v>989.16017871717895</v>
      </c>
      <c r="L87" s="14">
        <v>1.0109586106639261E-3</v>
      </c>
      <c r="M87" s="14">
        <v>8.2949154004975136E-4</v>
      </c>
      <c r="N87" s="14">
        <v>351.90713069078669</v>
      </c>
      <c r="O87" s="14">
        <v>198718.43762978035</v>
      </c>
      <c r="P87" s="8">
        <v>351.90713069078669</v>
      </c>
      <c r="Q87" s="54">
        <v>0.24797651167188842</v>
      </c>
    </row>
    <row r="88" spans="1:17">
      <c r="A88" s="2" t="s">
        <v>301</v>
      </c>
      <c r="B88" s="16" t="s">
        <v>302</v>
      </c>
      <c r="D88" s="14">
        <v>1</v>
      </c>
      <c r="E88" s="14">
        <v>0.79841207076547616</v>
      </c>
      <c r="F88" s="14">
        <v>2.9702008630132616E-4</v>
      </c>
      <c r="G88" s="14">
        <v>3.7489902212794729E-8</v>
      </c>
      <c r="H88" s="14">
        <v>104.78179160664259</v>
      </c>
      <c r="I88" s="14">
        <v>20032.861602910638</v>
      </c>
      <c r="J88" s="14">
        <v>0</v>
      </c>
      <c r="K88" s="14">
        <v>3366.7756697959558</v>
      </c>
      <c r="L88" s="14">
        <v>2.9702008630132616E-4</v>
      </c>
      <c r="M88" s="14">
        <v>2.4370498081023812E-4</v>
      </c>
      <c r="N88" s="14">
        <v>400.32595930723329</v>
      </c>
      <c r="O88" s="14">
        <v>257641.78089094922</v>
      </c>
      <c r="P88" s="8">
        <v>400.32595930723329</v>
      </c>
      <c r="Q88" s="54">
        <v>0.15514686012119247</v>
      </c>
    </row>
    <row r="89" spans="1:17">
      <c r="A89" s="2" t="s">
        <v>303</v>
      </c>
      <c r="B89" s="16" t="s">
        <v>304</v>
      </c>
      <c r="D89" s="14">
        <v>1</v>
      </c>
      <c r="E89" s="14">
        <v>0.11985487814312254</v>
      </c>
      <c r="F89" s="14">
        <v>2.8541741015769874E-3</v>
      </c>
      <c r="G89" s="14">
        <v>4.1101220956842803E-15</v>
      </c>
      <c r="H89" s="14">
        <v>92.352579299767285</v>
      </c>
      <c r="I89" s="14">
        <v>2223.9075055775579</v>
      </c>
      <c r="J89" s="14">
        <v>0</v>
      </c>
      <c r="K89" s="14">
        <v>350.36405082909278</v>
      </c>
      <c r="L89" s="14">
        <v>2.8541741015769878E-3</v>
      </c>
      <c r="M89" s="14">
        <v>2.3418498503439186E-3</v>
      </c>
      <c r="N89" s="14">
        <v>3310.3580025503024</v>
      </c>
      <c r="O89" s="14">
        <v>2136207.1226257356</v>
      </c>
      <c r="P89" s="8">
        <v>3310.3580025503029</v>
      </c>
      <c r="Q89" s="54">
        <v>2.4061168837510187E-2</v>
      </c>
    </row>
    <row r="90" spans="1:17">
      <c r="A90" s="2" t="s">
        <v>425</v>
      </c>
      <c r="B90" s="16" t="s">
        <v>426</v>
      </c>
      <c r="D90" s="14">
        <v>1</v>
      </c>
      <c r="E90" s="14">
        <v>0.98902679777692915</v>
      </c>
      <c r="F90" s="14">
        <v>0.98928855506529789</v>
      </c>
      <c r="G90" s="14">
        <v>1.8020193012797377E-15</v>
      </c>
      <c r="H90" s="14">
        <v>0.26364709160306449</v>
      </c>
      <c r="I90" s="14">
        <v>0.81961497969248909</v>
      </c>
      <c r="J90" s="14">
        <v>0</v>
      </c>
      <c r="K90" s="14">
        <v>1.0108274222721552</v>
      </c>
      <c r="L90" s="14">
        <v>0.98928855506529789</v>
      </c>
      <c r="M90" s="14">
        <v>0.81171125943107691</v>
      </c>
      <c r="N90" s="14">
        <v>0.94100169870262707</v>
      </c>
      <c r="O90" s="14">
        <v>260.90213098229037</v>
      </c>
      <c r="P90" s="8">
        <v>0.94100169870262707</v>
      </c>
      <c r="Q90" s="54">
        <v>1.7163659379760179E-2</v>
      </c>
    </row>
    <row r="91" spans="1:17">
      <c r="A91" s="2" t="s">
        <v>427</v>
      </c>
      <c r="B91" s="16" t="s">
        <v>428</v>
      </c>
      <c r="D91" s="14">
        <v>1</v>
      </c>
      <c r="E91" s="14">
        <v>0.88972556627386046</v>
      </c>
      <c r="F91" s="14">
        <v>0.8814348286210526</v>
      </c>
      <c r="G91" s="14">
        <v>1.1222217839061844E-6</v>
      </c>
      <c r="H91" s="14">
        <v>19.153590895955425</v>
      </c>
      <c r="I91" s="14">
        <v>49.877810146433852</v>
      </c>
      <c r="J91" s="14">
        <v>0</v>
      </c>
      <c r="K91" s="14">
        <v>1.1345138262399217</v>
      </c>
      <c r="L91" s="14">
        <v>0.8814348286210526</v>
      </c>
      <c r="M91" s="14">
        <v>0.72321727688357362</v>
      </c>
      <c r="N91" s="14">
        <v>1.7227345730233647</v>
      </c>
      <c r="O91" s="14">
        <v>284.57852411772961</v>
      </c>
      <c r="P91" s="8">
        <v>1.7227345730233647</v>
      </c>
      <c r="Q91" s="54">
        <v>0.17559307237255886</v>
      </c>
    </row>
    <row r="92" spans="1:17">
      <c r="A92" s="2" t="s">
        <v>429</v>
      </c>
      <c r="B92" s="16" t="s">
        <v>430</v>
      </c>
      <c r="D92" s="14">
        <v>1</v>
      </c>
      <c r="E92" s="14">
        <v>0.60178766245348214</v>
      </c>
      <c r="F92" s="14">
        <v>0.41290507970118229</v>
      </c>
      <c r="G92" s="14">
        <v>1.8201145164991367E-5</v>
      </c>
      <c r="H92" s="14">
        <v>443.6803815869664</v>
      </c>
      <c r="I92" s="14">
        <v>866.81695292137567</v>
      </c>
      <c r="J92" s="14">
        <v>0</v>
      </c>
      <c r="K92" s="14">
        <v>2.4218641260691101</v>
      </c>
      <c r="L92" s="14">
        <v>0.41290507970118229</v>
      </c>
      <c r="M92" s="14">
        <v>0.33878861789482007</v>
      </c>
      <c r="N92" s="14">
        <v>16.402879078829443</v>
      </c>
      <c r="O92" s="14">
        <v>2956.4549251682192</v>
      </c>
      <c r="P92" s="8">
        <v>16.402879078829447</v>
      </c>
      <c r="Q92" s="54">
        <v>0.62824262131045483</v>
      </c>
    </row>
    <row r="93" spans="1:17">
      <c r="A93" s="2" t="s">
        <v>431</v>
      </c>
      <c r="B93" s="16" t="s">
        <v>432</v>
      </c>
      <c r="D93" s="14">
        <v>1</v>
      </c>
      <c r="E93" s="14">
        <v>0.99968959312281613</v>
      </c>
      <c r="F93" s="14">
        <v>0.99964264951739812</v>
      </c>
      <c r="G93" s="14">
        <v>1.3396692733996759E-19</v>
      </c>
      <c r="H93" s="14">
        <v>1.2400373802256033</v>
      </c>
      <c r="I93" s="14">
        <v>9.1985275569904709E-3</v>
      </c>
      <c r="J93" s="14">
        <v>0</v>
      </c>
      <c r="K93" s="14">
        <v>1.000357478227619</v>
      </c>
      <c r="L93" s="14">
        <v>0.99964264951739823</v>
      </c>
      <c r="M93" s="14">
        <v>0.82020679392902529</v>
      </c>
      <c r="N93" s="14">
        <v>0.94072079996682267</v>
      </c>
      <c r="O93" s="14">
        <v>365.83691189909769</v>
      </c>
      <c r="P93" s="8">
        <v>0.94072079996682267</v>
      </c>
      <c r="Q93" s="54">
        <v>1.0330427966799501E-4</v>
      </c>
    </row>
    <row r="94" spans="1:17">
      <c r="A94" s="2" t="s">
        <v>433</v>
      </c>
      <c r="B94" s="16" t="s">
        <v>434</v>
      </c>
      <c r="D94" s="14">
        <v>1</v>
      </c>
      <c r="E94" s="14">
        <v>0.9997520286523649</v>
      </c>
      <c r="F94" s="14">
        <v>1.0001402297552071</v>
      </c>
      <c r="G94" s="14">
        <v>2.82019659821247E-20</v>
      </c>
      <c r="H94" s="14">
        <v>4.8067429387639686E-3</v>
      </c>
      <c r="I94" s="14">
        <v>6.2102367104629501E-5</v>
      </c>
      <c r="J94" s="14">
        <v>0</v>
      </c>
      <c r="K94" s="14">
        <v>0.99985978990641999</v>
      </c>
      <c r="L94" s="14">
        <v>1.0001402297552071</v>
      </c>
      <c r="M94" s="14">
        <v>0.8206150585141474</v>
      </c>
      <c r="N94" s="14">
        <v>0.94264417851219628</v>
      </c>
      <c r="O94" s="14">
        <v>168.95954255652609</v>
      </c>
      <c r="P94" s="8">
        <v>0.9426441785121964</v>
      </c>
      <c r="Q94" s="54">
        <v>2.6032037076066657E-6</v>
      </c>
    </row>
    <row r="95" spans="1:17">
      <c r="A95" s="2" t="s">
        <v>435</v>
      </c>
      <c r="B95" s="16" t="s">
        <v>436</v>
      </c>
      <c r="D95" s="14">
        <v>1</v>
      </c>
      <c r="E95" s="14">
        <v>0.97443391222373743</v>
      </c>
      <c r="F95" s="14">
        <v>0.97429235099451017</v>
      </c>
      <c r="G95" s="14">
        <v>1.5680119882462219E-10</v>
      </c>
      <c r="H95" s="14">
        <v>1.1002517886084302</v>
      </c>
      <c r="I95" s="14">
        <v>3.5333360535486489</v>
      </c>
      <c r="J95" s="14">
        <v>0</v>
      </c>
      <c r="K95" s="14">
        <v>1.0263859702678038</v>
      </c>
      <c r="L95" s="14">
        <v>0.97429235099451028</v>
      </c>
      <c r="M95" s="14">
        <v>0.79940687399099564</v>
      </c>
      <c r="N95" s="14">
        <v>0.98594742989620088</v>
      </c>
      <c r="O95" s="14">
        <v>257.42101447159905</v>
      </c>
      <c r="P95" s="8">
        <v>0.98594742989620088</v>
      </c>
      <c r="Q95" s="54">
        <v>4.0493465394931615E-2</v>
      </c>
    </row>
    <row r="96" spans="1:17">
      <c r="A96" s="2" t="s">
        <v>437</v>
      </c>
      <c r="B96" s="164" t="s">
        <v>438</v>
      </c>
      <c r="D96" s="14">
        <v>1</v>
      </c>
      <c r="E96" s="14">
        <v>0.68702421786953993</v>
      </c>
      <c r="F96" s="14">
        <v>3.9455346565989676E-3</v>
      </c>
      <c r="G96" s="14">
        <v>4.0696246028969458E-9</v>
      </c>
      <c r="H96" s="14">
        <v>459.54269036936171</v>
      </c>
      <c r="I96" s="14">
        <v>13720.913714753038</v>
      </c>
      <c r="J96" s="14">
        <v>0</v>
      </c>
      <c r="K96" s="14">
        <v>253.45107495824035</v>
      </c>
      <c r="L96" s="14">
        <v>3.9455346565989676E-3</v>
      </c>
      <c r="M96" s="14">
        <v>3.237311185739453E-3</v>
      </c>
      <c r="N96" s="14">
        <v>268.06997967749373</v>
      </c>
      <c r="O96" s="14">
        <v>111597.53253974063</v>
      </c>
      <c r="P96" s="8">
        <v>268.06997967749373</v>
      </c>
      <c r="Q96" s="54">
        <v>0.38867180144163088</v>
      </c>
    </row>
    <row r="97" spans="1:17">
      <c r="A97" s="2" t="s">
        <v>439</v>
      </c>
      <c r="B97" s="16" t="s">
        <v>440</v>
      </c>
      <c r="D97" s="14">
        <v>1</v>
      </c>
      <c r="E97" s="14">
        <v>0.84326616299334567</v>
      </c>
      <c r="F97" s="14">
        <v>0.82580747723050119</v>
      </c>
      <c r="G97" s="14">
        <v>6.0769728846865563E-7</v>
      </c>
      <c r="H97" s="14">
        <v>39.944667538362204</v>
      </c>
      <c r="I97" s="14">
        <v>98.065440080809665</v>
      </c>
      <c r="J97" s="14">
        <v>0</v>
      </c>
      <c r="K97" s="14">
        <v>1.2109359960673713</v>
      </c>
      <c r="L97" s="14">
        <v>0.82580747723050119</v>
      </c>
      <c r="M97" s="14">
        <v>0.67757503506762629</v>
      </c>
      <c r="N97" s="14">
        <v>2.5471253332450408</v>
      </c>
      <c r="O97" s="14">
        <v>487.18866248977895</v>
      </c>
      <c r="P97" s="8">
        <v>2.5471253332450408</v>
      </c>
      <c r="Q97" s="54">
        <v>0.24964103910833066</v>
      </c>
    </row>
    <row r="98" spans="1:17">
      <c r="A98" s="2" t="s">
        <v>441</v>
      </c>
      <c r="B98" s="16" t="s">
        <v>442</v>
      </c>
      <c r="D98" s="14">
        <v>1</v>
      </c>
      <c r="E98" s="14">
        <v>0.88205249296473076</v>
      </c>
      <c r="F98" s="14">
        <v>0.87248637318869249</v>
      </c>
      <c r="G98" s="14">
        <v>3.7670999256516697E-19</v>
      </c>
      <c r="H98" s="14">
        <v>22.028181831945155</v>
      </c>
      <c r="I98" s="14">
        <v>56.733009684486952</v>
      </c>
      <c r="J98" s="14">
        <v>0</v>
      </c>
      <c r="K98" s="14">
        <v>1.146149705863349</v>
      </c>
      <c r="L98" s="14">
        <v>0.87248637318869249</v>
      </c>
      <c r="M98" s="14">
        <v>0.71587506920132227</v>
      </c>
      <c r="N98" s="14">
        <v>1.8387127397912248</v>
      </c>
      <c r="O98" s="14">
        <v>721.62120185846413</v>
      </c>
      <c r="P98" s="8">
        <v>1.8387127397912251</v>
      </c>
      <c r="Q98" s="54">
        <v>0.18794718416949918</v>
      </c>
    </row>
    <row r="99" spans="1:17">
      <c r="A99" s="2" t="s">
        <v>443</v>
      </c>
      <c r="B99" s="16" t="s">
        <v>444</v>
      </c>
      <c r="D99" s="14">
        <v>1</v>
      </c>
      <c r="E99" s="14">
        <v>0.94592336486357742</v>
      </c>
      <c r="F99" s="14">
        <v>0.94417555277649501</v>
      </c>
      <c r="G99" s="14">
        <v>5.0855887638014654E-31</v>
      </c>
      <c r="H99" s="14">
        <v>4.5762817098124042</v>
      </c>
      <c r="I99" s="14">
        <v>13.309750731483492</v>
      </c>
      <c r="J99" s="14">
        <v>0</v>
      </c>
      <c r="K99" s="14">
        <v>1.0591250716663276</v>
      </c>
      <c r="L99" s="14">
        <v>0.94417555277649512</v>
      </c>
      <c r="M99" s="14">
        <v>0.77469604105311418</v>
      </c>
      <c r="N99" s="14">
        <v>1.1212742768456416</v>
      </c>
      <c r="O99" s="14">
        <v>875.64793375983538</v>
      </c>
      <c r="P99" s="8">
        <v>1.1212742768456416</v>
      </c>
      <c r="Q99" s="54">
        <v>8.6053774067317401E-2</v>
      </c>
    </row>
    <row r="100" spans="1:17">
      <c r="A100" s="2" t="s">
        <v>445</v>
      </c>
      <c r="B100" s="16" t="s">
        <v>446</v>
      </c>
      <c r="D100" s="14">
        <v>1</v>
      </c>
      <c r="E100" s="14">
        <v>0.62857234692620001</v>
      </c>
      <c r="F100" s="14">
        <v>2.3474888186735508E-2</v>
      </c>
      <c r="G100" s="14">
        <v>3.8671589232963386E-9</v>
      </c>
      <c r="H100" s="14">
        <v>1045.8358680879921</v>
      </c>
      <c r="I100" s="14">
        <v>6240.518904257794</v>
      </c>
      <c r="J100" s="14">
        <v>0</v>
      </c>
      <c r="K100" s="14">
        <v>42.598711953186225</v>
      </c>
      <c r="L100" s="14">
        <v>2.3474888186735508E-2</v>
      </c>
      <c r="M100" s="14">
        <v>1.9261145757216484E-2</v>
      </c>
      <c r="N100" s="14">
        <v>119.59321221650926</v>
      </c>
      <c r="O100" s="14">
        <v>36643.360223138436</v>
      </c>
      <c r="P100" s="8">
        <v>119.59321221650927</v>
      </c>
      <c r="Q100" s="54">
        <v>0.54427790332815074</v>
      </c>
    </row>
    <row r="101" spans="1:17">
      <c r="A101" s="2" t="s">
        <v>447</v>
      </c>
      <c r="B101" s="16" t="s">
        <v>448</v>
      </c>
      <c r="D101" s="14">
        <v>1</v>
      </c>
      <c r="E101" s="14">
        <v>0.63191718083608206</v>
      </c>
      <c r="F101" s="14">
        <v>0.49135648141390609</v>
      </c>
      <c r="G101" s="14">
        <v>1.363029253542953E-10</v>
      </c>
      <c r="H101" s="14">
        <v>328.30438932202571</v>
      </c>
      <c r="I101" s="14">
        <v>664.25351299549459</v>
      </c>
      <c r="J101" s="14">
        <v>0</v>
      </c>
      <c r="K101" s="14">
        <v>2.035182271580998</v>
      </c>
      <c r="L101" s="14">
        <v>0.49135648141390614</v>
      </c>
      <c r="M101" s="14">
        <v>0.40315799300010996</v>
      </c>
      <c r="N101" s="14">
        <v>12.693395360592069</v>
      </c>
      <c r="O101" s="14">
        <v>4275.3894253546205</v>
      </c>
      <c r="P101" s="8">
        <v>12.693395360592069</v>
      </c>
      <c r="Q101" s="54">
        <v>0.58362496368289885</v>
      </c>
    </row>
    <row r="102" spans="1:17">
      <c r="A102" s="2" t="s">
        <v>449</v>
      </c>
      <c r="B102" s="16" t="s">
        <v>450</v>
      </c>
      <c r="D102" s="14">
        <v>1</v>
      </c>
      <c r="E102" s="14">
        <v>0.5859099074985864</v>
      </c>
      <c r="F102" s="14">
        <v>0.19756676758161026</v>
      </c>
      <c r="G102" s="14">
        <v>1.1053565320777582E-5</v>
      </c>
      <c r="H102" s="14">
        <v>928.26910074660771</v>
      </c>
      <c r="I102" s="14">
        <v>1626.7883931306246</v>
      </c>
      <c r="J102" s="14">
        <v>0</v>
      </c>
      <c r="K102" s="14">
        <v>5.0615800027548818</v>
      </c>
      <c r="L102" s="14">
        <v>0.19756676758161026</v>
      </c>
      <c r="M102" s="14">
        <v>0.16210353280071124</v>
      </c>
      <c r="N102" s="14">
        <v>30.551651034038628</v>
      </c>
      <c r="O102" s="14">
        <v>14209.267379421026</v>
      </c>
      <c r="P102" s="8">
        <v>30.551651034038631</v>
      </c>
      <c r="Q102" s="54">
        <v>0.64853148500063518</v>
      </c>
    </row>
    <row r="103" spans="1:17">
      <c r="A103" s="2" t="s">
        <v>451</v>
      </c>
      <c r="B103" s="16" t="s">
        <v>452</v>
      </c>
      <c r="D103" s="14">
        <v>1</v>
      </c>
      <c r="E103" s="14">
        <v>0.99967905903874443</v>
      </c>
      <c r="F103" s="14">
        <v>0.98850209758281371</v>
      </c>
      <c r="G103" s="14">
        <v>5.3810718838322422E-21</v>
      </c>
      <c r="H103" s="14">
        <v>32.859246111854382</v>
      </c>
      <c r="I103" s="14">
        <v>2.9525306778305182E-2</v>
      </c>
      <c r="J103" s="14">
        <v>0</v>
      </c>
      <c r="K103" s="14">
        <v>1.0116316419007123</v>
      </c>
      <c r="L103" s="14">
        <v>0.98850209758281382</v>
      </c>
      <c r="M103" s="14">
        <v>0.81106597106669875</v>
      </c>
      <c r="N103" s="14">
        <v>1.0188335896211103</v>
      </c>
      <c r="O103" s="14">
        <v>336.96902143128602</v>
      </c>
      <c r="P103" s="8">
        <v>1.0188335896211103</v>
      </c>
      <c r="Q103" s="54">
        <v>8.7497253068081742E-5</v>
      </c>
    </row>
    <row r="104" spans="1:17">
      <c r="A104" s="2" t="s">
        <v>453</v>
      </c>
      <c r="B104" s="16" t="s">
        <v>454</v>
      </c>
      <c r="D104" s="14">
        <v>1</v>
      </c>
      <c r="E104" s="14">
        <v>0.99540101398069702</v>
      </c>
      <c r="F104" s="14">
        <v>0.10094258303490401</v>
      </c>
      <c r="G104" s="14">
        <v>1.1354744763606638E-21</v>
      </c>
      <c r="H104" s="14">
        <v>2539.6531870189074</v>
      </c>
      <c r="I104" s="14">
        <v>24.900133727131244</v>
      </c>
      <c r="J104" s="14">
        <v>0</v>
      </c>
      <c r="K104" s="14">
        <v>9.9066218629873894</v>
      </c>
      <c r="L104" s="14">
        <v>0.10094258303490401</v>
      </c>
      <c r="M104" s="14">
        <v>8.2823389380138737E-2</v>
      </c>
      <c r="N104" s="14">
        <v>7.4616872987177647</v>
      </c>
      <c r="O104" s="14">
        <v>3686.0735255665759</v>
      </c>
      <c r="P104" s="8">
        <v>7.4616872987177656</v>
      </c>
      <c r="Q104" s="54">
        <v>4.2383974483808599E-3</v>
      </c>
    </row>
    <row r="105" spans="1:17">
      <c r="A105" s="2" t="s">
        <v>455</v>
      </c>
      <c r="B105" s="164">
        <v>354656</v>
      </c>
      <c r="D105" s="14">
        <v>1</v>
      </c>
      <c r="E105" s="14">
        <v>0.98685995189181253</v>
      </c>
      <c r="F105" s="14">
        <v>0.98710640704715058</v>
      </c>
      <c r="G105" s="14">
        <v>4.1578848580847935E-12</v>
      </c>
      <c r="H105" s="14">
        <v>0.28355934912206138</v>
      </c>
      <c r="I105" s="14">
        <v>1.0155496050027721</v>
      </c>
      <c r="J105" s="14">
        <v>0</v>
      </c>
      <c r="K105" s="14">
        <v>1.0130620091823934</v>
      </c>
      <c r="L105" s="14">
        <v>0.98710640704715069</v>
      </c>
      <c r="M105" s="14">
        <v>0.80992080698218716</v>
      </c>
      <c r="N105" s="14">
        <v>0.94224873996629244</v>
      </c>
      <c r="O105" s="14">
        <v>185.8020290339532</v>
      </c>
      <c r="P105" s="8">
        <v>0.94224873996629255</v>
      </c>
      <c r="Q105" s="54">
        <v>2.0630090900945169E-2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0.97319831591297234</v>
      </c>
      <c r="F106" s="14">
        <v>0.97301204925993345</v>
      </c>
      <c r="G106" s="14">
        <v>6.2985766201646318E-12</v>
      </c>
      <c r="H106" s="14">
        <v>1.1949217166516621</v>
      </c>
      <c r="I106" s="14">
        <v>3.8201161456746395</v>
      </c>
      <c r="J106" s="14">
        <v>0</v>
      </c>
      <c r="K106" s="14">
        <v>1.0277365020922333</v>
      </c>
      <c r="L106" s="14">
        <v>0.97301204925993356</v>
      </c>
      <c r="M106" s="14">
        <v>0.79835638641777551</v>
      </c>
      <c r="N106" s="14">
        <v>0.98832260044242581</v>
      </c>
      <c r="O106" s="14">
        <v>158.30951413886777</v>
      </c>
      <c r="P106" s="8">
        <v>0.98832260044242581</v>
      </c>
      <c r="Q106" s="54">
        <v>4.2469443210471573E-2</v>
      </c>
    </row>
    <row r="107" spans="1:17">
      <c r="A107" s="2" t="s">
        <v>459</v>
      </c>
      <c r="B107" s="16" t="s">
        <v>460</v>
      </c>
      <c r="D107" s="14">
        <v>1</v>
      </c>
      <c r="E107" s="14">
        <v>0.63404447535801045</v>
      </c>
      <c r="F107" s="14">
        <v>0.12717716031202114</v>
      </c>
      <c r="G107" s="14">
        <v>3.0927554231753287E-21</v>
      </c>
      <c r="H107" s="14">
        <v>1226.1573837375754</v>
      </c>
      <c r="I107" s="14">
        <v>1986.9915762088644</v>
      </c>
      <c r="J107" s="14">
        <v>0</v>
      </c>
      <c r="K107" s="14">
        <v>7.8630470875946834</v>
      </c>
      <c r="L107" s="14">
        <v>0.12717716031202114</v>
      </c>
      <c r="M107" s="14">
        <v>0.10434886003601335</v>
      </c>
      <c r="N107" s="14">
        <v>57.942206707558135</v>
      </c>
      <c r="O107" s="14">
        <v>30792.226910597616</v>
      </c>
      <c r="P107" s="8">
        <v>57.942206707558135</v>
      </c>
      <c r="Q107" s="54">
        <v>0.56130127139586306</v>
      </c>
    </row>
    <row r="108" spans="1:17">
      <c r="A108" s="2" t="s">
        <v>461</v>
      </c>
      <c r="B108" s="16" t="s">
        <v>462</v>
      </c>
      <c r="D108" s="14">
        <v>1</v>
      </c>
      <c r="E108" s="14">
        <v>0.99973104452500006</v>
      </c>
      <c r="F108" s="14">
        <v>1.0001200298982185</v>
      </c>
      <c r="G108" s="14">
        <v>1.218509749916666E-11</v>
      </c>
      <c r="H108" s="14">
        <v>2.4898483515412382E-3</v>
      </c>
      <c r="I108" s="14">
        <v>6.6818403310440414E-4</v>
      </c>
      <c r="J108" s="14">
        <v>0</v>
      </c>
      <c r="K108" s="14">
        <v>0.99987998450722892</v>
      </c>
      <c r="L108" s="14">
        <v>1.0001200298982185</v>
      </c>
      <c r="M108" s="14">
        <v>0.8205984845314882</v>
      </c>
      <c r="N108" s="14">
        <v>0.93975408108605629</v>
      </c>
      <c r="O108" s="14">
        <v>121.37863711307503</v>
      </c>
      <c r="P108" s="8">
        <v>0.93975408108605629</v>
      </c>
      <c r="Q108" s="54">
        <v>3.7384888830414224E-5</v>
      </c>
    </row>
    <row r="109" spans="1:17">
      <c r="A109" s="2" t="s">
        <v>463</v>
      </c>
      <c r="B109" s="16" t="s">
        <v>464</v>
      </c>
      <c r="D109" s="14">
        <v>1</v>
      </c>
      <c r="E109" s="14">
        <v>0.98879898909322395</v>
      </c>
      <c r="F109" s="14">
        <v>0.9827430587986119</v>
      </c>
      <c r="G109" s="14">
        <v>3.3198177850093746E-14</v>
      </c>
      <c r="H109" s="14">
        <v>17.434462118957111</v>
      </c>
      <c r="I109" s="14">
        <v>8.0237288610563873</v>
      </c>
      <c r="J109" s="14">
        <v>0</v>
      </c>
      <c r="K109" s="14">
        <v>1.0175599726163258</v>
      </c>
      <c r="L109" s="14">
        <v>0.98274305879861201</v>
      </c>
      <c r="M109" s="14">
        <v>0.80634067974426116</v>
      </c>
      <c r="N109" s="14">
        <v>11.58139215823044</v>
      </c>
      <c r="O109" s="14">
        <v>3472.1013690374857</v>
      </c>
      <c r="P109" s="8">
        <v>11.58139215823044</v>
      </c>
      <c r="Q109" s="54">
        <v>1.3079051339361833E-2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0.9971153821972053</v>
      </c>
      <c r="F110" s="14">
        <v>0.99747744973113472</v>
      </c>
      <c r="G110" s="14">
        <v>2.322253803651015E-13</v>
      </c>
      <c r="H110" s="14">
        <v>6.3912099790437618E-2</v>
      </c>
      <c r="I110" s="14">
        <v>0.11321689167103687</v>
      </c>
      <c r="J110" s="14">
        <v>0</v>
      </c>
      <c r="K110" s="14">
        <v>1.0025289296209605</v>
      </c>
      <c r="L110" s="14">
        <v>0.99747744973113472</v>
      </c>
      <c r="M110" s="14">
        <v>0.81843024750439608</v>
      </c>
      <c r="N110" s="14">
        <v>0.93633244268907301</v>
      </c>
      <c r="O110" s="14">
        <v>222.99693455082962</v>
      </c>
      <c r="P110" s="8">
        <v>0.93633244268907312</v>
      </c>
      <c r="Q110" s="54">
        <v>4.2238766530923004E-3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0.99975283576047214</v>
      </c>
      <c r="F111" s="14">
        <v>1.0001411375270104</v>
      </c>
      <c r="G111" s="14">
        <v>4.1120972600434471E-32</v>
      </c>
      <c r="H111" s="14">
        <v>4.5246114575368491E-3</v>
      </c>
      <c r="I111" s="14">
        <v>3.4611056388975538E-5</v>
      </c>
      <c r="J111" s="14">
        <v>0</v>
      </c>
      <c r="K111" s="14">
        <v>0.99985888238998011</v>
      </c>
      <c r="L111" s="14">
        <v>1.0001411375270104</v>
      </c>
      <c r="M111" s="14">
        <v>0.820615803340912</v>
      </c>
      <c r="N111" s="14">
        <v>0.9367429517598298</v>
      </c>
      <c r="O111" s="14">
        <v>431.30455727877842</v>
      </c>
      <c r="P111" s="8">
        <v>0.9367429517598298</v>
      </c>
      <c r="Q111" s="54">
        <v>3.7793303482563405E-6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0.99633238777397148</v>
      </c>
      <c r="F112" s="14">
        <v>0.99670955484035606</v>
      </c>
      <c r="G112" s="14">
        <v>2.6117229736466788E-15</v>
      </c>
      <c r="H112" s="14">
        <v>2.2064730209333531E-2</v>
      </c>
      <c r="I112" s="14">
        <v>9.5445573618241658E-2</v>
      </c>
      <c r="J112" s="14">
        <v>0</v>
      </c>
      <c r="K112" s="14">
        <v>1.0033013079323505</v>
      </c>
      <c r="L112" s="14">
        <v>0.99670955484035606</v>
      </c>
      <c r="M112" s="14">
        <v>0.81780018974651214</v>
      </c>
      <c r="N112" s="14">
        <v>0.93514420559988909</v>
      </c>
      <c r="O112" s="14">
        <v>191.93834819937723</v>
      </c>
      <c r="P112" s="8">
        <v>0.93514420559988909</v>
      </c>
      <c r="Q112" s="54">
        <v>5.4771645975180321E-3</v>
      </c>
    </row>
    <row r="113" spans="1:17">
      <c r="A113" s="2" t="s">
        <v>471</v>
      </c>
      <c r="B113" s="16" t="s">
        <v>472</v>
      </c>
      <c r="D113" s="14">
        <v>1</v>
      </c>
      <c r="E113" s="14">
        <v>0.98006740546038618</v>
      </c>
      <c r="F113" s="14">
        <v>0.98014110916492758</v>
      </c>
      <c r="G113" s="14">
        <v>3.2944057894172129E-11</v>
      </c>
      <c r="H113" s="14">
        <v>0.64261166497416711</v>
      </c>
      <c r="I113" s="14">
        <v>2.1657372960776127</v>
      </c>
      <c r="J113" s="14">
        <v>0</v>
      </c>
      <c r="K113" s="14">
        <v>1.0202612569245177</v>
      </c>
      <c r="L113" s="14">
        <v>0.98014110916492758</v>
      </c>
      <c r="M113" s="14">
        <v>0.80420578006982313</v>
      </c>
      <c r="N113" s="14">
        <v>0.95602607960296626</v>
      </c>
      <c r="O113" s="14">
        <v>144.51290219278437</v>
      </c>
      <c r="P113" s="8">
        <v>0.95602607960296626</v>
      </c>
      <c r="Q113" s="54">
        <v>3.1492401202229563E-2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0.99798473476320704</v>
      </c>
      <c r="F114" s="14">
        <v>0.99837054804757774</v>
      </c>
      <c r="G114" s="14">
        <v>2.557708932502047E-18</v>
      </c>
      <c r="H114" s="14">
        <v>6.4099074775261673E-3</v>
      </c>
      <c r="I114" s="14">
        <v>2.9900742980877647E-2</v>
      </c>
      <c r="J114" s="14">
        <v>0</v>
      </c>
      <c r="K114" s="14">
        <v>1.0016321113995286</v>
      </c>
      <c r="L114" s="14">
        <v>0.99837054804757785</v>
      </c>
      <c r="M114" s="14">
        <v>0.81916303467303764</v>
      </c>
      <c r="N114" s="14">
        <v>0.93557097934872935</v>
      </c>
      <c r="O114" s="14">
        <v>317.4953675517848</v>
      </c>
      <c r="P114" s="8">
        <v>0.93557097934872935</v>
      </c>
      <c r="Q114" s="54">
        <v>2.8332309667031476E-3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0.99972026215031928</v>
      </c>
      <c r="F115" s="14">
        <v>0.99730436076171691</v>
      </c>
      <c r="G115" s="14">
        <v>1.3529498842747074E-14</v>
      </c>
      <c r="H115" s="14">
        <v>7.9705394934010156</v>
      </c>
      <c r="I115" s="14">
        <v>8.8396116708840226E-3</v>
      </c>
      <c r="J115" s="14">
        <v>0</v>
      </c>
      <c r="K115" s="14">
        <v>1.0027029253499145</v>
      </c>
      <c r="L115" s="14">
        <v>0.99730436076171702</v>
      </c>
      <c r="M115" s="14">
        <v>0.81828822800498879</v>
      </c>
      <c r="N115" s="14">
        <v>0.95881151265768727</v>
      </c>
      <c r="O115" s="14">
        <v>184.21645592692144</v>
      </c>
      <c r="P115" s="8">
        <v>0.95881151265768727</v>
      </c>
      <c r="Q115" s="54">
        <v>4.6669504147297405E-5</v>
      </c>
    </row>
    <row r="116" spans="1:17">
      <c r="A116" s="2" t="s">
        <v>477</v>
      </c>
      <c r="B116" s="16" t="s">
        <v>478</v>
      </c>
      <c r="D116" s="14">
        <v>1</v>
      </c>
      <c r="E116" s="14">
        <v>0.85335190890871715</v>
      </c>
      <c r="F116" s="14">
        <v>0.52512531690453323</v>
      </c>
      <c r="G116" s="14">
        <v>1.458956408538026E-18</v>
      </c>
      <c r="H116" s="14">
        <v>911.39336478885309</v>
      </c>
      <c r="I116" s="14">
        <v>204.38593132673466</v>
      </c>
      <c r="J116" s="14">
        <v>0</v>
      </c>
      <c r="K116" s="14">
        <v>1.9043073487576643</v>
      </c>
      <c r="L116" s="14">
        <v>0.52512531690453323</v>
      </c>
      <c r="M116" s="14">
        <v>0.43086532252016957</v>
      </c>
      <c r="N116" s="14">
        <v>440.11137726294891</v>
      </c>
      <c r="O116" s="14">
        <v>200074.63210373657</v>
      </c>
      <c r="P116" s="8">
        <v>440.11137726294891</v>
      </c>
      <c r="Q116" s="54">
        <v>5.0611708533171255E-2</v>
      </c>
    </row>
    <row r="117" spans="1:17">
      <c r="A117" s="2" t="s">
        <v>291</v>
      </c>
      <c r="B117" s="16" t="s">
        <v>479</v>
      </c>
      <c r="D117" s="14">
        <v>1</v>
      </c>
      <c r="E117" s="14">
        <v>0.78820977571601369</v>
      </c>
      <c r="F117" s="14">
        <v>0.7544942160269914</v>
      </c>
      <c r="G117" s="14">
        <v>5.2031267129351531E-12</v>
      </c>
      <c r="H117" s="14">
        <v>77.274448603374211</v>
      </c>
      <c r="I117" s="14">
        <v>179.51183467334508</v>
      </c>
      <c r="J117" s="14">
        <v>0</v>
      </c>
      <c r="K117" s="14">
        <v>1.3253912074578791</v>
      </c>
      <c r="L117" s="14">
        <v>0.7544942160269914</v>
      </c>
      <c r="M117" s="14">
        <v>0.61906250425014642</v>
      </c>
      <c r="N117" s="14">
        <v>3.9701992084570814</v>
      </c>
      <c r="O117" s="14">
        <v>1224.1315219435719</v>
      </c>
      <c r="P117" s="8">
        <v>3.9701992084570814</v>
      </c>
      <c r="Q117" s="54">
        <v>0.33720428564259824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2.0610159087039288E-8</v>
      </c>
      <c r="E2" s="20">
        <v>0.98978939047145875</v>
      </c>
      <c r="F2" s="20">
        <v>6.0687609151865766E-5</v>
      </c>
      <c r="G2" s="20">
        <v>2.4355417786143371E-5</v>
      </c>
      <c r="H2" s="20">
        <v>0</v>
      </c>
      <c r="I2" s="20">
        <v>0.98970434744452074</v>
      </c>
      <c r="J2" s="20">
        <v>2.4525158451799449E-4</v>
      </c>
      <c r="K2" s="20">
        <v>9.9653373338644616E-3</v>
      </c>
      <c r="L2" s="20">
        <v>0</v>
      </c>
      <c r="N2" s="102"/>
    </row>
    <row r="3" spans="1:14">
      <c r="A3" s="2" t="s">
        <v>354</v>
      </c>
      <c r="B3" s="3" t="s">
        <v>355</v>
      </c>
      <c r="D3" s="20">
        <v>2.5067495987762655E-8</v>
      </c>
      <c r="E3" s="20">
        <v>0.79331919783114324</v>
      </c>
      <c r="F3" s="20">
        <v>2.9933587304509013E-2</v>
      </c>
      <c r="G3" s="20">
        <v>7.271884285642319E-3</v>
      </c>
      <c r="H3" s="20">
        <v>0</v>
      </c>
      <c r="I3" s="20">
        <v>0.75611372624099193</v>
      </c>
      <c r="J3" s="20">
        <v>1.5912988421214341E-3</v>
      </c>
      <c r="K3" s="20">
        <v>0.20508947825923934</v>
      </c>
      <c r="L3" s="20">
        <v>0</v>
      </c>
      <c r="N3" s="102"/>
    </row>
    <row r="4" spans="1:14">
      <c r="A4" s="2" t="s">
        <v>356</v>
      </c>
      <c r="B4" s="3" t="s">
        <v>357</v>
      </c>
      <c r="D4" s="20">
        <v>1.0545177604093573E-17</v>
      </c>
      <c r="E4" s="20">
        <v>0.99971524859482941</v>
      </c>
      <c r="F4" s="20">
        <v>4.204095599980201E-5</v>
      </c>
      <c r="G4" s="20">
        <v>4.6298639034117929E-8</v>
      </c>
      <c r="H4" s="20">
        <v>0</v>
      </c>
      <c r="I4" s="20">
        <v>0.99967316134019057</v>
      </c>
      <c r="J4" s="20">
        <v>2.7606850824249261E-4</v>
      </c>
      <c r="K4" s="20">
        <v>8.6828969281289813E-6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2.9599821904291185E-10</v>
      </c>
      <c r="E5" s="20">
        <v>0.99949965942885333</v>
      </c>
      <c r="F5" s="20">
        <v>7.5983001917310375E-2</v>
      </c>
      <c r="G5" s="20">
        <v>6.0308109304946253E-6</v>
      </c>
      <c r="H5" s="20">
        <v>0</v>
      </c>
      <c r="I5" s="20">
        <v>0.92351062670061246</v>
      </c>
      <c r="J5" s="20">
        <v>3.6696598100535304E-4</v>
      </c>
      <c r="K5" s="20">
        <v>1.3337429414313407E-4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3.6742683414802266E-11</v>
      </c>
      <c r="E6" s="20">
        <v>0.99873669089154349</v>
      </c>
      <c r="F6" s="20">
        <v>0.17164202617651406</v>
      </c>
      <c r="G6" s="20">
        <v>4.9775560434608183E-5</v>
      </c>
      <c r="H6" s="20">
        <v>0</v>
      </c>
      <c r="I6" s="20">
        <v>0.82704488915459484</v>
      </c>
      <c r="J6" s="20">
        <v>5.0662850701980056E-4</v>
      </c>
      <c r="K6" s="20">
        <v>7.566805646940833E-4</v>
      </c>
      <c r="L6" s="20">
        <v>0</v>
      </c>
    </row>
    <row r="7" spans="1:14">
      <c r="A7" s="2" t="s">
        <v>358</v>
      </c>
      <c r="B7" s="3" t="s">
        <v>305</v>
      </c>
      <c r="D7" s="20">
        <v>6.3453439511146484E-7</v>
      </c>
      <c r="E7" s="20">
        <v>0.99113363269495092</v>
      </c>
      <c r="F7" s="20">
        <v>0.44647302643823211</v>
      </c>
      <c r="G7" s="20">
        <v>9.0884606229974082E-4</v>
      </c>
      <c r="H7" s="20">
        <v>0</v>
      </c>
      <c r="I7" s="20">
        <v>0.54375176019441906</v>
      </c>
      <c r="J7" s="20">
        <v>9.5190215367934553E-4</v>
      </c>
      <c r="K7" s="20">
        <v>7.913830616974803E-3</v>
      </c>
      <c r="L7" s="20">
        <v>0</v>
      </c>
    </row>
    <row r="8" spans="1:14">
      <c r="A8" s="2" t="s">
        <v>289</v>
      </c>
      <c r="B8" s="3" t="s">
        <v>290</v>
      </c>
      <c r="D8" s="20">
        <v>2.9072136112577849E-17</v>
      </c>
      <c r="E8" s="20">
        <v>0.99891427335513006</v>
      </c>
      <c r="F8" s="20">
        <v>0.24995883332551019</v>
      </c>
      <c r="G8" s="20">
        <v>3.800958028678036E-5</v>
      </c>
      <c r="H8" s="20">
        <v>0</v>
      </c>
      <c r="I8" s="20">
        <v>0.74891743044933312</v>
      </c>
      <c r="J8" s="20">
        <v>6.0908773263179488E-4</v>
      </c>
      <c r="K8" s="20">
        <v>4.7663891223805006E-4</v>
      </c>
      <c r="L8" s="20">
        <v>0</v>
      </c>
    </row>
    <row r="9" spans="1:14">
      <c r="A9" s="2" t="s">
        <v>291</v>
      </c>
      <c r="B9" s="3" t="s">
        <v>292</v>
      </c>
      <c r="D9" s="20">
        <v>5.726989007703342E-13</v>
      </c>
      <c r="E9" s="20">
        <v>0.99910619862365968</v>
      </c>
      <c r="F9" s="20">
        <v>5.8761305283263475E-2</v>
      </c>
      <c r="G9" s="20">
        <v>2.2272213595511696E-5</v>
      </c>
      <c r="H9" s="20">
        <v>0</v>
      </c>
      <c r="I9" s="20">
        <v>0.94032262112680065</v>
      </c>
      <c r="J9" s="20">
        <v>3.4317145910432273E-4</v>
      </c>
      <c r="K9" s="20">
        <v>5.5062991666339478E-4</v>
      </c>
      <c r="L9" s="20">
        <v>0</v>
      </c>
    </row>
    <row r="10" spans="1:14">
      <c r="A10" s="2" t="s">
        <v>359</v>
      </c>
      <c r="B10" s="3" t="s">
        <v>360</v>
      </c>
      <c r="D10" s="20">
        <v>7.7162483828632192E-5</v>
      </c>
      <c r="E10" s="20">
        <v>0.67020747205169517</v>
      </c>
      <c r="F10" s="20">
        <v>0.51018170784524897</v>
      </c>
      <c r="G10" s="20">
        <v>8.910876787772469E-2</v>
      </c>
      <c r="H10" s="20">
        <v>0</v>
      </c>
      <c r="I10" s="20">
        <v>7.0916996328721546E-2</v>
      </c>
      <c r="J10" s="20">
        <v>1.1576403745883958E-2</v>
      </c>
      <c r="K10" s="20">
        <v>0.31813896171859224</v>
      </c>
      <c r="L10" s="20">
        <v>0</v>
      </c>
    </row>
    <row r="11" spans="1:14">
      <c r="A11" s="2" t="s">
        <v>361</v>
      </c>
      <c r="B11" s="3" t="s">
        <v>362</v>
      </c>
      <c r="D11" s="20">
        <v>3.9979244567674354E-11</v>
      </c>
      <c r="E11" s="20">
        <v>0.83903471408366237</v>
      </c>
      <c r="F11" s="20">
        <v>0.4817543485633432</v>
      </c>
      <c r="G11" s="20">
        <v>0.35198164402688065</v>
      </c>
      <c r="H11" s="20">
        <v>0</v>
      </c>
      <c r="I11" s="20">
        <v>5.2987214934384994E-3</v>
      </c>
      <c r="J11" s="20">
        <v>9.6397419403152634E-2</v>
      </c>
      <c r="K11" s="20">
        <v>6.4567866473205879E-2</v>
      </c>
      <c r="L11" s="20">
        <v>0</v>
      </c>
    </row>
    <row r="12" spans="1:14">
      <c r="A12" s="2" t="s">
        <v>363</v>
      </c>
      <c r="B12" s="3" t="s">
        <v>364</v>
      </c>
      <c r="D12" s="20">
        <v>5.9228144597319385E-2</v>
      </c>
      <c r="E12" s="20">
        <v>0.93874311875320382</v>
      </c>
      <c r="F12" s="20">
        <v>2.6294697931385081E-6</v>
      </c>
      <c r="G12" s="20">
        <v>1.3033351290832762E-6</v>
      </c>
      <c r="H12" s="20">
        <v>0</v>
      </c>
      <c r="I12" s="20">
        <v>0.93873918594828165</v>
      </c>
      <c r="J12" s="20">
        <v>2.3006238092016041E-4</v>
      </c>
      <c r="K12" s="20">
        <v>1.7986742685565497E-3</v>
      </c>
      <c r="L12" s="20">
        <v>0</v>
      </c>
    </row>
    <row r="13" spans="1:14">
      <c r="A13" s="2" t="s">
        <v>293</v>
      </c>
      <c r="B13" s="3" t="s">
        <v>294</v>
      </c>
      <c r="D13" s="20">
        <v>2.0328746453585903E-8</v>
      </c>
      <c r="E13" s="20">
        <v>0.81149850473377216</v>
      </c>
      <c r="F13" s="20">
        <v>2.0966661492985521E-2</v>
      </c>
      <c r="G13" s="20">
        <v>5.3780500417056195E-3</v>
      </c>
      <c r="H13" s="20">
        <v>0</v>
      </c>
      <c r="I13" s="20">
        <v>0.78515379319908107</v>
      </c>
      <c r="J13" s="20">
        <v>8.6327428080476933E-4</v>
      </c>
      <c r="K13" s="20">
        <v>0.18763820065667666</v>
      </c>
      <c r="L13" s="20">
        <v>0</v>
      </c>
    </row>
    <row r="14" spans="1:14">
      <c r="A14" s="2" t="s">
        <v>365</v>
      </c>
      <c r="B14" s="3" t="s">
        <v>366</v>
      </c>
      <c r="D14" s="20">
        <v>6.1495620364895322E-7</v>
      </c>
      <c r="E14" s="20">
        <v>0.99401733140698734</v>
      </c>
      <c r="F14" s="20">
        <v>0.911146888347794</v>
      </c>
      <c r="G14" s="20">
        <v>1.4274274583082882E-3</v>
      </c>
      <c r="H14" s="20">
        <v>0</v>
      </c>
      <c r="I14" s="20">
        <v>8.144301560088503E-2</v>
      </c>
      <c r="J14" s="20">
        <v>2.9422154426089206E-3</v>
      </c>
      <c r="K14" s="20">
        <v>3.0398381942000779E-3</v>
      </c>
      <c r="L14" s="20">
        <v>0</v>
      </c>
    </row>
    <row r="15" spans="1:14">
      <c r="A15" s="2" t="s">
        <v>367</v>
      </c>
      <c r="B15" s="3" t="s">
        <v>368</v>
      </c>
      <c r="D15" s="20">
        <v>7.4625255176330091E-2</v>
      </c>
      <c r="E15" s="20">
        <v>0.86458981333104834</v>
      </c>
      <c r="F15" s="20">
        <v>2.1933327000416528E-3</v>
      </c>
      <c r="G15" s="20">
        <v>6.6895987471398105E-4</v>
      </c>
      <c r="H15" s="20">
        <v>0</v>
      </c>
      <c r="I15" s="20">
        <v>0.86172752075629266</v>
      </c>
      <c r="J15" s="20">
        <v>2.9313400152977432E-4</v>
      </c>
      <c r="K15" s="20">
        <v>6.0491797491091889E-2</v>
      </c>
      <c r="L15" s="20">
        <v>0</v>
      </c>
    </row>
    <row r="16" spans="1:14">
      <c r="A16" s="2" t="s">
        <v>369</v>
      </c>
      <c r="B16" s="3" t="s">
        <v>370</v>
      </c>
      <c r="D16" s="20">
        <v>8.0701740330646596E-4</v>
      </c>
      <c r="E16" s="20">
        <v>0.79550002343423154</v>
      </c>
      <c r="F16" s="20">
        <v>2.4928812131879509E-2</v>
      </c>
      <c r="G16" s="20">
        <v>6.3008209729831953E-3</v>
      </c>
      <c r="H16" s="20">
        <v>0</v>
      </c>
      <c r="I16" s="20">
        <v>0.76427039032936883</v>
      </c>
      <c r="J16" s="20">
        <v>9.7437665378292959E-4</v>
      </c>
      <c r="K16" s="20">
        <v>0.20271858250867905</v>
      </c>
      <c r="L16" s="20">
        <v>0</v>
      </c>
    </row>
    <row r="17" spans="1:12">
      <c r="A17" s="2" t="s">
        <v>371</v>
      </c>
      <c r="B17" s="3" t="s">
        <v>372</v>
      </c>
      <c r="D17" s="20">
        <v>2.3612166056501396E-3</v>
      </c>
      <c r="E17" s="20">
        <v>0.80392009080444748</v>
      </c>
      <c r="F17" s="20">
        <v>2.2333382965295422E-2</v>
      </c>
      <c r="G17" s="20">
        <v>5.6970504912507739E-3</v>
      </c>
      <c r="H17" s="20">
        <v>0</v>
      </c>
      <c r="I17" s="20">
        <v>0.77588965734790127</v>
      </c>
      <c r="J17" s="20">
        <v>9.0117413727506352E-4</v>
      </c>
      <c r="K17" s="20">
        <v>0.19281751845262748</v>
      </c>
      <c r="L17" s="20">
        <v>0</v>
      </c>
    </row>
    <row r="18" spans="1:12">
      <c r="A18" s="2" t="s">
        <v>373</v>
      </c>
      <c r="B18" s="3" t="s">
        <v>374</v>
      </c>
      <c r="D18" s="20">
        <v>2.443494361868254E-7</v>
      </c>
      <c r="E18" s="20">
        <v>0.6762496360599527</v>
      </c>
      <c r="F18" s="20">
        <v>0.18097976734881571</v>
      </c>
      <c r="G18" s="20">
        <v>0.49037190599161984</v>
      </c>
      <c r="H18" s="20">
        <v>0</v>
      </c>
      <c r="I18" s="20">
        <v>4.8979627195170914E-3</v>
      </c>
      <c r="J18" s="20">
        <v>6.5748755773728781E-2</v>
      </c>
      <c r="K18" s="20">
        <v>0.25800136381688243</v>
      </c>
      <c r="L18" s="20">
        <v>0</v>
      </c>
    </row>
    <row r="19" spans="1:12">
      <c r="A19" s="2" t="s">
        <v>375</v>
      </c>
      <c r="B19" s="3" t="s">
        <v>376</v>
      </c>
      <c r="D19" s="20">
        <v>9.6487546421251957E-3</v>
      </c>
      <c r="E19" s="20">
        <v>0.95604307159648938</v>
      </c>
      <c r="F19" s="20">
        <v>6.6235367027915127E-4</v>
      </c>
      <c r="G19" s="20">
        <v>2.2232356743201643E-4</v>
      </c>
      <c r="H19" s="20">
        <v>0</v>
      </c>
      <c r="I19" s="20">
        <v>0.95515839435877825</v>
      </c>
      <c r="J19" s="20">
        <v>2.6093288341597098E-4</v>
      </c>
      <c r="K19" s="20">
        <v>3.4047240877969384E-2</v>
      </c>
      <c r="L19" s="20">
        <v>0</v>
      </c>
    </row>
    <row r="20" spans="1:12">
      <c r="A20" s="2" t="s">
        <v>377</v>
      </c>
      <c r="B20" s="3" t="s">
        <v>378</v>
      </c>
      <c r="D20" s="20">
        <v>1.8452149243711993E-2</v>
      </c>
      <c r="E20" s="20">
        <v>0.93517646446164016</v>
      </c>
      <c r="F20" s="20">
        <v>1.2096664700855821E-3</v>
      </c>
      <c r="G20" s="20">
        <v>3.8775838533779703E-4</v>
      </c>
      <c r="H20" s="20">
        <v>0</v>
      </c>
      <c r="I20" s="20">
        <v>0.9335790396062168</v>
      </c>
      <c r="J20" s="20">
        <v>2.7598300259276562E-4</v>
      </c>
      <c r="K20" s="20">
        <v>4.6095403292054977E-2</v>
      </c>
      <c r="L20" s="20">
        <v>0</v>
      </c>
    </row>
    <row r="21" spans="1:12">
      <c r="A21" s="2" t="s">
        <v>379</v>
      </c>
      <c r="B21" s="3" t="s">
        <v>380</v>
      </c>
      <c r="D21" s="20">
        <v>6.5951264795948766E-3</v>
      </c>
      <c r="E21" s="20">
        <v>0.85921182669706919</v>
      </c>
      <c r="F21" s="20">
        <v>0.36005148525089281</v>
      </c>
      <c r="G21" s="20">
        <v>1.453060740416201E-2</v>
      </c>
      <c r="H21" s="20">
        <v>0</v>
      </c>
      <c r="I21" s="20">
        <v>0.48462973404201437</v>
      </c>
      <c r="J21" s="20">
        <v>2.4340772809140639E-3</v>
      </c>
      <c r="K21" s="20">
        <v>0.13175896954242186</v>
      </c>
      <c r="L21" s="20">
        <v>0</v>
      </c>
    </row>
    <row r="22" spans="1:12">
      <c r="A22" s="2" t="s">
        <v>295</v>
      </c>
      <c r="B22" s="3" t="s">
        <v>296</v>
      </c>
      <c r="D22" s="20">
        <v>5.2537178220636832E-2</v>
      </c>
      <c r="E22" s="20">
        <v>0.93436817360856794</v>
      </c>
      <c r="F22" s="20">
        <v>1.0439637707657249E-4</v>
      </c>
      <c r="G22" s="20">
        <v>4.0084916451974717E-5</v>
      </c>
      <c r="H22" s="20">
        <v>0</v>
      </c>
      <c r="I22" s="20">
        <v>0.93422369231503943</v>
      </c>
      <c r="J22" s="20">
        <v>2.3356924329020871E-4</v>
      </c>
      <c r="K22" s="20">
        <v>1.286107892750514E-2</v>
      </c>
      <c r="L22" s="20">
        <v>0</v>
      </c>
    </row>
    <row r="23" spans="1:12">
      <c r="A23" s="2" t="s">
        <v>381</v>
      </c>
      <c r="B23" s="3" t="s">
        <v>382</v>
      </c>
      <c r="D23" s="20">
        <v>6.2867380382535629E-2</v>
      </c>
      <c r="E23" s="20">
        <v>0.85519278300148149</v>
      </c>
      <c r="F23" s="20">
        <v>3.9431568115536747E-3</v>
      </c>
      <c r="G23" s="20">
        <v>1.1506403613218178E-3</v>
      </c>
      <c r="H23" s="20">
        <v>0</v>
      </c>
      <c r="I23" s="20">
        <v>0.85009898582860599</v>
      </c>
      <c r="J23" s="20">
        <v>3.5000730902718215E-4</v>
      </c>
      <c r="K23" s="20">
        <v>8.1589829306955602E-2</v>
      </c>
      <c r="L23" s="20">
        <v>0</v>
      </c>
    </row>
    <row r="24" spans="1:12">
      <c r="A24" s="2" t="s">
        <v>383</v>
      </c>
      <c r="B24" s="3" t="s">
        <v>384</v>
      </c>
      <c r="D24" s="20">
        <v>2.7797920640093171E-3</v>
      </c>
      <c r="E24" s="20">
        <v>0.7422511685971922</v>
      </c>
      <c r="F24" s="20">
        <v>4.2056293518709209E-2</v>
      </c>
      <c r="G24" s="20">
        <v>1.0151414249286988E-2</v>
      </c>
      <c r="H24" s="20">
        <v>0</v>
      </c>
      <c r="I24" s="20">
        <v>0.69004346082919599</v>
      </c>
      <c r="J24" s="20">
        <v>1.4427668764440758E-3</v>
      </c>
      <c r="K24" s="20">
        <v>0.25352627246235443</v>
      </c>
      <c r="L24" s="20">
        <v>0</v>
      </c>
    </row>
    <row r="25" spans="1:12">
      <c r="A25" s="2" t="s">
        <v>385</v>
      </c>
      <c r="B25" s="3" t="s">
        <v>386</v>
      </c>
      <c r="D25" s="20">
        <v>1.104117519784728E-3</v>
      </c>
      <c r="E25" s="20">
        <v>0.66066225960535718</v>
      </c>
      <c r="F25" s="20">
        <v>0.21185269130232198</v>
      </c>
      <c r="G25" s="20">
        <v>0.44210918828019991</v>
      </c>
      <c r="H25" s="20">
        <v>0</v>
      </c>
      <c r="I25" s="20">
        <v>6.7003800228353479E-3</v>
      </c>
      <c r="J25" s="20">
        <v>5.9091124240519675E-2</v>
      </c>
      <c r="K25" s="20">
        <v>0.27914249863433849</v>
      </c>
      <c r="L25" s="20">
        <v>0</v>
      </c>
    </row>
    <row r="26" spans="1:12">
      <c r="A26" s="2" t="s">
        <v>387</v>
      </c>
      <c r="B26" s="3" t="s">
        <v>388</v>
      </c>
      <c r="D26" s="20">
        <v>0.25919348704744449</v>
      </c>
      <c r="E26" s="20">
        <v>0.45933395064099619</v>
      </c>
      <c r="F26" s="20">
        <v>9.5993708238747769E-2</v>
      </c>
      <c r="G26" s="20">
        <v>2.0708008004087657E-2</v>
      </c>
      <c r="H26" s="20">
        <v>0</v>
      </c>
      <c r="I26" s="20">
        <v>0.34263223439816076</v>
      </c>
      <c r="J26" s="20">
        <v>2.7098092892050168E-3</v>
      </c>
      <c r="K26" s="20">
        <v>0.27876275302235437</v>
      </c>
      <c r="L26" s="20">
        <v>0</v>
      </c>
    </row>
    <row r="27" spans="1:12">
      <c r="A27" s="2" t="s">
        <v>389</v>
      </c>
      <c r="B27" s="3" t="s">
        <v>390</v>
      </c>
      <c r="D27" s="20">
        <v>0.85535439718251238</v>
      </c>
      <c r="E27" s="20">
        <v>8.4603006633420602E-2</v>
      </c>
      <c r="F27" s="20">
        <v>4.6340933350671028E-2</v>
      </c>
      <c r="G27" s="20">
        <v>8.8036006137126709E-3</v>
      </c>
      <c r="H27" s="20">
        <v>0</v>
      </c>
      <c r="I27" s="20">
        <v>2.9458472669036905E-2</v>
      </c>
      <c r="J27" s="20">
        <v>1.1369732934801227E-3</v>
      </c>
      <c r="K27" s="20">
        <v>5.8905622890587019E-2</v>
      </c>
      <c r="L27" s="20">
        <v>0</v>
      </c>
    </row>
    <row r="28" spans="1:12">
      <c r="A28" s="2" t="s">
        <v>391</v>
      </c>
      <c r="B28" s="3" t="s">
        <v>392</v>
      </c>
      <c r="D28" s="20">
        <v>0.89300593225785396</v>
      </c>
      <c r="E28" s="20">
        <v>6.4333508294448311E-2</v>
      </c>
      <c r="F28" s="20">
        <v>1.697747220953761E-2</v>
      </c>
      <c r="G28" s="20">
        <v>3.5757618257601731E-3</v>
      </c>
      <c r="H28" s="20">
        <v>0</v>
      </c>
      <c r="I28" s="20">
        <v>4.3780274259150521E-2</v>
      </c>
      <c r="J28" s="20">
        <v>4.6516954093668556E-4</v>
      </c>
      <c r="K28" s="20">
        <v>4.2195389906761117E-2</v>
      </c>
      <c r="L28" s="20">
        <v>0</v>
      </c>
    </row>
    <row r="29" spans="1:12">
      <c r="A29" s="2" t="s">
        <v>297</v>
      </c>
      <c r="B29" s="3" t="s">
        <v>298</v>
      </c>
      <c r="D29" s="20">
        <v>0.92017047684687048</v>
      </c>
      <c r="E29" s="20">
        <v>7.5565123247965257E-2</v>
      </c>
      <c r="F29" s="20">
        <v>1.2545471245910657E-4</v>
      </c>
      <c r="G29" s="20">
        <v>3.9480490054632218E-5</v>
      </c>
      <c r="H29" s="20">
        <v>0</v>
      </c>
      <c r="I29" s="20">
        <v>7.5400188045451524E-2</v>
      </c>
      <c r="J29" s="20">
        <v>2.3295581451221873E-5</v>
      </c>
      <c r="K29" s="20">
        <v>4.2411043237129877E-3</v>
      </c>
      <c r="L29" s="20">
        <v>0</v>
      </c>
    </row>
    <row r="30" spans="1:12">
      <c r="A30" s="2" t="s">
        <v>393</v>
      </c>
      <c r="B30" s="3" t="s">
        <v>394</v>
      </c>
      <c r="D30" s="20">
        <v>0.96121435968528346</v>
      </c>
      <c r="E30" s="20">
        <v>2.3472792825737748E-2</v>
      </c>
      <c r="F30" s="20">
        <v>5.8808341875339577E-3</v>
      </c>
      <c r="G30" s="20">
        <v>1.2454734953359055E-3</v>
      </c>
      <c r="H30" s="20">
        <v>0</v>
      </c>
      <c r="I30" s="20">
        <v>1.6346485142867885E-2</v>
      </c>
      <c r="J30" s="20">
        <v>1.6220987227397087E-4</v>
      </c>
      <c r="K30" s="20">
        <v>1.5150637616704894E-2</v>
      </c>
      <c r="L30" s="20">
        <v>0</v>
      </c>
    </row>
    <row r="31" spans="1:12">
      <c r="A31" s="2" t="s">
        <v>299</v>
      </c>
      <c r="B31" s="3" t="s">
        <v>300</v>
      </c>
      <c r="D31" s="20">
        <v>0.99895870470966197</v>
      </c>
      <c r="E31" s="20">
        <v>6.8993788464868E-4</v>
      </c>
      <c r="F31" s="20">
        <v>9.1152003733702106E-5</v>
      </c>
      <c r="G31" s="20">
        <v>2.0514539626758534E-5</v>
      </c>
      <c r="H31" s="20">
        <v>0</v>
      </c>
      <c r="I31" s="20">
        <v>5.7827134128821936E-4</v>
      </c>
      <c r="J31" s="20">
        <v>2.7326716154917938E-6</v>
      </c>
      <c r="K31" s="20">
        <v>3.4862473407384784E-4</v>
      </c>
      <c r="L31" s="20">
        <v>0</v>
      </c>
    </row>
    <row r="32" spans="1:12">
      <c r="A32" s="2" t="s">
        <v>343</v>
      </c>
      <c r="B32" s="3" t="s">
        <v>403</v>
      </c>
      <c r="D32" s="20">
        <v>2.1783278751205557E-3</v>
      </c>
      <c r="E32" s="20">
        <v>0.82609189456572563</v>
      </c>
      <c r="F32" s="20">
        <v>1.7153072898052169E-2</v>
      </c>
      <c r="G32" s="20">
        <v>4.4733974791501818E-3</v>
      </c>
      <c r="H32" s="20">
        <v>0</v>
      </c>
      <c r="I32" s="20">
        <v>0.80446542418852329</v>
      </c>
      <c r="J32" s="20">
        <v>7.5426694937207419E-4</v>
      </c>
      <c r="K32" s="20">
        <v>0.17097551060978189</v>
      </c>
      <c r="L32" s="20">
        <v>0</v>
      </c>
    </row>
    <row r="33" spans="1:12">
      <c r="A33" s="2" t="s">
        <v>344</v>
      </c>
      <c r="B33" s="3" t="s">
        <v>404</v>
      </c>
      <c r="D33" s="20">
        <v>8.0139331269114787E-5</v>
      </c>
      <c r="E33" s="20">
        <v>0.88719188927541515</v>
      </c>
      <c r="F33" s="20">
        <v>7.0609705219712932E-3</v>
      </c>
      <c r="G33" s="20">
        <v>1.97860887965332E-3</v>
      </c>
      <c r="H33" s="20">
        <v>0</v>
      </c>
      <c r="I33" s="20">
        <v>0.87815230987379056</v>
      </c>
      <c r="J33" s="20">
        <v>4.5987095251941379E-4</v>
      </c>
      <c r="K33" s="20">
        <v>0.1122681004407964</v>
      </c>
      <c r="L33" s="20">
        <v>0</v>
      </c>
    </row>
    <row r="34" spans="1:12">
      <c r="A34" s="2" t="s">
        <v>345</v>
      </c>
      <c r="B34" s="3" t="s">
        <v>405</v>
      </c>
      <c r="D34" s="20">
        <v>1.5702621044103376E-4</v>
      </c>
      <c r="E34" s="20">
        <v>0.63005592464710036</v>
      </c>
      <c r="F34" s="20">
        <v>0.11743318345457368</v>
      </c>
      <c r="G34" s="20">
        <v>2.5614529888791437E-2</v>
      </c>
      <c r="H34" s="20">
        <v>0</v>
      </c>
      <c r="I34" s="20">
        <v>0.48700821130373523</v>
      </c>
      <c r="J34" s="20">
        <v>3.363978101705232E-3</v>
      </c>
      <c r="K34" s="20">
        <v>0.36642307104075333</v>
      </c>
      <c r="L34" s="20">
        <v>0</v>
      </c>
    </row>
    <row r="35" spans="1:12">
      <c r="A35" s="2" t="s">
        <v>346</v>
      </c>
      <c r="B35" s="3" t="s">
        <v>406</v>
      </c>
      <c r="D35" s="20">
        <v>5.8538475052875669E-2</v>
      </c>
      <c r="E35" s="20">
        <v>0.58279715247542641</v>
      </c>
      <c r="F35" s="20">
        <v>0.39378583419242968</v>
      </c>
      <c r="G35" s="20">
        <v>7.0787348379528464E-2</v>
      </c>
      <c r="H35" s="20">
        <v>0</v>
      </c>
      <c r="I35" s="20">
        <v>0.11822396990346828</v>
      </c>
      <c r="J35" s="20">
        <v>9.1604411810236597E-3</v>
      </c>
      <c r="K35" s="20">
        <v>0.34950393129067425</v>
      </c>
      <c r="L35" s="20">
        <v>0</v>
      </c>
    </row>
    <row r="36" spans="1:12">
      <c r="A36" s="2" t="s">
        <v>347</v>
      </c>
      <c r="B36" s="3" t="s">
        <v>407</v>
      </c>
      <c r="D36" s="20">
        <v>1.9242522269723374E-3</v>
      </c>
      <c r="E36" s="20">
        <v>0.63073575104092783</v>
      </c>
      <c r="F36" s="20">
        <v>0.40971388494144245</v>
      </c>
      <c r="G36" s="20">
        <v>0.18913688735732356</v>
      </c>
      <c r="H36" s="20">
        <v>0</v>
      </c>
      <c r="I36" s="20">
        <v>3.188497874216184E-2</v>
      </c>
      <c r="J36" s="20">
        <v>2.4830467963851507E-2</v>
      </c>
      <c r="K36" s="20">
        <v>0.34250952876824836</v>
      </c>
      <c r="L36" s="20">
        <v>0</v>
      </c>
    </row>
    <row r="37" spans="1:12">
      <c r="A37" s="2" t="s">
        <v>348</v>
      </c>
      <c r="B37" s="3" t="s">
        <v>349</v>
      </c>
      <c r="D37" s="20">
        <v>1.4126145482745668E-2</v>
      </c>
      <c r="E37" s="20">
        <v>0.66245191454787611</v>
      </c>
      <c r="F37" s="20">
        <v>0.18669915785481472</v>
      </c>
      <c r="G37" s="20">
        <v>0.47047647700772594</v>
      </c>
      <c r="H37" s="20">
        <v>0</v>
      </c>
      <c r="I37" s="20">
        <v>5.2762796853354421E-3</v>
      </c>
      <c r="J37" s="20">
        <v>6.3025924127071822E-2</v>
      </c>
      <c r="K37" s="20">
        <v>0.26039601584230626</v>
      </c>
      <c r="L37" s="20">
        <v>0</v>
      </c>
    </row>
    <row r="38" spans="1:12">
      <c r="A38" s="2" t="s">
        <v>350</v>
      </c>
      <c r="B38" s="3" t="s">
        <v>351</v>
      </c>
      <c r="D38" s="20">
        <v>7.3462490225774792E-4</v>
      </c>
      <c r="E38" s="20">
        <v>0.62970942007144426</v>
      </c>
      <c r="F38" s="20">
        <v>0.33089052414208309</v>
      </c>
      <c r="G38" s="20">
        <v>0.28091820558929642</v>
      </c>
      <c r="H38" s="20">
        <v>0</v>
      </c>
      <c r="I38" s="20">
        <v>1.7900690340064768E-2</v>
      </c>
      <c r="J38" s="20">
        <v>3.7144251220618991E-2</v>
      </c>
      <c r="K38" s="20">
        <v>0.33241170380567892</v>
      </c>
      <c r="L38" s="20">
        <v>0</v>
      </c>
    </row>
    <row r="39" spans="1:12">
      <c r="A39" s="2" t="s">
        <v>352</v>
      </c>
      <c r="B39" s="3" t="s">
        <v>408</v>
      </c>
      <c r="D39" s="20">
        <v>0.13066325645208385</v>
      </c>
      <c r="E39" s="20">
        <v>0.54722639158435737</v>
      </c>
      <c r="F39" s="20">
        <v>0.33788752836725144</v>
      </c>
      <c r="G39" s="20">
        <v>0.18563835757608108</v>
      </c>
      <c r="H39" s="20">
        <v>0</v>
      </c>
      <c r="I39" s="20">
        <v>2.3700505641024879E-2</v>
      </c>
      <c r="J39" s="20">
        <v>2.4420425977449509E-2</v>
      </c>
      <c r="K39" s="20">
        <v>0.29768992598610911</v>
      </c>
      <c r="L39" s="20">
        <v>0</v>
      </c>
    </row>
    <row r="40" spans="1:12">
      <c r="A40" s="2" t="s">
        <v>353</v>
      </c>
      <c r="B40" s="3" t="s">
        <v>409</v>
      </c>
      <c r="D40" s="20">
        <v>7.3462490225774792E-4</v>
      </c>
      <c r="E40" s="20">
        <v>0.62970942007144426</v>
      </c>
      <c r="F40" s="20">
        <v>0.33089052414208309</v>
      </c>
      <c r="G40" s="20">
        <v>0.28091820558929642</v>
      </c>
      <c r="H40" s="20">
        <v>0</v>
      </c>
      <c r="I40" s="20">
        <v>1.7900690340064768E-2</v>
      </c>
      <c r="J40" s="20">
        <v>3.7144251220618991E-2</v>
      </c>
      <c r="K40" s="20">
        <v>0.33241170380567892</v>
      </c>
      <c r="L40" s="20">
        <v>0</v>
      </c>
    </row>
    <row r="41" spans="1:12">
      <c r="A41" s="2" t="s">
        <v>313</v>
      </c>
      <c r="B41" s="3" t="s">
        <v>314</v>
      </c>
      <c r="D41" s="20">
        <v>4.5351578984410335E-8</v>
      </c>
      <c r="E41" s="20">
        <v>0.9996666815337153</v>
      </c>
      <c r="F41" s="20">
        <v>4.7318253317771512E-3</v>
      </c>
      <c r="G41" s="20">
        <v>1.1260281682120179E-6</v>
      </c>
      <c r="H41" s="20">
        <v>0</v>
      </c>
      <c r="I41" s="20">
        <v>0.99493373017376996</v>
      </c>
      <c r="J41" s="20">
        <v>2.5423334330836723E-4</v>
      </c>
      <c r="K41" s="20">
        <v>7.9039771397201527E-5</v>
      </c>
      <c r="L41" s="20">
        <v>0</v>
      </c>
    </row>
    <row r="42" spans="1:12">
      <c r="A42" s="2" t="s">
        <v>315</v>
      </c>
      <c r="B42" s="3" t="s">
        <v>316</v>
      </c>
      <c r="D42" s="20">
        <v>2.0373790835384094E-2</v>
      </c>
      <c r="E42" s="20">
        <v>0.66247202929702942</v>
      </c>
      <c r="F42" s="20">
        <v>0.17729256674475316</v>
      </c>
      <c r="G42" s="20">
        <v>0.48038128872829505</v>
      </c>
      <c r="H42" s="20">
        <v>0</v>
      </c>
      <c r="I42" s="20">
        <v>4.7981738239812098E-3</v>
      </c>
      <c r="J42" s="20">
        <v>6.4409220114264712E-2</v>
      </c>
      <c r="K42" s="20">
        <v>0.25274495975332184</v>
      </c>
      <c r="L42" s="20">
        <v>0</v>
      </c>
    </row>
    <row r="43" spans="1:12">
      <c r="A43" s="2" t="s">
        <v>317</v>
      </c>
      <c r="B43" s="3" t="s">
        <v>318</v>
      </c>
      <c r="D43" s="20">
        <v>6.502424173167856E-12</v>
      </c>
      <c r="E43" s="20">
        <v>0.73130032833671954</v>
      </c>
      <c r="F43" s="20">
        <v>4.7609539495207034E-2</v>
      </c>
      <c r="G43" s="20">
        <v>1.1365525904008118E-2</v>
      </c>
      <c r="H43" s="20">
        <v>0</v>
      </c>
      <c r="I43" s="20">
        <v>0.67232526293750439</v>
      </c>
      <c r="J43" s="20">
        <v>1.5922489669976405E-3</v>
      </c>
      <c r="K43" s="20">
        <v>0.26710742268978038</v>
      </c>
      <c r="L43" s="20">
        <v>0</v>
      </c>
    </row>
    <row r="44" spans="1:12">
      <c r="A44" s="2" t="s">
        <v>307</v>
      </c>
      <c r="B44" s="3" t="s">
        <v>308</v>
      </c>
      <c r="D44" s="20">
        <v>6.3965751410030808E-4</v>
      </c>
      <c r="E44" s="20">
        <v>0.64517132059866689</v>
      </c>
      <c r="F44" s="20">
        <v>0.46319748243646602</v>
      </c>
      <c r="G44" s="20">
        <v>0.13441933595960234</v>
      </c>
      <c r="H44" s="20">
        <v>0</v>
      </c>
      <c r="I44" s="20">
        <v>4.7554502202598548E-2</v>
      </c>
      <c r="J44" s="20">
        <v>1.7554875542934976E-2</v>
      </c>
      <c r="K44" s="20">
        <v>0.33663414634429778</v>
      </c>
      <c r="L44" s="20">
        <v>0</v>
      </c>
    </row>
    <row r="45" spans="1:12">
      <c r="A45" s="2" t="s">
        <v>319</v>
      </c>
      <c r="B45" s="3" t="s">
        <v>320</v>
      </c>
      <c r="D45" s="20">
        <v>7.073184656581201E-5</v>
      </c>
      <c r="E45" s="20">
        <v>0.71450932544934398</v>
      </c>
      <c r="F45" s="20">
        <v>0.12048519378097158</v>
      </c>
      <c r="G45" s="20">
        <v>0.59173769524394038</v>
      </c>
      <c r="H45" s="20">
        <v>0</v>
      </c>
      <c r="I45" s="20">
        <v>2.2864364244320401E-3</v>
      </c>
      <c r="J45" s="20">
        <v>7.9913398327584317E-2</v>
      </c>
      <c r="K45" s="20">
        <v>0.20550654437650598</v>
      </c>
      <c r="L45" s="20">
        <v>0</v>
      </c>
    </row>
    <row r="46" spans="1:12">
      <c r="A46" s="2" t="s">
        <v>321</v>
      </c>
      <c r="B46" s="3" t="s">
        <v>322</v>
      </c>
      <c r="D46" s="20">
        <v>1.0036567325539651E-4</v>
      </c>
      <c r="E46" s="20">
        <v>0.68149886751001176</v>
      </c>
      <c r="F46" s="20">
        <v>0.17116063400941398</v>
      </c>
      <c r="G46" s="20">
        <v>0.50594049566362964</v>
      </c>
      <c r="H46" s="20">
        <v>0</v>
      </c>
      <c r="I46" s="20">
        <v>4.3977378369681993E-3</v>
      </c>
      <c r="J46" s="20">
        <v>6.7907611917873881E-2</v>
      </c>
      <c r="K46" s="20">
        <v>0.25049315489885887</v>
      </c>
      <c r="L46" s="20">
        <v>0</v>
      </c>
    </row>
    <row r="47" spans="1:12">
      <c r="A47" s="2" t="s">
        <v>323</v>
      </c>
      <c r="B47" s="3" t="s">
        <v>324</v>
      </c>
      <c r="D47" s="20">
        <v>9.0572476442892956E-4</v>
      </c>
      <c r="E47" s="20">
        <v>0.64686126103380537</v>
      </c>
      <c r="F47" s="20">
        <v>0.24889428620565113</v>
      </c>
      <c r="G47" s="20">
        <v>0.38860687724739001</v>
      </c>
      <c r="H47" s="20">
        <v>0</v>
      </c>
      <c r="I47" s="20">
        <v>9.3600975807642539E-3</v>
      </c>
      <c r="J47" s="20">
        <v>5.175901118290533E-2</v>
      </c>
      <c r="K47" s="20">
        <v>0.30047400301886018</v>
      </c>
      <c r="L47" s="20">
        <v>0</v>
      </c>
    </row>
    <row r="48" spans="1:12">
      <c r="A48" s="2" t="s">
        <v>325</v>
      </c>
      <c r="B48" s="3" t="s">
        <v>326</v>
      </c>
      <c r="D48" s="20">
        <v>3.4764956789772099E-4</v>
      </c>
      <c r="E48" s="20">
        <v>0.57768072133275383</v>
      </c>
      <c r="F48" s="20">
        <v>0.26336640661133975</v>
      </c>
      <c r="G48" s="20">
        <v>5.1719692440494749E-2</v>
      </c>
      <c r="H48" s="20">
        <v>0</v>
      </c>
      <c r="I48" s="20">
        <v>0.26259462228091929</v>
      </c>
      <c r="J48" s="20">
        <v>6.6807869137435055E-3</v>
      </c>
      <c r="K48" s="20">
        <v>0.41529084218560491</v>
      </c>
      <c r="L48" s="20">
        <v>0</v>
      </c>
    </row>
    <row r="49" spans="1:12">
      <c r="A49" s="2" t="s">
        <v>275</v>
      </c>
      <c r="B49" s="3" t="s">
        <v>276</v>
      </c>
      <c r="D49" s="20">
        <v>8.2272041530095011E-6</v>
      </c>
      <c r="E49" s="20">
        <v>0.64230018789265364</v>
      </c>
      <c r="F49" s="20">
        <v>0.45422492147081434</v>
      </c>
      <c r="G49" s="20">
        <v>0.14380252568641302</v>
      </c>
      <c r="H49" s="20">
        <v>0</v>
      </c>
      <c r="I49" s="20">
        <v>4.4272740735426259E-2</v>
      </c>
      <c r="J49" s="20">
        <v>1.8798322525892065E-2</v>
      </c>
      <c r="K49" s="20">
        <v>0.33889326237730111</v>
      </c>
      <c r="L49" s="20">
        <v>0</v>
      </c>
    </row>
    <row r="50" spans="1:12">
      <c r="A50" s="2" t="s">
        <v>327</v>
      </c>
      <c r="B50" s="3" t="s">
        <v>328</v>
      </c>
      <c r="D50" s="20">
        <v>4.2887558875665953E-4</v>
      </c>
      <c r="E50" s="20">
        <v>0.63728191559782221</v>
      </c>
      <c r="F50" s="20">
        <v>0.43787486010658982</v>
      </c>
      <c r="G50" s="20">
        <v>0.16026753856047402</v>
      </c>
      <c r="H50" s="20">
        <v>0</v>
      </c>
      <c r="I50" s="20">
        <v>3.9139516930758428E-2</v>
      </c>
      <c r="J50" s="20">
        <v>2.0984729786548854E-2</v>
      </c>
      <c r="K50" s="20">
        <v>0.34130447902687222</v>
      </c>
      <c r="L50" s="20">
        <v>0</v>
      </c>
    </row>
    <row r="51" spans="1:12">
      <c r="A51" s="2" t="s">
        <v>329</v>
      </c>
      <c r="B51" s="3" t="s">
        <v>330</v>
      </c>
      <c r="D51" s="20">
        <v>2.100577876947031E-4</v>
      </c>
      <c r="E51" s="20">
        <v>0.58702134628218039</v>
      </c>
      <c r="F51" s="20">
        <v>0.33003307933103465</v>
      </c>
      <c r="G51" s="20">
        <v>6.2352378808369677E-2</v>
      </c>
      <c r="H51" s="20">
        <v>0</v>
      </c>
      <c r="I51" s="20">
        <v>0.19463588814277608</v>
      </c>
      <c r="J51" s="20">
        <v>8.0534592699766094E-3</v>
      </c>
      <c r="K51" s="20">
        <v>0.40471513666014841</v>
      </c>
      <c r="L51" s="20">
        <v>0</v>
      </c>
    </row>
    <row r="52" spans="1:12">
      <c r="A52" s="2" t="s">
        <v>277</v>
      </c>
      <c r="B52" s="3" t="s">
        <v>278</v>
      </c>
      <c r="D52" s="20">
        <v>5.4890536638607179E-4</v>
      </c>
      <c r="E52" s="20">
        <v>0.5777748766170453</v>
      </c>
      <c r="F52" s="20">
        <v>0.26947356072475576</v>
      </c>
      <c r="G52" s="20">
        <v>5.2724408520137753E-2</v>
      </c>
      <c r="H52" s="20">
        <v>0</v>
      </c>
      <c r="I52" s="20">
        <v>0.25557690737215177</v>
      </c>
      <c r="J52" s="20">
        <v>6.8099380622252967E-3</v>
      </c>
      <c r="K52" s="20">
        <v>0.41486627995434322</v>
      </c>
      <c r="L52" s="20">
        <v>0</v>
      </c>
    </row>
    <row r="53" spans="1:12">
      <c r="A53" s="2" t="s">
        <v>331</v>
      </c>
      <c r="B53" s="3" t="s">
        <v>332</v>
      </c>
      <c r="D53" s="20">
        <v>2.880386656380222E-4</v>
      </c>
      <c r="E53" s="20">
        <v>0.62891674350741178</v>
      </c>
      <c r="F53" s="20">
        <v>0.3829741621067469</v>
      </c>
      <c r="G53" s="20">
        <v>0.21976829053416994</v>
      </c>
      <c r="H53" s="20">
        <v>0</v>
      </c>
      <c r="I53" s="20">
        <v>2.6174290866494958E-2</v>
      </c>
      <c r="J53" s="20">
        <v>2.8924856674818637E-2</v>
      </c>
      <c r="K53" s="20">
        <v>0.34187036115213149</v>
      </c>
      <c r="L53" s="20">
        <v>0</v>
      </c>
    </row>
    <row r="54" spans="1:12">
      <c r="A54" s="2" t="s">
        <v>333</v>
      </c>
      <c r="B54" s="3" t="s">
        <v>334</v>
      </c>
      <c r="D54" s="20">
        <v>4.6672853567202422E-7</v>
      </c>
      <c r="E54" s="20">
        <v>0.63981543546851716</v>
      </c>
      <c r="F54" s="20">
        <v>0.44625494198188814</v>
      </c>
      <c r="G54" s="20">
        <v>0.15190728229745248</v>
      </c>
      <c r="H54" s="20">
        <v>0</v>
      </c>
      <c r="I54" s="20">
        <v>4.1653211189176517E-2</v>
      </c>
      <c r="J54" s="20">
        <v>1.9873859780090163E-2</v>
      </c>
      <c r="K54" s="20">
        <v>0.34031023802285709</v>
      </c>
      <c r="L54" s="20">
        <v>0</v>
      </c>
    </row>
    <row r="55" spans="1:12">
      <c r="A55" s="2" t="s">
        <v>335</v>
      </c>
      <c r="B55" s="3" t="s">
        <v>336</v>
      </c>
      <c r="D55" s="20">
        <v>2.3462147011692829E-3</v>
      </c>
      <c r="E55" s="20">
        <v>0.64471636635417651</v>
      </c>
      <c r="F55" s="20">
        <v>0.25234019598578245</v>
      </c>
      <c r="G55" s="20">
        <v>0.38272073445464627</v>
      </c>
      <c r="H55" s="20">
        <v>0</v>
      </c>
      <c r="I55" s="20">
        <v>9.6554359137477931E-3</v>
      </c>
      <c r="J55" s="20">
        <v>5.0957258081670086E-2</v>
      </c>
      <c r="K55" s="20">
        <v>0.30198016086298418</v>
      </c>
      <c r="L55" s="20">
        <v>0</v>
      </c>
    </row>
    <row r="56" spans="1:12">
      <c r="A56" s="2" t="s">
        <v>337</v>
      </c>
      <c r="B56" s="3" t="s">
        <v>338</v>
      </c>
      <c r="D56" s="20">
        <v>1.6439398783290628E-4</v>
      </c>
      <c r="E56" s="20">
        <v>0.64435092342651668</v>
      </c>
      <c r="F56" s="20">
        <v>0.46036745573230947</v>
      </c>
      <c r="G56" s="20">
        <v>0.13753086367071243</v>
      </c>
      <c r="H56" s="20">
        <v>0</v>
      </c>
      <c r="I56" s="20">
        <v>4.6452604023494784E-2</v>
      </c>
      <c r="J56" s="20">
        <v>1.7966952960114201E-2</v>
      </c>
      <c r="K56" s="20">
        <v>0.33751772962553611</v>
      </c>
      <c r="L56" s="20">
        <v>0</v>
      </c>
    </row>
    <row r="57" spans="1:12">
      <c r="A57" s="2" t="s">
        <v>279</v>
      </c>
      <c r="B57" s="3" t="s">
        <v>280</v>
      </c>
      <c r="D57" s="20">
        <v>9.708592056010306E-3</v>
      </c>
      <c r="E57" s="20">
        <v>0.57313155656803305</v>
      </c>
      <c r="F57" s="20">
        <v>0.23408572868668509</v>
      </c>
      <c r="G57" s="20">
        <v>4.6738039642020945E-2</v>
      </c>
      <c r="H57" s="20">
        <v>0</v>
      </c>
      <c r="I57" s="20">
        <v>0.29230778823932707</v>
      </c>
      <c r="J57" s="20">
        <v>6.0414524719104527E-3</v>
      </c>
      <c r="K57" s="20">
        <v>0.41111839890404628</v>
      </c>
      <c r="L57" s="20">
        <v>0</v>
      </c>
    </row>
    <row r="58" spans="1:12">
      <c r="A58" s="2" t="s">
        <v>339</v>
      </c>
      <c r="B58" s="3" t="s">
        <v>340</v>
      </c>
      <c r="D58" s="20">
        <v>1.6359993534825218E-6</v>
      </c>
      <c r="E58" s="20">
        <v>0.63934400530642288</v>
      </c>
      <c r="F58" s="20">
        <v>0.44463312262750643</v>
      </c>
      <c r="G58" s="20">
        <v>0.15356681159482352</v>
      </c>
      <c r="H58" s="20">
        <v>0</v>
      </c>
      <c r="I58" s="20">
        <v>4.1144071084092904E-2</v>
      </c>
      <c r="J58" s="20">
        <v>2.009424031979996E-2</v>
      </c>
      <c r="K58" s="20">
        <v>0.34056011837442385</v>
      </c>
      <c r="L58" s="20">
        <v>0</v>
      </c>
    </row>
    <row r="59" spans="1:12">
      <c r="A59" s="2" t="s">
        <v>281</v>
      </c>
      <c r="B59" s="3" t="s">
        <v>282</v>
      </c>
      <c r="D59" s="20">
        <v>8.3118908042133062E-5</v>
      </c>
      <c r="E59" s="20">
        <v>0.57804414413292937</v>
      </c>
      <c r="F59" s="20">
        <v>0.26959914679509106</v>
      </c>
      <c r="G59" s="20">
        <v>5.2748980323245223E-2</v>
      </c>
      <c r="H59" s="20">
        <v>0</v>
      </c>
      <c r="I59" s="20">
        <v>0.2556960170145931</v>
      </c>
      <c r="J59" s="20">
        <v>6.8131117812282359E-3</v>
      </c>
      <c r="K59" s="20">
        <v>0.41505962517780032</v>
      </c>
      <c r="L59" s="20">
        <v>0</v>
      </c>
    </row>
    <row r="60" spans="1:12">
      <c r="A60" s="2" t="s">
        <v>341</v>
      </c>
      <c r="B60" s="3" t="s">
        <v>342</v>
      </c>
      <c r="D60" s="20">
        <v>2.4003275290811073E-3</v>
      </c>
      <c r="E60" s="20">
        <v>0.62900929180786458</v>
      </c>
      <c r="F60" s="20">
        <v>0.3987394360981959</v>
      </c>
      <c r="G60" s="20">
        <v>0.20080972699722568</v>
      </c>
      <c r="H60" s="20">
        <v>0</v>
      </c>
      <c r="I60" s="20">
        <v>2.9460128712443006E-2</v>
      </c>
      <c r="J60" s="20">
        <v>2.638946566845608E-2</v>
      </c>
      <c r="K60" s="20">
        <v>0.34220091499459826</v>
      </c>
      <c r="L60" s="20">
        <v>0</v>
      </c>
    </row>
    <row r="61" spans="1:12">
      <c r="A61" s="2" t="s">
        <v>480</v>
      </c>
      <c r="B61" s="3" t="s">
        <v>481</v>
      </c>
      <c r="D61" s="20">
        <v>1.4158788300984919E-13</v>
      </c>
      <c r="E61" s="20">
        <v>0.78737144987124763</v>
      </c>
      <c r="F61" s="20">
        <v>0.10645536819100317</v>
      </c>
      <c r="G61" s="20">
        <v>1.7737204100791382E-2</v>
      </c>
      <c r="H61" s="20">
        <v>0</v>
      </c>
      <c r="I61" s="20">
        <v>0.66317887757945304</v>
      </c>
      <c r="J61" s="20">
        <v>1.5666940775628763E-2</v>
      </c>
      <c r="K61" s="20">
        <v>0.19696160935298218</v>
      </c>
      <c r="L61" s="20">
        <v>0</v>
      </c>
    </row>
    <row r="62" spans="1:12">
      <c r="A62" s="2" t="s">
        <v>482</v>
      </c>
      <c r="B62" s="3" t="s">
        <v>483</v>
      </c>
      <c r="D62" s="20">
        <v>4.3060833334468651E-7</v>
      </c>
      <c r="E62" s="20">
        <v>0.6373262755082264</v>
      </c>
      <c r="F62" s="20">
        <v>0.10982497537648743</v>
      </c>
      <c r="G62" s="20">
        <v>2.4132186329712205E-2</v>
      </c>
      <c r="H62" s="20">
        <v>0</v>
      </c>
      <c r="I62" s="20">
        <v>0.50336911380202676</v>
      </c>
      <c r="J62" s="20">
        <v>3.178098328008706E-3</v>
      </c>
      <c r="K62" s="20">
        <v>0.35949519555543147</v>
      </c>
      <c r="L62" s="20">
        <v>0</v>
      </c>
    </row>
    <row r="63" spans="1:12">
      <c r="A63" s="2" t="s">
        <v>484</v>
      </c>
      <c r="B63" s="3" t="s">
        <v>485</v>
      </c>
      <c r="D63" s="20">
        <v>5.8727074987538473E-13</v>
      </c>
      <c r="E63" s="20">
        <v>0.98081790667527369</v>
      </c>
      <c r="F63" s="20">
        <v>3.3676507876647102E-3</v>
      </c>
      <c r="G63" s="20">
        <v>4.443485865598517E-4</v>
      </c>
      <c r="H63" s="20">
        <v>0</v>
      </c>
      <c r="I63" s="20">
        <v>0.97700590730104908</v>
      </c>
      <c r="J63" s="20">
        <v>1.3706044569199252E-3</v>
      </c>
      <c r="K63" s="20">
        <v>1.7811488867219283E-2</v>
      </c>
      <c r="L63" s="20">
        <v>0</v>
      </c>
    </row>
    <row r="64" spans="1:12">
      <c r="A64" s="2" t="s">
        <v>486</v>
      </c>
      <c r="B64" s="3" t="s">
        <v>487</v>
      </c>
      <c r="D64" s="20">
        <v>1.0360184175664668E-14</v>
      </c>
      <c r="E64" s="20">
        <v>0.99790106173187287</v>
      </c>
      <c r="F64" s="20">
        <v>1.2284018155199012E-3</v>
      </c>
      <c r="G64" s="20">
        <v>1.5251684419468645E-5</v>
      </c>
      <c r="H64" s="20">
        <v>0</v>
      </c>
      <c r="I64" s="20">
        <v>0.99665740823193349</v>
      </c>
      <c r="J64" s="20">
        <v>2.4875720655142403E-4</v>
      </c>
      <c r="K64" s="20">
        <v>1.8501810615654272E-3</v>
      </c>
      <c r="L64" s="20">
        <v>0</v>
      </c>
    </row>
    <row r="65" spans="1:12">
      <c r="A65" s="2" t="s">
        <v>488</v>
      </c>
      <c r="B65" s="3" t="s">
        <v>489</v>
      </c>
      <c r="D65" s="20">
        <v>1.7087327135045227E-12</v>
      </c>
      <c r="E65" s="20">
        <v>0.99884185185026408</v>
      </c>
      <c r="F65" s="20">
        <v>1.592666526568226E-4</v>
      </c>
      <c r="G65" s="20">
        <v>7.0838339577837986E-6</v>
      </c>
      <c r="H65" s="20">
        <v>0</v>
      </c>
      <c r="I65" s="20">
        <v>0.99867550136364946</v>
      </c>
      <c r="J65" s="20">
        <v>3.4166957178245679E-4</v>
      </c>
      <c r="K65" s="20">
        <v>8.1647857624474684E-4</v>
      </c>
      <c r="L65" s="20">
        <v>0</v>
      </c>
    </row>
    <row r="66" spans="1:12">
      <c r="A66" s="2" t="s">
        <v>490</v>
      </c>
      <c r="B66" s="3" t="s">
        <v>491</v>
      </c>
      <c r="D66" s="20">
        <v>2.7579939835696599E-11</v>
      </c>
      <c r="E66" s="20">
        <v>0.97965193418351126</v>
      </c>
      <c r="F66" s="20">
        <v>2.4766745464270216E-2</v>
      </c>
      <c r="G66" s="20">
        <v>6.207000489680544E-4</v>
      </c>
      <c r="H66" s="20">
        <v>0</v>
      </c>
      <c r="I66" s="20">
        <v>0.95426448867027303</v>
      </c>
      <c r="J66" s="20">
        <v>1.1351055847212348E-2</v>
      </c>
      <c r="K66" s="20">
        <v>8.9970099416963444E-3</v>
      </c>
      <c r="L66" s="20">
        <v>0</v>
      </c>
    </row>
    <row r="67" spans="1:12">
      <c r="A67" s="2" t="s">
        <v>492</v>
      </c>
      <c r="B67" s="3" t="s">
        <v>493</v>
      </c>
      <c r="D67" s="20">
        <v>1.3347933367478904E-12</v>
      </c>
      <c r="E67" s="20">
        <v>0.99875680987860138</v>
      </c>
      <c r="F67" s="20">
        <v>1.3428962589590271E-4</v>
      </c>
      <c r="G67" s="20">
        <v>7.3410367466345537E-6</v>
      </c>
      <c r="H67" s="20">
        <v>0</v>
      </c>
      <c r="I67" s="20">
        <v>0.99861517921595888</v>
      </c>
      <c r="J67" s="20">
        <v>3.251665775556789E-4</v>
      </c>
      <c r="K67" s="20">
        <v>9.1802354250817739E-4</v>
      </c>
      <c r="L67" s="20">
        <v>0</v>
      </c>
    </row>
    <row r="68" spans="1:12">
      <c r="A68" s="2" t="s">
        <v>494</v>
      </c>
      <c r="B68" s="3" t="s">
        <v>495</v>
      </c>
      <c r="D68" s="20">
        <v>1.2059804164276607E-11</v>
      </c>
      <c r="E68" s="20">
        <v>0.99937408595278554</v>
      </c>
      <c r="F68" s="20">
        <v>1.5955915713551592E-5</v>
      </c>
      <c r="G68" s="20">
        <v>1.2310843470272643E-6</v>
      </c>
      <c r="H68" s="20">
        <v>0</v>
      </c>
      <c r="I68" s="20">
        <v>0.99935689895272495</v>
      </c>
      <c r="J68" s="20">
        <v>2.5534917810562317E-4</v>
      </c>
      <c r="K68" s="20">
        <v>3.7056485704915553E-4</v>
      </c>
      <c r="L68" s="20">
        <v>0</v>
      </c>
    </row>
    <row r="69" spans="1:12">
      <c r="A69" s="2" t="s">
        <v>496</v>
      </c>
      <c r="B69" s="3" t="s">
        <v>497</v>
      </c>
      <c r="D69" s="20">
        <v>4.0856341065704232E-11</v>
      </c>
      <c r="E69" s="20">
        <v>0.65061710952422402</v>
      </c>
      <c r="F69" s="20">
        <v>0.47573834195906278</v>
      </c>
      <c r="G69" s="20">
        <v>0.1223978276800928</v>
      </c>
      <c r="H69" s="20">
        <v>0</v>
      </c>
      <c r="I69" s="20">
        <v>5.248093988506846E-2</v>
      </c>
      <c r="J69" s="20">
        <v>1.5964054641497381E-2</v>
      </c>
      <c r="K69" s="20">
        <v>0.3334188357934223</v>
      </c>
      <c r="L69" s="20">
        <v>0</v>
      </c>
    </row>
    <row r="70" spans="1:12">
      <c r="A70" s="2" t="s">
        <v>498</v>
      </c>
      <c r="B70" s="3" t="s">
        <v>411</v>
      </c>
      <c r="D70" s="20">
        <v>2.2208942961266933E-13</v>
      </c>
      <c r="E70" s="20">
        <v>0.9997243228388546</v>
      </c>
      <c r="F70" s="20">
        <v>3.0984648451295831E-3</v>
      </c>
      <c r="G70" s="20">
        <v>2.9447077357092844E-7</v>
      </c>
      <c r="H70" s="20">
        <v>0</v>
      </c>
      <c r="I70" s="20">
        <v>0.9966255635229514</v>
      </c>
      <c r="J70" s="20">
        <v>2.5112223558478063E-4</v>
      </c>
      <c r="K70" s="20">
        <v>2.4554925338638971E-5</v>
      </c>
      <c r="L70" s="20">
        <v>0</v>
      </c>
    </row>
    <row r="71" spans="1:12">
      <c r="A71" s="2" t="s">
        <v>499</v>
      </c>
      <c r="B71" s="3" t="s">
        <v>412</v>
      </c>
      <c r="D71" s="20">
        <v>1.0395605272270481E-8</v>
      </c>
      <c r="E71" s="20">
        <v>0.99970919248764833</v>
      </c>
      <c r="F71" s="20">
        <v>5.9192802099460404E-3</v>
      </c>
      <c r="G71" s="20">
        <v>5.3794170264004207E-7</v>
      </c>
      <c r="H71" s="20">
        <v>0</v>
      </c>
      <c r="I71" s="20">
        <v>0.99378937433599968</v>
      </c>
      <c r="J71" s="20">
        <v>2.5632788261614048E-4</v>
      </c>
      <c r="K71" s="20">
        <v>3.4469234130151713E-5</v>
      </c>
      <c r="L71" s="20">
        <v>0</v>
      </c>
    </row>
    <row r="72" spans="1:12">
      <c r="A72" s="2" t="s">
        <v>500</v>
      </c>
      <c r="B72" s="3" t="s">
        <v>413</v>
      </c>
      <c r="D72" s="20">
        <v>1.2802707682743698E-9</v>
      </c>
      <c r="E72" s="20">
        <v>0.98796367294217002</v>
      </c>
      <c r="F72" s="20">
        <v>0.95021205460590474</v>
      </c>
      <c r="G72" s="20">
        <v>4.3640015368962882E-4</v>
      </c>
      <c r="H72" s="20">
        <v>0</v>
      </c>
      <c r="I72" s="20">
        <v>3.7315218182575632E-2</v>
      </c>
      <c r="J72" s="20">
        <v>1.1681364224732618E-2</v>
      </c>
      <c r="K72" s="20">
        <v>3.5496155282654858E-4</v>
      </c>
      <c r="L72" s="20">
        <v>0</v>
      </c>
    </row>
    <row r="73" spans="1:12">
      <c r="A73" s="2" t="s">
        <v>501</v>
      </c>
      <c r="B73" s="3" t="s">
        <v>414</v>
      </c>
      <c r="D73" s="20">
        <v>1.3187137318865049E-9</v>
      </c>
      <c r="E73" s="20">
        <v>0.99863149338286517</v>
      </c>
      <c r="F73" s="20">
        <v>0.7257202385301279</v>
      </c>
      <c r="G73" s="20">
        <v>4.1950157318665368E-5</v>
      </c>
      <c r="H73" s="20">
        <v>0</v>
      </c>
      <c r="I73" s="20">
        <v>0.27286930469541859</v>
      </c>
      <c r="J73" s="20">
        <v>1.1416076397079726E-3</v>
      </c>
      <c r="K73" s="20">
        <v>2.268976587129467E-4</v>
      </c>
      <c r="L73" s="20">
        <v>0</v>
      </c>
    </row>
    <row r="74" spans="1:12">
      <c r="A74" s="2" t="s">
        <v>502</v>
      </c>
      <c r="B74" s="3" t="s">
        <v>415</v>
      </c>
      <c r="D74" s="20">
        <v>1.2789580129776996E-9</v>
      </c>
      <c r="E74" s="20">
        <v>0.99971204800870739</v>
      </c>
      <c r="F74" s="20">
        <v>5.3588918604583107E-3</v>
      </c>
      <c r="G74" s="20">
        <v>4.8914695292589242E-7</v>
      </c>
      <c r="H74" s="20">
        <v>0</v>
      </c>
      <c r="I74" s="20">
        <v>0.9943526670012961</v>
      </c>
      <c r="J74" s="20">
        <v>2.55311792829753E-4</v>
      </c>
      <c r="K74" s="20">
        <v>3.2638919504970451E-5</v>
      </c>
      <c r="L74" s="20">
        <v>0</v>
      </c>
    </row>
    <row r="75" spans="1:12">
      <c r="A75" s="2" t="s">
        <v>503</v>
      </c>
      <c r="B75" s="3" t="s">
        <v>416</v>
      </c>
      <c r="D75" s="20">
        <v>5.4154419173432075E-9</v>
      </c>
      <c r="E75" s="20">
        <v>0.99865684570565683</v>
      </c>
      <c r="F75" s="20">
        <v>0.68968790251657697</v>
      </c>
      <c r="G75" s="20">
        <v>4.0384709898207579E-5</v>
      </c>
      <c r="H75" s="20">
        <v>0</v>
      </c>
      <c r="I75" s="20">
        <v>0.3089285584791816</v>
      </c>
      <c r="J75" s="20">
        <v>1.1086647848402465E-3</v>
      </c>
      <c r="K75" s="20">
        <v>2.3448409406108732E-4</v>
      </c>
      <c r="L75" s="20">
        <v>0</v>
      </c>
    </row>
    <row r="76" spans="1:12">
      <c r="A76" s="2" t="s">
        <v>504</v>
      </c>
      <c r="B76" s="3" t="s">
        <v>417</v>
      </c>
      <c r="D76" s="20">
        <v>3.4378121937818647E-8</v>
      </c>
      <c r="E76" s="20">
        <v>0.99943524188382293</v>
      </c>
      <c r="F76" s="20">
        <v>0.10927008132071912</v>
      </c>
      <c r="G76" s="20">
        <v>7.9463479944545398E-6</v>
      </c>
      <c r="H76" s="20">
        <v>0</v>
      </c>
      <c r="I76" s="20">
        <v>0.8901572142151094</v>
      </c>
      <c r="J76" s="20">
        <v>4.1528472147195442E-4</v>
      </c>
      <c r="K76" s="20">
        <v>1.4943901658308673E-4</v>
      </c>
      <c r="L76" s="20">
        <v>0</v>
      </c>
    </row>
    <row r="77" spans="1:12">
      <c r="A77" s="2" t="s">
        <v>505</v>
      </c>
      <c r="B77" s="3" t="s">
        <v>418</v>
      </c>
      <c r="D77" s="20">
        <v>4.0337508246354056E-8</v>
      </c>
      <c r="E77" s="20">
        <v>0.99863743014239681</v>
      </c>
      <c r="F77" s="20">
        <v>0.71569533396885643</v>
      </c>
      <c r="G77" s="20">
        <v>4.1648033463755907E-5</v>
      </c>
      <c r="H77" s="20">
        <v>0</v>
      </c>
      <c r="I77" s="20">
        <v>0.28290044814007664</v>
      </c>
      <c r="J77" s="20">
        <v>1.1326549550803554E-3</v>
      </c>
      <c r="K77" s="20">
        <v>2.2987456501478694E-4</v>
      </c>
      <c r="L77" s="20">
        <v>0</v>
      </c>
    </row>
    <row r="78" spans="1:12">
      <c r="A78" s="2" t="s">
        <v>506</v>
      </c>
      <c r="B78" s="3" t="s">
        <v>419</v>
      </c>
      <c r="D78" s="20">
        <v>5.1379267998333025E-9</v>
      </c>
      <c r="E78" s="20">
        <v>0.98989397245713528</v>
      </c>
      <c r="F78" s="20">
        <v>0.94821455770967955</v>
      </c>
      <c r="G78" s="20">
        <v>3.6590721904549719E-4</v>
      </c>
      <c r="H78" s="20">
        <v>0</v>
      </c>
      <c r="I78" s="20">
        <v>4.131350752841019E-2</v>
      </c>
      <c r="J78" s="20">
        <v>9.7699232669840787E-3</v>
      </c>
      <c r="K78" s="20">
        <v>3.3609913795386699E-4</v>
      </c>
      <c r="L78" s="20">
        <v>0</v>
      </c>
    </row>
    <row r="79" spans="1:12">
      <c r="A79" s="2" t="s">
        <v>507</v>
      </c>
      <c r="B79" s="3" t="s">
        <v>420</v>
      </c>
      <c r="D79" s="20">
        <v>1.2905890853840911E-13</v>
      </c>
      <c r="E79" s="20">
        <v>0.98989403674024301</v>
      </c>
      <c r="F79" s="20">
        <v>0.94821467475488841</v>
      </c>
      <c r="G79" s="20">
        <v>3.6584935730943525E-4</v>
      </c>
      <c r="H79" s="20">
        <v>0</v>
      </c>
      <c r="I79" s="20">
        <v>4.1313512628045154E-2</v>
      </c>
      <c r="J79" s="20">
        <v>9.7699172697909478E-3</v>
      </c>
      <c r="K79" s="20">
        <v>3.3604598983708034E-4</v>
      </c>
      <c r="L79" s="20">
        <v>0</v>
      </c>
    </row>
    <row r="80" spans="1:12">
      <c r="A80" s="2" t="s">
        <v>508</v>
      </c>
      <c r="B80" s="3" t="s">
        <v>421</v>
      </c>
      <c r="D80" s="20">
        <v>6.084942596850889E-9</v>
      </c>
      <c r="E80" s="20">
        <v>0.99905714456395345</v>
      </c>
      <c r="F80" s="20">
        <v>0.3321048298781436</v>
      </c>
      <c r="G80" s="20">
        <v>2.1718986275486036E-5</v>
      </c>
      <c r="H80" s="20">
        <v>0</v>
      </c>
      <c r="I80" s="20">
        <v>0.66693059569953439</v>
      </c>
      <c r="J80" s="20">
        <v>7.1125072879855197E-4</v>
      </c>
      <c r="K80" s="20">
        <v>2.3159862230530062E-4</v>
      </c>
      <c r="L80" s="20">
        <v>0</v>
      </c>
    </row>
    <row r="81" spans="1:12">
      <c r="A81" s="2" t="s">
        <v>509</v>
      </c>
      <c r="B81" s="3" t="s">
        <v>422</v>
      </c>
      <c r="D81" s="20">
        <v>2.4120790431165391E-9</v>
      </c>
      <c r="E81" s="20">
        <v>0.99964368277526883</v>
      </c>
      <c r="F81" s="20">
        <v>2.3583607672287087E-2</v>
      </c>
      <c r="G81" s="20">
        <v>1.9274121869050284E-6</v>
      </c>
      <c r="H81" s="20">
        <v>0</v>
      </c>
      <c r="I81" s="20">
        <v>0.9760581476907948</v>
      </c>
      <c r="J81" s="20">
        <v>2.8628692579345201E-4</v>
      </c>
      <c r="K81" s="20">
        <v>7.0027886858618131E-5</v>
      </c>
      <c r="L81" s="20">
        <v>0</v>
      </c>
    </row>
    <row r="82" spans="1:12">
      <c r="A82" s="2" t="s">
        <v>510</v>
      </c>
      <c r="B82" s="3" t="s">
        <v>423</v>
      </c>
      <c r="D82" s="20">
        <v>7.7283125325408447E-13</v>
      </c>
      <c r="E82" s="20">
        <v>0.99954463432304619</v>
      </c>
      <c r="F82" s="20">
        <v>6.0187092067831516E-2</v>
      </c>
      <c r="G82" s="20">
        <v>4.577190470906606E-6</v>
      </c>
      <c r="H82" s="20">
        <v>0</v>
      </c>
      <c r="I82" s="20">
        <v>0.93935296506474375</v>
      </c>
      <c r="J82" s="20">
        <v>3.4334571809012068E-4</v>
      </c>
      <c r="K82" s="20">
        <v>1.1201995809080829E-4</v>
      </c>
      <c r="L82" s="20">
        <v>0</v>
      </c>
    </row>
    <row r="83" spans="1:12">
      <c r="A83" s="2" t="s">
        <v>511</v>
      </c>
      <c r="B83" s="3" t="s">
        <v>424</v>
      </c>
      <c r="D83" s="20">
        <v>1.844657495138579E-9</v>
      </c>
      <c r="E83" s="20">
        <v>0.9805687803822748</v>
      </c>
      <c r="F83" s="20">
        <v>0.95177533697597083</v>
      </c>
      <c r="G83" s="20">
        <v>7.055029045388054E-4</v>
      </c>
      <c r="H83" s="20">
        <v>0</v>
      </c>
      <c r="I83" s="20">
        <v>2.8087940501765156E-2</v>
      </c>
      <c r="J83" s="20">
        <v>1.9020451075151133E-2</v>
      </c>
      <c r="K83" s="20">
        <v>4.1076669791673896E-4</v>
      </c>
      <c r="L83" s="20">
        <v>0</v>
      </c>
    </row>
    <row r="84" spans="1:12">
      <c r="A84" s="2" t="s">
        <v>395</v>
      </c>
      <c r="B84" s="3" t="s">
        <v>396</v>
      </c>
      <c r="D84" s="20">
        <v>7.4753624440266613E-44</v>
      </c>
      <c r="E84" s="20">
        <v>0.69421739660461312</v>
      </c>
      <c r="F84" s="20">
        <v>6.6351529532595224E-2</v>
      </c>
      <c r="G84" s="20">
        <v>1.5351347193770189E-2</v>
      </c>
      <c r="H84" s="20">
        <v>0</v>
      </c>
      <c r="I84" s="20">
        <v>0.61251451987824768</v>
      </c>
      <c r="J84" s="20">
        <v>2.0839160856965808E-3</v>
      </c>
      <c r="K84" s="20">
        <v>0.30369868730969024</v>
      </c>
      <c r="L84" s="20">
        <v>0</v>
      </c>
    </row>
    <row r="85" spans="1:12">
      <c r="A85" s="2" t="s">
        <v>397</v>
      </c>
      <c r="B85" s="3" t="s">
        <v>398</v>
      </c>
      <c r="D85" s="20">
        <v>4.519450738593208E-8</v>
      </c>
      <c r="E85" s="20">
        <v>0.56348350834565986</v>
      </c>
      <c r="F85" s="20">
        <v>0.33327061773478095</v>
      </c>
      <c r="G85" s="20">
        <v>1.7422915037454859E-2</v>
      </c>
      <c r="H85" s="20">
        <v>0</v>
      </c>
      <c r="I85" s="20">
        <v>0.212789975573424</v>
      </c>
      <c r="J85" s="20">
        <v>0.40885867144260685</v>
      </c>
      <c r="K85" s="20">
        <v>2.7657775017225932E-2</v>
      </c>
      <c r="L85" s="20">
        <v>0</v>
      </c>
    </row>
    <row r="86" spans="1:12">
      <c r="A86" s="2" t="s">
        <v>399</v>
      </c>
      <c r="B86" s="3" t="s">
        <v>400</v>
      </c>
      <c r="D86" s="20">
        <v>1.5561537466810433E-4</v>
      </c>
      <c r="E86" s="20">
        <v>0.70482775167054246</v>
      </c>
      <c r="F86" s="20">
        <v>0.13377383792894301</v>
      </c>
      <c r="G86" s="20">
        <v>0.56828571901723057</v>
      </c>
      <c r="H86" s="20">
        <v>0</v>
      </c>
      <c r="I86" s="20">
        <v>2.7681947243689128E-3</v>
      </c>
      <c r="J86" s="20">
        <v>7.6611337976251692E-2</v>
      </c>
      <c r="K86" s="20">
        <v>0.21840529497853756</v>
      </c>
      <c r="L86" s="20">
        <v>0</v>
      </c>
    </row>
    <row r="87" spans="1:12">
      <c r="A87" s="2" t="s">
        <v>401</v>
      </c>
      <c r="B87" s="3" t="s">
        <v>402</v>
      </c>
      <c r="D87" s="20">
        <v>2.0299245844226199E-5</v>
      </c>
      <c r="E87" s="20">
        <v>0.75302931747203339</v>
      </c>
      <c r="F87" s="20">
        <v>7.5944895290890865E-2</v>
      </c>
      <c r="G87" s="20">
        <v>0.67607385768258332</v>
      </c>
      <c r="H87" s="20">
        <v>0</v>
      </c>
      <c r="I87" s="20">
        <v>1.010564498559145E-3</v>
      </c>
      <c r="J87" s="20">
        <v>9.1965063487192272E-2</v>
      </c>
      <c r="K87" s="20">
        <v>0.15498531979493024</v>
      </c>
      <c r="L87" s="20">
        <v>0</v>
      </c>
    </row>
    <row r="88" spans="1:12">
      <c r="A88" s="2" t="s">
        <v>301</v>
      </c>
      <c r="B88" s="3" t="s">
        <v>302</v>
      </c>
      <c r="D88" s="20">
        <v>2.6242931548956318E-6</v>
      </c>
      <c r="E88" s="20">
        <v>0.79841207076547627</v>
      </c>
      <c r="F88" s="20">
        <v>3.686642555888113E-2</v>
      </c>
      <c r="G88" s="20">
        <v>0.76124874091060424</v>
      </c>
      <c r="H88" s="20">
        <v>0</v>
      </c>
      <c r="I88" s="20">
        <v>2.9690429599088248E-4</v>
      </c>
      <c r="J88" s="20">
        <v>0.10461851736562366</v>
      </c>
      <c r="K88" s="20">
        <v>9.6966787575745284E-2</v>
      </c>
      <c r="L88" s="20">
        <v>0</v>
      </c>
    </row>
    <row r="89" spans="1:12">
      <c r="A89" s="2" t="s">
        <v>303</v>
      </c>
      <c r="B89" s="3" t="s">
        <v>304</v>
      </c>
      <c r="D89" s="20">
        <v>2.877085466978997E-13</v>
      </c>
      <c r="E89" s="20">
        <v>0.11985487814312255</v>
      </c>
      <c r="F89" s="20">
        <v>3.2493331500830121E-2</v>
      </c>
      <c r="G89" s="20">
        <v>8.4508485211947204E-2</v>
      </c>
      <c r="H89" s="20">
        <v>0</v>
      </c>
      <c r="I89" s="20">
        <v>2.8530614303452296E-3</v>
      </c>
      <c r="J89" s="20">
        <v>0.86510689133314589</v>
      </c>
      <c r="K89" s="20">
        <v>1.5038230523443866E-2</v>
      </c>
      <c r="L89" s="20">
        <v>0</v>
      </c>
    </row>
    <row r="90" spans="1:12">
      <c r="A90" s="2" t="s">
        <v>425</v>
      </c>
      <c r="B90" s="3" t="s">
        <v>426</v>
      </c>
      <c r="D90" s="20">
        <v>1.2614135108958165E-13</v>
      </c>
      <c r="E90" s="20">
        <v>0.98902679777692937</v>
      </c>
      <c r="F90" s="20">
        <v>9.2761592709622202E-5</v>
      </c>
      <c r="G90" s="20">
        <v>3.114536922831459E-5</v>
      </c>
      <c r="H90" s="20">
        <v>0</v>
      </c>
      <c r="I90" s="20">
        <v>0.98890289081499139</v>
      </c>
      <c r="J90" s="20">
        <v>2.4591511059428658E-4</v>
      </c>
      <c r="K90" s="20">
        <v>1.072728711235011E-2</v>
      </c>
      <c r="L90" s="20">
        <v>0</v>
      </c>
    </row>
    <row r="91" spans="1:12">
      <c r="A91" s="2" t="s">
        <v>427</v>
      </c>
      <c r="B91" s="3" t="s">
        <v>428</v>
      </c>
      <c r="D91" s="20">
        <v>7.8555524873432934E-5</v>
      </c>
      <c r="E91" s="20">
        <v>0.88972556627386057</v>
      </c>
      <c r="F91" s="20">
        <v>6.7389994208329577E-3</v>
      </c>
      <c r="G91" s="20">
        <v>1.8953567855644862E-3</v>
      </c>
      <c r="H91" s="20">
        <v>0</v>
      </c>
      <c r="I91" s="20">
        <v>0.88109121006746316</v>
      </c>
      <c r="J91" s="20">
        <v>4.5020796841677277E-4</v>
      </c>
      <c r="K91" s="20">
        <v>0.10974567023284929</v>
      </c>
      <c r="L91" s="20">
        <v>0</v>
      </c>
    </row>
    <row r="92" spans="1:12">
      <c r="A92" s="2" t="s">
        <v>429</v>
      </c>
      <c r="B92" s="3" t="s">
        <v>430</v>
      </c>
      <c r="D92" s="20">
        <v>1.274080161549396E-3</v>
      </c>
      <c r="E92" s="20">
        <v>0.60178766245348225</v>
      </c>
      <c r="F92" s="20">
        <v>0.15610450545755827</v>
      </c>
      <c r="G92" s="20">
        <v>3.2939044211012278E-2</v>
      </c>
      <c r="H92" s="20">
        <v>0</v>
      </c>
      <c r="I92" s="20">
        <v>0.41274411278491169</v>
      </c>
      <c r="J92" s="20">
        <v>4.2866190659340952E-3</v>
      </c>
      <c r="K92" s="20">
        <v>0.39265163831903421</v>
      </c>
      <c r="L92" s="20">
        <v>0</v>
      </c>
    </row>
    <row r="93" spans="1:12">
      <c r="A93" s="2" t="s">
        <v>431</v>
      </c>
      <c r="B93" s="3" t="s">
        <v>432</v>
      </c>
      <c r="D93" s="20">
        <v>9.3776849137977348E-18</v>
      </c>
      <c r="E93" s="20">
        <v>0.99968959312281624</v>
      </c>
      <c r="F93" s="20">
        <v>4.3629475185857626E-4</v>
      </c>
      <c r="G93" s="20">
        <v>3.4954404716563788E-7</v>
      </c>
      <c r="H93" s="20">
        <v>0</v>
      </c>
      <c r="I93" s="20">
        <v>0.99925294882691051</v>
      </c>
      <c r="J93" s="20">
        <v>2.4584170239132968E-4</v>
      </c>
      <c r="K93" s="20">
        <v>6.4565174792496872E-5</v>
      </c>
      <c r="L93" s="20">
        <v>0</v>
      </c>
    </row>
    <row r="94" spans="1:12">
      <c r="A94" s="2" t="s">
        <v>433</v>
      </c>
      <c r="B94" s="3" t="s">
        <v>434</v>
      </c>
      <c r="D94" s="20">
        <v>1.9741376187487296E-18</v>
      </c>
      <c r="E94" s="20">
        <v>0.99975202865236512</v>
      </c>
      <c r="F94" s="20">
        <v>1.6912044355747149E-6</v>
      </c>
      <c r="G94" s="20">
        <v>2.359889949975921E-9</v>
      </c>
      <c r="H94" s="20">
        <v>0</v>
      </c>
      <c r="I94" s="20">
        <v>0.99975033508803957</v>
      </c>
      <c r="J94" s="20">
        <v>2.4634434531785402E-4</v>
      </c>
      <c r="K94" s="20">
        <v>1.6270023172541661E-6</v>
      </c>
      <c r="L94" s="20">
        <v>0</v>
      </c>
    </row>
    <row r="95" spans="1:12">
      <c r="A95" s="2" t="s">
        <v>435</v>
      </c>
      <c r="B95" s="3" t="s">
        <v>436</v>
      </c>
      <c r="D95" s="20">
        <v>1.0976083917723556E-8</v>
      </c>
      <c r="E95" s="20">
        <v>0.97443391222373754</v>
      </c>
      <c r="F95" s="20">
        <v>3.8711258930399016E-4</v>
      </c>
      <c r="G95" s="20">
        <v>1.3426677003484865E-4</v>
      </c>
      <c r="H95" s="20">
        <v>0</v>
      </c>
      <c r="I95" s="20">
        <v>0.97391253286439872</v>
      </c>
      <c r="J95" s="20">
        <v>2.576609283462072E-4</v>
      </c>
      <c r="K95" s="20">
        <v>2.5308415871832256E-2</v>
      </c>
      <c r="L95" s="20">
        <v>0</v>
      </c>
    </row>
    <row r="96" spans="1:12">
      <c r="A96" s="2" t="s">
        <v>437</v>
      </c>
      <c r="B96" s="163" t="s">
        <v>438</v>
      </c>
      <c r="D96" s="20">
        <v>2.8487372220278629E-7</v>
      </c>
      <c r="E96" s="20">
        <v>0.68702421786954015</v>
      </c>
      <c r="F96" s="20">
        <v>0.16168550017955624</v>
      </c>
      <c r="G96" s="20">
        <v>0.52139472116061547</v>
      </c>
      <c r="H96" s="20">
        <v>0</v>
      </c>
      <c r="I96" s="20">
        <v>3.9439965293684397E-3</v>
      </c>
      <c r="J96" s="20">
        <v>7.005562135571837E-2</v>
      </c>
      <c r="K96" s="20">
        <v>0.24291987590101929</v>
      </c>
      <c r="L96" s="20">
        <v>0</v>
      </c>
    </row>
    <row r="97" spans="1:12">
      <c r="A97" s="2" t="s">
        <v>439</v>
      </c>
      <c r="B97" s="3" t="s">
        <v>440</v>
      </c>
      <c r="D97" s="20">
        <v>4.2538810192805909E-5</v>
      </c>
      <c r="E97" s="20">
        <v>0.84326616299334578</v>
      </c>
      <c r="F97" s="20">
        <v>1.4054131826697357E-2</v>
      </c>
      <c r="G97" s="20">
        <v>3.7264867230707671E-3</v>
      </c>
      <c r="H97" s="20">
        <v>0</v>
      </c>
      <c r="I97" s="20">
        <v>0.82548554444357769</v>
      </c>
      <c r="J97" s="20">
        <v>6.6564875375470418E-4</v>
      </c>
      <c r="K97" s="20">
        <v>0.15602564944270664</v>
      </c>
      <c r="L97" s="20">
        <v>0</v>
      </c>
    </row>
    <row r="98" spans="1:12">
      <c r="A98" s="2" t="s">
        <v>441</v>
      </c>
      <c r="B98" s="3" t="s">
        <v>442</v>
      </c>
      <c r="D98" s="20">
        <v>2.6369699479561691E-17</v>
      </c>
      <c r="E98" s="20">
        <v>0.88205249296473087</v>
      </c>
      <c r="F98" s="20">
        <v>7.7503954957515841E-3</v>
      </c>
      <c r="G98" s="20">
        <v>2.155854368010504E-3</v>
      </c>
      <c r="H98" s="20">
        <v>0</v>
      </c>
      <c r="I98" s="20">
        <v>0.87214624310096878</v>
      </c>
      <c r="J98" s="20">
        <v>4.8051692933210683E-4</v>
      </c>
      <c r="K98" s="20">
        <v>0.11746699010593699</v>
      </c>
      <c r="L98" s="20">
        <v>0</v>
      </c>
    </row>
    <row r="99" spans="1:12">
      <c r="A99" s="2" t="s">
        <v>443</v>
      </c>
      <c r="B99" s="3" t="s">
        <v>444</v>
      </c>
      <c r="D99" s="20">
        <v>3.5599121346610265E-29</v>
      </c>
      <c r="E99" s="20">
        <v>0.94592336486357753</v>
      </c>
      <c r="F99" s="20">
        <v>1.6101189567803965E-3</v>
      </c>
      <c r="G99" s="20">
        <v>5.0577052779637269E-4</v>
      </c>
      <c r="H99" s="20">
        <v>0</v>
      </c>
      <c r="I99" s="20">
        <v>0.94380747537900078</v>
      </c>
      <c r="J99" s="20">
        <v>2.9302634434899441E-4</v>
      </c>
      <c r="K99" s="20">
        <v>5.3783608792073362E-2</v>
      </c>
      <c r="L99" s="20">
        <v>0</v>
      </c>
    </row>
    <row r="100" spans="1:12">
      <c r="A100" s="2" t="s">
        <v>445</v>
      </c>
      <c r="B100" s="3" t="s">
        <v>446</v>
      </c>
      <c r="D100" s="20">
        <v>2.7070112463074378E-7</v>
      </c>
      <c r="E100" s="20">
        <v>0.62857234692620012</v>
      </c>
      <c r="F100" s="20">
        <v>0.36796689182807918</v>
      </c>
      <c r="G100" s="20">
        <v>0.23713971836179618</v>
      </c>
      <c r="H100" s="20">
        <v>0</v>
      </c>
      <c r="I100" s="20">
        <v>2.3465736736324797E-2</v>
      </c>
      <c r="J100" s="20">
        <v>3.1253692792581098E-2</v>
      </c>
      <c r="K100" s="20">
        <v>0.34017368958009414</v>
      </c>
      <c r="L100" s="20">
        <v>0</v>
      </c>
    </row>
    <row r="101" spans="1:12">
      <c r="A101" s="2" t="s">
        <v>447</v>
      </c>
      <c r="B101" s="3" t="s">
        <v>448</v>
      </c>
      <c r="D101" s="20">
        <v>9.5412047748006722E-9</v>
      </c>
      <c r="E101" s="20">
        <v>0.63191718083608217</v>
      </c>
      <c r="F101" s="20">
        <v>0.11551061633906153</v>
      </c>
      <c r="G101" s="20">
        <v>2.5241633493828793E-2</v>
      </c>
      <c r="H101" s="20">
        <v>0</v>
      </c>
      <c r="I101" s="20">
        <v>0.49116493100319181</v>
      </c>
      <c r="J101" s="20">
        <v>3.3172073209013944E-3</v>
      </c>
      <c r="K101" s="20">
        <v>0.36476560230181176</v>
      </c>
      <c r="L101" s="20">
        <v>0</v>
      </c>
    </row>
    <row r="102" spans="1:12">
      <c r="A102" s="2" t="s">
        <v>449</v>
      </c>
      <c r="B102" s="3" t="s">
        <v>450</v>
      </c>
      <c r="D102" s="20">
        <v>7.7374957245443087E-4</v>
      </c>
      <c r="E102" s="20">
        <v>0.58590990749858651</v>
      </c>
      <c r="F102" s="20">
        <v>0.32660220040668647</v>
      </c>
      <c r="G102" s="20">
        <v>6.1817958938963739E-2</v>
      </c>
      <c r="H102" s="20">
        <v>0</v>
      </c>
      <c r="I102" s="20">
        <v>0.1974897481529363</v>
      </c>
      <c r="J102" s="20">
        <v>7.9841648035620955E-3</v>
      </c>
      <c r="K102" s="20">
        <v>0.4053321781253969</v>
      </c>
      <c r="L102" s="20">
        <v>0</v>
      </c>
    </row>
    <row r="103" spans="1:12">
      <c r="A103" s="2" t="s">
        <v>451</v>
      </c>
      <c r="B103" s="3" t="s">
        <v>452</v>
      </c>
      <c r="D103" s="20">
        <v>3.7667503186825707E-19</v>
      </c>
      <c r="E103" s="20">
        <v>0.99967905903874466</v>
      </c>
      <c r="F103" s="20">
        <v>1.1561197151994848E-2</v>
      </c>
      <c r="G103" s="20">
        <v>1.1219616575755969E-6</v>
      </c>
      <c r="H103" s="20">
        <v>0</v>
      </c>
      <c r="I103" s="20">
        <v>0.98811673992509219</v>
      </c>
      <c r="J103" s="20">
        <v>2.6625517808765022E-4</v>
      </c>
      <c r="K103" s="20">
        <v>5.4685783167551083E-5</v>
      </c>
      <c r="L103" s="20">
        <v>0</v>
      </c>
    </row>
    <row r="104" spans="1:12">
      <c r="A104" s="2" t="s">
        <v>453</v>
      </c>
      <c r="B104" s="3" t="s">
        <v>454</v>
      </c>
      <c r="D104" s="20">
        <v>7.9483213345246485E-20</v>
      </c>
      <c r="E104" s="20">
        <v>0.99540101398069725</v>
      </c>
      <c r="F104" s="20">
        <v>0.89355157732073254</v>
      </c>
      <c r="G104" s="20">
        <v>9.4620508163098722E-4</v>
      </c>
      <c r="H104" s="20">
        <v>0</v>
      </c>
      <c r="I104" s="20">
        <v>0.1009032315783337</v>
      </c>
      <c r="J104" s="20">
        <v>1.9499876140649096E-3</v>
      </c>
      <c r="K104" s="20">
        <v>2.6489984052380372E-3</v>
      </c>
      <c r="L104" s="20">
        <v>0</v>
      </c>
    </row>
    <row r="105" spans="1:12">
      <c r="A105" s="2" t="s">
        <v>455</v>
      </c>
      <c r="B105" s="163">
        <v>354656</v>
      </c>
      <c r="D105" s="20">
        <v>2.910519400659356E-10</v>
      </c>
      <c r="E105" s="20">
        <v>0.98685995189181264</v>
      </c>
      <c r="F105" s="20">
        <v>9.9767521395106068E-5</v>
      </c>
      <c r="G105" s="20">
        <v>3.8590884990105343E-5</v>
      </c>
      <c r="H105" s="20">
        <v>0</v>
      </c>
      <c r="I105" s="20">
        <v>0.98672159348542743</v>
      </c>
      <c r="J105" s="20">
        <v>2.462410040445245E-4</v>
      </c>
      <c r="K105" s="20">
        <v>1.2893806813090731E-2</v>
      </c>
      <c r="L105" s="20">
        <v>0</v>
      </c>
    </row>
    <row r="106" spans="1:12">
      <c r="A106" s="2" t="s">
        <v>457</v>
      </c>
      <c r="B106" s="3" t="s">
        <v>458</v>
      </c>
      <c r="D106" s="20">
        <v>4.4090036341152435E-10</v>
      </c>
      <c r="E106" s="20">
        <v>0.97319831591297257</v>
      </c>
      <c r="F106" s="20">
        <v>4.2042125678672077E-4</v>
      </c>
      <c r="G106" s="20">
        <v>1.451644135356363E-4</v>
      </c>
      <c r="H106" s="20">
        <v>0</v>
      </c>
      <c r="I106" s="20">
        <v>0.97263273024265018</v>
      </c>
      <c r="J106" s="20">
        <v>2.5828163958228732E-4</v>
      </c>
      <c r="K106" s="20">
        <v>2.6543402006544731E-2</v>
      </c>
      <c r="L106" s="20">
        <v>0</v>
      </c>
    </row>
    <row r="107" spans="1:12">
      <c r="A107" s="2" t="s">
        <v>459</v>
      </c>
      <c r="B107" s="3" t="s">
        <v>460</v>
      </c>
      <c r="D107" s="20">
        <v>2.1649287962227306E-19</v>
      </c>
      <c r="E107" s="20">
        <v>0.63404447535801056</v>
      </c>
      <c r="F107" s="20">
        <v>0.4314112138942286</v>
      </c>
      <c r="G107" s="20">
        <v>7.5505679895936859E-2</v>
      </c>
      <c r="H107" s="20">
        <v>0</v>
      </c>
      <c r="I107" s="20">
        <v>0.12712758156784512</v>
      </c>
      <c r="J107" s="20">
        <v>1.5142230019575197E-2</v>
      </c>
      <c r="K107" s="20">
        <v>0.3508132946224144</v>
      </c>
      <c r="L107" s="20">
        <v>0</v>
      </c>
    </row>
    <row r="108" spans="1:12">
      <c r="A108" s="2" t="s">
        <v>461</v>
      </c>
      <c r="B108" s="3" t="s">
        <v>462</v>
      </c>
      <c r="D108" s="20">
        <v>8.5295682494166633E-10</v>
      </c>
      <c r="E108" s="20">
        <v>0.99973104452500017</v>
      </c>
      <c r="F108" s="20">
        <v>8.7602824400626923E-7</v>
      </c>
      <c r="G108" s="20">
        <v>2.5390993257967355E-8</v>
      </c>
      <c r="H108" s="20">
        <v>0</v>
      </c>
      <c r="I108" s="20">
        <v>0.99973014310576291</v>
      </c>
      <c r="J108" s="20">
        <v>2.4558906652382274E-4</v>
      </c>
      <c r="K108" s="20">
        <v>2.3365555519008887E-5</v>
      </c>
      <c r="L108" s="20">
        <v>0</v>
      </c>
    </row>
    <row r="109" spans="1:12">
      <c r="A109" s="2" t="s">
        <v>463</v>
      </c>
      <c r="B109" s="3" t="s">
        <v>464</v>
      </c>
      <c r="D109" s="20">
        <v>2.3238724495065626E-12</v>
      </c>
      <c r="E109" s="20">
        <v>0.98879898909322417</v>
      </c>
      <c r="F109" s="20">
        <v>6.1341411519338701E-3</v>
      </c>
      <c r="G109" s="20">
        <v>3.0490169672014268E-4</v>
      </c>
      <c r="H109" s="20">
        <v>0</v>
      </c>
      <c r="I109" s="20">
        <v>0.98235994624457013</v>
      </c>
      <c r="J109" s="20">
        <v>3.0266038173508889E-3</v>
      </c>
      <c r="K109" s="20">
        <v>8.1744070871011439E-3</v>
      </c>
      <c r="L109" s="20">
        <v>0</v>
      </c>
    </row>
    <row r="110" spans="1:12">
      <c r="A110" s="2" t="s">
        <v>465</v>
      </c>
      <c r="B110" s="3" t="s">
        <v>466</v>
      </c>
      <c r="D110" s="20">
        <v>1.6255776625557111E-11</v>
      </c>
      <c r="E110" s="20">
        <v>0.99711538219720552</v>
      </c>
      <c r="F110" s="20">
        <v>2.2486833190267574E-5</v>
      </c>
      <c r="G110" s="20">
        <v>4.302241883499401E-6</v>
      </c>
      <c r="H110" s="20">
        <v>0</v>
      </c>
      <c r="I110" s="20">
        <v>0.99708859312213172</v>
      </c>
      <c r="J110" s="20">
        <v>2.4469487835607781E-4</v>
      </c>
      <c r="K110" s="20">
        <v>2.6399229081826873E-3</v>
      </c>
      <c r="L110" s="20">
        <v>0</v>
      </c>
    </row>
    <row r="111" spans="1:12">
      <c r="A111" s="2" t="s">
        <v>467</v>
      </c>
      <c r="B111" s="3" t="s">
        <v>468</v>
      </c>
      <c r="D111" s="20">
        <v>2.8784680820304136E-30</v>
      </c>
      <c r="E111" s="20">
        <v>0.99975283576047225</v>
      </c>
      <c r="F111" s="20">
        <v>1.5919392952197649E-6</v>
      </c>
      <c r="G111" s="20">
        <v>1.3152201427810705E-9</v>
      </c>
      <c r="H111" s="20">
        <v>0</v>
      </c>
      <c r="I111" s="20">
        <v>0.99975124250595693</v>
      </c>
      <c r="J111" s="20">
        <v>2.4480215805990226E-4</v>
      </c>
      <c r="K111" s="20">
        <v>2.3620814676602126E-6</v>
      </c>
      <c r="L111" s="20">
        <v>0</v>
      </c>
    </row>
    <row r="112" spans="1:12">
      <c r="A112" s="2" t="s">
        <v>469</v>
      </c>
      <c r="B112" s="3" t="s">
        <v>470</v>
      </c>
      <c r="D112" s="20">
        <v>1.8282060815526753E-13</v>
      </c>
      <c r="E112" s="20">
        <v>0.99633238777397171</v>
      </c>
      <c r="F112" s="20">
        <v>7.7632546768519104E-6</v>
      </c>
      <c r="G112" s="20">
        <v>3.6269317974931828E-6</v>
      </c>
      <c r="H112" s="20">
        <v>0</v>
      </c>
      <c r="I112" s="20">
        <v>0.99632099758749737</v>
      </c>
      <c r="J112" s="20">
        <v>2.4438435239677105E-4</v>
      </c>
      <c r="K112" s="20">
        <v>3.4232278734487695E-3</v>
      </c>
      <c r="L112" s="20">
        <v>0</v>
      </c>
    </row>
    <row r="113" spans="1:12">
      <c r="A113" s="2" t="s">
        <v>471</v>
      </c>
      <c r="B113" s="3" t="s">
        <v>472</v>
      </c>
      <c r="D113" s="20">
        <v>2.3060840525920495E-9</v>
      </c>
      <c r="E113" s="20">
        <v>0.9800674054603864</v>
      </c>
      <c r="F113" s="20">
        <v>2.2609648820451098E-4</v>
      </c>
      <c r="G113" s="20">
        <v>8.2298017250949289E-5</v>
      </c>
      <c r="H113" s="20">
        <v>0</v>
      </c>
      <c r="I113" s="20">
        <v>0.9797590109549309</v>
      </c>
      <c r="J113" s="20">
        <v>2.498414821362419E-4</v>
      </c>
      <c r="K113" s="20">
        <v>1.9682750751393474E-2</v>
      </c>
      <c r="L113" s="20">
        <v>0</v>
      </c>
    </row>
    <row r="114" spans="1:12">
      <c r="A114" s="2" t="s">
        <v>473</v>
      </c>
      <c r="B114" s="3" t="s">
        <v>474</v>
      </c>
      <c r="D114" s="20">
        <v>1.7903962527514336E-16</v>
      </c>
      <c r="E114" s="20">
        <v>0.99798473476320726</v>
      </c>
      <c r="F114" s="20">
        <v>2.2552618468928067E-6</v>
      </c>
      <c r="G114" s="20">
        <v>1.1362282332733507E-6</v>
      </c>
      <c r="H114" s="20">
        <v>0</v>
      </c>
      <c r="I114" s="20">
        <v>0.99798134327312704</v>
      </c>
      <c r="J114" s="20">
        <v>2.4449588260313463E-4</v>
      </c>
      <c r="K114" s="20">
        <v>1.7707693541894674E-3</v>
      </c>
      <c r="L114" s="20">
        <v>0</v>
      </c>
    </row>
    <row r="115" spans="1:12">
      <c r="A115" s="2" t="s">
        <v>475</v>
      </c>
      <c r="B115" s="3" t="s">
        <v>476</v>
      </c>
      <c r="D115" s="20">
        <v>9.4706491899229548E-13</v>
      </c>
      <c r="E115" s="20">
        <v>0.99972026215031951</v>
      </c>
      <c r="F115" s="20">
        <v>2.8043546153582138E-3</v>
      </c>
      <c r="G115" s="20">
        <v>3.3590524349359283E-7</v>
      </c>
      <c r="H115" s="20">
        <v>0</v>
      </c>
      <c r="I115" s="20">
        <v>0.99691557162971778</v>
      </c>
      <c r="J115" s="20">
        <v>2.50569408641209E-4</v>
      </c>
      <c r="K115" s="20">
        <v>2.9168440092060877E-5</v>
      </c>
      <c r="L115" s="20">
        <v>0</v>
      </c>
    </row>
    <row r="116" spans="1:12">
      <c r="A116" s="2" t="s">
        <v>477</v>
      </c>
      <c r="B116" s="3" t="s">
        <v>478</v>
      </c>
      <c r="D116" s="20">
        <v>1.0212694859766185E-16</v>
      </c>
      <c r="E116" s="20">
        <v>0.85335190890871726</v>
      </c>
      <c r="F116" s="20">
        <v>0.32066464146731011</v>
      </c>
      <c r="G116" s="20">
        <v>7.7666653904159165E-3</v>
      </c>
      <c r="H116" s="20">
        <v>0</v>
      </c>
      <c r="I116" s="20">
        <v>0.52492060205099123</v>
      </c>
      <c r="J116" s="20">
        <v>0.11501577325805067</v>
      </c>
      <c r="K116" s="20">
        <v>3.1632317833232032E-2</v>
      </c>
      <c r="L116" s="20">
        <v>0</v>
      </c>
    </row>
    <row r="117" spans="1:12">
      <c r="A117" s="2" t="s">
        <v>291</v>
      </c>
      <c r="B117" s="3" t="s">
        <v>479</v>
      </c>
      <c r="D117" s="20">
        <v>3.6421886990546079E-10</v>
      </c>
      <c r="E117" s="20">
        <v>0.78820977571601392</v>
      </c>
      <c r="F117" s="20">
        <v>2.7188241996611181E-2</v>
      </c>
      <c r="G117" s="20">
        <v>6.8214497175871124E-3</v>
      </c>
      <c r="H117" s="20">
        <v>0</v>
      </c>
      <c r="I117" s="20">
        <v>0.7542000840018156</v>
      </c>
      <c r="J117" s="20">
        <v>1.0375453931434507E-3</v>
      </c>
      <c r="K117" s="20">
        <v>0.21075267852662388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3.0915238630558928E-12</v>
      </c>
      <c r="E2" s="14">
        <v>1.4845565211667809E-4</v>
      </c>
      <c r="F2" s="14">
        <v>9.1031413727798626E-9</v>
      </c>
      <c r="G2" s="14">
        <v>3.653312667921505E-9</v>
      </c>
      <c r="H2" s="14">
        <v>0</v>
      </c>
      <c r="I2" s="14">
        <v>3.6787737677699167E-8</v>
      </c>
      <c r="J2" s="14">
        <v>1.4948006000796691E-6</v>
      </c>
      <c r="K2" s="14">
        <v>0</v>
      </c>
      <c r="L2" s="21"/>
      <c r="M2" s="102"/>
    </row>
    <row r="3" spans="1:23">
      <c r="A3" s="2" t="s">
        <v>354</v>
      </c>
      <c r="B3" s="3" t="s">
        <v>355</v>
      </c>
      <c r="D3" s="14">
        <v>3.7601243981643974E-12</v>
      </c>
      <c r="E3" s="14">
        <v>1.1341705893614876E-4</v>
      </c>
      <c r="F3" s="14">
        <v>4.4900380956763507E-6</v>
      </c>
      <c r="G3" s="14">
        <v>1.0907826428463476E-6</v>
      </c>
      <c r="H3" s="14">
        <v>0</v>
      </c>
      <c r="I3" s="14">
        <v>2.386948263182151E-7</v>
      </c>
      <c r="J3" s="14">
        <v>3.0763421738885896E-5</v>
      </c>
      <c r="K3" s="14">
        <v>0</v>
      </c>
      <c r="L3" s="21"/>
      <c r="M3" s="102"/>
    </row>
    <row r="4" spans="1:23">
      <c r="A4" s="2" t="s">
        <v>356</v>
      </c>
      <c r="B4" s="3" t="s">
        <v>357</v>
      </c>
      <c r="D4" s="14">
        <v>1.5817766406140356E-21</v>
      </c>
      <c r="E4" s="14">
        <v>1.4995097420102856E-4</v>
      </c>
      <c r="F4" s="14">
        <v>6.3061433999702998E-9</v>
      </c>
      <c r="G4" s="14">
        <v>6.9447958551176882E-12</v>
      </c>
      <c r="H4" s="14">
        <v>0</v>
      </c>
      <c r="I4" s="14">
        <v>4.1410276236373881E-8</v>
      </c>
      <c r="J4" s="14">
        <v>1.3024345392193468E-9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4.4399732856436772E-14</v>
      </c>
      <c r="E5" s="14">
        <v>1.3852659400509184E-4</v>
      </c>
      <c r="F5" s="14">
        <v>1.1397450287596555E-5</v>
      </c>
      <c r="G5" s="14">
        <v>9.0462163957419357E-10</v>
      </c>
      <c r="H5" s="14">
        <v>0</v>
      </c>
      <c r="I5" s="14">
        <v>5.5044897150802951E-8</v>
      </c>
      <c r="J5" s="14">
        <v>2.0006144121470107E-8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5.5114025122203397E-15</v>
      </c>
      <c r="E6" s="14">
        <v>1.2405673337318921E-4</v>
      </c>
      <c r="F6" s="14">
        <v>2.5746303926477102E-5</v>
      </c>
      <c r="G6" s="14">
        <v>7.4663340651912268E-9</v>
      </c>
      <c r="H6" s="14">
        <v>0</v>
      </c>
      <c r="I6" s="14">
        <v>7.5994276052970073E-8</v>
      </c>
      <c r="J6" s="14">
        <v>1.1350208470411246E-7</v>
      </c>
      <c r="K6" s="14">
        <v>0</v>
      </c>
      <c r="L6" s="21"/>
      <c r="M6" s="12"/>
    </row>
    <row r="7" spans="1:23">
      <c r="A7" s="2" t="s">
        <v>358</v>
      </c>
      <c r="B7" s="3" t="s">
        <v>305</v>
      </c>
      <c r="D7" s="14">
        <v>9.5180159266719719E-11</v>
      </c>
      <c r="E7" s="14">
        <v>8.1562764029162842E-5</v>
      </c>
      <c r="F7" s="14">
        <v>6.6970953965734807E-5</v>
      </c>
      <c r="G7" s="14">
        <v>1.3632690934496112E-7</v>
      </c>
      <c r="H7" s="14">
        <v>0</v>
      </c>
      <c r="I7" s="14">
        <v>1.4278532305190181E-7</v>
      </c>
      <c r="J7" s="14">
        <v>1.1870745925462204E-6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4.3608204168866763E-21</v>
      </c>
      <c r="E8" s="14">
        <v>1.1233761456739996E-4</v>
      </c>
      <c r="F8" s="14">
        <v>3.7493824998826526E-5</v>
      </c>
      <c r="G8" s="14">
        <v>5.7014370430170525E-9</v>
      </c>
      <c r="H8" s="14">
        <v>0</v>
      </c>
      <c r="I8" s="14">
        <v>9.1363159894769213E-8</v>
      </c>
      <c r="J8" s="14">
        <v>7.1495836835707489E-8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8.590483511555012E-17</v>
      </c>
      <c r="E9" s="14">
        <v>1.4104839316902008E-4</v>
      </c>
      <c r="F9" s="14">
        <v>8.81419579248952E-6</v>
      </c>
      <c r="G9" s="14">
        <v>3.3408320393267535E-9</v>
      </c>
      <c r="H9" s="14">
        <v>0</v>
      </c>
      <c r="I9" s="14">
        <v>5.1475718865648395E-8</v>
      </c>
      <c r="J9" s="14">
        <v>8.259448749950921E-8</v>
      </c>
      <c r="K9" s="14">
        <v>0</v>
      </c>
      <c r="L9" s="21"/>
      <c r="M9" s="12"/>
    </row>
    <row r="10" spans="1:23">
      <c r="A10" s="2" t="s">
        <v>359</v>
      </c>
      <c r="B10" s="3" t="s">
        <v>360</v>
      </c>
      <c r="D10" s="14">
        <v>1.1574372574294828E-8</v>
      </c>
      <c r="E10" s="14">
        <v>1.0637549449308231E-5</v>
      </c>
      <c r="F10" s="14">
        <v>7.6527256176787324E-5</v>
      </c>
      <c r="G10" s="14">
        <v>1.3366315181658701E-5</v>
      </c>
      <c r="H10" s="14">
        <v>0</v>
      </c>
      <c r="I10" s="14">
        <v>1.7364605618825933E-6</v>
      </c>
      <c r="J10" s="14">
        <v>4.7720844257788825E-5</v>
      </c>
      <c r="K10" s="14">
        <v>0</v>
      </c>
      <c r="L10" s="21"/>
      <c r="M10" s="12"/>
    </row>
    <row r="11" spans="1:23">
      <c r="A11" s="2" t="s">
        <v>361</v>
      </c>
      <c r="B11" s="3" t="s">
        <v>362</v>
      </c>
      <c r="D11" s="14">
        <v>5.9968866851511522E-15</v>
      </c>
      <c r="E11" s="14">
        <v>7.948082240157748E-7</v>
      </c>
      <c r="F11" s="14">
        <v>7.2263152284501465E-5</v>
      </c>
      <c r="G11" s="14">
        <v>5.2797246604032086E-5</v>
      </c>
      <c r="H11" s="14">
        <v>0</v>
      </c>
      <c r="I11" s="14">
        <v>1.4459612910472892E-5</v>
      </c>
      <c r="J11" s="14">
        <v>9.6851799709808786E-6</v>
      </c>
      <c r="K11" s="14">
        <v>0</v>
      </c>
      <c r="L11" s="21"/>
      <c r="M11" s="12"/>
    </row>
    <row r="12" spans="1:23">
      <c r="A12" s="2" t="s">
        <v>363</v>
      </c>
      <c r="B12" s="3" t="s">
        <v>364</v>
      </c>
      <c r="D12" s="14">
        <v>8.884221689597906E-6</v>
      </c>
      <c r="E12" s="14">
        <v>1.4081087789224222E-4</v>
      </c>
      <c r="F12" s="14">
        <v>3.9442046897077617E-10</v>
      </c>
      <c r="G12" s="14">
        <v>1.955002693624914E-10</v>
      </c>
      <c r="H12" s="14">
        <v>0</v>
      </c>
      <c r="I12" s="14">
        <v>3.4509357138024058E-8</v>
      </c>
      <c r="J12" s="14">
        <v>2.6980114028348245E-7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3.0493119680378849E-12</v>
      </c>
      <c r="E13" s="14">
        <v>1.1777306897986213E-4</v>
      </c>
      <c r="F13" s="14">
        <v>3.1449992239478275E-6</v>
      </c>
      <c r="G13" s="14">
        <v>8.0670750625584276E-7</v>
      </c>
      <c r="H13" s="14">
        <v>0</v>
      </c>
      <c r="I13" s="14">
        <v>1.2949114212071537E-7</v>
      </c>
      <c r="J13" s="14">
        <v>2.8145730098501491E-5</v>
      </c>
      <c r="K13" s="14">
        <v>0</v>
      </c>
      <c r="L13" s="21"/>
      <c r="M13" s="12"/>
    </row>
    <row r="14" spans="1:23">
      <c r="A14" s="2" t="s">
        <v>365</v>
      </c>
      <c r="B14" s="3" t="s">
        <v>366</v>
      </c>
      <c r="D14" s="14">
        <v>9.2243430547342967E-11</v>
      </c>
      <c r="E14" s="14">
        <v>1.2216452340132751E-5</v>
      </c>
      <c r="F14" s="14">
        <v>1.3667203325216907E-4</v>
      </c>
      <c r="G14" s="14">
        <v>2.1411411874624319E-7</v>
      </c>
      <c r="H14" s="14">
        <v>0</v>
      </c>
      <c r="I14" s="14">
        <v>4.4133231639133804E-7</v>
      </c>
      <c r="J14" s="14">
        <v>4.5597572913001162E-7</v>
      </c>
      <c r="K14" s="14">
        <v>0</v>
      </c>
      <c r="L14" s="21"/>
      <c r="M14" s="12"/>
    </row>
    <row r="15" spans="1:23">
      <c r="A15" s="2" t="s">
        <v>367</v>
      </c>
      <c r="B15" s="3" t="s">
        <v>368</v>
      </c>
      <c r="D15" s="14">
        <v>1.1193788276449512E-5</v>
      </c>
      <c r="E15" s="14">
        <v>1.2925912811344388E-4</v>
      </c>
      <c r="F15" s="14">
        <v>3.2899990500624784E-7</v>
      </c>
      <c r="G15" s="14">
        <v>1.0034398120709715E-7</v>
      </c>
      <c r="H15" s="14">
        <v>0</v>
      </c>
      <c r="I15" s="14">
        <v>4.3970100229466137E-8</v>
      </c>
      <c r="J15" s="14">
        <v>9.0737696236637823E-6</v>
      </c>
      <c r="K15" s="14">
        <v>0</v>
      </c>
      <c r="L15" s="21"/>
      <c r="M15" s="12"/>
    </row>
    <row r="16" spans="1:23">
      <c r="A16" s="2" t="s">
        <v>369</v>
      </c>
      <c r="B16" s="3" t="s">
        <v>370</v>
      </c>
      <c r="D16" s="14">
        <v>1.2105261049596988E-7</v>
      </c>
      <c r="E16" s="14">
        <v>1.146405585494053E-4</v>
      </c>
      <c r="F16" s="14">
        <v>3.7393218197819257E-6</v>
      </c>
      <c r="G16" s="14">
        <v>9.4512314594747915E-7</v>
      </c>
      <c r="H16" s="14">
        <v>0</v>
      </c>
      <c r="I16" s="14">
        <v>1.4615649806743942E-7</v>
      </c>
      <c r="J16" s="14">
        <v>3.0407787376301856E-5</v>
      </c>
      <c r="K16" s="14">
        <v>0</v>
      </c>
      <c r="L16" s="21"/>
      <c r="M16" s="12"/>
      <c r="U16" s="22"/>
      <c r="W16" s="22"/>
    </row>
    <row r="17" spans="1:13">
      <c r="A17" s="2" t="s">
        <v>371</v>
      </c>
      <c r="B17" s="3" t="s">
        <v>372</v>
      </c>
      <c r="D17" s="14">
        <v>3.5418249084752088E-7</v>
      </c>
      <c r="E17" s="14">
        <v>1.1638344860218516E-4</v>
      </c>
      <c r="F17" s="14">
        <v>3.3500074447943128E-6</v>
      </c>
      <c r="G17" s="14">
        <v>8.5455757368761593E-7</v>
      </c>
      <c r="H17" s="14">
        <v>0</v>
      </c>
      <c r="I17" s="14">
        <v>1.3517612059125949E-7</v>
      </c>
      <c r="J17" s="14">
        <v>2.8922627767894117E-5</v>
      </c>
      <c r="K17" s="14">
        <v>0</v>
      </c>
      <c r="L17" s="21"/>
      <c r="M17" s="12"/>
    </row>
    <row r="18" spans="1:13">
      <c r="A18" s="2" t="s">
        <v>373</v>
      </c>
      <c r="B18" s="3" t="s">
        <v>374</v>
      </c>
      <c r="D18" s="14">
        <v>3.6652415428023802E-11</v>
      </c>
      <c r="E18" s="14">
        <v>7.3469440792756362E-7</v>
      </c>
      <c r="F18" s="14">
        <v>2.7146965102322353E-5</v>
      </c>
      <c r="G18" s="14">
        <v>7.3555785898742957E-5</v>
      </c>
      <c r="H18" s="14">
        <v>0</v>
      </c>
      <c r="I18" s="14">
        <v>9.862313366059316E-6</v>
      </c>
      <c r="J18" s="14">
        <v>3.8700204572532354E-5</v>
      </c>
      <c r="K18" s="14">
        <v>0</v>
      </c>
      <c r="L18" s="21"/>
      <c r="M18" s="12"/>
    </row>
    <row r="19" spans="1:13">
      <c r="A19" s="2" t="s">
        <v>375</v>
      </c>
      <c r="B19" s="3" t="s">
        <v>376</v>
      </c>
      <c r="D19" s="14">
        <v>1.4473131963187791E-6</v>
      </c>
      <c r="E19" s="14">
        <v>1.4327375915381671E-4</v>
      </c>
      <c r="F19" s="14">
        <v>9.9353050541872678E-8</v>
      </c>
      <c r="G19" s="14">
        <v>3.3348535114802455E-8</v>
      </c>
      <c r="H19" s="14">
        <v>0</v>
      </c>
      <c r="I19" s="14">
        <v>3.9139932512395637E-8</v>
      </c>
      <c r="J19" s="14">
        <v>5.107086131695406E-6</v>
      </c>
      <c r="K19" s="14">
        <v>0</v>
      </c>
      <c r="L19" s="21"/>
      <c r="M19" s="12"/>
    </row>
    <row r="20" spans="1:13">
      <c r="A20" s="2" t="s">
        <v>377</v>
      </c>
      <c r="B20" s="3" t="s">
        <v>378</v>
      </c>
      <c r="D20" s="14">
        <v>2.7678223865567985E-6</v>
      </c>
      <c r="E20" s="14">
        <v>1.4003685594093248E-4</v>
      </c>
      <c r="F20" s="14">
        <v>1.8144997051283729E-7</v>
      </c>
      <c r="G20" s="14">
        <v>5.8163757800669549E-8</v>
      </c>
      <c r="H20" s="14">
        <v>0</v>
      </c>
      <c r="I20" s="14">
        <v>4.1397450388914835E-8</v>
      </c>
      <c r="J20" s="14">
        <v>6.9143104938082455E-6</v>
      </c>
      <c r="K20" s="14">
        <v>0</v>
      </c>
      <c r="L20" s="21"/>
      <c r="M20" s="12"/>
    </row>
    <row r="21" spans="1:13">
      <c r="A21" s="2" t="s">
        <v>379</v>
      </c>
      <c r="B21" s="3" t="s">
        <v>380</v>
      </c>
      <c r="D21" s="14">
        <v>9.892689719392312E-7</v>
      </c>
      <c r="E21" s="14">
        <v>7.2694460106302144E-5</v>
      </c>
      <c r="F21" s="14">
        <v>5.400772278763391E-5</v>
      </c>
      <c r="G21" s="14">
        <v>2.179591110624301E-6</v>
      </c>
      <c r="H21" s="14">
        <v>0</v>
      </c>
      <c r="I21" s="14">
        <v>3.6511159213710956E-7</v>
      </c>
      <c r="J21" s="14">
        <v>1.9763845431363274E-5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7.8805767330955231E-6</v>
      </c>
      <c r="E22" s="14">
        <v>1.4013355384725589E-4</v>
      </c>
      <c r="F22" s="14">
        <v>1.565945656148587E-8</v>
      </c>
      <c r="G22" s="14">
        <v>6.0127374677962074E-9</v>
      </c>
      <c r="H22" s="14">
        <v>0</v>
      </c>
      <c r="I22" s="14">
        <v>3.5035386493531297E-8</v>
      </c>
      <c r="J22" s="14">
        <v>1.9291618391257707E-6</v>
      </c>
      <c r="K22" s="14">
        <v>0</v>
      </c>
      <c r="L22" s="21"/>
      <c r="M22" s="12"/>
    </row>
    <row r="23" spans="1:13">
      <c r="A23" s="2" t="s">
        <v>381</v>
      </c>
      <c r="B23" s="3" t="s">
        <v>382</v>
      </c>
      <c r="D23" s="14">
        <v>9.4301070573803434E-6</v>
      </c>
      <c r="E23" s="14">
        <v>1.2751484787429086E-4</v>
      </c>
      <c r="F23" s="14">
        <v>5.9147352173305106E-7</v>
      </c>
      <c r="G23" s="14">
        <v>1.7259605419827263E-7</v>
      </c>
      <c r="H23" s="14">
        <v>0</v>
      </c>
      <c r="I23" s="14">
        <v>5.2501096354077307E-8</v>
      </c>
      <c r="J23" s="14">
        <v>1.2238474396043338E-5</v>
      </c>
      <c r="K23" s="14">
        <v>0</v>
      </c>
      <c r="L23" s="21"/>
    </row>
    <row r="24" spans="1:13">
      <c r="A24" s="2" t="s">
        <v>383</v>
      </c>
      <c r="B24" s="3" t="s">
        <v>384</v>
      </c>
      <c r="D24" s="14">
        <v>4.169688096013975E-7</v>
      </c>
      <c r="E24" s="14">
        <v>1.0350651912437937E-4</v>
      </c>
      <c r="F24" s="14">
        <v>6.3084440278063806E-6</v>
      </c>
      <c r="G24" s="14">
        <v>1.522712137393048E-6</v>
      </c>
      <c r="H24" s="14">
        <v>0</v>
      </c>
      <c r="I24" s="14">
        <v>2.1641503146661132E-7</v>
      </c>
      <c r="J24" s="14">
        <v>3.8028940869353154E-5</v>
      </c>
      <c r="K24" s="14">
        <v>0</v>
      </c>
      <c r="L24" s="21"/>
    </row>
    <row r="25" spans="1:13">
      <c r="A25" s="2" t="s">
        <v>385</v>
      </c>
      <c r="B25" s="3" t="s">
        <v>386</v>
      </c>
      <c r="D25" s="14">
        <v>1.6561762796770919E-7</v>
      </c>
      <c r="E25" s="14">
        <v>1.0050570034253021E-6</v>
      </c>
      <c r="F25" s="14">
        <v>3.1777903695348294E-5</v>
      </c>
      <c r="G25" s="14">
        <v>6.6316378242029975E-5</v>
      </c>
      <c r="H25" s="14">
        <v>0</v>
      </c>
      <c r="I25" s="14">
        <v>8.8636686360779504E-6</v>
      </c>
      <c r="J25" s="14">
        <v>4.1871374795150766E-5</v>
      </c>
      <c r="K25" s="14">
        <v>0</v>
      </c>
      <c r="L25" s="21"/>
    </row>
    <row r="26" spans="1:13">
      <c r="A26" s="2" t="s">
        <v>387</v>
      </c>
      <c r="B26" s="3" t="s">
        <v>388</v>
      </c>
      <c r="D26" s="14">
        <v>3.8879023057116673E-5</v>
      </c>
      <c r="E26" s="14">
        <v>5.1394835159724109E-5</v>
      </c>
      <c r="F26" s="14">
        <v>1.4399056235812162E-5</v>
      </c>
      <c r="G26" s="14">
        <v>3.1062012006131482E-6</v>
      </c>
      <c r="H26" s="14">
        <v>0</v>
      </c>
      <c r="I26" s="14">
        <v>4.0647139338075246E-7</v>
      </c>
      <c r="J26" s="14">
        <v>4.181441295335315E-5</v>
      </c>
      <c r="K26" s="14">
        <v>0</v>
      </c>
    </row>
    <row r="27" spans="1:13">
      <c r="A27" s="2" t="s">
        <v>389</v>
      </c>
      <c r="B27" s="3" t="s">
        <v>390</v>
      </c>
      <c r="D27" s="14">
        <v>1.2830315957737683E-4</v>
      </c>
      <c r="E27" s="14">
        <v>4.4187709003555351E-6</v>
      </c>
      <c r="F27" s="14">
        <v>6.9511400026006534E-6</v>
      </c>
      <c r="G27" s="14">
        <v>1.3205400920569003E-6</v>
      </c>
      <c r="H27" s="14">
        <v>0</v>
      </c>
      <c r="I27" s="14">
        <v>1.7054599402201839E-7</v>
      </c>
      <c r="J27" s="14">
        <v>8.8358434335880514E-6</v>
      </c>
      <c r="K27" s="14">
        <v>0</v>
      </c>
    </row>
    <row r="28" spans="1:13">
      <c r="A28" s="2" t="s">
        <v>391</v>
      </c>
      <c r="B28" s="3" t="s">
        <v>392</v>
      </c>
      <c r="D28" s="14">
        <v>1.3395088983867806E-4</v>
      </c>
      <c r="E28" s="14">
        <v>6.5670411388725777E-6</v>
      </c>
      <c r="F28" s="14">
        <v>2.546620831430641E-6</v>
      </c>
      <c r="G28" s="14">
        <v>5.3636427386402587E-7</v>
      </c>
      <c r="H28" s="14">
        <v>0</v>
      </c>
      <c r="I28" s="14">
        <v>6.9775431140502824E-8</v>
      </c>
      <c r="J28" s="14">
        <v>6.3293084860141668E-6</v>
      </c>
      <c r="K28" s="14">
        <v>0</v>
      </c>
    </row>
    <row r="29" spans="1:13">
      <c r="A29" s="2" t="s">
        <v>297</v>
      </c>
      <c r="B29" s="3" t="s">
        <v>298</v>
      </c>
      <c r="D29" s="14">
        <v>1.3802557152703054E-4</v>
      </c>
      <c r="E29" s="14">
        <v>1.1310028206817727E-5</v>
      </c>
      <c r="F29" s="14">
        <v>1.8818206868865982E-8</v>
      </c>
      <c r="G29" s="14">
        <v>5.9220735081948315E-9</v>
      </c>
      <c r="H29" s="14">
        <v>0</v>
      </c>
      <c r="I29" s="14">
        <v>3.4943372176832803E-9</v>
      </c>
      <c r="J29" s="14">
        <v>6.3616564855694815E-7</v>
      </c>
      <c r="K29" s="14">
        <v>0</v>
      </c>
    </row>
    <row r="30" spans="1:13">
      <c r="A30" s="2" t="s">
        <v>393</v>
      </c>
      <c r="B30" s="3" t="s">
        <v>394</v>
      </c>
      <c r="D30" s="14">
        <v>1.4418215395279249E-4</v>
      </c>
      <c r="E30" s="14">
        <v>2.4519727714301822E-6</v>
      </c>
      <c r="F30" s="14">
        <v>8.8212512813009344E-7</v>
      </c>
      <c r="G30" s="14">
        <v>1.8682102430038579E-7</v>
      </c>
      <c r="H30" s="14">
        <v>0</v>
      </c>
      <c r="I30" s="14">
        <v>2.4331480841095629E-8</v>
      </c>
      <c r="J30" s="14">
        <v>2.2725956425057339E-6</v>
      </c>
      <c r="K30" s="14">
        <v>0</v>
      </c>
    </row>
    <row r="31" spans="1:13">
      <c r="A31" s="2" t="s">
        <v>299</v>
      </c>
      <c r="B31" s="3" t="s">
        <v>300</v>
      </c>
      <c r="D31" s="14">
        <v>1.4984380570644927E-4</v>
      </c>
      <c r="E31" s="14">
        <v>8.6740701193232895E-8</v>
      </c>
      <c r="F31" s="14">
        <v>1.3672800560055313E-8</v>
      </c>
      <c r="G31" s="14">
        <v>3.0771809440137793E-9</v>
      </c>
      <c r="H31" s="14">
        <v>0</v>
      </c>
      <c r="I31" s="14">
        <v>4.0990074232376902E-10</v>
      </c>
      <c r="J31" s="14">
        <v>5.2293710111077166E-8</v>
      </c>
      <c r="K31" s="14">
        <v>0</v>
      </c>
    </row>
    <row r="32" spans="1:13">
      <c r="A32" s="2" t="s">
        <v>343</v>
      </c>
      <c r="B32" s="3" t="s">
        <v>403</v>
      </c>
      <c r="D32" s="14">
        <v>3.2674918126808331E-7</v>
      </c>
      <c r="E32" s="14">
        <v>1.2066981362827846E-4</v>
      </c>
      <c r="F32" s="14">
        <v>2.5729609347078249E-6</v>
      </c>
      <c r="G32" s="14">
        <v>6.7100962187252724E-7</v>
      </c>
      <c r="H32" s="14">
        <v>0</v>
      </c>
      <c r="I32" s="14">
        <v>1.131400424058111E-7</v>
      </c>
      <c r="J32" s="14">
        <v>2.5646326591467278E-5</v>
      </c>
      <c r="K32" s="14">
        <v>0</v>
      </c>
    </row>
    <row r="33" spans="1:11">
      <c r="A33" s="2" t="s">
        <v>344</v>
      </c>
      <c r="B33" s="3" t="s">
        <v>404</v>
      </c>
      <c r="D33" s="14">
        <v>1.2020899690367215E-8</v>
      </c>
      <c r="E33" s="14">
        <v>1.3172284648106856E-4</v>
      </c>
      <c r="F33" s="14">
        <v>1.0591455782956938E-6</v>
      </c>
      <c r="G33" s="14">
        <v>2.9679133194799796E-7</v>
      </c>
      <c r="H33" s="14">
        <v>0</v>
      </c>
      <c r="I33" s="14">
        <v>6.8980642877912049E-8</v>
      </c>
      <c r="J33" s="14">
        <v>1.6840215066119456E-5</v>
      </c>
      <c r="K33" s="14">
        <v>0</v>
      </c>
    </row>
    <row r="34" spans="1:11">
      <c r="A34" s="2" t="s">
        <v>345</v>
      </c>
      <c r="B34" s="3" t="s">
        <v>405</v>
      </c>
      <c r="D34" s="14">
        <v>2.355393156615506E-8</v>
      </c>
      <c r="E34" s="14">
        <v>7.3051231695560269E-5</v>
      </c>
      <c r="F34" s="14">
        <v>1.761497751818605E-5</v>
      </c>
      <c r="G34" s="14">
        <v>3.8421794833187152E-6</v>
      </c>
      <c r="H34" s="14">
        <v>0</v>
      </c>
      <c r="I34" s="14">
        <v>5.0459671525578473E-7</v>
      </c>
      <c r="J34" s="14">
        <v>5.4963460656112989E-5</v>
      </c>
      <c r="K34" s="14">
        <v>0</v>
      </c>
    </row>
    <row r="35" spans="1:11">
      <c r="A35" s="2" t="s">
        <v>346</v>
      </c>
      <c r="B35" s="3" t="s">
        <v>406</v>
      </c>
      <c r="D35" s="14">
        <v>8.7807712579313492E-6</v>
      </c>
      <c r="E35" s="14">
        <v>1.773359548552024E-5</v>
      </c>
      <c r="F35" s="14">
        <v>5.9067875128864444E-5</v>
      </c>
      <c r="G35" s="14">
        <v>1.0618102256929267E-5</v>
      </c>
      <c r="H35" s="14">
        <v>0</v>
      </c>
      <c r="I35" s="14">
        <v>1.3740661771535488E-6</v>
      </c>
      <c r="J35" s="14">
        <v>5.2425589693601126E-5</v>
      </c>
      <c r="K35" s="14">
        <v>0</v>
      </c>
    </row>
    <row r="36" spans="1:11">
      <c r="A36" s="2" t="s">
        <v>347</v>
      </c>
      <c r="B36" s="3" t="s">
        <v>407</v>
      </c>
      <c r="D36" s="14">
        <v>2.8863783404585058E-7</v>
      </c>
      <c r="E36" s="14">
        <v>4.7827468113242752E-6</v>
      </c>
      <c r="F36" s="14">
        <v>6.1457082741216349E-5</v>
      </c>
      <c r="G36" s="14">
        <v>2.8370533103598529E-5</v>
      </c>
      <c r="H36" s="14">
        <v>0</v>
      </c>
      <c r="I36" s="14">
        <v>3.7245701945777256E-6</v>
      </c>
      <c r="J36" s="14">
        <v>5.1376429315237248E-5</v>
      </c>
      <c r="K36" s="14">
        <v>0</v>
      </c>
    </row>
    <row r="37" spans="1:11">
      <c r="A37" s="2" t="s">
        <v>348</v>
      </c>
      <c r="B37" s="3" t="s">
        <v>349</v>
      </c>
      <c r="D37" s="14">
        <v>2.1189218224118498E-6</v>
      </c>
      <c r="E37" s="14">
        <v>7.9144195280031621E-7</v>
      </c>
      <c r="F37" s="14">
        <v>2.8004873678222204E-5</v>
      </c>
      <c r="G37" s="14">
        <v>7.0571471551158878E-5</v>
      </c>
      <c r="H37" s="14">
        <v>0</v>
      </c>
      <c r="I37" s="14">
        <v>9.4538886190607718E-6</v>
      </c>
      <c r="J37" s="14">
        <v>3.9059402376345933E-5</v>
      </c>
      <c r="K37" s="14">
        <v>0</v>
      </c>
    </row>
    <row r="38" spans="1:11">
      <c r="A38" s="2" t="s">
        <v>350</v>
      </c>
      <c r="B38" s="3" t="s">
        <v>351</v>
      </c>
      <c r="D38" s="14">
        <v>1.1019373533866217E-7</v>
      </c>
      <c r="E38" s="14">
        <v>2.6851035510097148E-6</v>
      </c>
      <c r="F38" s="14">
        <v>4.9633578621312455E-5</v>
      </c>
      <c r="G38" s="14">
        <v>4.2137730838394462E-5</v>
      </c>
      <c r="H38" s="14">
        <v>0</v>
      </c>
      <c r="I38" s="14">
        <v>5.5716376830928481E-6</v>
      </c>
      <c r="J38" s="14">
        <v>4.9861755570851832E-5</v>
      </c>
      <c r="K38" s="14">
        <v>0</v>
      </c>
    </row>
    <row r="39" spans="1:11">
      <c r="A39" s="2" t="s">
        <v>352</v>
      </c>
      <c r="B39" s="3" t="s">
        <v>408</v>
      </c>
      <c r="D39" s="14">
        <v>1.9599488467812575E-5</v>
      </c>
      <c r="E39" s="14">
        <v>3.5550758461537313E-6</v>
      </c>
      <c r="F39" s="14">
        <v>5.0683129255087715E-5</v>
      </c>
      <c r="G39" s="14">
        <v>2.7845753636412159E-5</v>
      </c>
      <c r="H39" s="14">
        <v>0</v>
      </c>
      <c r="I39" s="14">
        <v>3.6630638966174256E-6</v>
      </c>
      <c r="J39" s="14">
        <v>4.465348889791636E-5</v>
      </c>
      <c r="K39" s="14">
        <v>0</v>
      </c>
    </row>
    <row r="40" spans="1:11">
      <c r="A40" s="2" t="s">
        <v>353</v>
      </c>
      <c r="B40" s="3" t="s">
        <v>409</v>
      </c>
      <c r="D40" s="14">
        <v>1.1019373533866217E-7</v>
      </c>
      <c r="E40" s="14">
        <v>2.6851035510097148E-6</v>
      </c>
      <c r="F40" s="14">
        <v>4.9633578621312455E-5</v>
      </c>
      <c r="G40" s="14">
        <v>4.2137730838394462E-5</v>
      </c>
      <c r="H40" s="14">
        <v>0</v>
      </c>
      <c r="I40" s="14">
        <v>5.5716376830928481E-6</v>
      </c>
      <c r="J40" s="14">
        <v>4.9861755570851832E-5</v>
      </c>
      <c r="K40" s="14">
        <v>0</v>
      </c>
    </row>
    <row r="41" spans="1:11">
      <c r="A41" s="2" t="s">
        <v>313</v>
      </c>
      <c r="B41" s="3" t="s">
        <v>314</v>
      </c>
      <c r="D41" s="14">
        <v>6.802736847661549E-12</v>
      </c>
      <c r="E41" s="14">
        <v>1.4924005952606547E-4</v>
      </c>
      <c r="F41" s="14">
        <v>7.0977379976657255E-7</v>
      </c>
      <c r="G41" s="14">
        <v>1.6890422523180264E-10</v>
      </c>
      <c r="H41" s="14">
        <v>0</v>
      </c>
      <c r="I41" s="14">
        <v>3.8135001496255078E-8</v>
      </c>
      <c r="J41" s="14">
        <v>1.1855965709580227E-8</v>
      </c>
      <c r="K41" s="14">
        <v>0</v>
      </c>
    </row>
    <row r="42" spans="1:11">
      <c r="A42" s="2" t="s">
        <v>315</v>
      </c>
      <c r="B42" s="3" t="s">
        <v>316</v>
      </c>
      <c r="D42" s="14">
        <v>3.0560686253076134E-6</v>
      </c>
      <c r="E42" s="14">
        <v>7.1972607359718131E-7</v>
      </c>
      <c r="F42" s="14">
        <v>2.659388501171297E-5</v>
      </c>
      <c r="G42" s="14">
        <v>7.2057193309244241E-5</v>
      </c>
      <c r="H42" s="14">
        <v>0</v>
      </c>
      <c r="I42" s="14">
        <v>9.6613830171397054E-6</v>
      </c>
      <c r="J42" s="14">
        <v>3.7911743962998272E-5</v>
      </c>
      <c r="K42" s="14">
        <v>0</v>
      </c>
    </row>
    <row r="43" spans="1:11">
      <c r="A43" s="2" t="s">
        <v>317</v>
      </c>
      <c r="B43" s="3" t="s">
        <v>318</v>
      </c>
      <c r="D43" s="14">
        <v>9.7536362597517829E-16</v>
      </c>
      <c r="E43" s="14">
        <v>1.0084878944062564E-4</v>
      </c>
      <c r="F43" s="14">
        <v>7.1414309242810539E-6</v>
      </c>
      <c r="G43" s="14">
        <v>1.7048288856012175E-6</v>
      </c>
      <c r="H43" s="14">
        <v>0</v>
      </c>
      <c r="I43" s="14">
        <v>2.3883734504964602E-7</v>
      </c>
      <c r="J43" s="14">
        <v>4.0066113403467049E-5</v>
      </c>
      <c r="K43" s="14">
        <v>0</v>
      </c>
    </row>
    <row r="44" spans="1:11">
      <c r="A44" s="2" t="s">
        <v>307</v>
      </c>
      <c r="B44" s="3" t="s">
        <v>308</v>
      </c>
      <c r="D44" s="14">
        <v>9.5948627115046203E-8</v>
      </c>
      <c r="E44" s="14">
        <v>7.1331753303897807E-6</v>
      </c>
      <c r="F44" s="14">
        <v>6.9479622365469887E-5</v>
      </c>
      <c r="G44" s="14">
        <v>2.0162900393940349E-5</v>
      </c>
      <c r="H44" s="14">
        <v>0</v>
      </c>
      <c r="I44" s="14">
        <v>2.6332313314402457E-6</v>
      </c>
      <c r="J44" s="14">
        <v>5.0495121951644655E-5</v>
      </c>
      <c r="K44" s="14">
        <v>0</v>
      </c>
    </row>
    <row r="45" spans="1:11">
      <c r="A45" s="2" t="s">
        <v>319</v>
      </c>
      <c r="B45" s="3" t="s">
        <v>320</v>
      </c>
      <c r="D45" s="14">
        <v>1.06097769848718E-8</v>
      </c>
      <c r="E45" s="14">
        <v>3.4296546366480594E-7</v>
      </c>
      <c r="F45" s="14">
        <v>1.8072779067145735E-5</v>
      </c>
      <c r="G45" s="14">
        <v>8.8760654286591036E-5</v>
      </c>
      <c r="H45" s="14">
        <v>0</v>
      </c>
      <c r="I45" s="14">
        <v>1.1987009749137647E-5</v>
      </c>
      <c r="J45" s="14">
        <v>3.0825981656475892E-5</v>
      </c>
      <c r="K45" s="14">
        <v>0</v>
      </c>
    </row>
    <row r="46" spans="1:11">
      <c r="A46" s="2" t="s">
        <v>321</v>
      </c>
      <c r="B46" s="3" t="s">
        <v>322</v>
      </c>
      <c r="D46" s="14">
        <v>1.5054850988309473E-8</v>
      </c>
      <c r="E46" s="14">
        <v>6.5966067554522979E-7</v>
      </c>
      <c r="F46" s="14">
        <v>2.5674095101412089E-5</v>
      </c>
      <c r="G46" s="14">
        <v>7.5891074349544434E-5</v>
      </c>
      <c r="H46" s="14">
        <v>0</v>
      </c>
      <c r="I46" s="14">
        <v>1.018614178768108E-5</v>
      </c>
      <c r="J46" s="14">
        <v>3.7573973234828828E-5</v>
      </c>
      <c r="K46" s="14">
        <v>0</v>
      </c>
    </row>
    <row r="47" spans="1:11">
      <c r="A47" s="2" t="s">
        <v>323</v>
      </c>
      <c r="B47" s="3" t="s">
        <v>324</v>
      </c>
      <c r="D47" s="14">
        <v>1.358587146643394E-7</v>
      </c>
      <c r="E47" s="14">
        <v>1.4040146371146379E-6</v>
      </c>
      <c r="F47" s="14">
        <v>3.7334142930847664E-5</v>
      </c>
      <c r="G47" s="14">
        <v>5.8291031587108493E-5</v>
      </c>
      <c r="H47" s="14">
        <v>0</v>
      </c>
      <c r="I47" s="14">
        <v>7.7638516774357987E-6</v>
      </c>
      <c r="J47" s="14">
        <v>4.5071100452829021E-5</v>
      </c>
      <c r="K47" s="14">
        <v>0</v>
      </c>
    </row>
    <row r="48" spans="1:11">
      <c r="A48" s="2" t="s">
        <v>325</v>
      </c>
      <c r="B48" s="3" t="s">
        <v>326</v>
      </c>
      <c r="D48" s="14">
        <v>5.2147435184658139E-8</v>
      </c>
      <c r="E48" s="14">
        <v>3.9389193342137885E-5</v>
      </c>
      <c r="F48" s="14">
        <v>3.9504960991700956E-5</v>
      </c>
      <c r="G48" s="14">
        <v>7.7579538660742113E-6</v>
      </c>
      <c r="H48" s="14">
        <v>0</v>
      </c>
      <c r="I48" s="14">
        <v>1.0021180370615257E-6</v>
      </c>
      <c r="J48" s="14">
        <v>6.2293626327840728E-5</v>
      </c>
      <c r="K48" s="14">
        <v>0</v>
      </c>
    </row>
    <row r="49" spans="1:11">
      <c r="A49" s="2" t="s">
        <v>275</v>
      </c>
      <c r="B49" s="3" t="s">
        <v>276</v>
      </c>
      <c r="D49" s="14">
        <v>1.2340806229514249E-9</v>
      </c>
      <c r="E49" s="14">
        <v>6.6409111103139376E-6</v>
      </c>
      <c r="F49" s="14">
        <v>6.8133738220622144E-5</v>
      </c>
      <c r="G49" s="14">
        <v>2.157037885296195E-5</v>
      </c>
      <c r="H49" s="14">
        <v>0</v>
      </c>
      <c r="I49" s="14">
        <v>2.8197483788838092E-6</v>
      </c>
      <c r="J49" s="14">
        <v>5.0833989356595163E-5</v>
      </c>
      <c r="K49" s="14">
        <v>0</v>
      </c>
    </row>
    <row r="50" spans="1:11">
      <c r="A50" s="2" t="s">
        <v>327</v>
      </c>
      <c r="B50" s="3" t="s">
        <v>328</v>
      </c>
      <c r="D50" s="14">
        <v>6.4331338313498915E-8</v>
      </c>
      <c r="E50" s="14">
        <v>5.8709275396137635E-6</v>
      </c>
      <c r="F50" s="14">
        <v>6.5681229015988462E-5</v>
      </c>
      <c r="G50" s="14">
        <v>2.40401307840711E-5</v>
      </c>
      <c r="H50" s="14">
        <v>0</v>
      </c>
      <c r="I50" s="14">
        <v>3.1477094679823275E-6</v>
      </c>
      <c r="J50" s="14">
        <v>5.1195671854030831E-5</v>
      </c>
      <c r="K50" s="14">
        <v>0</v>
      </c>
    </row>
    <row r="51" spans="1:11">
      <c r="A51" s="2" t="s">
        <v>329</v>
      </c>
      <c r="B51" s="3" t="s">
        <v>330</v>
      </c>
      <c r="D51" s="14">
        <v>3.1508668154205459E-8</v>
      </c>
      <c r="E51" s="14">
        <v>2.9195383221416407E-5</v>
      </c>
      <c r="F51" s="14">
        <v>4.9504961899655189E-5</v>
      </c>
      <c r="G51" s="14">
        <v>9.3528568212554489E-6</v>
      </c>
      <c r="H51" s="14">
        <v>0</v>
      </c>
      <c r="I51" s="14">
        <v>1.2080188904964912E-6</v>
      </c>
      <c r="J51" s="14">
        <v>6.0707270499022249E-5</v>
      </c>
      <c r="K51" s="14">
        <v>0</v>
      </c>
    </row>
    <row r="52" spans="1:11">
      <c r="A52" s="2" t="s">
        <v>277</v>
      </c>
      <c r="B52" s="3" t="s">
        <v>278</v>
      </c>
      <c r="D52" s="14">
        <v>8.2335804957910758E-8</v>
      </c>
      <c r="E52" s="14">
        <v>3.833653610582276E-5</v>
      </c>
      <c r="F52" s="14">
        <v>4.0421034108713356E-5</v>
      </c>
      <c r="G52" s="14">
        <v>7.9086612780206614E-6</v>
      </c>
      <c r="H52" s="14">
        <v>0</v>
      </c>
      <c r="I52" s="14">
        <v>1.0214907093337942E-6</v>
      </c>
      <c r="J52" s="14">
        <v>6.2229941993151468E-5</v>
      </c>
      <c r="K52" s="14">
        <v>0</v>
      </c>
    </row>
    <row r="53" spans="1:11">
      <c r="A53" s="2" t="s">
        <v>331</v>
      </c>
      <c r="B53" s="3" t="s">
        <v>332</v>
      </c>
      <c r="D53" s="14">
        <v>4.3205799845703326E-8</v>
      </c>
      <c r="E53" s="14">
        <v>3.9261436299742431E-6</v>
      </c>
      <c r="F53" s="14">
        <v>5.7446124316012025E-5</v>
      </c>
      <c r="G53" s="14">
        <v>3.2965243580125485E-5</v>
      </c>
      <c r="H53" s="14">
        <v>0</v>
      </c>
      <c r="I53" s="14">
        <v>4.3387285012227947E-6</v>
      </c>
      <c r="J53" s="14">
        <v>5.1280554172819718E-5</v>
      </c>
      <c r="K53" s="14">
        <v>0</v>
      </c>
    </row>
    <row r="54" spans="1:11">
      <c r="A54" s="2" t="s">
        <v>333</v>
      </c>
      <c r="B54" s="3" t="s">
        <v>334</v>
      </c>
      <c r="D54" s="14">
        <v>7.0009280350803624E-11</v>
      </c>
      <c r="E54" s="14">
        <v>6.2479816783764765E-6</v>
      </c>
      <c r="F54" s="14">
        <v>6.6938241297283209E-5</v>
      </c>
      <c r="G54" s="14">
        <v>2.2786092344617869E-5</v>
      </c>
      <c r="H54" s="14">
        <v>0</v>
      </c>
      <c r="I54" s="14">
        <v>2.9810789670135239E-6</v>
      </c>
      <c r="J54" s="14">
        <v>5.1046535703428556E-5</v>
      </c>
      <c r="K54" s="14">
        <v>0</v>
      </c>
    </row>
    <row r="55" spans="1:11">
      <c r="A55" s="2" t="s">
        <v>335</v>
      </c>
      <c r="B55" s="3" t="s">
        <v>336</v>
      </c>
      <c r="D55" s="14">
        <v>3.5193220517539237E-7</v>
      </c>
      <c r="E55" s="14">
        <v>1.4483153870621686E-6</v>
      </c>
      <c r="F55" s="14">
        <v>3.785102939786736E-5</v>
      </c>
      <c r="G55" s="14">
        <v>5.7408110168196936E-5</v>
      </c>
      <c r="H55" s="14">
        <v>0</v>
      </c>
      <c r="I55" s="14">
        <v>7.6435887122505114E-6</v>
      </c>
      <c r="J55" s="14">
        <v>4.5297024129447623E-5</v>
      </c>
      <c r="K55" s="14">
        <v>0</v>
      </c>
    </row>
    <row r="56" spans="1:11">
      <c r="A56" s="2" t="s">
        <v>337</v>
      </c>
      <c r="B56" s="3" t="s">
        <v>338</v>
      </c>
      <c r="D56" s="14">
        <v>2.4659098174935935E-8</v>
      </c>
      <c r="E56" s="14">
        <v>6.9678906035242165E-6</v>
      </c>
      <c r="F56" s="14">
        <v>6.9055118359846415E-5</v>
      </c>
      <c r="G56" s="14">
        <v>2.0629629550606861E-5</v>
      </c>
      <c r="H56" s="14">
        <v>0</v>
      </c>
      <c r="I56" s="14">
        <v>2.6950429440171299E-6</v>
      </c>
      <c r="J56" s="14">
        <v>5.0627659443830402E-5</v>
      </c>
      <c r="K56" s="14">
        <v>0</v>
      </c>
    </row>
    <row r="57" spans="1:11">
      <c r="A57" s="2" t="s">
        <v>279</v>
      </c>
      <c r="B57" s="3" t="s">
        <v>280</v>
      </c>
      <c r="D57" s="14">
        <v>1.4562888084015457E-6</v>
      </c>
      <c r="E57" s="14">
        <v>4.3846168235899048E-5</v>
      </c>
      <c r="F57" s="14">
        <v>3.5112859303002755E-5</v>
      </c>
      <c r="G57" s="14">
        <v>7.0107059463031402E-6</v>
      </c>
      <c r="H57" s="14">
        <v>0</v>
      </c>
      <c r="I57" s="14">
        <v>9.0621787078656763E-7</v>
      </c>
      <c r="J57" s="14">
        <v>6.1667759835606927E-5</v>
      </c>
      <c r="K57" s="14">
        <v>0</v>
      </c>
    </row>
    <row r="58" spans="1:11">
      <c r="A58" s="2" t="s">
        <v>339</v>
      </c>
      <c r="B58" s="3" t="s">
        <v>340</v>
      </c>
      <c r="D58" s="14">
        <v>2.4539990302237824E-10</v>
      </c>
      <c r="E58" s="14">
        <v>6.1716106626139348E-6</v>
      </c>
      <c r="F58" s="14">
        <v>6.6694968394125952E-5</v>
      </c>
      <c r="G58" s="14">
        <v>2.3035021739223525E-5</v>
      </c>
      <c r="H58" s="14">
        <v>0</v>
      </c>
      <c r="I58" s="14">
        <v>3.0141360479699934E-6</v>
      </c>
      <c r="J58" s="14">
        <v>5.1084017756163572E-5</v>
      </c>
      <c r="K58" s="14">
        <v>0</v>
      </c>
    </row>
    <row r="59" spans="1:11">
      <c r="A59" s="2" t="s">
        <v>281</v>
      </c>
      <c r="B59" s="3" t="s">
        <v>282</v>
      </c>
      <c r="D59" s="14">
        <v>1.2467836206319956E-8</v>
      </c>
      <c r="E59" s="14">
        <v>3.8354402552188956E-5</v>
      </c>
      <c r="F59" s="14">
        <v>4.0439872019263646E-5</v>
      </c>
      <c r="G59" s="14">
        <v>7.9123470484867822E-6</v>
      </c>
      <c r="H59" s="14">
        <v>0</v>
      </c>
      <c r="I59" s="14">
        <v>1.0219667671842353E-6</v>
      </c>
      <c r="J59" s="14">
        <v>6.2258943776670028E-5</v>
      </c>
      <c r="K59" s="14">
        <v>0</v>
      </c>
    </row>
    <row r="60" spans="1:11">
      <c r="A60" s="2" t="s">
        <v>341</v>
      </c>
      <c r="B60" s="3" t="s">
        <v>342</v>
      </c>
      <c r="D60" s="14">
        <v>3.6004912936216605E-7</v>
      </c>
      <c r="E60" s="14">
        <v>4.4190193068664502E-6</v>
      </c>
      <c r="F60" s="14">
        <v>5.9810915414729375E-5</v>
      </c>
      <c r="G60" s="14">
        <v>3.0121459049583846E-5</v>
      </c>
      <c r="H60" s="14">
        <v>0</v>
      </c>
      <c r="I60" s="14">
        <v>3.9584198502684111E-6</v>
      </c>
      <c r="J60" s="14">
        <v>5.1330137249189727E-5</v>
      </c>
      <c r="K60" s="14">
        <v>0</v>
      </c>
    </row>
    <row r="61" spans="1:11">
      <c r="A61" s="2" t="s">
        <v>480</v>
      </c>
      <c r="B61" s="3" t="s">
        <v>481</v>
      </c>
      <c r="D61" s="14">
        <v>2.1238182451477374E-17</v>
      </c>
      <c r="E61" s="14">
        <v>9.9476831636917935E-5</v>
      </c>
      <c r="F61" s="14">
        <v>1.596830522865047E-5</v>
      </c>
      <c r="G61" s="14">
        <v>2.6605806151187067E-6</v>
      </c>
      <c r="H61" s="14">
        <v>0</v>
      </c>
      <c r="I61" s="14">
        <v>2.3500411163443138E-6</v>
      </c>
      <c r="J61" s="14">
        <v>2.9544241402947325E-5</v>
      </c>
      <c r="K61" s="14">
        <v>0</v>
      </c>
    </row>
    <row r="62" spans="1:11">
      <c r="A62" s="2" t="s">
        <v>482</v>
      </c>
      <c r="B62" s="3" t="s">
        <v>483</v>
      </c>
      <c r="D62" s="14">
        <v>6.4591250001702962E-11</v>
      </c>
      <c r="E62" s="14">
        <v>7.5505367070304006E-5</v>
      </c>
      <c r="F62" s="14">
        <v>1.6473746306473112E-5</v>
      </c>
      <c r="G62" s="14">
        <v>3.6198279494568304E-6</v>
      </c>
      <c r="H62" s="14">
        <v>0</v>
      </c>
      <c r="I62" s="14">
        <v>4.7671474920130586E-7</v>
      </c>
      <c r="J62" s="14">
        <v>5.3924279333314713E-5</v>
      </c>
      <c r="K62" s="14">
        <v>0</v>
      </c>
    </row>
    <row r="63" spans="1:11">
      <c r="A63" s="2" t="s">
        <v>484</v>
      </c>
      <c r="B63" s="3" t="s">
        <v>485</v>
      </c>
      <c r="D63" s="14">
        <v>8.80906124813077E-17</v>
      </c>
      <c r="E63" s="14">
        <v>1.4655088609515733E-4</v>
      </c>
      <c r="F63" s="14">
        <v>5.0514761814970649E-7</v>
      </c>
      <c r="G63" s="14">
        <v>6.6652287983977743E-8</v>
      </c>
      <c r="H63" s="14">
        <v>0</v>
      </c>
      <c r="I63" s="14">
        <v>2.0559066853798873E-7</v>
      </c>
      <c r="J63" s="14">
        <v>2.6717233300828922E-6</v>
      </c>
      <c r="K63" s="14">
        <v>0</v>
      </c>
    </row>
    <row r="64" spans="1:11">
      <c r="A64" s="2" t="s">
        <v>486</v>
      </c>
      <c r="B64" s="3" t="s">
        <v>487</v>
      </c>
      <c r="D64" s="14">
        <v>1.5540276263496998E-18</v>
      </c>
      <c r="E64" s="14">
        <v>1.4949861123478999E-4</v>
      </c>
      <c r="F64" s="14">
        <v>1.8426027232798515E-7</v>
      </c>
      <c r="G64" s="14">
        <v>2.2877526629202966E-9</v>
      </c>
      <c r="H64" s="14">
        <v>0</v>
      </c>
      <c r="I64" s="14">
        <v>3.7313580982713594E-8</v>
      </c>
      <c r="J64" s="14">
        <v>2.7752715923481404E-7</v>
      </c>
      <c r="K64" s="14">
        <v>0</v>
      </c>
    </row>
    <row r="65" spans="1:11">
      <c r="A65" s="2" t="s">
        <v>488</v>
      </c>
      <c r="B65" s="3" t="s">
        <v>489</v>
      </c>
      <c r="D65" s="14">
        <v>2.5630990702567833E-16</v>
      </c>
      <c r="E65" s="14">
        <v>1.498013252045474E-4</v>
      </c>
      <c r="F65" s="14">
        <v>2.3889997898523385E-8</v>
      </c>
      <c r="G65" s="14">
        <v>1.0625750936675696E-9</v>
      </c>
      <c r="H65" s="14">
        <v>0</v>
      </c>
      <c r="I65" s="14">
        <v>5.1250435767368508E-8</v>
      </c>
      <c r="J65" s="14">
        <v>1.2247178643671201E-7</v>
      </c>
      <c r="K65" s="14">
        <v>0</v>
      </c>
    </row>
    <row r="66" spans="1:11">
      <c r="A66" s="2" t="s">
        <v>490</v>
      </c>
      <c r="B66" s="3" t="s">
        <v>491</v>
      </c>
      <c r="D66" s="14">
        <v>4.1369909753544889E-15</v>
      </c>
      <c r="E66" s="14">
        <v>1.4313967330054092E-4</v>
      </c>
      <c r="F66" s="14">
        <v>3.7150118196405316E-6</v>
      </c>
      <c r="G66" s="14">
        <v>9.310500734520813E-8</v>
      </c>
      <c r="H66" s="14">
        <v>0</v>
      </c>
      <c r="I66" s="14">
        <v>1.7026583770818519E-6</v>
      </c>
      <c r="J66" s="14">
        <v>1.3495514912544515E-6</v>
      </c>
      <c r="K66" s="14">
        <v>0</v>
      </c>
    </row>
    <row r="67" spans="1:11">
      <c r="A67" s="2" t="s">
        <v>492</v>
      </c>
      <c r="B67" s="3" t="s">
        <v>493</v>
      </c>
      <c r="D67" s="14">
        <v>2.0021900051218353E-16</v>
      </c>
      <c r="E67" s="14">
        <v>1.4979227688239382E-4</v>
      </c>
      <c r="F67" s="14">
        <v>2.0143443884385402E-8</v>
      </c>
      <c r="G67" s="14">
        <v>1.1011555119951828E-9</v>
      </c>
      <c r="H67" s="14">
        <v>0</v>
      </c>
      <c r="I67" s="14">
        <v>4.877498663335182E-8</v>
      </c>
      <c r="J67" s="14">
        <v>1.3770353137622659E-7</v>
      </c>
      <c r="K67" s="14">
        <v>0</v>
      </c>
    </row>
    <row r="68" spans="1:11">
      <c r="A68" s="2" t="s">
        <v>494</v>
      </c>
      <c r="B68" s="3" t="s">
        <v>495</v>
      </c>
      <c r="D68" s="14">
        <v>1.8089706246414905E-15</v>
      </c>
      <c r="E68" s="14">
        <v>1.4990353484290871E-4</v>
      </c>
      <c r="F68" s="14">
        <v>2.3933873570327385E-9</v>
      </c>
      <c r="G68" s="14">
        <v>1.8466265205408962E-10</v>
      </c>
      <c r="H68" s="14">
        <v>0</v>
      </c>
      <c r="I68" s="14">
        <v>3.8302376715843467E-8</v>
      </c>
      <c r="J68" s="14">
        <v>5.5584728557373319E-8</v>
      </c>
      <c r="K68" s="14">
        <v>0</v>
      </c>
    </row>
    <row r="69" spans="1:11">
      <c r="A69" s="2" t="s">
        <v>496</v>
      </c>
      <c r="B69" s="3" t="s">
        <v>497</v>
      </c>
      <c r="D69" s="14">
        <v>6.1284511598556339E-15</v>
      </c>
      <c r="E69" s="14">
        <v>7.8721409827602682E-6</v>
      </c>
      <c r="F69" s="14">
        <v>7.1360751293859408E-5</v>
      </c>
      <c r="G69" s="14">
        <v>1.8359674152013915E-5</v>
      </c>
      <c r="H69" s="14">
        <v>0</v>
      </c>
      <c r="I69" s="14">
        <v>2.3946081962246065E-6</v>
      </c>
      <c r="J69" s="14">
        <v>5.0012825369013337E-5</v>
      </c>
      <c r="K69" s="14">
        <v>0</v>
      </c>
    </row>
    <row r="70" spans="1:11">
      <c r="A70" s="2" t="s">
        <v>498</v>
      </c>
      <c r="B70" s="3" t="s">
        <v>411</v>
      </c>
      <c r="D70" s="14">
        <v>3.3313414441900391E-17</v>
      </c>
      <c r="E70" s="14">
        <v>1.4949383452844269E-4</v>
      </c>
      <c r="F70" s="14">
        <v>4.6476972676943738E-7</v>
      </c>
      <c r="G70" s="14">
        <v>4.4170616035639259E-11</v>
      </c>
      <c r="H70" s="14">
        <v>0</v>
      </c>
      <c r="I70" s="14">
        <v>3.7668335337717086E-8</v>
      </c>
      <c r="J70" s="14">
        <v>3.6832388007958452E-9</v>
      </c>
      <c r="K70" s="14">
        <v>0</v>
      </c>
    </row>
    <row r="71" spans="1:11">
      <c r="A71" s="2" t="s">
        <v>499</v>
      </c>
      <c r="B71" s="3" t="s">
        <v>412</v>
      </c>
      <c r="D71" s="14">
        <v>1.5593407908405719E-12</v>
      </c>
      <c r="E71" s="14">
        <v>1.4906840615039994E-4</v>
      </c>
      <c r="F71" s="14">
        <v>8.8789203149190591E-7</v>
      </c>
      <c r="G71" s="14">
        <v>8.0691255396006297E-11</v>
      </c>
      <c r="H71" s="14">
        <v>0</v>
      </c>
      <c r="I71" s="14">
        <v>3.8449182392421068E-8</v>
      </c>
      <c r="J71" s="14">
        <v>5.1703851195227558E-9</v>
      </c>
      <c r="K71" s="14">
        <v>0</v>
      </c>
    </row>
    <row r="72" spans="1:11">
      <c r="A72" s="2" t="s">
        <v>500</v>
      </c>
      <c r="B72" s="3" t="s">
        <v>413</v>
      </c>
      <c r="D72" s="14">
        <v>1.9204061524115544E-13</v>
      </c>
      <c r="E72" s="14">
        <v>5.5972827273863439E-6</v>
      </c>
      <c r="F72" s="14">
        <v>1.4253180819088568E-4</v>
      </c>
      <c r="G72" s="14">
        <v>6.5460023053444307E-8</v>
      </c>
      <c r="H72" s="14">
        <v>0</v>
      </c>
      <c r="I72" s="14">
        <v>1.7522046337098923E-6</v>
      </c>
      <c r="J72" s="14">
        <v>5.3244232923982282E-8</v>
      </c>
      <c r="K72" s="14">
        <v>0</v>
      </c>
    </row>
    <row r="73" spans="1:11">
      <c r="A73" s="2" t="s">
        <v>501</v>
      </c>
      <c r="B73" s="3" t="s">
        <v>414</v>
      </c>
      <c r="D73" s="14">
        <v>1.9780705978297572E-13</v>
      </c>
      <c r="E73" s="14">
        <v>4.0930395704312785E-5</v>
      </c>
      <c r="F73" s="14">
        <v>1.0885803577951918E-4</v>
      </c>
      <c r="G73" s="14">
        <v>6.2925235977998038E-9</v>
      </c>
      <c r="H73" s="14">
        <v>0</v>
      </c>
      <c r="I73" s="14">
        <v>1.7124114595619584E-7</v>
      </c>
      <c r="J73" s="14">
        <v>3.4034648806941998E-8</v>
      </c>
      <c r="K73" s="14">
        <v>0</v>
      </c>
    </row>
    <row r="74" spans="1:11">
      <c r="A74" s="2" t="s">
        <v>502</v>
      </c>
      <c r="B74" s="3" t="s">
        <v>415</v>
      </c>
      <c r="D74" s="14">
        <v>1.9184370194665492E-13</v>
      </c>
      <c r="E74" s="14">
        <v>1.4915290005019439E-4</v>
      </c>
      <c r="F74" s="14">
        <v>8.0383377906874653E-7</v>
      </c>
      <c r="G74" s="14">
        <v>7.3372042938883849E-11</v>
      </c>
      <c r="H74" s="14">
        <v>0</v>
      </c>
      <c r="I74" s="14">
        <v>3.8296768924462943E-8</v>
      </c>
      <c r="J74" s="14">
        <v>4.8958379257455665E-9</v>
      </c>
      <c r="K74" s="14">
        <v>0</v>
      </c>
    </row>
    <row r="75" spans="1:11">
      <c r="A75" s="2" t="s">
        <v>503</v>
      </c>
      <c r="B75" s="3" t="s">
        <v>416</v>
      </c>
      <c r="D75" s="14">
        <v>8.1231628760148098E-13</v>
      </c>
      <c r="E75" s="14">
        <v>4.6339283771877237E-5</v>
      </c>
      <c r="F75" s="14">
        <v>1.0345318537748653E-4</v>
      </c>
      <c r="G75" s="14">
        <v>6.0577064847311362E-9</v>
      </c>
      <c r="H75" s="14">
        <v>0</v>
      </c>
      <c r="I75" s="14">
        <v>1.6629971772603694E-7</v>
      </c>
      <c r="J75" s="14">
        <v>3.5172614109163088E-8</v>
      </c>
      <c r="K75" s="14">
        <v>0</v>
      </c>
    </row>
    <row r="76" spans="1:11">
      <c r="A76" s="2" t="s">
        <v>504</v>
      </c>
      <c r="B76" s="3" t="s">
        <v>417</v>
      </c>
      <c r="D76" s="14">
        <v>5.1567182906727959E-12</v>
      </c>
      <c r="E76" s="14">
        <v>1.3352358213226638E-4</v>
      </c>
      <c r="F76" s="14">
        <v>1.6390512198107865E-5</v>
      </c>
      <c r="G76" s="14">
        <v>1.1919521991681806E-9</v>
      </c>
      <c r="H76" s="14">
        <v>0</v>
      </c>
      <c r="I76" s="14">
        <v>6.2292708220793154E-8</v>
      </c>
      <c r="J76" s="14">
        <v>2.2415852487463007E-8</v>
      </c>
      <c r="K76" s="14">
        <v>0</v>
      </c>
    </row>
    <row r="77" spans="1:11">
      <c r="A77" s="2" t="s">
        <v>505</v>
      </c>
      <c r="B77" s="3" t="s">
        <v>418</v>
      </c>
      <c r="D77" s="14">
        <v>6.0506262369531071E-12</v>
      </c>
      <c r="E77" s="14">
        <v>4.2435067221011488E-5</v>
      </c>
      <c r="F77" s="14">
        <v>1.0735430009532846E-4</v>
      </c>
      <c r="G77" s="14">
        <v>6.2472050195633844E-9</v>
      </c>
      <c r="H77" s="14">
        <v>0</v>
      </c>
      <c r="I77" s="14">
        <v>1.6989824326205329E-7</v>
      </c>
      <c r="J77" s="14">
        <v>3.4481184752218033E-8</v>
      </c>
      <c r="K77" s="14">
        <v>0</v>
      </c>
    </row>
    <row r="78" spans="1:11">
      <c r="A78" s="2" t="s">
        <v>506</v>
      </c>
      <c r="B78" s="3" t="s">
        <v>419</v>
      </c>
      <c r="D78" s="14">
        <v>7.7068901997499528E-13</v>
      </c>
      <c r="E78" s="14">
        <v>6.1970261292615269E-6</v>
      </c>
      <c r="F78" s="14">
        <v>1.4223218365645192E-4</v>
      </c>
      <c r="G78" s="14">
        <v>5.4886082856824568E-8</v>
      </c>
      <c r="H78" s="14">
        <v>0</v>
      </c>
      <c r="I78" s="14">
        <v>1.4654884900476115E-6</v>
      </c>
      <c r="J78" s="14">
        <v>5.0414870693080034E-8</v>
      </c>
      <c r="K78" s="14">
        <v>0</v>
      </c>
    </row>
    <row r="79" spans="1:11">
      <c r="A79" s="2" t="s">
        <v>507</v>
      </c>
      <c r="B79" s="3" t="s">
        <v>420</v>
      </c>
      <c r="D79" s="14">
        <v>1.9358836280761365E-17</v>
      </c>
      <c r="E79" s="14">
        <v>6.1970268942067722E-6</v>
      </c>
      <c r="F79" s="14">
        <v>1.4223220121323323E-4</v>
      </c>
      <c r="G79" s="14">
        <v>5.4877403596415282E-8</v>
      </c>
      <c r="H79" s="14">
        <v>0</v>
      </c>
      <c r="I79" s="14">
        <v>1.4654875904686418E-6</v>
      </c>
      <c r="J79" s="14">
        <v>5.0406898475562039E-8</v>
      </c>
      <c r="K79" s="14">
        <v>0</v>
      </c>
    </row>
    <row r="80" spans="1:11">
      <c r="A80" s="2" t="s">
        <v>508</v>
      </c>
      <c r="B80" s="3" t="s">
        <v>421</v>
      </c>
      <c r="D80" s="14">
        <v>9.1274138952763314E-13</v>
      </c>
      <c r="E80" s="14">
        <v>1.0003958935493014E-4</v>
      </c>
      <c r="F80" s="14">
        <v>4.9815724481721532E-5</v>
      </c>
      <c r="G80" s="14">
        <v>3.2578479413229052E-9</v>
      </c>
      <c r="H80" s="14">
        <v>0</v>
      </c>
      <c r="I80" s="14">
        <v>1.0668760931978278E-7</v>
      </c>
      <c r="J80" s="14">
        <v>3.4739793345795088E-8</v>
      </c>
      <c r="K80" s="14">
        <v>0</v>
      </c>
    </row>
    <row r="81" spans="1:11">
      <c r="A81" s="2" t="s">
        <v>509</v>
      </c>
      <c r="B81" s="3" t="s">
        <v>422</v>
      </c>
      <c r="D81" s="14">
        <v>3.6181185646748081E-13</v>
      </c>
      <c r="E81" s="14">
        <v>1.4640872215361918E-4</v>
      </c>
      <c r="F81" s="14">
        <v>3.5375411508430625E-6</v>
      </c>
      <c r="G81" s="14">
        <v>2.891118280357542E-10</v>
      </c>
      <c r="H81" s="14">
        <v>0</v>
      </c>
      <c r="I81" s="14">
        <v>4.2943038869017795E-8</v>
      </c>
      <c r="J81" s="14">
        <v>1.0504183028792718E-8</v>
      </c>
      <c r="K81" s="14">
        <v>0</v>
      </c>
    </row>
    <row r="82" spans="1:11">
      <c r="A82" s="2" t="s">
        <v>510</v>
      </c>
      <c r="B82" s="3" t="s">
        <v>423</v>
      </c>
      <c r="D82" s="14">
        <v>1.1592468798811265E-16</v>
      </c>
      <c r="E82" s="14">
        <v>1.4090294475971153E-4</v>
      </c>
      <c r="F82" s="14">
        <v>9.0280638101747266E-6</v>
      </c>
      <c r="G82" s="14">
        <v>6.865785706359908E-10</v>
      </c>
      <c r="H82" s="14">
        <v>0</v>
      </c>
      <c r="I82" s="14">
        <v>5.1501857713518093E-8</v>
      </c>
      <c r="J82" s="14">
        <v>1.6802993713621241E-8</v>
      </c>
      <c r="K82" s="14">
        <v>0</v>
      </c>
    </row>
    <row r="83" spans="1:11">
      <c r="A83" s="2" t="s">
        <v>511</v>
      </c>
      <c r="B83" s="3" t="s">
        <v>424</v>
      </c>
      <c r="D83" s="14">
        <v>2.7669862427078681E-13</v>
      </c>
      <c r="E83" s="14">
        <v>4.2131910752647728E-6</v>
      </c>
      <c r="F83" s="14">
        <v>1.4276630054639559E-4</v>
      </c>
      <c r="G83" s="14">
        <v>1.0582543568082078E-7</v>
      </c>
      <c r="H83" s="14">
        <v>0</v>
      </c>
      <c r="I83" s="14">
        <v>2.8530676612726694E-6</v>
      </c>
      <c r="J83" s="14">
        <v>6.1615004687510836E-8</v>
      </c>
      <c r="K83" s="14">
        <v>0</v>
      </c>
    </row>
    <row r="84" spans="1:11">
      <c r="A84" s="2" t="s">
        <v>395</v>
      </c>
      <c r="B84" s="3" t="s">
        <v>396</v>
      </c>
      <c r="D84" s="14">
        <v>1.1213043666039991E-47</v>
      </c>
      <c r="E84" s="14">
        <v>9.1877177981737124E-5</v>
      </c>
      <c r="F84" s="14">
        <v>9.9527294298892816E-6</v>
      </c>
      <c r="G84" s="14">
        <v>2.3027020790655278E-6</v>
      </c>
      <c r="H84" s="14">
        <v>0</v>
      </c>
      <c r="I84" s="14">
        <v>3.1258741285448711E-7</v>
      </c>
      <c r="J84" s="14">
        <v>4.5554803096453527E-5</v>
      </c>
      <c r="K84" s="14">
        <v>0</v>
      </c>
    </row>
    <row r="85" spans="1:11">
      <c r="A85" s="2" t="s">
        <v>397</v>
      </c>
      <c r="B85" s="3" t="s">
        <v>398</v>
      </c>
      <c r="D85" s="14">
        <v>6.779176107889811E-12</v>
      </c>
      <c r="E85" s="14">
        <v>3.1918496336013598E-5</v>
      </c>
      <c r="F85" s="14">
        <v>4.9990592660217134E-5</v>
      </c>
      <c r="G85" s="14">
        <v>2.6134372556182281E-6</v>
      </c>
      <c r="H85" s="14">
        <v>0</v>
      </c>
      <c r="I85" s="14">
        <v>6.1328800716391012E-5</v>
      </c>
      <c r="J85" s="14">
        <v>4.1486662525838892E-6</v>
      </c>
      <c r="K85" s="14">
        <v>0</v>
      </c>
    </row>
    <row r="86" spans="1:11">
      <c r="A86" s="2" t="s">
        <v>399</v>
      </c>
      <c r="B86" s="3" t="s">
        <v>400</v>
      </c>
      <c r="D86" s="14">
        <v>2.3342306200215646E-8</v>
      </c>
      <c r="E86" s="14">
        <v>4.1522920865533682E-7</v>
      </c>
      <c r="F86" s="14">
        <v>2.0066075689341446E-5</v>
      </c>
      <c r="G86" s="14">
        <v>8.5242857852584576E-5</v>
      </c>
      <c r="H86" s="14">
        <v>0</v>
      </c>
      <c r="I86" s="14">
        <v>1.1491700696437752E-5</v>
      </c>
      <c r="J86" s="14">
        <v>3.2760794246780627E-5</v>
      </c>
      <c r="K86" s="14">
        <v>0</v>
      </c>
    </row>
    <row r="87" spans="1:11">
      <c r="A87" s="2" t="s">
        <v>401</v>
      </c>
      <c r="B87" s="3" t="s">
        <v>402</v>
      </c>
      <c r="D87" s="14">
        <v>3.0448868766339291E-9</v>
      </c>
      <c r="E87" s="14">
        <v>1.5158467478387171E-7</v>
      </c>
      <c r="F87" s="14">
        <v>1.1391734293633627E-5</v>
      </c>
      <c r="G87" s="14">
        <v>1.0141107865238748E-4</v>
      </c>
      <c r="H87" s="14">
        <v>0</v>
      </c>
      <c r="I87" s="14">
        <v>1.3794759523078837E-5</v>
      </c>
      <c r="J87" s="14">
        <v>2.3247797969239533E-5</v>
      </c>
      <c r="K87" s="14">
        <v>0</v>
      </c>
    </row>
    <row r="88" spans="1:11">
      <c r="A88" s="2" t="s">
        <v>301</v>
      </c>
      <c r="B88" s="3" t="s">
        <v>302</v>
      </c>
      <c r="D88" s="14">
        <v>3.936439732343447E-10</v>
      </c>
      <c r="E88" s="14">
        <v>4.4535644398632368E-8</v>
      </c>
      <c r="F88" s="14">
        <v>5.5299638338321683E-6</v>
      </c>
      <c r="G88" s="14">
        <v>1.1418731113659062E-4</v>
      </c>
      <c r="H88" s="14">
        <v>0</v>
      </c>
      <c r="I88" s="14">
        <v>1.5692777604843548E-5</v>
      </c>
      <c r="J88" s="14">
        <v>1.4545018136361791E-5</v>
      </c>
      <c r="K88" s="14">
        <v>0</v>
      </c>
    </row>
    <row r="89" spans="1:11">
      <c r="A89" s="2" t="s">
        <v>303</v>
      </c>
      <c r="B89" s="3" t="s">
        <v>304</v>
      </c>
      <c r="D89" s="14">
        <v>4.3156282004684942E-17</v>
      </c>
      <c r="E89" s="14">
        <v>4.2795921455178435E-7</v>
      </c>
      <c r="F89" s="14">
        <v>4.8739997251245172E-6</v>
      </c>
      <c r="G89" s="14">
        <v>1.2676272781792079E-5</v>
      </c>
      <c r="H89" s="14">
        <v>0</v>
      </c>
      <c r="I89" s="14">
        <v>1.2976603369997184E-4</v>
      </c>
      <c r="J89" s="14">
        <v>2.2557345785165793E-6</v>
      </c>
      <c r="K89" s="14">
        <v>0</v>
      </c>
    </row>
    <row r="90" spans="1:11">
      <c r="A90" s="2" t="s">
        <v>425</v>
      </c>
      <c r="B90" s="3" t="s">
        <v>426</v>
      </c>
      <c r="D90" s="14">
        <v>1.8921202663437247E-17</v>
      </c>
      <c r="E90" s="14">
        <v>1.4833543362224869E-4</v>
      </c>
      <c r="F90" s="14">
        <v>1.3914238906443328E-8</v>
      </c>
      <c r="G90" s="14">
        <v>4.6718053842471877E-9</v>
      </c>
      <c r="H90" s="14">
        <v>0</v>
      </c>
      <c r="I90" s="14">
        <v>3.6887266589142977E-8</v>
      </c>
      <c r="J90" s="14">
        <v>1.6090930668525162E-6</v>
      </c>
      <c r="K90" s="14">
        <v>0</v>
      </c>
    </row>
    <row r="91" spans="1:11">
      <c r="A91" s="2" t="s">
        <v>427</v>
      </c>
      <c r="B91" s="3" t="s">
        <v>428</v>
      </c>
      <c r="D91" s="14">
        <v>1.1783328731014938E-8</v>
      </c>
      <c r="E91" s="14">
        <v>1.3216368151011944E-4</v>
      </c>
      <c r="F91" s="14">
        <v>1.0108499131249435E-6</v>
      </c>
      <c r="G91" s="14">
        <v>2.8430351783467285E-7</v>
      </c>
      <c r="H91" s="14">
        <v>0</v>
      </c>
      <c r="I91" s="14">
        <v>6.7531195262515909E-8</v>
      </c>
      <c r="J91" s="14">
        <v>1.646185053492739E-5</v>
      </c>
      <c r="K91" s="14">
        <v>0</v>
      </c>
    </row>
    <row r="92" spans="1:11">
      <c r="A92" s="2" t="s">
        <v>429</v>
      </c>
      <c r="B92" s="3" t="s">
        <v>430</v>
      </c>
      <c r="D92" s="14">
        <v>1.9111202423240936E-7</v>
      </c>
      <c r="E92" s="14">
        <v>6.1911616917736741E-5</v>
      </c>
      <c r="F92" s="14">
        <v>2.3415675818633737E-5</v>
      </c>
      <c r="G92" s="14">
        <v>4.9408566316518405E-6</v>
      </c>
      <c r="H92" s="14">
        <v>0</v>
      </c>
      <c r="I92" s="14">
        <v>6.4299285989011417E-7</v>
      </c>
      <c r="J92" s="14">
        <v>5.8897745747855127E-5</v>
      </c>
      <c r="K92" s="14">
        <v>0</v>
      </c>
    </row>
    <row r="93" spans="1:11">
      <c r="A93" s="2" t="s">
        <v>431</v>
      </c>
      <c r="B93" s="3" t="s">
        <v>432</v>
      </c>
      <c r="D93" s="14">
        <v>1.4066527370696599E-21</v>
      </c>
      <c r="E93" s="14">
        <v>1.4988794232403656E-4</v>
      </c>
      <c r="F93" s="14">
        <v>6.5444212778786432E-8</v>
      </c>
      <c r="G93" s="14">
        <v>5.2431607074845671E-11</v>
      </c>
      <c r="H93" s="14">
        <v>0</v>
      </c>
      <c r="I93" s="14">
        <v>3.6876255358699445E-8</v>
      </c>
      <c r="J93" s="14">
        <v>9.684776218874528E-9</v>
      </c>
      <c r="K93" s="14">
        <v>0</v>
      </c>
    </row>
    <row r="94" spans="1:11">
      <c r="A94" s="2" t="s">
        <v>433</v>
      </c>
      <c r="B94" s="3" t="s">
        <v>434</v>
      </c>
      <c r="D94" s="14">
        <v>2.9612064281230937E-22</v>
      </c>
      <c r="E94" s="14">
        <v>1.4996255026320589E-4</v>
      </c>
      <c r="F94" s="14">
        <v>2.5368066533620716E-10</v>
      </c>
      <c r="G94" s="14">
        <v>3.5398349249638806E-13</v>
      </c>
      <c r="H94" s="14">
        <v>0</v>
      </c>
      <c r="I94" s="14">
        <v>3.6951651797678095E-8</v>
      </c>
      <c r="J94" s="14">
        <v>2.4405034758812487E-10</v>
      </c>
      <c r="K94" s="14">
        <v>0</v>
      </c>
    </row>
    <row r="95" spans="1:11">
      <c r="A95" s="2" t="s">
        <v>435</v>
      </c>
      <c r="B95" s="3" t="s">
        <v>436</v>
      </c>
      <c r="D95" s="14">
        <v>1.6464125876585331E-12</v>
      </c>
      <c r="E95" s="14">
        <v>1.4608687992965979E-4</v>
      </c>
      <c r="F95" s="14">
        <v>5.8066888395598516E-8</v>
      </c>
      <c r="G95" s="14">
        <v>2.0140015505227295E-8</v>
      </c>
      <c r="H95" s="14">
        <v>0</v>
      </c>
      <c r="I95" s="14">
        <v>3.8649139251931076E-8</v>
      </c>
      <c r="J95" s="14">
        <v>3.7962623807748377E-6</v>
      </c>
      <c r="K95" s="14">
        <v>0</v>
      </c>
    </row>
    <row r="96" spans="1:11">
      <c r="A96" s="2" t="s">
        <v>437</v>
      </c>
      <c r="B96" s="163" t="s">
        <v>438</v>
      </c>
      <c r="D96" s="14">
        <v>4.273105833041793E-11</v>
      </c>
      <c r="E96" s="14">
        <v>5.9159947940526577E-7</v>
      </c>
      <c r="F96" s="14">
        <v>2.425282502693343E-5</v>
      </c>
      <c r="G96" s="14">
        <v>7.82092081740923E-5</v>
      </c>
      <c r="H96" s="14">
        <v>0</v>
      </c>
      <c r="I96" s="14">
        <v>1.0508343203357754E-5</v>
      </c>
      <c r="J96" s="14">
        <v>3.6437981385152888E-5</v>
      </c>
      <c r="K96" s="14">
        <v>0</v>
      </c>
    </row>
    <row r="97" spans="1:11">
      <c r="A97" s="2" t="s">
        <v>439</v>
      </c>
      <c r="B97" s="3" t="s">
        <v>440</v>
      </c>
      <c r="D97" s="14">
        <v>6.3808215289208849E-9</v>
      </c>
      <c r="E97" s="14">
        <v>1.2382283166653663E-4</v>
      </c>
      <c r="F97" s="14">
        <v>2.1081197740046033E-6</v>
      </c>
      <c r="G97" s="14">
        <v>5.5897300846061492E-7</v>
      </c>
      <c r="H97" s="14">
        <v>0</v>
      </c>
      <c r="I97" s="14">
        <v>9.9847313063205603E-8</v>
      </c>
      <c r="J97" s="14">
        <v>2.3403847416405991E-5</v>
      </c>
      <c r="K97" s="14">
        <v>0</v>
      </c>
    </row>
    <row r="98" spans="1:11">
      <c r="A98" s="2" t="s">
        <v>441</v>
      </c>
      <c r="B98" s="3" t="s">
        <v>442</v>
      </c>
      <c r="D98" s="14">
        <v>3.955454921934253E-21</v>
      </c>
      <c r="E98" s="14">
        <v>1.308219364651453E-4</v>
      </c>
      <c r="F98" s="14">
        <v>1.1625593243627373E-6</v>
      </c>
      <c r="G98" s="14">
        <v>3.2337815520157558E-7</v>
      </c>
      <c r="H98" s="14">
        <v>0</v>
      </c>
      <c r="I98" s="14">
        <v>7.2077539399816016E-8</v>
      </c>
      <c r="J98" s="14">
        <v>1.7620048515890545E-5</v>
      </c>
      <c r="K98" s="14">
        <v>0</v>
      </c>
    </row>
    <row r="99" spans="1:11">
      <c r="A99" s="2" t="s">
        <v>443</v>
      </c>
      <c r="B99" s="3" t="s">
        <v>444</v>
      </c>
      <c r="D99" s="14">
        <v>5.3398682019915391E-33</v>
      </c>
      <c r="E99" s="14">
        <v>1.4157112130685009E-4</v>
      </c>
      <c r="F99" s="14">
        <v>2.4151784351705942E-7</v>
      </c>
      <c r="G99" s="14">
        <v>7.5865579169455883E-8</v>
      </c>
      <c r="H99" s="14">
        <v>0</v>
      </c>
      <c r="I99" s="14">
        <v>4.3953951652349153E-8</v>
      </c>
      <c r="J99" s="14">
        <v>8.0675413188110031E-6</v>
      </c>
      <c r="K99" s="14">
        <v>0</v>
      </c>
    </row>
    <row r="100" spans="1:11">
      <c r="A100" s="2" t="s">
        <v>445</v>
      </c>
      <c r="B100" s="3" t="s">
        <v>446</v>
      </c>
      <c r="D100" s="14">
        <v>4.060516869461156E-11</v>
      </c>
      <c r="E100" s="14">
        <v>3.5198605104487187E-6</v>
      </c>
      <c r="F100" s="14">
        <v>5.5195033774211864E-5</v>
      </c>
      <c r="G100" s="14">
        <v>3.557095775426942E-5</v>
      </c>
      <c r="H100" s="14">
        <v>0</v>
      </c>
      <c r="I100" s="14">
        <v>4.6880539188871636E-6</v>
      </c>
      <c r="J100" s="14">
        <v>5.1026053437014114E-5</v>
      </c>
      <c r="K100" s="14">
        <v>0</v>
      </c>
    </row>
    <row r="101" spans="1:11">
      <c r="A101" s="2" t="s">
        <v>447</v>
      </c>
      <c r="B101" s="3" t="s">
        <v>448</v>
      </c>
      <c r="D101" s="14">
        <v>1.4311807162201006E-12</v>
      </c>
      <c r="E101" s="14">
        <v>7.3674739650478763E-5</v>
      </c>
      <c r="F101" s="14">
        <v>1.7326592450859225E-5</v>
      </c>
      <c r="G101" s="14">
        <v>3.7862450240743179E-6</v>
      </c>
      <c r="H101" s="14">
        <v>0</v>
      </c>
      <c r="I101" s="14">
        <v>4.9758109813520906E-7</v>
      </c>
      <c r="J101" s="14">
        <v>5.4714840345271754E-5</v>
      </c>
      <c r="K101" s="14">
        <v>0</v>
      </c>
    </row>
    <row r="102" spans="1:11">
      <c r="A102" s="2" t="s">
        <v>449</v>
      </c>
      <c r="B102" s="3" t="s">
        <v>450</v>
      </c>
      <c r="D102" s="14">
        <v>1.1606243586816461E-7</v>
      </c>
      <c r="E102" s="14">
        <v>2.9623462222940438E-5</v>
      </c>
      <c r="F102" s="14">
        <v>4.899033006100296E-5</v>
      </c>
      <c r="G102" s="14">
        <v>9.2726938408445595E-6</v>
      </c>
      <c r="H102" s="14">
        <v>0</v>
      </c>
      <c r="I102" s="14">
        <v>1.1976247205343142E-6</v>
      </c>
      <c r="J102" s="14">
        <v>6.0799826718809525E-5</v>
      </c>
      <c r="K102" s="14">
        <v>0</v>
      </c>
    </row>
    <row r="103" spans="1:11">
      <c r="A103" s="2" t="s">
        <v>451</v>
      </c>
      <c r="B103" s="3" t="s">
        <v>452</v>
      </c>
      <c r="D103" s="14">
        <v>5.6501254780238554E-23</v>
      </c>
      <c r="E103" s="14">
        <v>1.482175109887638E-4</v>
      </c>
      <c r="F103" s="14">
        <v>1.7341795727992269E-6</v>
      </c>
      <c r="G103" s="14">
        <v>1.6829424863633952E-10</v>
      </c>
      <c r="H103" s="14">
        <v>0</v>
      </c>
      <c r="I103" s="14">
        <v>3.9938276713147524E-8</v>
      </c>
      <c r="J103" s="14">
        <v>8.202867475132661E-9</v>
      </c>
      <c r="K103" s="14">
        <v>0</v>
      </c>
    </row>
    <row r="104" spans="1:11">
      <c r="A104" s="2" t="s">
        <v>453</v>
      </c>
      <c r="B104" s="3" t="s">
        <v>454</v>
      </c>
      <c r="D104" s="14">
        <v>1.1922482001786971E-23</v>
      </c>
      <c r="E104" s="14">
        <v>1.5135484736750051E-5</v>
      </c>
      <c r="F104" s="14">
        <v>1.3403273659810984E-4</v>
      </c>
      <c r="G104" s="14">
        <v>1.4193076224464806E-7</v>
      </c>
      <c r="H104" s="14">
        <v>0</v>
      </c>
      <c r="I104" s="14">
        <v>2.9249814210973639E-7</v>
      </c>
      <c r="J104" s="14">
        <v>3.9734976078570551E-7</v>
      </c>
      <c r="K104" s="14">
        <v>0</v>
      </c>
    </row>
    <row r="105" spans="1:11">
      <c r="A105" s="2" t="s">
        <v>455</v>
      </c>
      <c r="B105" s="163">
        <v>354656</v>
      </c>
      <c r="D105" s="14">
        <v>4.3657791009890335E-14</v>
      </c>
      <c r="E105" s="14">
        <v>1.4800823902281408E-4</v>
      </c>
      <c r="F105" s="14">
        <v>1.4965128209265908E-8</v>
      </c>
      <c r="G105" s="14">
        <v>5.7886327485158007E-9</v>
      </c>
      <c r="H105" s="14">
        <v>0</v>
      </c>
      <c r="I105" s="14">
        <v>3.6936150606678662E-8</v>
      </c>
      <c r="J105" s="14">
        <v>1.9340710219636093E-6</v>
      </c>
      <c r="K105" s="14">
        <v>0</v>
      </c>
    </row>
    <row r="106" spans="1:11">
      <c r="A106" s="2" t="s">
        <v>457</v>
      </c>
      <c r="B106" s="3" t="s">
        <v>458</v>
      </c>
      <c r="D106" s="14">
        <v>6.6135054511728633E-14</v>
      </c>
      <c r="E106" s="14">
        <v>1.4589490953639751E-4</v>
      </c>
      <c r="F106" s="14">
        <v>6.3063188518008102E-8</v>
      </c>
      <c r="G106" s="14">
        <v>2.1774662030345438E-8</v>
      </c>
      <c r="H106" s="14">
        <v>0</v>
      </c>
      <c r="I106" s="14">
        <v>3.8742245937343096E-8</v>
      </c>
      <c r="J106" s="14">
        <v>3.9815103009817091E-6</v>
      </c>
      <c r="K106" s="14">
        <v>0</v>
      </c>
    </row>
    <row r="107" spans="1:11">
      <c r="A107" s="2" t="s">
        <v>459</v>
      </c>
      <c r="B107" s="3" t="s">
        <v>460</v>
      </c>
      <c r="D107" s="14">
        <v>3.2473931943340952E-23</v>
      </c>
      <c r="E107" s="14">
        <v>1.9069137235176765E-5</v>
      </c>
      <c r="F107" s="14">
        <v>6.4711682084134275E-5</v>
      </c>
      <c r="G107" s="14">
        <v>1.1325851984390526E-5</v>
      </c>
      <c r="H107" s="14">
        <v>0</v>
      </c>
      <c r="I107" s="14">
        <v>2.2713345029362791E-6</v>
      </c>
      <c r="J107" s="14">
        <v>5.2621994193362147E-5</v>
      </c>
      <c r="K107" s="14">
        <v>0</v>
      </c>
    </row>
    <row r="108" spans="1:11">
      <c r="A108" s="2" t="s">
        <v>461</v>
      </c>
      <c r="B108" s="3" t="s">
        <v>462</v>
      </c>
      <c r="D108" s="14">
        <v>1.2794352374124992E-13</v>
      </c>
      <c r="E108" s="14">
        <v>1.499595214658644E-4</v>
      </c>
      <c r="F108" s="14">
        <v>1.3140423660094035E-10</v>
      </c>
      <c r="G108" s="14">
        <v>3.8086489886951025E-12</v>
      </c>
      <c r="H108" s="14">
        <v>0</v>
      </c>
      <c r="I108" s="14">
        <v>3.6838359978573406E-8</v>
      </c>
      <c r="J108" s="14">
        <v>3.5048333278513325E-9</v>
      </c>
      <c r="K108" s="14">
        <v>0</v>
      </c>
    </row>
    <row r="109" spans="1:11">
      <c r="A109" s="2" t="s">
        <v>463</v>
      </c>
      <c r="B109" s="3" t="s">
        <v>464</v>
      </c>
      <c r="D109" s="14">
        <v>3.4858086742598431E-16</v>
      </c>
      <c r="E109" s="14">
        <v>1.4735399193668548E-4</v>
      </c>
      <c r="F109" s="14">
        <v>9.2012117279008038E-7</v>
      </c>
      <c r="G109" s="14">
        <v>4.5735254508021391E-8</v>
      </c>
      <c r="H109" s="14">
        <v>0</v>
      </c>
      <c r="I109" s="14">
        <v>4.5399057260263325E-7</v>
      </c>
      <c r="J109" s="14">
        <v>1.2261610630651715E-6</v>
      </c>
      <c r="K109" s="14">
        <v>0</v>
      </c>
    </row>
    <row r="110" spans="1:11">
      <c r="A110" s="2" t="s">
        <v>465</v>
      </c>
      <c r="B110" s="3" t="s">
        <v>466</v>
      </c>
      <c r="D110" s="14">
        <v>2.4383664938335663E-15</v>
      </c>
      <c r="E110" s="14">
        <v>1.4956328896831972E-4</v>
      </c>
      <c r="F110" s="14">
        <v>3.3730249785401357E-9</v>
      </c>
      <c r="G110" s="14">
        <v>6.4533628252491003E-10</v>
      </c>
      <c r="H110" s="14">
        <v>0</v>
      </c>
      <c r="I110" s="14">
        <v>3.6704231753411666E-8</v>
      </c>
      <c r="J110" s="14">
        <v>3.9598843622740302E-7</v>
      </c>
      <c r="K110" s="14">
        <v>0</v>
      </c>
    </row>
    <row r="111" spans="1:11">
      <c r="A111" s="2" t="s">
        <v>467</v>
      </c>
      <c r="B111" s="3" t="s">
        <v>468</v>
      </c>
      <c r="D111" s="14">
        <v>4.3177021230456196E-34</v>
      </c>
      <c r="E111" s="14">
        <v>1.4996268637589353E-4</v>
      </c>
      <c r="F111" s="14">
        <v>2.3879089428296471E-10</v>
      </c>
      <c r="G111" s="14">
        <v>1.9728302141716053E-13</v>
      </c>
      <c r="H111" s="14">
        <v>0</v>
      </c>
      <c r="I111" s="14">
        <v>3.6720323708985332E-8</v>
      </c>
      <c r="J111" s="14">
        <v>3.5431222014903184E-10</v>
      </c>
      <c r="K111" s="14">
        <v>0</v>
      </c>
    </row>
    <row r="112" spans="1:11">
      <c r="A112" s="2" t="s">
        <v>469</v>
      </c>
      <c r="B112" s="3" t="s">
        <v>470</v>
      </c>
      <c r="D112" s="14">
        <v>2.7423091223290127E-17</v>
      </c>
      <c r="E112" s="14">
        <v>1.4944814963812459E-4</v>
      </c>
      <c r="F112" s="14">
        <v>1.1644882015277863E-9</v>
      </c>
      <c r="G112" s="14">
        <v>5.4403976962397737E-10</v>
      </c>
      <c r="H112" s="14">
        <v>0</v>
      </c>
      <c r="I112" s="14">
        <v>3.6657652859515657E-8</v>
      </c>
      <c r="J112" s="14">
        <v>5.134841810173153E-7</v>
      </c>
      <c r="K112" s="14">
        <v>0</v>
      </c>
    </row>
    <row r="113" spans="1:11">
      <c r="A113" s="2" t="s">
        <v>471</v>
      </c>
      <c r="B113" s="3" t="s">
        <v>472</v>
      </c>
      <c r="D113" s="14">
        <v>3.4591260788880734E-13</v>
      </c>
      <c r="E113" s="14">
        <v>1.4696385164323961E-4</v>
      </c>
      <c r="F113" s="14">
        <v>3.3914473230676642E-8</v>
      </c>
      <c r="G113" s="14">
        <v>1.2344702587642392E-8</v>
      </c>
      <c r="H113" s="14">
        <v>0</v>
      </c>
      <c r="I113" s="14">
        <v>3.7476222320436278E-8</v>
      </c>
      <c r="J113" s="14">
        <v>2.9524126127090203E-6</v>
      </c>
      <c r="K113" s="14">
        <v>0</v>
      </c>
    </row>
    <row r="114" spans="1:11">
      <c r="A114" s="2" t="s">
        <v>473</v>
      </c>
      <c r="B114" s="3" t="s">
        <v>474</v>
      </c>
      <c r="D114" s="14">
        <v>2.6855943791271498E-20</v>
      </c>
      <c r="E114" s="14">
        <v>1.4969720149096902E-4</v>
      </c>
      <c r="F114" s="14">
        <v>3.3828927703392096E-10</v>
      </c>
      <c r="G114" s="14">
        <v>1.7043423499100257E-10</v>
      </c>
      <c r="H114" s="14">
        <v>0</v>
      </c>
      <c r="I114" s="14">
        <v>3.6674382390470189E-8</v>
      </c>
      <c r="J114" s="14">
        <v>2.6561540312842006E-7</v>
      </c>
      <c r="K114" s="14">
        <v>0</v>
      </c>
    </row>
    <row r="115" spans="1:11">
      <c r="A115" s="2" t="s">
        <v>475</v>
      </c>
      <c r="B115" s="3" t="s">
        <v>476</v>
      </c>
      <c r="D115" s="14">
        <v>1.4205973784884428E-16</v>
      </c>
      <c r="E115" s="14">
        <v>1.4953733574445764E-4</v>
      </c>
      <c r="F115" s="14">
        <v>4.2065319230373202E-7</v>
      </c>
      <c r="G115" s="14">
        <v>5.0385786524038916E-11</v>
      </c>
      <c r="H115" s="14">
        <v>0</v>
      </c>
      <c r="I115" s="14">
        <v>3.758541129618134E-8</v>
      </c>
      <c r="J115" s="14">
        <v>4.3752660138091309E-9</v>
      </c>
      <c r="K115" s="14">
        <v>0</v>
      </c>
    </row>
    <row r="116" spans="1:11">
      <c r="A116" s="2" t="s">
        <v>477</v>
      </c>
      <c r="B116" s="3" t="s">
        <v>478</v>
      </c>
      <c r="D116" s="14">
        <v>1.5319042289649273E-20</v>
      </c>
      <c r="E116" s="14">
        <v>7.8738090307648665E-5</v>
      </c>
      <c r="F116" s="14">
        <v>4.8099696220096509E-5</v>
      </c>
      <c r="G116" s="14">
        <v>1.1649998085623873E-6</v>
      </c>
      <c r="H116" s="14">
        <v>0</v>
      </c>
      <c r="I116" s="14">
        <v>1.7252365988707595E-5</v>
      </c>
      <c r="J116" s="14">
        <v>4.7448476749848044E-6</v>
      </c>
      <c r="K116" s="14">
        <v>0</v>
      </c>
    </row>
    <row r="117" spans="1:11">
      <c r="A117" s="2" t="s">
        <v>291</v>
      </c>
      <c r="B117" s="3" t="s">
        <v>479</v>
      </c>
      <c r="D117" s="14">
        <v>5.463283048581911E-14</v>
      </c>
      <c r="E117" s="14">
        <v>1.1313001260027232E-4</v>
      </c>
      <c r="F117" s="14">
        <v>4.0782362994916762E-6</v>
      </c>
      <c r="G117" s="14">
        <v>1.0232174576380667E-6</v>
      </c>
      <c r="H117" s="14">
        <v>0</v>
      </c>
      <c r="I117" s="14">
        <v>1.5563180897151759E-7</v>
      </c>
      <c r="J117" s="14">
        <v>3.1612901778993575E-5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555BF-BE5A-4BAB-80A0-2D9FF97C5331}">
  <dimension ref="A1:D117"/>
  <sheetViews>
    <sheetView tabSelected="1" topLeftCell="A91" workbookViewId="0">
      <selection activeCell="W117" sqref="W117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3.6787737677699167E-8</v>
      </c>
      <c r="B2">
        <f>'Mass Balance'!E2</f>
        <v>1.4845565211667809E-4</v>
      </c>
      <c r="C2">
        <f>SUM('Mass Balance'!E2:H2)</f>
        <v>1.484684085707188E-4</v>
      </c>
      <c r="D2">
        <f>Concentrations!F2/Concentrations!E2</f>
        <v>1.0003040382004162</v>
      </c>
    </row>
    <row r="3" spans="1:4">
      <c r="A3">
        <f>'Mass Balance'!I3</f>
        <v>2.386948263182151E-7</v>
      </c>
      <c r="B3">
        <f>'Mass Balance'!E3</f>
        <v>1.1341705893614876E-4</v>
      </c>
      <c r="C3">
        <f>SUM('Mass Balance'!E3:H3)</f>
        <v>1.1899787967467144E-4</v>
      </c>
      <c r="D3">
        <f>Concentrations!F3/Concentrations!E3</f>
        <v>0.95347321310179423</v>
      </c>
    </row>
    <row r="4" spans="1:4">
      <c r="A4">
        <f>'Mass Balance'!I4</f>
        <v>4.1410276236373881E-8</v>
      </c>
      <c r="B4">
        <f>'Mass Balance'!E4</f>
        <v>1.4995097420102856E-4</v>
      </c>
      <c r="C4">
        <f>SUM('Mass Balance'!E4:H4)</f>
        <v>1.4995728728922441E-4</v>
      </c>
      <c r="D4">
        <f>Concentrations!F4/Concentrations!E4</f>
        <v>1.0003478763736682</v>
      </c>
    </row>
    <row r="5" spans="1:4">
      <c r="A5">
        <f>'Mass Balance'!I5</f>
        <v>5.5044897150802951E-8</v>
      </c>
      <c r="B5">
        <f>'Mass Balance'!E5</f>
        <v>1.3852659400509184E-4</v>
      </c>
      <c r="C5">
        <f>SUM('Mass Balance'!E5:H5)</f>
        <v>1.4992494891432798E-4</v>
      </c>
      <c r="D5">
        <f>Concentrations!F5/Concentrations!E5</f>
        <v>0.92433326992500098</v>
      </c>
    </row>
    <row r="6" spans="1:4">
      <c r="A6">
        <f>'Mass Balance'!I6</f>
        <v>7.5994276052970073E-8</v>
      </c>
      <c r="B6">
        <f>'Mass Balance'!E6</f>
        <v>1.2405673337318921E-4</v>
      </c>
      <c r="C6">
        <f>SUM('Mass Balance'!E6:H6)</f>
        <v>1.4981050363373151E-4</v>
      </c>
      <c r="D6">
        <f>Concentrations!F6/Concentrations!E6</f>
        <v>0.82841397299118702</v>
      </c>
    </row>
    <row r="7" spans="1:4">
      <c r="A7">
        <f>'Mass Balance'!I7</f>
        <v>1.4278532305190181E-7</v>
      </c>
      <c r="B7">
        <f>'Mass Balance'!E7</f>
        <v>8.1562764029162842E-5</v>
      </c>
      <c r="C7">
        <f>SUM('Mass Balance'!E7:H7)</f>
        <v>1.4867004490424262E-4</v>
      </c>
      <c r="D7">
        <f>Concentrations!F7/Concentrations!E7</f>
        <v>0.54882994694728249</v>
      </c>
    </row>
    <row r="8" spans="1:4">
      <c r="A8">
        <f>'Mass Balance'!I8</f>
        <v>9.1363159894769213E-8</v>
      </c>
      <c r="B8">
        <f>'Mass Balance'!E8</f>
        <v>1.1233761456739996E-4</v>
      </c>
      <c r="C8">
        <f>SUM('Mass Balance'!E8:H8)</f>
        <v>1.4983714100326949E-4</v>
      </c>
      <c r="D8">
        <f>Concentrations!F8/Concentrations!E8</f>
        <v>0.75002382313076299</v>
      </c>
    </row>
    <row r="9" spans="1:4">
      <c r="A9">
        <f>'Mass Balance'!I9</f>
        <v>5.1475718865648395E-8</v>
      </c>
      <c r="B9">
        <f>'Mass Balance'!E9</f>
        <v>1.4104839316902008E-4</v>
      </c>
      <c r="C9">
        <f>SUM('Mass Balance'!E9:H9)</f>
        <v>1.4986592979354891E-4</v>
      </c>
      <c r="D9">
        <f>Concentrations!F9/Concentrations!E9</f>
        <v>0.94153088105625038</v>
      </c>
    </row>
    <row r="10" spans="1:4">
      <c r="A10">
        <f>'Mass Balance'!I10</f>
        <v>1.7364605618825933E-6</v>
      </c>
      <c r="B10">
        <f>'Mass Balance'!E10</f>
        <v>1.0637549449308231E-5</v>
      </c>
      <c r="C10">
        <f>SUM('Mass Balance'!E10:H10)</f>
        <v>1.0053112080775427E-4</v>
      </c>
      <c r="D10">
        <f>Concentrations!F10/Concentrations!E10</f>
        <v>0.10585476341410868</v>
      </c>
    </row>
    <row r="11" spans="1:4">
      <c r="A11">
        <f>'Mass Balance'!I11</f>
        <v>1.4459612910472892E-5</v>
      </c>
      <c r="B11">
        <f>'Mass Balance'!E11</f>
        <v>7.948082240157748E-7</v>
      </c>
      <c r="C11">
        <f>SUM('Mass Balance'!E11:H11)</f>
        <v>1.2585520711254933E-4</v>
      </c>
      <c r="D11">
        <f>Concentrations!F11/Concentrations!E11</f>
        <v>6.317721857793588E-3</v>
      </c>
    </row>
    <row r="12" spans="1:4">
      <c r="A12">
        <f>'Mass Balance'!I12</f>
        <v>3.4509357138024058E-8</v>
      </c>
      <c r="B12">
        <f>'Mass Balance'!E12</f>
        <v>1.4081087789224222E-4</v>
      </c>
      <c r="C12">
        <f>SUM('Mass Balance'!E12:H12)</f>
        <v>1.4081146781298056E-4</v>
      </c>
      <c r="D12">
        <f>Concentrations!F12/Concentrations!E12</f>
        <v>1.000385800963896</v>
      </c>
    </row>
    <row r="13" spans="1:4">
      <c r="A13">
        <f>'Mass Balance'!I13</f>
        <v>1.2949114212071537E-7</v>
      </c>
      <c r="B13">
        <f>'Mass Balance'!E13</f>
        <v>1.1777306897986213E-4</v>
      </c>
      <c r="C13">
        <f>SUM('Mass Balance'!E13:H13)</f>
        <v>1.217247757100658E-4</v>
      </c>
      <c r="D13">
        <f>Concentrations!F13/Concentrations!E13</f>
        <v>0.96791305509794789</v>
      </c>
    </row>
    <row r="14" spans="1:4">
      <c r="A14">
        <f>'Mass Balance'!I14</f>
        <v>4.4133231639133804E-7</v>
      </c>
      <c r="B14">
        <f>'Mass Balance'!E14</f>
        <v>1.2216452340132751E-5</v>
      </c>
      <c r="C14">
        <f>SUM('Mass Balance'!E14:H14)</f>
        <v>1.4910259971104807E-4</v>
      </c>
      <c r="D14">
        <f>Concentrations!F14/Concentrations!E14</f>
        <v>8.1965148045166053E-2</v>
      </c>
    </row>
    <row r="15" spans="1:4">
      <c r="A15">
        <f>'Mass Balance'!I15</f>
        <v>4.3970100229466137E-8</v>
      </c>
      <c r="B15">
        <f>'Mass Balance'!E15</f>
        <v>1.2925912811344388E-4</v>
      </c>
      <c r="C15">
        <f>SUM('Mass Balance'!E15:H15)</f>
        <v>1.2968847199965722E-4</v>
      </c>
      <c r="D15">
        <f>Concentrations!F15/Concentrations!E15</f>
        <v>0.99707812228781301</v>
      </c>
    </row>
    <row r="16" spans="1:4">
      <c r="A16">
        <f>'Mass Balance'!I16</f>
        <v>1.4615649806743942E-7</v>
      </c>
      <c r="B16">
        <f>'Mass Balance'!E16</f>
        <v>1.146405585494053E-4</v>
      </c>
      <c r="C16">
        <f>SUM('Mass Balance'!E16:H16)</f>
        <v>1.193250035151347E-4</v>
      </c>
      <c r="D16">
        <f>Concentrations!F16/Concentrations!E16</f>
        <v>0.96111681605375665</v>
      </c>
    </row>
    <row r="17" spans="1:4">
      <c r="A17">
        <f>'Mass Balance'!I17</f>
        <v>1.3517612059125949E-7</v>
      </c>
      <c r="B17">
        <f>'Mass Balance'!E17</f>
        <v>1.1638344860218516E-4</v>
      </c>
      <c r="C17">
        <f>SUM('Mass Balance'!E17:H17)</f>
        <v>1.2058801362066709E-4</v>
      </c>
      <c r="D17">
        <f>Concentrations!F17/Concentrations!E17</f>
        <v>0.96550920546992725</v>
      </c>
    </row>
    <row r="18" spans="1:4">
      <c r="A18">
        <f>'Mass Balance'!I18</f>
        <v>9.862313366059316E-6</v>
      </c>
      <c r="B18">
        <f>'Mass Balance'!E18</f>
        <v>7.3469440792756362E-7</v>
      </c>
      <c r="C18">
        <f>SUM('Mass Balance'!E18:H18)</f>
        <v>1.0143744540899288E-4</v>
      </c>
      <c r="D18">
        <f>Concentrations!F18/Concentrations!E18</f>
        <v>7.2456569655418778E-3</v>
      </c>
    </row>
    <row r="19" spans="1:4">
      <c r="A19">
        <f>'Mass Balance'!I19</f>
        <v>3.9139932512395637E-8</v>
      </c>
      <c r="B19">
        <f>'Mass Balance'!E19</f>
        <v>1.4327375915381671E-4</v>
      </c>
      <c r="C19">
        <f>SUM('Mass Balance'!E19:H19)</f>
        <v>1.434064607394734E-4</v>
      </c>
      <c r="D19">
        <f>Concentrations!F19/Concentrations!E19</f>
        <v>0.99946427824493811</v>
      </c>
    </row>
    <row r="20" spans="1:4">
      <c r="A20">
        <f>'Mass Balance'!I20</f>
        <v>4.1397450388914835E-8</v>
      </c>
      <c r="B20">
        <f>'Mass Balance'!E20</f>
        <v>1.4003685594093248E-4</v>
      </c>
      <c r="C20">
        <f>SUM('Mass Balance'!E20:H20)</f>
        <v>1.4027646966924598E-4</v>
      </c>
      <c r="D20">
        <f>Concentrations!F20/Concentrations!E20</f>
        <v>0.99868117247035759</v>
      </c>
    </row>
    <row r="21" spans="1:4">
      <c r="A21">
        <f>'Mass Balance'!I21</f>
        <v>3.6511159213710956E-7</v>
      </c>
      <c r="B21">
        <f>'Mass Balance'!E21</f>
        <v>7.2694460106302144E-5</v>
      </c>
      <c r="C21">
        <f>SUM('Mass Balance'!E21:H21)</f>
        <v>1.2888177400456036E-4</v>
      </c>
      <c r="D21">
        <f>Concentrations!F21/Concentrations!E21</f>
        <v>0.5642598492174874</v>
      </c>
    </row>
    <row r="22" spans="1:4">
      <c r="A22">
        <f>'Mass Balance'!I22</f>
        <v>3.5035386493531297E-8</v>
      </c>
      <c r="B22">
        <f>'Mass Balance'!E22</f>
        <v>1.4013355384725589E-4</v>
      </c>
      <c r="C22">
        <f>SUM('Mass Balance'!E22:H22)</f>
        <v>1.4015522604128518E-4</v>
      </c>
      <c r="D22">
        <f>Concentrations!F22/Concentrations!E22</f>
        <v>1.0002353017912216</v>
      </c>
    </row>
    <row r="23" spans="1:4">
      <c r="A23">
        <f>'Mass Balance'!I23</f>
        <v>5.2501096354077307E-8</v>
      </c>
      <c r="B23">
        <f>'Mass Balance'!E23</f>
        <v>1.2751484787429086E-4</v>
      </c>
      <c r="C23">
        <f>SUM('Mass Balance'!E23:H23)</f>
        <v>1.2827891745022219E-4</v>
      </c>
      <c r="D23">
        <f>Concentrations!F23/Concentrations!E23</f>
        <v>0.99443135462023424</v>
      </c>
    </row>
    <row r="24" spans="1:4">
      <c r="A24">
        <f>'Mass Balance'!I24</f>
        <v>2.1641503146661132E-7</v>
      </c>
      <c r="B24">
        <f>'Mass Balance'!E24</f>
        <v>1.0350651912437937E-4</v>
      </c>
      <c r="C24">
        <f>SUM('Mass Balance'!E24:H24)</f>
        <v>1.1133767528957879E-4</v>
      </c>
      <c r="D24">
        <f>Concentrations!F24/Concentrations!E24</f>
        <v>0.93002557825139132</v>
      </c>
    </row>
    <row r="25" spans="1:4">
      <c r="A25">
        <f>'Mass Balance'!I25</f>
        <v>8.8636686360779504E-6</v>
      </c>
      <c r="B25">
        <f>'Mass Balance'!E25</f>
        <v>1.0050570034253021E-6</v>
      </c>
      <c r="C25">
        <f>SUM('Mass Balance'!E25:H25)</f>
        <v>9.9099338940803573E-5</v>
      </c>
      <c r="D25">
        <f>Concentrations!F25/Concentrations!E25</f>
        <v>1.0145869572868196E-2</v>
      </c>
    </row>
    <row r="26" spans="1:4">
      <c r="A26">
        <f>'Mass Balance'!I26</f>
        <v>4.0647139338075246E-7</v>
      </c>
      <c r="B26">
        <f>'Mass Balance'!E26</f>
        <v>5.1394835159724109E-5</v>
      </c>
      <c r="C26">
        <f>SUM('Mass Balance'!E26:H26)</f>
        <v>6.8900092596149411E-5</v>
      </c>
      <c r="D26">
        <f>Concentrations!F26/Concentrations!E26</f>
        <v>0.74622365222951759</v>
      </c>
    </row>
    <row r="27" spans="1:4">
      <c r="A27">
        <f>'Mass Balance'!I27</f>
        <v>1.7054599402201839E-7</v>
      </c>
      <c r="B27">
        <f>'Mass Balance'!E27</f>
        <v>4.4187709003555351E-6</v>
      </c>
      <c r="C27">
        <f>SUM('Mass Balance'!E27:H27)</f>
        <v>1.2690450995013089E-5</v>
      </c>
      <c r="D27">
        <f>Concentrations!F27/Concentrations!E27</f>
        <v>0.34833231597096381</v>
      </c>
    </row>
    <row r="28" spans="1:4">
      <c r="A28">
        <f>'Mass Balance'!I28</f>
        <v>6.9775431140502824E-8</v>
      </c>
      <c r="B28">
        <f>'Mass Balance'!E28</f>
        <v>6.5670411388725777E-6</v>
      </c>
      <c r="C28">
        <f>SUM('Mass Balance'!E28:H28)</f>
        <v>9.650026244167244E-6</v>
      </c>
      <c r="D28">
        <f>Concentrations!F28/Concentrations!E28</f>
        <v>0.68078594465769404</v>
      </c>
    </row>
    <row r="29" spans="1:4">
      <c r="A29">
        <f>'Mass Balance'!I29</f>
        <v>3.4943372176832803E-9</v>
      </c>
      <c r="B29">
        <f>'Mass Balance'!E29</f>
        <v>1.1310028206817727E-5</v>
      </c>
      <c r="C29">
        <f>SUM('Mass Balance'!E29:H29)</f>
        <v>1.1334768487194789E-5</v>
      </c>
      <c r="D29">
        <f>Concentrations!F29/Concentrations!E29</f>
        <v>0.99820645128398888</v>
      </c>
    </row>
    <row r="30" spans="1:4">
      <c r="A30">
        <f>'Mass Balance'!I30</f>
        <v>2.4331480841095629E-8</v>
      </c>
      <c r="B30">
        <f>'Mass Balance'!E30</f>
        <v>2.4519727714301822E-6</v>
      </c>
      <c r="C30">
        <f>SUM('Mass Balance'!E30:H30)</f>
        <v>3.5209189238606615E-6</v>
      </c>
      <c r="D30">
        <f>Concentrations!F30/Concentrations!E30</f>
        <v>0.69667296359957631</v>
      </c>
    </row>
    <row r="31" spans="1:4">
      <c r="A31">
        <f>'Mass Balance'!I31</f>
        <v>4.0990074232376902E-10</v>
      </c>
      <c r="B31">
        <f>'Mass Balance'!E31</f>
        <v>8.6740701193232895E-8</v>
      </c>
      <c r="C31">
        <f>SUM('Mass Balance'!E31:H31)</f>
        <v>1.0349068269730199E-7</v>
      </c>
      <c r="D31">
        <f>Concentrations!F31/Concentrations!E31</f>
        <v>0.83847673156790337</v>
      </c>
    </row>
    <row r="32" spans="1:4">
      <c r="A32">
        <f>'Mass Balance'!I32</f>
        <v>1.131400424058111E-7</v>
      </c>
      <c r="B32">
        <f>'Mass Balance'!E32</f>
        <v>1.2066981362827846E-4</v>
      </c>
      <c r="C32">
        <f>SUM('Mass Balance'!E32:H32)</f>
        <v>1.239137841848588E-4</v>
      </c>
      <c r="D32">
        <f>Concentrations!F32/Concentrations!E32</f>
        <v>0.97420052731428097</v>
      </c>
    </row>
    <row r="33" spans="1:4">
      <c r="A33">
        <f>'Mass Balance'!I33</f>
        <v>6.8980642877912049E-8</v>
      </c>
      <c r="B33">
        <f>'Mass Balance'!E33</f>
        <v>1.3172284648106856E-4</v>
      </c>
      <c r="C33">
        <f>SUM('Mass Balance'!E33:H33)</f>
        <v>1.3307878339131226E-4</v>
      </c>
      <c r="D33">
        <f>Concentrations!F33/Concentrations!E33</f>
        <v>0.99019703955724414</v>
      </c>
    </row>
    <row r="34" spans="1:4">
      <c r="A34">
        <f>'Mass Balance'!I34</f>
        <v>5.0459671525578473E-7</v>
      </c>
      <c r="B34">
        <f>'Mass Balance'!E34</f>
        <v>7.3051231695560269E-5</v>
      </c>
      <c r="C34">
        <f>SUM('Mass Balance'!E34:H34)</f>
        <v>9.4508388697065037E-5</v>
      </c>
      <c r="D34">
        <f>Concentrations!F34/Concentrations!E34</f>
        <v>0.7732617400586479</v>
      </c>
    </row>
    <row r="35" spans="1:4">
      <c r="A35">
        <f>'Mass Balance'!I35</f>
        <v>1.3740661771535488E-6</v>
      </c>
      <c r="B35">
        <f>'Mass Balance'!E35</f>
        <v>1.773359548552024E-5</v>
      </c>
      <c r="C35">
        <f>SUM('Mass Balance'!E35:H35)</f>
        <v>8.7419572871313956E-5</v>
      </c>
      <c r="D35">
        <f>Concentrations!F35/Concentrations!E35</f>
        <v>0.20293523365319432</v>
      </c>
    </row>
    <row r="36" spans="1:4">
      <c r="A36">
        <f>'Mass Balance'!I36</f>
        <v>3.7245701945777256E-6</v>
      </c>
      <c r="B36">
        <f>'Mass Balance'!E36</f>
        <v>4.7827468113242752E-6</v>
      </c>
      <c r="C36">
        <f>SUM('Mass Balance'!E36:H36)</f>
        <v>9.4610362656139145E-5</v>
      </c>
      <c r="D36">
        <f>Concentrations!F36/Concentrations!E36</f>
        <v>5.0571754617127325E-2</v>
      </c>
    </row>
    <row r="37" spans="1:4">
      <c r="A37">
        <f>'Mass Balance'!I37</f>
        <v>9.4538886190607718E-6</v>
      </c>
      <c r="B37">
        <f>'Mass Balance'!E37</f>
        <v>7.9144195280031621E-7</v>
      </c>
      <c r="C37">
        <f>SUM('Mass Balance'!E37:H37)</f>
        <v>9.9367787182181403E-5</v>
      </c>
      <c r="D37">
        <f>Concentrations!F37/Concentrations!E37</f>
        <v>7.9678800475457261E-3</v>
      </c>
    </row>
    <row r="38" spans="1:4">
      <c r="A38">
        <f>'Mass Balance'!I38</f>
        <v>5.5716376830928481E-6</v>
      </c>
      <c r="B38">
        <f>'Mass Balance'!E38</f>
        <v>2.6851035510097148E-6</v>
      </c>
      <c r="C38">
        <f>SUM('Mass Balance'!E38:H38)</f>
        <v>9.4456413010716628E-5</v>
      </c>
      <c r="D38">
        <f>Concentrations!F38/Concentrations!E38</f>
        <v>2.8437992026032612E-2</v>
      </c>
    </row>
    <row r="39" spans="1:4">
      <c r="A39">
        <f>'Mass Balance'!I39</f>
        <v>3.6630638966174256E-6</v>
      </c>
      <c r="B39">
        <f>'Mass Balance'!E39</f>
        <v>3.5550758461537313E-6</v>
      </c>
      <c r="C39">
        <f>SUM('Mass Balance'!E39:H39)</f>
        <v>8.2083958737653605E-5</v>
      </c>
      <c r="D39">
        <f>Concentrations!F39/Concentrations!E39</f>
        <v>4.3327129345484813E-2</v>
      </c>
    </row>
    <row r="40" spans="1:4">
      <c r="A40">
        <f>'Mass Balance'!I40</f>
        <v>5.5716376830928481E-6</v>
      </c>
      <c r="B40">
        <f>'Mass Balance'!E40</f>
        <v>2.6851035510097148E-6</v>
      </c>
      <c r="C40">
        <f>SUM('Mass Balance'!E40:H40)</f>
        <v>9.4456413010716628E-5</v>
      </c>
      <c r="D40">
        <f>Concentrations!F40/Concentrations!E40</f>
        <v>2.8437992026032612E-2</v>
      </c>
    </row>
    <row r="41" spans="1:4">
      <c r="A41">
        <f>'Mass Balance'!I41</f>
        <v>3.8135001496255078E-8</v>
      </c>
      <c r="B41">
        <f>'Mass Balance'!E41</f>
        <v>1.4924005952606547E-4</v>
      </c>
      <c r="C41">
        <f>SUM('Mass Balance'!E41:H41)</f>
        <v>1.499500022300573E-4</v>
      </c>
      <c r="D41">
        <f>Concentrations!F41/Concentrations!E41</f>
        <v>0.99565361613967029</v>
      </c>
    </row>
    <row r="42" spans="1:4">
      <c r="A42">
        <f>'Mass Balance'!I42</f>
        <v>9.6613830171397054E-6</v>
      </c>
      <c r="B42">
        <f>'Mass Balance'!E42</f>
        <v>7.1972607359718131E-7</v>
      </c>
      <c r="C42">
        <f>SUM('Mass Balance'!E42:H42)</f>
        <v>9.9370804394554389E-5</v>
      </c>
      <c r="D42">
        <f>Concentrations!F42/Concentrations!E42</f>
        <v>7.2456569655418761E-3</v>
      </c>
    </row>
    <row r="43" spans="1:4">
      <c r="A43">
        <f>'Mass Balance'!I43</f>
        <v>2.3883734504964602E-7</v>
      </c>
      <c r="B43">
        <f>'Mass Balance'!E43</f>
        <v>1.0084878944062564E-4</v>
      </c>
      <c r="C43">
        <f>SUM('Mass Balance'!E43:H43)</f>
        <v>1.0969504925050791E-4</v>
      </c>
      <c r="D43">
        <f>Concentrations!F43/Concentrations!E43</f>
        <v>0.91971442972599593</v>
      </c>
    </row>
    <row r="44" spans="1:4">
      <c r="A44">
        <f>'Mass Balance'!I44</f>
        <v>2.6332313314402457E-6</v>
      </c>
      <c r="B44">
        <f>'Mass Balance'!E44</f>
        <v>7.1331753303897807E-6</v>
      </c>
      <c r="C44">
        <f>SUM('Mass Balance'!E44:H44)</f>
        <v>9.6775698089800004E-5</v>
      </c>
      <c r="D44">
        <f>Concentrations!F44/Concentrations!E44</f>
        <v>7.3737078138436121E-2</v>
      </c>
    </row>
    <row r="45" spans="1:4">
      <c r="A45">
        <f>'Mass Balance'!I45</f>
        <v>1.1987009749137647E-5</v>
      </c>
      <c r="B45">
        <f>'Mass Balance'!E45</f>
        <v>3.4296546366480594E-7</v>
      </c>
      <c r="C45">
        <f>SUM('Mass Balance'!E45:H45)</f>
        <v>1.0717639881740158E-4</v>
      </c>
      <c r="D45">
        <f>Concentrations!F45/Concentrations!E45</f>
        <v>3.2012571914110171E-3</v>
      </c>
    </row>
    <row r="46" spans="1:4">
      <c r="A46">
        <f>'Mass Balance'!I46</f>
        <v>1.018614178768108E-5</v>
      </c>
      <c r="B46">
        <f>'Mass Balance'!E46</f>
        <v>6.5966067554522979E-7</v>
      </c>
      <c r="C46">
        <f>SUM('Mass Balance'!E46:H46)</f>
        <v>1.0222483012650175E-4</v>
      </c>
      <c r="D46">
        <f>Concentrations!F46/Concentrations!E46</f>
        <v>6.4555542634555912E-3</v>
      </c>
    </row>
    <row r="47" spans="1:4">
      <c r="A47">
        <f>'Mass Balance'!I47</f>
        <v>7.7638516774357987E-6</v>
      </c>
      <c r="B47">
        <f>'Mass Balance'!E47</f>
        <v>1.4040146371146379E-6</v>
      </c>
      <c r="C47">
        <f>SUM('Mass Balance'!E47:H47)</f>
        <v>9.7029189155070793E-5</v>
      </c>
      <c r="D47">
        <f>Concentrations!F47/Concentrations!E47</f>
        <v>1.4475666589305138E-2</v>
      </c>
    </row>
    <row r="48" spans="1:4">
      <c r="A48">
        <f>'Mass Balance'!I48</f>
        <v>1.0021180370615257E-6</v>
      </c>
      <c r="B48">
        <f>'Mass Balance'!E48</f>
        <v>3.9389193342137885E-5</v>
      </c>
      <c r="C48">
        <f>SUM('Mass Balance'!E48:H48)</f>
        <v>8.6652108199913056E-5</v>
      </c>
      <c r="D48">
        <f>Concentrations!F48/Concentrations!E48</f>
        <v>0.45474432916135366</v>
      </c>
    </row>
    <row r="49" spans="1:4">
      <c r="A49">
        <f>'Mass Balance'!I49</f>
        <v>2.8197483788838092E-6</v>
      </c>
      <c r="B49">
        <f>'Mass Balance'!E49</f>
        <v>6.6409111103139376E-6</v>
      </c>
      <c r="C49">
        <f>SUM('Mass Balance'!E49:H49)</f>
        <v>9.6345028183898032E-5</v>
      </c>
      <c r="D49">
        <f>Concentrations!F49/Concentrations!E49</f>
        <v>6.8955307170267294E-2</v>
      </c>
    </row>
    <row r="50" spans="1:4">
      <c r="A50">
        <f>'Mass Balance'!I50</f>
        <v>3.1477094679823275E-6</v>
      </c>
      <c r="B50">
        <f>'Mass Balance'!E50</f>
        <v>5.8709275396137635E-6</v>
      </c>
      <c r="C50">
        <f>SUM('Mass Balance'!E50:H50)</f>
        <v>9.5592287339673325E-5</v>
      </c>
      <c r="D50">
        <f>Concentrations!F50/Concentrations!E50</f>
        <v>6.1440282663387712E-2</v>
      </c>
    </row>
    <row r="51" spans="1:4">
      <c r="A51">
        <f>'Mass Balance'!I51</f>
        <v>1.2080188904964912E-6</v>
      </c>
      <c r="B51">
        <f>'Mass Balance'!E51</f>
        <v>2.9195383221416407E-5</v>
      </c>
      <c r="C51">
        <f>SUM('Mass Balance'!E51:H51)</f>
        <v>8.8053201942327056E-5</v>
      </c>
      <c r="D51">
        <f>Concentrations!F51/Concentrations!E51</f>
        <v>0.33169457264537172</v>
      </c>
    </row>
    <row r="52" spans="1:4">
      <c r="A52">
        <f>'Mass Balance'!I52</f>
        <v>1.0214907093337942E-6</v>
      </c>
      <c r="B52">
        <f>'Mass Balance'!E52</f>
        <v>3.833653610582276E-5</v>
      </c>
      <c r="C52">
        <f>SUM('Mass Balance'!E52:H52)</f>
        <v>8.6666231492556772E-5</v>
      </c>
      <c r="D52">
        <f>Concentrations!F52/Concentrations!E52</f>
        <v>0.4425193802597488</v>
      </c>
    </row>
    <row r="53" spans="1:4">
      <c r="A53">
        <f>'Mass Balance'!I53</f>
        <v>4.3387285012227947E-6</v>
      </c>
      <c r="B53">
        <f>'Mass Balance'!E53</f>
        <v>3.9261436299742431E-6</v>
      </c>
      <c r="C53">
        <f>SUM('Mass Balance'!E53:H53)</f>
        <v>9.4337511526111753E-5</v>
      </c>
      <c r="D53">
        <f>Concentrations!F53/Concentrations!E53</f>
        <v>4.1634284508650317E-2</v>
      </c>
    </row>
    <row r="54" spans="1:4">
      <c r="A54">
        <f>'Mass Balance'!I54</f>
        <v>2.9810789670135239E-6</v>
      </c>
      <c r="B54">
        <f>'Mass Balance'!E54</f>
        <v>6.2479816783764765E-6</v>
      </c>
      <c r="C54">
        <f>SUM('Mass Balance'!E54:H54)</f>
        <v>9.5972315320277547E-5</v>
      </c>
      <c r="D54">
        <f>Concentrations!F54/Concentrations!E54</f>
        <v>6.512730593821664E-2</v>
      </c>
    </row>
    <row r="55" spans="1:4">
      <c r="A55">
        <f>'Mass Balance'!I55</f>
        <v>7.6435887122505114E-6</v>
      </c>
      <c r="B55">
        <f>'Mass Balance'!E55</f>
        <v>1.4483153870621686E-6</v>
      </c>
      <c r="C55">
        <f>SUM('Mass Balance'!E55:H55)</f>
        <v>9.6707454953126463E-5</v>
      </c>
      <c r="D55">
        <f>Concentrations!F55/Concentrations!E55</f>
        <v>1.4982094392090278E-2</v>
      </c>
    </row>
    <row r="56" spans="1:4">
      <c r="A56">
        <f>'Mass Balance'!I56</f>
        <v>2.6950429440171299E-6</v>
      </c>
      <c r="B56">
        <f>'Mass Balance'!E56</f>
        <v>6.9678906035242165E-6</v>
      </c>
      <c r="C56">
        <f>SUM('Mass Balance'!E56:H56)</f>
        <v>9.6652638513977486E-5</v>
      </c>
      <c r="D56">
        <f>Concentrations!F56/Concentrations!E56</f>
        <v>7.2120204192343523E-2</v>
      </c>
    </row>
    <row r="57" spans="1:4">
      <c r="A57">
        <f>'Mass Balance'!I57</f>
        <v>9.0621787078656763E-7</v>
      </c>
      <c r="B57">
        <f>'Mass Balance'!E57</f>
        <v>4.3846168235899048E-5</v>
      </c>
      <c r="C57">
        <f>SUM('Mass Balance'!E57:H57)</f>
        <v>8.5969733485204936E-5</v>
      </c>
      <c r="D57">
        <f>Concentrations!F57/Concentrations!E57</f>
        <v>0.51021756278682506</v>
      </c>
    </row>
    <row r="58" spans="1:4">
      <c r="A58">
        <f>'Mass Balance'!I58</f>
        <v>3.0141360479699934E-6</v>
      </c>
      <c r="B58">
        <f>'Mass Balance'!E58</f>
        <v>6.1716106626139348E-6</v>
      </c>
      <c r="C58">
        <f>SUM('Mass Balance'!E58:H58)</f>
        <v>9.590160079596341E-5</v>
      </c>
      <c r="D58">
        <f>Concentrations!F58/Concentrations!E58</f>
        <v>6.4378670328433418E-2</v>
      </c>
    </row>
    <row r="59" spans="1:4">
      <c r="A59">
        <f>'Mass Balance'!I59</f>
        <v>1.0219667671842353E-6</v>
      </c>
      <c r="B59">
        <f>'Mass Balance'!E59</f>
        <v>3.8354402552188956E-5</v>
      </c>
      <c r="C59">
        <f>SUM('Mass Balance'!E59:H59)</f>
        <v>8.6706621619939381E-5</v>
      </c>
      <c r="D59">
        <f>Concentrations!F59/Concentrations!E59</f>
        <v>0.4425193802597488</v>
      </c>
    </row>
    <row r="60" spans="1:4">
      <c r="A60">
        <f>'Mass Balance'!I60</f>
        <v>3.9584198502684111E-6</v>
      </c>
      <c r="B60">
        <f>'Mass Balance'!E60</f>
        <v>4.4190193068664502E-6</v>
      </c>
      <c r="C60">
        <f>SUM('Mass Balance'!E60:H60)</f>
        <v>9.4351393771179677E-5</v>
      </c>
      <c r="D60">
        <f>Concentrations!F60/Concentrations!E60</f>
        <v>4.6854026342393627E-2</v>
      </c>
    </row>
    <row r="61" spans="1:4">
      <c r="A61">
        <f>'Mass Balance'!I61</f>
        <v>2.3500411163443138E-6</v>
      </c>
      <c r="B61">
        <f>'Mass Balance'!E61</f>
        <v>9.9476831636917935E-5</v>
      </c>
      <c r="C61">
        <f>SUM('Mass Balance'!E61:H61)</f>
        <v>1.1810571748068711E-4</v>
      </c>
      <c r="D61">
        <f>Concentrations!F61/Concentrations!E61</f>
        <v>0.8425978769837803</v>
      </c>
    </row>
    <row r="62" spans="1:4">
      <c r="A62">
        <f>'Mass Balance'!I62</f>
        <v>4.7671474920130586E-7</v>
      </c>
      <c r="B62">
        <f>'Mass Balance'!E62</f>
        <v>7.5505367070304006E-5</v>
      </c>
      <c r="C62">
        <f>SUM('Mass Balance'!E62:H62)</f>
        <v>9.5598941326233949E-5</v>
      </c>
      <c r="D62">
        <f>Concentrations!F62/Concentrations!E62</f>
        <v>0.79012186237772708</v>
      </c>
    </row>
    <row r="63" spans="1:4">
      <c r="A63">
        <f>'Mass Balance'!I63</f>
        <v>2.0559066853798873E-7</v>
      </c>
      <c r="B63">
        <f>'Mass Balance'!E63</f>
        <v>1.4655088609515733E-4</v>
      </c>
      <c r="C63">
        <f>SUM('Mass Balance'!E63:H63)</f>
        <v>1.47122686001291E-4</v>
      </c>
      <c r="D63">
        <f>Concentrations!F63/Concentrations!E63</f>
        <v>0.99650192474120614</v>
      </c>
    </row>
    <row r="64" spans="1:4">
      <c r="A64">
        <f>'Mass Balance'!I64</f>
        <v>3.7313580982713594E-8</v>
      </c>
      <c r="B64">
        <f>'Mass Balance'!E64</f>
        <v>1.4949861123478999E-4</v>
      </c>
      <c r="C64">
        <f>SUM('Mass Balance'!E64:H64)</f>
        <v>1.4968515925978091E-4</v>
      </c>
      <c r="D64">
        <f>Concentrations!F64/Concentrations!E64</f>
        <v>0.99914323665702387</v>
      </c>
    </row>
    <row r="65" spans="1:4">
      <c r="A65">
        <f>'Mass Balance'!I65</f>
        <v>5.1250435767368508E-8</v>
      </c>
      <c r="B65">
        <f>'Mass Balance'!E65</f>
        <v>1.498013252045474E-4</v>
      </c>
      <c r="C65">
        <f>SUM('Mass Balance'!E65:H65)</f>
        <v>1.4982627777753959E-4</v>
      </c>
      <c r="D65">
        <f>Concentrations!F65/Concentrations!E65</f>
        <v>1.0002233837153989</v>
      </c>
    </row>
    <row r="66" spans="1:4">
      <c r="A66">
        <f>'Mass Balance'!I66</f>
        <v>1.7026583770818519E-6</v>
      </c>
      <c r="B66">
        <f>'Mass Balance'!E66</f>
        <v>1.4313967330054092E-4</v>
      </c>
      <c r="C66">
        <f>SUM('Mass Balance'!E66:H66)</f>
        <v>1.4694779012752667E-4</v>
      </c>
      <c r="D66">
        <f>Concentrations!F66/Concentrations!E66</f>
        <v>0.97446512471319258</v>
      </c>
    </row>
    <row r="67" spans="1:4">
      <c r="A67">
        <f>'Mass Balance'!I67</f>
        <v>4.877498663335182E-8</v>
      </c>
      <c r="B67">
        <f>'Mass Balance'!E67</f>
        <v>1.4979227688239382E-4</v>
      </c>
      <c r="C67">
        <f>SUM('Mass Balance'!E67:H67)</f>
        <v>1.498135214817902E-4</v>
      </c>
      <c r="D67">
        <f>Concentrations!F67/Concentrations!E67</f>
        <v>1.0002481297752626</v>
      </c>
    </row>
    <row r="68" spans="1:4">
      <c r="A68">
        <f>'Mass Balance'!I68</f>
        <v>3.8302376715843467E-8</v>
      </c>
      <c r="B68">
        <f>'Mass Balance'!E68</f>
        <v>1.4990353484290871E-4</v>
      </c>
      <c r="C68">
        <f>SUM('Mass Balance'!E68:H68)</f>
        <v>1.499061128929178E-4</v>
      </c>
      <c r="D68">
        <f>Concentrations!F68/Concentrations!E68</f>
        <v>1.0003727875631205</v>
      </c>
    </row>
    <row r="69" spans="1:4">
      <c r="A69">
        <f>'Mass Balance'!I69</f>
        <v>2.3946081962246065E-6</v>
      </c>
      <c r="B69">
        <f>'Mass Balance'!E69</f>
        <v>7.8721409827602682E-6</v>
      </c>
      <c r="C69">
        <f>SUM('Mass Balance'!E69:H69)</f>
        <v>9.7592566428633594E-5</v>
      </c>
      <c r="D69">
        <f>Concentrations!F69/Concentrations!E69</f>
        <v>8.0694783867548553E-2</v>
      </c>
    </row>
    <row r="70" spans="1:4">
      <c r="A70">
        <f>'Mass Balance'!I70</f>
        <v>3.7668335337717086E-8</v>
      </c>
      <c r="B70">
        <f>'Mass Balance'!E70</f>
        <v>1.4949383452844269E-4</v>
      </c>
      <c r="C70">
        <f>SUM('Mass Balance'!E70:H70)</f>
        <v>1.4995864842582814E-4</v>
      </c>
      <c r="D70">
        <f>Concentrations!F70/Concentrations!E70</f>
        <v>0.99728916940116075</v>
      </c>
    </row>
    <row r="71" spans="1:4">
      <c r="A71">
        <f>'Mass Balance'!I71</f>
        <v>3.8449182392421068E-8</v>
      </c>
      <c r="B71">
        <f>'Mass Balance'!E71</f>
        <v>1.4906840615039994E-4</v>
      </c>
      <c r="C71">
        <f>SUM('Mass Balance'!E71:H71)</f>
        <v>1.4995637887314726E-4</v>
      </c>
      <c r="D71">
        <f>Concentrations!F71/Concentrations!E71</f>
        <v>0.99446614250097487</v>
      </c>
    </row>
    <row r="72" spans="1:4">
      <c r="A72">
        <f>'Mass Balance'!I72</f>
        <v>1.7522046337098923E-6</v>
      </c>
      <c r="B72">
        <f>'Mass Balance'!E72</f>
        <v>5.5972827273863439E-6</v>
      </c>
      <c r="C72">
        <f>SUM('Mass Balance'!E72:H72)</f>
        <v>1.4819455094132548E-4</v>
      </c>
      <c r="D72">
        <f>Concentrations!F72/Concentrations!E72</f>
        <v>3.7784558119696526E-2</v>
      </c>
    </row>
    <row r="73" spans="1:4">
      <c r="A73">
        <f>'Mass Balance'!I73</f>
        <v>1.7124114595619584E-7</v>
      </c>
      <c r="B73">
        <f>'Mass Balance'!E73</f>
        <v>4.0930395704312785E-5</v>
      </c>
      <c r="C73">
        <f>SUM('Mass Balance'!E73:H73)</f>
        <v>1.4979472400742977E-4</v>
      </c>
      <c r="D73">
        <f>Concentrations!F73/Concentrations!E73</f>
        <v>0.27334980256430969</v>
      </c>
    </row>
    <row r="74" spans="1:4">
      <c r="A74">
        <f>'Mass Balance'!I74</f>
        <v>3.8296768924462943E-8</v>
      </c>
      <c r="B74">
        <f>'Mass Balance'!E74</f>
        <v>1.4915290005019439E-4</v>
      </c>
      <c r="C74">
        <f>SUM('Mass Balance'!E74:H74)</f>
        <v>1.4995680720130609E-4</v>
      </c>
      <c r="D74">
        <f>Concentrations!F74/Concentrations!E74</f>
        <v>0.99502697662021289</v>
      </c>
    </row>
    <row r="75" spans="1:4">
      <c r="A75">
        <f>'Mass Balance'!I75</f>
        <v>1.6629971772603694E-7</v>
      </c>
      <c r="B75">
        <f>'Mass Balance'!E75</f>
        <v>4.6339283771877237E-5</v>
      </c>
      <c r="C75">
        <f>SUM('Mass Balance'!E75:H75)</f>
        <v>1.497985268558485E-4</v>
      </c>
      <c r="D75">
        <f>Concentrations!F75/Concentrations!E75</f>
        <v>0.30946469699293006</v>
      </c>
    </row>
    <row r="76" spans="1:4">
      <c r="A76">
        <f>'Mass Balance'!I76</f>
        <v>6.2292708220793154E-8</v>
      </c>
      <c r="B76">
        <f>'Mass Balance'!E76</f>
        <v>1.3352358213226638E-4</v>
      </c>
      <c r="C76">
        <f>SUM('Mass Balance'!E76:H76)</f>
        <v>1.4991528628257342E-4</v>
      </c>
      <c r="D76">
        <f>Concentrations!F76/Concentrations!E76</f>
        <v>0.89100757219607429</v>
      </c>
    </row>
    <row r="77" spans="1:4">
      <c r="A77">
        <f>'Mass Balance'!I77</f>
        <v>1.6989824326205329E-7</v>
      </c>
      <c r="B77">
        <f>'Mass Balance'!E77</f>
        <v>4.2435067221011488E-5</v>
      </c>
      <c r="C77">
        <f>SUM('Mass Balance'!E77:H77)</f>
        <v>1.4979561452135951E-4</v>
      </c>
      <c r="D77">
        <f>Concentrations!F77/Concentrations!E77</f>
        <v>0.28339692516937948</v>
      </c>
    </row>
    <row r="78" spans="1:4">
      <c r="A78">
        <f>'Mass Balance'!I78</f>
        <v>1.4654884900476115E-6</v>
      </c>
      <c r="B78">
        <f>'Mass Balance'!E78</f>
        <v>6.1970261292615269E-6</v>
      </c>
      <c r="C78">
        <f>SUM('Mass Balance'!E78:H78)</f>
        <v>1.4848409586857029E-4</v>
      </c>
      <c r="D78">
        <f>Concentrations!F78/Concentrations!E78</f>
        <v>4.1751561901800523E-2</v>
      </c>
    </row>
    <row r="79" spans="1:4">
      <c r="A79">
        <f>'Mass Balance'!I79</f>
        <v>1.4654875904686418E-6</v>
      </c>
      <c r="B79">
        <f>'Mass Balance'!E79</f>
        <v>6.1970268942067722E-6</v>
      </c>
      <c r="C79">
        <f>SUM('Mass Balance'!E79:H79)</f>
        <v>1.484841055110364E-4</v>
      </c>
      <c r="D79">
        <f>Concentrations!F79/Concentrations!E79</f>
        <v>4.175156434418683E-2</v>
      </c>
    </row>
    <row r="80" spans="1:4">
      <c r="A80">
        <f>'Mass Balance'!I80</f>
        <v>1.0668760931978278E-7</v>
      </c>
      <c r="B80">
        <f>'Mass Balance'!E80</f>
        <v>1.0003958935493014E-4</v>
      </c>
      <c r="C80">
        <f>SUM('Mass Balance'!E80:H80)</f>
        <v>1.4985857168459298E-4</v>
      </c>
      <c r="D80">
        <f>Concentrations!F80/Concentrations!E80</f>
        <v>0.66782035136800788</v>
      </c>
    </row>
    <row r="81" spans="1:4">
      <c r="A81">
        <f>'Mass Balance'!I81</f>
        <v>4.2943038869017795E-8</v>
      </c>
      <c r="B81">
        <f>'Mass Balance'!E81</f>
        <v>1.4640872215361918E-4</v>
      </c>
      <c r="C81">
        <f>SUM('Mass Balance'!E81:H81)</f>
        <v>1.4994655241629029E-4</v>
      </c>
      <c r="D81">
        <f>Concentrations!F81/Concentrations!E81</f>
        <v>0.9767868485726352</v>
      </c>
    </row>
    <row r="82" spans="1:4">
      <c r="A82">
        <f>'Mass Balance'!I82</f>
        <v>5.1501857713518093E-8</v>
      </c>
      <c r="B82">
        <f>'Mass Balance'!E82</f>
        <v>1.4090294475971153E-4</v>
      </c>
      <c r="C82">
        <f>SUM('Mass Balance'!E82:H82)</f>
        <v>1.499316951484569E-4</v>
      </c>
      <c r="D82">
        <f>Concentrations!F82/Concentrations!E82</f>
        <v>0.94014741610326824</v>
      </c>
    </row>
    <row r="83" spans="1:4">
      <c r="A83">
        <f>'Mass Balance'!I83</f>
        <v>2.8530676612726694E-6</v>
      </c>
      <c r="B83">
        <f>'Mass Balance'!E83</f>
        <v>4.2131910752647728E-6</v>
      </c>
      <c r="C83">
        <f>SUM('Mass Balance'!E83:H83)</f>
        <v>1.4708531705734119E-4</v>
      </c>
      <c r="D83">
        <f>Concentrations!F83/Concentrations!E83</f>
        <v>2.8655709968526486E-2</v>
      </c>
    </row>
    <row r="84" spans="1:4">
      <c r="A84">
        <f>'Mass Balance'!I84</f>
        <v>3.1258741285448711E-7</v>
      </c>
      <c r="B84">
        <f>'Mass Balance'!E84</f>
        <v>9.1877177981737124E-5</v>
      </c>
      <c r="C84">
        <f>SUM('Mass Balance'!E84:H84)</f>
        <v>1.0413260949069194E-4</v>
      </c>
      <c r="D84">
        <f>Concentrations!F84/Concentrations!E84</f>
        <v>0.88265347232576219</v>
      </c>
    </row>
    <row r="85" spans="1:4">
      <c r="A85">
        <f>'Mass Balance'!I85</f>
        <v>6.1328800716391012E-5</v>
      </c>
      <c r="B85">
        <f>'Mass Balance'!E85</f>
        <v>3.1918496336013598E-5</v>
      </c>
      <c r="C85">
        <f>SUM('Mass Balance'!E85:H85)</f>
        <v>8.4522526251848957E-5</v>
      </c>
      <c r="D85">
        <f>Concentrations!F85/Concentrations!E85</f>
        <v>0.37778028782758005</v>
      </c>
    </row>
    <row r="86" spans="1:4">
      <c r="A86">
        <f>'Mass Balance'!I86</f>
        <v>1.1491700696437752E-5</v>
      </c>
      <c r="B86">
        <f>'Mass Balance'!E86</f>
        <v>4.1522920865533682E-7</v>
      </c>
      <c r="C86">
        <f>SUM('Mass Balance'!E86:H86)</f>
        <v>1.0572416275058136E-4</v>
      </c>
      <c r="D86">
        <f>Concentrations!F86/Concentrations!E86</f>
        <v>3.9290086006088312E-3</v>
      </c>
    </row>
    <row r="87" spans="1:4">
      <c r="A87">
        <f>'Mass Balance'!I87</f>
        <v>1.3794759523078837E-5</v>
      </c>
      <c r="B87">
        <f>'Mass Balance'!E87</f>
        <v>1.5158467478387171E-7</v>
      </c>
      <c r="C87">
        <f>SUM('Mass Balance'!E87:H87)</f>
        <v>1.1295439762080498E-4</v>
      </c>
      <c r="D87">
        <f>Concentrations!F87/Concentrations!E87</f>
        <v>1.3425222460896713E-3</v>
      </c>
    </row>
    <row r="88" spans="1:4">
      <c r="A88">
        <f>'Mass Balance'!I88</f>
        <v>1.5692777604843548E-5</v>
      </c>
      <c r="B88">
        <f>'Mass Balance'!E88</f>
        <v>4.4535644398632368E-8</v>
      </c>
      <c r="C88">
        <f>SUM('Mass Balance'!E88:H88)</f>
        <v>1.1976181061482142E-4</v>
      </c>
      <c r="D88">
        <f>Concentrations!F88/Concentrations!E88</f>
        <v>3.7201352181030864E-4</v>
      </c>
    </row>
    <row r="89" spans="1:4">
      <c r="A89">
        <f>'Mass Balance'!I89</f>
        <v>1.2976603369997184E-4</v>
      </c>
      <c r="B89">
        <f>'Mass Balance'!E89</f>
        <v>4.2795921455178435E-7</v>
      </c>
      <c r="C89">
        <f>SUM('Mass Balance'!E89:H89)</f>
        <v>1.7978231721468378E-5</v>
      </c>
      <c r="D89">
        <f>Concentrations!F89/Concentrations!E89</f>
        <v>2.3813583108137883E-2</v>
      </c>
    </row>
    <row r="90" spans="1:4">
      <c r="A90">
        <f>'Mass Balance'!I90</f>
        <v>3.6887266589142977E-8</v>
      </c>
      <c r="B90">
        <f>'Mass Balance'!E90</f>
        <v>1.4833543362224869E-4</v>
      </c>
      <c r="C90">
        <f>SUM('Mass Balance'!E90:H90)</f>
        <v>1.4835401966653938E-4</v>
      </c>
      <c r="D90">
        <f>Concentrations!F90/Concentrations!E90</f>
        <v>1.0002646614722241</v>
      </c>
    </row>
    <row r="91" spans="1:4">
      <c r="A91">
        <f>'Mass Balance'!I91</f>
        <v>6.7531195262515909E-8</v>
      </c>
      <c r="B91">
        <f>'Mass Balance'!E91</f>
        <v>1.3216368151011944E-4</v>
      </c>
      <c r="C91">
        <f>SUM('Mass Balance'!E91:H91)</f>
        <v>1.3345883494107907E-4</v>
      </c>
      <c r="D91">
        <f>Concentrations!F91/Concentrations!E91</f>
        <v>0.99068169111119375</v>
      </c>
    </row>
    <row r="92" spans="1:4">
      <c r="A92">
        <f>'Mass Balance'!I92</f>
        <v>6.4299285989011417E-7</v>
      </c>
      <c r="B92">
        <f>'Mass Balance'!E92</f>
        <v>6.1911616917736741E-5</v>
      </c>
      <c r="C92">
        <f>SUM('Mass Balance'!E92:H92)</f>
        <v>9.0268149368022329E-5</v>
      </c>
      <c r="D92">
        <f>Concentrations!F92/Concentrations!E92</f>
        <v>0.68613084890735798</v>
      </c>
    </row>
    <row r="93" spans="1:4">
      <c r="A93">
        <f>'Mass Balance'!I93</f>
        <v>3.6876255358699445E-8</v>
      </c>
      <c r="B93">
        <f>'Mass Balance'!E93</f>
        <v>1.4988794232403656E-4</v>
      </c>
      <c r="C93">
        <f>SUM('Mass Balance'!E93:H93)</f>
        <v>1.4995343896842241E-4</v>
      </c>
      <c r="D93">
        <f>Concentrations!F93/Concentrations!E93</f>
        <v>0.99995304181843947</v>
      </c>
    </row>
    <row r="94" spans="1:4">
      <c r="A94">
        <f>'Mass Balance'!I94</f>
        <v>3.6951651797678095E-8</v>
      </c>
      <c r="B94">
        <f>'Mass Balance'!E94</f>
        <v>1.4996255026320589E-4</v>
      </c>
      <c r="C94">
        <f>SUM('Mass Balance'!E94:H94)</f>
        <v>1.4996280429785473E-4</v>
      </c>
      <c r="D94">
        <f>Concentrations!F94/Concentrations!E94</f>
        <v>1.0003882973894691</v>
      </c>
    </row>
    <row r="95" spans="1:4">
      <c r="A95">
        <f>'Mass Balance'!I95</f>
        <v>3.8649139251931076E-8</v>
      </c>
      <c r="B95">
        <f>'Mass Balance'!E95</f>
        <v>1.4608687992965979E-4</v>
      </c>
      <c r="C95">
        <f>SUM('Mass Balance'!E95:H95)</f>
        <v>1.4616508683356063E-4</v>
      </c>
      <c r="D95">
        <f>Concentrations!F95/Concentrations!E95</f>
        <v>0.99985472464838154</v>
      </c>
    </row>
    <row r="96" spans="1:4">
      <c r="A96">
        <f>'Mass Balance'!I96</f>
        <v>1.0508343203357754E-5</v>
      </c>
      <c r="B96">
        <f>'Mass Balance'!E96</f>
        <v>5.9159947940526577E-7</v>
      </c>
      <c r="C96">
        <f>SUM('Mass Balance'!E96:H96)</f>
        <v>1.03053632680431E-4</v>
      </c>
      <c r="D96">
        <f>Concentrations!F96/Concentrations!E96</f>
        <v>5.7429338791492078E-3</v>
      </c>
    </row>
    <row r="97" spans="1:4">
      <c r="A97">
        <f>'Mass Balance'!I97</f>
        <v>9.9847313063205603E-8</v>
      </c>
      <c r="B97">
        <f>'Mass Balance'!E97</f>
        <v>1.2382283166653663E-4</v>
      </c>
      <c r="C97">
        <f>SUM('Mass Balance'!E97:H97)</f>
        <v>1.2648992444900186E-4</v>
      </c>
      <c r="D97">
        <f>Concentrations!F97/Concentrations!E97</f>
        <v>0.97929635205464516</v>
      </c>
    </row>
    <row r="98" spans="1:4">
      <c r="A98">
        <f>'Mass Balance'!I98</f>
        <v>7.2077539399816016E-8</v>
      </c>
      <c r="B98">
        <f>'Mass Balance'!E98</f>
        <v>1.308219364651453E-4</v>
      </c>
      <c r="C98">
        <f>SUM('Mass Balance'!E98:H98)</f>
        <v>1.3230787394470962E-4</v>
      </c>
      <c r="D98">
        <f>Concentrations!F98/Concentrations!E98</f>
        <v>0.98915470467762656</v>
      </c>
    </row>
    <row r="99" spans="1:4">
      <c r="A99">
        <f>'Mass Balance'!I99</f>
        <v>4.3953951652349153E-8</v>
      </c>
      <c r="B99">
        <f>'Mass Balance'!E99</f>
        <v>1.4157112130685009E-4</v>
      </c>
      <c r="C99">
        <f>SUM('Mass Balance'!E99:H99)</f>
        <v>1.418885047295366E-4</v>
      </c>
      <c r="D99">
        <f>Concentrations!F99/Concentrations!E99</f>
        <v>0.9981522688285277</v>
      </c>
    </row>
    <row r="100" spans="1:4">
      <c r="A100">
        <f>'Mass Balance'!I100</f>
        <v>4.6880539188871636E-6</v>
      </c>
      <c r="B100">
        <f>'Mass Balance'!E100</f>
        <v>3.5198605104487187E-6</v>
      </c>
      <c r="C100">
        <f>SUM('Mass Balance'!E100:H100)</f>
        <v>9.4285852038929993E-5</v>
      </c>
      <c r="D100">
        <f>Concentrations!F100/Concentrations!E100</f>
        <v>3.7346358460614348E-2</v>
      </c>
    </row>
    <row r="101" spans="1:4">
      <c r="A101">
        <f>'Mass Balance'!I101</f>
        <v>4.9758109813520906E-7</v>
      </c>
      <c r="B101">
        <f>'Mass Balance'!E101</f>
        <v>7.3674739650478763E-5</v>
      </c>
      <c r="C101">
        <f>SUM('Mass Balance'!E101:H101)</f>
        <v>9.4787577125412305E-5</v>
      </c>
      <c r="D101">
        <f>Concentrations!F101/Concentrations!E101</f>
        <v>0.77756468144100499</v>
      </c>
    </row>
    <row r="102" spans="1:4">
      <c r="A102">
        <f>'Mass Balance'!I102</f>
        <v>1.1976247205343142E-6</v>
      </c>
      <c r="B102">
        <f>'Mass Balance'!E102</f>
        <v>2.9623462222940438E-5</v>
      </c>
      <c r="C102">
        <f>SUM('Mass Balance'!E102:H102)</f>
        <v>8.7886486124787958E-5</v>
      </c>
      <c r="D102">
        <f>Concentrations!F102/Concentrations!E102</f>
        <v>0.33719649566104481</v>
      </c>
    </row>
    <row r="103" spans="1:4">
      <c r="A103">
        <f>'Mass Balance'!I103</f>
        <v>3.9938276713147524E-8</v>
      </c>
      <c r="B103">
        <f>'Mass Balance'!E103</f>
        <v>1.482175109887638E-4</v>
      </c>
      <c r="C103">
        <f>SUM('Mass Balance'!E103:H103)</f>
        <v>1.4995185885581167E-4</v>
      </c>
      <c r="D103">
        <f>Concentrations!F103/Concentrations!E103</f>
        <v>0.98881945024768436</v>
      </c>
    </row>
    <row r="104" spans="1:4">
      <c r="A104">
        <f>'Mass Balance'!I104</f>
        <v>2.9249814210973639E-7</v>
      </c>
      <c r="B104">
        <f>'Mass Balance'!E104</f>
        <v>1.5135484736750051E-5</v>
      </c>
      <c r="C104">
        <f>SUM('Mass Balance'!E104:H104)</f>
        <v>1.4931015209710454E-4</v>
      </c>
      <c r="D104">
        <f>Concentrations!F104/Concentrations!E104</f>
        <v>0.10140896143075609</v>
      </c>
    </row>
    <row r="105" spans="1:4">
      <c r="A105">
        <f>'Mass Balance'!I105</f>
        <v>3.6936150606678662E-8</v>
      </c>
      <c r="B105">
        <f>'Mass Balance'!E105</f>
        <v>1.4800823902281408E-4</v>
      </c>
      <c r="C105">
        <f>SUM('Mass Balance'!E105:H105)</f>
        <v>1.4802899278377186E-4</v>
      </c>
      <c r="D105">
        <f>Concentrations!F105/Concentrations!E105</f>
        <v>1.0002497367076915</v>
      </c>
    </row>
    <row r="106" spans="1:4">
      <c r="A106">
        <f>'Mass Balance'!I106</f>
        <v>3.8742245937343096E-8</v>
      </c>
      <c r="B106">
        <f>'Mass Balance'!E106</f>
        <v>1.4589490953639751E-4</v>
      </c>
      <c r="C106">
        <f>SUM('Mass Balance'!E106:H106)</f>
        <v>1.4597974738694589E-4</v>
      </c>
      <c r="D106">
        <f>Concentrations!F106/Concentrations!E106</f>
        <v>0.99980860360114354</v>
      </c>
    </row>
    <row r="107" spans="1:4">
      <c r="A107">
        <f>'Mass Balance'!I107</f>
        <v>2.2713345029362791E-6</v>
      </c>
      <c r="B107">
        <f>'Mass Balance'!E107</f>
        <v>1.9069137235176765E-5</v>
      </c>
      <c r="C107">
        <f>SUM('Mass Balance'!E107:H107)</f>
        <v>9.5106671303701559E-5</v>
      </c>
      <c r="D107">
        <f>Concentrations!F107/Concentrations!E107</f>
        <v>0.20058081925595378</v>
      </c>
    </row>
    <row r="108" spans="1:4">
      <c r="A108">
        <f>'Mass Balance'!I108</f>
        <v>3.6838359978573406E-8</v>
      </c>
      <c r="B108">
        <f>'Mass Balance'!E108</f>
        <v>1.499595214658644E-4</v>
      </c>
      <c r="C108">
        <f>SUM('Mass Balance'!E108:H108)</f>
        <v>1.4995965667875E-4</v>
      </c>
      <c r="D108">
        <f>Concentrations!F108/Concentrations!E108</f>
        <v>1.0003890900211099</v>
      </c>
    </row>
    <row r="109" spans="1:4">
      <c r="A109">
        <f>'Mass Balance'!I109</f>
        <v>4.5399057260263325E-7</v>
      </c>
      <c r="B109">
        <f>'Mass Balance'!E109</f>
        <v>1.4735399193668548E-4</v>
      </c>
      <c r="C109">
        <f>SUM('Mass Balance'!E109:H109)</f>
        <v>1.4831984836398358E-4</v>
      </c>
      <c r="D109">
        <f>Concentrations!F109/Concentrations!E109</f>
        <v>0.99387546876421706</v>
      </c>
    </row>
    <row r="110" spans="1:4">
      <c r="A110">
        <f>'Mass Balance'!I110</f>
        <v>3.6704231753411666E-8</v>
      </c>
      <c r="B110">
        <f>'Mass Balance'!E110</f>
        <v>1.4956328896831972E-4</v>
      </c>
      <c r="C110">
        <f>SUM('Mass Balance'!E110:H110)</f>
        <v>1.4956730732958078E-4</v>
      </c>
      <c r="D110">
        <f>Concentrations!F110/Concentrations!E110</f>
        <v>1.0003631149818706</v>
      </c>
    </row>
    <row r="111" spans="1:4">
      <c r="A111">
        <f>'Mass Balance'!I111</f>
        <v>3.6720323708985332E-8</v>
      </c>
      <c r="B111">
        <f>'Mass Balance'!E111</f>
        <v>1.4996268637589353E-4</v>
      </c>
      <c r="C111">
        <f>SUM('Mass Balance'!E111:H111)</f>
        <v>1.4996292536407084E-4</v>
      </c>
      <c r="D111">
        <f>Concentrations!F111/Concentrations!E111</f>
        <v>1.0003883977645764</v>
      </c>
    </row>
    <row r="112" spans="1:4">
      <c r="A112">
        <f>'Mass Balance'!I112</f>
        <v>3.6657652859515657E-8</v>
      </c>
      <c r="B112">
        <f>'Mass Balance'!E112</f>
        <v>1.4944814963812459E-4</v>
      </c>
      <c r="C112">
        <f>SUM('Mass Balance'!E112:H112)</f>
        <v>1.4944985816609573E-4</v>
      </c>
      <c r="D112">
        <f>Concentrations!F112/Concentrations!E112</f>
        <v>1.0003785554610216</v>
      </c>
    </row>
    <row r="113" spans="1:4">
      <c r="A113">
        <f>'Mass Balance'!I113</f>
        <v>3.7476222320436278E-8</v>
      </c>
      <c r="B113">
        <f>'Mass Balance'!E113</f>
        <v>1.4696385164323961E-4</v>
      </c>
      <c r="C113">
        <f>SUM('Mass Balance'!E113:H113)</f>
        <v>1.4701011081905794E-4</v>
      </c>
      <c r="D113">
        <f>Concentrations!F113/Concentrations!E113</f>
        <v>1.0000752026892545</v>
      </c>
    </row>
    <row r="114" spans="1:4">
      <c r="A114">
        <f>'Mass Balance'!I114</f>
        <v>3.6674382390470189E-8</v>
      </c>
      <c r="B114">
        <f>'Mass Balance'!E114</f>
        <v>1.4969720149096902E-4</v>
      </c>
      <c r="C114">
        <f>SUM('Mass Balance'!E114:H114)</f>
        <v>1.4969771021448107E-4</v>
      </c>
      <c r="D114">
        <f>Concentrations!F114/Concentrations!E114</f>
        <v>1.000386592370536</v>
      </c>
    </row>
    <row r="115" spans="1:4">
      <c r="A115">
        <f>'Mass Balance'!I115</f>
        <v>3.758541129618134E-8</v>
      </c>
      <c r="B115">
        <f>'Mass Balance'!E115</f>
        <v>1.4953733574445764E-4</v>
      </c>
      <c r="C115">
        <f>SUM('Mass Balance'!E115:H115)</f>
        <v>1.4995803932254791E-4</v>
      </c>
      <c r="D115">
        <f>Concentrations!F115/Concentrations!E115</f>
        <v>0.99758342260323307</v>
      </c>
    </row>
    <row r="116" spans="1:4">
      <c r="A116">
        <f>'Mass Balance'!I116</f>
        <v>1.7252365988707595E-5</v>
      </c>
      <c r="B116">
        <f>'Mass Balance'!E116</f>
        <v>7.8738090307648665E-5</v>
      </c>
      <c r="C116">
        <f>SUM('Mass Balance'!E116:H116)</f>
        <v>1.2800278633630756E-4</v>
      </c>
      <c r="D116">
        <f>Concentrations!F116/Concentrations!E116</f>
        <v>0.61536783526514116</v>
      </c>
    </row>
    <row r="117" spans="1:4">
      <c r="A117">
        <f>'Mass Balance'!I117</f>
        <v>1.5563180897151759E-7</v>
      </c>
      <c r="B117">
        <f>'Mass Balance'!E117</f>
        <v>1.1313001260027232E-4</v>
      </c>
      <c r="C117">
        <f>SUM('Mass Balance'!E117:H117)</f>
        <v>1.1823146635740206E-4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0.98355326862232384</v>
      </c>
      <c r="M2" s="115">
        <v>0.93846269585967257</v>
      </c>
      <c r="N2" s="115">
        <v>1.1525368404293952</v>
      </c>
      <c r="O2" s="115">
        <v>0.82239210230171667</v>
      </c>
      <c r="P2" s="115">
        <v>0.95182331454725855</v>
      </c>
      <c r="Q2" s="111">
        <v>0.82239210230171667</v>
      </c>
      <c r="R2" s="68">
        <v>0.95182331454725855</v>
      </c>
    </row>
    <row r="3" spans="1:22">
      <c r="A3" s="102" t="s">
        <v>354</v>
      </c>
      <c r="B3" s="102" t="s">
        <v>355</v>
      </c>
      <c r="D3" s="103" t="s">
        <v>410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1.061924559723944</v>
      </c>
      <c r="M3" s="115">
        <v>6.0891537326075271</v>
      </c>
      <c r="N3" s="115">
        <v>390.7310330619847</v>
      </c>
      <c r="O3" s="115">
        <v>3.8709830036002515</v>
      </c>
      <c r="P3" s="115">
        <v>3.5865549245020745</v>
      </c>
      <c r="Q3" s="111">
        <v>3.8709830036002519</v>
      </c>
      <c r="R3" s="68">
        <v>3.5865549245020745</v>
      </c>
    </row>
    <row r="4" spans="1:22">
      <c r="A4" s="102" t="s">
        <v>356</v>
      </c>
      <c r="B4" s="102" t="s">
        <v>357</v>
      </c>
      <c r="D4" s="103" t="s">
        <v>410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1.0954312625200042</v>
      </c>
      <c r="M4" s="115">
        <v>1.0563845978666806</v>
      </c>
      <c r="N4" s="115">
        <v>3.0500958177561044</v>
      </c>
      <c r="O4" s="115">
        <v>0.82538728513178472</v>
      </c>
      <c r="P4" s="115">
        <v>0.95936560441222341</v>
      </c>
      <c r="Q4" s="111">
        <v>0.82538728513178483</v>
      </c>
      <c r="R4" s="68">
        <v>0.95936560441222341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0.92566202480733739</v>
      </c>
      <c r="M5" s="115">
        <v>1.4042065599694629</v>
      </c>
      <c r="N5" s="115">
        <v>75.648851090509183</v>
      </c>
      <c r="O5" s="115">
        <v>4.4151720751469696</v>
      </c>
      <c r="P5" s="115">
        <v>7.218071061908665</v>
      </c>
      <c r="Q5" s="111">
        <v>4.4151720751469696</v>
      </c>
      <c r="R5" s="68">
        <v>7.218071061908665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0.83306225721272187</v>
      </c>
      <c r="M6" s="115">
        <v>1.938629491147196</v>
      </c>
      <c r="N6" s="115">
        <v>162.72644207643646</v>
      </c>
      <c r="O6" s="115">
        <v>8.9213540208467226</v>
      </c>
      <c r="P6" s="115">
        <v>15.094320852382459</v>
      </c>
      <c r="Q6" s="111">
        <v>8.9213540208467226</v>
      </c>
      <c r="R6" s="68">
        <v>15.094320852382459</v>
      </c>
    </row>
    <row r="7" spans="1:22">
      <c r="A7" s="102" t="s">
        <v>358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0.55066381432802636</v>
      </c>
      <c r="M7" s="115">
        <v>3.6424827309158623</v>
      </c>
      <c r="N7" s="115">
        <v>424.87311935046381</v>
      </c>
      <c r="O7" s="115">
        <v>21.985638365686267</v>
      </c>
      <c r="P7" s="115">
        <v>37.732666782342619</v>
      </c>
      <c r="Q7" s="111">
        <v>21.985638365686267</v>
      </c>
      <c r="R7" s="68">
        <v>37.732666782342619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0.7561069542508716</v>
      </c>
      <c r="M8" s="115">
        <v>2.3306928544583982</v>
      </c>
      <c r="N8" s="115">
        <v>228.3258270530971</v>
      </c>
      <c r="O8" s="115">
        <v>12.590323959928709</v>
      </c>
      <c r="P8" s="115">
        <v>21.537745068802426</v>
      </c>
      <c r="Q8" s="111">
        <v>12.59032395992871</v>
      </c>
      <c r="R8" s="68">
        <v>21.53774506880243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0.94129745621211935</v>
      </c>
      <c r="M9" s="115">
        <v>1.3131560935114388</v>
      </c>
      <c r="N9" s="115">
        <v>60.35931552352254</v>
      </c>
      <c r="O9" s="115">
        <v>3.6074949217857268</v>
      </c>
      <c r="P9" s="115">
        <v>5.8000695420793349</v>
      </c>
      <c r="Q9" s="111">
        <v>3.6074949217857268</v>
      </c>
      <c r="R9" s="68">
        <v>5.8000695420793349</v>
      </c>
    </row>
    <row r="10" spans="1:22">
      <c r="A10" s="102" t="s">
        <v>359</v>
      </c>
      <c r="B10" s="102" t="s">
        <v>360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7.1692832032813333E-2</v>
      </c>
      <c r="M10" s="115">
        <v>44.297463313331463</v>
      </c>
      <c r="N10" s="115">
        <v>4696.5577971759531</v>
      </c>
      <c r="O10" s="115">
        <v>50.888155926957474</v>
      </c>
      <c r="P10" s="115">
        <v>51.913001938361845</v>
      </c>
      <c r="Q10" s="111">
        <v>50.888155926957474</v>
      </c>
      <c r="R10" s="68">
        <v>51.913001938361852</v>
      </c>
    </row>
    <row r="11" spans="1:22">
      <c r="A11" s="102" t="s">
        <v>361</v>
      </c>
      <c r="B11" s="102" t="s">
        <v>362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5.3728446025647827E-3</v>
      </c>
      <c r="M11" s="115">
        <v>368.86767628757377</v>
      </c>
      <c r="N11" s="115">
        <v>45841.510049995406</v>
      </c>
      <c r="O11" s="115">
        <v>186.08673641126305</v>
      </c>
      <c r="P11" s="115">
        <v>85.417739712836848</v>
      </c>
      <c r="Q11" s="111">
        <v>186.08673641126305</v>
      </c>
      <c r="R11" s="68">
        <v>85.417739712836863</v>
      </c>
    </row>
    <row r="12" spans="1:22">
      <c r="A12" s="102" t="s">
        <v>363</v>
      </c>
      <c r="B12" s="102" t="s">
        <v>364</v>
      </c>
      <c r="D12" s="103" t="s">
        <v>410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0.93292390799910152</v>
      </c>
      <c r="M12" s="115">
        <v>0.88034074331694023</v>
      </c>
      <c r="N12" s="115">
        <v>6.2587844324633199E-2</v>
      </c>
      <c r="O12" s="115">
        <v>0.77109429239668648</v>
      </c>
      <c r="P12" s="115">
        <v>0.89603883213320124</v>
      </c>
      <c r="Q12" s="111">
        <v>0.77109429239668648</v>
      </c>
      <c r="R12" s="68">
        <v>0.89603883213320124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0.79054681647869918</v>
      </c>
      <c r="M13" s="115">
        <v>3.3033454622631475</v>
      </c>
      <c r="N13" s="115">
        <v>269.1436089320373</v>
      </c>
      <c r="O13" s="115">
        <v>3.233982161478949</v>
      </c>
      <c r="P13" s="115">
        <v>3.0569142587260849</v>
      </c>
      <c r="Q13" s="111">
        <v>3.2339821614789495</v>
      </c>
      <c r="R13" s="68">
        <v>3.0569142587260854</v>
      </c>
    </row>
    <row r="14" spans="1:22">
      <c r="A14" s="102" t="s">
        <v>365</v>
      </c>
      <c r="B14" s="102" t="s">
        <v>366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8.2762391579226685E-2</v>
      </c>
      <c r="M14" s="115">
        <v>11.258477458962705</v>
      </c>
      <c r="N14" s="115">
        <v>1547.4290848564731</v>
      </c>
      <c r="O14" s="115">
        <v>45.76418172788226</v>
      </c>
      <c r="P14" s="115">
        <v>76.671337334445667</v>
      </c>
      <c r="Q14" s="111">
        <v>45.764181727882267</v>
      </c>
      <c r="R14" s="68">
        <v>76.671337334445667</v>
      </c>
    </row>
    <row r="15" spans="1:22">
      <c r="A15" s="102" t="s">
        <v>367</v>
      </c>
      <c r="B15" s="102" t="s">
        <v>368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0.86026939230572919</v>
      </c>
      <c r="M15" s="115">
        <v>1.121686230343524</v>
      </c>
      <c r="N15" s="115">
        <v>32.761162317133632</v>
      </c>
      <c r="O15" s="115">
        <v>1.0089917531683477</v>
      </c>
      <c r="P15" s="115">
        <v>1.0744627350235125</v>
      </c>
      <c r="Q15" s="111">
        <v>1.0089917531683477</v>
      </c>
      <c r="R15" s="68">
        <v>1.0744627350235127</v>
      </c>
    </row>
    <row r="16" spans="1:22">
      <c r="A16" s="102" t="s">
        <v>369</v>
      </c>
      <c r="B16" s="102" t="s">
        <v>370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0.76993067747878785</v>
      </c>
      <c r="M16" s="115">
        <v>3.7284820935571279</v>
      </c>
      <c r="N16" s="115">
        <v>315.90490754462797</v>
      </c>
      <c r="O16" s="115">
        <v>3.6790141466947937</v>
      </c>
      <c r="P16" s="115">
        <v>3.4634908010469219</v>
      </c>
      <c r="Q16" s="111">
        <v>3.6790141466947937</v>
      </c>
      <c r="R16" s="68">
        <v>3.4634908010469223</v>
      </c>
    </row>
    <row r="17" spans="1:18">
      <c r="A17" s="102" t="s">
        <v>371</v>
      </c>
      <c r="B17" s="102" t="s">
        <v>372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0.78138058527750576</v>
      </c>
      <c r="M17" s="115">
        <v>3.4483704232464159</v>
      </c>
      <c r="N17" s="115">
        <v>285.30494634617816</v>
      </c>
      <c r="O17" s="115">
        <v>3.3860060200832431</v>
      </c>
      <c r="P17" s="115">
        <v>3.1952668259805712</v>
      </c>
      <c r="Q17" s="111">
        <v>3.3860060200832436</v>
      </c>
      <c r="R17" s="68">
        <v>3.1952668259805712</v>
      </c>
    </row>
    <row r="18" spans="1:18">
      <c r="A18" s="102" t="s">
        <v>373</v>
      </c>
      <c r="B18" s="102" t="s">
        <v>374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4.9525868054343669E-3</v>
      </c>
      <c r="M18" s="115">
        <v>251.58962668518663</v>
      </c>
      <c r="N18" s="115">
        <v>26995.092104060601</v>
      </c>
      <c r="O18" s="115">
        <v>162.80936575442757</v>
      </c>
      <c r="P18" s="115">
        <v>69.73964624485636</v>
      </c>
      <c r="Q18" s="111">
        <v>162.80936575442757</v>
      </c>
      <c r="R18" s="68">
        <v>69.73964624485636</v>
      </c>
    </row>
    <row r="19" spans="1:18">
      <c r="A19" s="102" t="s">
        <v>375</v>
      </c>
      <c r="B19" s="102" t="s">
        <v>376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0.95069169722700564</v>
      </c>
      <c r="M19" s="115">
        <v>0.99846766613254168</v>
      </c>
      <c r="N19" s="115">
        <v>10.758326866920665</v>
      </c>
      <c r="O19" s="115">
        <v>0.88095730625081214</v>
      </c>
      <c r="P19" s="115">
        <v>0.98955224481495285</v>
      </c>
      <c r="Q19" s="111">
        <v>0.88095730625081226</v>
      </c>
      <c r="R19" s="68">
        <v>0.98955224481495285</v>
      </c>
    </row>
    <row r="20" spans="1:18">
      <c r="A20" s="102" t="s">
        <v>377</v>
      </c>
      <c r="B20" s="102" t="s">
        <v>378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0.93028378458421479</v>
      </c>
      <c r="M20" s="115">
        <v>1.0560574078804805</v>
      </c>
      <c r="N20" s="115">
        <v>18.872108767080174</v>
      </c>
      <c r="O20" s="115">
        <v>0.93809656687308418</v>
      </c>
      <c r="P20" s="115">
        <v>1.0317745548995625</v>
      </c>
      <c r="Q20" s="111">
        <v>0.93809656687308429</v>
      </c>
      <c r="R20" s="68">
        <v>1.0317745548995625</v>
      </c>
    </row>
    <row r="21" spans="1:18">
      <c r="A21" s="102" t="s">
        <v>379</v>
      </c>
      <c r="B21" s="102" t="s">
        <v>380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0.49001745991498996</v>
      </c>
      <c r="M21" s="115">
        <v>9.3140712279874887</v>
      </c>
      <c r="N21" s="115">
        <v>997.41373790863611</v>
      </c>
      <c r="O21" s="115">
        <v>21.216680371923733</v>
      </c>
      <c r="P21" s="115">
        <v>31.178410647520696</v>
      </c>
      <c r="Q21" s="111">
        <v>21.216680371923733</v>
      </c>
      <c r="R21" s="68">
        <v>31.178410647520696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0.92855365800608292</v>
      </c>
      <c r="M22" s="115">
        <v>0.89375985952885961</v>
      </c>
      <c r="N22" s="115">
        <v>1.9073931356499387</v>
      </c>
      <c r="O22" s="115">
        <v>0.78355407275245659</v>
      </c>
      <c r="P22" s="115">
        <v>0.90416295409116609</v>
      </c>
      <c r="Q22" s="111">
        <v>0.78355407275245659</v>
      </c>
      <c r="R22" s="68">
        <v>0.90416295409116609</v>
      </c>
    </row>
    <row r="23" spans="1:18">
      <c r="A23" s="102" t="s">
        <v>381</v>
      </c>
      <c r="B23" s="102" t="s">
        <v>382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0.85047288845627866</v>
      </c>
      <c r="M23" s="115">
        <v>1.3393136825019722</v>
      </c>
      <c r="N23" s="115">
        <v>56.662905028846225</v>
      </c>
      <c r="O23" s="115">
        <v>1.2251032407674718</v>
      </c>
      <c r="P23" s="115">
        <v>1.259349899161897</v>
      </c>
      <c r="Q23" s="111">
        <v>1.2251032407674718</v>
      </c>
      <c r="R23" s="68">
        <v>1.259349899161897</v>
      </c>
    </row>
    <row r="24" spans="1:18">
      <c r="A24" s="102" t="s">
        <v>383</v>
      </c>
      <c r="B24" s="102" t="s">
        <v>384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0.69606750024385278</v>
      </c>
      <c r="M24" s="115">
        <v>5.5207916190462072</v>
      </c>
      <c r="N24" s="115">
        <v>511.90077024848694</v>
      </c>
      <c r="O24" s="115">
        <v>5.5755923447597091</v>
      </c>
      <c r="P24" s="115">
        <v>5.2220533371865967</v>
      </c>
      <c r="Q24" s="111">
        <v>5.5755923447597091</v>
      </c>
      <c r="R24" s="68">
        <v>5.2220533371865967</v>
      </c>
    </row>
    <row r="25" spans="1:18">
      <c r="A25" s="102" t="s">
        <v>385</v>
      </c>
      <c r="B25" s="102" t="s">
        <v>386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6.7749866686834135E-3</v>
      </c>
      <c r="M25" s="115">
        <v>226.11399581831506</v>
      </c>
      <c r="N25" s="115">
        <v>24237.553096284555</v>
      </c>
      <c r="O25" s="115">
        <v>148.77994027242255</v>
      </c>
      <c r="P25" s="115">
        <v>66.810283071650062</v>
      </c>
      <c r="Q25" s="111">
        <v>148.77994027242255</v>
      </c>
      <c r="R25" s="68">
        <v>66.810283071650062</v>
      </c>
    </row>
    <row r="26" spans="1:18">
      <c r="A26" s="102" t="s">
        <v>387</v>
      </c>
      <c r="B26" s="102" t="s">
        <v>388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0.34615866002140844</v>
      </c>
      <c r="M26" s="115">
        <v>10.369168198488582</v>
      </c>
      <c r="N26" s="115">
        <v>1059.0038934080674</v>
      </c>
      <c r="O26" s="115">
        <v>10.996012233723835</v>
      </c>
      <c r="P26" s="115">
        <v>10.489199873103122</v>
      </c>
      <c r="Q26" s="111">
        <v>10.996012233723835</v>
      </c>
      <c r="R26" s="68">
        <v>10.489199873103122</v>
      </c>
    </row>
    <row r="27" spans="1:18">
      <c r="A27" s="102" t="s">
        <v>389</v>
      </c>
      <c r="B27" s="102" t="s">
        <v>390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2.9776413413064265E-2</v>
      </c>
      <c r="M27" s="115">
        <v>4.3506631128065907</v>
      </c>
      <c r="N27" s="115">
        <v>457.424650193231</v>
      </c>
      <c r="O27" s="115">
        <v>4.8467444505265309</v>
      </c>
      <c r="P27" s="115">
        <v>4.8100712056658272</v>
      </c>
      <c r="Q27" s="111">
        <v>4.8467444505265318</v>
      </c>
      <c r="R27" s="68">
        <v>4.8100712056658272</v>
      </c>
    </row>
    <row r="28" spans="1:18">
      <c r="A28" s="102" t="s">
        <v>391</v>
      </c>
      <c r="B28" s="102" t="s">
        <v>392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4.4237503770653955E-2</v>
      </c>
      <c r="M28" s="115">
        <v>1.779985488278133</v>
      </c>
      <c r="N28" s="115">
        <v>183.41202939608849</v>
      </c>
      <c r="O28" s="115">
        <v>1.9055872272968821</v>
      </c>
      <c r="P28" s="115">
        <v>1.8300991413922856</v>
      </c>
      <c r="Q28" s="111">
        <v>1.9055872272968823</v>
      </c>
      <c r="R28" s="68">
        <v>1.8300991413922858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7.5179641209932382E-2</v>
      </c>
      <c r="M29" s="115">
        <v>8.9141255553144907E-2</v>
      </c>
      <c r="N29" s="115">
        <v>1.9259356283460209</v>
      </c>
      <c r="O29" s="115">
        <v>7.9495674562891069E-2</v>
      </c>
      <c r="P29" s="115">
        <v>8.6493144981874284E-2</v>
      </c>
      <c r="Q29" s="111">
        <v>7.9495674562891069E-2</v>
      </c>
      <c r="R29" s="68">
        <v>8.6493144981874284E-2</v>
      </c>
    </row>
    <row r="30" spans="1:18">
      <c r="A30" s="102" t="s">
        <v>393</v>
      </c>
      <c r="B30" s="102" t="s">
        <v>394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1.6516687718429242E-2</v>
      </c>
      <c r="M30" s="115">
        <v>0.62070104186468433</v>
      </c>
      <c r="N30" s="115">
        <v>63.840124081652853</v>
      </c>
      <c r="O30" s="115">
        <v>0.66305675345319481</v>
      </c>
      <c r="P30" s="115">
        <v>0.63576738305073788</v>
      </c>
      <c r="Q30" s="111">
        <v>0.66305675345319481</v>
      </c>
      <c r="R30" s="68">
        <v>0.63576738305073788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5.8399894625362305E-4</v>
      </c>
      <c r="M31" s="115">
        <v>1.0456651589892067E-2</v>
      </c>
      <c r="N31" s="115">
        <v>1.0435686114710752</v>
      </c>
      <c r="O31" s="115">
        <v>1.0897740214061074E-2</v>
      </c>
      <c r="P31" s="115">
        <v>1.0289489331886281E-2</v>
      </c>
      <c r="Q31" s="111">
        <v>1.0897740214061076E-2</v>
      </c>
      <c r="R31" s="68">
        <v>1.0289489331886281E-2</v>
      </c>
    </row>
    <row r="32" spans="1:18">
      <c r="A32" s="102" t="s">
        <v>343</v>
      </c>
      <c r="B32" s="102" t="s">
        <v>403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0.80945039511823347</v>
      </c>
      <c r="M32" s="115">
        <v>2.8862255715768139</v>
      </c>
      <c r="N32" s="115">
        <v>223.40697148661158</v>
      </c>
      <c r="O32" s="115">
        <v>2.8001871350981529</v>
      </c>
      <c r="P32" s="115">
        <v>2.6631304027613227</v>
      </c>
      <c r="Q32" s="111">
        <v>2.8001871350981529</v>
      </c>
      <c r="R32" s="68">
        <v>2.6631304027613232</v>
      </c>
    </row>
    <row r="33" spans="1:18">
      <c r="A33" s="102" t="s">
        <v>344</v>
      </c>
      <c r="B33" s="102" t="s">
        <v>404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0.88045380408148111</v>
      </c>
      <c r="M33" s="115">
        <v>1.7597102774977564</v>
      </c>
      <c r="N33" s="115">
        <v>97.930773867338004</v>
      </c>
      <c r="O33" s="115">
        <v>1.641419431621185</v>
      </c>
      <c r="P33" s="115">
        <v>1.6322046721981192</v>
      </c>
      <c r="Q33" s="111">
        <v>1.6414194316211852</v>
      </c>
      <c r="R33" s="68">
        <v>1.6322046721981194</v>
      </c>
    </row>
    <row r="34" spans="1:18">
      <c r="A34" s="102" t="s">
        <v>345</v>
      </c>
      <c r="B34" s="102" t="s">
        <v>405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0.49197942013340451</v>
      </c>
      <c r="M34" s="115">
        <v>12.87236518509655</v>
      </c>
      <c r="N34" s="115">
        <v>1308.1140857434589</v>
      </c>
      <c r="O34" s="115">
        <v>13.58993065482875</v>
      </c>
      <c r="P34" s="115">
        <v>12.925765162109506</v>
      </c>
      <c r="Q34" s="111">
        <v>13.589930654828752</v>
      </c>
      <c r="R34" s="68">
        <v>12.925765162109508</v>
      </c>
    </row>
    <row r="35" spans="1:18">
      <c r="A35" s="102" t="s">
        <v>346</v>
      </c>
      <c r="B35" s="102" t="s">
        <v>406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0.11951011386511866</v>
      </c>
      <c r="M35" s="115">
        <v>35.052708600855837</v>
      </c>
      <c r="N35" s="115">
        <v>3703.5215582217875</v>
      </c>
      <c r="O35" s="115">
        <v>39.892810040930769</v>
      </c>
      <c r="P35" s="115">
        <v>40.328668921101638</v>
      </c>
      <c r="Q35" s="111">
        <v>39.892810040930769</v>
      </c>
      <c r="R35" s="68">
        <v>40.328668921101638</v>
      </c>
    </row>
    <row r="36" spans="1:18">
      <c r="A36" s="102" t="s">
        <v>347</v>
      </c>
      <c r="B36" s="102" t="s">
        <v>407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3.2236589101773995E-2</v>
      </c>
      <c r="M36" s="115">
        <v>95.014545780044017</v>
      </c>
      <c r="N36" s="115">
        <v>10123.611492252599</v>
      </c>
      <c r="O36" s="115">
        <v>77.643289571720075</v>
      </c>
      <c r="P36" s="115">
        <v>54.713196128279762</v>
      </c>
      <c r="Q36" s="111">
        <v>77.643289571720075</v>
      </c>
      <c r="R36" s="68">
        <v>54.713196128279762</v>
      </c>
    </row>
    <row r="37" spans="1:18">
      <c r="A37" s="102" t="s">
        <v>348</v>
      </c>
      <c r="B37" s="102" t="s">
        <v>349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5.3350970011228366E-3</v>
      </c>
      <c r="M37" s="115">
        <v>241.17062803726461</v>
      </c>
      <c r="N37" s="115">
        <v>25870.04278437117</v>
      </c>
      <c r="O37" s="115">
        <v>156.73275828005501</v>
      </c>
      <c r="P37" s="115">
        <v>67.963500663247814</v>
      </c>
      <c r="Q37" s="111">
        <v>156.73275828005501</v>
      </c>
      <c r="R37" s="68">
        <v>67.963500663247828</v>
      </c>
    </row>
    <row r="38" spans="1:18">
      <c r="A38" s="102" t="s">
        <v>350</v>
      </c>
      <c r="B38" s="102" t="s">
        <v>351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1.8098892928010687E-2</v>
      </c>
      <c r="M38" s="115">
        <v>142.13361436461346</v>
      </c>
      <c r="N38" s="115">
        <v>15182.354167279816</v>
      </c>
      <c r="O38" s="115">
        <v>102.99219935327977</v>
      </c>
      <c r="P38" s="115">
        <v>58.467951664978003</v>
      </c>
      <c r="Q38" s="111">
        <v>102.99219935327979</v>
      </c>
      <c r="R38" s="68">
        <v>58.46795166497801</v>
      </c>
    </row>
    <row r="39" spans="1:18">
      <c r="A39" s="102" t="s">
        <v>352</v>
      </c>
      <c r="B39" s="102" t="s">
        <v>408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2.3962175118738636E-2</v>
      </c>
      <c r="M39" s="115">
        <v>93.44550756677107</v>
      </c>
      <c r="N39" s="115">
        <v>9963.8447030337356</v>
      </c>
      <c r="O39" s="115">
        <v>73.339666259229631</v>
      </c>
      <c r="P39" s="115">
        <v>48.42035140582459</v>
      </c>
      <c r="Q39" s="111">
        <v>73.339666259229631</v>
      </c>
      <c r="R39" s="68">
        <v>48.420351405824597</v>
      </c>
    </row>
    <row r="40" spans="1:18">
      <c r="A40" s="102" t="s">
        <v>353</v>
      </c>
      <c r="B40" s="102" t="s">
        <v>409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1.8098892928010687E-2</v>
      </c>
      <c r="M40" s="115">
        <v>142.13361436461346</v>
      </c>
      <c r="N40" s="115">
        <v>15182.354167279816</v>
      </c>
      <c r="O40" s="115">
        <v>102.99219935327977</v>
      </c>
      <c r="P40" s="115">
        <v>58.467951664978003</v>
      </c>
      <c r="Q40" s="111">
        <v>102.99219935327979</v>
      </c>
      <c r="R40" s="68">
        <v>58.46795166497801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0.98949073151264888</v>
      </c>
      <c r="M41" s="115">
        <v>0.97283167082283362</v>
      </c>
      <c r="N41" s="115">
        <v>5.6912093988722141</v>
      </c>
      <c r="O41" s="115">
        <v>1.0483871938996427</v>
      </c>
      <c r="P41" s="115">
        <v>1.3463128761857226</v>
      </c>
      <c r="Q41" s="111">
        <v>1.0483871938996427</v>
      </c>
      <c r="R41" s="68">
        <v>1.3463128761857228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4.8516850232728651E-3</v>
      </c>
      <c r="M42" s="115">
        <v>246.4638524780537</v>
      </c>
      <c r="N42" s="115">
        <v>26445.106205797336</v>
      </c>
      <c r="O42" s="115">
        <v>159.49236076237378</v>
      </c>
      <c r="P42" s="115">
        <v>68.318801972990727</v>
      </c>
      <c r="Q42" s="111">
        <v>159.49236076237378</v>
      </c>
      <c r="R42" s="68">
        <v>68.318801972990727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0.678358936920327</v>
      </c>
      <c r="M43" s="115">
        <v>6.0927894145317865</v>
      </c>
      <c r="N43" s="115">
        <v>573.91657655830443</v>
      </c>
      <c r="O43" s="115">
        <v>6.1856898375194262</v>
      </c>
      <c r="P43" s="115">
        <v>5.7947353224341454</v>
      </c>
      <c r="Q43" s="111">
        <v>6.1856898375194262</v>
      </c>
      <c r="R43" s="68">
        <v>5.7947353224341454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4.807710761521948E-2</v>
      </c>
      <c r="M44" s="115">
        <v>67.174268659189934</v>
      </c>
      <c r="N44" s="115">
        <v>7142.0186221157855</v>
      </c>
      <c r="O44" s="115">
        <v>62.907606038566151</v>
      </c>
      <c r="P44" s="115">
        <v>53.044174479247495</v>
      </c>
      <c r="Q44" s="111">
        <v>62.907606038566151</v>
      </c>
      <c r="R44" s="68">
        <v>53.044174479247495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2.3120272423031623E-3</v>
      </c>
      <c r="M45" s="115">
        <v>305.79106502902158</v>
      </c>
      <c r="N45" s="115">
        <v>32884.289921396223</v>
      </c>
      <c r="O45" s="115">
        <v>192.68855824873791</v>
      </c>
      <c r="P45" s="115">
        <v>76.329676598501337</v>
      </c>
      <c r="Q45" s="111">
        <v>192.68855824873793</v>
      </c>
      <c r="R45" s="68">
        <v>76.329676598501337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4.446809088588328E-3</v>
      </c>
      <c r="M46" s="115">
        <v>259.85055580819079</v>
      </c>
      <c r="N46" s="115">
        <v>27890.652488830812</v>
      </c>
      <c r="O46" s="115">
        <v>167.35467840752571</v>
      </c>
      <c r="P46" s="115">
        <v>70.701031937597349</v>
      </c>
      <c r="Q46" s="111">
        <v>167.35467840752571</v>
      </c>
      <c r="R46" s="68">
        <v>70.701031937597364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9.4641336557526896E-3</v>
      </c>
      <c r="M47" s="115">
        <v>198.0574407509132</v>
      </c>
      <c r="N47" s="115">
        <v>21206.535054254258</v>
      </c>
      <c r="O47" s="115">
        <v>133.41302923630565</v>
      </c>
      <c r="P47" s="115">
        <v>63.816426631049438</v>
      </c>
      <c r="Q47" s="111">
        <v>133.41302923630565</v>
      </c>
      <c r="R47" s="68">
        <v>63.816426631049438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0.26540889468128509</v>
      </c>
      <c r="M48" s="115">
        <v>25.564235639324636</v>
      </c>
      <c r="N48" s="115">
        <v>2676.1790478221424</v>
      </c>
      <c r="O48" s="115">
        <v>28.119086129601008</v>
      </c>
      <c r="P48" s="115">
        <v>27.603065370631501</v>
      </c>
      <c r="Q48" s="111">
        <v>28.119086129601008</v>
      </c>
      <c r="R48" s="68">
        <v>27.603065370631505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4.4759612044355079E-2</v>
      </c>
      <c r="M49" s="115">
        <v>71.932356604178807</v>
      </c>
      <c r="N49" s="115">
        <v>7651.1329136534132</v>
      </c>
      <c r="O49" s="115">
        <v>65.438304752506255</v>
      </c>
      <c r="P49" s="115">
        <v>53.344477028447479</v>
      </c>
      <c r="Q49" s="111">
        <v>65.438304752506255</v>
      </c>
      <c r="R49" s="68">
        <v>53.344477028447486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3.9570408477651746E-2</v>
      </c>
      <c r="M50" s="115">
        <v>80.298710917916523</v>
      </c>
      <c r="N50" s="115">
        <v>8546.8247614773718</v>
      </c>
      <c r="O50" s="115">
        <v>69.857113034689164</v>
      </c>
      <c r="P50" s="115">
        <v>53.82397471441876</v>
      </c>
      <c r="Q50" s="111">
        <v>69.857113034689164</v>
      </c>
      <c r="R50" s="68">
        <v>53.823974714418767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0.19673860725952472</v>
      </c>
      <c r="M51" s="115">
        <v>30.816808431032936</v>
      </c>
      <c r="N51" s="115">
        <v>3241.9943939401446</v>
      </c>
      <c r="O51" s="115">
        <v>34.403689188341794</v>
      </c>
      <c r="P51" s="115">
        <v>34.206148793724225</v>
      </c>
      <c r="Q51" s="111">
        <v>34.403689188341801</v>
      </c>
      <c r="R51" s="68">
        <v>34.206148793724232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0.25831843394902304</v>
      </c>
      <c r="M52" s="115">
        <v>26.058436462596795</v>
      </c>
      <c r="N52" s="115">
        <v>2729.4236416578415</v>
      </c>
      <c r="O52" s="115">
        <v>28.703213460226571</v>
      </c>
      <c r="P52" s="115">
        <v>28.210408455513111</v>
      </c>
      <c r="Q52" s="111">
        <v>28.703213460226571</v>
      </c>
      <c r="R52" s="68">
        <v>28.210408455513111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2.6463357514673123E-2</v>
      </c>
      <c r="M53" s="115">
        <v>110.68184952098967</v>
      </c>
      <c r="N53" s="115">
        <v>11803.865782472205</v>
      </c>
      <c r="O53" s="115">
        <v>86.065025944575325</v>
      </c>
      <c r="P53" s="115">
        <v>55.923185749992832</v>
      </c>
      <c r="Q53" s="111">
        <v>86.065025944575325</v>
      </c>
      <c r="R53" s="68">
        <v>55.92318574999284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4.2111528420635251E-2</v>
      </c>
      <c r="M54" s="115">
        <v>76.047932831977647</v>
      </c>
      <c r="N54" s="115">
        <v>8091.6637377073775</v>
      </c>
      <c r="O54" s="115">
        <v>67.616099477546797</v>
      </c>
      <c r="P54" s="115">
        <v>53.586569577561875</v>
      </c>
      <c r="Q54" s="111">
        <v>67.616099477546797</v>
      </c>
      <c r="R54" s="68">
        <v>53.586569577561882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9.7627353698446738E-3</v>
      </c>
      <c r="M55" s="115">
        <v>194.98950796557429</v>
      </c>
      <c r="N55" s="115">
        <v>20875.708504777685</v>
      </c>
      <c r="O55" s="115">
        <v>131.69959806416591</v>
      </c>
      <c r="P55" s="115">
        <v>63.437296182396132</v>
      </c>
      <c r="Q55" s="111">
        <v>131.69959806416591</v>
      </c>
      <c r="R55" s="68">
        <v>63.437296182396139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4.6963216963991604E-2</v>
      </c>
      <c r="M56" s="115">
        <v>68.751095510641065</v>
      </c>
      <c r="N56" s="115">
        <v>7310.7074106840155</v>
      </c>
      <c r="O56" s="115">
        <v>63.753099215791607</v>
      </c>
      <c r="P56" s="115">
        <v>53.155613239516669</v>
      </c>
      <c r="Q56" s="111">
        <v>63.753099215791607</v>
      </c>
      <c r="R56" s="68">
        <v>53.155613239516669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0.29542645757187364</v>
      </c>
      <c r="M57" s="115">
        <v>23.117802826187951</v>
      </c>
      <c r="N57" s="115">
        <v>2413.4023162572416</v>
      </c>
      <c r="O57" s="115">
        <v>25.266833128236236</v>
      </c>
      <c r="P57" s="115">
        <v>24.670268474045947</v>
      </c>
      <c r="Q57" s="111">
        <v>25.266833128236236</v>
      </c>
      <c r="R57" s="68">
        <v>24.670268474045947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4.1596835526717842E-2</v>
      </c>
      <c r="M58" s="115">
        <v>76.891225713520242</v>
      </c>
      <c r="N58" s="115">
        <v>8181.9458330088892</v>
      </c>
      <c r="O58" s="115">
        <v>68.062680679465089</v>
      </c>
      <c r="P58" s="115">
        <v>53.637063195126544</v>
      </c>
      <c r="Q58" s="111">
        <v>68.062680679465089</v>
      </c>
      <c r="R58" s="68">
        <v>53.637063195126551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0.25843882125873752</v>
      </c>
      <c r="M59" s="115">
        <v>26.070580795516204</v>
      </c>
      <c r="N59" s="115">
        <v>2730.6956684515435</v>
      </c>
      <c r="O59" s="115">
        <v>28.716590371025429</v>
      </c>
      <c r="P59" s="115">
        <v>28.223555698348189</v>
      </c>
      <c r="Q59" s="111">
        <v>28.716590371025429</v>
      </c>
      <c r="R59" s="68">
        <v>28.223555698348189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2.9785195169844642E-2</v>
      </c>
      <c r="M60" s="115">
        <v>100.98009822113293</v>
      </c>
      <c r="N60" s="115">
        <v>10763.263643202166</v>
      </c>
      <c r="O60" s="115">
        <v>80.815282411711806</v>
      </c>
      <c r="P60" s="115">
        <v>55.10886310394595</v>
      </c>
      <c r="Q60" s="111">
        <v>80.815282411711806</v>
      </c>
      <c r="R60" s="68">
        <v>55.108863103945957</v>
      </c>
    </row>
    <row r="61" spans="1:18">
      <c r="A61" s="102" t="s">
        <v>480</v>
      </c>
      <c r="B61" s="102" t="s">
        <v>481</v>
      </c>
      <c r="D61" s="103" t="s">
        <v>410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2.4720811817106507</v>
      </c>
      <c r="M61" s="115">
        <v>59.950028478171269</v>
      </c>
      <c r="N61" s="115">
        <v>1899.3072964413016</v>
      </c>
      <c r="O61" s="115">
        <v>10.506062519311504</v>
      </c>
      <c r="P61" s="115">
        <v>10.564509237433914</v>
      </c>
      <c r="Q61" s="111">
        <v>10.506062519311504</v>
      </c>
      <c r="R61" s="68">
        <v>10.564509237433915</v>
      </c>
    </row>
    <row r="62" spans="1:18">
      <c r="A62" s="102" t="s">
        <v>482</v>
      </c>
      <c r="B62" s="102" t="s">
        <v>483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0.50847597505702802</v>
      </c>
      <c r="M62" s="115">
        <v>12.161090540849639</v>
      </c>
      <c r="N62" s="115">
        <v>1231.2773842511674</v>
      </c>
      <c r="O62" s="115">
        <v>12.800596779989094</v>
      </c>
      <c r="P62" s="115">
        <v>12.152381407695156</v>
      </c>
      <c r="Q62" s="111">
        <v>12.800596779989096</v>
      </c>
      <c r="R62" s="68">
        <v>12.152381407695156</v>
      </c>
    </row>
    <row r="63" spans="1:18">
      <c r="A63" s="102" t="s">
        <v>484</v>
      </c>
      <c r="B63" s="102" t="s">
        <v>485</v>
      </c>
      <c r="D63" s="103" t="s">
        <v>410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2.8483289229702851</v>
      </c>
      <c r="M63" s="115">
        <v>5.2446599116833861</v>
      </c>
      <c r="N63" s="115">
        <v>117.66883534356653</v>
      </c>
      <c r="O63" s="115">
        <v>1.119047784411926</v>
      </c>
      <c r="P63" s="115">
        <v>1.252640627095144</v>
      </c>
      <c r="Q63" s="111">
        <v>1.119047784411926</v>
      </c>
      <c r="R63" s="68">
        <v>1.252640627095144</v>
      </c>
    </row>
    <row r="64" spans="1:18">
      <c r="A64" s="102" t="s">
        <v>486</v>
      </c>
      <c r="B64" s="102" t="s">
        <v>487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0.99064996277955752</v>
      </c>
      <c r="M64" s="115">
        <v>0.95187706588555099</v>
      </c>
      <c r="N64" s="115">
        <v>2.2777250818894212</v>
      </c>
      <c r="O64" s="115">
        <v>0.88319026928744093</v>
      </c>
      <c r="P64" s="115">
        <v>1.055931125313172</v>
      </c>
      <c r="Q64" s="111">
        <v>0.88319026928744093</v>
      </c>
      <c r="R64" s="68">
        <v>1.0559311253131722</v>
      </c>
    </row>
    <row r="65" spans="1:18">
      <c r="A65" s="102" t="s">
        <v>488</v>
      </c>
      <c r="B65" s="102" t="s">
        <v>489</v>
      </c>
      <c r="D65" s="103" t="s">
        <v>410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1.2932956718310797</v>
      </c>
      <c r="M65" s="115">
        <v>1.3074090756981762</v>
      </c>
      <c r="N65" s="115">
        <v>9.569048280919537</v>
      </c>
      <c r="O65" s="115">
        <v>0.83481087261694809</v>
      </c>
      <c r="P65" s="115">
        <v>0.9695713530423391</v>
      </c>
      <c r="Q65" s="111">
        <v>0.83481087261694809</v>
      </c>
      <c r="R65" s="68">
        <v>0.9695713530423391</v>
      </c>
    </row>
    <row r="66" spans="1:18">
      <c r="A66" s="102" t="s">
        <v>490</v>
      </c>
      <c r="B66" s="102" t="s">
        <v>491</v>
      </c>
      <c r="D66" s="103" t="s">
        <v>410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4.8067014370117116</v>
      </c>
      <c r="M66" s="115">
        <v>43.435162680659481</v>
      </c>
      <c r="N66" s="115">
        <v>1092.9087321062161</v>
      </c>
      <c r="O66" s="115">
        <v>2.6105799366304852</v>
      </c>
      <c r="P66" s="115">
        <v>3.183099480567837</v>
      </c>
      <c r="Q66" s="111">
        <v>2.6105799366304856</v>
      </c>
      <c r="R66" s="68">
        <v>3.183099480567837</v>
      </c>
    </row>
    <row r="67" spans="1:18">
      <c r="A67" s="102" t="s">
        <v>492</v>
      </c>
      <c r="B67" s="102" t="s">
        <v>493</v>
      </c>
      <c r="D67" s="103" t="s">
        <v>410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1.2446103344519999</v>
      </c>
      <c r="M67" s="115">
        <v>1.2442598630957098</v>
      </c>
      <c r="N67" s="115">
        <v>7.9663725548149831</v>
      </c>
      <c r="O67" s="115">
        <v>0.8328632460258939</v>
      </c>
      <c r="P67" s="115">
        <v>0.9671621367665022</v>
      </c>
      <c r="Q67" s="111">
        <v>0.8328632460258939</v>
      </c>
      <c r="R67" s="68">
        <v>0.9671621367665022</v>
      </c>
    </row>
    <row r="68" spans="1:18">
      <c r="A68" s="102" t="s">
        <v>494</v>
      </c>
      <c r="B68" s="102" t="s">
        <v>495</v>
      </c>
      <c r="D68" s="103" t="s">
        <v>410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1.0279427616681887</v>
      </c>
      <c r="M68" s="115">
        <v>0.97710144683274147</v>
      </c>
      <c r="N68" s="115">
        <v>1.0554742604323593</v>
      </c>
      <c r="O68" s="115">
        <v>0.82315702591767992</v>
      </c>
      <c r="P68" s="115">
        <v>0.95654794044941871</v>
      </c>
      <c r="Q68" s="111">
        <v>0.82315702591768003</v>
      </c>
      <c r="R68" s="68">
        <v>0.95654794044941871</v>
      </c>
    </row>
    <row r="69" spans="1:18">
      <c r="A69" s="102" t="s">
        <v>496</v>
      </c>
      <c r="B69" s="102" t="s">
        <v>497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5.305712130535082E-2</v>
      </c>
      <c r="M69" s="115">
        <v>61.08694378123996</v>
      </c>
      <c r="N69" s="115">
        <v>6490.8704709243248</v>
      </c>
      <c r="O69" s="115">
        <v>59.71592817535182</v>
      </c>
      <c r="P69" s="115">
        <v>52.747185262652508</v>
      </c>
      <c r="Q69" s="111">
        <v>59.715928175351827</v>
      </c>
      <c r="R69" s="68">
        <v>52.747185262652508</v>
      </c>
    </row>
    <row r="70" spans="1:18">
      <c r="A70" s="102" t="s">
        <v>498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0.99087046625905861</v>
      </c>
      <c r="M70" s="115">
        <v>0.96092692188053785</v>
      </c>
      <c r="N70" s="115">
        <v>3.8092301069628149</v>
      </c>
      <c r="O70" s="115">
        <v>0.97042467933724885</v>
      </c>
      <c r="P70" s="115">
        <v>1.2114870726196176</v>
      </c>
      <c r="Q70" s="111">
        <v>0.97042467933724885</v>
      </c>
      <c r="R70" s="68">
        <v>1.2114870726196176</v>
      </c>
    </row>
    <row r="71" spans="1:18">
      <c r="A71" s="102" t="s">
        <v>499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0.98855523069984319</v>
      </c>
      <c r="M71" s="115">
        <v>0.98084648960257814</v>
      </c>
      <c r="N71" s="115">
        <v>6.9785357686624465</v>
      </c>
      <c r="O71" s="115">
        <v>1.1047735159259049</v>
      </c>
      <c r="P71" s="115">
        <v>1.4443290883198456</v>
      </c>
      <c r="Q71" s="111">
        <v>1.1047735159259049</v>
      </c>
      <c r="R71" s="68">
        <v>1.4443290883198456</v>
      </c>
    </row>
    <row r="72" spans="1:18">
      <c r="A72" s="102" t="s">
        <v>500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3.7937563217704959E-2</v>
      </c>
      <c r="M72" s="115">
        <v>44.699097798721745</v>
      </c>
      <c r="N72" s="115">
        <v>6270.6333786444748</v>
      </c>
      <c r="O72" s="115">
        <v>59.85229137524788</v>
      </c>
      <c r="P72" s="115">
        <v>84.378608912067577</v>
      </c>
      <c r="Q72" s="111">
        <v>59.85229137524788</v>
      </c>
      <c r="R72" s="68">
        <v>84.378608912067591</v>
      </c>
    </row>
    <row r="73" spans="1:18">
      <c r="A73" s="102" t="s">
        <v>501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0.27704783865322641</v>
      </c>
      <c r="M73" s="115">
        <v>4.3683965805152001</v>
      </c>
      <c r="N73" s="115">
        <v>577.37783652402265</v>
      </c>
      <c r="O73" s="115">
        <v>34.756350066022932</v>
      </c>
      <c r="P73" s="115">
        <v>60.632014389037046</v>
      </c>
      <c r="Q73" s="111">
        <v>34.756350066022932</v>
      </c>
      <c r="R73" s="68">
        <v>60.632014389037053</v>
      </c>
    </row>
    <row r="74" spans="1:18">
      <c r="A74" s="102" t="s">
        <v>502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0.98901838374869144</v>
      </c>
      <c r="M74" s="115">
        <v>0.97695839093017722</v>
      </c>
      <c r="N74" s="115">
        <v>6.3586638623811726</v>
      </c>
      <c r="O74" s="115">
        <v>1.0781093174013074</v>
      </c>
      <c r="P74" s="115">
        <v>1.3980817392915414</v>
      </c>
      <c r="Q74" s="111">
        <v>1.0781093174013074</v>
      </c>
      <c r="R74" s="68">
        <v>1.3980817392915414</v>
      </c>
    </row>
    <row r="75" spans="1:18">
      <c r="A75" s="102" t="s">
        <v>503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0.31358859620696938</v>
      </c>
      <c r="M75" s="115">
        <v>4.2423397379091057</v>
      </c>
      <c r="N75" s="115">
        <v>554.93674505527497</v>
      </c>
      <c r="O75" s="115">
        <v>33.087975657835301</v>
      </c>
      <c r="P75" s="115">
        <v>57.674999252852935</v>
      </c>
      <c r="Q75" s="111">
        <v>33.087975657835301</v>
      </c>
      <c r="R75" s="68">
        <v>57.674999252852935</v>
      </c>
    </row>
    <row r="76" spans="1:18">
      <c r="A76" s="102" t="s">
        <v>504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0.89410444275885492</v>
      </c>
      <c r="M76" s="115">
        <v>1.5890996995100293</v>
      </c>
      <c r="N76" s="115">
        <v>105.99775711365953</v>
      </c>
      <c r="O76" s="115">
        <v>5.9818586823518975</v>
      </c>
      <c r="P76" s="115">
        <v>9.9589966855933678</v>
      </c>
      <c r="Q76" s="111">
        <v>5.9818586823518975</v>
      </c>
      <c r="R76" s="68">
        <v>9.9589966855933696</v>
      </c>
    </row>
    <row r="77" spans="1:18">
      <c r="A77" s="102" t="s">
        <v>505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0.2872150138742075</v>
      </c>
      <c r="M77" s="115">
        <v>4.3341388587258498</v>
      </c>
      <c r="N77" s="115">
        <v>571.24655673584039</v>
      </c>
      <c r="O77" s="115">
        <v>34.292487531992556</v>
      </c>
      <c r="P77" s="115">
        <v>59.809421968204099</v>
      </c>
      <c r="Q77" s="111">
        <v>34.292487531992556</v>
      </c>
      <c r="R77" s="68">
        <v>59.809421968204106</v>
      </c>
    </row>
    <row r="78" spans="1:18">
      <c r="A78" s="102" t="s">
        <v>506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4.2002285643420102E-2</v>
      </c>
      <c r="M78" s="115">
        <v>37.384910460398252</v>
      </c>
      <c r="N78" s="115">
        <v>5243.2129037975892</v>
      </c>
      <c r="O78" s="115">
        <v>57.043319731279922</v>
      </c>
      <c r="P78" s="115">
        <v>83.230984337874887</v>
      </c>
      <c r="Q78" s="111">
        <v>57.043319731279929</v>
      </c>
      <c r="R78" s="68">
        <v>83.230984337874887</v>
      </c>
    </row>
    <row r="79" spans="1:18">
      <c r="A79" s="102" t="s">
        <v>507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4.2002291010393059E-2</v>
      </c>
      <c r="M79" s="115">
        <v>37.384887511955149</v>
      </c>
      <c r="N79" s="115">
        <v>5243.2106648583622</v>
      </c>
      <c r="O79" s="115">
        <v>57.043312003697736</v>
      </c>
      <c r="P79" s="115">
        <v>83.230991543642034</v>
      </c>
      <c r="Q79" s="111">
        <v>57.043312003697743</v>
      </c>
      <c r="R79" s="68">
        <v>83.230991543642034</v>
      </c>
    </row>
    <row r="80" spans="1:18">
      <c r="A80" s="102" t="s">
        <v>508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0.67446346615565422</v>
      </c>
      <c r="M80" s="115">
        <v>2.7216226867291526</v>
      </c>
      <c r="N80" s="115">
        <v>294.35137298661868</v>
      </c>
      <c r="O80" s="115">
        <v>16.430815998796092</v>
      </c>
      <c r="P80" s="115">
        <v>28.293480615995882</v>
      </c>
      <c r="Q80" s="111">
        <v>16.430815998796092</v>
      </c>
      <c r="R80" s="68">
        <v>28.293480615995886</v>
      </c>
    </row>
    <row r="81" spans="1:18">
      <c r="A81" s="102" t="s">
        <v>509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0.97345371155659566</v>
      </c>
      <c r="M81" s="115">
        <v>1.0954856854341275</v>
      </c>
      <c r="N81" s="115">
        <v>25.403942185171122</v>
      </c>
      <c r="O81" s="115">
        <v>1.9423179677071867</v>
      </c>
      <c r="P81" s="115">
        <v>2.9010562550849084</v>
      </c>
      <c r="Q81" s="111">
        <v>1.9423179677071867</v>
      </c>
      <c r="R81" s="68">
        <v>2.9010562550849088</v>
      </c>
    </row>
    <row r="82" spans="1:18">
      <c r="A82" s="102" t="s">
        <v>510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0.94038432275213557</v>
      </c>
      <c r="M82" s="115">
        <v>1.3138229008550533</v>
      </c>
      <c r="N82" s="115">
        <v>60.882712896818447</v>
      </c>
      <c r="O82" s="115">
        <v>3.6707044451609758</v>
      </c>
      <c r="P82" s="115">
        <v>5.91706444139031</v>
      </c>
      <c r="Q82" s="111">
        <v>3.6707044451609758</v>
      </c>
      <c r="R82" s="68">
        <v>5.9170644413903108</v>
      </c>
    </row>
    <row r="83" spans="1:18">
      <c r="A83" s="102" t="s">
        <v>511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2.8556677853329177E-2</v>
      </c>
      <c r="M83" s="115">
        <v>72.782338297772185</v>
      </c>
      <c r="N83" s="115">
        <v>10214.693059702171</v>
      </c>
      <c r="O83" s="115">
        <v>70.362564868668301</v>
      </c>
      <c r="P83" s="115">
        <v>88.286764280516522</v>
      </c>
      <c r="Q83" s="111">
        <v>70.362564868668301</v>
      </c>
      <c r="R83" s="68">
        <v>88.286764280516522</v>
      </c>
    </row>
    <row r="84" spans="1:18">
      <c r="A84" s="102" t="s">
        <v>395</v>
      </c>
      <c r="B84" s="102" t="s">
        <v>396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0.61835680883867916</v>
      </c>
      <c r="M84" s="115">
        <v>7.9741686952675277</v>
      </c>
      <c r="N84" s="115">
        <v>778.22598287662095</v>
      </c>
      <c r="O84" s="115">
        <v>8.2120601532903432</v>
      </c>
      <c r="P84" s="115">
        <v>7.7159382229032687</v>
      </c>
      <c r="Q84" s="111">
        <v>8.2120601532903432</v>
      </c>
      <c r="R84" s="68">
        <v>7.7159382229032687</v>
      </c>
    </row>
    <row r="85" spans="1:18">
      <c r="A85" s="102" t="s">
        <v>397</v>
      </c>
      <c r="B85" s="102" t="s">
        <v>398</v>
      </c>
      <c r="D85" s="103" t="s">
        <v>410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1.1760873382281531</v>
      </c>
      <c r="M85" s="115">
        <v>1564.5102223569136</v>
      </c>
      <c r="N85" s="115">
        <v>40121.060532016127</v>
      </c>
      <c r="O85" s="115">
        <v>39.840273154677242</v>
      </c>
      <c r="P85" s="115">
        <v>35.892688659070949</v>
      </c>
      <c r="Q85" s="111">
        <v>39.840273154677249</v>
      </c>
      <c r="R85" s="68">
        <v>35.892688659070949</v>
      </c>
    </row>
    <row r="86" spans="1:18">
      <c r="A86" s="102" t="s">
        <v>399</v>
      </c>
      <c r="B86" s="102" t="s">
        <v>400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2.7991506586646743E-3</v>
      </c>
      <c r="M86" s="115">
        <v>293.15563001116709</v>
      </c>
      <c r="N86" s="115">
        <v>31508.372778200548</v>
      </c>
      <c r="O86" s="115">
        <v>185.71397883237529</v>
      </c>
      <c r="P86" s="115">
        <v>74.735872351082719</v>
      </c>
      <c r="Q86" s="111">
        <v>185.71397883237529</v>
      </c>
      <c r="R86" s="68">
        <v>74.735872351082733</v>
      </c>
    </row>
    <row r="87" spans="1:18">
      <c r="A87" s="102" t="s">
        <v>401</v>
      </c>
      <c r="B87" s="102" t="s">
        <v>402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1.0219153256077903E-3</v>
      </c>
      <c r="M87" s="115">
        <v>351.90713069078669</v>
      </c>
      <c r="N87" s="115">
        <v>37927.426521088339</v>
      </c>
      <c r="O87" s="115">
        <v>218.12741709592345</v>
      </c>
      <c r="P87" s="115">
        <v>82.405416770315654</v>
      </c>
      <c r="Q87" s="111">
        <v>218.12741709592348</v>
      </c>
      <c r="R87" s="68">
        <v>82.405416770315668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3.0025573479851991E-4</v>
      </c>
      <c r="M88" s="115">
        <v>400.32595930723329</v>
      </c>
      <c r="N88" s="115">
        <v>43279.857277177347</v>
      </c>
      <c r="O88" s="115">
        <v>244.65836642512261</v>
      </c>
      <c r="P88" s="115">
        <v>89.236135389856329</v>
      </c>
      <c r="Q88" s="111">
        <v>244.65836642512261</v>
      </c>
      <c r="R88" s="68">
        <v>89.236135389856344</v>
      </c>
    </row>
    <row r="89" spans="1:18">
      <c r="A89" s="102" t="s">
        <v>303</v>
      </c>
      <c r="B89" s="102" t="s">
        <v>304</v>
      </c>
      <c r="D89" s="103" t="s">
        <v>410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1.5467431118239269E-2</v>
      </c>
      <c r="M89" s="115">
        <v>3310.3580025503024</v>
      </c>
      <c r="N89" s="115">
        <v>85788.713384742994</v>
      </c>
      <c r="O89" s="115">
        <v>65.537717884499344</v>
      </c>
      <c r="P89" s="115">
        <v>22.61451371911555</v>
      </c>
      <c r="Q89" s="111">
        <v>65.537717884499358</v>
      </c>
      <c r="R89" s="68">
        <v>22.61451371911555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0.98281487927377653</v>
      </c>
      <c r="M90" s="115">
        <v>0.94100169870262707</v>
      </c>
      <c r="N90" s="115">
        <v>1.4991053456184966</v>
      </c>
      <c r="O90" s="115">
        <v>0.82400978827504401</v>
      </c>
      <c r="P90" s="115">
        <v>0.95297494975356878</v>
      </c>
      <c r="Q90" s="111">
        <v>0.82400978827504401</v>
      </c>
      <c r="R90" s="68">
        <v>0.95297494975356889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0.88322401519874383</v>
      </c>
      <c r="M91" s="115">
        <v>1.7227345730233647</v>
      </c>
      <c r="N91" s="115">
        <v>93.76704009473309</v>
      </c>
      <c r="O91" s="115">
        <v>1.6038697631029895</v>
      </c>
      <c r="P91" s="115">
        <v>1.5994993300439848</v>
      </c>
      <c r="Q91" s="111">
        <v>1.6038697631029897</v>
      </c>
      <c r="R91" s="68">
        <v>1.599499330043985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0.41705044797556484</v>
      </c>
      <c r="M92" s="115">
        <v>16.402879078829443</v>
      </c>
      <c r="N92" s="115">
        <v>1689.1578108136282</v>
      </c>
      <c r="O92" s="115">
        <v>17.547616964026528</v>
      </c>
      <c r="P92" s="115">
        <v>16.843408543995235</v>
      </c>
      <c r="Q92" s="111">
        <v>17.547616964026528</v>
      </c>
      <c r="R92" s="68">
        <v>16.843408543995235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0.99295137971197334</v>
      </c>
      <c r="M93" s="115">
        <v>0.94072079996682267</v>
      </c>
      <c r="N93" s="115">
        <v>0.62205061631120906</v>
      </c>
      <c r="O93" s="115">
        <v>0.84309634795708355</v>
      </c>
      <c r="P93" s="115">
        <v>0.99149169254677494</v>
      </c>
      <c r="Q93" s="111">
        <v>0.84309634795708355</v>
      </c>
      <c r="R93" s="68">
        <v>0.99149169254677494</v>
      </c>
    </row>
    <row r="94" spans="1:18">
      <c r="A94" s="102" t="s">
        <v>433</v>
      </c>
      <c r="B94" s="102" t="s">
        <v>434</v>
      </c>
      <c r="D94" s="103" t="s">
        <v>410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0.99850379788586785</v>
      </c>
      <c r="M94" s="115">
        <v>0.94264417851219628</v>
      </c>
      <c r="N94" s="115">
        <v>0.15093397458029575</v>
      </c>
      <c r="O94" s="115">
        <v>0.8221106008715241</v>
      </c>
      <c r="P94" s="115">
        <v>0.95554898103613417</v>
      </c>
      <c r="Q94" s="111">
        <v>0.82211060087152421</v>
      </c>
      <c r="R94" s="68">
        <v>0.95554898103613428</v>
      </c>
    </row>
    <row r="95" spans="1:18">
      <c r="A95" s="102" t="s">
        <v>435</v>
      </c>
      <c r="B95" s="102" t="s">
        <v>436</v>
      </c>
      <c r="D95" s="103" t="s">
        <v>410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0.97878999667663447</v>
      </c>
      <c r="M95" s="115">
        <v>0.98594742989620088</v>
      </c>
      <c r="N95" s="115">
        <v>6.6066945827608903</v>
      </c>
      <c r="O95" s="115">
        <v>0.85116070643845343</v>
      </c>
      <c r="P95" s="115">
        <v>0.96821960576278354</v>
      </c>
      <c r="Q95" s="111">
        <v>0.85116070643845354</v>
      </c>
      <c r="R95" s="68">
        <v>0.96821960576278365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3.988027972114061E-3</v>
      </c>
      <c r="M96" s="115">
        <v>268.06997967749373</v>
      </c>
      <c r="N96" s="115">
        <v>28782.324316756552</v>
      </c>
      <c r="O96" s="115">
        <v>171.88491862197557</v>
      </c>
      <c r="P96" s="115">
        <v>71.679956913916314</v>
      </c>
      <c r="Q96" s="111">
        <v>171.88491862197557</v>
      </c>
      <c r="R96" s="68">
        <v>71.679956913916314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0.82998964574925371</v>
      </c>
      <c r="M97" s="115">
        <v>2.5471253332450408</v>
      </c>
      <c r="N97" s="115">
        <v>185.72005809820689</v>
      </c>
      <c r="O97" s="115">
        <v>2.4486218628609207</v>
      </c>
      <c r="P97" s="115">
        <v>2.3470070693731193</v>
      </c>
      <c r="Q97" s="111">
        <v>2.4486218628609211</v>
      </c>
      <c r="R97" s="68">
        <v>2.3470070693731193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0.87477976813059644</v>
      </c>
      <c r="M98" s="115">
        <v>1.8387127397912248</v>
      </c>
      <c r="N98" s="115">
        <v>106.80181979986092</v>
      </c>
      <c r="O98" s="115">
        <v>1.721762689215288</v>
      </c>
      <c r="P98" s="115">
        <v>1.7024044126722742</v>
      </c>
      <c r="Q98" s="111">
        <v>1.721762689215288</v>
      </c>
      <c r="R98" s="68">
        <v>1.7024044126722742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0.94110853128676242</v>
      </c>
      <c r="M99" s="115">
        <v>1.1212742768456416</v>
      </c>
      <c r="N99" s="115">
        <v>24.678158611403198</v>
      </c>
      <c r="O99" s="115">
        <v>1.0003835712844682</v>
      </c>
      <c r="P99" s="115">
        <v>1.0871800054825325</v>
      </c>
      <c r="Q99" s="111">
        <v>1.0003835712844684</v>
      </c>
      <c r="R99" s="68">
        <v>1.0871800054825325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2.3725091127578063E-2</v>
      </c>
      <c r="M100" s="115">
        <v>119.59321221650926</v>
      </c>
      <c r="N100" s="115">
        <v>12760.377785409515</v>
      </c>
      <c r="O100" s="115">
        <v>90.856636629187847</v>
      </c>
      <c r="P100" s="115">
        <v>56.625738908030158</v>
      </c>
      <c r="Q100" s="111">
        <v>90.856636629187847</v>
      </c>
      <c r="R100" s="68">
        <v>56.625738908030165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0.4961711510541853</v>
      </c>
      <c r="M101" s="115">
        <v>12.693395360592069</v>
      </c>
      <c r="N101" s="115">
        <v>1288.7737720725772</v>
      </c>
      <c r="O101" s="115">
        <v>13.390981841142318</v>
      </c>
      <c r="P101" s="115">
        <v>12.73053028747699</v>
      </c>
      <c r="Q101" s="111">
        <v>13.390981841142318</v>
      </c>
      <c r="R101" s="68">
        <v>12.73053028747699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0.19962261848869881</v>
      </c>
      <c r="M102" s="115">
        <v>30.551651034038628</v>
      </c>
      <c r="N102" s="115">
        <v>3213.4673697837538</v>
      </c>
      <c r="O102" s="115">
        <v>34.083516085177983</v>
      </c>
      <c r="P102" s="115">
        <v>33.867057756317621</v>
      </c>
      <c r="Q102" s="111">
        <v>34.083516085177983</v>
      </c>
      <c r="R102" s="68">
        <v>33.867057756317621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0.98382125786516939</v>
      </c>
      <c r="M103" s="115">
        <v>1.0188335896211103</v>
      </c>
      <c r="N103" s="115">
        <v>13.055198353111875</v>
      </c>
      <c r="O103" s="115">
        <v>1.3727996416866801</v>
      </c>
      <c r="P103" s="115">
        <v>1.9097799274107579</v>
      </c>
      <c r="Q103" s="111">
        <v>1.3727996416866801</v>
      </c>
      <c r="R103" s="68">
        <v>1.9097799274107581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0.1025237961105756</v>
      </c>
      <c r="M104" s="115">
        <v>7.4616872987177647</v>
      </c>
      <c r="N104" s="115">
        <v>1019.393792935425</v>
      </c>
      <c r="O104" s="115">
        <v>43.52634846828046</v>
      </c>
      <c r="P104" s="115">
        <v>74.730184810241781</v>
      </c>
      <c r="Q104" s="111">
        <v>43.52634846828046</v>
      </c>
      <c r="R104" s="68">
        <v>74.730184810241781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0.9807032248832358</v>
      </c>
      <c r="M105" s="115">
        <v>0.94224873996629244</v>
      </c>
      <c r="N105" s="115">
        <v>1.834610905697541</v>
      </c>
      <c r="O105" s="115">
        <v>0.82598477394826919</v>
      </c>
      <c r="P105" s="115">
        <v>0.95370875640749064</v>
      </c>
      <c r="Q105" s="111">
        <v>0.82598477394826919</v>
      </c>
      <c r="R105" s="68">
        <v>0.95370875640749064</v>
      </c>
    </row>
    <row r="106" spans="1:18">
      <c r="A106" s="102" t="s">
        <v>457</v>
      </c>
      <c r="B106" s="102" t="s">
        <v>458</v>
      </c>
      <c r="D106" s="103" t="s">
        <v>410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0.97618358206570333</v>
      </c>
      <c r="M106" s="115">
        <v>0.98832260044242581</v>
      </c>
      <c r="N106" s="115">
        <v>7.1166895867352862</v>
      </c>
      <c r="O106" s="115">
        <v>0.85437378730697666</v>
      </c>
      <c r="P106" s="115">
        <v>0.97030033101042668</v>
      </c>
      <c r="Q106" s="111">
        <v>0.85437378730697677</v>
      </c>
      <c r="R106" s="68">
        <v>0.97030033101042679</v>
      </c>
    </row>
    <row r="107" spans="1:18">
      <c r="A107" s="102" t="s">
        <v>459</v>
      </c>
      <c r="B107" s="102" t="s">
        <v>460</v>
      </c>
      <c r="D107" s="103" t="s">
        <v>410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0.18925238751650383</v>
      </c>
      <c r="M107" s="115">
        <v>57.942206707558135</v>
      </c>
      <c r="N107" s="115">
        <v>4226.789000972989</v>
      </c>
      <c r="O107" s="115">
        <v>39.691499380733156</v>
      </c>
      <c r="P107" s="115">
        <v>39.939008646953894</v>
      </c>
      <c r="Q107" s="111">
        <v>39.691499380733156</v>
      </c>
      <c r="R107" s="68">
        <v>39.939008646953894</v>
      </c>
    </row>
    <row r="108" spans="1:18">
      <c r="A108" s="102" t="s">
        <v>461</v>
      </c>
      <c r="B108" s="102" t="s">
        <v>462</v>
      </c>
      <c r="D108" s="103" t="s">
        <v>410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0.9959770916739914</v>
      </c>
      <c r="M108" s="115">
        <v>0.93975408108605629</v>
      </c>
      <c r="N108" s="115">
        <v>7.812258672174463E-2</v>
      </c>
      <c r="O108" s="115">
        <v>0.82201153711124342</v>
      </c>
      <c r="P108" s="115">
        <v>0.95543428708080924</v>
      </c>
      <c r="Q108" s="111">
        <v>0.82201153711124342</v>
      </c>
      <c r="R108" s="68">
        <v>0.95543428708080935</v>
      </c>
    </row>
    <row r="109" spans="1:18">
      <c r="A109" s="102" t="s">
        <v>463</v>
      </c>
      <c r="B109" s="102" t="s">
        <v>464</v>
      </c>
      <c r="D109" s="103" t="s">
        <v>410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3.9283976482760821</v>
      </c>
      <c r="M109" s="115">
        <v>11.58139215823044</v>
      </c>
      <c r="N109" s="115">
        <v>276.17838044027638</v>
      </c>
      <c r="O109" s="115">
        <v>1.2976970601203319</v>
      </c>
      <c r="P109" s="115">
        <v>1.5090184934298145</v>
      </c>
      <c r="Q109" s="111">
        <v>1.2976970601203321</v>
      </c>
      <c r="R109" s="68">
        <v>1.5090184934298145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0.99073277081931699</v>
      </c>
      <c r="M110" s="115">
        <v>0.93633244268907301</v>
      </c>
      <c r="N110" s="115">
        <v>0.22280703234214738</v>
      </c>
      <c r="O110" s="115">
        <v>0.82133321418323335</v>
      </c>
      <c r="P110" s="115">
        <v>0.95425056124184915</v>
      </c>
      <c r="Q110" s="111">
        <v>0.82133321418323346</v>
      </c>
      <c r="R110" s="68">
        <v>0.95425056124184926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0.99334073292649672</v>
      </c>
      <c r="M111" s="115">
        <v>0.9367429517598298</v>
      </c>
      <c r="N111" s="115">
        <v>3.233548466489493E-3</v>
      </c>
      <c r="O111" s="115">
        <v>0.82201934906294816</v>
      </c>
      <c r="P111" s="115">
        <v>0.95549483003162883</v>
      </c>
      <c r="Q111" s="111">
        <v>0.82201934906294827</v>
      </c>
      <c r="R111" s="68">
        <v>0.95549483003162894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0.98996079205170429</v>
      </c>
      <c r="M112" s="115">
        <v>0.93514420559988909</v>
      </c>
      <c r="N112" s="115">
        <v>0.16840253377945541</v>
      </c>
      <c r="O112" s="115">
        <v>0.81922773442544339</v>
      </c>
      <c r="P112" s="115">
        <v>0.95158222005242032</v>
      </c>
      <c r="Q112" s="111">
        <v>0.81922773442544339</v>
      </c>
      <c r="R112" s="68">
        <v>0.95158222005242032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0.97412648200744945</v>
      </c>
      <c r="M113" s="115">
        <v>0.95602607960296626</v>
      </c>
      <c r="N113" s="115">
        <v>3.9422903304822619</v>
      </c>
      <c r="O113" s="115">
        <v>0.83913546653216731</v>
      </c>
      <c r="P113" s="115">
        <v>0.96212569563697103</v>
      </c>
      <c r="Q113" s="111">
        <v>0.83913546653216731</v>
      </c>
      <c r="R113" s="68">
        <v>0.96212569563697115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0.99159059007351535</v>
      </c>
      <c r="M114" s="115">
        <v>0.93557097934872935</v>
      </c>
      <c r="N114" s="115">
        <v>5.2227126565281341E-2</v>
      </c>
      <c r="O114" s="115">
        <v>0.81956864575789246</v>
      </c>
      <c r="P114" s="115">
        <v>0.9524132293732489</v>
      </c>
      <c r="Q114" s="111">
        <v>0.81956864575789257</v>
      </c>
      <c r="R114" s="68">
        <v>0.9524132293732489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0.99110389664380205</v>
      </c>
      <c r="M115" s="115">
        <v>0.95881151265768727</v>
      </c>
      <c r="N115" s="115">
        <v>3.4729827967989069</v>
      </c>
      <c r="O115" s="115">
        <v>0.95640493588949682</v>
      </c>
      <c r="P115" s="115">
        <v>1.1871989384819912</v>
      </c>
      <c r="Q115" s="111">
        <v>0.95640493588949682</v>
      </c>
      <c r="R115" s="68">
        <v>1.1871989384819912</v>
      </c>
    </row>
    <row r="116" spans="1:18">
      <c r="A116" s="102" t="s">
        <v>477</v>
      </c>
      <c r="B116" s="102" t="s">
        <v>478</v>
      </c>
      <c r="D116" s="103" t="s">
        <v>410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2.8645159858284854</v>
      </c>
      <c r="M116" s="115">
        <v>440.11137726294891</v>
      </c>
      <c r="N116" s="115">
        <v>11319.57099925582</v>
      </c>
      <c r="O116" s="115">
        <v>22.593280104384316</v>
      </c>
      <c r="P116" s="115">
        <v>29.379402310256211</v>
      </c>
      <c r="Q116" s="111">
        <v>22.593280104384316</v>
      </c>
      <c r="R116" s="68">
        <v>29.379402310256214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0.75997236548861757</v>
      </c>
      <c r="M117" s="115">
        <v>3.9701992084570814</v>
      </c>
      <c r="N117" s="115">
        <v>342.32287018871176</v>
      </c>
      <c r="O117" s="115">
        <v>3.9326750180641796</v>
      </c>
      <c r="P117" s="115">
        <v>3.6965199383397471</v>
      </c>
      <c r="Q117" s="111">
        <v>3.9326750180641796</v>
      </c>
      <c r="R117" s="68">
        <v>3.6965199383397471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354</v>
      </c>
      <c r="B3" s="102" t="s">
        <v>355</v>
      </c>
      <c r="D3" s="107" t="s">
        <v>410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356</v>
      </c>
      <c r="B4" s="102" t="s">
        <v>357</v>
      </c>
      <c r="D4" s="107" t="s">
        <v>410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358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359</v>
      </c>
      <c r="B10" s="102" t="s">
        <v>360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361</v>
      </c>
      <c r="B11" s="102" t="s">
        <v>362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363</v>
      </c>
      <c r="B12" s="102" t="s">
        <v>364</v>
      </c>
      <c r="D12" s="107" t="s">
        <v>410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365</v>
      </c>
      <c r="B14" s="102" t="s">
        <v>366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367</v>
      </c>
      <c r="B15" s="102" t="s">
        <v>368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369</v>
      </c>
      <c r="B16" s="102" t="s">
        <v>370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371</v>
      </c>
      <c r="B17" s="102" t="s">
        <v>372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373</v>
      </c>
      <c r="B18" s="102" t="s">
        <v>374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375</v>
      </c>
      <c r="B19" s="102" t="s">
        <v>376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377</v>
      </c>
      <c r="B20" s="102" t="s">
        <v>378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379</v>
      </c>
      <c r="B21" s="102" t="s">
        <v>380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381</v>
      </c>
      <c r="B23" s="102" t="s">
        <v>382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383</v>
      </c>
      <c r="B24" s="102" t="s">
        <v>384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385</v>
      </c>
      <c r="B25" s="102" t="s">
        <v>386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387</v>
      </c>
      <c r="B26" s="102" t="s">
        <v>388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389</v>
      </c>
      <c r="B27" s="102" t="s">
        <v>390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391</v>
      </c>
      <c r="B28" s="102" t="s">
        <v>392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393</v>
      </c>
      <c r="B30" s="102" t="s">
        <v>394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403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344</v>
      </c>
      <c r="B33" s="102" t="s">
        <v>404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345</v>
      </c>
      <c r="B34" s="102" t="s">
        <v>405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346</v>
      </c>
      <c r="B35" s="102" t="s">
        <v>406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347</v>
      </c>
      <c r="B36" s="102" t="s">
        <v>407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348</v>
      </c>
      <c r="B37" s="102" t="s">
        <v>349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350</v>
      </c>
      <c r="B38" s="102" t="s">
        <v>351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352</v>
      </c>
      <c r="B39" s="102" t="s">
        <v>408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353</v>
      </c>
      <c r="B40" s="102" t="s">
        <v>409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480</v>
      </c>
      <c r="B61" s="102" t="s">
        <v>481</v>
      </c>
      <c r="D61" s="107" t="s">
        <v>410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482</v>
      </c>
      <c r="B62" s="102" t="s">
        <v>483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484</v>
      </c>
      <c r="B63" s="102" t="s">
        <v>485</v>
      </c>
      <c r="D63" s="107" t="s">
        <v>410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486</v>
      </c>
      <c r="B64" s="102" t="s">
        <v>487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488</v>
      </c>
      <c r="B65" s="102" t="s">
        <v>489</v>
      </c>
      <c r="D65" s="107" t="s">
        <v>410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490</v>
      </c>
      <c r="B66" s="102" t="s">
        <v>491</v>
      </c>
      <c r="D66" s="107" t="s">
        <v>410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492</v>
      </c>
      <c r="B67" s="102" t="s">
        <v>493</v>
      </c>
      <c r="D67" s="107" t="s">
        <v>410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494</v>
      </c>
      <c r="B68" s="102" t="s">
        <v>495</v>
      </c>
      <c r="D68" s="107" t="s">
        <v>410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496</v>
      </c>
      <c r="B69" s="102" t="s">
        <v>497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498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499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500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501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502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503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504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505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506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507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508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509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510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511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395</v>
      </c>
      <c r="B84" s="102" t="s">
        <v>396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397</v>
      </c>
      <c r="B85" s="102" t="s">
        <v>398</v>
      </c>
      <c r="D85" s="107" t="s">
        <v>410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399</v>
      </c>
      <c r="B86" s="102" t="s">
        <v>400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401</v>
      </c>
      <c r="B87" s="102" t="s">
        <v>402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410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410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410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410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410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410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410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410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Input System Parameters</vt:lpstr>
      <vt:lpstr>Well Plate Characteristics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2025-02-02T13:17:49Z</dcterms:modified>
</cp:coreProperties>
</file>