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DD25A073-A643-44A7-B85C-0F46A22CB5D0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<sst xmlns="http://schemas.openxmlformats.org/spreadsheetml/2006/main" count="2915" uniqueCount="495">
  <si>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</si>
  <si>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</si>
  <si>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</si>
  <si>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</si>
  <si>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</si>
  <si>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</si>
  <si>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</si>
  <si>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</si>
  <si>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</si>
  <si>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</si>
  <si>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</si>
  <si>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</si>
  <si>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</si>
  <si>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</si>
  <si>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</si>
  <si>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</si>
  <si>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</si>
  <si>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</si>
  <si>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</si>
  <si>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</si>
  <si>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</si>
  <si>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</si>
  <si>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</si>
  <si>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</si>
  <si>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</si>
  <si>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</si>
  <si>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</si>
  <si>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</si>
  <si>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</si>
  <si>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</si>
  <si>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</si>
  <si>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</si>
  <si>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</si>
  <si>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</si>
  <si>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</si>
  <si>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</si>
  <si>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</si>
  <si>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</si>
  <si>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</si>
  <si>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</si>
  <si>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</si>
  <si>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</si>
  <si>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</si>
  <si>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</si>
  <si>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</si>
  <si>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</si>
  <si>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</si>
  <si>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</si>
  <si>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</si>
  <si>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</si>
  <si>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</si>
  <si>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</si>
  <si>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</si>
  <si>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</si>
  <si>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</si>
  <si>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</si>
  <si>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</si>
  <si>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</si>
  <si>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</si>
  <si>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</si>
  <si>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</si>
  <si>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</si>
  <si>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</si>
  <si>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</si>
  <si>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</si>
  <si>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</si>
  <si>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</si>
  <si>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</si>
  <si>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</si>
  <si>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</si>
  <si>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</si>
  <si>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</si>
  <si>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</si>
  <si>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</si>
  <si>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</si>
  <si>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</si>
  <si>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</si>
  <si>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</si>
  <si>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</si>
  <si>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</si>
  <si>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</si>
  <si>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</si>
  <si>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</si>
  <si>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</si>
  <si>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</si>
  <si>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</si>
  <si>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</si>
  <si>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</si>
  <si>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</si>
  <si>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</si>
  <si>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</si>
  <si>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</si>
  <si>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</si>
  <si>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</si>
  <si>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</si>
  <si>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</si>
  <si>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</si>
  <si>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</si>
  <si>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</si>
  <si>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</si>
  <si>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</si>
  <si>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</si>
  <si>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</si>
  <si>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</si>
  <si>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</si>
  <si>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</si>
  <si>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</si>
  <si>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</si>
  <si>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</si>
  <si>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</si>
  <si>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</si>
  <si>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</si>
  <si>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</si>
  <si>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</si>
  <si>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</si>
  <si>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</si>
  <si>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</si>
  <si>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</si>
  <si>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</si>
  <si>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</si>
  <si>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</si>
  <si>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</si>
  <si>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</si>
  <si>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</si>
  <si>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</si>
  <si>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</si>
  <si>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</si>
  <si>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</si>
  <si>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</si>
  <si>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</si>
  <si>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</si>
  <si>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</si>
  <si>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</si>
  <si>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</si>
  <si>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</si>
  <si>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</si>
  <si>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</si>
  <si>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</si>
  <si>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</si>
  <si>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</si>
  <si>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</si>
  <si>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</si>
  <si>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</si>
  <si>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</si>
  <si>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</si>
  <si>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</si>
  <si>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</si>
  <si>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</si>
  <si>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</si>
  <si>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</si>
  <si>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</si>
  <si>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</si>
  <si>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</si>
  <si>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</si>
  <si>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</si>
  <si>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</si>
  <si>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</si>
  <si>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</si>
  <si>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</si>
  <si>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</si>
  <si>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</si>
  <si>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</si>
  <si>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</si>
  <si>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</si>
  <si>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</si>
  <si>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</si>
  <si>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</si>
  <si>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</si>
  <si>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</si>
  <si>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</si>
  <si>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</si>
  <si>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</si>
  <si>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</si>
  <si>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</si>
  <si>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</si>
  <si>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</si>
  <si>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</si>
  <si>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</si>
  <si>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</si>
  <si>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</si>
  <si>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</si>
  <si>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</si>
  <si>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</si>
  <si>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</si>
  <si>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</si>
  <si>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</si>
  <si>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</si>
  <si>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</si>
  <si>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</si>
  <si>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</si>
  <si>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</si>
  <si>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</si>
  <si>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</si>
  <si>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</si>
  <si>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</si>
  <si>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</si>
  <si>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</si>
  <si>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</si>
  <si>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</si>
  <si>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</si>
  <si>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</si>
  <si>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</si>
  <si>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</si>
  <si>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</si>
  <si>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</si>
  <si>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</si>
  <si>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</si>
  <si>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</si>
  <si>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</si>
  <si>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</si>
  <si>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</si>
  <si>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</si>
  <si>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</si>
  <si>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</si>
  <si>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</si>
  <si>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</si>
  <si>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</si>
  <si>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</si>
  <si>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</si>
  <si>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</si>
  <si>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</si>
  <si>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</si>
  <si>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</si>
  <si>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</si>
  <si>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</si>
  <si>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</si>
  <si>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</si>
  <si>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</si>
  <si>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</si>
  <si>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</si>
  <si>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</si>
  <si>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</si>
  <si>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</si>
  <si>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</si>
  <si>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</si>
  <si>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</si>
  <si>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</si>
  <si>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</si>
  <si>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</si>
  <si>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</si>
  <si>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</si>
  <si>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</si>
  <si>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</si>
  <si>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</si>
  <si>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</si>
  <si>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</si>
  <si>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</si>
  <si>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</si>
  <si>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</si>
  <si>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</si>
  <si>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</si>
  <si>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</si>
  <si>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</si>
  <si>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</si>
  <si>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</si>
  <si>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</si>
  <si>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</si>
  <si>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</si>
  <si>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</si>
  <si>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</si>
  <si>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</si>
  <si>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</si>
  <si>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</si>
  <si>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</si>
  <si>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</si>
  <si>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</si>
  <si>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</si>
  <si>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</si>
  <si>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</si>
  <si>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</si>
  <si>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</si>
  <si>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</si>
  <si>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</si>
  <si>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</si>
  <si>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</si>
  <si>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</si>
  <si>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</si>
  <si>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</si>
  <si>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</si>
  <si>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</si>
  <si>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</si>
  <si>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</si>
  <si>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</si>
  <si>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</si>
  <si>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</si>
  <si>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</si>
  <si>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</si>
  <si>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</si>
  <si>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</si>
  <si>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</si>
  <si>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</si>
  <si>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</si>
  <si>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</si>
  <si>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</si>
  <si>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</si>
  <si>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</si>
  <si>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</si>
  <si>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</si>
  <si>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</si>
  <si>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</si>
  <si>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</si>
  <si>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</si>
  <si>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</si>
  <si>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</si>
  <si>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</si>
  <si>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</si>
  <si>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</si>
  <si>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</si>
  <si>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</si>
  <si>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</si>
  <si>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</si>
  <si>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</si>
  <si>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</si>
  <si>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</si>
  <si>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</si>
  <si>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</si>
  <si>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</si>
  <si>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</si>
  <si>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</si>
  <si>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</si>
  <si>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</si>
  <si>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</si>
  <si>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</si>
  <si>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</si>
  <si>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</si>
  <si>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</si>
  <si>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</si>
  <si>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</si>
  <si>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</si>
  <si>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</si>
  <si>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</si>
  <si>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</si>
  <si>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</si>
  <si>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</si>
  <si>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</si>
  <si>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</si>
  <si>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</si>
  <si>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</si>
  <si>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</si>
  <si>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</si>
  <si>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</si>
  <si>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</si>
  <si>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</si>
  <si>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</si>
  <si>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Methyl-antranilate</t>
  </si>
  <si>
    <t>Lilyfore</t>
  </si>
  <si>
    <t>Damascone beta</t>
  </si>
  <si>
    <t>Veloutone</t>
  </si>
  <si>
    <t>Verdox</t>
  </si>
  <si>
    <t>82356-51-2</t>
  </si>
  <si>
    <t>Nirvanol</t>
  </si>
  <si>
    <t>1506-02-1</t>
  </si>
  <si>
    <t>Cetalox</t>
  </si>
  <si>
    <t>Tonalide</t>
  </si>
  <si>
    <t>Lamotrigine</t>
  </si>
  <si>
    <t>84057-84-1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</si>
  <si>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</si>
  <si>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</si>
  <si>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</si>
  <si>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</si>
  <si>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</si>
  <si>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</si>
  <si>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</si>
  <si>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</si>
  <si>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</si>
  <si>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</si>
  <si>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</si>
  <si>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</si>
  <si>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</si>
  <si>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</si>
  <si>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</si>
  <si>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</si>
  <si>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</si>
  <si>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</si>
  <si>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</si>
  <si>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</si>
  <si>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</si>
  <si>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</si>
  <si>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</si>
  <si>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</si>
  <si>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</si>
  <si>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</si>
  <si>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</si>
  <si>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</si>
  <si>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</si>
  <si>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</si>
  <si>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</si>
  <si>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</si>
  <si>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</si>
  <si>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</si>
  <si>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</si>
  <si>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</si>
  <si>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</si>
  <si>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</si>
  <si>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</si>
  <si>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</si>
  <si>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</si>
  <si>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</si>
  <si>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</si>
  <si>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</si>
  <si>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</si>
  <si>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</si>
  <si>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</si>
  <si>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97-53-0</t>
  </si>
  <si>
    <t>134-20-3</t>
  </si>
  <si>
    <t>285977-85-7</t>
  </si>
  <si>
    <t>23726-91-2</t>
  </si>
  <si>
    <t>14595-54-1</t>
  </si>
  <si>
    <t>3738-00-9</t>
  </si>
  <si>
    <t>21145-77-7</t>
  </si>
  <si>
    <t>B</t>
  </si>
  <si>
    <t>PFBS</t>
  </si>
  <si>
    <t>4:2 FTS</t>
  </si>
  <si>
    <t>PFNA</t>
  </si>
  <si>
    <t>PFHxA</t>
  </si>
  <si>
    <t>PFBA</t>
  </si>
  <si>
    <t>PFOA</t>
  </si>
  <si>
    <t>6:2 FTS</t>
  </si>
  <si>
    <t>8:2 FTS</t>
  </si>
  <si>
    <t>PFUnDA</t>
  </si>
  <si>
    <t>PFOS</t>
  </si>
  <si>
    <t>PFHpA</t>
  </si>
  <si>
    <t>PFPeA</t>
  </si>
  <si>
    <t>PFHxS</t>
  </si>
  <si>
    <t>PFDA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</si>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</sst>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403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344</v>
      </c>
      <c r="B23" s="103" t="s">
        <v>404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345</v>
      </c>
      <c r="B24" s="103" t="s">
        <v>405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346</v>
      </c>
      <c r="B25" s="103" t="s">
        <v>406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347</v>
      </c>
      <c r="B26" s="103" t="s">
        <v>407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348</v>
      </c>
      <c r="B27" s="103" t="s">
        <v>349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350</v>
      </c>
      <c r="B28" s="103" t="s">
        <v>351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352</v>
      </c>
      <c r="B29" s="103" t="s">
        <v>408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353</v>
      </c>
      <c r="B30" s="103" t="s">
        <v>409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354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410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356</v>
      </c>
      <c r="B33" s="103" t="s">
        <v>357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358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359</v>
      </c>
      <c r="B39" s="103" t="s">
        <v>360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361</v>
      </c>
      <c r="B40" s="103" t="s">
        <v>362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363</v>
      </c>
      <c r="B41" s="103" t="s">
        <v>364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365</v>
      </c>
      <c r="B43" s="103" t="s">
        <v>366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367</v>
      </c>
      <c r="B44" s="103" t="s">
        <v>368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369</v>
      </c>
      <c r="B45" s="103" t="s">
        <v>370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371</v>
      </c>
      <c r="B46" s="103" t="s">
        <v>372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373</v>
      </c>
      <c r="B47" s="103" t="s">
        <v>374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375</v>
      </c>
      <c r="B48" s="103" t="s">
        <v>376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377</v>
      </c>
      <c r="B49" s="103" t="s">
        <v>378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379</v>
      </c>
      <c r="B50" s="103" t="s">
        <v>380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381</v>
      </c>
      <c r="B52" s="103" t="s">
        <v>382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383</v>
      </c>
      <c r="B53" s="103" t="s">
        <v>384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385</v>
      </c>
      <c r="B54" s="103" t="s">
        <v>386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387</v>
      </c>
      <c r="B55" s="103" t="s">
        <v>388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389</v>
      </c>
      <c r="B56" s="103" t="s">
        <v>390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391</v>
      </c>
      <c r="B57" s="103" t="s">
        <v>392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393</v>
      </c>
      <c r="B59" s="103" t="s">
        <v>394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395</v>
      </c>
      <c r="B61" s="103" t="s">
        <v>396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397</v>
      </c>
      <c r="B62" s="103" t="s">
        <v>398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399</v>
      </c>
      <c r="B63" s="103" t="s">
        <v>400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401</v>
      </c>
      <c r="B64" s="103" t="s">
        <v>402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425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412</v>
      </c>
      <c r="B68" s="103" t="s">
        <v>426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413</v>
      </c>
      <c r="B69" s="103" t="s">
        <v>427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414</v>
      </c>
      <c r="B70" s="103" t="s">
        <v>428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415</v>
      </c>
      <c r="B71" s="103" t="s">
        <v>429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416</v>
      </c>
      <c r="B72" s="103" t="s">
        <v>430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417</v>
      </c>
      <c r="B73" s="103" t="s">
        <v>431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418</v>
      </c>
      <c r="B74" s="103" t="s">
        <v>432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419</v>
      </c>
      <c r="B75" s="103" t="s">
        <v>433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420</v>
      </c>
      <c r="B76" s="103" t="s">
        <v>434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421</v>
      </c>
      <c r="B77" s="103" t="s">
        <v>435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422</v>
      </c>
      <c r="B78" s="103" t="s">
        <v>436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423</v>
      </c>
      <c r="B79" s="103" t="s">
        <v>437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424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1.8620000000000001</v>
      </c>
      <c r="K5" s="136">
        <v>1.96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0.74480000000000002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0.37240000000000001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0.1862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3.9199999999999999E-2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3.1359999999999999E-2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1.0976E-2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6.0759999999999998E-3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3.9199999999999999E-3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4.5079999999999999E-3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2.3519999999999999E-3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3.9199999999999999E-2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4.7E-2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3.9199999999999999E-2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3.9199999999999999E-2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2.6133333333333331E-4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2.6133333333333334E-6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1.5971482391622432E-5</v>
      </c>
      <c r="J2" s="67" t="s">
        <v>231</v>
      </c>
      <c r="K2" s="68">
        <v>1.440871811638794E-3</v>
      </c>
      <c r="L2" s="67" t="s">
        <v>231</v>
      </c>
      <c r="M2" s="68">
        <v>6.1811034680144553E-2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7.3867073452172092E-3</v>
      </c>
      <c r="J3" s="67" t="s">
        <v>231</v>
      </c>
      <c r="K3" s="68">
        <v>0.24646385247805369</v>
      </c>
      <c r="L3" s="67" t="s">
        <v>231</v>
      </c>
      <c r="M3" s="68">
        <v>26.445106205797337</v>
      </c>
      <c r="N3" s="67" t="s">
        <v>232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3.3153103975391562E-3</v>
      </c>
      <c r="J4" s="67" t="s">
        <v>231</v>
      </c>
      <c r="K4" s="68">
        <v>6.092789414531786E-3</v>
      </c>
      <c r="L4" s="67" t="s">
        <v>231</v>
      </c>
      <c r="M4" s="68">
        <v>0.57391657655830441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1.059808335395742E-2</v>
      </c>
      <c r="J5" s="67" t="s">
        <v>232</v>
      </c>
      <c r="K5" s="68">
        <v>6.7174268659189934E-2</v>
      </c>
      <c r="L5" s="67" t="s">
        <v>231</v>
      </c>
      <c r="M5" s="68">
        <v>7.1420186221157858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2.1393941251615617E-2</v>
      </c>
      <c r="J6" s="67" t="s">
        <v>232</v>
      </c>
      <c r="K6" s="68">
        <v>0.30579106502902159</v>
      </c>
      <c r="L6" s="67" t="s">
        <v>231</v>
      </c>
      <c r="M6" s="68">
        <v>32.884289921396224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3.0070863477128975E-3</v>
      </c>
      <c r="J7" s="67" t="s">
        <v>231</v>
      </c>
      <c r="K7" s="68">
        <v>0.25985055580819083</v>
      </c>
      <c r="L7" s="67" t="s">
        <v>231</v>
      </c>
      <c r="M7" s="68">
        <v>27.89065248883081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5.5571734384091557E-3</v>
      </c>
      <c r="J8" s="67" t="s">
        <v>231</v>
      </c>
      <c r="K8" s="68">
        <v>0.19805744075091322</v>
      </c>
      <c r="L8" s="67" t="s">
        <v>231</v>
      </c>
      <c r="M8" s="68">
        <v>21.20653505425426</v>
      </c>
      <c r="N8" s="67" t="s">
        <v>232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9.6008034451353541E-4</v>
      </c>
      <c r="J9" s="67" t="s">
        <v>231</v>
      </c>
      <c r="K9" s="68">
        <v>2.5564235639324636E-2</v>
      </c>
      <c r="L9" s="67" t="s">
        <v>231</v>
      </c>
      <c r="M9" s="68">
        <v>2.6761790478221426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6.3863615827294169E-3</v>
      </c>
      <c r="J10" s="67" t="s">
        <v>231</v>
      </c>
      <c r="K10" s="68">
        <v>7.1932356604178807E-2</v>
      </c>
      <c r="L10" s="67" t="s">
        <v>231</v>
      </c>
      <c r="M10" s="68">
        <v>7.6511329136534139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1.5741078672572623E-3</v>
      </c>
      <c r="J11" s="67" t="s">
        <v>231</v>
      </c>
      <c r="K11" s="68">
        <v>8.0298710917916516E-2</v>
      </c>
      <c r="L11" s="67" t="s">
        <v>231</v>
      </c>
      <c r="M11" s="68">
        <v>8.5468247614773727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2.3814613454964419E-3</v>
      </c>
      <c r="J12" s="67" t="s">
        <v>231</v>
      </c>
      <c r="K12" s="68">
        <v>3.0816808431032936E-2</v>
      </c>
      <c r="L12" s="67" t="s">
        <v>231</v>
      </c>
      <c r="M12" s="68">
        <v>3.2419943939401445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4.5391100787420036E-2</v>
      </c>
      <c r="J13" s="67" t="s">
        <v>232</v>
      </c>
      <c r="K13" s="68">
        <v>2.6058436462596795E-2</v>
      </c>
      <c r="L13" s="67" t="s">
        <v>231</v>
      </c>
      <c r="M13" s="68">
        <v>2.7294236416578417</v>
      </c>
      <c r="N13" s="67" t="s">
        <v>231</v>
      </c>
      <c r="P13" s="109" t="s">
        <v>192</v>
      </c>
      <c r="Q13" s="103">
        <f>COUNTIF(J2:J50000,"Yes")</f>
        <v>14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1.5152883119108961E-2</v>
      </c>
      <c r="J14" s="67" t="s">
        <v>232</v>
      </c>
      <c r="K14" s="68">
        <v>0.11068184952098967</v>
      </c>
      <c r="L14" s="67" t="s">
        <v>231</v>
      </c>
      <c r="M14" s="68">
        <v>11.803865782472204</v>
      </c>
      <c r="N14" s="67" t="s">
        <v>231</v>
      </c>
      <c r="P14" s="109" t="s">
        <v>229</v>
      </c>
      <c r="Q14" s="103">
        <f>COUNTIF(N2:N50000,"Yes")</f>
        <v>15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7.5442914134267788E-3</v>
      </c>
      <c r="J15" s="67" t="s">
        <v>231</v>
      </c>
      <c r="K15" s="68">
        <v>7.6047932831977652E-2</v>
      </c>
      <c r="L15" s="67" t="s">
        <v>231</v>
      </c>
      <c r="M15" s="68">
        <v>8.0916637377073783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5.8280439593159268E-3</v>
      </c>
      <c r="J16" s="67" t="s">
        <v>231</v>
      </c>
      <c r="K16" s="68">
        <v>0.19498950796557429</v>
      </c>
      <c r="L16" s="67" t="s">
        <v>231</v>
      </c>
      <c r="M16" s="68">
        <v>20.875708504777684</v>
      </c>
      <c r="N16" s="67" t="s">
        <v>232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4.4675393040795736E-3</v>
      </c>
      <c r="J17" s="67" t="s">
        <v>231</v>
      </c>
      <c r="K17" s="68">
        <v>6.8751095510641069E-2</v>
      </c>
      <c r="L17" s="67" t="s">
        <v>231</v>
      </c>
      <c r="M17" s="68">
        <v>7.3107074106840155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6.6329600398711396E-3</v>
      </c>
      <c r="J18" s="67" t="s">
        <v>231</v>
      </c>
      <c r="K18" s="68">
        <v>2.3117802826187951E-2</v>
      </c>
      <c r="L18" s="67" t="s">
        <v>231</v>
      </c>
      <c r="M18" s="68">
        <v>2.4134023162572418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4.5875197041036028E-2</v>
      </c>
      <c r="J19" s="67" t="s">
        <v>232</v>
      </c>
      <c r="K19" s="68">
        <v>7.6891225713520236E-2</v>
      </c>
      <c r="L19" s="67" t="s">
        <v>231</v>
      </c>
      <c r="M19" s="68">
        <v>8.1819458330088892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4.6983896942931246E-3</v>
      </c>
      <c r="J20" s="67" t="s">
        <v>231</v>
      </c>
      <c r="K20" s="68">
        <v>2.6070580795516204E-2</v>
      </c>
      <c r="L20" s="67" t="s">
        <v>231</v>
      </c>
      <c r="M20" s="68">
        <v>2.7306956684515433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2.1744956334335847E-2</v>
      </c>
      <c r="J21" s="67" t="s">
        <v>232</v>
      </c>
      <c r="K21" s="68">
        <v>0.10098009822113294</v>
      </c>
      <c r="L21" s="67" t="s">
        <v>231</v>
      </c>
      <c r="M21" s="68">
        <v>10.763263643202167</v>
      </c>
      <c r="N21" s="67" t="s">
        <v>231</v>
      </c>
      <c r="Q21" s="111"/>
      <c r="R21" s="111"/>
    </row>
    <row r="22" spans="1:18">
      <c r="A22" s="65" t="s">
        <v>343</v>
      </c>
      <c r="B22" s="66" t="s">
        <v>403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1.2347639206960228E-4</v>
      </c>
      <c r="J22" s="67" t="s">
        <v>231</v>
      </c>
      <c r="K22" s="68">
        <v>2.8862255715768137E-3</v>
      </c>
      <c r="L22" s="67" t="s">
        <v>231</v>
      </c>
      <c r="M22" s="68">
        <v>0.22340697148661157</v>
      </c>
      <c r="N22" s="67" t="s">
        <v>231</v>
      </c>
      <c r="Q22" s="111"/>
      <c r="R22" s="111"/>
    </row>
    <row r="23" spans="1:18">
      <c r="A23" s="65" t="s">
        <v>344</v>
      </c>
      <c r="B23" s="66" t="s">
        <v>404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3.6126239453885471E-5</v>
      </c>
      <c r="J23" s="67" t="s">
        <v>231</v>
      </c>
      <c r="K23" s="68">
        <v>1.7597102774977564E-3</v>
      </c>
      <c r="L23" s="67" t="s">
        <v>231</v>
      </c>
      <c r="M23" s="68">
        <v>9.7930773867338006E-2</v>
      </c>
      <c r="N23" s="67" t="s">
        <v>231</v>
      </c>
      <c r="Q23" s="111"/>
      <c r="R23" s="111"/>
    </row>
    <row r="24" spans="1:18">
      <c r="A24" s="65" t="s">
        <v>345</v>
      </c>
      <c r="B24" s="66" t="s">
        <v>405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2.2752011498083612E-4</v>
      </c>
      <c r="J24" s="67" t="s">
        <v>231</v>
      </c>
      <c r="K24" s="68">
        <v>1.2872365185096549E-2</v>
      </c>
      <c r="L24" s="67" t="s">
        <v>231</v>
      </c>
      <c r="M24" s="68">
        <v>1.308114085743459</v>
      </c>
      <c r="N24" s="67" t="s">
        <v>231</v>
      </c>
      <c r="Q24" s="111"/>
      <c r="R24" s="111"/>
    </row>
    <row r="25" spans="1:18">
      <c r="A25" s="65" t="s">
        <v>346</v>
      </c>
      <c r="B25" s="66" t="s">
        <v>406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2.3020987608753205E-3</v>
      </c>
      <c r="J25" s="67" t="s">
        <v>231</v>
      </c>
      <c r="K25" s="68">
        <v>3.5052708600855839E-2</v>
      </c>
      <c r="L25" s="67" t="s">
        <v>231</v>
      </c>
      <c r="M25" s="68">
        <v>3.7035215582217873</v>
      </c>
      <c r="N25" s="67" t="s">
        <v>231</v>
      </c>
      <c r="Q25" s="111"/>
      <c r="R25" s="111"/>
    </row>
    <row r="26" spans="1:18">
      <c r="A26" s="65" t="s">
        <v>347</v>
      </c>
      <c r="B26" s="66" t="s">
        <v>407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5.7455002433580149E-3</v>
      </c>
      <c r="J26" s="67" t="s">
        <v>231</v>
      </c>
      <c r="K26" s="68">
        <v>9.5014545780044007E-2</v>
      </c>
      <c r="L26" s="67" t="s">
        <v>231</v>
      </c>
      <c r="M26" s="68">
        <v>10.1236114922526</v>
      </c>
      <c r="N26" s="67" t="s">
        <v>231</v>
      </c>
      <c r="Q26" s="111"/>
      <c r="R26" s="111"/>
    </row>
    <row r="27" spans="1:18">
      <c r="A27" s="65" t="s">
        <v>348</v>
      </c>
      <c r="B27" s="66" t="s">
        <v>349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4.0583882489839945E-3</v>
      </c>
      <c r="J27" s="67" t="s">
        <v>231</v>
      </c>
      <c r="K27" s="68">
        <v>0.24117062803726461</v>
      </c>
      <c r="L27" s="67" t="s">
        <v>231</v>
      </c>
      <c r="M27" s="68">
        <v>25.870042784371169</v>
      </c>
      <c r="N27" s="67" t="s">
        <v>232</v>
      </c>
      <c r="Q27" s="111"/>
      <c r="R27" s="111"/>
    </row>
    <row r="28" spans="1:18">
      <c r="A28" s="65" t="s">
        <v>350</v>
      </c>
      <c r="B28" s="66" t="s">
        <v>351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2.0769761858486177E-3</v>
      </c>
      <c r="J28" s="67" t="s">
        <v>231</v>
      </c>
      <c r="K28" s="68">
        <v>0.14213361436461344</v>
      </c>
      <c r="L28" s="67" t="s">
        <v>231</v>
      </c>
      <c r="M28" s="68">
        <v>15.182354167279817</v>
      </c>
      <c r="N28" s="67" t="s">
        <v>231</v>
      </c>
      <c r="Q28" s="111"/>
      <c r="R28" s="111"/>
    </row>
    <row r="29" spans="1:18">
      <c r="A29" s="65" t="s">
        <v>352</v>
      </c>
      <c r="B29" s="66" t="s">
        <v>408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1.1233938383154087E-3</v>
      </c>
      <c r="J29" s="67" t="s">
        <v>231</v>
      </c>
      <c r="K29" s="68">
        <v>9.3445507566771072E-2</v>
      </c>
      <c r="L29" s="67" t="s">
        <v>231</v>
      </c>
      <c r="M29" s="68">
        <v>9.963844703033736</v>
      </c>
      <c r="N29" s="67" t="s">
        <v>231</v>
      </c>
      <c r="Q29" s="111"/>
      <c r="R29" s="111"/>
    </row>
    <row r="30" spans="1:18">
      <c r="A30" s="65" t="s">
        <v>353</v>
      </c>
      <c r="B30" s="66" t="s">
        <v>409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2.0769761858486177E-3</v>
      </c>
      <c r="J30" s="67" t="s">
        <v>231</v>
      </c>
      <c r="K30" s="68">
        <v>0.14213361436461344</v>
      </c>
      <c r="L30" s="67" t="s">
        <v>231</v>
      </c>
      <c r="M30" s="68">
        <v>15.182354167279817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8.2224188206409465E-8</v>
      </c>
      <c r="J31" s="67" t="s">
        <v>231</v>
      </c>
      <c r="K31" s="68">
        <v>9.3846269585967255E-4</v>
      </c>
      <c r="L31" s="67" t="s">
        <v>231</v>
      </c>
      <c r="M31" s="68">
        <v>1.1525368404293951E-3</v>
      </c>
      <c r="N31" s="67" t="s">
        <v>231</v>
      </c>
    </row>
    <row r="32" spans="1:18">
      <c r="A32" s="65" t="s">
        <v>354</v>
      </c>
      <c r="B32" s="66" t="s">
        <v>355</v>
      </c>
      <c r="D32" s="66" t="s">
        <v>410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1.4122276174451519E-5</v>
      </c>
      <c r="J32" s="67" t="s">
        <v>231</v>
      </c>
      <c r="K32" s="68">
        <v>4.6741000627948644E-3</v>
      </c>
      <c r="L32" s="67" t="s">
        <v>231</v>
      </c>
      <c r="M32" s="68">
        <v>0.40723711680499736</v>
      </c>
      <c r="N32" s="67" t="s">
        <v>231</v>
      </c>
    </row>
    <row r="33" spans="1:18">
      <c r="A33" s="65" t="s">
        <v>356</v>
      </c>
      <c r="B33" s="66" t="s">
        <v>357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8.134513574599693E-8</v>
      </c>
      <c r="J33" s="67" t="s">
        <v>231</v>
      </c>
      <c r="K33" s="68">
        <v>9.4052909355950688E-4</v>
      </c>
      <c r="L33" s="67" t="s">
        <v>231</v>
      </c>
      <c r="M33" s="68">
        <v>5.9139889238720128E-4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3.2535235409921904E-10</v>
      </c>
      <c r="J34" s="67" t="s">
        <v>231</v>
      </c>
      <c r="K34" s="68">
        <v>1.404294171252166E-3</v>
      </c>
      <c r="L34" s="67" t="s">
        <v>231</v>
      </c>
      <c r="M34" s="68">
        <v>7.5658186451905293E-2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5.023366475936244E-7</v>
      </c>
      <c r="J35" s="67" t="s">
        <v>231</v>
      </c>
      <c r="K35" s="68">
        <v>1.9316419760163665E-3</v>
      </c>
      <c r="L35" s="67" t="s">
        <v>231</v>
      </c>
      <c r="M35" s="68">
        <v>0.16199689868089276</v>
      </c>
      <c r="N35" s="67" t="s">
        <v>231</v>
      </c>
      <c r="O35" s="65"/>
      <c r="P35" s="102"/>
    </row>
    <row r="36" spans="1:18">
      <c r="A36" s="65" t="s">
        <v>358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9.0900953181404181E-7</v>
      </c>
      <c r="J36" s="67" t="s">
        <v>231</v>
      </c>
      <c r="K36" s="68">
        <v>3.3099341098918344E-3</v>
      </c>
      <c r="L36" s="67" t="s">
        <v>231</v>
      </c>
      <c r="M36" s="68">
        <v>0.39088664030750547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6.2192643319731886E-6</v>
      </c>
      <c r="J37" s="67" t="s">
        <v>231</v>
      </c>
      <c r="K37" s="68">
        <v>5.5560764734758818E-3</v>
      </c>
      <c r="L37" s="67" t="s">
        <v>231</v>
      </c>
      <c r="M37" s="68">
        <v>0.56211038801285873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1.6069267275787946E-6</v>
      </c>
      <c r="J38" s="67" t="s">
        <v>231</v>
      </c>
      <c r="K38" s="68">
        <v>1.3243184681037054E-3</v>
      </c>
      <c r="L38" s="67" t="s">
        <v>231</v>
      </c>
      <c r="M38" s="68">
        <v>6.1556991192663918E-2</v>
      </c>
      <c r="N38" s="67" t="s">
        <v>231</v>
      </c>
      <c r="O38" s="65"/>
      <c r="P38" s="102"/>
    </row>
    <row r="39" spans="1:18">
      <c r="A39" s="65" t="s">
        <v>359</v>
      </c>
      <c r="B39" s="66" t="s">
        <v>360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1.4318937351083961E-3</v>
      </c>
      <c r="J39" s="67" t="s">
        <v>231</v>
      </c>
      <c r="K39" s="68">
        <v>4.429746331333146E-2</v>
      </c>
      <c r="L39" s="67" t="s">
        <v>231</v>
      </c>
      <c r="M39" s="68">
        <v>4.6965577971759531</v>
      </c>
      <c r="N39" s="67" t="s">
        <v>231</v>
      </c>
      <c r="O39" s="65"/>
      <c r="P39" s="102"/>
    </row>
    <row r="40" spans="1:18">
      <c r="A40" s="65" t="s">
        <v>361</v>
      </c>
      <c r="B40" s="66" t="s">
        <v>362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7.3386007502533411E-9</v>
      </c>
      <c r="J40" s="67" t="s">
        <v>231</v>
      </c>
      <c r="K40" s="68">
        <v>0.36587044815970082</v>
      </c>
      <c r="L40" s="67" t="s">
        <v>231</v>
      </c>
      <c r="M40" s="68">
        <v>50.408107369227984</v>
      </c>
      <c r="N40" s="67" t="s">
        <v>232</v>
      </c>
      <c r="O40" s="65"/>
      <c r="P40" s="102"/>
    </row>
    <row r="41" spans="1:18">
      <c r="A41" s="65" t="s">
        <v>363</v>
      </c>
      <c r="B41" s="66" t="s">
        <v>364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2.6708936114355073E-8</v>
      </c>
      <c r="J41" s="67" t="s">
        <v>231</v>
      </c>
      <c r="K41" s="68">
        <v>8.7485869072975622E-4</v>
      </c>
      <c r="L41" s="67" t="s">
        <v>231</v>
      </c>
      <c r="M41" s="68">
        <v>6.5592149688762123E-5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1.4104806475513021E-3</v>
      </c>
      <c r="J42" s="67" t="s">
        <v>231</v>
      </c>
      <c r="K42" s="68">
        <v>3.3033454622631475E-3</v>
      </c>
      <c r="L42" s="67" t="s">
        <v>231</v>
      </c>
      <c r="M42" s="68">
        <v>0.26914360893203731</v>
      </c>
      <c r="N42" s="67" t="s">
        <v>231</v>
      </c>
      <c r="O42" s="65"/>
      <c r="P42" s="102"/>
    </row>
    <row r="43" spans="1:18">
      <c r="A43" s="65" t="s">
        <v>365</v>
      </c>
      <c r="B43" s="66" t="s">
        <v>366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4.3442283962840993E-8</v>
      </c>
      <c r="J43" s="67" t="s">
        <v>231</v>
      </c>
      <c r="K43" s="68">
        <v>1.09731337701284E-2</v>
      </c>
      <c r="L43" s="67" t="s">
        <v>231</v>
      </c>
      <c r="M43" s="68">
        <v>1.5184999469722693</v>
      </c>
      <c r="N43" s="67" t="s">
        <v>231</v>
      </c>
      <c r="O43" s="65"/>
      <c r="P43" s="102"/>
    </row>
    <row r="44" spans="1:18">
      <c r="A44" s="65" t="s">
        <v>367</v>
      </c>
      <c r="B44" s="66" t="s">
        <v>368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1.2016037556939748E-6</v>
      </c>
      <c r="J44" s="67" t="s">
        <v>231</v>
      </c>
      <c r="K44" s="68">
        <v>1.121686230343524E-3</v>
      </c>
      <c r="L44" s="67" t="s">
        <v>231</v>
      </c>
      <c r="M44" s="68">
        <v>3.2761162317133628E-2</v>
      </c>
      <c r="N44" s="67" t="s">
        <v>231</v>
      </c>
      <c r="O44" s="65"/>
      <c r="P44" s="102"/>
    </row>
    <row r="45" spans="1:18">
      <c r="A45" s="65" t="s">
        <v>369</v>
      </c>
      <c r="B45" s="66" t="s">
        <v>370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1.2891298446553566E-4</v>
      </c>
      <c r="J45" s="67" t="s">
        <v>231</v>
      </c>
      <c r="K45" s="68">
        <v>3.7284820935571282E-3</v>
      </c>
      <c r="L45" s="67" t="s">
        <v>231</v>
      </c>
      <c r="M45" s="68">
        <v>0.31590490754462797</v>
      </c>
      <c r="N45" s="67" t="s">
        <v>231</v>
      </c>
      <c r="O45" s="65"/>
      <c r="P45" s="102"/>
    </row>
    <row r="46" spans="1:18">
      <c r="A46" s="65" t="s">
        <v>371</v>
      </c>
      <c r="B46" s="66" t="s">
        <v>372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2.8222491690236845E-6</v>
      </c>
      <c r="J46" s="67" t="s">
        <v>231</v>
      </c>
      <c r="K46" s="68">
        <v>3.4483704232464159E-3</v>
      </c>
      <c r="L46" s="67" t="s">
        <v>231</v>
      </c>
      <c r="M46" s="68">
        <v>0.28530494634617815</v>
      </c>
      <c r="N46" s="67" t="s">
        <v>231</v>
      </c>
      <c r="O46" s="65"/>
      <c r="P46" s="102"/>
    </row>
    <row r="47" spans="1:18" s="139" customFormat="1">
      <c r="A47" s="139" t="s">
        <v>373</v>
      </c>
      <c r="B47" s="140" t="s">
        <v>374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1.9069012831916966E-2</v>
      </c>
      <c r="J47" s="142" t="s">
        <v>232</v>
      </c>
      <c r="K47" s="143">
        <v>0.25158962668518664</v>
      </c>
      <c r="L47" s="142" t="s">
        <v>231</v>
      </c>
      <c r="M47" s="143">
        <v>26.995092104060603</v>
      </c>
      <c r="N47" s="142" t="s">
        <v>232</v>
      </c>
      <c r="P47" s="130"/>
      <c r="Q47" s="130"/>
      <c r="R47" s="130"/>
    </row>
    <row r="48" spans="1:18" s="139" customFormat="1">
      <c r="A48" s="139" t="s">
        <v>375</v>
      </c>
      <c r="B48" s="140" t="s">
        <v>376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1.9032285372018193E-6</v>
      </c>
      <c r="J48" s="142" t="s">
        <v>231</v>
      </c>
      <c r="K48" s="143">
        <v>9.9846766613254177E-4</v>
      </c>
      <c r="L48" s="142" t="s">
        <v>231</v>
      </c>
      <c r="M48" s="143">
        <v>1.0758326866920664E-2</v>
      </c>
      <c r="N48" s="142" t="s">
        <v>231</v>
      </c>
      <c r="P48" s="130"/>
      <c r="Q48" s="130"/>
      <c r="R48" s="130"/>
    </row>
    <row r="49" spans="1:18" s="139" customFormat="1">
      <c r="A49" s="139" t="s">
        <v>377</v>
      </c>
      <c r="B49" s="140" t="s">
        <v>378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5.4315772508803638E-6</v>
      </c>
      <c r="J49" s="142" t="s">
        <v>231</v>
      </c>
      <c r="K49" s="143">
        <v>1.0560574078804805E-3</v>
      </c>
      <c r="L49" s="142" t="s">
        <v>231</v>
      </c>
      <c r="M49" s="143">
        <v>1.8872108767080176E-2</v>
      </c>
      <c r="N49" s="142" t="s">
        <v>231</v>
      </c>
      <c r="P49" s="130"/>
      <c r="Q49" s="130"/>
      <c r="R49" s="130"/>
    </row>
    <row r="50" spans="1:18" s="139" customFormat="1">
      <c r="A50" s="139" t="s">
        <v>379</v>
      </c>
      <c r="B50" s="140" t="s">
        <v>380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2.827452255439095E-5</v>
      </c>
      <c r="J50" s="142" t="s">
        <v>231</v>
      </c>
      <c r="K50" s="143">
        <v>2.2151723842044058E-2</v>
      </c>
      <c r="L50" s="142" t="s">
        <v>231</v>
      </c>
      <c r="M50" s="143">
        <v>2.3101660454077164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4.1463784552004427E-8</v>
      </c>
      <c r="J51" s="142" t="s">
        <v>231</v>
      </c>
      <c r="K51" s="143">
        <v>8.9375985952885959E-4</v>
      </c>
      <c r="L51" s="142" t="s">
        <v>231</v>
      </c>
      <c r="M51" s="143">
        <v>1.9073931356499388E-3</v>
      </c>
      <c r="N51" s="142" t="s">
        <v>231</v>
      </c>
      <c r="P51" s="130"/>
      <c r="Q51" s="130"/>
      <c r="R51" s="130"/>
    </row>
    <row r="52" spans="1:18" s="139" customFormat="1">
      <c r="A52" s="139" t="s">
        <v>381</v>
      </c>
      <c r="B52" s="140" t="s">
        <v>382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1.2618179576277297E-5</v>
      </c>
      <c r="J52" s="142" t="s">
        <v>231</v>
      </c>
      <c r="K52" s="143">
        <v>1.3393136825019722E-3</v>
      </c>
      <c r="L52" s="142" t="s">
        <v>231</v>
      </c>
      <c r="M52" s="143">
        <v>5.6662905028846224E-2</v>
      </c>
      <c r="N52" s="142" t="s">
        <v>231</v>
      </c>
      <c r="P52" s="130"/>
      <c r="Q52" s="130"/>
      <c r="R52" s="130"/>
    </row>
    <row r="53" spans="1:18" s="139" customFormat="1">
      <c r="A53" s="139" t="s">
        <v>383</v>
      </c>
      <c r="B53" s="140" t="s">
        <v>384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2.8180224031684135E-4</v>
      </c>
      <c r="J53" s="142" t="s">
        <v>231</v>
      </c>
      <c r="K53" s="143">
        <v>5.5207916190462072E-3</v>
      </c>
      <c r="L53" s="142" t="s">
        <v>231</v>
      </c>
      <c r="M53" s="143">
        <v>0.5119007702484869</v>
      </c>
      <c r="N53" s="142" t="s">
        <v>231</v>
      </c>
      <c r="P53" s="130"/>
      <c r="Q53" s="130"/>
      <c r="R53" s="130"/>
    </row>
    <row r="54" spans="1:18">
      <c r="A54" s="65" t="s">
        <v>385</v>
      </c>
      <c r="B54" s="66" t="s">
        <v>386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6.3786930006402088E-3</v>
      </c>
      <c r="J54" s="67" t="s">
        <v>231</v>
      </c>
      <c r="K54" s="68">
        <v>0.22611399581831504</v>
      </c>
      <c r="L54" s="67" t="s">
        <v>231</v>
      </c>
      <c r="M54" s="68">
        <v>24.237553096284554</v>
      </c>
      <c r="N54" s="67" t="s">
        <v>232</v>
      </c>
      <c r="O54" s="65"/>
      <c r="P54" s="102"/>
    </row>
    <row r="55" spans="1:18">
      <c r="A55" s="65" t="s">
        <v>387</v>
      </c>
      <c r="B55" s="66" t="s">
        <v>388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4.2913379339016634E-4</v>
      </c>
      <c r="J55" s="67" t="s">
        <v>231</v>
      </c>
      <c r="K55" s="68">
        <v>1.0369168198488583E-2</v>
      </c>
      <c r="L55" s="67" t="s">
        <v>231</v>
      </c>
      <c r="M55" s="68">
        <v>1.0590038934080674</v>
      </c>
      <c r="N55" s="67" t="s">
        <v>231</v>
      </c>
      <c r="O55" s="65"/>
      <c r="P55" s="102"/>
    </row>
    <row r="56" spans="1:18">
      <c r="A56" s="65" t="s">
        <v>389</v>
      </c>
      <c r="B56" s="66" t="s">
        <v>390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9.2605497685554239E-5</v>
      </c>
      <c r="J56" s="67" t="s">
        <v>231</v>
      </c>
      <c r="K56" s="68">
        <v>4.3506631128065907E-3</v>
      </c>
      <c r="L56" s="67" t="s">
        <v>231</v>
      </c>
      <c r="M56" s="68">
        <v>0.45742465019323097</v>
      </c>
      <c r="N56" s="67" t="s">
        <v>231</v>
      </c>
      <c r="O56" s="65"/>
      <c r="P56" s="102"/>
    </row>
    <row r="57" spans="1:18">
      <c r="A57" s="65" t="s">
        <v>391</v>
      </c>
      <c r="B57" s="66" t="s">
        <v>392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3.5857530071004823E-5</v>
      </c>
      <c r="J57" s="67" t="s">
        <v>231</v>
      </c>
      <c r="K57" s="68">
        <v>1.779985488278133E-3</v>
      </c>
      <c r="L57" s="67" t="s">
        <v>231</v>
      </c>
      <c r="M57" s="68">
        <v>0.1834120293960885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3.2823050113078457E-7</v>
      </c>
      <c r="J58" s="67" t="s">
        <v>231</v>
      </c>
      <c r="K58" s="68">
        <v>8.9141255553144909E-5</v>
      </c>
      <c r="L58" s="67" t="s">
        <v>231</v>
      </c>
      <c r="M58" s="68">
        <v>1.9259356283460208E-3</v>
      </c>
      <c r="N58" s="67" t="s">
        <v>231</v>
      </c>
      <c r="O58" s="65"/>
      <c r="P58" s="102"/>
    </row>
    <row r="59" spans="1:18">
      <c r="A59" s="65" t="s">
        <v>393</v>
      </c>
      <c r="B59" s="66" t="s">
        <v>394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7.8132986011275002E-6</v>
      </c>
      <c r="J59" s="67" t="s">
        <v>231</v>
      </c>
      <c r="K59" s="68">
        <v>6.2070104186468433E-4</v>
      </c>
      <c r="L59" s="67" t="s">
        <v>231</v>
      </c>
      <c r="M59" s="68">
        <v>6.3840124081652849E-2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1.1545031084729018E-7</v>
      </c>
      <c r="J60" s="67" t="s">
        <v>231</v>
      </c>
      <c r="K60" s="68">
        <v>1.0456651589892066E-5</v>
      </c>
      <c r="L60" s="67" t="s">
        <v>231</v>
      </c>
      <c r="M60" s="68">
        <v>1.0435686114710753E-3</v>
      </c>
      <c r="N60" s="67" t="s">
        <v>231</v>
      </c>
      <c r="O60" s="65"/>
      <c r="P60" s="102"/>
    </row>
    <row r="61" spans="1:18">
      <c r="A61" s="65" t="s">
        <v>395</v>
      </c>
      <c r="B61" s="66" t="s">
        <v>396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7.254623553799916E-2</v>
      </c>
      <c r="J61" s="67" t="s">
        <v>232</v>
      </c>
      <c r="K61" s="68">
        <v>7.9741686952675278E-3</v>
      </c>
      <c r="L61" s="67" t="s">
        <v>231</v>
      </c>
      <c r="M61" s="68">
        <v>0.77822598287662093</v>
      </c>
      <c r="N61" s="67" t="s">
        <v>231</v>
      </c>
      <c r="O61" s="65"/>
      <c r="P61" s="102"/>
    </row>
    <row r="62" spans="1:18">
      <c r="A62" s="65" t="s">
        <v>397</v>
      </c>
      <c r="B62" s="66" t="s">
        <v>398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2.6169829312646428E-4</v>
      </c>
      <c r="J62" s="67" t="s">
        <v>231</v>
      </c>
      <c r="K62" s="68">
        <v>0.10855833658841406</v>
      </c>
      <c r="L62" s="67" t="s">
        <v>231</v>
      </c>
      <c r="M62" s="68">
        <v>11.575991669499066</v>
      </c>
      <c r="N62" s="67" t="s">
        <v>231</v>
      </c>
      <c r="O62" s="65"/>
      <c r="P62" s="102"/>
    </row>
    <row r="63" spans="1:18">
      <c r="A63" s="65" t="s">
        <v>399</v>
      </c>
      <c r="B63" s="66" t="s">
        <v>400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2.0486668625945572E-3</v>
      </c>
      <c r="J63" s="67" t="s">
        <v>231</v>
      </c>
      <c r="K63" s="68">
        <v>0.29315563001116712</v>
      </c>
      <c r="L63" s="67" t="s">
        <v>231</v>
      </c>
      <c r="M63" s="68">
        <v>31.508372778200545</v>
      </c>
      <c r="N63" s="67" t="s">
        <v>232</v>
      </c>
      <c r="O63" s="65"/>
      <c r="P63" s="102"/>
    </row>
    <row r="64" spans="1:18">
      <c r="A64" s="65" t="s">
        <v>401</v>
      </c>
      <c r="B64" s="66" t="s">
        <v>402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1.5603482822339008E-3</v>
      </c>
      <c r="J64" s="67" t="s">
        <v>231</v>
      </c>
      <c r="K64" s="68">
        <v>0.35190713069078666</v>
      </c>
      <c r="L64" s="67" t="s">
        <v>231</v>
      </c>
      <c r="M64" s="68">
        <v>37.927426521088336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2.4994081526259282E-3</v>
      </c>
      <c r="J65" s="67" t="s">
        <v>231</v>
      </c>
      <c r="K65" s="68">
        <v>0.4003259593072333</v>
      </c>
      <c r="L65" s="67" t="s">
        <v>231</v>
      </c>
      <c r="M65" s="68">
        <v>43.279857277177349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9.6234455624551251E-6</v>
      </c>
      <c r="J66" s="67" t="s">
        <v>231</v>
      </c>
      <c r="K66" s="68">
        <v>0.37516253746601919</v>
      </c>
      <c r="L66" s="67" t="s">
        <v>231</v>
      </c>
      <c r="M66" s="68">
        <v>40.488073093646804</v>
      </c>
      <c r="N66" s="67" t="s">
        <v>232</v>
      </c>
      <c r="O66" s="65"/>
      <c r="P66" s="102"/>
    </row>
    <row r="67" spans="1:16">
      <c r="A67" s="65" t="s">
        <v>411</v>
      </c>
      <c r="B67" s="66" t="s">
        <v>425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4.2086543907491415E-4</v>
      </c>
      <c r="J67" s="67" t="s">
        <v>231</v>
      </c>
      <c r="K67" s="68">
        <v>1.2666312533582301E-3</v>
      </c>
      <c r="L67" s="67" t="s">
        <v>231</v>
      </c>
      <c r="M67" s="68">
        <v>4.2182762144889134E-2</v>
      </c>
      <c r="N67" s="67" t="s">
        <v>231</v>
      </c>
      <c r="O67" s="65"/>
      <c r="P67" s="102"/>
    </row>
    <row r="68" spans="1:16">
      <c r="A68" s="65" t="s">
        <v>412</v>
      </c>
      <c r="B68" s="66" t="s">
        <v>426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1.7694289724611638E-4</v>
      </c>
      <c r="J68" s="67" t="s">
        <v>231</v>
      </c>
      <c r="K68" s="68">
        <v>1.5455942580631921E-3</v>
      </c>
      <c r="L68" s="67" t="s">
        <v>231</v>
      </c>
      <c r="M68" s="68">
        <v>7.4671129509635448E-2</v>
      </c>
      <c r="N68" s="67" t="s">
        <v>231</v>
      </c>
      <c r="O68" s="65"/>
      <c r="P68" s="102"/>
    </row>
    <row r="69" spans="1:16">
      <c r="A69" s="65" t="s">
        <v>413</v>
      </c>
      <c r="B69" s="66" t="s">
        <v>427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1.4932322246448542E-6</v>
      </c>
      <c r="J69" s="67" t="s">
        <v>231</v>
      </c>
      <c r="K69" s="68">
        <v>0.18995804128367993</v>
      </c>
      <c r="L69" s="67" t="s">
        <v>231</v>
      </c>
      <c r="M69" s="68">
        <v>20.333619493884004</v>
      </c>
      <c r="N69" s="67" t="s">
        <v>232</v>
      </c>
      <c r="O69" s="65"/>
      <c r="P69" s="102"/>
    </row>
    <row r="70" spans="1:16">
      <c r="A70" s="65" t="s">
        <v>414</v>
      </c>
      <c r="B70" s="66" t="s">
        <v>428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1.2462148697395051E-3</v>
      </c>
      <c r="J70" s="67" t="s">
        <v>231</v>
      </c>
      <c r="K70" s="68">
        <v>3.4684186940597404E-2</v>
      </c>
      <c r="L70" s="67" t="s">
        <v>231</v>
      </c>
      <c r="M70" s="68">
        <v>3.660013054012544</v>
      </c>
      <c r="N70" s="67" t="s">
        <v>231</v>
      </c>
      <c r="O70" s="65"/>
      <c r="P70" s="102"/>
    </row>
    <row r="71" spans="1:16">
      <c r="A71" s="65" t="s">
        <v>415</v>
      </c>
      <c r="B71" s="66" t="s">
        <v>429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3.2825053198131418E-4</v>
      </c>
      <c r="J71" s="67" t="s">
        <v>231</v>
      </c>
      <c r="K71" s="68">
        <v>1.470267232669704E-3</v>
      </c>
      <c r="L71" s="67" t="s">
        <v>231</v>
      </c>
      <c r="M71" s="68">
        <v>6.7467490091771679E-2</v>
      </c>
      <c r="N71" s="67" t="s">
        <v>231</v>
      </c>
      <c r="O71" s="65"/>
      <c r="P71" s="102"/>
    </row>
    <row r="72" spans="1:16">
      <c r="A72" s="65" t="s">
        <v>416</v>
      </c>
      <c r="B72" s="66" t="s">
        <v>430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7.0152938965319217E-6</v>
      </c>
      <c r="J72" s="67" t="s">
        <v>231</v>
      </c>
      <c r="K72" s="68">
        <v>3.1694684822971143E-2</v>
      </c>
      <c r="L72" s="67" t="s">
        <v>231</v>
      </c>
      <c r="M72" s="68">
        <v>3.3409106520396441</v>
      </c>
      <c r="N72" s="67" t="s">
        <v>231</v>
      </c>
      <c r="O72" s="65"/>
      <c r="P72" s="102"/>
    </row>
    <row r="73" spans="1:16">
      <c r="A73" s="65" t="s">
        <v>417</v>
      </c>
      <c r="B73" s="66" t="s">
        <v>431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1.0813686143699859E-2</v>
      </c>
      <c r="J73" s="67" t="s">
        <v>232</v>
      </c>
      <c r="K73" s="68">
        <v>8.426050008919805E-3</v>
      </c>
      <c r="L73" s="67" t="s">
        <v>231</v>
      </c>
      <c r="M73" s="68">
        <v>0.829136795629283</v>
      </c>
      <c r="N73" s="67" t="s">
        <v>231</v>
      </c>
      <c r="O73" s="65"/>
      <c r="P73" s="102"/>
    </row>
    <row r="74" spans="1:16">
      <c r="A74" s="65" t="s">
        <v>418</v>
      </c>
      <c r="B74" s="66" t="s">
        <v>432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0.25676619913187559</v>
      </c>
      <c r="J74" s="67" t="s">
        <v>232</v>
      </c>
      <c r="K74" s="68">
        <v>3.3971336219799662E-2</v>
      </c>
      <c r="L74" s="67" t="s">
        <v>231</v>
      </c>
      <c r="M74" s="68">
        <v>3.5837164027380668</v>
      </c>
      <c r="N74" s="67" t="s">
        <v>231</v>
      </c>
      <c r="O74" s="65"/>
      <c r="P74" s="102"/>
    </row>
    <row r="75" spans="1:16">
      <c r="A75" s="65" t="s">
        <v>419</v>
      </c>
      <c r="B75" s="66" t="s">
        <v>433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2.1683739534602551E-12</v>
      </c>
      <c r="J75" s="67" t="s">
        <v>231</v>
      </c>
      <c r="K75" s="68">
        <v>3.7384905735788974E-2</v>
      </c>
      <c r="L75" s="67" t="s">
        <v>231</v>
      </c>
      <c r="M75" s="68">
        <v>5.2432124428447153</v>
      </c>
      <c r="N75" s="67" t="s">
        <v>231</v>
      </c>
      <c r="O75" s="65"/>
      <c r="P75" s="102"/>
    </row>
    <row r="76" spans="1:16">
      <c r="A76" s="65" t="s">
        <v>420</v>
      </c>
      <c r="B76" s="66" t="s">
        <v>434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1.19292659700784E-12</v>
      </c>
      <c r="J76" s="67" t="s">
        <v>231</v>
      </c>
      <c r="K76" s="68">
        <v>3.7384905884531756E-2</v>
      </c>
      <c r="L76" s="67" t="s">
        <v>231</v>
      </c>
      <c r="M76" s="68">
        <v>5.2432124637058086</v>
      </c>
      <c r="N76" s="67" t="s">
        <v>231</v>
      </c>
      <c r="O76" s="65"/>
      <c r="P76" s="102"/>
    </row>
    <row r="77" spans="1:16">
      <c r="A77" s="65" t="s">
        <v>421</v>
      </c>
      <c r="B77" s="66" t="s">
        <v>435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8.5274773660023481E-7</v>
      </c>
      <c r="J77" s="67" t="s">
        <v>231</v>
      </c>
      <c r="K77" s="68">
        <v>1.7654665584192097E-2</v>
      </c>
      <c r="L77" s="67" t="s">
        <v>231</v>
      </c>
      <c r="M77" s="68">
        <v>1.8289777188040091</v>
      </c>
      <c r="N77" s="67" t="s">
        <v>231</v>
      </c>
      <c r="O77" s="65"/>
      <c r="P77" s="102"/>
    </row>
    <row r="78" spans="1:16">
      <c r="A78" s="65" t="s">
        <v>422</v>
      </c>
      <c r="B78" s="66" t="s">
        <v>436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1.3247144119007933E-3</v>
      </c>
      <c r="J78" s="67" t="s">
        <v>231</v>
      </c>
      <c r="K78" s="68">
        <v>2.9947018858379388E-3</v>
      </c>
      <c r="L78" s="67" t="s">
        <v>231</v>
      </c>
      <c r="M78" s="68">
        <v>0.23873766573541647</v>
      </c>
      <c r="N78" s="67" t="s">
        <v>231</v>
      </c>
      <c r="O78" s="65"/>
      <c r="P78" s="102"/>
    </row>
    <row r="79" spans="1:16">
      <c r="A79" s="65" t="s">
        <v>423</v>
      </c>
      <c r="B79" s="66" t="s">
        <v>437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3.0858940577260983E-5</v>
      </c>
      <c r="J79" s="67" t="s">
        <v>231</v>
      </c>
      <c r="K79" s="68">
        <v>5.6522638645689254E-3</v>
      </c>
      <c r="L79" s="67" t="s">
        <v>231</v>
      </c>
      <c r="M79" s="68">
        <v>0.5269662928450396</v>
      </c>
      <c r="N79" s="67" t="s">
        <v>231</v>
      </c>
      <c r="O79" s="65"/>
      <c r="P79" s="102"/>
    </row>
    <row r="80" spans="1:16">
      <c r="A80" s="65" t="s">
        <v>424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1.2946368339025682E-13</v>
      </c>
      <c r="J80" s="67" t="s">
        <v>231</v>
      </c>
      <c r="K80" s="68">
        <v>7.2782330156055272E-2</v>
      </c>
      <c r="L80" s="67" t="s">
        <v>231</v>
      </c>
      <c r="M80" s="68">
        <v>10.214692306922416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2.2363839183017773E-5</v>
      </c>
      <c r="J81" s="67" t="s">
        <v>231</v>
      </c>
      <c r="K81" s="68">
        <v>9.4152460288515652E-4</v>
      </c>
      <c r="L81" s="67" t="s">
        <v>231</v>
      </c>
      <c r="M81" s="68">
        <v>1.7111304945028748E-3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4.0857264066128337E-5</v>
      </c>
      <c r="J82" s="67" t="s">
        <v>231</v>
      </c>
      <c r="K82" s="68">
        <v>1.7227345730233647E-3</v>
      </c>
      <c r="L82" s="67" t="s">
        <v>231</v>
      </c>
      <c r="M82" s="68">
        <v>9.3767040094733078E-2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8.9865874130779351E-5</v>
      </c>
      <c r="J83" s="67" t="s">
        <v>231</v>
      </c>
      <c r="K83" s="68">
        <v>1.6402879078829445E-2</v>
      </c>
      <c r="L83" s="67" t="s">
        <v>231</v>
      </c>
      <c r="M83" s="68">
        <v>1.6891578108136283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6.3021897610714947E-6</v>
      </c>
      <c r="J84" s="67" t="s">
        <v>231</v>
      </c>
      <c r="K84" s="68">
        <v>9.7908599215515055E-4</v>
      </c>
      <c r="L84" s="67" t="s">
        <v>231</v>
      </c>
      <c r="M84" s="68">
        <v>7.1015454359368941E-3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3.3217967037940087E-8</v>
      </c>
      <c r="J85" s="67" t="s">
        <v>231</v>
      </c>
      <c r="K85" s="68">
        <v>9.3527656336421885E-4</v>
      </c>
      <c r="L85" s="67" t="s">
        <v>231</v>
      </c>
      <c r="M85" s="68">
        <v>3.4718690980548836E-4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2.4703366317192969E-6</v>
      </c>
      <c r="J86" s="67" t="s">
        <v>231</v>
      </c>
      <c r="K86" s="68">
        <v>9.7667812866009725E-4</v>
      </c>
      <c r="L86" s="67" t="s">
        <v>231</v>
      </c>
      <c r="M86" s="68">
        <v>6.7818691852640257E-3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2.2317935250520365E-2</v>
      </c>
      <c r="J87" s="67" t="s">
        <v>232</v>
      </c>
      <c r="K87" s="68">
        <v>0.26806997967749369</v>
      </c>
      <c r="L87" s="67" t="s">
        <v>231</v>
      </c>
      <c r="M87" s="68">
        <v>28.782324316756551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1.3526345247885671E-4</v>
      </c>
      <c r="J88" s="67" t="s">
        <v>231</v>
      </c>
      <c r="K88" s="68">
        <v>2.5471253332450408E-3</v>
      </c>
      <c r="L88" s="67" t="s">
        <v>231</v>
      </c>
      <c r="M88" s="68">
        <v>0.18572005809820688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3.3500979802715112E-5</v>
      </c>
      <c r="J89" s="67" t="s">
        <v>231</v>
      </c>
      <c r="K89" s="68">
        <v>1.838712739791225E-3</v>
      </c>
      <c r="L89" s="67" t="s">
        <v>231</v>
      </c>
      <c r="M89" s="68">
        <v>0.10680181979986092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1.9187222406211298E-6</v>
      </c>
      <c r="J90" s="67" t="s">
        <v>231</v>
      </c>
      <c r="K90" s="68">
        <v>1.1212742768456415E-3</v>
      </c>
      <c r="L90" s="67" t="s">
        <v>231</v>
      </c>
      <c r="M90" s="68">
        <v>2.4678158611403198E-2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1.5918861116714263E-2</v>
      </c>
      <c r="J91" s="67" t="s">
        <v>232</v>
      </c>
      <c r="K91" s="68">
        <v>0.11959321221650926</v>
      </c>
      <c r="L91" s="67" t="s">
        <v>231</v>
      </c>
      <c r="M91" s="68">
        <v>12.760377785409515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5.124554686583193E-2</v>
      </c>
      <c r="J92" s="67" t="s">
        <v>232</v>
      </c>
      <c r="K92" s="68">
        <v>1.2693395360592068E-2</v>
      </c>
      <c r="L92" s="67" t="s">
        <v>231</v>
      </c>
      <c r="M92" s="68">
        <v>1.2887737720725772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2.8639917030569697E-2</v>
      </c>
      <c r="J93" s="67" t="s">
        <v>232</v>
      </c>
      <c r="K93" s="68">
        <v>3.0551651034038629E-2</v>
      </c>
      <c r="L93" s="67" t="s">
        <v>231</v>
      </c>
      <c r="M93" s="68">
        <v>3.2134673697837539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7.134014711820794E-9</v>
      </c>
      <c r="J94" s="67" t="s">
        <v>231</v>
      </c>
      <c r="K94" s="68">
        <v>1.0189903694064759E-3</v>
      </c>
      <c r="L94" s="67" t="s">
        <v>231</v>
      </c>
      <c r="M94" s="68">
        <v>1.3073033611406347E-2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3.0158742580971125E-4</v>
      </c>
      <c r="J95" s="67" t="s">
        <v>231</v>
      </c>
      <c r="K95" s="68">
        <v>5.9189269066248287E-2</v>
      </c>
      <c r="L95" s="67" t="s">
        <v>231</v>
      </c>
      <c r="M95" s="68">
        <v>6.2879493885776663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9.8687548257897714E-8</v>
      </c>
      <c r="J96" s="67" t="s">
        <v>231</v>
      </c>
      <c r="K96" s="68">
        <v>9.4224873996629247E-4</v>
      </c>
      <c r="L96" s="67" t="s">
        <v>231</v>
      </c>
      <c r="M96" s="68">
        <v>1.834610905697541E-3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3.5813349657464942E-8</v>
      </c>
      <c r="J97" s="67" t="s">
        <v>231</v>
      </c>
      <c r="K97" s="68">
        <v>9.8033674822292898E-4</v>
      </c>
      <c r="L97" s="67" t="s">
        <v>231</v>
      </c>
      <c r="M97" s="68">
        <v>7.2669380465797328E-3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5.3130985807555719E-5</v>
      </c>
      <c r="J98" s="67" t="s">
        <v>231</v>
      </c>
      <c r="K98" s="68">
        <v>3.854833999484622E-2</v>
      </c>
      <c r="L98" s="67" t="s">
        <v>231</v>
      </c>
      <c r="M98" s="68">
        <v>4.0759216925044992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4.2068518313979718E-8</v>
      </c>
      <c r="J99" s="67" t="s">
        <v>231</v>
      </c>
      <c r="K99" s="68">
        <v>9.3513577846890286E-4</v>
      </c>
      <c r="L99" s="67" t="s">
        <v>231</v>
      </c>
      <c r="M99" s="68">
        <v>1.7852498553220917E-4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8.6834360395514392E-5</v>
      </c>
      <c r="J100" s="67" t="s">
        <v>231</v>
      </c>
      <c r="K100" s="68">
        <v>4.9513290094145247E-3</v>
      </c>
      <c r="L100" s="67" t="s">
        <v>231</v>
      </c>
      <c r="M100" s="68">
        <v>0.44956907576126742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1.3162461171857183E-5</v>
      </c>
      <c r="J101" s="67" t="s">
        <v>231</v>
      </c>
      <c r="K101" s="68">
        <v>9.3553231955752388E-4</v>
      </c>
      <c r="L101" s="67" t="s">
        <v>231</v>
      </c>
      <c r="M101" s="68">
        <v>4.5398399192868045E-4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6.4468707015978346E-11</v>
      </c>
      <c r="J102" s="67" t="s">
        <v>231</v>
      </c>
      <c r="K102" s="68">
        <v>9.3568986687174037E-4</v>
      </c>
      <c r="L102" s="67" t="s">
        <v>231</v>
      </c>
      <c r="M102" s="68">
        <v>3.8197093673012368E-5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9.2017431529616047E-9</v>
      </c>
      <c r="J103" s="67" t="s">
        <v>231</v>
      </c>
      <c r="K103" s="68">
        <v>9.3514420559988906E-4</v>
      </c>
      <c r="L103" s="67" t="s">
        <v>231</v>
      </c>
      <c r="M103" s="68">
        <v>1.684025337794554E-4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4.3298079514515215E-7</v>
      </c>
      <c r="J104" s="67" t="s">
        <v>231</v>
      </c>
      <c r="K104" s="68">
        <v>9.5602607960296616E-4</v>
      </c>
      <c r="L104" s="67" t="s">
        <v>231</v>
      </c>
      <c r="M104" s="68">
        <v>3.9422903304822616E-3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5.8015841715101988E-8</v>
      </c>
      <c r="J105" s="67" t="s">
        <v>231</v>
      </c>
      <c r="K105" s="68">
        <v>9.3555228928401339E-4</v>
      </c>
      <c r="L105" s="67" t="s">
        <v>231</v>
      </c>
      <c r="M105" s="68">
        <v>5.2983368751874688E-5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5.6838422023949313E-7</v>
      </c>
      <c r="J106" s="67" t="s">
        <v>231</v>
      </c>
      <c r="K106" s="68">
        <v>1.2406232772594738E-3</v>
      </c>
      <c r="L106" s="67" t="s">
        <v>231</v>
      </c>
      <c r="M106" s="68">
        <v>3.8727820205137063E-2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4.0301519894559335E-4</v>
      </c>
      <c r="J107" s="67" t="s">
        <v>231</v>
      </c>
      <c r="K107" s="68">
        <v>4.1220508357531931E-2</v>
      </c>
      <c r="L107" s="67" t="s">
        <v>231</v>
      </c>
      <c r="M107" s="68">
        <v>4.3648065176015054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1.0745244765570003E-4</v>
      </c>
      <c r="J108" s="67" t="s">
        <v>231</v>
      </c>
      <c r="K108" s="68">
        <v>3.9701992084570812E-3</v>
      </c>
      <c r="L108" s="67" t="s">
        <v>231</v>
      </c>
      <c r="M108" s="68">
        <v>0.34232287018871177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0.91145576869754186</v>
      </c>
      <c r="F2" s="14">
        <v>0.90624581385827296</v>
      </c>
      <c r="G2" s="14">
        <v>1.1775910633339258E-6</v>
      </c>
      <c r="H2" s="14">
        <v>12.245203684182849</v>
      </c>
      <c r="I2" s="14">
        <v>33.023506397381823</v>
      </c>
      <c r="J2" s="14">
        <v>0</v>
      </c>
      <c r="K2" s="14">
        <v>1.1034533729238161</v>
      </c>
      <c r="L2" s="14">
        <v>0.90624581385827296</v>
      </c>
      <c r="M2" s="14">
        <v>0.74357469027071299</v>
      </c>
      <c r="N2" s="14">
        <v>1.440871811638794</v>
      </c>
      <c r="O2" s="14">
        <v>265.27890924081834</v>
      </c>
      <c r="P2" s="8">
        <v>1.440871811638794</v>
      </c>
      <c r="Q2" s="54">
        <v>0.14093640335133284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0.66247202929702931</v>
      </c>
      <c r="F3" s="14">
        <v>4.8000450735526824E-3</v>
      </c>
      <c r="G3" s="14">
        <v>2.9105415479120124E-4</v>
      </c>
      <c r="H3" s="14">
        <v>503.90111057512831</v>
      </c>
      <c r="I3" s="14">
        <v>12641.612861270924</v>
      </c>
      <c r="J3" s="14">
        <v>0</v>
      </c>
      <c r="K3" s="14">
        <v>208.33137703431285</v>
      </c>
      <c r="L3" s="14">
        <v>4.8000450735526832E-3</v>
      </c>
      <c r="M3" s="14">
        <v>3.9384369828499768E-3</v>
      </c>
      <c r="N3" s="14">
        <v>246.4638524780537</v>
      </c>
      <c r="O3" s="14">
        <v>89937.124407766576</v>
      </c>
      <c r="P3" s="8">
        <v>246.4638524780537</v>
      </c>
      <c r="Q3" s="54">
        <v>0.404391935605315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0.73130032833671943</v>
      </c>
      <c r="F4" s="14">
        <v>0.67258746443463946</v>
      </c>
      <c r="G4" s="14">
        <v>9.2891773902397931E-14</v>
      </c>
      <c r="H4" s="14">
        <v>135.31588078446745</v>
      </c>
      <c r="I4" s="14">
        <v>299.09278694758206</v>
      </c>
      <c r="J4" s="14">
        <v>0</v>
      </c>
      <c r="K4" s="14">
        <v>1.4867954769876295</v>
      </c>
      <c r="L4" s="14">
        <v>0.67258746443463946</v>
      </c>
      <c r="M4" s="14">
        <v>0.55185801456862171</v>
      </c>
      <c r="N4" s="14">
        <v>6.0927894145317865</v>
      </c>
      <c r="O4" s="14">
        <v>1933.3639370192263</v>
      </c>
      <c r="P4" s="8">
        <v>6.0927894145317865</v>
      </c>
      <c r="Q4" s="54">
        <v>0.4273718763036487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0.64517132059866678</v>
      </c>
      <c r="F5" s="14">
        <v>4.7573048079661916E-2</v>
      </c>
      <c r="G5" s="14">
        <v>9.1379644871472567E-6</v>
      </c>
      <c r="H5" s="14">
        <v>1316.5003479890461</v>
      </c>
      <c r="I5" s="14">
        <v>3537.3509463053247</v>
      </c>
      <c r="J5" s="14">
        <v>0</v>
      </c>
      <c r="K5" s="14">
        <v>21.020305411700384</v>
      </c>
      <c r="L5" s="14">
        <v>4.7573048079661916E-2</v>
      </c>
      <c r="M5" s="14">
        <v>3.9033685949362601E-2</v>
      </c>
      <c r="N5" s="14">
        <v>67.174268659189934</v>
      </c>
      <c r="O5" s="14">
        <v>23550.626849225398</v>
      </c>
      <c r="P5" s="8">
        <v>67.174268659189934</v>
      </c>
      <c r="Q5" s="54">
        <v>0.53861463415087651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0.71450932544934387</v>
      </c>
      <c r="F6" s="14">
        <v>2.2873281164249469E-3</v>
      </c>
      <c r="G6" s="14">
        <v>1.0104549509401714E-6</v>
      </c>
      <c r="H6" s="14">
        <v>342.44313830426211</v>
      </c>
      <c r="I6" s="14">
        <v>15572.044611682641</v>
      </c>
      <c r="J6" s="14">
        <v>0</v>
      </c>
      <c r="K6" s="14">
        <v>437.19132065887516</v>
      </c>
      <c r="L6" s="14">
        <v>2.2873281164249473E-3</v>
      </c>
      <c r="M6" s="14">
        <v>1.8767527195266691E-3</v>
      </c>
      <c r="N6" s="14">
        <v>305.79106502902158</v>
      </c>
      <c r="O6" s="14">
        <v>108399.87464213786</v>
      </c>
      <c r="P6" s="8">
        <v>305.79106502902158</v>
      </c>
      <c r="Q6" s="54">
        <v>0.32881047100240962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0.68149886751001165</v>
      </c>
      <c r="F7" s="14">
        <v>4.3994529196944125E-3</v>
      </c>
      <c r="G7" s="14">
        <v>1.4337953322199498E-6</v>
      </c>
      <c r="H7" s="14">
        <v>486.47292522002596</v>
      </c>
      <c r="I7" s="14">
        <v>13314.223570095517</v>
      </c>
      <c r="J7" s="14">
        <v>0</v>
      </c>
      <c r="K7" s="14">
        <v>227.30098906694525</v>
      </c>
      <c r="L7" s="14">
        <v>4.3994529196944125E-3</v>
      </c>
      <c r="M7" s="14">
        <v>3.6097511206092656E-3</v>
      </c>
      <c r="N7" s="14">
        <v>259.85055580819079</v>
      </c>
      <c r="O7" s="14">
        <v>92114.423528445564</v>
      </c>
      <c r="P7" s="8">
        <v>259.85055580819085</v>
      </c>
      <c r="Q7" s="54">
        <v>0.40078904783817426</v>
      </c>
    </row>
    <row r="8" spans="1:20">
      <c r="A8" s="2" t="s">
        <v>323</v>
      </c>
      <c r="B8" s="16" t="s">
        <v>324</v>
      </c>
      <c r="D8" s="14">
        <v>1</v>
      </c>
      <c r="E8" s="14">
        <v>0.64686126103380526</v>
      </c>
      <c r="F8" s="14">
        <v>9.3637479442628437E-3</v>
      </c>
      <c r="G8" s="14">
        <v>1.2938925206127561E-5</v>
      </c>
      <c r="H8" s="14">
        <v>707.40758926117303</v>
      </c>
      <c r="I8" s="14">
        <v>10226.49676966816</v>
      </c>
      <c r="J8" s="14">
        <v>0</v>
      </c>
      <c r="K8" s="14">
        <v>106.79484389717031</v>
      </c>
      <c r="L8" s="14">
        <v>9.3637479442628454E-3</v>
      </c>
      <c r="M8" s="14">
        <v>7.6829551882676645E-3</v>
      </c>
      <c r="N8" s="14">
        <v>198.0574407509132</v>
      </c>
      <c r="O8" s="14">
        <v>63386.303337922269</v>
      </c>
      <c r="P8" s="8">
        <v>198.05744075091323</v>
      </c>
      <c r="Q8" s="54">
        <v>0.48075840483017634</v>
      </c>
    </row>
    <row r="9" spans="1:20">
      <c r="A9" s="2" t="s">
        <v>325</v>
      </c>
      <c r="B9" s="16" t="s">
        <v>326</v>
      </c>
      <c r="D9" s="14">
        <v>1</v>
      </c>
      <c r="E9" s="14">
        <v>0.57768072133275372</v>
      </c>
      <c r="F9" s="14">
        <v>0.26269703209190998</v>
      </c>
      <c r="G9" s="14">
        <v>4.9664223985388694E-6</v>
      </c>
      <c r="H9" s="14">
        <v>748.54026435692276</v>
      </c>
      <c r="I9" s="14">
        <v>1361.0445379077566</v>
      </c>
      <c r="J9" s="14">
        <v>0</v>
      </c>
      <c r="K9" s="14">
        <v>3.8066665315431862</v>
      </c>
      <c r="L9" s="14">
        <v>0.26269703209190998</v>
      </c>
      <c r="M9" s="14">
        <v>0.21554291483141216</v>
      </c>
      <c r="N9" s="14">
        <v>25.564235639324636</v>
      </c>
      <c r="O9" s="14">
        <v>7780.4751168284538</v>
      </c>
      <c r="P9" s="8">
        <v>25.564235639324639</v>
      </c>
      <c r="Q9" s="54">
        <v>0.66446534749696806</v>
      </c>
    </row>
    <row r="10" spans="1:20">
      <c r="A10" s="2" t="s">
        <v>275</v>
      </c>
      <c r="B10" s="16" t="s">
        <v>276</v>
      </c>
      <c r="D10" s="14">
        <v>1</v>
      </c>
      <c r="E10" s="14">
        <v>0.64230018789265353</v>
      </c>
      <c r="F10" s="14">
        <v>4.4290006751658319E-2</v>
      </c>
      <c r="G10" s="14">
        <v>1.1753148790013571E-7</v>
      </c>
      <c r="H10" s="14">
        <v>1290.9985262358296</v>
      </c>
      <c r="I10" s="14">
        <v>3784.2769917477112</v>
      </c>
      <c r="J10" s="14">
        <v>0</v>
      </c>
      <c r="K10" s="14">
        <v>22.578456707111648</v>
      </c>
      <c r="L10" s="14">
        <v>4.4290006751658319E-2</v>
      </c>
      <c r="M10" s="14">
        <v>3.6339950539735655E-2</v>
      </c>
      <c r="N10" s="14">
        <v>71.932356604178807</v>
      </c>
      <c r="O10" s="14">
        <v>26650.218798282207</v>
      </c>
      <c r="P10" s="8">
        <v>71.932356604178807</v>
      </c>
      <c r="Q10" s="54">
        <v>0.54222921980368188</v>
      </c>
    </row>
    <row r="11" spans="1:20">
      <c r="A11" s="2" t="s">
        <v>327</v>
      </c>
      <c r="B11" s="16" t="s">
        <v>328</v>
      </c>
      <c r="D11" s="14">
        <v>1</v>
      </c>
      <c r="E11" s="14">
        <v>0.63728191559782221</v>
      </c>
      <c r="F11" s="14">
        <v>3.9154781030595387E-2</v>
      </c>
      <c r="G11" s="14">
        <v>6.1267941250951346E-6</v>
      </c>
      <c r="H11" s="14">
        <v>1244.5283654689342</v>
      </c>
      <c r="I11" s="14">
        <v>4217.5668042230009</v>
      </c>
      <c r="J11" s="14">
        <v>0</v>
      </c>
      <c r="K11" s="14">
        <v>25.539665238291182</v>
      </c>
      <c r="L11" s="14">
        <v>3.9154781030595387E-2</v>
      </c>
      <c r="M11" s="14">
        <v>3.2126497835603521E-2</v>
      </c>
      <c r="N11" s="14">
        <v>80.298710917916523</v>
      </c>
      <c r="O11" s="14">
        <v>30586.581975743582</v>
      </c>
      <c r="P11" s="8">
        <v>80.298710917916523</v>
      </c>
      <c r="Q11" s="54">
        <v>0.54608716644299571</v>
      </c>
    </row>
    <row r="12" spans="1:20">
      <c r="A12" s="2" t="s">
        <v>329</v>
      </c>
      <c r="B12" s="16" t="s">
        <v>330</v>
      </c>
      <c r="D12" s="14">
        <v>1</v>
      </c>
      <c r="E12" s="14">
        <v>0.58702134628218028</v>
      </c>
      <c r="F12" s="14">
        <v>0.19471179458877855</v>
      </c>
      <c r="G12" s="14">
        <v>3.000825538495758E-6</v>
      </c>
      <c r="H12" s="14">
        <v>938.02034825782914</v>
      </c>
      <c r="I12" s="14">
        <v>1640.8520739044652</v>
      </c>
      <c r="J12" s="14">
        <v>0</v>
      </c>
      <c r="K12" s="14">
        <v>5.1357957134129917</v>
      </c>
      <c r="L12" s="14">
        <v>0.19471179458877858</v>
      </c>
      <c r="M12" s="14">
        <v>0.15976102746009282</v>
      </c>
      <c r="N12" s="14">
        <v>30.816808431032936</v>
      </c>
      <c r="O12" s="14">
        <v>8456.1322334754368</v>
      </c>
      <c r="P12" s="8">
        <v>30.816808431032939</v>
      </c>
      <c r="Q12" s="54">
        <v>0.64754421865623746</v>
      </c>
    </row>
    <row r="13" spans="1:20">
      <c r="A13" s="2" t="s">
        <v>277</v>
      </c>
      <c r="B13" s="16" t="s">
        <v>278</v>
      </c>
      <c r="D13" s="14">
        <v>1</v>
      </c>
      <c r="E13" s="14">
        <v>0.57777487661704519</v>
      </c>
      <c r="F13" s="14">
        <v>0.25567658033022767</v>
      </c>
      <c r="G13" s="14">
        <v>7.8415052340867382E-6</v>
      </c>
      <c r="H13" s="14">
        <v>765.89802388800513</v>
      </c>
      <c r="I13" s="14">
        <v>1387.4844347404673</v>
      </c>
      <c r="J13" s="14">
        <v>0</v>
      </c>
      <c r="K13" s="14">
        <v>3.9111912350689941</v>
      </c>
      <c r="L13" s="14">
        <v>0.25567658033022767</v>
      </c>
      <c r="M13" s="14">
        <v>0.2097826341609518</v>
      </c>
      <c r="N13" s="14">
        <v>26.058436462596795</v>
      </c>
      <c r="O13" s="14">
        <v>10603.959549724514</v>
      </c>
      <c r="P13" s="8">
        <v>26.058436462596795</v>
      </c>
      <c r="Q13" s="54">
        <v>0.66378604792694929</v>
      </c>
    </row>
    <row r="14" spans="1:20">
      <c r="A14" s="2" t="s">
        <v>331</v>
      </c>
      <c r="B14" s="16" t="s">
        <v>332</v>
      </c>
      <c r="D14" s="14">
        <v>1</v>
      </c>
      <c r="E14" s="14">
        <v>0.62891674350741167</v>
      </c>
      <c r="F14" s="14">
        <v>2.6184498631441434E-2</v>
      </c>
      <c r="G14" s="14">
        <v>4.1148380805431735E-6</v>
      </c>
      <c r="H14" s="14">
        <v>1088.4895466881164</v>
      </c>
      <c r="I14" s="14">
        <v>5783.3760666886828</v>
      </c>
      <c r="J14" s="14">
        <v>0</v>
      </c>
      <c r="K14" s="14">
        <v>38.190534563042377</v>
      </c>
      <c r="L14" s="14">
        <v>2.6184498631441434E-2</v>
      </c>
      <c r="M14" s="14">
        <v>2.1484381127097697E-2</v>
      </c>
      <c r="N14" s="14">
        <v>110.68184952098967</v>
      </c>
      <c r="O14" s="14">
        <v>42159.823301040175</v>
      </c>
      <c r="P14" s="8">
        <v>110.68184952098967</v>
      </c>
      <c r="Q14" s="54">
        <v>0.54699257784341049</v>
      </c>
    </row>
    <row r="15" spans="1:20">
      <c r="A15" s="2" t="s">
        <v>333</v>
      </c>
      <c r="B15" s="16" t="s">
        <v>334</v>
      </c>
      <c r="D15" s="14">
        <v>1</v>
      </c>
      <c r="E15" s="14">
        <v>0.63981543546851705</v>
      </c>
      <c r="F15" s="14">
        <v>4.1669455609751417E-2</v>
      </c>
      <c r="G15" s="14">
        <v>6.6675505096003438E-9</v>
      </c>
      <c r="H15" s="14">
        <v>1268.3462425587998</v>
      </c>
      <c r="I15" s="14">
        <v>3997.5600604592764</v>
      </c>
      <c r="J15" s="14">
        <v>0</v>
      </c>
      <c r="K15" s="14">
        <v>23.998393676301873</v>
      </c>
      <c r="L15" s="14">
        <v>4.1669455609751417E-2</v>
      </c>
      <c r="M15" s="14">
        <v>3.4189788327801035E-2</v>
      </c>
      <c r="N15" s="14">
        <v>76.047932831977647</v>
      </c>
      <c r="O15" s="14">
        <v>29238.909215238768</v>
      </c>
      <c r="P15" s="8">
        <v>76.047932831977647</v>
      </c>
      <c r="Q15" s="54">
        <v>0.54449638083657137</v>
      </c>
    </row>
    <row r="16" spans="1:20">
      <c r="A16" s="2" t="s">
        <v>335</v>
      </c>
      <c r="B16" s="16" t="s">
        <v>336</v>
      </c>
      <c r="D16" s="14">
        <v>1</v>
      </c>
      <c r="E16" s="14">
        <v>0.6447163663541764</v>
      </c>
      <c r="F16" s="14">
        <v>9.659201456843727E-3</v>
      </c>
      <c r="G16" s="14">
        <v>3.3517352873846894E-5</v>
      </c>
      <c r="H16" s="14">
        <v>717.20155748573904</v>
      </c>
      <c r="I16" s="14">
        <v>10071.598275122271</v>
      </c>
      <c r="J16" s="14">
        <v>0</v>
      </c>
      <c r="K16" s="14">
        <v>103.52822688996523</v>
      </c>
      <c r="L16" s="14">
        <v>9.659201456843727E-3</v>
      </c>
      <c r="M16" s="14">
        <v>7.9253747953402787E-3</v>
      </c>
      <c r="N16" s="14">
        <v>194.98950796557429</v>
      </c>
      <c r="O16" s="14">
        <v>72793.483113708193</v>
      </c>
      <c r="P16" s="8">
        <v>194.98950796557429</v>
      </c>
      <c r="Q16" s="54">
        <v>0.48316825738077479</v>
      </c>
    </row>
    <row r="17" spans="1:21">
      <c r="A17" s="2" t="s">
        <v>337</v>
      </c>
      <c r="B17" s="16" t="s">
        <v>338</v>
      </c>
      <c r="D17" s="14">
        <v>1</v>
      </c>
      <c r="E17" s="14">
        <v>0.64435092342651656</v>
      </c>
      <c r="F17" s="14">
        <v>4.6470720169045479E-2</v>
      </c>
      <c r="G17" s="14">
        <v>2.348485540470089E-6</v>
      </c>
      <c r="H17" s="14">
        <v>1308.4568432591789</v>
      </c>
      <c r="I17" s="14">
        <v>3619.233254492432</v>
      </c>
      <c r="J17" s="14">
        <v>0</v>
      </c>
      <c r="K17" s="14">
        <v>21.518926247803407</v>
      </c>
      <c r="L17" s="14">
        <v>4.6470720169045479E-2</v>
      </c>
      <c r="M17" s="14">
        <v>3.8129225898701817E-2</v>
      </c>
      <c r="N17" s="14">
        <v>68.751095510641065</v>
      </c>
      <c r="O17" s="14">
        <v>26766.17650420278</v>
      </c>
      <c r="P17" s="8">
        <v>68.751095510641079</v>
      </c>
      <c r="Q17" s="54">
        <v>0.5400283674008578</v>
      </c>
    </row>
    <row r="18" spans="1:21">
      <c r="A18" s="2" t="s">
        <v>279</v>
      </c>
      <c r="B18" s="16" t="s">
        <v>280</v>
      </c>
      <c r="D18" s="14">
        <v>1</v>
      </c>
      <c r="E18" s="14">
        <v>0.57313155656803294</v>
      </c>
      <c r="F18" s="14">
        <v>0.2924217859483611</v>
      </c>
      <c r="G18" s="14">
        <v>1.3869417222871862E-4</v>
      </c>
      <c r="H18" s="14">
        <v>665.31869226547599</v>
      </c>
      <c r="I18" s="14">
        <v>1229.94841163213</v>
      </c>
      <c r="J18" s="14">
        <v>0</v>
      </c>
      <c r="K18" s="14">
        <v>3.4197178461135262</v>
      </c>
      <c r="L18" s="14">
        <v>0.2924217859483611</v>
      </c>
      <c r="M18" s="14">
        <v>0.2399320753706303</v>
      </c>
      <c r="N18" s="14">
        <v>23.117802826187951</v>
      </c>
      <c r="O18" s="14">
        <v>6723.350595940241</v>
      </c>
      <c r="P18" s="8">
        <v>23.117802826187951</v>
      </c>
      <c r="Q18" s="54">
        <v>0.65778943824647407</v>
      </c>
    </row>
    <row r="19" spans="1:21">
      <c r="A19" s="2" t="s">
        <v>339</v>
      </c>
      <c r="B19" s="16" t="s">
        <v>340</v>
      </c>
      <c r="D19" s="14">
        <v>1</v>
      </c>
      <c r="E19" s="14">
        <v>0.63934400530642277</v>
      </c>
      <c r="F19" s="14">
        <v>4.1160116944082378E-2</v>
      </c>
      <c r="G19" s="14">
        <v>2.3371419335464595E-8</v>
      </c>
      <c r="H19" s="14">
        <v>1263.736705967219</v>
      </c>
      <c r="I19" s="14">
        <v>4041.2318840743037</v>
      </c>
      <c r="J19" s="14">
        <v>0</v>
      </c>
      <c r="K19" s="14">
        <v>24.295363430539787</v>
      </c>
      <c r="L19" s="14">
        <v>4.1160116944082378E-2</v>
      </c>
      <c r="M19" s="14">
        <v>3.3771875952619594E-2</v>
      </c>
      <c r="N19" s="14">
        <v>76.891225713520242</v>
      </c>
      <c r="O19" s="14">
        <v>26577.452167878269</v>
      </c>
      <c r="P19" s="8">
        <v>76.891225713520242</v>
      </c>
      <c r="Q19" s="54">
        <v>0.54489618939907825</v>
      </c>
    </row>
    <row r="20" spans="1:21">
      <c r="A20" s="2" t="s">
        <v>281</v>
      </c>
      <c r="B20" s="16" t="s">
        <v>282</v>
      </c>
      <c r="D20" s="14">
        <v>1</v>
      </c>
      <c r="E20" s="14">
        <v>0.57804414413292926</v>
      </c>
      <c r="F20" s="14">
        <v>0.25579573642448078</v>
      </c>
      <c r="G20" s="14">
        <v>1.1874129720304721E-6</v>
      </c>
      <c r="H20" s="14">
        <v>766.25496474275531</v>
      </c>
      <c r="I20" s="14">
        <v>1388.1310611380322</v>
      </c>
      <c r="J20" s="14">
        <v>0</v>
      </c>
      <c r="K20" s="14">
        <v>3.9093693037187607</v>
      </c>
      <c r="L20" s="14">
        <v>0.25579573642448078</v>
      </c>
      <c r="M20" s="14">
        <v>0.20988040173628647</v>
      </c>
      <c r="N20" s="14">
        <v>26.070580795516204</v>
      </c>
      <c r="O20" s="14">
        <v>7593.317362502049</v>
      </c>
      <c r="P20" s="8">
        <v>26.070580795516204</v>
      </c>
      <c r="Q20" s="54">
        <v>0.66409540028448055</v>
      </c>
    </row>
    <row r="21" spans="1:21">
      <c r="A21" s="2" t="s">
        <v>341</v>
      </c>
      <c r="B21" s="16" t="s">
        <v>342</v>
      </c>
      <c r="D21" s="14">
        <v>1</v>
      </c>
      <c r="E21" s="14">
        <v>0.62900929180786447</v>
      </c>
      <c r="F21" s="14">
        <v>2.9471617927976042E-2</v>
      </c>
      <c r="G21" s="14">
        <v>3.4290393272587244E-5</v>
      </c>
      <c r="H21" s="14">
        <v>1133.2976241990561</v>
      </c>
      <c r="I21" s="14">
        <v>5284.4664999269908</v>
      </c>
      <c r="J21" s="14">
        <v>0</v>
      </c>
      <c r="K21" s="14">
        <v>33.930950192277919</v>
      </c>
      <c r="L21" s="14">
        <v>2.9471617927976042E-2</v>
      </c>
      <c r="M21" s="14">
        <v>2.4181462509904345E-2</v>
      </c>
      <c r="N21" s="14">
        <v>100.98009822113293</v>
      </c>
      <c r="O21" s="14">
        <v>33856.60733158145</v>
      </c>
      <c r="P21" s="8">
        <v>100.98009822113295</v>
      </c>
      <c r="Q21" s="54">
        <v>0.54752146399135726</v>
      </c>
      <c r="T21" s="22"/>
    </row>
    <row r="22" spans="1:21">
      <c r="A22" s="2" t="s">
        <v>343</v>
      </c>
      <c r="B22" s="16" t="s">
        <v>403</v>
      </c>
      <c r="D22" s="14">
        <v>1</v>
      </c>
      <c r="E22" s="14">
        <v>0.8260918945657254</v>
      </c>
      <c r="F22" s="14">
        <v>0.80477915929598309</v>
      </c>
      <c r="G22" s="14">
        <v>3.111896964457936E-5</v>
      </c>
      <c r="H22" s="14">
        <v>48.75248095171716</v>
      </c>
      <c r="I22" s="14">
        <v>117.72098629342585</v>
      </c>
      <c r="J22" s="14">
        <v>0</v>
      </c>
      <c r="K22" s="14">
        <v>1.2425769087693512</v>
      </c>
      <c r="L22" s="14">
        <v>0.80477915929598309</v>
      </c>
      <c r="M22" s="14">
        <v>0.66032130020235413</v>
      </c>
      <c r="N22" s="14">
        <v>2.8862255715768139</v>
      </c>
      <c r="O22" s="14">
        <v>473.91823885291279</v>
      </c>
      <c r="P22" s="8">
        <v>2.8862255715768139</v>
      </c>
      <c r="Q22" s="54">
        <v>0.27356081697565104</v>
      </c>
      <c r="T22" s="22"/>
      <c r="U22" s="22"/>
    </row>
    <row r="23" spans="1:21">
      <c r="A23" s="2" t="s">
        <v>344</v>
      </c>
      <c r="B23" s="16" t="s">
        <v>404</v>
      </c>
      <c r="D23" s="14">
        <v>1</v>
      </c>
      <c r="E23" s="14">
        <v>0.88719188927541504</v>
      </c>
      <c r="F23" s="14">
        <v>0.87849478227971434</v>
      </c>
      <c r="G23" s="14">
        <v>1.1448475895587823E-6</v>
      </c>
      <c r="H23" s="14">
        <v>20.068697481728325</v>
      </c>
      <c r="I23" s="14">
        <v>52.06865472771895</v>
      </c>
      <c r="J23" s="14">
        <v>0</v>
      </c>
      <c r="K23" s="14">
        <v>1.1383106879758313</v>
      </c>
      <c r="L23" s="14">
        <v>0.87849478227971445</v>
      </c>
      <c r="M23" s="14">
        <v>0.72080496886050571</v>
      </c>
      <c r="N23" s="14">
        <v>1.7597102774977564</v>
      </c>
      <c r="O23" s="14">
        <v>265.99780554656087</v>
      </c>
      <c r="P23" s="8">
        <v>1.7597102774977564</v>
      </c>
      <c r="Q23" s="54">
        <v>0.17962896070527423</v>
      </c>
      <c r="T23" s="22"/>
      <c r="U23" s="22"/>
    </row>
    <row r="24" spans="1:21">
      <c r="A24" s="2" t="s">
        <v>345</v>
      </c>
      <c r="B24" s="16" t="s">
        <v>405</v>
      </c>
      <c r="D24" s="14">
        <v>1</v>
      </c>
      <c r="E24" s="14">
        <v>0.63005592464710025</v>
      </c>
      <c r="F24" s="14">
        <v>0.48719814062687711</v>
      </c>
      <c r="G24" s="14">
        <v>2.2432315777290532E-6</v>
      </c>
      <c r="H24" s="14">
        <v>333.76871150117574</v>
      </c>
      <c r="I24" s="14">
        <v>674.06657602082737</v>
      </c>
      <c r="J24" s="14">
        <v>0</v>
      </c>
      <c r="K24" s="14">
        <v>2.0525529894537393</v>
      </c>
      <c r="L24" s="14">
        <v>0.48719814062687716</v>
      </c>
      <c r="M24" s="14">
        <v>0.39974607438435272</v>
      </c>
      <c r="N24" s="14">
        <v>12.87236518509655</v>
      </c>
      <c r="O24" s="14">
        <v>2268.7543638732668</v>
      </c>
      <c r="P24" s="8">
        <v>12.87236518509655</v>
      </c>
      <c r="Q24" s="54">
        <v>0.5862769136652054</v>
      </c>
      <c r="T24" s="22"/>
      <c r="U24" s="22"/>
    </row>
    <row r="25" spans="1:21">
      <c r="A25" s="2" t="s">
        <v>346</v>
      </c>
      <c r="B25" s="16" t="s">
        <v>406</v>
      </c>
      <c r="D25" s="14">
        <v>1</v>
      </c>
      <c r="E25" s="14">
        <v>0.58279715247542629</v>
      </c>
      <c r="F25" s="14">
        <v>0.11827007631001696</v>
      </c>
      <c r="G25" s="14">
        <v>8.3626392932679506E-4</v>
      </c>
      <c r="H25" s="14">
        <v>1119.2184919066328</v>
      </c>
      <c r="I25" s="14">
        <v>1862.824957356012</v>
      </c>
      <c r="J25" s="14">
        <v>0</v>
      </c>
      <c r="K25" s="14">
        <v>8.455224104013741</v>
      </c>
      <c r="L25" s="14">
        <v>0.11827007631001696</v>
      </c>
      <c r="M25" s="14">
        <v>9.7040597612368912E-2</v>
      </c>
      <c r="N25" s="14">
        <v>35.052708600855837</v>
      </c>
      <c r="O25" s="14">
        <v>6740.635863944578</v>
      </c>
      <c r="P25" s="8">
        <v>35.052708600855837</v>
      </c>
      <c r="Q25" s="54">
        <v>0.55920629006507883</v>
      </c>
      <c r="T25" s="22"/>
      <c r="U25" s="22"/>
    </row>
    <row r="26" spans="1:21">
      <c r="A26" s="2" t="s">
        <v>347</v>
      </c>
      <c r="B26" s="16" t="s">
        <v>407</v>
      </c>
      <c r="D26" s="14">
        <v>1</v>
      </c>
      <c r="E26" s="14">
        <v>0.63073575104092772</v>
      </c>
      <c r="F26" s="14">
        <v>3.1897413629891305E-2</v>
      </c>
      <c r="G26" s="14">
        <v>2.7489317528176242E-5</v>
      </c>
      <c r="H26" s="14">
        <v>1164.4892136807709</v>
      </c>
      <c r="I26" s="14">
        <v>4977.2865094032513</v>
      </c>
      <c r="J26" s="14">
        <v>0</v>
      </c>
      <c r="K26" s="14">
        <v>31.350504200845066</v>
      </c>
      <c r="L26" s="14">
        <v>3.1897413629891305E-2</v>
      </c>
      <c r="M26" s="14">
        <v>2.6171827883325817E-2</v>
      </c>
      <c r="N26" s="14">
        <v>95.014545780044017</v>
      </c>
      <c r="O26" s="14">
        <v>21128.384545108387</v>
      </c>
      <c r="P26" s="8">
        <v>95.014545780044017</v>
      </c>
      <c r="Q26" s="54">
        <v>0.54801524602919749</v>
      </c>
    </row>
    <row r="27" spans="1:21">
      <c r="A27" s="2" t="s">
        <v>348</v>
      </c>
      <c r="B27" s="16" t="s">
        <v>349</v>
      </c>
      <c r="D27" s="14">
        <v>1</v>
      </c>
      <c r="E27" s="14">
        <v>0.662451914547876</v>
      </c>
      <c r="F27" s="14">
        <v>5.2783373923844879E-3</v>
      </c>
      <c r="G27" s="14">
        <v>2.0180207832493806E-4</v>
      </c>
      <c r="H27" s="14">
        <v>530.63653323901406</v>
      </c>
      <c r="I27" s="14">
        <v>12380.959921255946</v>
      </c>
      <c r="J27" s="14">
        <v>0</v>
      </c>
      <c r="K27" s="14">
        <v>189.45359602112325</v>
      </c>
      <c r="L27" s="14">
        <v>5.2783373923844887E-3</v>
      </c>
      <c r="M27" s="14">
        <v>4.3308758304514729E-3</v>
      </c>
      <c r="N27" s="14">
        <v>241.17062803726461</v>
      </c>
      <c r="O27" s="14">
        <v>57010.324761728974</v>
      </c>
      <c r="P27" s="8">
        <v>241.17062803726461</v>
      </c>
      <c r="Q27" s="54">
        <v>0.41663362534769011</v>
      </c>
    </row>
    <row r="28" spans="1:21">
      <c r="A28" s="2" t="s">
        <v>350</v>
      </c>
      <c r="B28" s="16" t="s">
        <v>351</v>
      </c>
      <c r="D28" s="14">
        <v>1</v>
      </c>
      <c r="E28" s="14">
        <v>0.62970942007144415</v>
      </c>
      <c r="F28" s="14">
        <v>1.7907671466709348E-2</v>
      </c>
      <c r="G28" s="14">
        <v>1.0494641460824968E-5</v>
      </c>
      <c r="H28" s="14">
        <v>940.45737875762586</v>
      </c>
      <c r="I28" s="14">
        <v>7392.5843576130646</v>
      </c>
      <c r="J28" s="14">
        <v>0</v>
      </c>
      <c r="K28" s="14">
        <v>55.841989387565896</v>
      </c>
      <c r="L28" s="14">
        <v>1.7907671466709348E-2</v>
      </c>
      <c r="M28" s="14">
        <v>1.4693244438435022E-2</v>
      </c>
      <c r="N28" s="14">
        <v>142.13361436461346</v>
      </c>
      <c r="O28" s="14">
        <v>36727.325951816114</v>
      </c>
      <c r="P28" s="8">
        <v>142.13361436461346</v>
      </c>
      <c r="Q28" s="54">
        <v>0.53185872608908635</v>
      </c>
    </row>
    <row r="29" spans="1:21">
      <c r="A29" s="2" t="s">
        <v>352</v>
      </c>
      <c r="B29" s="16" t="s">
        <v>408</v>
      </c>
      <c r="D29" s="14">
        <v>1</v>
      </c>
      <c r="E29" s="14">
        <v>0.54722639158435737</v>
      </c>
      <c r="F29" s="14">
        <v>2.3709748649438374E-2</v>
      </c>
      <c r="G29" s="14">
        <v>1.8666179493154833E-3</v>
      </c>
      <c r="H29" s="14">
        <v>960.34427116658549</v>
      </c>
      <c r="I29" s="14">
        <v>4885.2199362126603</v>
      </c>
      <c r="J29" s="14">
        <v>0</v>
      </c>
      <c r="K29" s="14">
        <v>42.176744038308797</v>
      </c>
      <c r="L29" s="14">
        <v>2.3709748649438374E-2</v>
      </c>
      <c r="M29" s="14">
        <v>1.9453848766864186E-2</v>
      </c>
      <c r="N29" s="14">
        <v>93.44550756677107</v>
      </c>
      <c r="O29" s="14">
        <v>22089.58353370901</v>
      </c>
      <c r="P29" s="8">
        <v>93.44550756677107</v>
      </c>
      <c r="Q29" s="54">
        <v>0.47630388157777459</v>
      </c>
    </row>
    <row r="30" spans="1:21">
      <c r="A30" s="2" t="s">
        <v>353</v>
      </c>
      <c r="B30" s="16" t="s">
        <v>409</v>
      </c>
      <c r="D30" s="14">
        <v>1</v>
      </c>
      <c r="E30" s="14">
        <v>0.62970942007144415</v>
      </c>
      <c r="F30" s="14">
        <v>1.7907671466709348E-2</v>
      </c>
      <c r="G30" s="14">
        <v>1.0494641460824968E-5</v>
      </c>
      <c r="H30" s="14">
        <v>940.45737875762586</v>
      </c>
      <c r="I30" s="14">
        <v>7392.5843576130646</v>
      </c>
      <c r="J30" s="14">
        <v>0</v>
      </c>
      <c r="K30" s="14">
        <v>55.841989387565896</v>
      </c>
      <c r="L30" s="14">
        <v>1.7907671466709348E-2</v>
      </c>
      <c r="M30" s="14">
        <v>1.4693244438435022E-2</v>
      </c>
      <c r="N30" s="14">
        <v>142.13361436461346</v>
      </c>
      <c r="O30" s="14">
        <v>36727.325951816114</v>
      </c>
      <c r="P30" s="8">
        <v>142.13361436461346</v>
      </c>
      <c r="Q30" s="54">
        <v>0.53185872608908635</v>
      </c>
    </row>
    <row r="31" spans="1:21">
      <c r="A31" s="2" t="s">
        <v>283</v>
      </c>
      <c r="B31" s="16" t="s">
        <v>284</v>
      </c>
      <c r="D31" s="14">
        <v>1</v>
      </c>
      <c r="E31" s="14">
        <v>0.98978939047145853</v>
      </c>
      <c r="F31" s="14">
        <v>0.99009032425652865</v>
      </c>
      <c r="G31" s="14">
        <v>2.9443084410056121E-10</v>
      </c>
      <c r="H31" s="14">
        <v>0.17248638344663983</v>
      </c>
      <c r="I31" s="14">
        <v>0.64093204700377293</v>
      </c>
      <c r="J31" s="14">
        <v>0</v>
      </c>
      <c r="K31" s="14">
        <v>1.0100088603036421</v>
      </c>
      <c r="L31" s="14">
        <v>0.99009032425652876</v>
      </c>
      <c r="M31" s="14">
        <v>0.81236911105248188</v>
      </c>
      <c r="N31" s="14">
        <v>0.93846269585967257</v>
      </c>
      <c r="O31" s="14">
        <v>182.24007090898982</v>
      </c>
      <c r="P31" s="8">
        <v>0.93846269585967257</v>
      </c>
      <c r="Q31" s="54">
        <v>1.5944539734183142E-2</v>
      </c>
    </row>
    <row r="32" spans="1:21">
      <c r="A32" s="2" t="s">
        <v>354</v>
      </c>
      <c r="B32" s="16" t="s">
        <v>355</v>
      </c>
      <c r="D32" s="14">
        <v>1</v>
      </c>
      <c r="E32" s="14">
        <v>0.7712410378381811</v>
      </c>
      <c r="F32" s="14">
        <v>0.73073623898019424</v>
      </c>
      <c r="G32" s="14">
        <v>3.9732232096779917E-10</v>
      </c>
      <c r="H32" s="14">
        <v>93.002059531466628</v>
      </c>
      <c r="I32" s="14">
        <v>212.31116967999168</v>
      </c>
      <c r="J32" s="14">
        <v>0</v>
      </c>
      <c r="K32" s="14">
        <v>1.368482835059045</v>
      </c>
      <c r="L32" s="14">
        <v>0.73073623898019424</v>
      </c>
      <c r="M32" s="14">
        <v>0.59956908408324938</v>
      </c>
      <c r="N32" s="14">
        <v>4.6741000627948646</v>
      </c>
      <c r="O32" s="14">
        <v>1196.9902850811368</v>
      </c>
      <c r="P32" s="8">
        <v>4.6741000627948646</v>
      </c>
      <c r="Q32" s="54">
        <v>0.36405989791922</v>
      </c>
    </row>
    <row r="33" spans="1:17">
      <c r="A33" s="2" t="s">
        <v>356</v>
      </c>
      <c r="B33" s="16" t="s">
        <v>357</v>
      </c>
      <c r="D33" s="14">
        <v>1</v>
      </c>
      <c r="E33" s="14">
        <v>0.99973010711743659</v>
      </c>
      <c r="F33" s="14">
        <v>0.99969944472108407</v>
      </c>
      <c r="G33" s="14">
        <v>1.341386049925052E-12</v>
      </c>
      <c r="H33" s="14">
        <v>1.1944540597564823</v>
      </c>
      <c r="I33" s="14">
        <v>3.3818815227533673E-3</v>
      </c>
      <c r="J33" s="14">
        <v>0</v>
      </c>
      <c r="K33" s="14">
        <v>1.00030064563955</v>
      </c>
      <c r="L33" s="14">
        <v>0.99969944472108407</v>
      </c>
      <c r="M33" s="14">
        <v>0.82025339439364953</v>
      </c>
      <c r="N33" s="14">
        <v>0.94052909355950687</v>
      </c>
      <c r="O33" s="14">
        <v>278.53769105764792</v>
      </c>
      <c r="P33" s="8">
        <v>0.94052909355950698</v>
      </c>
      <c r="Q33" s="54">
        <v>3.8561896878765705E-5</v>
      </c>
    </row>
    <row r="34" spans="1:17">
      <c r="A34" s="2" t="s">
        <v>285</v>
      </c>
      <c r="B34" s="16" t="s">
        <v>286</v>
      </c>
      <c r="D34" s="14">
        <v>1</v>
      </c>
      <c r="E34" s="14">
        <v>0.99949500869123875</v>
      </c>
      <c r="F34" s="14">
        <v>0.92386629621327987</v>
      </c>
      <c r="G34" s="14">
        <v>6.7016829524939195E-12</v>
      </c>
      <c r="H34" s="14">
        <v>215.95791397726975</v>
      </c>
      <c r="I34" s="14">
        <v>0.16421213452632297</v>
      </c>
      <c r="J34" s="14">
        <v>0</v>
      </c>
      <c r="K34" s="14">
        <v>1.0824077078022816</v>
      </c>
      <c r="L34" s="14">
        <v>0.92386629621327998</v>
      </c>
      <c r="M34" s="14">
        <v>0.75803229604299616</v>
      </c>
      <c r="N34" s="14">
        <v>1.4042941712521662</v>
      </c>
      <c r="O34" s="14">
        <v>310.4051836135788</v>
      </c>
      <c r="P34" s="8">
        <v>1.4042941712521662</v>
      </c>
      <c r="Q34" s="54">
        <v>2.2080314062302659E-4</v>
      </c>
    </row>
    <row r="35" spans="1:17">
      <c r="A35" s="2" t="s">
        <v>287</v>
      </c>
      <c r="B35" s="16" t="s">
        <v>288</v>
      </c>
      <c r="D35" s="14">
        <v>1</v>
      </c>
      <c r="E35" s="14">
        <v>0.99898976337218037</v>
      </c>
      <c r="F35" s="14">
        <v>0.82759078147791398</v>
      </c>
      <c r="G35" s="14">
        <v>2.9537924699236147E-13</v>
      </c>
      <c r="H35" s="14">
        <v>487.97283333730684</v>
      </c>
      <c r="I35" s="14">
        <v>0.87495271367303373</v>
      </c>
      <c r="J35" s="14">
        <v>0</v>
      </c>
      <c r="K35" s="14">
        <v>1.2083266541637849</v>
      </c>
      <c r="L35" s="14">
        <v>0.82759078147791409</v>
      </c>
      <c r="M35" s="14">
        <v>0.67903823620262849</v>
      </c>
      <c r="N35" s="14">
        <v>1.9316419760163666</v>
      </c>
      <c r="O35" s="14">
        <v>444.77988139752853</v>
      </c>
      <c r="P35" s="8">
        <v>1.9316419760163666</v>
      </c>
      <c r="Q35" s="54">
        <v>8.0869467319039231E-4</v>
      </c>
    </row>
    <row r="36" spans="1:17">
      <c r="A36" s="2" t="s">
        <v>358</v>
      </c>
      <c r="B36" s="16" t="s">
        <v>305</v>
      </c>
      <c r="D36" s="14">
        <v>1</v>
      </c>
      <c r="E36" s="14">
        <v>0.99801322336138532</v>
      </c>
      <c r="F36" s="14">
        <v>0.54817150441482143</v>
      </c>
      <c r="G36" s="14">
        <v>1.034041407887745E-9</v>
      </c>
      <c r="H36" s="14">
        <v>1278.7818271924864</v>
      </c>
      <c r="I36" s="14">
        <v>3.3900012221188325</v>
      </c>
      <c r="J36" s="14">
        <v>0</v>
      </c>
      <c r="K36" s="14">
        <v>1.824246594261608</v>
      </c>
      <c r="L36" s="14">
        <v>0.54817150441482143</v>
      </c>
      <c r="M36" s="14">
        <v>0.44977471937236102</v>
      </c>
      <c r="N36" s="14">
        <v>3.3099341098918345</v>
      </c>
      <c r="O36" s="14">
        <v>682.77320818848762</v>
      </c>
      <c r="P36" s="8">
        <v>3.3099341098918345</v>
      </c>
      <c r="Q36" s="54">
        <v>1.794733026662721E-3</v>
      </c>
    </row>
    <row r="37" spans="1:17">
      <c r="A37" s="2" t="s">
        <v>289</v>
      </c>
      <c r="B37" s="16" t="s">
        <v>290</v>
      </c>
      <c r="D37" s="14">
        <v>1</v>
      </c>
      <c r="E37" s="14">
        <v>0.90266238575135804</v>
      </c>
      <c r="F37" s="14">
        <v>0.67130885430451537</v>
      </c>
      <c r="G37" s="14">
        <v>1.496665186150917E-16</v>
      </c>
      <c r="H37" s="14">
        <v>636.56444169557813</v>
      </c>
      <c r="I37" s="14">
        <v>201.22108748506648</v>
      </c>
      <c r="J37" s="14">
        <v>0</v>
      </c>
      <c r="K37" s="14">
        <v>1.4896273058039919</v>
      </c>
      <c r="L37" s="14">
        <v>0.67130885430451548</v>
      </c>
      <c r="M37" s="14">
        <v>0.55080891495685491</v>
      </c>
      <c r="N37" s="14">
        <v>5.5560764734758816</v>
      </c>
      <c r="O37" s="14">
        <v>1935.8481648884667</v>
      </c>
      <c r="P37" s="8">
        <v>5.5560764734758816</v>
      </c>
      <c r="Q37" s="54">
        <v>0.15341700202170058</v>
      </c>
    </row>
    <row r="38" spans="1:17">
      <c r="A38" s="2" t="s">
        <v>291</v>
      </c>
      <c r="B38" s="16" t="s">
        <v>292</v>
      </c>
      <c r="D38" s="14">
        <v>1</v>
      </c>
      <c r="E38" s="14">
        <v>0.99844106999566862</v>
      </c>
      <c r="F38" s="14">
        <v>0.940037866385252</v>
      </c>
      <c r="G38" s="14">
        <v>2.0497582494811303E-14</v>
      </c>
      <c r="H38" s="14">
        <v>166.89577712673267</v>
      </c>
      <c r="I38" s="14">
        <v>1.2909933678579097</v>
      </c>
      <c r="J38" s="14">
        <v>0</v>
      </c>
      <c r="K38" s="14">
        <v>1.0637869342916171</v>
      </c>
      <c r="L38" s="14">
        <v>0.940037866385252</v>
      </c>
      <c r="M38" s="14">
        <v>0.77130106936909926</v>
      </c>
      <c r="N38" s="14">
        <v>1.3243184681037055</v>
      </c>
      <c r="O38" s="14">
        <v>408.32711327041551</v>
      </c>
      <c r="P38" s="8">
        <v>1.3243184681037055</v>
      </c>
      <c r="Q38" s="54">
        <v>1.9405463091711202E-3</v>
      </c>
    </row>
    <row r="39" spans="1:17">
      <c r="A39" s="2" t="s">
        <v>359</v>
      </c>
      <c r="B39" s="16" t="s">
        <v>360</v>
      </c>
      <c r="D39" s="14">
        <v>1</v>
      </c>
      <c r="E39" s="14">
        <v>0.67020747205169506</v>
      </c>
      <c r="F39" s="14">
        <v>7.0944653392400039E-2</v>
      </c>
      <c r="G39" s="14">
        <v>1.1023211975518883E-6</v>
      </c>
      <c r="H39" s="14">
        <v>1450.0389604514805</v>
      </c>
      <c r="I39" s="14">
        <v>2344.9675757295972</v>
      </c>
      <c r="J39" s="14">
        <v>0</v>
      </c>
      <c r="K39" s="14">
        <v>14.095494898945059</v>
      </c>
      <c r="L39" s="14">
        <v>7.0944653392400039E-2</v>
      </c>
      <c r="M39" s="14">
        <v>5.8210088108464231E-2</v>
      </c>
      <c r="N39" s="14">
        <v>44.297463313331463</v>
      </c>
      <c r="O39" s="14">
        <v>12329.755938632677</v>
      </c>
      <c r="P39" s="8">
        <v>44.297463313331463</v>
      </c>
      <c r="Q39" s="54">
        <v>0.50902233874974767</v>
      </c>
    </row>
    <row r="40" spans="1:17">
      <c r="A40" s="2" t="s">
        <v>361</v>
      </c>
      <c r="B40" s="16" t="s">
        <v>362</v>
      </c>
      <c r="D40" s="14">
        <v>1</v>
      </c>
      <c r="E40" s="14">
        <v>0.8934408625611806</v>
      </c>
      <c r="F40" s="14">
        <v>9.0743077521995407E-3</v>
      </c>
      <c r="G40" s="14">
        <v>9.211844868431349E-14</v>
      </c>
      <c r="H40" s="14">
        <v>2343.977854015548</v>
      </c>
      <c r="I40" s="14">
        <v>1570.1295836917072</v>
      </c>
      <c r="J40" s="14">
        <v>0</v>
      </c>
      <c r="K40" s="14">
        <v>110.2012436990147</v>
      </c>
      <c r="L40" s="14">
        <v>9.0743077521995424E-3</v>
      </c>
      <c r="M40" s="14">
        <v>7.4454695106797239E-3</v>
      </c>
      <c r="N40" s="14">
        <v>365.87044815970086</v>
      </c>
      <c r="O40" s="14">
        <v>148872.68535618225</v>
      </c>
      <c r="P40" s="8">
        <v>365.87044815970086</v>
      </c>
      <c r="Q40" s="54">
        <v>1.7511989834617069E-2</v>
      </c>
    </row>
    <row r="41" spans="1:17">
      <c r="A41" s="2" t="s">
        <v>363</v>
      </c>
      <c r="B41" s="16" t="s">
        <v>364</v>
      </c>
      <c r="D41" s="14">
        <v>1</v>
      </c>
      <c r="E41" s="14">
        <v>0.93304913431709757</v>
      </c>
      <c r="F41" s="14">
        <v>0.93340874304692423</v>
      </c>
      <c r="G41" s="14">
        <v>9.2508225891093179E-4</v>
      </c>
      <c r="H41" s="14">
        <v>8.0900622715404796E-3</v>
      </c>
      <c r="I41" s="14">
        <v>3.7498080345808336E-2</v>
      </c>
      <c r="J41" s="14">
        <v>0</v>
      </c>
      <c r="K41" s="14">
        <v>1.0713420111490515</v>
      </c>
      <c r="L41" s="14">
        <v>0.93340874304692423</v>
      </c>
      <c r="M41" s="14">
        <v>0.76586187367000136</v>
      </c>
      <c r="N41" s="14">
        <v>0.87485869072975619</v>
      </c>
      <c r="O41" s="14">
        <v>122.64643985340452</v>
      </c>
      <c r="P41" s="8">
        <v>0.87485869072975619</v>
      </c>
      <c r="Q41" s="54">
        <v>3.1463645140688088E-3</v>
      </c>
    </row>
    <row r="42" spans="1:17">
      <c r="A42" s="2" t="s">
        <v>293</v>
      </c>
      <c r="B42" s="16" t="s">
        <v>294</v>
      </c>
      <c r="D42" s="14">
        <v>1</v>
      </c>
      <c r="E42" s="14">
        <v>0.81149850473377205</v>
      </c>
      <c r="F42" s="14">
        <v>0.78545999692428181</v>
      </c>
      <c r="G42" s="14">
        <v>2.9041066362265567E-10</v>
      </c>
      <c r="H42" s="14">
        <v>59.591466271559568</v>
      </c>
      <c r="I42" s="14">
        <v>141.52763267646367</v>
      </c>
      <c r="J42" s="14">
        <v>0</v>
      </c>
      <c r="K42" s="14">
        <v>1.2731393118883427</v>
      </c>
      <c r="L42" s="14">
        <v>0.78545999692428181</v>
      </c>
      <c r="M42" s="14">
        <v>0.64446992747637322</v>
      </c>
      <c r="N42" s="14">
        <v>3.3033454622631475</v>
      </c>
      <c r="O42" s="14">
        <v>1091.2932069132535</v>
      </c>
      <c r="P42" s="8">
        <v>3.3033454622631475</v>
      </c>
      <c r="Q42" s="54">
        <v>0.30022112105068266</v>
      </c>
    </row>
    <row r="43" spans="1:17">
      <c r="A43" s="2" t="s">
        <v>365</v>
      </c>
      <c r="B43" s="16" t="s">
        <v>366</v>
      </c>
      <c r="D43" s="14">
        <v>1</v>
      </c>
      <c r="E43" s="14">
        <v>0.99549018011073875</v>
      </c>
      <c r="F43" s="14">
        <v>8.1649557102010065E-2</v>
      </c>
      <c r="G43" s="14">
        <v>4.4211642835128864E-9</v>
      </c>
      <c r="H43" s="14">
        <v>2595.2179316754514</v>
      </c>
      <c r="I43" s="14">
        <v>20.288847141539247</v>
      </c>
      <c r="J43" s="14">
        <v>0</v>
      </c>
      <c r="K43" s="14">
        <v>12.247463862549008</v>
      </c>
      <c r="L43" s="14">
        <v>8.1649557102010065E-2</v>
      </c>
      <c r="M43" s="14">
        <v>6.6993461602199253E-2</v>
      </c>
      <c r="N43" s="14">
        <v>10.973133770128401</v>
      </c>
      <c r="O43" s="14">
        <v>2922.5844483359979</v>
      </c>
      <c r="P43" s="8">
        <v>10.973133770128401</v>
      </c>
      <c r="Q43" s="54">
        <v>2.6269836520015481E-3</v>
      </c>
    </row>
    <row r="44" spans="1:17">
      <c r="A44" s="2" t="s">
        <v>367</v>
      </c>
      <c r="B44" s="16" t="s">
        <v>368</v>
      </c>
      <c r="D44" s="14">
        <v>1</v>
      </c>
      <c r="E44" s="14">
        <v>0.86458981333104823</v>
      </c>
      <c r="F44" s="14">
        <v>0.86206358762529234</v>
      </c>
      <c r="G44" s="14">
        <v>1.0660750739475726E-3</v>
      </c>
      <c r="H44" s="14">
        <v>6.2338923943885067</v>
      </c>
      <c r="I44" s="14">
        <v>17.604207229315289</v>
      </c>
      <c r="J44" s="14">
        <v>0</v>
      </c>
      <c r="K44" s="14">
        <v>1.1600072365365508</v>
      </c>
      <c r="L44" s="14">
        <v>0.86206358762529234</v>
      </c>
      <c r="M44" s="14">
        <v>0.70732317364655239</v>
      </c>
      <c r="N44" s="14">
        <v>1.121686230343524</v>
      </c>
      <c r="O44" s="14">
        <v>167.5799228133225</v>
      </c>
      <c r="P44" s="8">
        <v>1.121686230343524</v>
      </c>
      <c r="Q44" s="54">
        <v>9.678687598574702E-2</v>
      </c>
    </row>
    <row r="45" spans="1:17">
      <c r="A45" s="2" t="s">
        <v>369</v>
      </c>
      <c r="B45" s="16" t="s">
        <v>370</v>
      </c>
      <c r="D45" s="14">
        <v>1</v>
      </c>
      <c r="E45" s="14">
        <v>0.79550002343423143</v>
      </c>
      <c r="F45" s="14">
        <v>0.76456844969379734</v>
      </c>
      <c r="G45" s="14">
        <v>1.1528820047235224E-5</v>
      </c>
      <c r="H45" s="14">
        <v>70.852694781376499</v>
      </c>
      <c r="I45" s="14">
        <v>165.81107823639985</v>
      </c>
      <c r="J45" s="14">
        <v>0</v>
      </c>
      <c r="K45" s="14">
        <v>1.3079273679164904</v>
      </c>
      <c r="L45" s="14">
        <v>0.76456844969379734</v>
      </c>
      <c r="M45" s="14">
        <v>0.62732841297376074</v>
      </c>
      <c r="N45" s="14">
        <v>3.7284820935571279</v>
      </c>
      <c r="O45" s="14">
        <v>828.61786047213616</v>
      </c>
      <c r="P45" s="8">
        <v>3.7284820935571283</v>
      </c>
      <c r="Q45" s="54">
        <v>0.3243497320138865</v>
      </c>
    </row>
    <row r="46" spans="1:17">
      <c r="A46" s="2" t="s">
        <v>371</v>
      </c>
      <c r="B46" s="16" t="s">
        <v>372</v>
      </c>
      <c r="D46" s="14">
        <v>1</v>
      </c>
      <c r="E46" s="14">
        <v>0.80392009080444726</v>
      </c>
      <c r="F46" s="14">
        <v>0.77619224813391363</v>
      </c>
      <c r="G46" s="14">
        <v>3.3731665795001982E-5</v>
      </c>
      <c r="H46" s="14">
        <v>63.475963407501766</v>
      </c>
      <c r="I46" s="14">
        <v>149.92238134870456</v>
      </c>
      <c r="J46" s="14">
        <v>0</v>
      </c>
      <c r="K46" s="14">
        <v>1.2883406171655989</v>
      </c>
      <c r="L46" s="14">
        <v>0.77619224813391363</v>
      </c>
      <c r="M46" s="14">
        <v>0.63686573959387616</v>
      </c>
      <c r="N46" s="14">
        <v>3.4483704232464159</v>
      </c>
      <c r="O46" s="14">
        <v>443.32250161255922</v>
      </c>
      <c r="P46" s="8">
        <v>3.4483704232464159</v>
      </c>
      <c r="Q46" s="54">
        <v>0.30850802952420403</v>
      </c>
    </row>
    <row r="47" spans="1:17">
      <c r="A47" s="2" t="s">
        <v>373</v>
      </c>
      <c r="B47" s="16" t="s">
        <v>374</v>
      </c>
      <c r="D47" s="14">
        <v>1</v>
      </c>
      <c r="E47" s="14">
        <v>0.67624963605995247</v>
      </c>
      <c r="F47" s="14">
        <v>4.8998728859629545E-3</v>
      </c>
      <c r="G47" s="14">
        <v>3.4907062312403617E-9</v>
      </c>
      <c r="H47" s="14">
        <v>514.38087582087223</v>
      </c>
      <c r="I47" s="14">
        <v>12904.523841884733</v>
      </c>
      <c r="J47" s="14">
        <v>0</v>
      </c>
      <c r="K47" s="14">
        <v>204.08692700269378</v>
      </c>
      <c r="L47" s="14">
        <v>4.8998728859629545E-3</v>
      </c>
      <c r="M47" s="14">
        <v>4.0203457029326043E-3</v>
      </c>
      <c r="N47" s="14">
        <v>251.58962668518663</v>
      </c>
      <c r="O47" s="14">
        <v>98444.505025646678</v>
      </c>
      <c r="P47" s="8">
        <v>251.58962668518666</v>
      </c>
      <c r="Q47" s="54">
        <v>0.41280218210701192</v>
      </c>
    </row>
    <row r="48" spans="1:17">
      <c r="A48" s="2" t="s">
        <v>375</v>
      </c>
      <c r="B48" s="16" t="s">
        <v>376</v>
      </c>
      <c r="D48" s="14">
        <v>1</v>
      </c>
      <c r="E48" s="14">
        <v>0.95604307159648927</v>
      </c>
      <c r="F48" s="14">
        <v>0.95553089852425888</v>
      </c>
      <c r="G48" s="14">
        <v>1.3783935203035992E-4</v>
      </c>
      <c r="H48" s="14">
        <v>1.8825422643222807</v>
      </c>
      <c r="I48" s="14">
        <v>5.8506201955793795</v>
      </c>
      <c r="J48" s="14">
        <v>0</v>
      </c>
      <c r="K48" s="14">
        <v>1.0465386326537636</v>
      </c>
      <c r="L48" s="14">
        <v>0.95553089852425888</v>
      </c>
      <c r="M48" s="14">
        <v>0.78401310223915444</v>
      </c>
      <c r="N48" s="14">
        <v>0.99846766613254168</v>
      </c>
      <c r="O48" s="14">
        <v>92.987293746923598</v>
      </c>
      <c r="P48" s="8">
        <v>0.99846766613254168</v>
      </c>
      <c r="Q48" s="54">
        <v>5.4475585404751017E-2</v>
      </c>
    </row>
    <row r="49" spans="1:17">
      <c r="A49" s="2" t="s">
        <v>377</v>
      </c>
      <c r="B49" s="16" t="s">
        <v>378</v>
      </c>
      <c r="D49" s="14">
        <v>1</v>
      </c>
      <c r="E49" s="14">
        <v>0.93517646446163993</v>
      </c>
      <c r="F49" s="14">
        <v>0.93394312799523427</v>
      </c>
      <c r="G49" s="14">
        <v>2.6360213205302838E-4</v>
      </c>
      <c r="H49" s="14">
        <v>3.4381152514938096</v>
      </c>
      <c r="I49" s="14">
        <v>10.204168035205187</v>
      </c>
      <c r="J49" s="14">
        <v>0</v>
      </c>
      <c r="K49" s="14">
        <v>1.0707290091063262</v>
      </c>
      <c r="L49" s="14">
        <v>0.93394312799523438</v>
      </c>
      <c r="M49" s="14">
        <v>0.76630033652008978</v>
      </c>
      <c r="N49" s="14">
        <v>1.0560574078804805</v>
      </c>
      <c r="O49" s="14">
        <v>117.349099163679</v>
      </c>
      <c r="P49" s="8">
        <v>1.0560574078804805</v>
      </c>
      <c r="Q49" s="54">
        <v>7.3752645267287961E-2</v>
      </c>
    </row>
    <row r="50" spans="1:17">
      <c r="A50" s="2" t="s">
        <v>379</v>
      </c>
      <c r="B50" s="16" t="s">
        <v>380</v>
      </c>
      <c r="D50" s="14">
        <v>1</v>
      </c>
      <c r="E50" s="14">
        <v>0.56790812542051372</v>
      </c>
      <c r="F50" s="14">
        <v>0.30026395197951639</v>
      </c>
      <c r="G50" s="14">
        <v>2.9065090799604374E-4</v>
      </c>
      <c r="H50" s="14">
        <v>633.78680953591277</v>
      </c>
      <c r="I50" s="14">
        <v>1178.149401918987</v>
      </c>
      <c r="J50" s="14">
        <v>0</v>
      </c>
      <c r="K50" s="14">
        <v>3.3304031116869424</v>
      </c>
      <c r="L50" s="14">
        <v>0.30026395197951639</v>
      </c>
      <c r="M50" s="14">
        <v>0.2463665725991932</v>
      </c>
      <c r="N50" s="14">
        <v>22.15172384204406</v>
      </c>
      <c r="O50" s="14">
        <v>4373.8578726115993</v>
      </c>
      <c r="P50" s="8">
        <v>22.15172384204406</v>
      </c>
      <c r="Q50" s="54">
        <v>0.64953172350246791</v>
      </c>
    </row>
    <row r="51" spans="1:17">
      <c r="A51" s="2" t="s">
        <v>295</v>
      </c>
      <c r="B51" s="16" t="s">
        <v>296</v>
      </c>
      <c r="D51" s="14">
        <v>1</v>
      </c>
      <c r="E51" s="14">
        <v>0.93436817360856783</v>
      </c>
      <c r="F51" s="14">
        <v>0.9345880321134783</v>
      </c>
      <c r="G51" s="14">
        <v>7.5053111743766888E-4</v>
      </c>
      <c r="H51" s="14">
        <v>0.29671548737088582</v>
      </c>
      <c r="I51" s="14">
        <v>1.0548662224203875</v>
      </c>
      <c r="J51" s="14">
        <v>0</v>
      </c>
      <c r="K51" s="14">
        <v>1.0699901621237318</v>
      </c>
      <c r="L51" s="14">
        <v>0.9345880321134783</v>
      </c>
      <c r="M51" s="14">
        <v>0.76682948034910903</v>
      </c>
      <c r="N51" s="14">
        <v>0.89375985952885961</v>
      </c>
      <c r="O51" s="14">
        <v>51.909572641436164</v>
      </c>
      <c r="P51" s="8">
        <v>0.89375985952885961</v>
      </c>
      <c r="Q51" s="54">
        <v>2.0577726284008224E-2</v>
      </c>
    </row>
    <row r="52" spans="1:17">
      <c r="A52" s="2" t="s">
        <v>381</v>
      </c>
      <c r="B52" s="16" t="s">
        <v>382</v>
      </c>
      <c r="D52" s="14">
        <v>1</v>
      </c>
      <c r="E52" s="14">
        <v>0.85519278300148127</v>
      </c>
      <c r="F52" s="14">
        <v>0.85043051766161104</v>
      </c>
      <c r="G52" s="14">
        <v>8.9810543403622315E-4</v>
      </c>
      <c r="H52" s="14">
        <v>11.207244234747824</v>
      </c>
      <c r="I52" s="14">
        <v>30.28000950846889</v>
      </c>
      <c r="J52" s="14">
        <v>0</v>
      </c>
      <c r="K52" s="14">
        <v>1.1758750176906316</v>
      </c>
      <c r="L52" s="14">
        <v>0.85043051766161115</v>
      </c>
      <c r="M52" s="14">
        <v>0.69777823974135189</v>
      </c>
      <c r="N52" s="14">
        <v>1.3393136825019722</v>
      </c>
      <c r="O52" s="14">
        <v>143.50746108008633</v>
      </c>
      <c r="P52" s="8">
        <v>1.3393136825019722</v>
      </c>
      <c r="Q52" s="54">
        <v>0.13054372689112897</v>
      </c>
    </row>
    <row r="53" spans="1:17">
      <c r="A53" s="2" t="s">
        <v>383</v>
      </c>
      <c r="B53" s="16" t="s">
        <v>384</v>
      </c>
      <c r="D53" s="14">
        <v>1</v>
      </c>
      <c r="E53" s="14">
        <v>0.74225116859719198</v>
      </c>
      <c r="F53" s="14">
        <v>0.69031257228237441</v>
      </c>
      <c r="G53" s="14">
        <v>3.9711315200133091E-5</v>
      </c>
      <c r="H53" s="14">
        <v>119.53243951429401</v>
      </c>
      <c r="I53" s="14">
        <v>267.14248024439445</v>
      </c>
      <c r="J53" s="14">
        <v>0</v>
      </c>
      <c r="K53" s="14">
        <v>1.4486191330598381</v>
      </c>
      <c r="L53" s="14">
        <v>0.69031257228237441</v>
      </c>
      <c r="M53" s="14">
        <v>0.56640146555768822</v>
      </c>
      <c r="N53" s="14">
        <v>5.5207916190462072</v>
      </c>
      <c r="O53" s="14">
        <v>894.47865811786653</v>
      </c>
      <c r="P53" s="8">
        <v>5.5207916190462072</v>
      </c>
      <c r="Q53" s="54">
        <v>0.40564203593976711</v>
      </c>
    </row>
    <row r="54" spans="1:17">
      <c r="A54" s="2" t="s">
        <v>385</v>
      </c>
      <c r="B54" s="16" t="s">
        <v>386</v>
      </c>
      <c r="D54" s="14">
        <v>1</v>
      </c>
      <c r="E54" s="14">
        <v>0.66066225960535707</v>
      </c>
      <c r="F54" s="14">
        <v>6.7029931176723406E-3</v>
      </c>
      <c r="G54" s="14">
        <v>1.5773107425496111E-5</v>
      </c>
      <c r="H54" s="14">
        <v>602.12793116849116</v>
      </c>
      <c r="I54" s="14">
        <v>11634.452323163154</v>
      </c>
      <c r="J54" s="14">
        <v>0</v>
      </c>
      <c r="K54" s="14">
        <v>149.18708440316237</v>
      </c>
      <c r="L54" s="14">
        <v>6.7029931176723406E-3</v>
      </c>
      <c r="M54" s="14">
        <v>5.4998058530501557E-3</v>
      </c>
      <c r="N54" s="14">
        <v>226.11399581831506</v>
      </c>
      <c r="O54" s="14">
        <v>52772.745484036546</v>
      </c>
      <c r="P54" s="8">
        <v>226.11399581831506</v>
      </c>
      <c r="Q54" s="54">
        <v>0.44662799781494156</v>
      </c>
    </row>
    <row r="55" spans="1:17">
      <c r="A55" s="2" t="s">
        <v>387</v>
      </c>
      <c r="B55" s="16" t="s">
        <v>388</v>
      </c>
      <c r="D55" s="14">
        <v>1</v>
      </c>
      <c r="E55" s="14">
        <v>0.45933395064099614</v>
      </c>
      <c r="F55" s="14">
        <v>0.34276585824033712</v>
      </c>
      <c r="G55" s="14">
        <v>3.7027641006777781E-3</v>
      </c>
      <c r="H55" s="14">
        <v>272.83341359353045</v>
      </c>
      <c r="I55" s="14">
        <v>544.94757905493839</v>
      </c>
      <c r="J55" s="14">
        <v>0</v>
      </c>
      <c r="K55" s="14">
        <v>2.9174434266403222</v>
      </c>
      <c r="L55" s="14">
        <v>0.34276585824033712</v>
      </c>
      <c r="M55" s="14">
        <v>0.28123938668619664</v>
      </c>
      <c r="N55" s="14">
        <v>10.369168198488582</v>
      </c>
      <c r="O55" s="14">
        <v>1329.0162880002815</v>
      </c>
      <c r="P55" s="8">
        <v>10.369168198488584</v>
      </c>
      <c r="Q55" s="54">
        <v>0.44602040483576705</v>
      </c>
    </row>
    <row r="56" spans="1:17">
      <c r="A56" s="2" t="s">
        <v>389</v>
      </c>
      <c r="B56" s="16" t="s">
        <v>390</v>
      </c>
      <c r="D56" s="14">
        <v>1</v>
      </c>
      <c r="E56" s="14">
        <v>8.4603006633420588E-2</v>
      </c>
      <c r="F56" s="14">
        <v>2.9469961238726208E-2</v>
      </c>
      <c r="G56" s="14">
        <v>1.2219348531178743E-2</v>
      </c>
      <c r="H56" s="14">
        <v>131.71024713128418</v>
      </c>
      <c r="I56" s="14">
        <v>231.67370036085978</v>
      </c>
      <c r="J56" s="14">
        <v>0</v>
      </c>
      <c r="K56" s="14">
        <v>33.932857661377206</v>
      </c>
      <c r="L56" s="14">
        <v>2.9469961238726208E-2</v>
      </c>
      <c r="M56" s="14">
        <v>2.4180103196374855E-2</v>
      </c>
      <c r="N56" s="14">
        <v>4.3506631128065907</v>
      </c>
      <c r="O56" s="14">
        <v>789.42782181875589</v>
      </c>
      <c r="P56" s="8">
        <v>4.3506631128065916</v>
      </c>
      <c r="Q56" s="54">
        <v>9.4248996624939241E-2</v>
      </c>
    </row>
    <row r="57" spans="1:17">
      <c r="A57" s="2" t="s">
        <v>391</v>
      </c>
      <c r="B57" s="16" t="s">
        <v>392</v>
      </c>
      <c r="D57" s="14">
        <v>1</v>
      </c>
      <c r="E57" s="14">
        <v>6.4333508294448297E-2</v>
      </c>
      <c r="F57" s="14">
        <v>4.3797348217379579E-2</v>
      </c>
      <c r="G57" s="14">
        <v>1.2757227603683623E-2</v>
      </c>
      <c r="H57" s="14">
        <v>48.253388499140542</v>
      </c>
      <c r="I57" s="14">
        <v>94.098995414741395</v>
      </c>
      <c r="J57" s="14">
        <v>0</v>
      </c>
      <c r="K57" s="14">
        <v>22.832432571869312</v>
      </c>
      <c r="L57" s="14">
        <v>4.3797348217379586E-2</v>
      </c>
      <c r="M57" s="14">
        <v>3.5935724212359951E-2</v>
      </c>
      <c r="N57" s="14">
        <v>1.779985488278133</v>
      </c>
      <c r="O57" s="14">
        <v>261.65786677688556</v>
      </c>
      <c r="P57" s="8">
        <v>1.779985488278133</v>
      </c>
      <c r="Q57" s="54">
        <v>6.7512623850817799E-2</v>
      </c>
    </row>
    <row r="58" spans="1:17">
      <c r="A58" s="2" t="s">
        <v>297</v>
      </c>
      <c r="B58" s="16" t="s">
        <v>298</v>
      </c>
      <c r="D58" s="14">
        <v>1</v>
      </c>
      <c r="E58" s="14">
        <v>7.5565123247965257E-2</v>
      </c>
      <c r="F58" s="14">
        <v>7.5429593518188648E-2</v>
      </c>
      <c r="G58" s="14">
        <v>1.3145292526383861E-2</v>
      </c>
      <c r="H58" s="14">
        <v>0.35656750926303593</v>
      </c>
      <c r="I58" s="14">
        <v>1.0389602645955847</v>
      </c>
      <c r="J58" s="14">
        <v>0</v>
      </c>
      <c r="K58" s="14">
        <v>13.257396114150687</v>
      </c>
      <c r="L58" s="14">
        <v>7.5429593518188648E-2</v>
      </c>
      <c r="M58" s="14">
        <v>6.1889981481673788E-2</v>
      </c>
      <c r="N58" s="14">
        <v>8.9141255553144907E-2</v>
      </c>
      <c r="O58" s="14">
        <v>7.5707668341285972</v>
      </c>
      <c r="P58" s="8">
        <v>8.9141255553144907E-2</v>
      </c>
      <c r="Q58" s="54">
        <v>6.785766917940781E-3</v>
      </c>
    </row>
    <row r="59" spans="1:17">
      <c r="A59" s="2" t="s">
        <v>393</v>
      </c>
      <c r="B59" s="16" t="s">
        <v>394</v>
      </c>
      <c r="D59" s="14">
        <v>1</v>
      </c>
      <c r="E59" s="14">
        <v>2.3472792825737741E-2</v>
      </c>
      <c r="F59" s="14">
        <v>1.6352860141865586E-2</v>
      </c>
      <c r="G59" s="14">
        <v>1.3731633709789762E-2</v>
      </c>
      <c r="H59" s="14">
        <v>16.714512811317523</v>
      </c>
      <c r="I59" s="14">
        <v>32.775618298313304</v>
      </c>
      <c r="J59" s="14">
        <v>0</v>
      </c>
      <c r="K59" s="14">
        <v>61.151382163408918</v>
      </c>
      <c r="L59" s="14">
        <v>1.6352860141865589E-2</v>
      </c>
      <c r="M59" s="14">
        <v>1.3417521746400716E-2</v>
      </c>
      <c r="N59" s="14">
        <v>0.62070104186468433</v>
      </c>
      <c r="O59" s="14">
        <v>102.93085377242062</v>
      </c>
      <c r="P59" s="8">
        <v>0.62070104186468444</v>
      </c>
      <c r="Q59" s="54">
        <v>2.4241020186727833E-2</v>
      </c>
    </row>
    <row r="60" spans="1:17">
      <c r="A60" s="2" t="s">
        <v>299</v>
      </c>
      <c r="B60" s="16" t="s">
        <v>300</v>
      </c>
      <c r="D60" s="14">
        <v>1</v>
      </c>
      <c r="E60" s="14">
        <v>6.8993788464867989E-4</v>
      </c>
      <c r="F60" s="14">
        <v>5.7849686250509823E-4</v>
      </c>
      <c r="G60" s="14">
        <v>1.4270838638709453E-2</v>
      </c>
      <c r="H60" s="14">
        <v>0.2590723162053834</v>
      </c>
      <c r="I60" s="14">
        <v>0.53985630596732981</v>
      </c>
      <c r="J60" s="14">
        <v>0</v>
      </c>
      <c r="K60" s="14">
        <v>1728.6178453408413</v>
      </c>
      <c r="L60" s="14">
        <v>5.7849686250509833E-4</v>
      </c>
      <c r="M60" s="14">
        <v>4.7465667568543317E-4</v>
      </c>
      <c r="N60" s="14">
        <v>1.0456651589892067E-2</v>
      </c>
      <c r="O60" s="14">
        <v>0.85890936159373432</v>
      </c>
      <c r="P60" s="8">
        <v>1.0456651589892067E-2</v>
      </c>
      <c r="Q60" s="54">
        <v>5.5779957451815656E-4</v>
      </c>
    </row>
    <row r="61" spans="1:17">
      <c r="A61" s="2" t="s">
        <v>395</v>
      </c>
      <c r="B61" s="16" t="s">
        <v>396</v>
      </c>
      <c r="D61" s="14">
        <v>1</v>
      </c>
      <c r="E61" s="14">
        <v>0.6942173966046129</v>
      </c>
      <c r="F61" s="14">
        <v>0.61275339566201237</v>
      </c>
      <c r="G61" s="14">
        <v>1.067908920575237E-45</v>
      </c>
      <c r="H61" s="14">
        <v>188.58438361924516</v>
      </c>
      <c r="I61" s="14">
        <v>403.98282088868922</v>
      </c>
      <c r="J61" s="14">
        <v>0</v>
      </c>
      <c r="K61" s="14">
        <v>1.6319779002115695</v>
      </c>
      <c r="L61" s="14">
        <v>0.61275339566201237</v>
      </c>
      <c r="M61" s="14">
        <v>0.50276416114068123</v>
      </c>
      <c r="N61" s="14">
        <v>7.9741686952675277</v>
      </c>
      <c r="O61" s="14">
        <v>9589.8150146156804</v>
      </c>
      <c r="P61" s="8">
        <v>7.9741686952675286</v>
      </c>
      <c r="Q61" s="54">
        <v>0.48591789969550436</v>
      </c>
    </row>
    <row r="62" spans="1:17">
      <c r="A62" s="2" t="s">
        <v>397</v>
      </c>
      <c r="B62" s="16" t="s">
        <v>398</v>
      </c>
      <c r="D62" s="14">
        <v>1</v>
      </c>
      <c r="E62" s="14">
        <v>0.62933857920936853</v>
      </c>
      <c r="F62" s="14">
        <v>2.690904008150264E-2</v>
      </c>
      <c r="G62" s="14">
        <v>8.2430264474443981E-9</v>
      </c>
      <c r="H62" s="14">
        <v>1099.4062601903602</v>
      </c>
      <c r="I62" s="14">
        <v>5674.3402832282891</v>
      </c>
      <c r="J62" s="14">
        <v>0</v>
      </c>
      <c r="K62" s="14">
        <v>37.162232356530737</v>
      </c>
      <c r="L62" s="14">
        <v>2.6909040081502644E-2</v>
      </c>
      <c r="M62" s="14">
        <v>2.2078867386872918E-2</v>
      </c>
      <c r="N62" s="14">
        <v>108.55833658841405</v>
      </c>
      <c r="O62" s="14">
        <v>34614.911204581709</v>
      </c>
      <c r="P62" s="8">
        <v>108.55833658841406</v>
      </c>
      <c r="Q62" s="54">
        <v>0.54766549090721273</v>
      </c>
    </row>
    <row r="63" spans="1:17">
      <c r="A63" s="2" t="s">
        <v>399</v>
      </c>
      <c r="B63" s="16" t="s">
        <v>400</v>
      </c>
      <c r="D63" s="14">
        <v>1</v>
      </c>
      <c r="E63" s="14">
        <v>0.70482775167054246</v>
      </c>
      <c r="F63" s="14">
        <v>2.7692742982613466E-3</v>
      </c>
      <c r="G63" s="14">
        <v>2.2230767809729186E-6</v>
      </c>
      <c r="H63" s="14">
        <v>380.21213599631363</v>
      </c>
      <c r="I63" s="14">
        <v>14954.887342558701</v>
      </c>
      <c r="J63" s="14">
        <v>0</v>
      </c>
      <c r="K63" s="14">
        <v>361.10543496100667</v>
      </c>
      <c r="L63" s="14">
        <v>2.7692742982613466E-3</v>
      </c>
      <c r="M63" s="14">
        <v>2.2721895617234351E-3</v>
      </c>
      <c r="N63" s="14">
        <v>293.15563001116709</v>
      </c>
      <c r="O63" s="14">
        <v>142412.07350312488</v>
      </c>
      <c r="P63" s="8">
        <v>293.15563001116715</v>
      </c>
      <c r="Q63" s="54">
        <v>0.34944847196566015</v>
      </c>
    </row>
    <row r="64" spans="1:17">
      <c r="A64" s="2" t="s">
        <v>401</v>
      </c>
      <c r="B64" s="16" t="s">
        <v>402</v>
      </c>
      <c r="D64" s="14">
        <v>1</v>
      </c>
      <c r="E64" s="14">
        <v>0.75302931747203317</v>
      </c>
      <c r="F64" s="14">
        <v>1.0109586106639261E-3</v>
      </c>
      <c r="G64" s="14">
        <v>2.8998922634608847E-7</v>
      </c>
      <c r="H64" s="14">
        <v>215.85065737520139</v>
      </c>
      <c r="I64" s="14">
        <v>17791.417307436404</v>
      </c>
      <c r="J64" s="14">
        <v>0</v>
      </c>
      <c r="K64" s="14">
        <v>989.16017871717895</v>
      </c>
      <c r="L64" s="14">
        <v>1.0109586106639261E-3</v>
      </c>
      <c r="M64" s="14">
        <v>8.2949154004975136E-4</v>
      </c>
      <c r="N64" s="14">
        <v>351.90713069078669</v>
      </c>
      <c r="O64" s="14">
        <v>198718.43762978035</v>
      </c>
      <c r="P64" s="8">
        <v>351.90713069078669</v>
      </c>
      <c r="Q64" s="54">
        <v>0.24797651167188842</v>
      </c>
    </row>
    <row r="65" spans="1:17">
      <c r="A65" s="2" t="s">
        <v>301</v>
      </c>
      <c r="B65" s="16" t="s">
        <v>302</v>
      </c>
      <c r="D65" s="14">
        <v>1</v>
      </c>
      <c r="E65" s="14">
        <v>0.79841207076547616</v>
      </c>
      <c r="F65" s="14">
        <v>2.9702008630132616E-4</v>
      </c>
      <c r="G65" s="14">
        <v>3.7489902212794729E-8</v>
      </c>
      <c r="H65" s="14">
        <v>104.78179160664259</v>
      </c>
      <c r="I65" s="14">
        <v>20032.861602910638</v>
      </c>
      <c r="J65" s="14">
        <v>0</v>
      </c>
      <c r="K65" s="14">
        <v>3366.7756697959558</v>
      </c>
      <c r="L65" s="14">
        <v>2.9702008630132616E-4</v>
      </c>
      <c r="M65" s="14">
        <v>2.4370498081023812E-4</v>
      </c>
      <c r="N65" s="14">
        <v>400.32595930723329</v>
      </c>
      <c r="O65" s="14">
        <v>257641.78089094922</v>
      </c>
      <c r="P65" s="8">
        <v>400.32595930723329</v>
      </c>
      <c r="Q65" s="54">
        <v>0.15514686012119247</v>
      </c>
    </row>
    <row r="66" spans="1:17">
      <c r="A66" s="2" t="s">
        <v>303</v>
      </c>
      <c r="B66" s="16" t="s">
        <v>304</v>
      </c>
      <c r="D66" s="14">
        <v>1</v>
      </c>
      <c r="E66" s="14">
        <v>0.77426534500525002</v>
      </c>
      <c r="F66" s="14">
        <v>6.0132202088079812E-4</v>
      </c>
      <c r="G66" s="14">
        <v>3.5339109042521919E-14</v>
      </c>
      <c r="H66" s="14">
        <v>159.4142382790051</v>
      </c>
      <c r="I66" s="14">
        <v>18883.57767914897</v>
      </c>
      <c r="J66" s="14">
        <v>0</v>
      </c>
      <c r="K66" s="14">
        <v>1663.002460038351</v>
      </c>
      <c r="L66" s="14">
        <v>6.0132202088079812E-4</v>
      </c>
      <c r="M66" s="14">
        <v>4.9338471813269484E-4</v>
      </c>
      <c r="N66" s="14">
        <v>375.16253746601916</v>
      </c>
      <c r="O66" s="14">
        <v>242096.13705219681</v>
      </c>
      <c r="P66" s="8">
        <v>375.16253746601922</v>
      </c>
      <c r="Q66" s="54">
        <v>0.20430748565518367</v>
      </c>
    </row>
    <row r="67" spans="1:17">
      <c r="A67" s="2" t="s">
        <v>411</v>
      </c>
      <c r="B67" s="16" t="s">
        <v>425</v>
      </c>
      <c r="D67" s="14">
        <v>1</v>
      </c>
      <c r="E67" s="14">
        <v>0.92388543637286014</v>
      </c>
      <c r="F67" s="14">
        <v>0.92052378413928138</v>
      </c>
      <c r="G67" s="14">
        <v>5.8447171917509631E-5</v>
      </c>
      <c r="H67" s="14">
        <v>8.1308324941481356</v>
      </c>
      <c r="I67" s="14">
        <v>22.625187390700482</v>
      </c>
      <c r="J67" s="14">
        <v>0</v>
      </c>
      <c r="K67" s="14">
        <v>1.0863380362681572</v>
      </c>
      <c r="L67" s="14">
        <v>0.92052378413928138</v>
      </c>
      <c r="M67" s="14">
        <v>0.75528976488628041</v>
      </c>
      <c r="N67" s="14">
        <v>1.26663125335823</v>
      </c>
      <c r="O67" s="14">
        <v>380.11603913280487</v>
      </c>
      <c r="P67" s="8">
        <v>1.26663125335823</v>
      </c>
      <c r="Q67" s="54">
        <v>0.11470759780059152</v>
      </c>
    </row>
    <row r="68" spans="1:17">
      <c r="A68" s="2" t="s">
        <v>412</v>
      </c>
      <c r="B68" s="16" t="s">
        <v>426</v>
      </c>
      <c r="D68" s="14">
        <v>1</v>
      </c>
      <c r="E68" s="14">
        <v>0.89338475060175604</v>
      </c>
      <c r="F68" s="14">
        <v>0.88693689410549126</v>
      </c>
      <c r="G68" s="14">
        <v>1.324894229035581E-4</v>
      </c>
      <c r="H68" s="14">
        <v>15.009033284695708</v>
      </c>
      <c r="I68" s="14">
        <v>39.81162379409205</v>
      </c>
      <c r="J68" s="14">
        <v>0</v>
      </c>
      <c r="K68" s="14">
        <v>1.1274759305266437</v>
      </c>
      <c r="L68" s="14">
        <v>0.88693689410549126</v>
      </c>
      <c r="M68" s="14">
        <v>0.72773172161355559</v>
      </c>
      <c r="N68" s="14">
        <v>1.5455942580631921</v>
      </c>
      <c r="O68" s="14">
        <v>507.18675578343641</v>
      </c>
      <c r="P68" s="8">
        <v>1.5455942580631921</v>
      </c>
      <c r="Q68" s="54">
        <v>0.15509931919288683</v>
      </c>
    </row>
    <row r="69" spans="1:17">
      <c r="A69" s="2" t="s">
        <v>413</v>
      </c>
      <c r="B69" s="16" t="s">
        <v>427</v>
      </c>
      <c r="D69" s="14">
        <v>1</v>
      </c>
      <c r="E69" s="14">
        <v>0.64002603582759732</v>
      </c>
      <c r="F69" s="14">
        <v>1.0092405515872935E-2</v>
      </c>
      <c r="G69" s="14">
        <v>9.866046998551701E-5</v>
      </c>
      <c r="H69" s="14">
        <v>730.15437581209153</v>
      </c>
      <c r="I69" s="14">
        <v>9816.8433986674845</v>
      </c>
      <c r="J69" s="14">
        <v>0</v>
      </c>
      <c r="K69" s="14">
        <v>99.084405440035056</v>
      </c>
      <c r="L69" s="14">
        <v>1.0092405515872935E-2</v>
      </c>
      <c r="M69" s="14">
        <v>8.2808187257737437E-3</v>
      </c>
      <c r="N69" s="14">
        <v>189.95804128367993</v>
      </c>
      <c r="O69" s="14">
        <v>88155.72779893018</v>
      </c>
      <c r="P69" s="8">
        <v>189.95804128367993</v>
      </c>
      <c r="Q69" s="54">
        <v>0.48548058104205044</v>
      </c>
    </row>
    <row r="70" spans="1:17">
      <c r="A70" s="2" t="s">
        <v>414</v>
      </c>
      <c r="B70" s="16" t="s">
        <v>428</v>
      </c>
      <c r="D70" s="14">
        <v>1</v>
      </c>
      <c r="E70" s="14">
        <v>0.59787199401784186</v>
      </c>
      <c r="F70" s="14">
        <v>0.14427219335491473</v>
      </c>
      <c r="G70" s="14">
        <v>1.9866031605234339E-4</v>
      </c>
      <c r="H70" s="14">
        <v>1090.1409013301682</v>
      </c>
      <c r="I70" s="14">
        <v>1844.7597108099555</v>
      </c>
      <c r="J70" s="14">
        <v>0</v>
      </c>
      <c r="K70" s="14">
        <v>6.9313426014115151</v>
      </c>
      <c r="L70" s="14">
        <v>0.14427219335491476</v>
      </c>
      <c r="M70" s="14">
        <v>0.11837533464770755</v>
      </c>
      <c r="N70" s="14">
        <v>34.684186940597407</v>
      </c>
      <c r="O70" s="14">
        <v>10892.568908694615</v>
      </c>
      <c r="P70" s="8">
        <v>34.684186940597407</v>
      </c>
      <c r="Q70" s="54">
        <v>0.6066522394741618</v>
      </c>
    </row>
    <row r="71" spans="1:17">
      <c r="A71" s="2" t="s">
        <v>415</v>
      </c>
      <c r="B71" s="16" t="s">
        <v>429</v>
      </c>
      <c r="D71" s="14">
        <v>1</v>
      </c>
      <c r="E71" s="14">
        <v>0.88574932315813848</v>
      </c>
      <c r="F71" s="14">
        <v>0.87998355043670973</v>
      </c>
      <c r="G71" s="14">
        <v>3.2249504155384468E-4</v>
      </c>
      <c r="H71" s="14">
        <v>13.473938289102529</v>
      </c>
      <c r="I71" s="14">
        <v>36.004080555082801</v>
      </c>
      <c r="J71" s="14">
        <v>0</v>
      </c>
      <c r="K71" s="14">
        <v>1.1363848784488411</v>
      </c>
      <c r="L71" s="14">
        <v>0.87998355043670973</v>
      </c>
      <c r="M71" s="14">
        <v>0.7220265031333204</v>
      </c>
      <c r="N71" s="14">
        <v>1.4702672326697039</v>
      </c>
      <c r="O71" s="14">
        <v>314.69599848062342</v>
      </c>
      <c r="P71" s="8">
        <v>1.4702672326697039</v>
      </c>
      <c r="Q71" s="54">
        <v>0.14606687055406042</v>
      </c>
    </row>
    <row r="72" spans="1:17">
      <c r="A72" s="2" t="s">
        <v>416</v>
      </c>
      <c r="B72" s="16" t="s">
        <v>430</v>
      </c>
      <c r="D72" s="14">
        <v>1</v>
      </c>
      <c r="E72" s="14">
        <v>0.56534434369084452</v>
      </c>
      <c r="F72" s="14">
        <v>0.15512609539068306</v>
      </c>
      <c r="G72" s="14">
        <v>7.748066667068506E-4</v>
      </c>
      <c r="H72" s="14">
        <v>983.93149256263587</v>
      </c>
      <c r="I72" s="14">
        <v>1686.6385872092333</v>
      </c>
      <c r="J72" s="14">
        <v>0</v>
      </c>
      <c r="K72" s="14">
        <v>6.4463686620971989</v>
      </c>
      <c r="L72" s="14">
        <v>0.15512609539068306</v>
      </c>
      <c r="M72" s="14">
        <v>0.12728096126805544</v>
      </c>
      <c r="N72" s="14">
        <v>31.694684822971144</v>
      </c>
      <c r="O72" s="14">
        <v>13123.818144647661</v>
      </c>
      <c r="P72" s="8">
        <v>31.694684822971144</v>
      </c>
      <c r="Q72" s="54">
        <v>0.59541809920950306</v>
      </c>
    </row>
    <row r="73" spans="1:17">
      <c r="A73" s="2" t="s">
        <v>417</v>
      </c>
      <c r="B73" s="16" t="s">
        <v>431</v>
      </c>
      <c r="D73" s="14">
        <v>1</v>
      </c>
      <c r="E73" s="14">
        <v>0.66814728162632486</v>
      </c>
      <c r="F73" s="14">
        <v>0.58077269360663553</v>
      </c>
      <c r="G73" s="14">
        <v>3.2029833160500989E-4</v>
      </c>
      <c r="H73" s="14">
        <v>202.54717430008512</v>
      </c>
      <c r="I73" s="14">
        <v>429.91575370586941</v>
      </c>
      <c r="J73" s="14">
        <v>0</v>
      </c>
      <c r="K73" s="14">
        <v>1.7218440381381159</v>
      </c>
      <c r="L73" s="14">
        <v>0.58077269360663553</v>
      </c>
      <c r="M73" s="14">
        <v>0.47652399510424448</v>
      </c>
      <c r="N73" s="14">
        <v>8.4260500089198054</v>
      </c>
      <c r="O73" s="14">
        <v>3607.7818323191927</v>
      </c>
      <c r="P73" s="8">
        <v>8.4260500089198054</v>
      </c>
      <c r="Q73" s="54">
        <v>0.49156772388105585</v>
      </c>
    </row>
    <row r="74" spans="1:17">
      <c r="A74" s="2" t="s">
        <v>418</v>
      </c>
      <c r="B74" s="16" t="s">
        <v>432</v>
      </c>
      <c r="D74" s="14">
        <v>1</v>
      </c>
      <c r="E74" s="14">
        <v>0.59099565184431779</v>
      </c>
      <c r="F74" s="14">
        <v>0.1480313277368164</v>
      </c>
      <c r="G74" s="14">
        <v>3.0141309894972997E-4</v>
      </c>
      <c r="H74" s="14">
        <v>1063.9804165335274</v>
      </c>
      <c r="I74" s="14">
        <v>1807.1358654513176</v>
      </c>
      <c r="J74" s="14">
        <v>0</v>
      </c>
      <c r="K74" s="14">
        <v>6.7553268303983005</v>
      </c>
      <c r="L74" s="14">
        <v>0.1480313277368164</v>
      </c>
      <c r="M74" s="14">
        <v>0.12145970440805785</v>
      </c>
      <c r="N74" s="14">
        <v>33.971336219799667</v>
      </c>
      <c r="O74" s="14">
        <v>17942.980364573785</v>
      </c>
      <c r="P74" s="8">
        <v>33.971336219799667</v>
      </c>
      <c r="Q74" s="54">
        <v>0.60644414191534912</v>
      </c>
    </row>
    <row r="75" spans="1:17">
      <c r="A75" s="2" t="s">
        <v>419</v>
      </c>
      <c r="B75" s="16" t="s">
        <v>433</v>
      </c>
      <c r="D75" s="14">
        <v>1</v>
      </c>
      <c r="E75" s="14">
        <v>0.98989398569056719</v>
      </c>
      <c r="F75" s="14">
        <v>4.1329620517530814E-2</v>
      </c>
      <c r="G75" s="14">
        <v>5.8302863869065601E-11</v>
      </c>
      <c r="H75" s="14">
        <v>2695.0164330539169</v>
      </c>
      <c r="I75" s="14">
        <v>9.6288238581296213</v>
      </c>
      <c r="J75" s="14">
        <v>0</v>
      </c>
      <c r="K75" s="14">
        <v>24.195721796570311</v>
      </c>
      <c r="L75" s="14">
        <v>4.1329620517530821E-2</v>
      </c>
      <c r="M75" s="14">
        <v>3.3910953634634033E-2</v>
      </c>
      <c r="N75" s="14">
        <v>37.384905735788976</v>
      </c>
      <c r="O75" s="14">
        <v>21088.451476501203</v>
      </c>
      <c r="P75" s="8">
        <v>37.384905735788976</v>
      </c>
      <c r="Q75" s="54">
        <v>5.3774111351362959E-4</v>
      </c>
    </row>
    <row r="76" spans="1:17">
      <c r="A76" s="2" t="s">
        <v>420</v>
      </c>
      <c r="B76" s="16" t="s">
        <v>434</v>
      </c>
      <c r="D76" s="14">
        <v>1</v>
      </c>
      <c r="E76" s="14">
        <v>0.98989398962904385</v>
      </c>
      <c r="F76" s="14">
        <v>4.1329620681968375E-2</v>
      </c>
      <c r="G76" s="14">
        <v>1.4645017325353519E-12</v>
      </c>
      <c r="H76" s="14">
        <v>2695.0164437765393</v>
      </c>
      <c r="I76" s="14">
        <v>9.6288238964396804</v>
      </c>
      <c r="J76" s="14">
        <v>0</v>
      </c>
      <c r="K76" s="14">
        <v>24.19572170030315</v>
      </c>
      <c r="L76" s="14">
        <v>4.1329620681968375E-2</v>
      </c>
      <c r="M76" s="14">
        <v>3.3910953769555052E-2</v>
      </c>
      <c r="N76" s="14">
        <v>37.384905884531754</v>
      </c>
      <c r="O76" s="14">
        <v>18697.312980030867</v>
      </c>
      <c r="P76" s="8">
        <v>37.384905884531754</v>
      </c>
      <c r="Q76" s="54">
        <v>5.3774111565313236E-4</v>
      </c>
    </row>
    <row r="77" spans="1:17">
      <c r="A77" s="2" t="s">
        <v>421</v>
      </c>
      <c r="B77" s="16" t="s">
        <v>435</v>
      </c>
      <c r="D77" s="14">
        <v>1</v>
      </c>
      <c r="E77" s="14">
        <v>0.55313370477755741</v>
      </c>
      <c r="F77" s="14">
        <v>0.34564351641441454</v>
      </c>
      <c r="G77" s="14">
        <v>8.9853893916904759E-4</v>
      </c>
      <c r="H77" s="14">
        <v>488.99949970026876</v>
      </c>
      <c r="I77" s="14">
        <v>936.19342255366576</v>
      </c>
      <c r="J77" s="14">
        <v>0</v>
      </c>
      <c r="K77" s="14">
        <v>2.8931542254101905</v>
      </c>
      <c r="L77" s="14">
        <v>0.34564351641441454</v>
      </c>
      <c r="M77" s="14">
        <v>0.28360050521802715</v>
      </c>
      <c r="N77" s="14">
        <v>17.654665584192099</v>
      </c>
      <c r="O77" s="14">
        <v>6427.3575525809756</v>
      </c>
      <c r="P77" s="8">
        <v>17.654665584192099</v>
      </c>
      <c r="Q77" s="54">
        <v>0.60696770699937108</v>
      </c>
    </row>
    <row r="78" spans="1:17">
      <c r="A78" s="2" t="s">
        <v>422</v>
      </c>
      <c r="B78" s="16" t="s">
        <v>436</v>
      </c>
      <c r="D78" s="14">
        <v>1</v>
      </c>
      <c r="E78" s="14">
        <v>0.78802468897196465</v>
      </c>
      <c r="F78" s="14">
        <v>0.7650695957457796</v>
      </c>
      <c r="G78" s="14">
        <v>5.3870304564876891E-4</v>
      </c>
      <c r="H78" s="14">
        <v>52.519543582051973</v>
      </c>
      <c r="I78" s="14">
        <v>125.65451956529945</v>
      </c>
      <c r="J78" s="14">
        <v>0</v>
      </c>
      <c r="K78" s="14">
        <v>1.3070706319537027</v>
      </c>
      <c r="L78" s="14">
        <v>0.7650695957457796</v>
      </c>
      <c r="M78" s="14">
        <v>0.62773960330941225</v>
      </c>
      <c r="N78" s="14">
        <v>2.9947018858379386</v>
      </c>
      <c r="O78" s="14">
        <v>790.75103295550775</v>
      </c>
      <c r="P78" s="8">
        <v>2.9947018858379386</v>
      </c>
      <c r="Q78" s="54">
        <v>0.27757357185032938</v>
      </c>
    </row>
    <row r="79" spans="1:17">
      <c r="A79" s="2" t="s">
        <v>423</v>
      </c>
      <c r="B79" s="16" t="s">
        <v>437</v>
      </c>
      <c r="D79" s="14">
        <v>1</v>
      </c>
      <c r="E79" s="14">
        <v>0.73176024424946606</v>
      </c>
      <c r="F79" s="14">
        <v>0.6781454257090882</v>
      </c>
      <c r="G79" s="14">
        <v>1.5896859078427203E-4</v>
      </c>
      <c r="H79" s="14">
        <v>123.44765276186916</v>
      </c>
      <c r="I79" s="14">
        <v>274.87801593158594</v>
      </c>
      <c r="J79" s="14">
        <v>0</v>
      </c>
      <c r="K79" s="14">
        <v>1.474609961358025</v>
      </c>
      <c r="L79" s="14">
        <v>0.6781454257090882</v>
      </c>
      <c r="M79" s="14">
        <v>0.55641832179430684</v>
      </c>
      <c r="N79" s="14">
        <v>5.6522638645689254</v>
      </c>
      <c r="O79" s="14">
        <v>2261.5272948526726</v>
      </c>
      <c r="P79" s="8">
        <v>5.6522638645689254</v>
      </c>
      <c r="Q79" s="54">
        <v>0.40901572710244416</v>
      </c>
    </row>
    <row r="80" spans="1:17">
      <c r="A80" s="2" t="s">
        <v>424</v>
      </c>
      <c r="B80" s="16" t="s">
        <v>438</v>
      </c>
      <c r="D80" s="14">
        <v>1</v>
      </c>
      <c r="E80" s="14">
        <v>0.98056879625640714</v>
      </c>
      <c r="F80" s="14">
        <v>2.80988956883968E-2</v>
      </c>
      <c r="G80" s="14">
        <v>2.093233721367539E-11</v>
      </c>
      <c r="H80" s="14">
        <v>2705.1369221669329</v>
      </c>
      <c r="I80" s="14">
        <v>18.565261744525468</v>
      </c>
      <c r="J80" s="14">
        <v>0</v>
      </c>
      <c r="K80" s="14">
        <v>35.588587220277887</v>
      </c>
      <c r="L80" s="14">
        <v>2.8098895688396804E-2</v>
      </c>
      <c r="M80" s="14">
        <v>2.3055143912329577E-2</v>
      </c>
      <c r="N80" s="14">
        <v>72.782330156055266</v>
      </c>
      <c r="O80" s="14">
        <v>37415.940286624893</v>
      </c>
      <c r="P80" s="8">
        <v>72.782330156055266</v>
      </c>
      <c r="Q80" s="54">
        <v>6.5720532940800229E-4</v>
      </c>
    </row>
    <row r="81" spans="1:17">
      <c r="A81" s="2" t="s">
        <v>440</v>
      </c>
      <c r="B81" s="16" t="s">
        <v>441</v>
      </c>
      <c r="D81" s="14">
        <v>1</v>
      </c>
      <c r="E81" s="14">
        <v>0.98734827553112769</v>
      </c>
      <c r="F81" s="14">
        <v>0.98760466127448099</v>
      </c>
      <c r="G81" s="14">
        <v>2.0840667210927709E-15</v>
      </c>
      <c r="H81" s="14">
        <v>0.26319833102836238</v>
      </c>
      <c r="I81" s="14">
        <v>0.94785150023270393</v>
      </c>
      <c r="J81" s="14">
        <v>0</v>
      </c>
      <c r="K81" s="14">
        <v>1.0125509115251878</v>
      </c>
      <c r="L81" s="14">
        <v>0.98760466127448099</v>
      </c>
      <c r="M81" s="14">
        <v>0.81032962457571167</v>
      </c>
      <c r="N81" s="14">
        <v>0.94152460288515649</v>
      </c>
      <c r="O81" s="14">
        <v>261.04711139593849</v>
      </c>
      <c r="P81" s="8">
        <v>0.9415246028851566</v>
      </c>
      <c r="Q81" s="54">
        <v>1.9849076329342602E-2</v>
      </c>
    </row>
    <row r="82" spans="1:17">
      <c r="A82" s="2" t="s">
        <v>442</v>
      </c>
      <c r="B82" s="16" t="s">
        <v>443</v>
      </c>
      <c r="D82" s="14">
        <v>1</v>
      </c>
      <c r="E82" s="14">
        <v>0.88972556627386046</v>
      </c>
      <c r="F82" s="14">
        <v>0.8814348286210526</v>
      </c>
      <c r="G82" s="14">
        <v>1.1222217839061844E-6</v>
      </c>
      <c r="H82" s="14">
        <v>19.153590895955425</v>
      </c>
      <c r="I82" s="14">
        <v>49.877810146433852</v>
      </c>
      <c r="J82" s="14">
        <v>0</v>
      </c>
      <c r="K82" s="14">
        <v>1.1345138262399217</v>
      </c>
      <c r="L82" s="14">
        <v>0.8814348286210526</v>
      </c>
      <c r="M82" s="14">
        <v>0.72321727688357362</v>
      </c>
      <c r="N82" s="14">
        <v>1.7227345730233647</v>
      </c>
      <c r="O82" s="14">
        <v>284.57852411772961</v>
      </c>
      <c r="P82" s="8">
        <v>1.7227345730233647</v>
      </c>
      <c r="Q82" s="54">
        <v>0.17559307237255886</v>
      </c>
    </row>
    <row r="83" spans="1:17">
      <c r="A83" s="2" t="s">
        <v>444</v>
      </c>
      <c r="B83" s="16" t="s">
        <v>445</v>
      </c>
      <c r="D83" s="14">
        <v>1</v>
      </c>
      <c r="E83" s="14">
        <v>0.60178766245348214</v>
      </c>
      <c r="F83" s="14">
        <v>0.41290507970118229</v>
      </c>
      <c r="G83" s="14">
        <v>1.8201145164991367E-5</v>
      </c>
      <c r="H83" s="14">
        <v>443.6803815869664</v>
      </c>
      <c r="I83" s="14">
        <v>866.81695292137567</v>
      </c>
      <c r="J83" s="14">
        <v>0</v>
      </c>
      <c r="K83" s="14">
        <v>2.4218641260691101</v>
      </c>
      <c r="L83" s="14">
        <v>0.41290507970118229</v>
      </c>
      <c r="M83" s="14">
        <v>0.33878861789482007</v>
      </c>
      <c r="N83" s="14">
        <v>16.402879078829443</v>
      </c>
      <c r="O83" s="14">
        <v>2956.4549251682192</v>
      </c>
      <c r="P83" s="8">
        <v>16.402879078829447</v>
      </c>
      <c r="Q83" s="54">
        <v>0.62824262131045483</v>
      </c>
    </row>
    <row r="84" spans="1:17">
      <c r="A84" s="2" t="s">
        <v>446</v>
      </c>
      <c r="B84" s="16" t="s">
        <v>447</v>
      </c>
      <c r="D84" s="14">
        <v>1</v>
      </c>
      <c r="E84" s="14">
        <v>0.97252087675992482</v>
      </c>
      <c r="F84" s="14">
        <v>0.97232817412015027</v>
      </c>
      <c r="G84" s="14">
        <v>6.5438201953417803E-17</v>
      </c>
      <c r="H84" s="14">
        <v>1.2061543015772562</v>
      </c>
      <c r="I84" s="14">
        <v>3.8784664659631627</v>
      </c>
      <c r="J84" s="14">
        <v>0</v>
      </c>
      <c r="K84" s="14">
        <v>1.0284593480024269</v>
      </c>
      <c r="L84" s="14">
        <v>0.97232817412015027</v>
      </c>
      <c r="M84" s="14">
        <v>0.79779526686558333</v>
      </c>
      <c r="N84" s="14">
        <v>0.97908599215515046</v>
      </c>
      <c r="O84" s="14">
        <v>380.75675148921647</v>
      </c>
      <c r="P84" s="8">
        <v>0.97908599215515058</v>
      </c>
      <c r="Q84" s="54">
        <v>4.3557208694593015E-2</v>
      </c>
    </row>
    <row r="85" spans="1:17">
      <c r="A85" s="2" t="s">
        <v>448</v>
      </c>
      <c r="B85" s="16" t="s">
        <v>449</v>
      </c>
      <c r="D85" s="14">
        <v>1</v>
      </c>
      <c r="E85" s="14">
        <v>0.99463695773177596</v>
      </c>
      <c r="F85" s="14">
        <v>0.99500059935453189</v>
      </c>
      <c r="G85" s="14">
        <v>4.4467409517860496E-10</v>
      </c>
      <c r="H85" s="14">
        <v>4.7820415177859642E-2</v>
      </c>
      <c r="I85" s="14">
        <v>0.19537568474189335</v>
      </c>
      <c r="J85" s="14">
        <v>0</v>
      </c>
      <c r="K85" s="14">
        <v>1.0050245202351749</v>
      </c>
      <c r="L85" s="14">
        <v>0.995000599354532</v>
      </c>
      <c r="M85" s="14">
        <v>0.81639799177039352</v>
      </c>
      <c r="N85" s="14">
        <v>0.93527656336421883</v>
      </c>
      <c r="O85" s="14">
        <v>167.6389712174026</v>
      </c>
      <c r="P85" s="8">
        <v>0.93527656336421894</v>
      </c>
      <c r="Q85" s="54">
        <v>8.1897475186315724E-3</v>
      </c>
    </row>
    <row r="86" spans="1:17">
      <c r="A86" s="2" t="s">
        <v>450</v>
      </c>
      <c r="B86" s="16" t="s">
        <v>451</v>
      </c>
      <c r="D86" s="14">
        <v>1</v>
      </c>
      <c r="E86" s="14">
        <v>0.9732025695407569</v>
      </c>
      <c r="F86" s="14">
        <v>0.97303712034679435</v>
      </c>
      <c r="G86" s="14">
        <v>1.6444773499639636E-10</v>
      </c>
      <c r="H86" s="14">
        <v>1.1481520576413049</v>
      </c>
      <c r="I86" s="14">
        <v>3.7055832894186227</v>
      </c>
      <c r="J86" s="14">
        <v>0</v>
      </c>
      <c r="K86" s="14">
        <v>1.0277100216316473</v>
      </c>
      <c r="L86" s="14">
        <v>0.97303712034679446</v>
      </c>
      <c r="M86" s="14">
        <v>0.79837695724454483</v>
      </c>
      <c r="N86" s="14">
        <v>0.97667812866009718</v>
      </c>
      <c r="O86" s="14">
        <v>255.00089261186474</v>
      </c>
      <c r="P86" s="8">
        <v>0.97667812866009729</v>
      </c>
      <c r="Q86" s="54">
        <v>4.2467488635112315E-2</v>
      </c>
    </row>
    <row r="87" spans="1:17">
      <c r="A87" s="2" t="s">
        <v>452</v>
      </c>
      <c r="B87" s="16" t="s">
        <v>453</v>
      </c>
      <c r="D87" s="14">
        <v>1</v>
      </c>
      <c r="E87" s="14">
        <v>0.68702421786953993</v>
      </c>
      <c r="F87" s="14">
        <v>3.9455346565989676E-3</v>
      </c>
      <c r="G87" s="14">
        <v>4.0696246028969458E-9</v>
      </c>
      <c r="H87" s="14">
        <v>459.54269036936171</v>
      </c>
      <c r="I87" s="14">
        <v>13720.913714753038</v>
      </c>
      <c r="J87" s="14">
        <v>0</v>
      </c>
      <c r="K87" s="14">
        <v>253.45107495824035</v>
      </c>
      <c r="L87" s="14">
        <v>3.9455346565989676E-3</v>
      </c>
      <c r="M87" s="14">
        <v>3.237311185739453E-3</v>
      </c>
      <c r="N87" s="14">
        <v>268.06997967749373</v>
      </c>
      <c r="O87" s="14">
        <v>111597.53253974063</v>
      </c>
      <c r="P87" s="8">
        <v>268.06997967749373</v>
      </c>
      <c r="Q87" s="54">
        <v>0.38867180144163088</v>
      </c>
    </row>
    <row r="88" spans="1:17">
      <c r="A88" s="2" t="s">
        <v>454</v>
      </c>
      <c r="B88" s="16" t="s">
        <v>455</v>
      </c>
      <c r="D88" s="14">
        <v>1</v>
      </c>
      <c r="E88" s="14">
        <v>0.84326616299334567</v>
      </c>
      <c r="F88" s="14">
        <v>0.82580747723050119</v>
      </c>
      <c r="G88" s="14">
        <v>6.0769728846865563E-7</v>
      </c>
      <c r="H88" s="14">
        <v>39.944667538362204</v>
      </c>
      <c r="I88" s="14">
        <v>98.065440080809665</v>
      </c>
      <c r="J88" s="14">
        <v>0</v>
      </c>
      <c r="K88" s="14">
        <v>1.2109359960673713</v>
      </c>
      <c r="L88" s="14">
        <v>0.82580747723050119</v>
      </c>
      <c r="M88" s="14">
        <v>0.67757503506762629</v>
      </c>
      <c r="N88" s="14">
        <v>2.5471253332450408</v>
      </c>
      <c r="O88" s="14">
        <v>487.18866248977895</v>
      </c>
      <c r="P88" s="8">
        <v>2.5471253332450408</v>
      </c>
      <c r="Q88" s="54">
        <v>0.24964103910833066</v>
      </c>
    </row>
    <row r="89" spans="1:17">
      <c r="A89" s="2" t="s">
        <v>456</v>
      </c>
      <c r="B89" s="16" t="s">
        <v>457</v>
      </c>
      <c r="D89" s="14">
        <v>1</v>
      </c>
      <c r="E89" s="14">
        <v>0.88205249296473076</v>
      </c>
      <c r="F89" s="14">
        <v>0.87248637318869249</v>
      </c>
      <c r="G89" s="14">
        <v>3.7670999256516697E-19</v>
      </c>
      <c r="H89" s="14">
        <v>22.028181831945155</v>
      </c>
      <c r="I89" s="14">
        <v>56.733009684486952</v>
      </c>
      <c r="J89" s="14">
        <v>0</v>
      </c>
      <c r="K89" s="14">
        <v>1.146149705863349</v>
      </c>
      <c r="L89" s="14">
        <v>0.87248637318869249</v>
      </c>
      <c r="M89" s="14">
        <v>0.71587506920132227</v>
      </c>
      <c r="N89" s="14">
        <v>1.8387127397912248</v>
      </c>
      <c r="O89" s="14">
        <v>721.62120185846413</v>
      </c>
      <c r="P89" s="8">
        <v>1.8387127397912251</v>
      </c>
      <c r="Q89" s="54">
        <v>0.18794718416949918</v>
      </c>
    </row>
    <row r="90" spans="1:17">
      <c r="A90" s="2" t="s">
        <v>458</v>
      </c>
      <c r="B90" s="16" t="s">
        <v>459</v>
      </c>
      <c r="D90" s="14">
        <v>1</v>
      </c>
      <c r="E90" s="14">
        <v>0.94592336486357742</v>
      </c>
      <c r="F90" s="14">
        <v>0.94417555277649501</v>
      </c>
      <c r="G90" s="14">
        <v>5.0855887638014654E-31</v>
      </c>
      <c r="H90" s="14">
        <v>4.5762817098124042</v>
      </c>
      <c r="I90" s="14">
        <v>13.309750731483492</v>
      </c>
      <c r="J90" s="14">
        <v>0</v>
      </c>
      <c r="K90" s="14">
        <v>1.0591250716663276</v>
      </c>
      <c r="L90" s="14">
        <v>0.94417555277649512</v>
      </c>
      <c r="M90" s="14">
        <v>0.77469604105311418</v>
      </c>
      <c r="N90" s="14">
        <v>1.1212742768456416</v>
      </c>
      <c r="O90" s="14">
        <v>875.64793375983538</v>
      </c>
      <c r="P90" s="8">
        <v>1.1212742768456416</v>
      </c>
      <c r="Q90" s="54">
        <v>8.6053774067317401E-2</v>
      </c>
    </row>
    <row r="91" spans="1:17">
      <c r="A91" s="2" t="s">
        <v>460</v>
      </c>
      <c r="B91" s="16" t="s">
        <v>461</v>
      </c>
      <c r="D91" s="14">
        <v>1</v>
      </c>
      <c r="E91" s="14">
        <v>0.62857234692620001</v>
      </c>
      <c r="F91" s="14">
        <v>2.3474888186735508E-2</v>
      </c>
      <c r="G91" s="14">
        <v>3.8671589232963386E-9</v>
      </c>
      <c r="H91" s="14">
        <v>1045.8358680879921</v>
      </c>
      <c r="I91" s="14">
        <v>6240.518904257794</v>
      </c>
      <c r="J91" s="14">
        <v>0</v>
      </c>
      <c r="K91" s="14">
        <v>42.598711953186225</v>
      </c>
      <c r="L91" s="14">
        <v>2.3474888186735508E-2</v>
      </c>
      <c r="M91" s="14">
        <v>1.9261145757216484E-2</v>
      </c>
      <c r="N91" s="14">
        <v>119.59321221650926</v>
      </c>
      <c r="O91" s="14">
        <v>36643.360223138436</v>
      </c>
      <c r="P91" s="8">
        <v>119.59321221650927</v>
      </c>
      <c r="Q91" s="54">
        <v>0.54427790332815074</v>
      </c>
    </row>
    <row r="92" spans="1:17">
      <c r="A92" s="2" t="s">
        <v>462</v>
      </c>
      <c r="B92" s="16" t="s">
        <v>463</v>
      </c>
      <c r="D92" s="14">
        <v>1</v>
      </c>
      <c r="E92" s="14">
        <v>0.63191718083608206</v>
      </c>
      <c r="F92" s="14">
        <v>0.49135648141390609</v>
      </c>
      <c r="G92" s="14">
        <v>1.363029253542953E-10</v>
      </c>
      <c r="H92" s="14">
        <v>328.30438932202571</v>
      </c>
      <c r="I92" s="14">
        <v>664.25351299549459</v>
      </c>
      <c r="J92" s="14">
        <v>0</v>
      </c>
      <c r="K92" s="14">
        <v>2.035182271580998</v>
      </c>
      <c r="L92" s="14">
        <v>0.49135648141390614</v>
      </c>
      <c r="M92" s="14">
        <v>0.40315799300010996</v>
      </c>
      <c r="N92" s="14">
        <v>12.693395360592069</v>
      </c>
      <c r="O92" s="14">
        <v>4275.3894253546205</v>
      </c>
      <c r="P92" s="8">
        <v>12.693395360592069</v>
      </c>
      <c r="Q92" s="54">
        <v>0.58362496368289885</v>
      </c>
    </row>
    <row r="93" spans="1:17">
      <c r="A93" s="2" t="s">
        <v>464</v>
      </c>
      <c r="B93" s="16" t="s">
        <v>465</v>
      </c>
      <c r="D93" s="14">
        <v>1</v>
      </c>
      <c r="E93" s="14">
        <v>0.5859099074985864</v>
      </c>
      <c r="F93" s="14">
        <v>0.19756676758161026</v>
      </c>
      <c r="G93" s="14">
        <v>1.1053565320777582E-5</v>
      </c>
      <c r="H93" s="14">
        <v>928.26910074660771</v>
      </c>
      <c r="I93" s="14">
        <v>1626.7883931306246</v>
      </c>
      <c r="J93" s="14">
        <v>0</v>
      </c>
      <c r="K93" s="14">
        <v>5.0615800027548818</v>
      </c>
      <c r="L93" s="14">
        <v>0.19756676758161026</v>
      </c>
      <c r="M93" s="14">
        <v>0.16210353280071124</v>
      </c>
      <c r="N93" s="14">
        <v>30.551651034038628</v>
      </c>
      <c r="O93" s="14">
        <v>14209.267379421026</v>
      </c>
      <c r="P93" s="8">
        <v>30.551651034038631</v>
      </c>
      <c r="Q93" s="54">
        <v>0.64853148500063518</v>
      </c>
    </row>
    <row r="94" spans="1:17">
      <c r="A94" s="2" t="s">
        <v>466</v>
      </c>
      <c r="B94" s="16" t="s">
        <v>467</v>
      </c>
      <c r="D94" s="14">
        <v>1</v>
      </c>
      <c r="E94" s="14">
        <v>0.99965965315848881</v>
      </c>
      <c r="F94" s="14">
        <v>0.98848251579060442</v>
      </c>
      <c r="G94" s="14">
        <v>2.2428767586398046E-20</v>
      </c>
      <c r="H94" s="14">
        <v>32.858595184627127</v>
      </c>
      <c r="I94" s="14">
        <v>3.998058107895866E-2</v>
      </c>
      <c r="J94" s="14">
        <v>0</v>
      </c>
      <c r="K94" s="14">
        <v>1.0116516822760226</v>
      </c>
      <c r="L94" s="14">
        <v>0.98848251579060442</v>
      </c>
      <c r="M94" s="14">
        <v>0.81104990420619094</v>
      </c>
      <c r="N94" s="14">
        <v>1.0189903694064759</v>
      </c>
      <c r="O94" s="14">
        <v>337.02087477749785</v>
      </c>
      <c r="P94" s="8">
        <v>1.0189903694064759</v>
      </c>
      <c r="Q94" s="54">
        <v>1.1848110662291349E-4</v>
      </c>
    </row>
    <row r="95" spans="1:17">
      <c r="A95" s="2" t="s">
        <v>468</v>
      </c>
      <c r="B95" s="16" t="s">
        <v>469</v>
      </c>
      <c r="D95" s="14">
        <v>1</v>
      </c>
      <c r="E95" s="14">
        <v>0.65237271713520595</v>
      </c>
      <c r="F95" s="14">
        <v>5.4176262089537783E-2</v>
      </c>
      <c r="G95" s="14">
        <v>1.5368713870188598E-19</v>
      </c>
      <c r="H95" s="14">
        <v>1363.0413700518307</v>
      </c>
      <c r="I95" s="14">
        <v>3122.2394600169769</v>
      </c>
      <c r="J95" s="14">
        <v>0</v>
      </c>
      <c r="K95" s="14">
        <v>18.458268648126509</v>
      </c>
      <c r="L95" s="14">
        <v>5.4176262089537783E-2</v>
      </c>
      <c r="M95" s="14">
        <v>4.4451623044465753E-2</v>
      </c>
      <c r="N95" s="14">
        <v>59.189269066248286</v>
      </c>
      <c r="O95" s="14">
        <v>29239.498918726651</v>
      </c>
      <c r="P95" s="8">
        <v>59.189269066248286</v>
      </c>
      <c r="Q95" s="54">
        <v>0.53145464621143623</v>
      </c>
    </row>
    <row r="96" spans="1:17">
      <c r="A96" s="2" t="s">
        <v>470</v>
      </c>
      <c r="B96" s="164">
        <v>354656</v>
      </c>
      <c r="D96" s="14">
        <v>1</v>
      </c>
      <c r="E96" s="14">
        <v>0.98685995189181253</v>
      </c>
      <c r="F96" s="14">
        <v>0.98710640704715058</v>
      </c>
      <c r="G96" s="14">
        <v>4.1578848580847935E-12</v>
      </c>
      <c r="H96" s="14">
        <v>0.28355934912206138</v>
      </c>
      <c r="I96" s="14">
        <v>1.0155496050027721</v>
      </c>
      <c r="J96" s="14">
        <v>0</v>
      </c>
      <c r="K96" s="14">
        <v>1.0130620091823934</v>
      </c>
      <c r="L96" s="14">
        <v>0.98710640704715069</v>
      </c>
      <c r="M96" s="14">
        <v>0.80992080698218716</v>
      </c>
      <c r="N96" s="14">
        <v>0.94224873996629244</v>
      </c>
      <c r="O96" s="14">
        <v>185.8020290339532</v>
      </c>
      <c r="P96" s="8">
        <v>0.94224873996629255</v>
      </c>
      <c r="Q96" s="54">
        <v>2.0630090900945169E-2</v>
      </c>
    </row>
    <row r="97" spans="1:17">
      <c r="A97" s="2" t="s">
        <v>472</v>
      </c>
      <c r="B97" s="16" t="s">
        <v>473</v>
      </c>
      <c r="D97" s="14">
        <v>1</v>
      </c>
      <c r="E97" s="14">
        <v>0.97217368554444339</v>
      </c>
      <c r="F97" s="14">
        <v>0.97196686028520685</v>
      </c>
      <c r="G97" s="14">
        <v>6.5422923227180116E-12</v>
      </c>
      <c r="H97" s="14">
        <v>1.2362362029691161</v>
      </c>
      <c r="I97" s="14">
        <v>3.9678809051976289</v>
      </c>
      <c r="J97" s="14">
        <v>0</v>
      </c>
      <c r="K97" s="14">
        <v>1.0288416620568395</v>
      </c>
      <c r="L97" s="14">
        <v>0.97196686028520685</v>
      </c>
      <c r="M97" s="14">
        <v>0.79749880886401225</v>
      </c>
      <c r="N97" s="14">
        <v>0.98033674822292893</v>
      </c>
      <c r="O97" s="14">
        <v>157.03034033034876</v>
      </c>
      <c r="P97" s="8">
        <v>0.98033674822292904</v>
      </c>
      <c r="Q97" s="54">
        <v>4.4112190923830001E-2</v>
      </c>
    </row>
    <row r="98" spans="1:17">
      <c r="A98" s="2" t="s">
        <v>474</v>
      </c>
      <c r="B98" s="16" t="s">
        <v>475</v>
      </c>
      <c r="D98" s="14">
        <v>1</v>
      </c>
      <c r="E98" s="14">
        <v>0.62846372376948079</v>
      </c>
      <c r="F98" s="14">
        <v>0.11311646685347157</v>
      </c>
      <c r="G98" s="14">
        <v>3.1867964106594504E-21</v>
      </c>
      <c r="H98" s="14">
        <v>1243.7292026814989</v>
      </c>
      <c r="I98" s="14">
        <v>2047.3071465260214</v>
      </c>
      <c r="J98" s="14">
        <v>0</v>
      </c>
      <c r="K98" s="14">
        <v>8.8404458503409291</v>
      </c>
      <c r="L98" s="14">
        <v>0.11311646685347157</v>
      </c>
      <c r="M98" s="14">
        <v>9.2812061053273429E-2</v>
      </c>
      <c r="N98" s="14">
        <v>38.548339994846216</v>
      </c>
      <c r="O98" s="14">
        <v>20485.744323461124</v>
      </c>
      <c r="P98" s="8">
        <v>38.548339994846224</v>
      </c>
      <c r="Q98" s="54">
        <v>0.57833969607231872</v>
      </c>
    </row>
    <row r="99" spans="1:17">
      <c r="A99" s="2" t="s">
        <v>476</v>
      </c>
      <c r="B99" s="16" t="s">
        <v>477</v>
      </c>
      <c r="D99" s="14">
        <v>1</v>
      </c>
      <c r="E99" s="14">
        <v>0.99621928738197152</v>
      </c>
      <c r="F99" s="14">
        <v>0.99659569439531126</v>
      </c>
      <c r="G99" s="14">
        <v>1.9365445584844224E-9</v>
      </c>
      <c r="H99" s="14">
        <v>2.3485456517540408E-2</v>
      </c>
      <c r="I99" s="14">
        <v>0.10112445110722593</v>
      </c>
      <c r="J99" s="14">
        <v>0</v>
      </c>
      <c r="K99" s="14">
        <v>1.003415934489617</v>
      </c>
      <c r="L99" s="14">
        <v>0.99659569439531137</v>
      </c>
      <c r="M99" s="14">
        <v>0.81770676725135294</v>
      </c>
      <c r="N99" s="14">
        <v>0.93513577846890283</v>
      </c>
      <c r="O99" s="14">
        <v>120.78213714704349</v>
      </c>
      <c r="P99" s="8">
        <v>0.93513577846890295</v>
      </c>
      <c r="Q99" s="54">
        <v>5.6579118556842108E-3</v>
      </c>
    </row>
    <row r="100" spans="1:17">
      <c r="A100" s="2" t="s">
        <v>478</v>
      </c>
      <c r="B100" s="16" t="s">
        <v>479</v>
      </c>
      <c r="D100" s="14">
        <v>1</v>
      </c>
      <c r="E100" s="14">
        <v>0.7593008311816295</v>
      </c>
      <c r="F100" s="14">
        <v>0.71412860597575878</v>
      </c>
      <c r="G100" s="14">
        <v>9.8452084941288737E-13</v>
      </c>
      <c r="H100" s="14">
        <v>103.79977928119534</v>
      </c>
      <c r="I100" s="14">
        <v>234.99228314022722</v>
      </c>
      <c r="J100" s="14">
        <v>0</v>
      </c>
      <c r="K100" s="14">
        <v>1.4003080000326231</v>
      </c>
      <c r="L100" s="14">
        <v>0.71412860597575878</v>
      </c>
      <c r="M100" s="14">
        <v>0.58594252120311008</v>
      </c>
      <c r="N100" s="14">
        <v>4.9513290094145246</v>
      </c>
      <c r="O100" s="14">
        <v>1484.4084370224746</v>
      </c>
      <c r="P100" s="8">
        <v>4.9513290094145246</v>
      </c>
      <c r="Q100" s="54">
        <v>0.38304835429598966</v>
      </c>
    </row>
    <row r="101" spans="1:17">
      <c r="A101" s="2" t="s">
        <v>480</v>
      </c>
      <c r="B101" s="16" t="s">
        <v>481</v>
      </c>
      <c r="D101" s="14">
        <v>1</v>
      </c>
      <c r="E101" s="14">
        <v>0.99381426554991392</v>
      </c>
      <c r="F101" s="14">
        <v>0.99416973805367193</v>
      </c>
      <c r="G101" s="14">
        <v>5.2284026610275282E-13</v>
      </c>
      <c r="H101" s="14">
        <v>6.3700162368829763E-2</v>
      </c>
      <c r="I101" s="14">
        <v>0.25479899465951394</v>
      </c>
      <c r="J101" s="14">
        <v>0</v>
      </c>
      <c r="K101" s="14">
        <v>1.0058644532449179</v>
      </c>
      <c r="L101" s="14">
        <v>0.99416973805367193</v>
      </c>
      <c r="M101" s="14">
        <v>0.81571627007303782</v>
      </c>
      <c r="N101" s="14">
        <v>0.93553231955752392</v>
      </c>
      <c r="O101" s="14">
        <v>222.80637722581989</v>
      </c>
      <c r="P101" s="8">
        <v>0.93553231955752392</v>
      </c>
      <c r="Q101" s="54">
        <v>9.5059978143617798E-3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0.99825624565840554</v>
      </c>
      <c r="F102" s="14">
        <v>0.99864313236405078</v>
      </c>
      <c r="G102" s="14">
        <v>3.2655685696715485E-29</v>
      </c>
      <c r="H102" s="14">
        <v>4.5178345226928977E-3</v>
      </c>
      <c r="I102" s="14">
        <v>2.196784676391858E-2</v>
      </c>
      <c r="J102" s="14">
        <v>0</v>
      </c>
      <c r="K102" s="14">
        <v>1.00135871122724</v>
      </c>
      <c r="L102" s="14">
        <v>0.99864313236405078</v>
      </c>
      <c r="M102" s="14">
        <v>0.81938669010470366</v>
      </c>
      <c r="N102" s="14">
        <v>0.93568986687174038</v>
      </c>
      <c r="O102" s="14">
        <v>430.81968540375539</v>
      </c>
      <c r="P102" s="8">
        <v>0.93568986687174038</v>
      </c>
      <c r="Q102" s="54">
        <v>2.3987638235499608E-3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0.99633238777397148</v>
      </c>
      <c r="F103" s="14">
        <v>0.99670955484035606</v>
      </c>
      <c r="G103" s="14">
        <v>2.6117229736466788E-15</v>
      </c>
      <c r="H103" s="14">
        <v>2.2064730209333531E-2</v>
      </c>
      <c r="I103" s="14">
        <v>9.5445573618241658E-2</v>
      </c>
      <c r="J103" s="14">
        <v>0</v>
      </c>
      <c r="K103" s="14">
        <v>1.0033013079323505</v>
      </c>
      <c r="L103" s="14">
        <v>0.99670955484035606</v>
      </c>
      <c r="M103" s="14">
        <v>0.81780018974651214</v>
      </c>
      <c r="N103" s="14">
        <v>0.93514420559988909</v>
      </c>
      <c r="O103" s="14">
        <v>191.93834819937723</v>
      </c>
      <c r="P103" s="8">
        <v>0.93514420559988909</v>
      </c>
      <c r="Q103" s="54">
        <v>5.4771645975180321E-3</v>
      </c>
    </row>
    <row r="104" spans="1:17">
      <c r="A104" s="2" t="s">
        <v>486</v>
      </c>
      <c r="B104" s="16" t="s">
        <v>487</v>
      </c>
      <c r="D104" s="14">
        <v>1</v>
      </c>
      <c r="E104" s="14">
        <v>0.98006740546038618</v>
      </c>
      <c r="F104" s="14">
        <v>0.98014110916492758</v>
      </c>
      <c r="G104" s="14">
        <v>3.2944057894172129E-11</v>
      </c>
      <c r="H104" s="14">
        <v>0.64261166497416711</v>
      </c>
      <c r="I104" s="14">
        <v>2.1657372960776127</v>
      </c>
      <c r="J104" s="14">
        <v>0</v>
      </c>
      <c r="K104" s="14">
        <v>1.0202612569245177</v>
      </c>
      <c r="L104" s="14">
        <v>0.98014110916492758</v>
      </c>
      <c r="M104" s="14">
        <v>0.80420578006982313</v>
      </c>
      <c r="N104" s="14">
        <v>0.95602607960296626</v>
      </c>
      <c r="O104" s="14">
        <v>144.51290219278437</v>
      </c>
      <c r="P104" s="8">
        <v>0.95602607960296626</v>
      </c>
      <c r="Q104" s="54">
        <v>3.1492401202229563E-2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0.99795673436205967</v>
      </c>
      <c r="F105" s="14">
        <v>0.99834251881301606</v>
      </c>
      <c r="G105" s="14">
        <v>2.5981729415512974E-18</v>
      </c>
      <c r="H105" s="14">
        <v>6.4097275194929916E-3</v>
      </c>
      <c r="I105" s="14">
        <v>3.0373632824715072E-2</v>
      </c>
      <c r="J105" s="14">
        <v>0</v>
      </c>
      <c r="K105" s="14">
        <v>1.0016602329919342</v>
      </c>
      <c r="L105" s="14">
        <v>0.99834251881301606</v>
      </c>
      <c r="M105" s="14">
        <v>0.81914003668607971</v>
      </c>
      <c r="N105" s="14">
        <v>0.93555228928401335</v>
      </c>
      <c r="O105" s="14">
        <v>317.48902489142279</v>
      </c>
      <c r="P105" s="8">
        <v>0.93555228928401335</v>
      </c>
      <c r="Q105" s="54">
        <v>2.8780394234781664E-3</v>
      </c>
    </row>
    <row r="106" spans="1:17">
      <c r="A106" s="2" t="s">
        <v>490</v>
      </c>
      <c r="B106" s="16" t="s">
        <v>491</v>
      </c>
      <c r="D106" s="14">
        <v>1</v>
      </c>
      <c r="E106" s="14">
        <v>0.93107006611180176</v>
      </c>
      <c r="F106" s="14">
        <v>0.92803221749559417</v>
      </c>
      <c r="G106" s="14">
        <v>1.5850812952144528E-10</v>
      </c>
      <c r="H106" s="14">
        <v>7.4169107563588392</v>
      </c>
      <c r="I106" s="14">
        <v>20.79123198312681</v>
      </c>
      <c r="J106" s="14">
        <v>0</v>
      </c>
      <c r="K106" s="14">
        <v>1.077548797496082</v>
      </c>
      <c r="L106" s="14">
        <v>0.92803221749559417</v>
      </c>
      <c r="M106" s="14">
        <v>0.76145043445513505</v>
      </c>
      <c r="N106" s="14">
        <v>1.2406232772594739</v>
      </c>
      <c r="O106" s="14">
        <v>238.3609502598627</v>
      </c>
      <c r="P106" s="8">
        <v>1.2406232772594739</v>
      </c>
      <c r="Q106" s="54">
        <v>0.10976913052187512</v>
      </c>
    </row>
    <row r="107" spans="1:17">
      <c r="A107" s="2" t="s">
        <v>492</v>
      </c>
      <c r="B107" s="16" t="s">
        <v>493</v>
      </c>
      <c r="D107" s="14">
        <v>1</v>
      </c>
      <c r="E107" s="14">
        <v>0.65092756112152672</v>
      </c>
      <c r="F107" s="14">
        <v>8.93686087600669E-2</v>
      </c>
      <c r="G107" s="14">
        <v>1.591451781904312E-17</v>
      </c>
      <c r="H107" s="14">
        <v>1360.0816998360328</v>
      </c>
      <c r="I107" s="14">
        <v>2185.8591197260289</v>
      </c>
      <c r="J107" s="14">
        <v>0</v>
      </c>
      <c r="K107" s="14">
        <v>11.189611362136768</v>
      </c>
      <c r="L107" s="14">
        <v>8.93686087600669E-2</v>
      </c>
      <c r="M107" s="14">
        <v>7.3326943487634896E-2</v>
      </c>
      <c r="N107" s="14">
        <v>41.220508357531926</v>
      </c>
      <c r="O107" s="14">
        <v>18738.843099334015</v>
      </c>
      <c r="P107" s="8">
        <v>41.220508357531926</v>
      </c>
      <c r="Q107" s="54">
        <v>0.54128023364432598</v>
      </c>
    </row>
    <row r="108" spans="1:17">
      <c r="A108" s="2" t="s">
        <v>291</v>
      </c>
      <c r="B108" s="16" t="s">
        <v>494</v>
      </c>
      <c r="D108" s="14">
        <v>1</v>
      </c>
      <c r="E108" s="14">
        <v>0.78820977571601369</v>
      </c>
      <c r="F108" s="14">
        <v>0.7544942160269914</v>
      </c>
      <c r="G108" s="14">
        <v>5.2031267129351531E-12</v>
      </c>
      <c r="H108" s="14">
        <v>77.274448603374211</v>
      </c>
      <c r="I108" s="14">
        <v>179.51183467334508</v>
      </c>
      <c r="J108" s="14">
        <v>0</v>
      </c>
      <c r="K108" s="14">
        <v>1.3253912074578791</v>
      </c>
      <c r="L108" s="14">
        <v>0.7544942160269914</v>
      </c>
      <c r="M108" s="14">
        <v>0.61906250425014642</v>
      </c>
      <c r="N108" s="14">
        <v>3.9701992084570814</v>
      </c>
      <c r="O108" s="14">
        <v>1224.1315219435719</v>
      </c>
      <c r="P108" s="8">
        <v>3.9701992084570814</v>
      </c>
      <c r="Q108" s="54">
        <v>0.33720428564259824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8.2431374433374833E-5</v>
      </c>
      <c r="E2" s="20">
        <v>0.91145576869754208</v>
      </c>
      <c r="F2" s="20">
        <v>4.3083524642428947E-3</v>
      </c>
      <c r="G2" s="20">
        <v>1.2548932431005093E-3</v>
      </c>
      <c r="H2" s="20">
        <v>0</v>
      </c>
      <c r="I2" s="20">
        <v>0.90589252299019862</v>
      </c>
      <c r="J2" s="20">
        <v>3.7654783344160487E-4</v>
      </c>
      <c r="K2" s="20">
        <v>8.8085252094583011E-2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2.0373790835384094E-2</v>
      </c>
      <c r="E3" s="20">
        <v>0.66247202929702942</v>
      </c>
      <c r="F3" s="20">
        <v>0.17729256674475316</v>
      </c>
      <c r="G3" s="20">
        <v>0.48038128872829505</v>
      </c>
      <c r="H3" s="20">
        <v>0</v>
      </c>
      <c r="I3" s="20">
        <v>4.7981738239812098E-3</v>
      </c>
      <c r="J3" s="20">
        <v>6.4409220114264712E-2</v>
      </c>
      <c r="K3" s="20">
        <v>0.25274495975332184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6.502424173167856E-12</v>
      </c>
      <c r="E4" s="20">
        <v>0.73130032833671954</v>
      </c>
      <c r="F4" s="20">
        <v>4.7609539495207034E-2</v>
      </c>
      <c r="G4" s="20">
        <v>1.1365525904008118E-2</v>
      </c>
      <c r="H4" s="20">
        <v>0</v>
      </c>
      <c r="I4" s="20">
        <v>0.67232526293750439</v>
      </c>
      <c r="J4" s="20">
        <v>1.5922489669976405E-3</v>
      </c>
      <c r="K4" s="20">
        <v>0.26710742268978038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6.3965751410030808E-4</v>
      </c>
      <c r="E5" s="20">
        <v>0.64517132059866689</v>
      </c>
      <c r="F5" s="20">
        <v>0.46319748243646602</v>
      </c>
      <c r="G5" s="20">
        <v>0.13441933595960234</v>
      </c>
      <c r="H5" s="20">
        <v>0</v>
      </c>
      <c r="I5" s="20">
        <v>4.7554502202598548E-2</v>
      </c>
      <c r="J5" s="20">
        <v>1.7554875542934976E-2</v>
      </c>
      <c r="K5" s="20">
        <v>0.33663414634429778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7.073184656581201E-5</v>
      </c>
      <c r="E6" s="20">
        <v>0.71450932544934398</v>
      </c>
      <c r="F6" s="20">
        <v>0.12048519378097158</v>
      </c>
      <c r="G6" s="20">
        <v>0.59173769524394038</v>
      </c>
      <c r="H6" s="20">
        <v>0</v>
      </c>
      <c r="I6" s="20">
        <v>2.2864364244320401E-3</v>
      </c>
      <c r="J6" s="20">
        <v>7.9913398327584317E-2</v>
      </c>
      <c r="K6" s="20">
        <v>0.20550654437650598</v>
      </c>
      <c r="L6" s="20">
        <v>0</v>
      </c>
    </row>
    <row r="7" spans="1:14">
      <c r="A7" s="2" t="s">
        <v>321</v>
      </c>
      <c r="B7" s="3" t="s">
        <v>322</v>
      </c>
      <c r="D7" s="20">
        <v>1.0036567325539651E-4</v>
      </c>
      <c r="E7" s="20">
        <v>0.68149886751001176</v>
      </c>
      <c r="F7" s="20">
        <v>0.17116063400941398</v>
      </c>
      <c r="G7" s="20">
        <v>0.50594049566362964</v>
      </c>
      <c r="H7" s="20">
        <v>0</v>
      </c>
      <c r="I7" s="20">
        <v>4.3977378369681993E-3</v>
      </c>
      <c r="J7" s="20">
        <v>6.7907611917873881E-2</v>
      </c>
      <c r="K7" s="20">
        <v>0.25049315489885887</v>
      </c>
      <c r="L7" s="20">
        <v>0</v>
      </c>
    </row>
    <row r="8" spans="1:14">
      <c r="A8" s="2" t="s">
        <v>323</v>
      </c>
      <c r="B8" s="3" t="s">
        <v>324</v>
      </c>
      <c r="D8" s="20">
        <v>9.0572476442892956E-4</v>
      </c>
      <c r="E8" s="20">
        <v>0.64686126103380537</v>
      </c>
      <c r="F8" s="20">
        <v>0.24889428620565113</v>
      </c>
      <c r="G8" s="20">
        <v>0.38860687724739001</v>
      </c>
      <c r="H8" s="20">
        <v>0</v>
      </c>
      <c r="I8" s="20">
        <v>9.3600975807642539E-3</v>
      </c>
      <c r="J8" s="20">
        <v>5.175901118290533E-2</v>
      </c>
      <c r="K8" s="20">
        <v>0.30047400301886018</v>
      </c>
      <c r="L8" s="20">
        <v>0</v>
      </c>
    </row>
    <row r="9" spans="1:14">
      <c r="A9" s="2" t="s">
        <v>325</v>
      </c>
      <c r="B9" s="3" t="s">
        <v>326</v>
      </c>
      <c r="D9" s="20">
        <v>3.4764956789772099E-4</v>
      </c>
      <c r="E9" s="20">
        <v>0.57768072133275383</v>
      </c>
      <c r="F9" s="20">
        <v>0.26336640661133975</v>
      </c>
      <c r="G9" s="20">
        <v>5.1719692440494749E-2</v>
      </c>
      <c r="H9" s="20">
        <v>0</v>
      </c>
      <c r="I9" s="20">
        <v>0.26259462228091929</v>
      </c>
      <c r="J9" s="20">
        <v>6.6807869137435055E-3</v>
      </c>
      <c r="K9" s="20">
        <v>0.41529084218560491</v>
      </c>
      <c r="L9" s="20">
        <v>0</v>
      </c>
    </row>
    <row r="10" spans="1:14">
      <c r="A10" s="2" t="s">
        <v>275</v>
      </c>
      <c r="B10" s="3" t="s">
        <v>276</v>
      </c>
      <c r="D10" s="20">
        <v>8.2272041530095011E-6</v>
      </c>
      <c r="E10" s="20">
        <v>0.64230018789265364</v>
      </c>
      <c r="F10" s="20">
        <v>0.45422492147081434</v>
      </c>
      <c r="G10" s="20">
        <v>0.14380252568641302</v>
      </c>
      <c r="H10" s="20">
        <v>0</v>
      </c>
      <c r="I10" s="20">
        <v>4.4272740735426259E-2</v>
      </c>
      <c r="J10" s="20">
        <v>1.8798322525892065E-2</v>
      </c>
      <c r="K10" s="20">
        <v>0.33889326237730111</v>
      </c>
      <c r="L10" s="20">
        <v>0</v>
      </c>
    </row>
    <row r="11" spans="1:14">
      <c r="A11" s="2" t="s">
        <v>327</v>
      </c>
      <c r="B11" s="3" t="s">
        <v>328</v>
      </c>
      <c r="D11" s="20">
        <v>4.2887558875665953E-4</v>
      </c>
      <c r="E11" s="20">
        <v>0.63728191559782221</v>
      </c>
      <c r="F11" s="20">
        <v>0.43787486010658982</v>
      </c>
      <c r="G11" s="20">
        <v>0.16026753856047402</v>
      </c>
      <c r="H11" s="20">
        <v>0</v>
      </c>
      <c r="I11" s="20">
        <v>3.9139516930758428E-2</v>
      </c>
      <c r="J11" s="20">
        <v>2.0984729786548854E-2</v>
      </c>
      <c r="K11" s="20">
        <v>0.34130447902687222</v>
      </c>
      <c r="L11" s="20">
        <v>0</v>
      </c>
    </row>
    <row r="12" spans="1:14">
      <c r="A12" s="2" t="s">
        <v>329</v>
      </c>
      <c r="B12" s="3" t="s">
        <v>330</v>
      </c>
      <c r="D12" s="20">
        <v>2.100577876947031E-4</v>
      </c>
      <c r="E12" s="20">
        <v>0.58702134628218039</v>
      </c>
      <c r="F12" s="20">
        <v>0.33003307933103465</v>
      </c>
      <c r="G12" s="20">
        <v>6.2352378808369677E-2</v>
      </c>
      <c r="H12" s="20">
        <v>0</v>
      </c>
      <c r="I12" s="20">
        <v>0.19463588814277608</v>
      </c>
      <c r="J12" s="20">
        <v>8.0534592699766094E-3</v>
      </c>
      <c r="K12" s="20">
        <v>0.40471513666014841</v>
      </c>
      <c r="L12" s="20">
        <v>0</v>
      </c>
    </row>
    <row r="13" spans="1:14">
      <c r="A13" s="2" t="s">
        <v>277</v>
      </c>
      <c r="B13" s="3" t="s">
        <v>278</v>
      </c>
      <c r="D13" s="20">
        <v>5.4890536638607179E-4</v>
      </c>
      <c r="E13" s="20">
        <v>0.5777748766170453</v>
      </c>
      <c r="F13" s="20">
        <v>0.26947356072475576</v>
      </c>
      <c r="G13" s="20">
        <v>5.2724408520137753E-2</v>
      </c>
      <c r="H13" s="20">
        <v>0</v>
      </c>
      <c r="I13" s="20">
        <v>0.25557690737215177</v>
      </c>
      <c r="J13" s="20">
        <v>6.8099380622252967E-3</v>
      </c>
      <c r="K13" s="20">
        <v>0.41486627995434322</v>
      </c>
      <c r="L13" s="20">
        <v>0</v>
      </c>
    </row>
    <row r="14" spans="1:14">
      <c r="A14" s="2" t="s">
        <v>331</v>
      </c>
      <c r="B14" s="3" t="s">
        <v>332</v>
      </c>
      <c r="D14" s="20">
        <v>2.880386656380222E-4</v>
      </c>
      <c r="E14" s="20">
        <v>0.62891674350741178</v>
      </c>
      <c r="F14" s="20">
        <v>0.3829741621067469</v>
      </c>
      <c r="G14" s="20">
        <v>0.21976829053416994</v>
      </c>
      <c r="H14" s="20">
        <v>0</v>
      </c>
      <c r="I14" s="20">
        <v>2.6174290866494958E-2</v>
      </c>
      <c r="J14" s="20">
        <v>2.8924856674818637E-2</v>
      </c>
      <c r="K14" s="20">
        <v>0.34187036115213149</v>
      </c>
      <c r="L14" s="20">
        <v>0</v>
      </c>
    </row>
    <row r="15" spans="1:14">
      <c r="A15" s="2" t="s">
        <v>333</v>
      </c>
      <c r="B15" s="3" t="s">
        <v>334</v>
      </c>
      <c r="D15" s="20">
        <v>4.6672853567202422E-7</v>
      </c>
      <c r="E15" s="20">
        <v>0.63981543546851716</v>
      </c>
      <c r="F15" s="20">
        <v>0.44625494198188814</v>
      </c>
      <c r="G15" s="20">
        <v>0.15190728229745248</v>
      </c>
      <c r="H15" s="20">
        <v>0</v>
      </c>
      <c r="I15" s="20">
        <v>4.1653211189176517E-2</v>
      </c>
      <c r="J15" s="20">
        <v>1.9873859780090163E-2</v>
      </c>
      <c r="K15" s="20">
        <v>0.34031023802285709</v>
      </c>
      <c r="L15" s="20">
        <v>0</v>
      </c>
    </row>
    <row r="16" spans="1:14">
      <c r="A16" s="2" t="s">
        <v>335</v>
      </c>
      <c r="B16" s="3" t="s">
        <v>336</v>
      </c>
      <c r="D16" s="20">
        <v>2.3462147011692829E-3</v>
      </c>
      <c r="E16" s="20">
        <v>0.64471636635417651</v>
      </c>
      <c r="F16" s="20">
        <v>0.25234019598578245</v>
      </c>
      <c r="G16" s="20">
        <v>0.38272073445464627</v>
      </c>
      <c r="H16" s="20">
        <v>0</v>
      </c>
      <c r="I16" s="20">
        <v>9.6554359137477931E-3</v>
      </c>
      <c r="J16" s="20">
        <v>5.0957258081670086E-2</v>
      </c>
      <c r="K16" s="20">
        <v>0.30198016086298418</v>
      </c>
      <c r="L16" s="20">
        <v>0</v>
      </c>
    </row>
    <row r="17" spans="1:12">
      <c r="A17" s="2" t="s">
        <v>337</v>
      </c>
      <c r="B17" s="3" t="s">
        <v>338</v>
      </c>
      <c r="D17" s="20">
        <v>1.6439398783290628E-4</v>
      </c>
      <c r="E17" s="20">
        <v>0.64435092342651668</v>
      </c>
      <c r="F17" s="20">
        <v>0.46036745573230947</v>
      </c>
      <c r="G17" s="20">
        <v>0.13753086367071243</v>
      </c>
      <c r="H17" s="20">
        <v>0</v>
      </c>
      <c r="I17" s="20">
        <v>4.6452604023494784E-2</v>
      </c>
      <c r="J17" s="20">
        <v>1.7966952960114201E-2</v>
      </c>
      <c r="K17" s="20">
        <v>0.33751772962553611</v>
      </c>
      <c r="L17" s="20">
        <v>0</v>
      </c>
    </row>
    <row r="18" spans="1:12">
      <c r="A18" s="2" t="s">
        <v>279</v>
      </c>
      <c r="B18" s="3" t="s">
        <v>280</v>
      </c>
      <c r="D18" s="20">
        <v>9.708592056010306E-3</v>
      </c>
      <c r="E18" s="20">
        <v>0.57313155656803305</v>
      </c>
      <c r="F18" s="20">
        <v>0.23408572868668509</v>
      </c>
      <c r="G18" s="20">
        <v>4.6738039642020945E-2</v>
      </c>
      <c r="H18" s="20">
        <v>0</v>
      </c>
      <c r="I18" s="20">
        <v>0.29230778823932707</v>
      </c>
      <c r="J18" s="20">
        <v>6.0414524719104527E-3</v>
      </c>
      <c r="K18" s="20">
        <v>0.41111839890404628</v>
      </c>
      <c r="L18" s="20">
        <v>0</v>
      </c>
    </row>
    <row r="19" spans="1:12">
      <c r="A19" s="2" t="s">
        <v>339</v>
      </c>
      <c r="B19" s="3" t="s">
        <v>340</v>
      </c>
      <c r="D19" s="20">
        <v>1.6359993534825218E-6</v>
      </c>
      <c r="E19" s="20">
        <v>0.63934400530642288</v>
      </c>
      <c r="F19" s="20">
        <v>0.44463312262750643</v>
      </c>
      <c r="G19" s="20">
        <v>0.15356681159482352</v>
      </c>
      <c r="H19" s="20">
        <v>0</v>
      </c>
      <c r="I19" s="20">
        <v>4.1144071084092904E-2</v>
      </c>
      <c r="J19" s="20">
        <v>2.009424031979996E-2</v>
      </c>
      <c r="K19" s="20">
        <v>0.34056011837442385</v>
      </c>
      <c r="L19" s="20">
        <v>0</v>
      </c>
    </row>
    <row r="20" spans="1:12">
      <c r="A20" s="2" t="s">
        <v>281</v>
      </c>
      <c r="B20" s="3" t="s">
        <v>282</v>
      </c>
      <c r="D20" s="20">
        <v>8.3118908042133062E-5</v>
      </c>
      <c r="E20" s="20">
        <v>0.57804414413292937</v>
      </c>
      <c r="F20" s="20">
        <v>0.26959914679509106</v>
      </c>
      <c r="G20" s="20">
        <v>5.2748980323245223E-2</v>
      </c>
      <c r="H20" s="20">
        <v>0</v>
      </c>
      <c r="I20" s="20">
        <v>0.2556960170145931</v>
      </c>
      <c r="J20" s="20">
        <v>6.8131117812282359E-3</v>
      </c>
      <c r="K20" s="20">
        <v>0.41505962517780032</v>
      </c>
      <c r="L20" s="20">
        <v>0</v>
      </c>
    </row>
    <row r="21" spans="1:12">
      <c r="A21" s="2" t="s">
        <v>341</v>
      </c>
      <c r="B21" s="3" t="s">
        <v>342</v>
      </c>
      <c r="D21" s="20">
        <v>2.4003275290811073E-3</v>
      </c>
      <c r="E21" s="20">
        <v>0.62900929180786458</v>
      </c>
      <c r="F21" s="20">
        <v>0.3987394360981959</v>
      </c>
      <c r="G21" s="20">
        <v>0.20080972699722568</v>
      </c>
      <c r="H21" s="20">
        <v>0</v>
      </c>
      <c r="I21" s="20">
        <v>2.9460128712443006E-2</v>
      </c>
      <c r="J21" s="20">
        <v>2.638946566845608E-2</v>
      </c>
      <c r="K21" s="20">
        <v>0.34220091499459826</v>
      </c>
      <c r="L21" s="20">
        <v>0</v>
      </c>
    </row>
    <row r="22" spans="1:12">
      <c r="A22" s="2" t="s">
        <v>343</v>
      </c>
      <c r="B22" s="3" t="s">
        <v>403</v>
      </c>
      <c r="D22" s="20">
        <v>2.1783278751205557E-3</v>
      </c>
      <c r="E22" s="20">
        <v>0.82609189456572563</v>
      </c>
      <c r="F22" s="20">
        <v>1.7153072898052169E-2</v>
      </c>
      <c r="G22" s="20">
        <v>4.4733974791501818E-3</v>
      </c>
      <c r="H22" s="20">
        <v>0</v>
      </c>
      <c r="I22" s="20">
        <v>0.80446542418852329</v>
      </c>
      <c r="J22" s="20">
        <v>7.5426694937207419E-4</v>
      </c>
      <c r="K22" s="20">
        <v>0.17097551060978189</v>
      </c>
      <c r="L22" s="20">
        <v>0</v>
      </c>
    </row>
    <row r="23" spans="1:12">
      <c r="A23" s="2" t="s">
        <v>344</v>
      </c>
      <c r="B23" s="3" t="s">
        <v>404</v>
      </c>
      <c r="D23" s="20">
        <v>8.0139331269114787E-5</v>
      </c>
      <c r="E23" s="20">
        <v>0.88719188927541515</v>
      </c>
      <c r="F23" s="20">
        <v>7.0609705219712932E-3</v>
      </c>
      <c r="G23" s="20">
        <v>1.97860887965332E-3</v>
      </c>
      <c r="H23" s="20">
        <v>0</v>
      </c>
      <c r="I23" s="20">
        <v>0.87815230987379056</v>
      </c>
      <c r="J23" s="20">
        <v>4.5987095251941379E-4</v>
      </c>
      <c r="K23" s="20">
        <v>0.1122681004407964</v>
      </c>
      <c r="L23" s="20">
        <v>0</v>
      </c>
    </row>
    <row r="24" spans="1:12">
      <c r="A24" s="2" t="s">
        <v>345</v>
      </c>
      <c r="B24" s="3" t="s">
        <v>405</v>
      </c>
      <c r="D24" s="20">
        <v>1.5702621044103376E-4</v>
      </c>
      <c r="E24" s="20">
        <v>0.63005592464710036</v>
      </c>
      <c r="F24" s="20">
        <v>0.11743318345457368</v>
      </c>
      <c r="G24" s="20">
        <v>2.5614529888791437E-2</v>
      </c>
      <c r="H24" s="20">
        <v>0</v>
      </c>
      <c r="I24" s="20">
        <v>0.48700821130373523</v>
      </c>
      <c r="J24" s="20">
        <v>3.363978101705232E-3</v>
      </c>
      <c r="K24" s="20">
        <v>0.36642307104075333</v>
      </c>
      <c r="L24" s="20">
        <v>0</v>
      </c>
    </row>
    <row r="25" spans="1:12">
      <c r="A25" s="2" t="s">
        <v>346</v>
      </c>
      <c r="B25" s="3" t="s">
        <v>406</v>
      </c>
      <c r="D25" s="20">
        <v>5.8538475052875669E-2</v>
      </c>
      <c r="E25" s="20">
        <v>0.58279715247542641</v>
      </c>
      <c r="F25" s="20">
        <v>0.39378583419242968</v>
      </c>
      <c r="G25" s="20">
        <v>7.0787348379528464E-2</v>
      </c>
      <c r="H25" s="20">
        <v>0</v>
      </c>
      <c r="I25" s="20">
        <v>0.11822396990346828</v>
      </c>
      <c r="J25" s="20">
        <v>9.1604411810236597E-3</v>
      </c>
      <c r="K25" s="20">
        <v>0.34950393129067425</v>
      </c>
      <c r="L25" s="20">
        <v>0</v>
      </c>
    </row>
    <row r="26" spans="1:12">
      <c r="A26" s="2" t="s">
        <v>347</v>
      </c>
      <c r="B26" s="3" t="s">
        <v>407</v>
      </c>
      <c r="D26" s="20">
        <v>1.9242522269723374E-3</v>
      </c>
      <c r="E26" s="20">
        <v>0.63073575104092783</v>
      </c>
      <c r="F26" s="20">
        <v>0.40971388494144245</v>
      </c>
      <c r="G26" s="20">
        <v>0.18913688735732356</v>
      </c>
      <c r="H26" s="20">
        <v>0</v>
      </c>
      <c r="I26" s="20">
        <v>3.188497874216184E-2</v>
      </c>
      <c r="J26" s="20">
        <v>2.4830467963851507E-2</v>
      </c>
      <c r="K26" s="20">
        <v>0.34250952876824836</v>
      </c>
      <c r="L26" s="20">
        <v>0</v>
      </c>
    </row>
    <row r="27" spans="1:12">
      <c r="A27" s="2" t="s">
        <v>348</v>
      </c>
      <c r="B27" s="3" t="s">
        <v>349</v>
      </c>
      <c r="D27" s="20">
        <v>1.4126145482745668E-2</v>
      </c>
      <c r="E27" s="20">
        <v>0.66245191454787611</v>
      </c>
      <c r="F27" s="20">
        <v>0.18669915785481472</v>
      </c>
      <c r="G27" s="20">
        <v>0.47047647700772594</v>
      </c>
      <c r="H27" s="20">
        <v>0</v>
      </c>
      <c r="I27" s="20">
        <v>5.2762796853354421E-3</v>
      </c>
      <c r="J27" s="20">
        <v>6.3025924127071822E-2</v>
      </c>
      <c r="K27" s="20">
        <v>0.26039601584230626</v>
      </c>
      <c r="L27" s="20">
        <v>0</v>
      </c>
    </row>
    <row r="28" spans="1:12">
      <c r="A28" s="2" t="s">
        <v>350</v>
      </c>
      <c r="B28" s="3" t="s">
        <v>351</v>
      </c>
      <c r="D28" s="20">
        <v>7.3462490225774792E-4</v>
      </c>
      <c r="E28" s="20">
        <v>0.62970942007144426</v>
      </c>
      <c r="F28" s="20">
        <v>0.33089052414208309</v>
      </c>
      <c r="G28" s="20">
        <v>0.28091820558929642</v>
      </c>
      <c r="H28" s="20">
        <v>0</v>
      </c>
      <c r="I28" s="20">
        <v>1.7900690340064768E-2</v>
      </c>
      <c r="J28" s="20">
        <v>3.7144251220618991E-2</v>
      </c>
      <c r="K28" s="20">
        <v>0.33241170380567892</v>
      </c>
      <c r="L28" s="20">
        <v>0</v>
      </c>
    </row>
    <row r="29" spans="1:12">
      <c r="A29" s="2" t="s">
        <v>352</v>
      </c>
      <c r="B29" s="3" t="s">
        <v>408</v>
      </c>
      <c r="D29" s="20">
        <v>0.13066325645208385</v>
      </c>
      <c r="E29" s="20">
        <v>0.54722639158435737</v>
      </c>
      <c r="F29" s="20">
        <v>0.33788752836725144</v>
      </c>
      <c r="G29" s="20">
        <v>0.18563835757608108</v>
      </c>
      <c r="H29" s="20">
        <v>0</v>
      </c>
      <c r="I29" s="20">
        <v>2.3700505641024879E-2</v>
      </c>
      <c r="J29" s="20">
        <v>2.4420425977449509E-2</v>
      </c>
      <c r="K29" s="20">
        <v>0.29768992598610911</v>
      </c>
      <c r="L29" s="20">
        <v>0</v>
      </c>
    </row>
    <row r="30" spans="1:12">
      <c r="A30" s="2" t="s">
        <v>353</v>
      </c>
      <c r="B30" s="3" t="s">
        <v>409</v>
      </c>
      <c r="D30" s="20">
        <v>7.3462490225774792E-4</v>
      </c>
      <c r="E30" s="20">
        <v>0.62970942007144426</v>
      </c>
      <c r="F30" s="20">
        <v>0.33089052414208309</v>
      </c>
      <c r="G30" s="20">
        <v>0.28091820558929642</v>
      </c>
      <c r="H30" s="20">
        <v>0</v>
      </c>
      <c r="I30" s="20">
        <v>1.7900690340064768E-2</v>
      </c>
      <c r="J30" s="20">
        <v>3.7144251220618991E-2</v>
      </c>
      <c r="K30" s="20">
        <v>0.33241170380567892</v>
      </c>
      <c r="L30" s="20">
        <v>0</v>
      </c>
    </row>
    <row r="31" spans="1:12">
      <c r="A31" s="2" t="s">
        <v>283</v>
      </c>
      <c r="B31" s="3" t="s">
        <v>284</v>
      </c>
      <c r="D31" s="20">
        <v>2.0610159087039288E-8</v>
      </c>
      <c r="E31" s="20">
        <v>0.98978939047145875</v>
      </c>
      <c r="F31" s="20">
        <v>6.0687609151865766E-5</v>
      </c>
      <c r="G31" s="20">
        <v>2.4355417786143371E-5</v>
      </c>
      <c r="H31" s="20">
        <v>0</v>
      </c>
      <c r="I31" s="20">
        <v>0.98970434744452074</v>
      </c>
      <c r="J31" s="20">
        <v>2.4525158451799449E-4</v>
      </c>
      <c r="K31" s="20">
        <v>9.9653373338644616E-3</v>
      </c>
      <c r="L31" s="20">
        <v>0</v>
      </c>
    </row>
    <row r="32" spans="1:12">
      <c r="A32" s="2" t="s">
        <v>354</v>
      </c>
      <c r="B32" s="3" t="s">
        <v>355</v>
      </c>
      <c r="D32" s="20">
        <v>2.7812562467745948E-8</v>
      </c>
      <c r="E32" s="20">
        <v>0.77124103783818121</v>
      </c>
      <c r="F32" s="20">
        <v>3.2721844625551222E-2</v>
      </c>
      <c r="G32" s="20">
        <v>8.067824447839685E-3</v>
      </c>
      <c r="H32" s="20">
        <v>0</v>
      </c>
      <c r="I32" s="20">
        <v>0.73045136876479033</v>
      </c>
      <c r="J32" s="20">
        <v>1.2214981497437249E-3</v>
      </c>
      <c r="K32" s="20">
        <v>0.2275374361995125</v>
      </c>
      <c r="L32" s="20">
        <v>0</v>
      </c>
    </row>
    <row r="33" spans="1:12">
      <c r="A33" s="2" t="s">
        <v>356</v>
      </c>
      <c r="B33" s="3" t="s">
        <v>357</v>
      </c>
      <c r="D33" s="20">
        <v>9.3897023494753656E-11</v>
      </c>
      <c r="E33" s="20">
        <v>0.99973010711743682</v>
      </c>
      <c r="F33" s="20">
        <v>4.2025671638472079E-4</v>
      </c>
      <c r="G33" s="20">
        <v>1.2851149786462795E-7</v>
      </c>
      <c r="H33" s="20">
        <v>0</v>
      </c>
      <c r="I33" s="20">
        <v>0.99930972188955425</v>
      </c>
      <c r="J33" s="20">
        <v>2.4579160311688448E-4</v>
      </c>
      <c r="K33" s="20">
        <v>2.4101185549228565E-5</v>
      </c>
      <c r="L33" s="20">
        <v>0</v>
      </c>
    </row>
    <row r="34" spans="1:12">
      <c r="A34" s="2" t="s">
        <v>285</v>
      </c>
      <c r="B34" s="3" t="s">
        <v>286</v>
      </c>
      <c r="D34" s="20">
        <v>4.6911780667457449E-10</v>
      </c>
      <c r="E34" s="20">
        <v>0.99949500869123897</v>
      </c>
      <c r="F34" s="20">
        <v>7.5982632453762605E-2</v>
      </c>
      <c r="G34" s="20">
        <v>6.2400611120002729E-6</v>
      </c>
      <c r="H34" s="20">
        <v>0</v>
      </c>
      <c r="I34" s="20">
        <v>0.92350613617636435</v>
      </c>
      <c r="J34" s="20">
        <v>3.6698887675389952E-4</v>
      </c>
      <c r="K34" s="20">
        <v>1.3800196288939163E-4</v>
      </c>
      <c r="L34" s="20">
        <v>0</v>
      </c>
    </row>
    <row r="35" spans="1:12">
      <c r="A35" s="2" t="s">
        <v>287</v>
      </c>
      <c r="B35" s="3" t="s">
        <v>288</v>
      </c>
      <c r="D35" s="20">
        <v>2.0676547289465309E-11</v>
      </c>
      <c r="E35" s="20">
        <v>0.99898976337218059</v>
      </c>
      <c r="F35" s="20">
        <v>0.17168836168139806</v>
      </c>
      <c r="G35" s="20">
        <v>3.3248203119575281E-5</v>
      </c>
      <c r="H35" s="20">
        <v>0</v>
      </c>
      <c r="I35" s="20">
        <v>0.82726815348766292</v>
      </c>
      <c r="J35" s="20">
        <v>5.0480243639894394E-4</v>
      </c>
      <c r="K35" s="20">
        <v>5.0543417074399514E-4</v>
      </c>
      <c r="L35" s="20">
        <v>0</v>
      </c>
    </row>
    <row r="36" spans="1:12">
      <c r="A36" s="2" t="s">
        <v>358</v>
      </c>
      <c r="B36" s="3" t="s">
        <v>305</v>
      </c>
      <c r="D36" s="20">
        <v>7.2382898552142166E-8</v>
      </c>
      <c r="E36" s="20">
        <v>0.99801322336138554</v>
      </c>
      <c r="F36" s="20">
        <v>0.44992659807940449</v>
      </c>
      <c r="G36" s="20">
        <v>1.2882004644051563E-4</v>
      </c>
      <c r="H36" s="20">
        <v>0</v>
      </c>
      <c r="I36" s="20">
        <v>0.5479578052355405</v>
      </c>
      <c r="J36" s="20">
        <v>8.6499611405173294E-4</v>
      </c>
      <c r="K36" s="20">
        <v>1.1217081416642007E-3</v>
      </c>
      <c r="L36" s="20">
        <v>0</v>
      </c>
    </row>
    <row r="37" spans="1:12">
      <c r="A37" s="2" t="s">
        <v>289</v>
      </c>
      <c r="B37" s="3" t="s">
        <v>290</v>
      </c>
      <c r="D37" s="20">
        <v>1.0476656303056422E-14</v>
      </c>
      <c r="E37" s="20">
        <v>0.90266238575135815</v>
      </c>
      <c r="F37" s="20">
        <v>0.22396883316617225</v>
      </c>
      <c r="G37" s="20">
        <v>7.6464013244325257E-3</v>
      </c>
      <c r="H37" s="20">
        <v>0</v>
      </c>
      <c r="I37" s="20">
        <v>0.67104715126075343</v>
      </c>
      <c r="J37" s="20">
        <v>1.451987985068364E-3</v>
      </c>
      <c r="K37" s="20">
        <v>9.5885626263562854E-2</v>
      </c>
      <c r="L37" s="20">
        <v>0</v>
      </c>
    </row>
    <row r="38" spans="1:12">
      <c r="A38" s="2" t="s">
        <v>291</v>
      </c>
      <c r="B38" s="3" t="s">
        <v>292</v>
      </c>
      <c r="D38" s="20">
        <v>1.4348307746367915E-12</v>
      </c>
      <c r="E38" s="20">
        <v>0.99844106999566884</v>
      </c>
      <c r="F38" s="20">
        <v>5.8720610224269623E-2</v>
      </c>
      <c r="G38" s="20">
        <v>4.9057747978600561E-5</v>
      </c>
      <c r="H38" s="20">
        <v>0</v>
      </c>
      <c r="I38" s="20">
        <v>0.93967140202342059</v>
      </c>
      <c r="J38" s="20">
        <v>3.4608855966443506E-4</v>
      </c>
      <c r="K38" s="20">
        <v>1.2128414432319502E-3</v>
      </c>
      <c r="L38" s="20">
        <v>0</v>
      </c>
    </row>
    <row r="39" spans="1:12">
      <c r="A39" s="2" t="s">
        <v>359</v>
      </c>
      <c r="B39" s="3" t="s">
        <v>360</v>
      </c>
      <c r="D39" s="20">
        <v>7.7162483828632192E-5</v>
      </c>
      <c r="E39" s="20">
        <v>0.67020747205169517</v>
      </c>
      <c r="F39" s="20">
        <v>0.51018170784524897</v>
      </c>
      <c r="G39" s="20">
        <v>8.910876787772469E-2</v>
      </c>
      <c r="H39" s="20">
        <v>0</v>
      </c>
      <c r="I39" s="20">
        <v>7.0916996328721546E-2</v>
      </c>
      <c r="J39" s="20">
        <v>1.1576403745883958E-2</v>
      </c>
      <c r="K39" s="20">
        <v>0.31813896171859224</v>
      </c>
      <c r="L39" s="20">
        <v>0</v>
      </c>
    </row>
    <row r="40" spans="1:12">
      <c r="A40" s="2" t="s">
        <v>361</v>
      </c>
      <c r="B40" s="3" t="s">
        <v>362</v>
      </c>
      <c r="D40" s="20">
        <v>6.4482914079019459E-12</v>
      </c>
      <c r="E40" s="20">
        <v>0.89344086256118083</v>
      </c>
      <c r="F40" s="20">
        <v>0.82470516815683048</v>
      </c>
      <c r="G40" s="20">
        <v>5.9664924180284871E-2</v>
      </c>
      <c r="H40" s="20">
        <v>0</v>
      </c>
      <c r="I40" s="20">
        <v>9.0707702240654248E-3</v>
      </c>
      <c r="J40" s="20">
        <v>9.561414378573517E-2</v>
      </c>
      <c r="K40" s="20">
        <v>1.0944993646635667E-2</v>
      </c>
      <c r="L40" s="20">
        <v>0</v>
      </c>
    </row>
    <row r="41" spans="1:12">
      <c r="A41" s="2" t="s">
        <v>363</v>
      </c>
      <c r="B41" s="3" t="s">
        <v>364</v>
      </c>
      <c r="D41" s="20">
        <v>6.4755758123765231E-2</v>
      </c>
      <c r="E41" s="20">
        <v>0.93304913431709768</v>
      </c>
      <c r="F41" s="20">
        <v>2.8464075096188029E-6</v>
      </c>
      <c r="G41" s="20">
        <v>1.4249270531407168E-6</v>
      </c>
      <c r="H41" s="20">
        <v>0</v>
      </c>
      <c r="I41" s="20">
        <v>0.93304486298253497</v>
      </c>
      <c r="J41" s="20">
        <v>2.2862973784404299E-4</v>
      </c>
      <c r="K41" s="20">
        <v>1.9664778212930053E-3</v>
      </c>
      <c r="L41" s="20">
        <v>0</v>
      </c>
    </row>
    <row r="42" spans="1:12">
      <c r="A42" s="2" t="s">
        <v>293</v>
      </c>
      <c r="B42" s="3" t="s">
        <v>294</v>
      </c>
      <c r="D42" s="20">
        <v>2.0328746453585903E-8</v>
      </c>
      <c r="E42" s="20">
        <v>0.81149850473377216</v>
      </c>
      <c r="F42" s="20">
        <v>2.0966661492985521E-2</v>
      </c>
      <c r="G42" s="20">
        <v>5.3780500417056195E-3</v>
      </c>
      <c r="H42" s="20">
        <v>0</v>
      </c>
      <c r="I42" s="20">
        <v>0.78515379319908107</v>
      </c>
      <c r="J42" s="20">
        <v>8.6327428080476933E-4</v>
      </c>
      <c r="K42" s="20">
        <v>0.18763820065667666</v>
      </c>
      <c r="L42" s="20">
        <v>0</v>
      </c>
    </row>
    <row r="43" spans="1:12">
      <c r="A43" s="2" t="s">
        <v>365</v>
      </c>
      <c r="B43" s="3" t="s">
        <v>366</v>
      </c>
      <c r="D43" s="20">
        <v>3.0948149984590208E-7</v>
      </c>
      <c r="E43" s="20">
        <v>0.99549018011073898</v>
      </c>
      <c r="F43" s="20">
        <v>0.913101477080691</v>
      </c>
      <c r="G43" s="20">
        <v>7.7097619137849133E-4</v>
      </c>
      <c r="H43" s="20">
        <v>0</v>
      </c>
      <c r="I43" s="20">
        <v>8.1617726838669427E-2</v>
      </c>
      <c r="J43" s="20">
        <v>2.8676456252602223E-3</v>
      </c>
      <c r="K43" s="20">
        <v>1.6418647825009675E-3</v>
      </c>
      <c r="L43" s="20">
        <v>0</v>
      </c>
    </row>
    <row r="44" spans="1:12">
      <c r="A44" s="2" t="s">
        <v>367</v>
      </c>
      <c r="B44" s="3" t="s">
        <v>368</v>
      </c>
      <c r="D44" s="20">
        <v>7.4625255176330091E-2</v>
      </c>
      <c r="E44" s="20">
        <v>0.86458981333104834</v>
      </c>
      <c r="F44" s="20">
        <v>2.1933327000416528E-3</v>
      </c>
      <c r="G44" s="20">
        <v>6.6895987471398105E-4</v>
      </c>
      <c r="H44" s="20">
        <v>0</v>
      </c>
      <c r="I44" s="20">
        <v>0.86172752075629266</v>
      </c>
      <c r="J44" s="20">
        <v>2.9313400152977432E-4</v>
      </c>
      <c r="K44" s="20">
        <v>6.0491797491091889E-2</v>
      </c>
      <c r="L44" s="20">
        <v>0</v>
      </c>
    </row>
    <row r="45" spans="1:12">
      <c r="A45" s="2" t="s">
        <v>369</v>
      </c>
      <c r="B45" s="3" t="s">
        <v>370</v>
      </c>
      <c r="D45" s="20">
        <v>8.0701740330646596E-4</v>
      </c>
      <c r="E45" s="20">
        <v>0.79550002343423154</v>
      </c>
      <c r="F45" s="20">
        <v>2.4928812131879509E-2</v>
      </c>
      <c r="G45" s="20">
        <v>6.3008209729831953E-3</v>
      </c>
      <c r="H45" s="20">
        <v>0</v>
      </c>
      <c r="I45" s="20">
        <v>0.76427039032936883</v>
      </c>
      <c r="J45" s="20">
        <v>9.7437665378292959E-4</v>
      </c>
      <c r="K45" s="20">
        <v>0.20271858250867905</v>
      </c>
      <c r="L45" s="20">
        <v>0</v>
      </c>
    </row>
    <row r="46" spans="1:12">
      <c r="A46" s="2" t="s">
        <v>371</v>
      </c>
      <c r="B46" s="3" t="s">
        <v>372</v>
      </c>
      <c r="D46" s="20">
        <v>2.3612166056501396E-3</v>
      </c>
      <c r="E46" s="20">
        <v>0.80392009080444748</v>
      </c>
      <c r="F46" s="20">
        <v>2.2333382965295422E-2</v>
      </c>
      <c r="G46" s="20">
        <v>5.6970504912507739E-3</v>
      </c>
      <c r="H46" s="20">
        <v>0</v>
      </c>
      <c r="I46" s="20">
        <v>0.77588965734790127</v>
      </c>
      <c r="J46" s="20">
        <v>9.0117413727506352E-4</v>
      </c>
      <c r="K46" s="20">
        <v>0.19281751845262748</v>
      </c>
      <c r="L46" s="20">
        <v>0</v>
      </c>
    </row>
    <row r="47" spans="1:12">
      <c r="A47" s="2" t="s">
        <v>373</v>
      </c>
      <c r="B47" s="3" t="s">
        <v>374</v>
      </c>
      <c r="D47" s="20">
        <v>2.443494361868254E-7</v>
      </c>
      <c r="E47" s="20">
        <v>0.6762496360599527</v>
      </c>
      <c r="F47" s="20">
        <v>0.18097976734881571</v>
      </c>
      <c r="G47" s="20">
        <v>0.49037190599161984</v>
      </c>
      <c r="H47" s="20">
        <v>0</v>
      </c>
      <c r="I47" s="20">
        <v>4.8979627195170914E-3</v>
      </c>
      <c r="J47" s="20">
        <v>6.5748755773728781E-2</v>
      </c>
      <c r="K47" s="20">
        <v>0.25800136381688243</v>
      </c>
      <c r="L47" s="20">
        <v>0</v>
      </c>
    </row>
    <row r="48" spans="1:12">
      <c r="A48" s="2" t="s">
        <v>375</v>
      </c>
      <c r="B48" s="3" t="s">
        <v>376</v>
      </c>
      <c r="D48" s="20">
        <v>9.6487546421251957E-3</v>
      </c>
      <c r="E48" s="20">
        <v>0.95604307159648938</v>
      </c>
      <c r="F48" s="20">
        <v>6.6235367027915127E-4</v>
      </c>
      <c r="G48" s="20">
        <v>2.2232356743201643E-4</v>
      </c>
      <c r="H48" s="20">
        <v>0</v>
      </c>
      <c r="I48" s="20">
        <v>0.95515839435877825</v>
      </c>
      <c r="J48" s="20">
        <v>2.6093288341597098E-4</v>
      </c>
      <c r="K48" s="20">
        <v>3.4047240877969384E-2</v>
      </c>
      <c r="L48" s="20">
        <v>0</v>
      </c>
    </row>
    <row r="49" spans="1:12">
      <c r="A49" s="2" t="s">
        <v>377</v>
      </c>
      <c r="B49" s="3" t="s">
        <v>378</v>
      </c>
      <c r="D49" s="20">
        <v>1.8452149243711993E-2</v>
      </c>
      <c r="E49" s="20">
        <v>0.93517646446164016</v>
      </c>
      <c r="F49" s="20">
        <v>1.2096664700855821E-3</v>
      </c>
      <c r="G49" s="20">
        <v>3.8775838533779703E-4</v>
      </c>
      <c r="H49" s="20">
        <v>0</v>
      </c>
      <c r="I49" s="20">
        <v>0.9335790396062168</v>
      </c>
      <c r="J49" s="20">
        <v>2.7598300259276562E-4</v>
      </c>
      <c r="K49" s="20">
        <v>4.6095403292054977E-2</v>
      </c>
      <c r="L49" s="20">
        <v>0</v>
      </c>
    </row>
    <row r="50" spans="1:12">
      <c r="A50" s="2" t="s">
        <v>379</v>
      </c>
      <c r="B50" s="3" t="s">
        <v>380</v>
      </c>
      <c r="D50" s="20">
        <v>2.0345563559723067E-2</v>
      </c>
      <c r="E50" s="20">
        <v>0.56790812542051383</v>
      </c>
      <c r="F50" s="20">
        <v>0.2229915510671156</v>
      </c>
      <c r="G50" s="20">
        <v>4.4769677272921499E-2</v>
      </c>
      <c r="H50" s="20">
        <v>0</v>
      </c>
      <c r="I50" s="20">
        <v>0.30014689708047676</v>
      </c>
      <c r="J50" s="20">
        <v>5.7889838307208482E-3</v>
      </c>
      <c r="K50" s="20">
        <v>0.40595732718904243</v>
      </c>
      <c r="L50" s="20">
        <v>0</v>
      </c>
    </row>
    <row r="51" spans="1:12">
      <c r="A51" s="2" t="s">
        <v>295</v>
      </c>
      <c r="B51" s="3" t="s">
        <v>296</v>
      </c>
      <c r="D51" s="20">
        <v>5.2537178220636832E-2</v>
      </c>
      <c r="E51" s="20">
        <v>0.93436817360856794</v>
      </c>
      <c r="F51" s="20">
        <v>1.0439637707657249E-4</v>
      </c>
      <c r="G51" s="20">
        <v>4.0084916451974717E-5</v>
      </c>
      <c r="H51" s="20">
        <v>0</v>
      </c>
      <c r="I51" s="20">
        <v>0.93422369231503943</v>
      </c>
      <c r="J51" s="20">
        <v>2.3356924329020871E-4</v>
      </c>
      <c r="K51" s="20">
        <v>1.286107892750514E-2</v>
      </c>
      <c r="L51" s="20">
        <v>0</v>
      </c>
    </row>
    <row r="52" spans="1:12">
      <c r="A52" s="2" t="s">
        <v>381</v>
      </c>
      <c r="B52" s="3" t="s">
        <v>382</v>
      </c>
      <c r="D52" s="20">
        <v>6.2867380382535629E-2</v>
      </c>
      <c r="E52" s="20">
        <v>0.85519278300148149</v>
      </c>
      <c r="F52" s="20">
        <v>3.9431568115536747E-3</v>
      </c>
      <c r="G52" s="20">
        <v>1.1506403613218178E-3</v>
      </c>
      <c r="H52" s="20">
        <v>0</v>
      </c>
      <c r="I52" s="20">
        <v>0.85009898582860599</v>
      </c>
      <c r="J52" s="20">
        <v>3.5000730902718215E-4</v>
      </c>
      <c r="K52" s="20">
        <v>8.1589829306955602E-2</v>
      </c>
      <c r="L52" s="20">
        <v>0</v>
      </c>
    </row>
    <row r="53" spans="1:12">
      <c r="A53" s="2" t="s">
        <v>383</v>
      </c>
      <c r="B53" s="3" t="s">
        <v>384</v>
      </c>
      <c r="D53" s="20">
        <v>2.7797920640093171E-3</v>
      </c>
      <c r="E53" s="20">
        <v>0.7422511685971922</v>
      </c>
      <c r="F53" s="20">
        <v>4.2056293518709209E-2</v>
      </c>
      <c r="G53" s="20">
        <v>1.0151414249286988E-2</v>
      </c>
      <c r="H53" s="20">
        <v>0</v>
      </c>
      <c r="I53" s="20">
        <v>0.69004346082919599</v>
      </c>
      <c r="J53" s="20">
        <v>1.4427668764440758E-3</v>
      </c>
      <c r="K53" s="20">
        <v>0.25352627246235443</v>
      </c>
      <c r="L53" s="20">
        <v>0</v>
      </c>
    </row>
    <row r="54" spans="1:12">
      <c r="A54" s="2" t="s">
        <v>385</v>
      </c>
      <c r="B54" s="3" t="s">
        <v>386</v>
      </c>
      <c r="D54" s="20">
        <v>1.104117519784728E-3</v>
      </c>
      <c r="E54" s="20">
        <v>0.66066225960535718</v>
      </c>
      <c r="F54" s="20">
        <v>0.21185269130232198</v>
      </c>
      <c r="G54" s="20">
        <v>0.44210918828019991</v>
      </c>
      <c r="H54" s="20">
        <v>0</v>
      </c>
      <c r="I54" s="20">
        <v>6.7003800228353479E-3</v>
      </c>
      <c r="J54" s="20">
        <v>5.9091124240519675E-2</v>
      </c>
      <c r="K54" s="20">
        <v>0.27914249863433849</v>
      </c>
      <c r="L54" s="20">
        <v>0</v>
      </c>
    </row>
    <row r="55" spans="1:12">
      <c r="A55" s="2" t="s">
        <v>387</v>
      </c>
      <c r="B55" s="3" t="s">
        <v>388</v>
      </c>
      <c r="D55" s="20">
        <v>0.25919348704744449</v>
      </c>
      <c r="E55" s="20">
        <v>0.45933395064099619</v>
      </c>
      <c r="F55" s="20">
        <v>9.5993708238747769E-2</v>
      </c>
      <c r="G55" s="20">
        <v>2.0708008004087657E-2</v>
      </c>
      <c r="H55" s="20">
        <v>0</v>
      </c>
      <c r="I55" s="20">
        <v>0.34263223439816076</v>
      </c>
      <c r="J55" s="20">
        <v>2.7098092892050168E-3</v>
      </c>
      <c r="K55" s="20">
        <v>0.27876275302235437</v>
      </c>
      <c r="L55" s="20">
        <v>0</v>
      </c>
    </row>
    <row r="56" spans="1:12">
      <c r="A56" s="2" t="s">
        <v>389</v>
      </c>
      <c r="B56" s="3" t="s">
        <v>390</v>
      </c>
      <c r="D56" s="20">
        <v>0.85535439718251238</v>
      </c>
      <c r="E56" s="20">
        <v>8.4603006633420602E-2</v>
      </c>
      <c r="F56" s="20">
        <v>4.6340933350671028E-2</v>
      </c>
      <c r="G56" s="20">
        <v>8.8036006137126709E-3</v>
      </c>
      <c r="H56" s="20">
        <v>0</v>
      </c>
      <c r="I56" s="20">
        <v>2.9458472669036905E-2</v>
      </c>
      <c r="J56" s="20">
        <v>1.1369732934801227E-3</v>
      </c>
      <c r="K56" s="20">
        <v>5.8905622890587019E-2</v>
      </c>
      <c r="L56" s="20">
        <v>0</v>
      </c>
    </row>
    <row r="57" spans="1:12">
      <c r="A57" s="2" t="s">
        <v>391</v>
      </c>
      <c r="B57" s="3" t="s">
        <v>392</v>
      </c>
      <c r="D57" s="20">
        <v>0.89300593225785396</v>
      </c>
      <c r="E57" s="20">
        <v>6.4333508294448311E-2</v>
      </c>
      <c r="F57" s="20">
        <v>1.697747220953761E-2</v>
      </c>
      <c r="G57" s="20">
        <v>3.5757618257601731E-3</v>
      </c>
      <c r="H57" s="20">
        <v>0</v>
      </c>
      <c r="I57" s="20">
        <v>4.3780274259150521E-2</v>
      </c>
      <c r="J57" s="20">
        <v>4.6516954093668556E-4</v>
      </c>
      <c r="K57" s="20">
        <v>4.2195389906761117E-2</v>
      </c>
      <c r="L57" s="20">
        <v>0</v>
      </c>
    </row>
    <row r="58" spans="1:12">
      <c r="A58" s="2" t="s">
        <v>297</v>
      </c>
      <c r="B58" s="3" t="s">
        <v>298</v>
      </c>
      <c r="D58" s="20">
        <v>0.92017047684687048</v>
      </c>
      <c r="E58" s="20">
        <v>7.5565123247965257E-2</v>
      </c>
      <c r="F58" s="20">
        <v>1.2545471245910657E-4</v>
      </c>
      <c r="G58" s="20">
        <v>3.9480490054632218E-5</v>
      </c>
      <c r="H58" s="20">
        <v>0</v>
      </c>
      <c r="I58" s="20">
        <v>7.5400188045451524E-2</v>
      </c>
      <c r="J58" s="20">
        <v>2.3295581451221873E-5</v>
      </c>
      <c r="K58" s="20">
        <v>4.2411043237129877E-3</v>
      </c>
      <c r="L58" s="20">
        <v>0</v>
      </c>
    </row>
    <row r="59" spans="1:12">
      <c r="A59" s="2" t="s">
        <v>393</v>
      </c>
      <c r="B59" s="3" t="s">
        <v>394</v>
      </c>
      <c r="D59" s="20">
        <v>0.96121435968528346</v>
      </c>
      <c r="E59" s="20">
        <v>2.3472792825737748E-2</v>
      </c>
      <c r="F59" s="20">
        <v>5.8808341875339577E-3</v>
      </c>
      <c r="G59" s="20">
        <v>1.2454734953359055E-3</v>
      </c>
      <c r="H59" s="20">
        <v>0</v>
      </c>
      <c r="I59" s="20">
        <v>1.6346485142867885E-2</v>
      </c>
      <c r="J59" s="20">
        <v>1.6220987227397087E-4</v>
      </c>
      <c r="K59" s="20">
        <v>1.5150637616704894E-2</v>
      </c>
      <c r="L59" s="20">
        <v>0</v>
      </c>
    </row>
    <row r="60" spans="1:12">
      <c r="A60" s="2" t="s">
        <v>299</v>
      </c>
      <c r="B60" s="3" t="s">
        <v>300</v>
      </c>
      <c r="D60" s="20">
        <v>0.99895870470966197</v>
      </c>
      <c r="E60" s="20">
        <v>6.8993788464868E-4</v>
      </c>
      <c r="F60" s="20">
        <v>9.1152003733702106E-5</v>
      </c>
      <c r="G60" s="20">
        <v>2.0514539626758534E-5</v>
      </c>
      <c r="H60" s="20">
        <v>0</v>
      </c>
      <c r="I60" s="20">
        <v>5.7827134128821936E-4</v>
      </c>
      <c r="J60" s="20">
        <v>2.7326716154917938E-6</v>
      </c>
      <c r="K60" s="20">
        <v>3.4862473407384784E-4</v>
      </c>
      <c r="L60" s="20">
        <v>0</v>
      </c>
    </row>
    <row r="61" spans="1:12">
      <c r="A61" s="2" t="s">
        <v>395</v>
      </c>
      <c r="B61" s="3" t="s">
        <v>396</v>
      </c>
      <c r="D61" s="20">
        <v>7.4753624440266613E-44</v>
      </c>
      <c r="E61" s="20">
        <v>0.69421739660461312</v>
      </c>
      <c r="F61" s="20">
        <v>6.6351529532595224E-2</v>
      </c>
      <c r="G61" s="20">
        <v>1.5351347193770189E-2</v>
      </c>
      <c r="H61" s="20">
        <v>0</v>
      </c>
      <c r="I61" s="20">
        <v>0.61251451987824768</v>
      </c>
      <c r="J61" s="20">
        <v>2.0839160856965808E-3</v>
      </c>
      <c r="K61" s="20">
        <v>0.30369868730969024</v>
      </c>
      <c r="L61" s="20">
        <v>0</v>
      </c>
    </row>
    <row r="62" spans="1:12">
      <c r="A62" s="2" t="s">
        <v>397</v>
      </c>
      <c r="B62" s="3" t="s">
        <v>398</v>
      </c>
      <c r="D62" s="20">
        <v>5.7701185132110801E-7</v>
      </c>
      <c r="E62" s="20">
        <v>0.62933857920936864</v>
      </c>
      <c r="F62" s="20">
        <v>0.38681509858537638</v>
      </c>
      <c r="G62" s="20">
        <v>0.215624930762675</v>
      </c>
      <c r="H62" s="20">
        <v>0</v>
      </c>
      <c r="I62" s="20">
        <v>2.6898549861317275E-2</v>
      </c>
      <c r="J62" s="20">
        <v>2.8369911961772212E-2</v>
      </c>
      <c r="K62" s="20">
        <v>0.34229093181700793</v>
      </c>
      <c r="L62" s="20">
        <v>0</v>
      </c>
    </row>
    <row r="63" spans="1:12">
      <c r="A63" s="2" t="s">
        <v>399</v>
      </c>
      <c r="B63" s="3" t="s">
        <v>400</v>
      </c>
      <c r="D63" s="20">
        <v>1.5561537466810433E-4</v>
      </c>
      <c r="E63" s="20">
        <v>0.70482775167054246</v>
      </c>
      <c r="F63" s="20">
        <v>0.13377383792894301</v>
      </c>
      <c r="G63" s="20">
        <v>0.56828571901723057</v>
      </c>
      <c r="H63" s="20">
        <v>0</v>
      </c>
      <c r="I63" s="20">
        <v>2.7681947243689128E-3</v>
      </c>
      <c r="J63" s="20">
        <v>7.6611337976251692E-2</v>
      </c>
      <c r="K63" s="20">
        <v>0.21840529497853756</v>
      </c>
      <c r="L63" s="20">
        <v>0</v>
      </c>
    </row>
    <row r="64" spans="1:12">
      <c r="A64" s="2" t="s">
        <v>401</v>
      </c>
      <c r="B64" s="3" t="s">
        <v>402</v>
      </c>
      <c r="D64" s="20">
        <v>2.0299245844226199E-5</v>
      </c>
      <c r="E64" s="20">
        <v>0.75302931747203339</v>
      </c>
      <c r="F64" s="20">
        <v>7.5944895290890865E-2</v>
      </c>
      <c r="G64" s="20">
        <v>0.67607385768258332</v>
      </c>
      <c r="H64" s="20">
        <v>0</v>
      </c>
      <c r="I64" s="20">
        <v>1.010564498559145E-3</v>
      </c>
      <c r="J64" s="20">
        <v>9.1965063487192272E-2</v>
      </c>
      <c r="K64" s="20">
        <v>0.15498531979493024</v>
      </c>
      <c r="L64" s="20">
        <v>0</v>
      </c>
    </row>
    <row r="65" spans="1:12">
      <c r="A65" s="2" t="s">
        <v>301</v>
      </c>
      <c r="B65" s="3" t="s">
        <v>302</v>
      </c>
      <c r="D65" s="20">
        <v>2.6242931548956318E-6</v>
      </c>
      <c r="E65" s="20">
        <v>0.79841207076547627</v>
      </c>
      <c r="F65" s="20">
        <v>3.686642555888113E-2</v>
      </c>
      <c r="G65" s="20">
        <v>0.76124874091060424</v>
      </c>
      <c r="H65" s="20">
        <v>0</v>
      </c>
      <c r="I65" s="20">
        <v>2.9690429599088248E-4</v>
      </c>
      <c r="J65" s="20">
        <v>0.10461851736562366</v>
      </c>
      <c r="K65" s="20">
        <v>9.6966787575745284E-2</v>
      </c>
      <c r="L65" s="20">
        <v>0</v>
      </c>
    </row>
    <row r="66" spans="1:12">
      <c r="A66" s="2" t="s">
        <v>303</v>
      </c>
      <c r="B66" s="3" t="s">
        <v>304</v>
      </c>
      <c r="D66" s="20">
        <v>2.4737376329765351E-12</v>
      </c>
      <c r="E66" s="20">
        <v>0.77426534500525024</v>
      </c>
      <c r="F66" s="20">
        <v>5.6088305596085158E-2</v>
      </c>
      <c r="G66" s="20">
        <v>0.71757595180766087</v>
      </c>
      <c r="H66" s="20">
        <v>0</v>
      </c>
      <c r="I66" s="20">
        <v>6.01087601504178E-4</v>
      </c>
      <c r="J66" s="20">
        <v>9.8042476457786368E-2</v>
      </c>
      <c r="K66" s="20">
        <v>0.1276921785344898</v>
      </c>
      <c r="L66" s="20">
        <v>0</v>
      </c>
    </row>
    <row r="67" spans="1:12">
      <c r="A67" s="2" t="s">
        <v>411</v>
      </c>
      <c r="B67" s="3" t="s">
        <v>425</v>
      </c>
      <c r="D67" s="20">
        <v>4.091302034225675E-3</v>
      </c>
      <c r="E67" s="20">
        <v>0.92388543637286036</v>
      </c>
      <c r="F67" s="20">
        <v>2.8607521047410798E-3</v>
      </c>
      <c r="G67" s="20">
        <v>8.5975712084661836E-4</v>
      </c>
      <c r="H67" s="20">
        <v>0</v>
      </c>
      <c r="I67" s="20">
        <v>0.9201649271472726</v>
      </c>
      <c r="J67" s="20">
        <v>3.3101296754428416E-4</v>
      </c>
      <c r="K67" s="20">
        <v>7.1692248625369687E-2</v>
      </c>
      <c r="L67" s="20">
        <v>0</v>
      </c>
    </row>
    <row r="68" spans="1:12">
      <c r="A68" s="2" t="s">
        <v>412</v>
      </c>
      <c r="B68" s="3" t="s">
        <v>426</v>
      </c>
      <c r="D68" s="20">
        <v>9.2742596032490705E-3</v>
      </c>
      <c r="E68" s="20">
        <v>0.89338475060175615</v>
      </c>
      <c r="F68" s="20">
        <v>5.2807782708873376E-3</v>
      </c>
      <c r="G68" s="20">
        <v>1.5128417041754981E-3</v>
      </c>
      <c r="H68" s="20">
        <v>0</v>
      </c>
      <c r="I68" s="20">
        <v>0.88659113062669337</v>
      </c>
      <c r="J68" s="20">
        <v>4.0391529944051424E-4</v>
      </c>
      <c r="K68" s="20">
        <v>9.6937074495554276E-2</v>
      </c>
      <c r="L68" s="20">
        <v>0</v>
      </c>
    </row>
    <row r="69" spans="1:12">
      <c r="A69" s="2" t="s">
        <v>413</v>
      </c>
      <c r="B69" s="3" t="s">
        <v>427</v>
      </c>
      <c r="D69" s="20">
        <v>6.9062328989861928E-3</v>
      </c>
      <c r="E69" s="20">
        <v>0.64002603582759743</v>
      </c>
      <c r="F69" s="20">
        <v>0.25689751558572632</v>
      </c>
      <c r="G69" s="20">
        <v>0.37304004914936445</v>
      </c>
      <c r="H69" s="20">
        <v>0</v>
      </c>
      <c r="I69" s="20">
        <v>1.0088471092506629E-2</v>
      </c>
      <c r="J69" s="20">
        <v>4.9642368122135024E-2</v>
      </c>
      <c r="K69" s="20">
        <v>0.30342536315128149</v>
      </c>
      <c r="L69" s="20">
        <v>0</v>
      </c>
    </row>
    <row r="70" spans="1:12">
      <c r="A70" s="2" t="s">
        <v>414</v>
      </c>
      <c r="B70" s="3" t="s">
        <v>428</v>
      </c>
      <c r="D70" s="20">
        <v>1.390622212366404E-2</v>
      </c>
      <c r="E70" s="20">
        <v>0.59787199401784197</v>
      </c>
      <c r="F70" s="20">
        <v>0.38355517472400641</v>
      </c>
      <c r="G70" s="20">
        <v>7.0100869010778305E-2</v>
      </c>
      <c r="H70" s="20">
        <v>0</v>
      </c>
      <c r="I70" s="20">
        <v>0.14421595028305728</v>
      </c>
      <c r="J70" s="20">
        <v>9.0641341871427906E-3</v>
      </c>
      <c r="K70" s="20">
        <v>0.37915764967135107</v>
      </c>
      <c r="L70" s="20">
        <v>0</v>
      </c>
    </row>
    <row r="71" spans="1:12">
      <c r="A71" s="2" t="s">
        <v>415</v>
      </c>
      <c r="B71" s="3" t="s">
        <v>429</v>
      </c>
      <c r="D71" s="20">
        <v>2.2574652908769133E-2</v>
      </c>
      <c r="E71" s="20">
        <v>0.88574932315813859</v>
      </c>
      <c r="F71" s="20">
        <v>4.7406704476378346E-3</v>
      </c>
      <c r="G71" s="20">
        <v>1.3681550610931464E-3</v>
      </c>
      <c r="H71" s="20">
        <v>0</v>
      </c>
      <c r="I71" s="20">
        <v>0.87964049764940766</v>
      </c>
      <c r="J71" s="20">
        <v>3.8422983680434938E-4</v>
      </c>
      <c r="K71" s="20">
        <v>9.1291794096287765E-2</v>
      </c>
      <c r="L71" s="20">
        <v>0</v>
      </c>
    </row>
    <row r="72" spans="1:12">
      <c r="A72" s="2" t="s">
        <v>416</v>
      </c>
      <c r="B72" s="3" t="s">
        <v>430</v>
      </c>
      <c r="D72" s="20">
        <v>5.4236466669479552E-2</v>
      </c>
      <c r="E72" s="20">
        <v>0.56534434369084463</v>
      </c>
      <c r="F72" s="20">
        <v>0.3461864563432378</v>
      </c>
      <c r="G72" s="20">
        <v>6.409226631395086E-2</v>
      </c>
      <c r="H72" s="20">
        <v>0</v>
      </c>
      <c r="I72" s="20">
        <v>0.15506562103365595</v>
      </c>
      <c r="J72" s="20">
        <v>8.2828776337364601E-3</v>
      </c>
      <c r="K72" s="20">
        <v>0.37213631200593938</v>
      </c>
      <c r="L72" s="20">
        <v>0</v>
      </c>
    </row>
    <row r="73" spans="1:12">
      <c r="A73" s="2" t="s">
        <v>417</v>
      </c>
      <c r="B73" s="3" t="s">
        <v>431</v>
      </c>
      <c r="D73" s="20">
        <v>2.2420883212350699E-2</v>
      </c>
      <c r="E73" s="20">
        <v>0.66814728162632508</v>
      </c>
      <c r="F73" s="20">
        <v>7.1264197805741961E-2</v>
      </c>
      <c r="G73" s="20">
        <v>1.633679864082304E-2</v>
      </c>
      <c r="H73" s="20">
        <v>0</v>
      </c>
      <c r="I73" s="20">
        <v>0.58054628517976004</v>
      </c>
      <c r="J73" s="20">
        <v>2.202007735664376E-3</v>
      </c>
      <c r="K73" s="20">
        <v>0.30722982742565985</v>
      </c>
      <c r="L73" s="20">
        <v>0</v>
      </c>
    </row>
    <row r="74" spans="1:12">
      <c r="A74" s="2" t="s">
        <v>418</v>
      </c>
      <c r="B74" s="3" t="s">
        <v>432</v>
      </c>
      <c r="D74" s="20">
        <v>2.1098916926481102E-2</v>
      </c>
      <c r="E74" s="20">
        <v>0.5909956518443179</v>
      </c>
      <c r="F74" s="20">
        <v>0.37435086975315635</v>
      </c>
      <c r="G74" s="20">
        <v>6.867116288715007E-2</v>
      </c>
      <c r="H74" s="20">
        <v>0</v>
      </c>
      <c r="I74" s="20">
        <v>0.1479736192040115</v>
      </c>
      <c r="J74" s="20">
        <v>8.8778425321076482E-3</v>
      </c>
      <c r="K74" s="20">
        <v>0.37902758869709313</v>
      </c>
      <c r="L74" s="20">
        <v>0</v>
      </c>
    </row>
    <row r="75" spans="1:12">
      <c r="A75" s="2" t="s">
        <v>419</v>
      </c>
      <c r="B75" s="3" t="s">
        <v>433</v>
      </c>
      <c r="D75" s="20">
        <v>4.0812004708345923E-9</v>
      </c>
      <c r="E75" s="20">
        <v>0.98989398569056741</v>
      </c>
      <c r="F75" s="20">
        <v>0.94821458180569018</v>
      </c>
      <c r="G75" s="20">
        <v>3.6589530660892562E-4</v>
      </c>
      <c r="H75" s="20">
        <v>0</v>
      </c>
      <c r="I75" s="20">
        <v>4.1313508578268272E-2</v>
      </c>
      <c r="J75" s="20">
        <v>9.7699220322861879E-3</v>
      </c>
      <c r="K75" s="20">
        <v>3.3608819594601848E-4</v>
      </c>
      <c r="L75" s="20">
        <v>0</v>
      </c>
    </row>
    <row r="76" spans="1:12">
      <c r="A76" s="2" t="s">
        <v>420</v>
      </c>
      <c r="B76" s="3" t="s">
        <v>434</v>
      </c>
      <c r="D76" s="20">
        <v>1.0251512127747465E-10</v>
      </c>
      <c r="E76" s="20">
        <v>0.98989398962904407</v>
      </c>
      <c r="F76" s="20">
        <v>0.9482145855783376</v>
      </c>
      <c r="G76" s="20">
        <v>3.6589530806470784E-4</v>
      </c>
      <c r="H76" s="20">
        <v>0</v>
      </c>
      <c r="I76" s="20">
        <v>4.1313508742641725E-2</v>
      </c>
      <c r="J76" s="20">
        <v>9.7699220711576339E-3</v>
      </c>
      <c r="K76" s="20">
        <v>3.3608819728320769E-4</v>
      </c>
      <c r="L76" s="20">
        <v>0</v>
      </c>
    </row>
    <row r="77" spans="1:12">
      <c r="A77" s="2" t="s">
        <v>421</v>
      </c>
      <c r="B77" s="3" t="s">
        <v>435</v>
      </c>
      <c r="D77" s="20">
        <v>6.2897725741833346E-2</v>
      </c>
      <c r="E77" s="20">
        <v>0.55313370477755752</v>
      </c>
      <c r="F77" s="20">
        <v>0.17204958397454259</v>
      </c>
      <c r="G77" s="20">
        <v>3.5575350057039302E-2</v>
      </c>
      <c r="H77" s="20">
        <v>0</v>
      </c>
      <c r="I77" s="20">
        <v>0.34550877074597564</v>
      </c>
      <c r="J77" s="20">
        <v>4.613752606002202E-3</v>
      </c>
      <c r="K77" s="20">
        <v>0.37935481687460687</v>
      </c>
      <c r="L77" s="20">
        <v>0</v>
      </c>
    </row>
    <row r="78" spans="1:12">
      <c r="A78" s="2" t="s">
        <v>422</v>
      </c>
      <c r="B78" s="3" t="s">
        <v>436</v>
      </c>
      <c r="D78" s="20">
        <v>3.7709213195413836E-2</v>
      </c>
      <c r="E78" s="20">
        <v>0.78802468897196476</v>
      </c>
      <c r="F78" s="20">
        <v>1.8478476213909169E-2</v>
      </c>
      <c r="G78" s="20">
        <v>4.7748717434813789E-3</v>
      </c>
      <c r="H78" s="20">
        <v>0</v>
      </c>
      <c r="I78" s="20">
        <v>0.76477134101457422</v>
      </c>
      <c r="J78" s="20">
        <v>7.8261542616564809E-4</v>
      </c>
      <c r="K78" s="20">
        <v>0.17348348240645586</v>
      </c>
      <c r="L78" s="20">
        <v>0</v>
      </c>
    </row>
    <row r="79" spans="1:12">
      <c r="A79" s="2" t="s">
        <v>423</v>
      </c>
      <c r="B79" s="3" t="s">
        <v>437</v>
      </c>
      <c r="D79" s="20">
        <v>1.1127801354899046E-2</v>
      </c>
      <c r="E79" s="20">
        <v>0.73176024424946617</v>
      </c>
      <c r="F79" s="20">
        <v>4.3433822147736049E-2</v>
      </c>
      <c r="G79" s="20">
        <v>1.0445364605400265E-2</v>
      </c>
      <c r="H79" s="20">
        <v>0</v>
      </c>
      <c r="I79" s="20">
        <v>0.67788105749632988</v>
      </c>
      <c r="J79" s="20">
        <v>1.4771249566073461E-3</v>
      </c>
      <c r="K79" s="20">
        <v>0.2556348294390276</v>
      </c>
      <c r="L79" s="20">
        <v>0</v>
      </c>
    </row>
    <row r="80" spans="1:12">
      <c r="A80" s="2" t="s">
        <v>424</v>
      </c>
      <c r="B80" s="3" t="s">
        <v>438</v>
      </c>
      <c r="D80" s="20">
        <v>1.4652636049572778E-9</v>
      </c>
      <c r="E80" s="20">
        <v>0.98056879625640736</v>
      </c>
      <c r="F80" s="20">
        <v>0.95177537469521378</v>
      </c>
      <c r="G80" s="20">
        <v>7.054799462919677E-4</v>
      </c>
      <c r="H80" s="20">
        <v>0</v>
      </c>
      <c r="I80" s="20">
        <v>2.8087941614901642E-2</v>
      </c>
      <c r="J80" s="20">
        <v>1.9020448947449111E-2</v>
      </c>
      <c r="K80" s="20">
        <v>4.1075333088000132E-4</v>
      </c>
      <c r="L80" s="20">
        <v>0</v>
      </c>
    </row>
    <row r="81" spans="1:12">
      <c r="A81" s="2" t="s">
        <v>440</v>
      </c>
      <c r="B81" s="3" t="s">
        <v>441</v>
      </c>
      <c r="D81" s="20">
        <v>1.4588467047649398E-13</v>
      </c>
      <c r="E81" s="20">
        <v>0.98734827553112781</v>
      </c>
      <c r="F81" s="20">
        <v>9.2603700789019026E-5</v>
      </c>
      <c r="G81" s="20">
        <v>3.6018357008842749E-5</v>
      </c>
      <c r="H81" s="20">
        <v>0</v>
      </c>
      <c r="I81" s="20">
        <v>0.98721965347332996</v>
      </c>
      <c r="J81" s="20">
        <v>2.4605176288732098E-4</v>
      </c>
      <c r="K81" s="20">
        <v>1.2405672705839125E-2</v>
      </c>
      <c r="L81" s="20">
        <v>0</v>
      </c>
    </row>
    <row r="82" spans="1:12">
      <c r="A82" s="2" t="s">
        <v>442</v>
      </c>
      <c r="B82" s="3" t="s">
        <v>443</v>
      </c>
      <c r="D82" s="20">
        <v>7.8555524873432934E-5</v>
      </c>
      <c r="E82" s="20">
        <v>0.88972556627386057</v>
      </c>
      <c r="F82" s="20">
        <v>6.7389994208329577E-3</v>
      </c>
      <c r="G82" s="20">
        <v>1.8953567855644862E-3</v>
      </c>
      <c r="H82" s="20">
        <v>0</v>
      </c>
      <c r="I82" s="20">
        <v>0.88109121006746316</v>
      </c>
      <c r="J82" s="20">
        <v>4.5020796841677277E-4</v>
      </c>
      <c r="K82" s="20">
        <v>0.10974567023284929</v>
      </c>
      <c r="L82" s="20">
        <v>0</v>
      </c>
    </row>
    <row r="83" spans="1:12">
      <c r="A83" s="2" t="s">
        <v>444</v>
      </c>
      <c r="B83" s="3" t="s">
        <v>445</v>
      </c>
      <c r="D83" s="20">
        <v>1.274080161549396E-3</v>
      </c>
      <c r="E83" s="20">
        <v>0.60178766245348225</v>
      </c>
      <c r="F83" s="20">
        <v>0.15610450545755827</v>
      </c>
      <c r="G83" s="20">
        <v>3.2939044211012278E-2</v>
      </c>
      <c r="H83" s="20">
        <v>0</v>
      </c>
      <c r="I83" s="20">
        <v>0.41274411278491169</v>
      </c>
      <c r="J83" s="20">
        <v>4.2866190659340952E-3</v>
      </c>
      <c r="K83" s="20">
        <v>0.39265163831903421</v>
      </c>
      <c r="L83" s="20">
        <v>0</v>
      </c>
    </row>
    <row r="84" spans="1:12">
      <c r="A84" s="2" t="s">
        <v>446</v>
      </c>
      <c r="B84" s="3" t="s">
        <v>447</v>
      </c>
      <c r="D84" s="20">
        <v>4.580674136739247E-15</v>
      </c>
      <c r="E84" s="20">
        <v>0.97252087675992505</v>
      </c>
      <c r="F84" s="20">
        <v>4.2437332946694187E-4</v>
      </c>
      <c r="G84" s="20">
        <v>1.473817257066002E-4</v>
      </c>
      <c r="H84" s="20">
        <v>0</v>
      </c>
      <c r="I84" s="20">
        <v>0.97194912170475145</v>
      </c>
      <c r="J84" s="20">
        <v>2.5586780594987938E-4</v>
      </c>
      <c r="K84" s="20">
        <v>2.7223255434120634E-2</v>
      </c>
      <c r="L84" s="20">
        <v>0</v>
      </c>
    </row>
    <row r="85" spans="1:12">
      <c r="A85" s="2" t="s">
        <v>448</v>
      </c>
      <c r="B85" s="3" t="s">
        <v>449</v>
      </c>
      <c r="D85" s="20">
        <v>3.1127186662502357E-8</v>
      </c>
      <c r="E85" s="20">
        <v>0.99463695773177618</v>
      </c>
      <c r="F85" s="20">
        <v>1.682513487617814E-5</v>
      </c>
      <c r="G85" s="20">
        <v>7.424276020191947E-6</v>
      </c>
      <c r="H85" s="20">
        <v>0</v>
      </c>
      <c r="I85" s="20">
        <v>0.99461270832087978</v>
      </c>
      <c r="J85" s="20">
        <v>2.444189418925159E-4</v>
      </c>
      <c r="K85" s="20">
        <v>5.1185921991447328E-3</v>
      </c>
      <c r="L85" s="20">
        <v>0</v>
      </c>
    </row>
    <row r="86" spans="1:12">
      <c r="A86" s="2" t="s">
        <v>450</v>
      </c>
      <c r="B86" s="3" t="s">
        <v>451</v>
      </c>
      <c r="D86" s="20">
        <v>1.1511341449747748E-8</v>
      </c>
      <c r="E86" s="20">
        <v>0.97320256954075701</v>
      </c>
      <c r="F86" s="20">
        <v>4.0396581996051669E-4</v>
      </c>
      <c r="G86" s="20">
        <v>1.4081216499790765E-4</v>
      </c>
      <c r="H86" s="20">
        <v>0</v>
      </c>
      <c r="I86" s="20">
        <v>0.97265779155579857</v>
      </c>
      <c r="J86" s="20">
        <v>2.5523855095650543E-4</v>
      </c>
      <c r="K86" s="20">
        <v>2.6542180396945197E-2</v>
      </c>
      <c r="L86" s="20">
        <v>0</v>
      </c>
    </row>
    <row r="87" spans="1:12">
      <c r="A87" s="2" t="s">
        <v>452</v>
      </c>
      <c r="B87" s="3" t="s">
        <v>453</v>
      </c>
      <c r="D87" s="20">
        <v>2.8487372220278629E-7</v>
      </c>
      <c r="E87" s="20">
        <v>0.68702421786954015</v>
      </c>
      <c r="F87" s="20">
        <v>0.16168550017955624</v>
      </c>
      <c r="G87" s="20">
        <v>0.52139472116061547</v>
      </c>
      <c r="H87" s="20">
        <v>0</v>
      </c>
      <c r="I87" s="20">
        <v>3.9439965293684397E-3</v>
      </c>
      <c r="J87" s="20">
        <v>7.005562135571837E-2</v>
      </c>
      <c r="K87" s="20">
        <v>0.24291987590101929</v>
      </c>
      <c r="L87" s="20">
        <v>0</v>
      </c>
    </row>
    <row r="88" spans="1:12">
      <c r="A88" s="2" t="s">
        <v>454</v>
      </c>
      <c r="B88" s="3" t="s">
        <v>455</v>
      </c>
      <c r="D88" s="20">
        <v>4.2538810192805909E-5</v>
      </c>
      <c r="E88" s="20">
        <v>0.84326616299334578</v>
      </c>
      <c r="F88" s="20">
        <v>1.4054131826697357E-2</v>
      </c>
      <c r="G88" s="20">
        <v>3.7264867230707671E-3</v>
      </c>
      <c r="H88" s="20">
        <v>0</v>
      </c>
      <c r="I88" s="20">
        <v>0.82548554444357769</v>
      </c>
      <c r="J88" s="20">
        <v>6.6564875375470418E-4</v>
      </c>
      <c r="K88" s="20">
        <v>0.15602564944270664</v>
      </c>
      <c r="L88" s="20">
        <v>0</v>
      </c>
    </row>
    <row r="89" spans="1:12">
      <c r="A89" s="2" t="s">
        <v>456</v>
      </c>
      <c r="B89" s="3" t="s">
        <v>457</v>
      </c>
      <c r="D89" s="20">
        <v>2.6369699479561691E-17</v>
      </c>
      <c r="E89" s="20">
        <v>0.88205249296473087</v>
      </c>
      <c r="F89" s="20">
        <v>7.7503954957515841E-3</v>
      </c>
      <c r="G89" s="20">
        <v>2.155854368010504E-3</v>
      </c>
      <c r="H89" s="20">
        <v>0</v>
      </c>
      <c r="I89" s="20">
        <v>0.87214624310096878</v>
      </c>
      <c r="J89" s="20">
        <v>4.8051692933210683E-4</v>
      </c>
      <c r="K89" s="20">
        <v>0.11746699010593699</v>
      </c>
      <c r="L89" s="20">
        <v>0</v>
      </c>
    </row>
    <row r="90" spans="1:12">
      <c r="A90" s="2" t="s">
        <v>458</v>
      </c>
      <c r="B90" s="3" t="s">
        <v>459</v>
      </c>
      <c r="D90" s="20">
        <v>3.5599121346610265E-29</v>
      </c>
      <c r="E90" s="20">
        <v>0.94592336486357753</v>
      </c>
      <c r="F90" s="20">
        <v>1.6101189567803965E-3</v>
      </c>
      <c r="G90" s="20">
        <v>5.0577052779637269E-4</v>
      </c>
      <c r="H90" s="20">
        <v>0</v>
      </c>
      <c r="I90" s="20">
        <v>0.94380747537900078</v>
      </c>
      <c r="J90" s="20">
        <v>2.9302634434899441E-4</v>
      </c>
      <c r="K90" s="20">
        <v>5.3783608792073362E-2</v>
      </c>
      <c r="L90" s="20">
        <v>0</v>
      </c>
    </row>
    <row r="91" spans="1:12">
      <c r="A91" s="2" t="s">
        <v>460</v>
      </c>
      <c r="B91" s="3" t="s">
        <v>461</v>
      </c>
      <c r="D91" s="20">
        <v>2.7070112463074378E-7</v>
      </c>
      <c r="E91" s="20">
        <v>0.62857234692620012</v>
      </c>
      <c r="F91" s="20">
        <v>0.36796689182807918</v>
      </c>
      <c r="G91" s="20">
        <v>0.23713971836179618</v>
      </c>
      <c r="H91" s="20">
        <v>0</v>
      </c>
      <c r="I91" s="20">
        <v>2.3465736736324797E-2</v>
      </c>
      <c r="J91" s="20">
        <v>3.1253692792581098E-2</v>
      </c>
      <c r="K91" s="20">
        <v>0.34017368958009414</v>
      </c>
      <c r="L91" s="20">
        <v>0</v>
      </c>
    </row>
    <row r="92" spans="1:12">
      <c r="A92" s="2" t="s">
        <v>462</v>
      </c>
      <c r="B92" s="3" t="s">
        <v>463</v>
      </c>
      <c r="D92" s="20">
        <v>9.5412047748006722E-9</v>
      </c>
      <c r="E92" s="20">
        <v>0.63191718083608217</v>
      </c>
      <c r="F92" s="20">
        <v>0.11551061633906153</v>
      </c>
      <c r="G92" s="20">
        <v>2.5241633493828793E-2</v>
      </c>
      <c r="H92" s="20">
        <v>0</v>
      </c>
      <c r="I92" s="20">
        <v>0.49116493100319181</v>
      </c>
      <c r="J92" s="20">
        <v>3.3172073209013944E-3</v>
      </c>
      <c r="K92" s="20">
        <v>0.36476560230181176</v>
      </c>
      <c r="L92" s="20">
        <v>0</v>
      </c>
    </row>
    <row r="93" spans="1:12">
      <c r="A93" s="2" t="s">
        <v>464</v>
      </c>
      <c r="B93" s="3" t="s">
        <v>465</v>
      </c>
      <c r="D93" s="20">
        <v>7.7374957245443087E-4</v>
      </c>
      <c r="E93" s="20">
        <v>0.58590990749858651</v>
      </c>
      <c r="F93" s="20">
        <v>0.32660220040668647</v>
      </c>
      <c r="G93" s="20">
        <v>6.1817958938963739E-2</v>
      </c>
      <c r="H93" s="20">
        <v>0</v>
      </c>
      <c r="I93" s="20">
        <v>0.1974897481529363</v>
      </c>
      <c r="J93" s="20">
        <v>7.9841648035620955E-3</v>
      </c>
      <c r="K93" s="20">
        <v>0.4053321781253969</v>
      </c>
      <c r="L93" s="20">
        <v>0</v>
      </c>
    </row>
    <row r="94" spans="1:12">
      <c r="A94" s="2" t="s">
        <v>466</v>
      </c>
      <c r="B94" s="3" t="s">
        <v>467</v>
      </c>
      <c r="D94" s="20">
        <v>1.5700137310478636E-18</v>
      </c>
      <c r="E94" s="20">
        <v>0.99965965315848893</v>
      </c>
      <c r="F94" s="20">
        <v>1.1560968129759208E-2</v>
      </c>
      <c r="G94" s="20">
        <v>1.519262081000429E-6</v>
      </c>
      <c r="H94" s="20">
        <v>0</v>
      </c>
      <c r="I94" s="20">
        <v>0.98809716576664874</v>
      </c>
      <c r="J94" s="20">
        <v>2.6629614987155908E-4</v>
      </c>
      <c r="K94" s="20">
        <v>7.4050691639320927E-5</v>
      </c>
      <c r="L94" s="20">
        <v>0</v>
      </c>
    </row>
    <row r="95" spans="1:12">
      <c r="A95" s="2" t="s">
        <v>468</v>
      </c>
      <c r="B95" s="3" t="s">
        <v>469</v>
      </c>
      <c r="D95" s="20">
        <v>1.0758099709132022E-17</v>
      </c>
      <c r="E95" s="20">
        <v>0.65237271713520606</v>
      </c>
      <c r="F95" s="20">
        <v>0.47957247563903616</v>
      </c>
      <c r="G95" s="20">
        <v>0.11864509948064512</v>
      </c>
      <c r="H95" s="20">
        <v>0</v>
      </c>
      <c r="I95" s="20">
        <v>5.41551420155248E-2</v>
      </c>
      <c r="J95" s="20">
        <v>1.5468128982646222E-2</v>
      </c>
      <c r="K95" s="20">
        <v>0.33215915388214767</v>
      </c>
      <c r="L95" s="20">
        <v>0</v>
      </c>
    </row>
    <row r="96" spans="1:12">
      <c r="A96" s="2" t="s">
        <v>470</v>
      </c>
      <c r="B96" s="163">
        <v>354656</v>
      </c>
      <c r="D96" s="20">
        <v>2.910519400659356E-10</v>
      </c>
      <c r="E96" s="20">
        <v>0.98685995189181264</v>
      </c>
      <c r="F96" s="20">
        <v>9.9767521395106068E-5</v>
      </c>
      <c r="G96" s="20">
        <v>3.8590884990105343E-5</v>
      </c>
      <c r="H96" s="20">
        <v>0</v>
      </c>
      <c r="I96" s="20">
        <v>0.98672159348542743</v>
      </c>
      <c r="J96" s="20">
        <v>2.462410040445245E-4</v>
      </c>
      <c r="K96" s="20">
        <v>1.2893806813090731E-2</v>
      </c>
      <c r="L96" s="20">
        <v>0</v>
      </c>
    </row>
    <row r="97" spans="1:12">
      <c r="A97" s="2" t="s">
        <v>472</v>
      </c>
      <c r="B97" s="3" t="s">
        <v>473</v>
      </c>
      <c r="D97" s="20">
        <v>4.5796046259026095E-10</v>
      </c>
      <c r="E97" s="20">
        <v>0.9721736855444435</v>
      </c>
      <c r="F97" s="20">
        <v>4.3495734565265383E-4</v>
      </c>
      <c r="G97" s="20">
        <v>1.5077947439750991E-4</v>
      </c>
      <c r="H97" s="20">
        <v>0</v>
      </c>
      <c r="I97" s="20">
        <v>0.97158794872439336</v>
      </c>
      <c r="J97" s="20">
        <v>2.5619467020225882E-4</v>
      </c>
      <c r="K97" s="20">
        <v>2.7570119327393748E-2</v>
      </c>
      <c r="L97" s="20">
        <v>0</v>
      </c>
    </row>
    <row r="98" spans="1:12">
      <c r="A98" s="2" t="s">
        <v>474</v>
      </c>
      <c r="B98" s="3" t="s">
        <v>475</v>
      </c>
      <c r="D98" s="20">
        <v>2.2307574874616157E-19</v>
      </c>
      <c r="E98" s="20">
        <v>0.6284637237694809</v>
      </c>
      <c r="F98" s="20">
        <v>0.43759368267145865</v>
      </c>
      <c r="G98" s="20">
        <v>7.7797671567988808E-2</v>
      </c>
      <c r="H98" s="20">
        <v>0</v>
      </c>
      <c r="I98" s="20">
        <v>0.11307236953003343</v>
      </c>
      <c r="J98" s="20">
        <v>1.0073966185319813E-2</v>
      </c>
      <c r="K98" s="20">
        <v>0.36146231004519919</v>
      </c>
      <c r="L98" s="20">
        <v>0</v>
      </c>
    </row>
    <row r="99" spans="1:12">
      <c r="A99" s="2" t="s">
        <v>476</v>
      </c>
      <c r="B99" s="3" t="s">
        <v>477</v>
      </c>
      <c r="D99" s="20">
        <v>1.355581190939096E-7</v>
      </c>
      <c r="E99" s="20">
        <v>0.99621928738197163</v>
      </c>
      <c r="F99" s="20">
        <v>8.2631230211314173E-6</v>
      </c>
      <c r="G99" s="20">
        <v>3.8427291420745852E-6</v>
      </c>
      <c r="H99" s="20">
        <v>0</v>
      </c>
      <c r="I99" s="20">
        <v>0.99620718152980847</v>
      </c>
      <c r="J99" s="20">
        <v>2.4438215010654001E-4</v>
      </c>
      <c r="K99" s="20">
        <v>3.5361949098026316E-3</v>
      </c>
      <c r="L99" s="20">
        <v>0</v>
      </c>
    </row>
    <row r="100" spans="1:12">
      <c r="A100" s="2" t="s">
        <v>478</v>
      </c>
      <c r="B100" s="3" t="s">
        <v>479</v>
      </c>
      <c r="D100" s="20">
        <v>6.8916459458902133E-11</v>
      </c>
      <c r="E100" s="20">
        <v>0.75930083118162972</v>
      </c>
      <c r="F100" s="20">
        <v>3.6520914342295777E-2</v>
      </c>
      <c r="G100" s="20">
        <v>8.9297067593286338E-3</v>
      </c>
      <c r="H100" s="20">
        <v>0</v>
      </c>
      <c r="I100" s="20">
        <v>0.71385021008000527</v>
      </c>
      <c r="J100" s="20">
        <v>1.2939473144603292E-3</v>
      </c>
      <c r="K100" s="20">
        <v>0.23940522143499354</v>
      </c>
      <c r="L100" s="20">
        <v>0</v>
      </c>
    </row>
    <row r="101" spans="1:12">
      <c r="A101" s="2" t="s">
        <v>480</v>
      </c>
      <c r="B101" s="3" t="s">
        <v>481</v>
      </c>
      <c r="D101" s="20">
        <v>3.6598818627192708E-11</v>
      </c>
      <c r="E101" s="20">
        <v>0.99381426554991403</v>
      </c>
      <c r="F101" s="20">
        <v>2.2412265127849066E-5</v>
      </c>
      <c r="G101" s="20">
        <v>9.6823617970615294E-6</v>
      </c>
      <c r="H101" s="20">
        <v>0</v>
      </c>
      <c r="I101" s="20">
        <v>0.99378217092298915</v>
      </c>
      <c r="J101" s="20">
        <v>2.4448577951103294E-4</v>
      </c>
      <c r="K101" s="20">
        <v>5.9412486339761117E-3</v>
      </c>
      <c r="L101" s="20">
        <v>0</v>
      </c>
    </row>
    <row r="102" spans="1:12">
      <c r="A102" s="2" t="s">
        <v>482</v>
      </c>
      <c r="B102" s="3" t="s">
        <v>483</v>
      </c>
      <c r="D102" s="20">
        <v>2.2858979987700848E-27</v>
      </c>
      <c r="E102" s="20">
        <v>0.99825624565840576</v>
      </c>
      <c r="F102" s="20">
        <v>1.589554898464269E-6</v>
      </c>
      <c r="G102" s="20">
        <v>8.3477817702890592E-7</v>
      </c>
      <c r="H102" s="20">
        <v>0</v>
      </c>
      <c r="I102" s="20">
        <v>0.99825382132533025</v>
      </c>
      <c r="J102" s="20">
        <v>2.4452695187581483E-4</v>
      </c>
      <c r="K102" s="20">
        <v>1.4992273897187253E-3</v>
      </c>
      <c r="L102" s="20">
        <v>0</v>
      </c>
    </row>
    <row r="103" spans="1:12">
      <c r="A103" s="2" t="s">
        <v>484</v>
      </c>
      <c r="B103" s="3" t="s">
        <v>485</v>
      </c>
      <c r="D103" s="20">
        <v>1.8282060815526753E-13</v>
      </c>
      <c r="E103" s="20">
        <v>0.99633238777397171</v>
      </c>
      <c r="F103" s="20">
        <v>7.7632546768519104E-6</v>
      </c>
      <c r="G103" s="20">
        <v>3.6269317974931828E-6</v>
      </c>
      <c r="H103" s="20">
        <v>0</v>
      </c>
      <c r="I103" s="20">
        <v>0.99632099758749737</v>
      </c>
      <c r="J103" s="20">
        <v>2.4438435239677105E-4</v>
      </c>
      <c r="K103" s="20">
        <v>3.4232278734487695E-3</v>
      </c>
      <c r="L103" s="20">
        <v>0</v>
      </c>
    </row>
    <row r="104" spans="1:12">
      <c r="A104" s="2" t="s">
        <v>486</v>
      </c>
      <c r="B104" s="3" t="s">
        <v>487</v>
      </c>
      <c r="D104" s="20">
        <v>2.3060840525920495E-9</v>
      </c>
      <c r="E104" s="20">
        <v>0.9800674054603864</v>
      </c>
      <c r="F104" s="20">
        <v>2.2609648820451098E-4</v>
      </c>
      <c r="G104" s="20">
        <v>8.2298017250949289E-5</v>
      </c>
      <c r="H104" s="20">
        <v>0</v>
      </c>
      <c r="I104" s="20">
        <v>0.9797590109549309</v>
      </c>
      <c r="J104" s="20">
        <v>2.498414821362419E-4</v>
      </c>
      <c r="K104" s="20">
        <v>1.9682750751393474E-2</v>
      </c>
      <c r="L104" s="20">
        <v>0</v>
      </c>
    </row>
    <row r="105" spans="1:12">
      <c r="A105" s="2" t="s">
        <v>488</v>
      </c>
      <c r="B105" s="3" t="s">
        <v>489</v>
      </c>
      <c r="D105" s="20">
        <v>1.8187210590859086E-16</v>
      </c>
      <c r="E105" s="20">
        <v>0.99795673436205989</v>
      </c>
      <c r="F105" s="20">
        <v>2.2551985304584146E-6</v>
      </c>
      <c r="G105" s="20">
        <v>1.1541980473391726E-6</v>
      </c>
      <c r="H105" s="20">
        <v>0</v>
      </c>
      <c r="I105" s="20">
        <v>0.99795332496548206</v>
      </c>
      <c r="J105" s="20">
        <v>2.4449099826622222E-4</v>
      </c>
      <c r="K105" s="20">
        <v>1.7987746396738538E-3</v>
      </c>
      <c r="L105" s="20">
        <v>0</v>
      </c>
    </row>
    <row r="106" spans="1:12">
      <c r="A106" s="2" t="s">
        <v>490</v>
      </c>
      <c r="B106" s="3" t="s">
        <v>491</v>
      </c>
      <c r="D106" s="20">
        <v>1.1095569066501171E-8</v>
      </c>
      <c r="E106" s="20">
        <v>0.93107006611180188</v>
      </c>
      <c r="F106" s="20">
        <v>2.6095658805172944E-3</v>
      </c>
      <c r="G106" s="20">
        <v>7.9006681535881884E-4</v>
      </c>
      <c r="H106" s="20">
        <v>0</v>
      </c>
      <c r="I106" s="20">
        <v>0.92767043341592581</v>
      </c>
      <c r="J106" s="20">
        <v>3.2421621645714258E-4</v>
      </c>
      <c r="K106" s="20">
        <v>6.8605706576171946E-2</v>
      </c>
      <c r="L106" s="20">
        <v>0</v>
      </c>
    </row>
    <row r="107" spans="1:12">
      <c r="A107" s="2" t="s">
        <v>492</v>
      </c>
      <c r="B107" s="3" t="s">
        <v>493</v>
      </c>
      <c r="D107" s="20">
        <v>1.1140162473330186E-15</v>
      </c>
      <c r="E107" s="20">
        <v>0.65092756112152683</v>
      </c>
      <c r="F107" s="20">
        <v>0.47853114527030982</v>
      </c>
      <c r="G107" s="20">
        <v>8.30626465495891E-2</v>
      </c>
      <c r="H107" s="20">
        <v>0</v>
      </c>
      <c r="I107" s="20">
        <v>8.9333769301627883E-2</v>
      </c>
      <c r="J107" s="20">
        <v>1.0772292850768346E-2</v>
      </c>
      <c r="K107" s="20">
        <v>0.3383001460277037</v>
      </c>
      <c r="L107" s="20">
        <v>0</v>
      </c>
    </row>
    <row r="108" spans="1:12">
      <c r="A108" s="2" t="s">
        <v>291</v>
      </c>
      <c r="B108" s="3" t="s">
        <v>494</v>
      </c>
      <c r="D108" s="20">
        <v>3.6421886990546079E-10</v>
      </c>
      <c r="E108" s="20">
        <v>0.78820977571601392</v>
      </c>
      <c r="F108" s="20">
        <v>2.7188241996611181E-2</v>
      </c>
      <c r="G108" s="20">
        <v>6.8214497175871124E-3</v>
      </c>
      <c r="H108" s="20">
        <v>0</v>
      </c>
      <c r="I108" s="20">
        <v>0.7542000840018156</v>
      </c>
      <c r="J108" s="20">
        <v>1.0375453931434507E-3</v>
      </c>
      <c r="K108" s="20">
        <v>0.21075267852662388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1.2364706165006224E-8</v>
      </c>
      <c r="E2" s="14">
        <v>1.3588387844852976E-4</v>
      </c>
      <c r="F2" s="14">
        <v>6.4625286963643407E-7</v>
      </c>
      <c r="G2" s="14">
        <v>1.8823398646507638E-7</v>
      </c>
      <c r="H2" s="14">
        <v>0</v>
      </c>
      <c r="I2" s="14">
        <v>5.6482175016240721E-8</v>
      </c>
      <c r="J2" s="14">
        <v>1.321278781418745E-5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3.0560686253076134E-6</v>
      </c>
      <c r="E3" s="14">
        <v>7.1972607359718131E-7</v>
      </c>
      <c r="F3" s="14">
        <v>2.659388501171297E-5</v>
      </c>
      <c r="G3" s="14">
        <v>7.2057193309244241E-5</v>
      </c>
      <c r="H3" s="14">
        <v>0</v>
      </c>
      <c r="I3" s="14">
        <v>9.6613830171397054E-6</v>
      </c>
      <c r="J3" s="14">
        <v>3.7911743962998272E-5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9.7536362597517829E-16</v>
      </c>
      <c r="E4" s="14">
        <v>1.0084878944062564E-4</v>
      </c>
      <c r="F4" s="14">
        <v>7.1414309242810539E-6</v>
      </c>
      <c r="G4" s="14">
        <v>1.7048288856012175E-6</v>
      </c>
      <c r="H4" s="14">
        <v>0</v>
      </c>
      <c r="I4" s="14">
        <v>2.3883734504964602E-7</v>
      </c>
      <c r="J4" s="14">
        <v>4.0066113403467049E-5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9.5948627115046203E-8</v>
      </c>
      <c r="E5" s="14">
        <v>7.1331753303897807E-6</v>
      </c>
      <c r="F5" s="14">
        <v>6.9479622365469887E-5</v>
      </c>
      <c r="G5" s="14">
        <v>2.0162900393940349E-5</v>
      </c>
      <c r="H5" s="14">
        <v>0</v>
      </c>
      <c r="I5" s="14">
        <v>2.6332313314402457E-6</v>
      </c>
      <c r="J5" s="14">
        <v>5.0495121951644655E-5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1.06097769848718E-8</v>
      </c>
      <c r="E6" s="14">
        <v>3.4296546366480594E-7</v>
      </c>
      <c r="F6" s="14">
        <v>1.8072779067145735E-5</v>
      </c>
      <c r="G6" s="14">
        <v>8.8760654286591036E-5</v>
      </c>
      <c r="H6" s="14">
        <v>0</v>
      </c>
      <c r="I6" s="14">
        <v>1.1987009749137647E-5</v>
      </c>
      <c r="J6" s="14">
        <v>3.0825981656475892E-5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1.5054850988309473E-8</v>
      </c>
      <c r="E7" s="14">
        <v>6.5966067554522979E-7</v>
      </c>
      <c r="F7" s="14">
        <v>2.5674095101412089E-5</v>
      </c>
      <c r="G7" s="14">
        <v>7.5891074349544434E-5</v>
      </c>
      <c r="H7" s="14">
        <v>0</v>
      </c>
      <c r="I7" s="14">
        <v>1.018614178768108E-5</v>
      </c>
      <c r="J7" s="14">
        <v>3.7573973234828828E-5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1.358587146643394E-7</v>
      </c>
      <c r="E8" s="14">
        <v>1.4040146371146379E-6</v>
      </c>
      <c r="F8" s="14">
        <v>3.7334142930847664E-5</v>
      </c>
      <c r="G8" s="14">
        <v>5.8291031587108493E-5</v>
      </c>
      <c r="H8" s="14">
        <v>0</v>
      </c>
      <c r="I8" s="14">
        <v>7.7638516774357987E-6</v>
      </c>
      <c r="J8" s="14">
        <v>4.5071100452829021E-5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5.2147435184658139E-8</v>
      </c>
      <c r="E9" s="14">
        <v>3.9389193342137885E-5</v>
      </c>
      <c r="F9" s="14">
        <v>3.9504960991700956E-5</v>
      </c>
      <c r="G9" s="14">
        <v>7.7579538660742113E-6</v>
      </c>
      <c r="H9" s="14">
        <v>0</v>
      </c>
      <c r="I9" s="14">
        <v>1.0021180370615257E-6</v>
      </c>
      <c r="J9" s="14">
        <v>6.2293626327840728E-5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1.2340806229514249E-9</v>
      </c>
      <c r="E10" s="14">
        <v>6.6409111103139376E-6</v>
      </c>
      <c r="F10" s="14">
        <v>6.8133738220622144E-5</v>
      </c>
      <c r="G10" s="14">
        <v>2.157037885296195E-5</v>
      </c>
      <c r="H10" s="14">
        <v>0</v>
      </c>
      <c r="I10" s="14">
        <v>2.8197483788838092E-6</v>
      </c>
      <c r="J10" s="14">
        <v>5.0833989356595163E-5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6.4331338313498915E-8</v>
      </c>
      <c r="E11" s="14">
        <v>5.8709275396137635E-6</v>
      </c>
      <c r="F11" s="14">
        <v>6.5681229015988462E-5</v>
      </c>
      <c r="G11" s="14">
        <v>2.40401307840711E-5</v>
      </c>
      <c r="H11" s="14">
        <v>0</v>
      </c>
      <c r="I11" s="14">
        <v>3.1477094679823275E-6</v>
      </c>
      <c r="J11" s="14">
        <v>5.1195671854030831E-5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3.1508668154205459E-8</v>
      </c>
      <c r="E12" s="14">
        <v>2.9195383221416407E-5</v>
      </c>
      <c r="F12" s="14">
        <v>4.9504961899655189E-5</v>
      </c>
      <c r="G12" s="14">
        <v>9.3528568212554489E-6</v>
      </c>
      <c r="H12" s="14">
        <v>0</v>
      </c>
      <c r="I12" s="14">
        <v>1.2080188904964912E-6</v>
      </c>
      <c r="J12" s="14">
        <v>6.0707270499022249E-5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8.2335804957910758E-8</v>
      </c>
      <c r="E13" s="14">
        <v>3.833653610582276E-5</v>
      </c>
      <c r="F13" s="14">
        <v>4.0421034108713356E-5</v>
      </c>
      <c r="G13" s="14">
        <v>7.9086612780206614E-6</v>
      </c>
      <c r="H13" s="14">
        <v>0</v>
      </c>
      <c r="I13" s="14">
        <v>1.0214907093337942E-6</v>
      </c>
      <c r="J13" s="14">
        <v>6.2229941993151468E-5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4.3205799845703326E-8</v>
      </c>
      <c r="E14" s="14">
        <v>3.9261436299742431E-6</v>
      </c>
      <c r="F14" s="14">
        <v>5.7446124316012025E-5</v>
      </c>
      <c r="G14" s="14">
        <v>3.2965243580125485E-5</v>
      </c>
      <c r="H14" s="14">
        <v>0</v>
      </c>
      <c r="I14" s="14">
        <v>4.3387285012227947E-6</v>
      </c>
      <c r="J14" s="14">
        <v>5.1280554172819718E-5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7.0009280350803624E-11</v>
      </c>
      <c r="E15" s="14">
        <v>6.2479816783764765E-6</v>
      </c>
      <c r="F15" s="14">
        <v>6.6938241297283209E-5</v>
      </c>
      <c r="G15" s="14">
        <v>2.2786092344617869E-5</v>
      </c>
      <c r="H15" s="14">
        <v>0</v>
      </c>
      <c r="I15" s="14">
        <v>2.9810789670135239E-6</v>
      </c>
      <c r="J15" s="14">
        <v>5.1046535703428556E-5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3.5193220517539237E-7</v>
      </c>
      <c r="E16" s="14">
        <v>1.4483153870621686E-6</v>
      </c>
      <c r="F16" s="14">
        <v>3.785102939786736E-5</v>
      </c>
      <c r="G16" s="14">
        <v>5.7408110168196936E-5</v>
      </c>
      <c r="H16" s="14">
        <v>0</v>
      </c>
      <c r="I16" s="14">
        <v>7.6435887122505114E-6</v>
      </c>
      <c r="J16" s="14">
        <v>4.5297024129447623E-5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2.4659098174935935E-8</v>
      </c>
      <c r="E17" s="14">
        <v>6.9678906035242165E-6</v>
      </c>
      <c r="F17" s="14">
        <v>6.9055118359846415E-5</v>
      </c>
      <c r="G17" s="14">
        <v>2.0629629550606861E-5</v>
      </c>
      <c r="H17" s="14">
        <v>0</v>
      </c>
      <c r="I17" s="14">
        <v>2.6950429440171299E-6</v>
      </c>
      <c r="J17" s="14">
        <v>5.0627659443830402E-5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1.4562888084015457E-6</v>
      </c>
      <c r="E18" s="14">
        <v>4.3846168235899048E-5</v>
      </c>
      <c r="F18" s="14">
        <v>3.5112859303002755E-5</v>
      </c>
      <c r="G18" s="14">
        <v>7.0107059463031402E-6</v>
      </c>
      <c r="H18" s="14">
        <v>0</v>
      </c>
      <c r="I18" s="14">
        <v>9.0621787078656763E-7</v>
      </c>
      <c r="J18" s="14">
        <v>6.1667759835606927E-5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2.4539990302237824E-10</v>
      </c>
      <c r="E19" s="14">
        <v>6.1716106626139348E-6</v>
      </c>
      <c r="F19" s="14">
        <v>6.6694968394125952E-5</v>
      </c>
      <c r="G19" s="14">
        <v>2.3035021739223525E-5</v>
      </c>
      <c r="H19" s="14">
        <v>0</v>
      </c>
      <c r="I19" s="14">
        <v>3.0141360479699934E-6</v>
      </c>
      <c r="J19" s="14">
        <v>5.1084017756163572E-5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1.2467836206319956E-8</v>
      </c>
      <c r="E20" s="14">
        <v>3.8354402552188956E-5</v>
      </c>
      <c r="F20" s="14">
        <v>4.0439872019263646E-5</v>
      </c>
      <c r="G20" s="14">
        <v>7.9123470484867822E-6</v>
      </c>
      <c r="H20" s="14">
        <v>0</v>
      </c>
      <c r="I20" s="14">
        <v>1.0219667671842353E-6</v>
      </c>
      <c r="J20" s="14">
        <v>6.2258943776670028E-5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3.6004912936216605E-7</v>
      </c>
      <c r="E21" s="14">
        <v>4.4190193068664502E-6</v>
      </c>
      <c r="F21" s="14">
        <v>5.9810915414729375E-5</v>
      </c>
      <c r="G21" s="14">
        <v>3.0121459049583846E-5</v>
      </c>
      <c r="H21" s="14">
        <v>0</v>
      </c>
      <c r="I21" s="14">
        <v>3.9584198502684111E-6</v>
      </c>
      <c r="J21" s="14">
        <v>5.1330137249189727E-5</v>
      </c>
      <c r="K21" s="14">
        <v>0</v>
      </c>
      <c r="L21" s="21"/>
      <c r="M21" s="12"/>
    </row>
    <row r="22" spans="1:13">
      <c r="A22" s="2" t="s">
        <v>343</v>
      </c>
      <c r="B22" s="3" t="s">
        <v>403</v>
      </c>
      <c r="D22" s="14">
        <v>3.2674918126808331E-7</v>
      </c>
      <c r="E22" s="14">
        <v>1.2066981362827846E-4</v>
      </c>
      <c r="F22" s="14">
        <v>2.5729609347078249E-6</v>
      </c>
      <c r="G22" s="14">
        <v>6.7100962187252724E-7</v>
      </c>
      <c r="H22" s="14">
        <v>0</v>
      </c>
      <c r="I22" s="14">
        <v>1.131400424058111E-7</v>
      </c>
      <c r="J22" s="14">
        <v>2.5646326591467278E-5</v>
      </c>
      <c r="K22" s="14">
        <v>0</v>
      </c>
      <c r="L22" s="21"/>
      <c r="M22" s="12"/>
    </row>
    <row r="23" spans="1:13">
      <c r="A23" s="2" t="s">
        <v>344</v>
      </c>
      <c r="B23" s="3" t="s">
        <v>404</v>
      </c>
      <c r="D23" s="14">
        <v>1.2020899690367215E-8</v>
      </c>
      <c r="E23" s="14">
        <v>1.3172284648106856E-4</v>
      </c>
      <c r="F23" s="14">
        <v>1.0591455782956938E-6</v>
      </c>
      <c r="G23" s="14">
        <v>2.9679133194799796E-7</v>
      </c>
      <c r="H23" s="14">
        <v>0</v>
      </c>
      <c r="I23" s="14">
        <v>6.8980642877912049E-8</v>
      </c>
      <c r="J23" s="14">
        <v>1.6840215066119456E-5</v>
      </c>
      <c r="K23" s="14">
        <v>0</v>
      </c>
      <c r="L23" s="21"/>
    </row>
    <row r="24" spans="1:13">
      <c r="A24" s="2" t="s">
        <v>345</v>
      </c>
      <c r="B24" s="3" t="s">
        <v>405</v>
      </c>
      <c r="D24" s="14">
        <v>2.355393156615506E-8</v>
      </c>
      <c r="E24" s="14">
        <v>7.3051231695560269E-5</v>
      </c>
      <c r="F24" s="14">
        <v>1.761497751818605E-5</v>
      </c>
      <c r="G24" s="14">
        <v>3.8421794833187152E-6</v>
      </c>
      <c r="H24" s="14">
        <v>0</v>
      </c>
      <c r="I24" s="14">
        <v>5.0459671525578473E-7</v>
      </c>
      <c r="J24" s="14">
        <v>5.4963460656112989E-5</v>
      </c>
      <c r="K24" s="14">
        <v>0</v>
      </c>
      <c r="L24" s="21"/>
    </row>
    <row r="25" spans="1:13">
      <c r="A25" s="2" t="s">
        <v>346</v>
      </c>
      <c r="B25" s="3" t="s">
        <v>406</v>
      </c>
      <c r="D25" s="14">
        <v>8.7807712579313492E-6</v>
      </c>
      <c r="E25" s="14">
        <v>1.773359548552024E-5</v>
      </c>
      <c r="F25" s="14">
        <v>5.9067875128864444E-5</v>
      </c>
      <c r="G25" s="14">
        <v>1.0618102256929267E-5</v>
      </c>
      <c r="H25" s="14">
        <v>0</v>
      </c>
      <c r="I25" s="14">
        <v>1.3740661771535488E-6</v>
      </c>
      <c r="J25" s="14">
        <v>5.2425589693601126E-5</v>
      </c>
      <c r="K25" s="14">
        <v>0</v>
      </c>
      <c r="L25" s="21"/>
    </row>
    <row r="26" spans="1:13">
      <c r="A26" s="2" t="s">
        <v>347</v>
      </c>
      <c r="B26" s="3" t="s">
        <v>407</v>
      </c>
      <c r="D26" s="14">
        <v>2.8863783404585058E-7</v>
      </c>
      <c r="E26" s="14">
        <v>4.7827468113242752E-6</v>
      </c>
      <c r="F26" s="14">
        <v>6.1457082741216349E-5</v>
      </c>
      <c r="G26" s="14">
        <v>2.8370533103598529E-5</v>
      </c>
      <c r="H26" s="14">
        <v>0</v>
      </c>
      <c r="I26" s="14">
        <v>3.7245701945777256E-6</v>
      </c>
      <c r="J26" s="14">
        <v>5.1376429315237248E-5</v>
      </c>
      <c r="K26" s="14">
        <v>0</v>
      </c>
    </row>
    <row r="27" spans="1:13">
      <c r="A27" s="2" t="s">
        <v>348</v>
      </c>
      <c r="B27" s="3" t="s">
        <v>349</v>
      </c>
      <c r="D27" s="14">
        <v>2.1189218224118498E-6</v>
      </c>
      <c r="E27" s="14">
        <v>7.9144195280031621E-7</v>
      </c>
      <c r="F27" s="14">
        <v>2.8004873678222204E-5</v>
      </c>
      <c r="G27" s="14">
        <v>7.0571471551158878E-5</v>
      </c>
      <c r="H27" s="14">
        <v>0</v>
      </c>
      <c r="I27" s="14">
        <v>9.4538886190607718E-6</v>
      </c>
      <c r="J27" s="14">
        <v>3.9059402376345933E-5</v>
      </c>
      <c r="K27" s="14">
        <v>0</v>
      </c>
    </row>
    <row r="28" spans="1:13">
      <c r="A28" s="2" t="s">
        <v>350</v>
      </c>
      <c r="B28" s="3" t="s">
        <v>351</v>
      </c>
      <c r="D28" s="14">
        <v>1.1019373533866217E-7</v>
      </c>
      <c r="E28" s="14">
        <v>2.6851035510097148E-6</v>
      </c>
      <c r="F28" s="14">
        <v>4.9633578621312455E-5</v>
      </c>
      <c r="G28" s="14">
        <v>4.2137730838394462E-5</v>
      </c>
      <c r="H28" s="14">
        <v>0</v>
      </c>
      <c r="I28" s="14">
        <v>5.5716376830928481E-6</v>
      </c>
      <c r="J28" s="14">
        <v>4.9861755570851832E-5</v>
      </c>
      <c r="K28" s="14">
        <v>0</v>
      </c>
    </row>
    <row r="29" spans="1:13">
      <c r="A29" s="2" t="s">
        <v>352</v>
      </c>
      <c r="B29" s="3" t="s">
        <v>408</v>
      </c>
      <c r="D29" s="14">
        <v>1.9599488467812575E-5</v>
      </c>
      <c r="E29" s="14">
        <v>3.5550758461537313E-6</v>
      </c>
      <c r="F29" s="14">
        <v>5.0683129255087715E-5</v>
      </c>
      <c r="G29" s="14">
        <v>2.7845753636412159E-5</v>
      </c>
      <c r="H29" s="14">
        <v>0</v>
      </c>
      <c r="I29" s="14">
        <v>3.6630638966174256E-6</v>
      </c>
      <c r="J29" s="14">
        <v>4.465348889791636E-5</v>
      </c>
      <c r="K29" s="14">
        <v>0</v>
      </c>
    </row>
    <row r="30" spans="1:13">
      <c r="A30" s="2" t="s">
        <v>353</v>
      </c>
      <c r="B30" s="3" t="s">
        <v>409</v>
      </c>
      <c r="D30" s="14">
        <v>1.1019373533866217E-7</v>
      </c>
      <c r="E30" s="14">
        <v>2.6851035510097148E-6</v>
      </c>
      <c r="F30" s="14">
        <v>4.9633578621312455E-5</v>
      </c>
      <c r="G30" s="14">
        <v>4.2137730838394462E-5</v>
      </c>
      <c r="H30" s="14">
        <v>0</v>
      </c>
      <c r="I30" s="14">
        <v>5.5716376830928481E-6</v>
      </c>
      <c r="J30" s="14">
        <v>4.9861755570851832E-5</v>
      </c>
      <c r="K30" s="14">
        <v>0</v>
      </c>
    </row>
    <row r="31" spans="1:13">
      <c r="A31" s="2" t="s">
        <v>283</v>
      </c>
      <c r="B31" s="3" t="s">
        <v>284</v>
      </c>
      <c r="D31" s="14">
        <v>3.0915238630558928E-12</v>
      </c>
      <c r="E31" s="14">
        <v>1.4845565211667809E-4</v>
      </c>
      <c r="F31" s="14">
        <v>9.1031413727798626E-9</v>
      </c>
      <c r="G31" s="14">
        <v>3.653312667921505E-9</v>
      </c>
      <c r="H31" s="14">
        <v>0</v>
      </c>
      <c r="I31" s="14">
        <v>3.6787737677699167E-8</v>
      </c>
      <c r="J31" s="14">
        <v>1.4948006000796691E-6</v>
      </c>
      <c r="K31" s="14">
        <v>0</v>
      </c>
    </row>
    <row r="32" spans="1:13">
      <c r="A32" s="2" t="s">
        <v>354</v>
      </c>
      <c r="B32" s="3" t="s">
        <v>355</v>
      </c>
      <c r="D32" s="14">
        <v>4.1718843701618916E-12</v>
      </c>
      <c r="E32" s="14">
        <v>1.0956770531471854E-4</v>
      </c>
      <c r="F32" s="14">
        <v>4.9082766938326818E-6</v>
      </c>
      <c r="G32" s="14">
        <v>1.2101736671759524E-6</v>
      </c>
      <c r="H32" s="14">
        <v>0</v>
      </c>
      <c r="I32" s="14">
        <v>1.8322472246155871E-7</v>
      </c>
      <c r="J32" s="14">
        <v>3.4130615429926869E-5</v>
      </c>
      <c r="K32" s="14">
        <v>0</v>
      </c>
    </row>
    <row r="33" spans="1:11">
      <c r="A33" s="2" t="s">
        <v>356</v>
      </c>
      <c r="B33" s="3" t="s">
        <v>357</v>
      </c>
      <c r="D33" s="14">
        <v>1.4084553524213045E-14</v>
      </c>
      <c r="E33" s="14">
        <v>1.498964582834331E-4</v>
      </c>
      <c r="F33" s="14">
        <v>6.3038507457708108E-8</v>
      </c>
      <c r="G33" s="14">
        <v>1.9276724679694189E-11</v>
      </c>
      <c r="H33" s="14">
        <v>0</v>
      </c>
      <c r="I33" s="14">
        <v>3.6868740467532667E-8</v>
      </c>
      <c r="J33" s="14">
        <v>3.615177832384284E-9</v>
      </c>
      <c r="K33" s="14">
        <v>0</v>
      </c>
    </row>
    <row r="34" spans="1:11">
      <c r="A34" s="2" t="s">
        <v>285</v>
      </c>
      <c r="B34" s="3" t="s">
        <v>286</v>
      </c>
      <c r="D34" s="14">
        <v>7.036767100118616E-14</v>
      </c>
      <c r="E34" s="14">
        <v>1.3852592042645464E-4</v>
      </c>
      <c r="F34" s="14">
        <v>1.1397394868064388E-5</v>
      </c>
      <c r="G34" s="14">
        <v>9.3600916680004061E-10</v>
      </c>
      <c r="H34" s="14">
        <v>0</v>
      </c>
      <c r="I34" s="14">
        <v>5.5048331513084914E-8</v>
      </c>
      <c r="J34" s="14">
        <v>2.0700294433408738E-8</v>
      </c>
      <c r="K34" s="14">
        <v>0</v>
      </c>
    </row>
    <row r="35" spans="1:11">
      <c r="A35" s="2" t="s">
        <v>287</v>
      </c>
      <c r="B35" s="3" t="s">
        <v>288</v>
      </c>
      <c r="D35" s="14">
        <v>3.1014820934197957E-15</v>
      </c>
      <c r="E35" s="14">
        <v>1.2409022302314941E-4</v>
      </c>
      <c r="F35" s="14">
        <v>2.5753254252209705E-5</v>
      </c>
      <c r="G35" s="14">
        <v>4.9872304679362908E-9</v>
      </c>
      <c r="H35" s="14">
        <v>0</v>
      </c>
      <c r="I35" s="14">
        <v>7.5720365459841567E-8</v>
      </c>
      <c r="J35" s="14">
        <v>7.5815125611599264E-8</v>
      </c>
      <c r="K35" s="14">
        <v>0</v>
      </c>
    </row>
    <row r="36" spans="1:11">
      <c r="A36" s="2" t="s">
        <v>358</v>
      </c>
      <c r="B36" s="3" t="s">
        <v>305</v>
      </c>
      <c r="D36" s="14">
        <v>1.0857434782821324E-11</v>
      </c>
      <c r="E36" s="14">
        <v>8.2193670785331053E-5</v>
      </c>
      <c r="F36" s="14">
        <v>6.7488989711910667E-5</v>
      </c>
      <c r="G36" s="14">
        <v>1.9323006966077342E-8</v>
      </c>
      <c r="H36" s="14">
        <v>0</v>
      </c>
      <c r="I36" s="14">
        <v>1.2974941710775991E-7</v>
      </c>
      <c r="J36" s="14">
        <v>1.6825622124963006E-7</v>
      </c>
      <c r="K36" s="14">
        <v>0</v>
      </c>
    </row>
    <row r="37" spans="1:11">
      <c r="A37" s="2" t="s">
        <v>289</v>
      </c>
      <c r="B37" s="3" t="s">
        <v>290</v>
      </c>
      <c r="D37" s="14">
        <v>1.5714984454584631E-18</v>
      </c>
      <c r="E37" s="14">
        <v>1.00657072689113E-4</v>
      </c>
      <c r="F37" s="14">
        <v>3.3595324974925828E-5</v>
      </c>
      <c r="G37" s="14">
        <v>1.1469601986648787E-6</v>
      </c>
      <c r="H37" s="14">
        <v>0</v>
      </c>
      <c r="I37" s="14">
        <v>2.1779819776025453E-7</v>
      </c>
      <c r="J37" s="14">
        <v>1.4382843939534425E-5</v>
      </c>
      <c r="K37" s="14">
        <v>0</v>
      </c>
    </row>
    <row r="38" spans="1:11">
      <c r="A38" s="2" t="s">
        <v>291</v>
      </c>
      <c r="B38" s="3" t="s">
        <v>292</v>
      </c>
      <c r="D38" s="14">
        <v>2.1522461619551871E-16</v>
      </c>
      <c r="E38" s="14">
        <v>1.4095071030351307E-4</v>
      </c>
      <c r="F38" s="14">
        <v>8.8080915336404417E-6</v>
      </c>
      <c r="G38" s="14">
        <v>7.3586621967900832E-9</v>
      </c>
      <c r="H38" s="14">
        <v>0</v>
      </c>
      <c r="I38" s="14">
        <v>5.1913283949665253E-8</v>
      </c>
      <c r="J38" s="14">
        <v>1.8192621648479248E-7</v>
      </c>
      <c r="K38" s="14">
        <v>0</v>
      </c>
    </row>
    <row r="39" spans="1:11">
      <c r="A39" s="2" t="s">
        <v>359</v>
      </c>
      <c r="B39" s="3" t="s">
        <v>360</v>
      </c>
      <c r="D39" s="14">
        <v>1.1574372574294828E-8</v>
      </c>
      <c r="E39" s="14">
        <v>1.0637549449308231E-5</v>
      </c>
      <c r="F39" s="14">
        <v>7.6527256176787324E-5</v>
      </c>
      <c r="G39" s="14">
        <v>1.3366315181658701E-5</v>
      </c>
      <c r="H39" s="14">
        <v>0</v>
      </c>
      <c r="I39" s="14">
        <v>1.7364605618825933E-6</v>
      </c>
      <c r="J39" s="14">
        <v>4.7720844257788825E-5</v>
      </c>
      <c r="K39" s="14">
        <v>0</v>
      </c>
    </row>
    <row r="40" spans="1:11">
      <c r="A40" s="2" t="s">
        <v>361</v>
      </c>
      <c r="B40" s="3" t="s">
        <v>362</v>
      </c>
      <c r="D40" s="14">
        <v>9.6724371118529175E-16</v>
      </c>
      <c r="E40" s="14">
        <v>1.3606155336098136E-6</v>
      </c>
      <c r="F40" s="14">
        <v>1.2370577522352456E-4</v>
      </c>
      <c r="G40" s="14">
        <v>8.9497386270427299E-6</v>
      </c>
      <c r="H40" s="14">
        <v>0</v>
      </c>
      <c r="I40" s="14">
        <v>1.4342121567860273E-5</v>
      </c>
      <c r="J40" s="14">
        <v>1.6417490469953498E-6</v>
      </c>
      <c r="K40" s="14">
        <v>0</v>
      </c>
    </row>
    <row r="41" spans="1:11">
      <c r="A41" s="2" t="s">
        <v>363</v>
      </c>
      <c r="B41" s="3" t="s">
        <v>364</v>
      </c>
      <c r="D41" s="14">
        <v>9.7133637185647846E-6</v>
      </c>
      <c r="E41" s="14">
        <v>1.3995672944738021E-4</v>
      </c>
      <c r="F41" s="14">
        <v>4.2696112644282037E-10</v>
      </c>
      <c r="G41" s="14">
        <v>2.1373905797110748E-10</v>
      </c>
      <c r="H41" s="14">
        <v>0</v>
      </c>
      <c r="I41" s="14">
        <v>3.4294460676606441E-8</v>
      </c>
      <c r="J41" s="14">
        <v>2.9497167319395078E-7</v>
      </c>
      <c r="K41" s="14">
        <v>0</v>
      </c>
    </row>
    <row r="42" spans="1:11">
      <c r="A42" s="2" t="s">
        <v>293</v>
      </c>
      <c r="B42" s="3" t="s">
        <v>294</v>
      </c>
      <c r="D42" s="14">
        <v>3.0493119680378849E-12</v>
      </c>
      <c r="E42" s="14">
        <v>1.1777306897986213E-4</v>
      </c>
      <c r="F42" s="14">
        <v>3.1449992239478275E-6</v>
      </c>
      <c r="G42" s="14">
        <v>8.0670750625584276E-7</v>
      </c>
      <c r="H42" s="14">
        <v>0</v>
      </c>
      <c r="I42" s="14">
        <v>1.2949114212071537E-7</v>
      </c>
      <c r="J42" s="14">
        <v>2.8145730098501491E-5</v>
      </c>
      <c r="K42" s="14">
        <v>0</v>
      </c>
    </row>
    <row r="43" spans="1:11">
      <c r="A43" s="2" t="s">
        <v>365</v>
      </c>
      <c r="B43" s="3" t="s">
        <v>366</v>
      </c>
      <c r="D43" s="14">
        <v>4.6422224976885308E-11</v>
      </c>
      <c r="E43" s="14">
        <v>1.224265902580041E-5</v>
      </c>
      <c r="F43" s="14">
        <v>1.3696522156210364E-4</v>
      </c>
      <c r="G43" s="14">
        <v>1.1564642870677368E-7</v>
      </c>
      <c r="H43" s="14">
        <v>0</v>
      </c>
      <c r="I43" s="14">
        <v>4.3014684378903327E-7</v>
      </c>
      <c r="J43" s="14">
        <v>2.4627971737514505E-7</v>
      </c>
      <c r="K43" s="14">
        <v>0</v>
      </c>
    </row>
    <row r="44" spans="1:11">
      <c r="A44" s="2" t="s">
        <v>367</v>
      </c>
      <c r="B44" s="3" t="s">
        <v>368</v>
      </c>
      <c r="D44" s="14">
        <v>1.1193788276449512E-5</v>
      </c>
      <c r="E44" s="14">
        <v>1.2925912811344388E-4</v>
      </c>
      <c r="F44" s="14">
        <v>3.2899990500624784E-7</v>
      </c>
      <c r="G44" s="14">
        <v>1.0034398120709715E-7</v>
      </c>
      <c r="H44" s="14">
        <v>0</v>
      </c>
      <c r="I44" s="14">
        <v>4.3970100229466137E-8</v>
      </c>
      <c r="J44" s="14">
        <v>9.0737696236637823E-6</v>
      </c>
      <c r="K44" s="14">
        <v>0</v>
      </c>
    </row>
    <row r="45" spans="1:11">
      <c r="A45" s="2" t="s">
        <v>369</v>
      </c>
      <c r="B45" s="3" t="s">
        <v>370</v>
      </c>
      <c r="D45" s="14">
        <v>1.2105261049596988E-7</v>
      </c>
      <c r="E45" s="14">
        <v>1.146405585494053E-4</v>
      </c>
      <c r="F45" s="14">
        <v>3.7393218197819257E-6</v>
      </c>
      <c r="G45" s="14">
        <v>9.4512314594747915E-7</v>
      </c>
      <c r="H45" s="14">
        <v>0</v>
      </c>
      <c r="I45" s="14">
        <v>1.4615649806743942E-7</v>
      </c>
      <c r="J45" s="14">
        <v>3.0407787376301856E-5</v>
      </c>
      <c r="K45" s="14">
        <v>0</v>
      </c>
    </row>
    <row r="46" spans="1:11">
      <c r="A46" s="2" t="s">
        <v>371</v>
      </c>
      <c r="B46" s="3" t="s">
        <v>372</v>
      </c>
      <c r="D46" s="14">
        <v>3.5418249084752088E-7</v>
      </c>
      <c r="E46" s="14">
        <v>1.1638344860218516E-4</v>
      </c>
      <c r="F46" s="14">
        <v>3.3500074447943128E-6</v>
      </c>
      <c r="G46" s="14">
        <v>8.5455757368761593E-7</v>
      </c>
      <c r="H46" s="14">
        <v>0</v>
      </c>
      <c r="I46" s="14">
        <v>1.3517612059125949E-7</v>
      </c>
      <c r="J46" s="14">
        <v>2.8922627767894117E-5</v>
      </c>
      <c r="K46" s="14">
        <v>0</v>
      </c>
    </row>
    <row r="47" spans="1:11">
      <c r="A47" s="2" t="s">
        <v>373</v>
      </c>
      <c r="B47" s="3" t="s">
        <v>374</v>
      </c>
      <c r="D47" s="14">
        <v>3.6652415428023802E-11</v>
      </c>
      <c r="E47" s="14">
        <v>7.3469440792756362E-7</v>
      </c>
      <c r="F47" s="14">
        <v>2.7146965102322353E-5</v>
      </c>
      <c r="G47" s="14">
        <v>7.3555785898742957E-5</v>
      </c>
      <c r="H47" s="14">
        <v>0</v>
      </c>
      <c r="I47" s="14">
        <v>9.862313366059316E-6</v>
      </c>
      <c r="J47" s="14">
        <v>3.8700204572532354E-5</v>
      </c>
      <c r="K47" s="14">
        <v>0</v>
      </c>
    </row>
    <row r="48" spans="1:11">
      <c r="A48" s="2" t="s">
        <v>375</v>
      </c>
      <c r="B48" s="3" t="s">
        <v>376</v>
      </c>
      <c r="D48" s="14">
        <v>1.4473131963187791E-6</v>
      </c>
      <c r="E48" s="14">
        <v>1.4327375915381671E-4</v>
      </c>
      <c r="F48" s="14">
        <v>9.9353050541872678E-8</v>
      </c>
      <c r="G48" s="14">
        <v>3.3348535114802455E-8</v>
      </c>
      <c r="H48" s="14">
        <v>0</v>
      </c>
      <c r="I48" s="14">
        <v>3.9139932512395637E-8</v>
      </c>
      <c r="J48" s="14">
        <v>5.107086131695406E-6</v>
      </c>
      <c r="K48" s="14">
        <v>0</v>
      </c>
    </row>
    <row r="49" spans="1:11">
      <c r="A49" s="2" t="s">
        <v>377</v>
      </c>
      <c r="B49" s="3" t="s">
        <v>378</v>
      </c>
      <c r="D49" s="14">
        <v>2.7678223865567985E-6</v>
      </c>
      <c r="E49" s="14">
        <v>1.4003685594093248E-4</v>
      </c>
      <c r="F49" s="14">
        <v>1.8144997051283729E-7</v>
      </c>
      <c r="G49" s="14">
        <v>5.8163757800669549E-8</v>
      </c>
      <c r="H49" s="14">
        <v>0</v>
      </c>
      <c r="I49" s="14">
        <v>4.1397450388914835E-8</v>
      </c>
      <c r="J49" s="14">
        <v>6.9143104938082455E-6</v>
      </c>
      <c r="K49" s="14">
        <v>0</v>
      </c>
    </row>
    <row r="50" spans="1:11">
      <c r="A50" s="2" t="s">
        <v>379</v>
      </c>
      <c r="B50" s="3" t="s">
        <v>380</v>
      </c>
      <c r="D50" s="14">
        <v>3.0518345339584597E-6</v>
      </c>
      <c r="E50" s="14">
        <v>4.5022034562071504E-5</v>
      </c>
      <c r="F50" s="14">
        <v>3.3448732660067336E-5</v>
      </c>
      <c r="G50" s="14">
        <v>6.7154515909382239E-6</v>
      </c>
      <c r="H50" s="14">
        <v>0</v>
      </c>
      <c r="I50" s="14">
        <v>8.683475746081271E-7</v>
      </c>
      <c r="J50" s="14">
        <v>6.0893599078356348E-5</v>
      </c>
      <c r="K50" s="14">
        <v>0</v>
      </c>
    </row>
    <row r="51" spans="1:11">
      <c r="A51" s="2" t="s">
        <v>295</v>
      </c>
      <c r="B51" s="3" t="s">
        <v>296</v>
      </c>
      <c r="D51" s="14">
        <v>7.8805767330955231E-6</v>
      </c>
      <c r="E51" s="14">
        <v>1.4013355384725589E-4</v>
      </c>
      <c r="F51" s="14">
        <v>1.565945656148587E-8</v>
      </c>
      <c r="G51" s="14">
        <v>6.0127374677962074E-9</v>
      </c>
      <c r="H51" s="14">
        <v>0</v>
      </c>
      <c r="I51" s="14">
        <v>3.5035386493531297E-8</v>
      </c>
      <c r="J51" s="14">
        <v>1.9291618391257707E-6</v>
      </c>
      <c r="K51" s="14">
        <v>0</v>
      </c>
    </row>
    <row r="52" spans="1:11">
      <c r="A52" s="2" t="s">
        <v>381</v>
      </c>
      <c r="B52" s="3" t="s">
        <v>382</v>
      </c>
      <c r="D52" s="14">
        <v>9.4301070573803434E-6</v>
      </c>
      <c r="E52" s="14">
        <v>1.2751484787429086E-4</v>
      </c>
      <c r="F52" s="14">
        <v>5.9147352173305106E-7</v>
      </c>
      <c r="G52" s="14">
        <v>1.7259605419827263E-7</v>
      </c>
      <c r="H52" s="14">
        <v>0</v>
      </c>
      <c r="I52" s="14">
        <v>5.2501096354077307E-8</v>
      </c>
      <c r="J52" s="14">
        <v>1.2238474396043338E-5</v>
      </c>
      <c r="K52" s="14">
        <v>0</v>
      </c>
    </row>
    <row r="53" spans="1:11">
      <c r="A53" s="2" t="s">
        <v>383</v>
      </c>
      <c r="B53" s="3" t="s">
        <v>384</v>
      </c>
      <c r="D53" s="14">
        <v>4.169688096013975E-7</v>
      </c>
      <c r="E53" s="14">
        <v>1.0350651912437937E-4</v>
      </c>
      <c r="F53" s="14">
        <v>6.3084440278063806E-6</v>
      </c>
      <c r="G53" s="14">
        <v>1.522712137393048E-6</v>
      </c>
      <c r="H53" s="14">
        <v>0</v>
      </c>
      <c r="I53" s="14">
        <v>2.1641503146661132E-7</v>
      </c>
      <c r="J53" s="14">
        <v>3.8028940869353154E-5</v>
      </c>
      <c r="K53" s="14">
        <v>0</v>
      </c>
    </row>
    <row r="54" spans="1:11">
      <c r="A54" s="2" t="s">
        <v>385</v>
      </c>
      <c r="B54" s="3" t="s">
        <v>386</v>
      </c>
      <c r="D54" s="14">
        <v>1.6561762796770919E-7</v>
      </c>
      <c r="E54" s="14">
        <v>1.0050570034253021E-6</v>
      </c>
      <c r="F54" s="14">
        <v>3.1777903695348294E-5</v>
      </c>
      <c r="G54" s="14">
        <v>6.6316378242029975E-5</v>
      </c>
      <c r="H54" s="14">
        <v>0</v>
      </c>
      <c r="I54" s="14">
        <v>8.8636686360779504E-6</v>
      </c>
      <c r="J54" s="14">
        <v>4.1871374795150766E-5</v>
      </c>
      <c r="K54" s="14">
        <v>0</v>
      </c>
    </row>
    <row r="55" spans="1:11">
      <c r="A55" s="2" t="s">
        <v>387</v>
      </c>
      <c r="B55" s="3" t="s">
        <v>388</v>
      </c>
      <c r="D55" s="14">
        <v>3.8879023057116673E-5</v>
      </c>
      <c r="E55" s="14">
        <v>5.1394835159724109E-5</v>
      </c>
      <c r="F55" s="14">
        <v>1.4399056235812162E-5</v>
      </c>
      <c r="G55" s="14">
        <v>3.1062012006131482E-6</v>
      </c>
      <c r="H55" s="14">
        <v>0</v>
      </c>
      <c r="I55" s="14">
        <v>4.0647139338075246E-7</v>
      </c>
      <c r="J55" s="14">
        <v>4.181441295335315E-5</v>
      </c>
      <c r="K55" s="14">
        <v>0</v>
      </c>
    </row>
    <row r="56" spans="1:11">
      <c r="A56" s="2" t="s">
        <v>389</v>
      </c>
      <c r="B56" s="3" t="s">
        <v>390</v>
      </c>
      <c r="D56" s="14">
        <v>1.2830315957737683E-4</v>
      </c>
      <c r="E56" s="14">
        <v>4.4187709003555351E-6</v>
      </c>
      <c r="F56" s="14">
        <v>6.9511400026006534E-6</v>
      </c>
      <c r="G56" s="14">
        <v>1.3205400920569003E-6</v>
      </c>
      <c r="H56" s="14">
        <v>0</v>
      </c>
      <c r="I56" s="14">
        <v>1.7054599402201839E-7</v>
      </c>
      <c r="J56" s="14">
        <v>8.8358434335880514E-6</v>
      </c>
      <c r="K56" s="14">
        <v>0</v>
      </c>
    </row>
    <row r="57" spans="1:11">
      <c r="A57" s="2" t="s">
        <v>391</v>
      </c>
      <c r="B57" s="3" t="s">
        <v>392</v>
      </c>
      <c r="D57" s="14">
        <v>1.3395088983867806E-4</v>
      </c>
      <c r="E57" s="14">
        <v>6.5670411388725777E-6</v>
      </c>
      <c r="F57" s="14">
        <v>2.546620831430641E-6</v>
      </c>
      <c r="G57" s="14">
        <v>5.3636427386402587E-7</v>
      </c>
      <c r="H57" s="14">
        <v>0</v>
      </c>
      <c r="I57" s="14">
        <v>6.9775431140502824E-8</v>
      </c>
      <c r="J57" s="14">
        <v>6.3293084860141668E-6</v>
      </c>
      <c r="K57" s="14">
        <v>0</v>
      </c>
    </row>
    <row r="58" spans="1:11">
      <c r="A58" s="2" t="s">
        <v>297</v>
      </c>
      <c r="B58" s="3" t="s">
        <v>298</v>
      </c>
      <c r="D58" s="14">
        <v>1.3802557152703054E-4</v>
      </c>
      <c r="E58" s="14">
        <v>1.1310028206817727E-5</v>
      </c>
      <c r="F58" s="14">
        <v>1.8818206868865982E-8</v>
      </c>
      <c r="G58" s="14">
        <v>5.9220735081948315E-9</v>
      </c>
      <c r="H58" s="14">
        <v>0</v>
      </c>
      <c r="I58" s="14">
        <v>3.4943372176832803E-9</v>
      </c>
      <c r="J58" s="14">
        <v>6.3616564855694815E-7</v>
      </c>
      <c r="K58" s="14">
        <v>0</v>
      </c>
    </row>
    <row r="59" spans="1:11">
      <c r="A59" s="2" t="s">
        <v>393</v>
      </c>
      <c r="B59" s="3" t="s">
        <v>394</v>
      </c>
      <c r="D59" s="14">
        <v>1.4418215395279249E-4</v>
      </c>
      <c r="E59" s="14">
        <v>2.4519727714301822E-6</v>
      </c>
      <c r="F59" s="14">
        <v>8.8212512813009344E-7</v>
      </c>
      <c r="G59" s="14">
        <v>1.8682102430038579E-7</v>
      </c>
      <c r="H59" s="14">
        <v>0</v>
      </c>
      <c r="I59" s="14">
        <v>2.4331480841095629E-8</v>
      </c>
      <c r="J59" s="14">
        <v>2.2725956425057339E-6</v>
      </c>
      <c r="K59" s="14">
        <v>0</v>
      </c>
    </row>
    <row r="60" spans="1:11">
      <c r="A60" s="2" t="s">
        <v>299</v>
      </c>
      <c r="B60" s="3" t="s">
        <v>300</v>
      </c>
      <c r="D60" s="14">
        <v>1.4984380570644927E-4</v>
      </c>
      <c r="E60" s="14">
        <v>8.6740701193232895E-8</v>
      </c>
      <c r="F60" s="14">
        <v>1.3672800560055313E-8</v>
      </c>
      <c r="G60" s="14">
        <v>3.0771809440137793E-9</v>
      </c>
      <c r="H60" s="14">
        <v>0</v>
      </c>
      <c r="I60" s="14">
        <v>4.0990074232376902E-10</v>
      </c>
      <c r="J60" s="14">
        <v>5.2293710111077166E-8</v>
      </c>
      <c r="K60" s="14">
        <v>0</v>
      </c>
    </row>
    <row r="61" spans="1:11">
      <c r="A61" s="2" t="s">
        <v>395</v>
      </c>
      <c r="B61" s="3" t="s">
        <v>396</v>
      </c>
      <c r="D61" s="14">
        <v>1.1213043666039991E-47</v>
      </c>
      <c r="E61" s="14">
        <v>9.1877177981737124E-5</v>
      </c>
      <c r="F61" s="14">
        <v>9.9527294298892816E-6</v>
      </c>
      <c r="G61" s="14">
        <v>2.3027020790655278E-6</v>
      </c>
      <c r="H61" s="14">
        <v>0</v>
      </c>
      <c r="I61" s="14">
        <v>3.1258741285448711E-7</v>
      </c>
      <c r="J61" s="14">
        <v>4.5554803096453527E-5</v>
      </c>
      <c r="K61" s="14">
        <v>0</v>
      </c>
    </row>
    <row r="62" spans="1:11">
      <c r="A62" s="2" t="s">
        <v>397</v>
      </c>
      <c r="B62" s="3" t="s">
        <v>398</v>
      </c>
      <c r="D62" s="14">
        <v>8.6551777698166182E-11</v>
      </c>
      <c r="E62" s="14">
        <v>4.0347824791975903E-6</v>
      </c>
      <c r="F62" s="14">
        <v>5.8022264787806449E-5</v>
      </c>
      <c r="G62" s="14">
        <v>3.2343739614401244E-5</v>
      </c>
      <c r="H62" s="14">
        <v>0</v>
      </c>
      <c r="I62" s="14">
        <v>4.2554867942658315E-6</v>
      </c>
      <c r="J62" s="14">
        <v>5.1343639772551179E-5</v>
      </c>
      <c r="K62" s="14">
        <v>0</v>
      </c>
    </row>
    <row r="63" spans="1:11">
      <c r="A63" s="2" t="s">
        <v>399</v>
      </c>
      <c r="B63" s="3" t="s">
        <v>400</v>
      </c>
      <c r="D63" s="14">
        <v>2.3342306200215646E-8</v>
      </c>
      <c r="E63" s="14">
        <v>4.1522920865533682E-7</v>
      </c>
      <c r="F63" s="14">
        <v>2.0066075689341446E-5</v>
      </c>
      <c r="G63" s="14">
        <v>8.5242857852584576E-5</v>
      </c>
      <c r="H63" s="14">
        <v>0</v>
      </c>
      <c r="I63" s="14">
        <v>1.1491700696437752E-5</v>
      </c>
      <c r="J63" s="14">
        <v>3.2760794246780627E-5</v>
      </c>
      <c r="K63" s="14">
        <v>0</v>
      </c>
    </row>
    <row r="64" spans="1:11">
      <c r="A64" s="2" t="s">
        <v>401</v>
      </c>
      <c r="B64" s="3" t="s">
        <v>402</v>
      </c>
      <c r="D64" s="14">
        <v>3.0448868766339291E-9</v>
      </c>
      <c r="E64" s="14">
        <v>1.5158467478387171E-7</v>
      </c>
      <c r="F64" s="14">
        <v>1.1391734293633627E-5</v>
      </c>
      <c r="G64" s="14">
        <v>1.0141107865238748E-4</v>
      </c>
      <c r="H64" s="14">
        <v>0</v>
      </c>
      <c r="I64" s="14">
        <v>1.3794759523078837E-5</v>
      </c>
      <c r="J64" s="14">
        <v>2.3247797969239533E-5</v>
      </c>
      <c r="K64" s="14">
        <v>0</v>
      </c>
    </row>
    <row r="65" spans="1:11">
      <c r="A65" s="2" t="s">
        <v>301</v>
      </c>
      <c r="B65" s="3" t="s">
        <v>302</v>
      </c>
      <c r="D65" s="14">
        <v>3.936439732343447E-10</v>
      </c>
      <c r="E65" s="14">
        <v>4.4535644398632368E-8</v>
      </c>
      <c r="F65" s="14">
        <v>5.5299638338321683E-6</v>
      </c>
      <c r="G65" s="14">
        <v>1.1418731113659062E-4</v>
      </c>
      <c r="H65" s="14">
        <v>0</v>
      </c>
      <c r="I65" s="14">
        <v>1.5692777604843548E-5</v>
      </c>
      <c r="J65" s="14">
        <v>1.4545018136361791E-5</v>
      </c>
      <c r="K65" s="14">
        <v>0</v>
      </c>
    </row>
    <row r="66" spans="1:11">
      <c r="A66" s="2" t="s">
        <v>303</v>
      </c>
      <c r="B66" s="3" t="s">
        <v>304</v>
      </c>
      <c r="D66" s="14">
        <v>3.7106064494648017E-16</v>
      </c>
      <c r="E66" s="14">
        <v>9.0163140225626684E-8</v>
      </c>
      <c r="F66" s="14">
        <v>8.413245839412772E-6</v>
      </c>
      <c r="G66" s="14">
        <v>1.076363927711491E-4</v>
      </c>
      <c r="H66" s="14">
        <v>0</v>
      </c>
      <c r="I66" s="14">
        <v>1.4706371468667952E-5</v>
      </c>
      <c r="J66" s="14">
        <v>1.9153826780173466E-5</v>
      </c>
      <c r="K66" s="14">
        <v>0</v>
      </c>
    </row>
    <row r="67" spans="1:11">
      <c r="A67" s="2" t="s">
        <v>411</v>
      </c>
      <c r="B67" s="3" t="s">
        <v>425</v>
      </c>
      <c r="D67" s="14">
        <v>6.1369530513385118E-7</v>
      </c>
      <c r="E67" s="14">
        <v>1.3802473907209087E-4</v>
      </c>
      <c r="F67" s="14">
        <v>4.2911281571116193E-7</v>
      </c>
      <c r="G67" s="14">
        <v>1.2896356812699272E-7</v>
      </c>
      <c r="H67" s="14">
        <v>0</v>
      </c>
      <c r="I67" s="14">
        <v>4.9651945131642611E-8</v>
      </c>
      <c r="J67" s="14">
        <v>1.0753837293805451E-5</v>
      </c>
      <c r="K67" s="14">
        <v>0</v>
      </c>
    </row>
    <row r="68" spans="1:11">
      <c r="A68" s="2" t="s">
        <v>412</v>
      </c>
      <c r="B68" s="3" t="s">
        <v>426</v>
      </c>
      <c r="D68" s="14">
        <v>1.3911389404873602E-6</v>
      </c>
      <c r="E68" s="14">
        <v>1.3298866959400398E-4</v>
      </c>
      <c r="F68" s="14">
        <v>7.9211674063310054E-7</v>
      </c>
      <c r="G68" s="14">
        <v>2.2692625562632467E-7</v>
      </c>
      <c r="H68" s="14">
        <v>0</v>
      </c>
      <c r="I68" s="14">
        <v>6.0587294916077124E-8</v>
      </c>
      <c r="J68" s="14">
        <v>1.4540561174333137E-5</v>
      </c>
      <c r="K68" s="14">
        <v>0</v>
      </c>
    </row>
    <row r="69" spans="1:11">
      <c r="A69" s="2" t="s">
        <v>413</v>
      </c>
      <c r="B69" s="3" t="s">
        <v>427</v>
      </c>
      <c r="D69" s="14">
        <v>1.0359349348479287E-6</v>
      </c>
      <c r="E69" s="14">
        <v>1.513270663875994E-6</v>
      </c>
      <c r="F69" s="14">
        <v>3.8534627337858941E-5</v>
      </c>
      <c r="G69" s="14">
        <v>5.5956007372404659E-5</v>
      </c>
      <c r="H69" s="14">
        <v>0</v>
      </c>
      <c r="I69" s="14">
        <v>7.4463552183202525E-6</v>
      </c>
      <c r="J69" s="14">
        <v>4.551380447269222E-5</v>
      </c>
      <c r="K69" s="14">
        <v>0</v>
      </c>
    </row>
    <row r="70" spans="1:11">
      <c r="A70" s="2" t="s">
        <v>414</v>
      </c>
      <c r="B70" s="3" t="s">
        <v>428</v>
      </c>
      <c r="D70" s="14">
        <v>2.0859333185496055E-6</v>
      </c>
      <c r="E70" s="14">
        <v>2.163239254245859E-5</v>
      </c>
      <c r="F70" s="14">
        <v>5.7533276208600953E-5</v>
      </c>
      <c r="G70" s="14">
        <v>1.0515130351616743E-5</v>
      </c>
      <c r="H70" s="14">
        <v>0</v>
      </c>
      <c r="I70" s="14">
        <v>1.3596201280714183E-6</v>
      </c>
      <c r="J70" s="14">
        <v>5.6873647450702646E-5</v>
      </c>
      <c r="K70" s="14">
        <v>0</v>
      </c>
    </row>
    <row r="71" spans="1:11">
      <c r="A71" s="2" t="s">
        <v>415</v>
      </c>
      <c r="B71" s="3" t="s">
        <v>429</v>
      </c>
      <c r="D71" s="14">
        <v>3.3861979363153694E-6</v>
      </c>
      <c r="E71" s="14">
        <v>1.3194607464741111E-4</v>
      </c>
      <c r="F71" s="14">
        <v>7.1110056714567506E-7</v>
      </c>
      <c r="G71" s="14">
        <v>2.0522325916397192E-7</v>
      </c>
      <c r="H71" s="14">
        <v>0</v>
      </c>
      <c r="I71" s="14">
        <v>5.76344755206524E-8</v>
      </c>
      <c r="J71" s="14">
        <v>1.3693769114443163E-5</v>
      </c>
      <c r="K71" s="14">
        <v>0</v>
      </c>
    </row>
    <row r="72" spans="1:11">
      <c r="A72" s="2" t="s">
        <v>416</v>
      </c>
      <c r="B72" s="3" t="s">
        <v>430</v>
      </c>
      <c r="D72" s="14">
        <v>8.1354700004219307E-6</v>
      </c>
      <c r="E72" s="14">
        <v>2.325984315504839E-5</v>
      </c>
      <c r="F72" s="14">
        <v>5.1927968451485665E-5</v>
      </c>
      <c r="G72" s="14">
        <v>9.6138399470926285E-6</v>
      </c>
      <c r="H72" s="14">
        <v>0</v>
      </c>
      <c r="I72" s="14">
        <v>1.2424316450604689E-6</v>
      </c>
      <c r="J72" s="14">
        <v>5.58204468008909E-5</v>
      </c>
      <c r="K72" s="14">
        <v>0</v>
      </c>
    </row>
    <row r="73" spans="1:11">
      <c r="A73" s="2" t="s">
        <v>417</v>
      </c>
      <c r="B73" s="3" t="s">
        <v>431</v>
      </c>
      <c r="D73" s="14">
        <v>3.3631324818526039E-6</v>
      </c>
      <c r="E73" s="14">
        <v>8.7081942776963989E-5</v>
      </c>
      <c r="F73" s="14">
        <v>1.0689629670861291E-5</v>
      </c>
      <c r="G73" s="14">
        <v>2.4505197961234554E-6</v>
      </c>
      <c r="H73" s="14">
        <v>0</v>
      </c>
      <c r="I73" s="14">
        <v>3.3030116034965632E-7</v>
      </c>
      <c r="J73" s="14">
        <v>4.6084474113848971E-5</v>
      </c>
      <c r="K73" s="14">
        <v>0</v>
      </c>
    </row>
    <row r="74" spans="1:11">
      <c r="A74" s="2" t="s">
        <v>418</v>
      </c>
      <c r="B74" s="3" t="s">
        <v>432</v>
      </c>
      <c r="D74" s="14">
        <v>3.1648375389721649E-6</v>
      </c>
      <c r="E74" s="14">
        <v>2.2196042880601721E-5</v>
      </c>
      <c r="F74" s="14">
        <v>5.6152630462973441E-5</v>
      </c>
      <c r="G74" s="14">
        <v>1.030067443307251E-5</v>
      </c>
      <c r="H74" s="14">
        <v>0</v>
      </c>
      <c r="I74" s="14">
        <v>1.331676379816147E-6</v>
      </c>
      <c r="J74" s="14">
        <v>5.6854138304563963E-5</v>
      </c>
      <c r="K74" s="14">
        <v>0</v>
      </c>
    </row>
    <row r="75" spans="1:11">
      <c r="A75" s="2" t="s">
        <v>419</v>
      </c>
      <c r="B75" s="3" t="s">
        <v>433</v>
      </c>
      <c r="D75" s="14">
        <v>6.1218007062518872E-13</v>
      </c>
      <c r="E75" s="14">
        <v>6.197026286740239E-6</v>
      </c>
      <c r="F75" s="14">
        <v>1.422321872708535E-4</v>
      </c>
      <c r="G75" s="14">
        <v>5.4884295991338829E-8</v>
      </c>
      <c r="H75" s="14">
        <v>0</v>
      </c>
      <c r="I75" s="14">
        <v>1.4654883048429279E-6</v>
      </c>
      <c r="J75" s="14">
        <v>5.0413229391902762E-8</v>
      </c>
      <c r="K75" s="14">
        <v>0</v>
      </c>
    </row>
    <row r="76" spans="1:11">
      <c r="A76" s="2" t="s">
        <v>420</v>
      </c>
      <c r="B76" s="3" t="s">
        <v>434</v>
      </c>
      <c r="D76" s="14">
        <v>1.5377268191621195E-14</v>
      </c>
      <c r="E76" s="14">
        <v>6.1970263113962576E-6</v>
      </c>
      <c r="F76" s="14">
        <v>1.4223218783675061E-4</v>
      </c>
      <c r="G76" s="14">
        <v>5.4884296209706166E-8</v>
      </c>
      <c r="H76" s="14">
        <v>0</v>
      </c>
      <c r="I76" s="14">
        <v>1.4654883106736448E-6</v>
      </c>
      <c r="J76" s="14">
        <v>5.0413229592481143E-8</v>
      </c>
      <c r="K76" s="14">
        <v>0</v>
      </c>
    </row>
    <row r="77" spans="1:11">
      <c r="A77" s="2" t="s">
        <v>421</v>
      </c>
      <c r="B77" s="3" t="s">
        <v>435</v>
      </c>
      <c r="D77" s="14">
        <v>9.4346588612749996E-6</v>
      </c>
      <c r="E77" s="14">
        <v>5.1826315611896333E-5</v>
      </c>
      <c r="F77" s="14">
        <v>2.5807437596181383E-5</v>
      </c>
      <c r="G77" s="14">
        <v>5.3363025085558944E-6</v>
      </c>
      <c r="H77" s="14">
        <v>0</v>
      </c>
      <c r="I77" s="14">
        <v>6.9206289090033024E-7</v>
      </c>
      <c r="J77" s="14">
        <v>5.6903222531191025E-5</v>
      </c>
      <c r="K77" s="14">
        <v>0</v>
      </c>
    </row>
    <row r="78" spans="1:11">
      <c r="A78" s="2" t="s">
        <v>422</v>
      </c>
      <c r="B78" s="3" t="s">
        <v>436</v>
      </c>
      <c r="D78" s="14">
        <v>5.6563819793120737E-6</v>
      </c>
      <c r="E78" s="14">
        <v>1.147157011521861E-4</v>
      </c>
      <c r="F78" s="14">
        <v>2.7717714320863749E-6</v>
      </c>
      <c r="G78" s="14">
        <v>7.1623076152220673E-7</v>
      </c>
      <c r="H78" s="14">
        <v>0</v>
      </c>
      <c r="I78" s="14">
        <v>1.173923139248472E-7</v>
      </c>
      <c r="J78" s="14">
        <v>2.6022522360968373E-5</v>
      </c>
      <c r="K78" s="14">
        <v>0</v>
      </c>
    </row>
    <row r="79" spans="1:11">
      <c r="A79" s="2" t="s">
        <v>423</v>
      </c>
      <c r="B79" s="3" t="s">
        <v>437</v>
      </c>
      <c r="D79" s="14">
        <v>1.6691702032348565E-6</v>
      </c>
      <c r="E79" s="14">
        <v>1.0168215862444947E-4</v>
      </c>
      <c r="F79" s="14">
        <v>6.5150733221604061E-6</v>
      </c>
      <c r="G79" s="14">
        <v>1.5668046908100397E-6</v>
      </c>
      <c r="H79" s="14">
        <v>0</v>
      </c>
      <c r="I79" s="14">
        <v>2.2156874349110188E-7</v>
      </c>
      <c r="J79" s="14">
        <v>3.8345224415854131E-5</v>
      </c>
      <c r="K79" s="14">
        <v>0</v>
      </c>
    </row>
    <row r="80" spans="1:11">
      <c r="A80" s="2" t="s">
        <v>424</v>
      </c>
      <c r="B80" s="3" t="s">
        <v>438</v>
      </c>
      <c r="D80" s="14">
        <v>2.1978954074359162E-13</v>
      </c>
      <c r="E80" s="14">
        <v>4.2131912422352456E-6</v>
      </c>
      <c r="F80" s="14">
        <v>1.4276630620428204E-4</v>
      </c>
      <c r="G80" s="14">
        <v>1.0582199194379515E-7</v>
      </c>
      <c r="H80" s="14">
        <v>0</v>
      </c>
      <c r="I80" s="14">
        <v>2.8530673421173663E-6</v>
      </c>
      <c r="J80" s="14">
        <v>6.1612999632000194E-8</v>
      </c>
      <c r="K80" s="14">
        <v>0</v>
      </c>
    </row>
    <row r="81" spans="1:11">
      <c r="A81" s="2" t="s">
        <v>440</v>
      </c>
      <c r="B81" s="3" t="s">
        <v>441</v>
      </c>
      <c r="D81" s="14">
        <v>2.1882700571474094E-17</v>
      </c>
      <c r="E81" s="14">
        <v>1.4808294802099947E-4</v>
      </c>
      <c r="F81" s="14">
        <v>1.3890555118352852E-8</v>
      </c>
      <c r="G81" s="14">
        <v>5.4027535513264111E-9</v>
      </c>
      <c r="H81" s="14">
        <v>0</v>
      </c>
      <c r="I81" s="14">
        <v>3.6907764433098136E-8</v>
      </c>
      <c r="J81" s="14">
        <v>1.8608509058758684E-6</v>
      </c>
      <c r="K81" s="14">
        <v>0</v>
      </c>
    </row>
    <row r="82" spans="1:11">
      <c r="A82" s="2" t="s">
        <v>442</v>
      </c>
      <c r="B82" s="3" t="s">
        <v>443</v>
      </c>
      <c r="D82" s="14">
        <v>1.1783328731014938E-8</v>
      </c>
      <c r="E82" s="14">
        <v>1.3216368151011944E-4</v>
      </c>
      <c r="F82" s="14">
        <v>1.0108499131249435E-6</v>
      </c>
      <c r="G82" s="14">
        <v>2.8430351783467285E-7</v>
      </c>
      <c r="H82" s="14">
        <v>0</v>
      </c>
      <c r="I82" s="14">
        <v>6.7531195262515909E-8</v>
      </c>
      <c r="J82" s="14">
        <v>1.646185053492739E-5</v>
      </c>
      <c r="K82" s="14">
        <v>0</v>
      </c>
    </row>
    <row r="83" spans="1:11">
      <c r="A83" s="2" t="s">
        <v>444</v>
      </c>
      <c r="B83" s="3" t="s">
        <v>445</v>
      </c>
      <c r="D83" s="14">
        <v>1.9111202423240936E-7</v>
      </c>
      <c r="E83" s="14">
        <v>6.1911616917736741E-5</v>
      </c>
      <c r="F83" s="14">
        <v>2.3415675818633737E-5</v>
      </c>
      <c r="G83" s="14">
        <v>4.9408566316518405E-6</v>
      </c>
      <c r="H83" s="14">
        <v>0</v>
      </c>
      <c r="I83" s="14">
        <v>6.4299285989011417E-7</v>
      </c>
      <c r="J83" s="14">
        <v>5.8897745747855127E-5</v>
      </c>
      <c r="K83" s="14">
        <v>0</v>
      </c>
    </row>
    <row r="84" spans="1:11">
      <c r="A84" s="2" t="s">
        <v>446</v>
      </c>
      <c r="B84" s="3" t="s">
        <v>447</v>
      </c>
      <c r="D84" s="14">
        <v>6.8710112051088698E-19</v>
      </c>
      <c r="E84" s="14">
        <v>1.4579236825571268E-4</v>
      </c>
      <c r="F84" s="14">
        <v>6.3655999420041264E-8</v>
      </c>
      <c r="G84" s="14">
        <v>2.2107258855990026E-8</v>
      </c>
      <c r="H84" s="14">
        <v>0</v>
      </c>
      <c r="I84" s="14">
        <v>3.8380170892481894E-8</v>
      </c>
      <c r="J84" s="14">
        <v>4.0834883151180942E-6</v>
      </c>
      <c r="K84" s="14">
        <v>0</v>
      </c>
    </row>
    <row r="85" spans="1:11">
      <c r="A85" s="2" t="s">
        <v>448</v>
      </c>
      <c r="B85" s="3" t="s">
        <v>449</v>
      </c>
      <c r="D85" s="14">
        <v>4.669077999375352E-12</v>
      </c>
      <c r="E85" s="14">
        <v>1.4919190624813195E-4</v>
      </c>
      <c r="F85" s="14">
        <v>2.5237702314267206E-9</v>
      </c>
      <c r="G85" s="14">
        <v>1.1136414030287918E-9</v>
      </c>
      <c r="H85" s="14">
        <v>0</v>
      </c>
      <c r="I85" s="14">
        <v>3.6662841283877376E-8</v>
      </c>
      <c r="J85" s="14">
        <v>7.6778882987170978E-7</v>
      </c>
      <c r="K85" s="14">
        <v>0</v>
      </c>
    </row>
    <row r="86" spans="1:11">
      <c r="A86" s="2" t="s">
        <v>450</v>
      </c>
      <c r="B86" s="3" t="s">
        <v>451</v>
      </c>
      <c r="D86" s="14">
        <v>1.726701217462162E-12</v>
      </c>
      <c r="E86" s="14">
        <v>1.4589866873336975E-4</v>
      </c>
      <c r="F86" s="14">
        <v>6.059487299407749E-8</v>
      </c>
      <c r="G86" s="14">
        <v>2.1121824749686143E-8</v>
      </c>
      <c r="H86" s="14">
        <v>0</v>
      </c>
      <c r="I86" s="14">
        <v>3.8285782643475809E-8</v>
      </c>
      <c r="J86" s="14">
        <v>3.9813270595417787E-6</v>
      </c>
      <c r="K86" s="14">
        <v>0</v>
      </c>
    </row>
    <row r="87" spans="1:11">
      <c r="A87" s="2" t="s">
        <v>452</v>
      </c>
      <c r="B87" s="3" t="s">
        <v>453</v>
      </c>
      <c r="D87" s="14">
        <v>4.273105833041793E-11</v>
      </c>
      <c r="E87" s="14">
        <v>5.9159947940526577E-7</v>
      </c>
      <c r="F87" s="14">
        <v>2.425282502693343E-5</v>
      </c>
      <c r="G87" s="14">
        <v>7.82092081740923E-5</v>
      </c>
      <c r="H87" s="14">
        <v>0</v>
      </c>
      <c r="I87" s="14">
        <v>1.0508343203357754E-5</v>
      </c>
      <c r="J87" s="14">
        <v>3.6437981385152888E-5</v>
      </c>
      <c r="K87" s="14">
        <v>0</v>
      </c>
    </row>
    <row r="88" spans="1:11">
      <c r="A88" s="2" t="s">
        <v>454</v>
      </c>
      <c r="B88" s="3" t="s">
        <v>455</v>
      </c>
      <c r="D88" s="14">
        <v>6.3808215289208849E-9</v>
      </c>
      <c r="E88" s="14">
        <v>1.2382283166653663E-4</v>
      </c>
      <c r="F88" s="14">
        <v>2.1081197740046033E-6</v>
      </c>
      <c r="G88" s="14">
        <v>5.5897300846061492E-7</v>
      </c>
      <c r="H88" s="14">
        <v>0</v>
      </c>
      <c r="I88" s="14">
        <v>9.9847313063205603E-8</v>
      </c>
      <c r="J88" s="14">
        <v>2.3403847416405991E-5</v>
      </c>
      <c r="K88" s="14">
        <v>0</v>
      </c>
    </row>
    <row r="89" spans="1:11">
      <c r="A89" s="2" t="s">
        <v>456</v>
      </c>
      <c r="B89" s="3" t="s">
        <v>457</v>
      </c>
      <c r="D89" s="14">
        <v>3.955454921934253E-21</v>
      </c>
      <c r="E89" s="14">
        <v>1.308219364651453E-4</v>
      </c>
      <c r="F89" s="14">
        <v>1.1625593243627373E-6</v>
      </c>
      <c r="G89" s="14">
        <v>3.2337815520157558E-7</v>
      </c>
      <c r="H89" s="14">
        <v>0</v>
      </c>
      <c r="I89" s="14">
        <v>7.2077539399816016E-8</v>
      </c>
      <c r="J89" s="14">
        <v>1.7620048515890545E-5</v>
      </c>
      <c r="K89" s="14">
        <v>0</v>
      </c>
    </row>
    <row r="90" spans="1:11">
      <c r="A90" s="2" t="s">
        <v>458</v>
      </c>
      <c r="B90" s="3" t="s">
        <v>459</v>
      </c>
      <c r="D90" s="14">
        <v>5.3398682019915391E-33</v>
      </c>
      <c r="E90" s="14">
        <v>1.4157112130685009E-4</v>
      </c>
      <c r="F90" s="14">
        <v>2.4151784351705942E-7</v>
      </c>
      <c r="G90" s="14">
        <v>7.5865579169455883E-8</v>
      </c>
      <c r="H90" s="14">
        <v>0</v>
      </c>
      <c r="I90" s="14">
        <v>4.3953951652349153E-8</v>
      </c>
      <c r="J90" s="14">
        <v>8.0675413188110031E-6</v>
      </c>
      <c r="K90" s="14">
        <v>0</v>
      </c>
    </row>
    <row r="91" spans="1:11">
      <c r="A91" s="2" t="s">
        <v>460</v>
      </c>
      <c r="B91" s="3" t="s">
        <v>461</v>
      </c>
      <c r="D91" s="14">
        <v>4.060516869461156E-11</v>
      </c>
      <c r="E91" s="14">
        <v>3.5198605104487187E-6</v>
      </c>
      <c r="F91" s="14">
        <v>5.5195033774211864E-5</v>
      </c>
      <c r="G91" s="14">
        <v>3.557095775426942E-5</v>
      </c>
      <c r="H91" s="14">
        <v>0</v>
      </c>
      <c r="I91" s="14">
        <v>4.6880539188871636E-6</v>
      </c>
      <c r="J91" s="14">
        <v>5.1026053437014114E-5</v>
      </c>
      <c r="K91" s="14">
        <v>0</v>
      </c>
    </row>
    <row r="92" spans="1:11">
      <c r="A92" s="2" t="s">
        <v>462</v>
      </c>
      <c r="B92" s="3" t="s">
        <v>463</v>
      </c>
      <c r="D92" s="14">
        <v>1.4311807162201006E-12</v>
      </c>
      <c r="E92" s="14">
        <v>7.3674739650478763E-5</v>
      </c>
      <c r="F92" s="14">
        <v>1.7326592450859225E-5</v>
      </c>
      <c r="G92" s="14">
        <v>3.7862450240743179E-6</v>
      </c>
      <c r="H92" s="14">
        <v>0</v>
      </c>
      <c r="I92" s="14">
        <v>4.9758109813520906E-7</v>
      </c>
      <c r="J92" s="14">
        <v>5.4714840345271754E-5</v>
      </c>
      <c r="K92" s="14">
        <v>0</v>
      </c>
    </row>
    <row r="93" spans="1:11">
      <c r="A93" s="2" t="s">
        <v>464</v>
      </c>
      <c r="B93" s="3" t="s">
        <v>465</v>
      </c>
      <c r="D93" s="14">
        <v>1.1606243586816461E-7</v>
      </c>
      <c r="E93" s="14">
        <v>2.9623462222940438E-5</v>
      </c>
      <c r="F93" s="14">
        <v>4.899033006100296E-5</v>
      </c>
      <c r="G93" s="14">
        <v>9.2726938408445595E-6</v>
      </c>
      <c r="H93" s="14">
        <v>0</v>
      </c>
      <c r="I93" s="14">
        <v>1.1976247205343142E-6</v>
      </c>
      <c r="J93" s="14">
        <v>6.0799826718809525E-5</v>
      </c>
      <c r="K93" s="14">
        <v>0</v>
      </c>
    </row>
    <row r="94" spans="1:11">
      <c r="A94" s="2" t="s">
        <v>466</v>
      </c>
      <c r="B94" s="3" t="s">
        <v>467</v>
      </c>
      <c r="D94" s="14">
        <v>2.3550205965717948E-22</v>
      </c>
      <c r="E94" s="14">
        <v>1.4821457486499729E-4</v>
      </c>
      <c r="F94" s="14">
        <v>1.7341452194638811E-6</v>
      </c>
      <c r="G94" s="14">
        <v>2.2788931215006433E-10</v>
      </c>
      <c r="H94" s="14">
        <v>0</v>
      </c>
      <c r="I94" s="14">
        <v>3.9944422480733853E-8</v>
      </c>
      <c r="J94" s="14">
        <v>1.1107603745898138E-8</v>
      </c>
      <c r="K94" s="14">
        <v>0</v>
      </c>
    </row>
    <row r="95" spans="1:11">
      <c r="A95" s="2" t="s">
        <v>468</v>
      </c>
      <c r="B95" s="3" t="s">
        <v>469</v>
      </c>
      <c r="D95" s="14">
        <v>1.6137149563698028E-21</v>
      </c>
      <c r="E95" s="14">
        <v>8.1232713023287183E-6</v>
      </c>
      <c r="F95" s="14">
        <v>7.1935871345855408E-5</v>
      </c>
      <c r="G95" s="14">
        <v>1.7796764922096767E-5</v>
      </c>
      <c r="H95" s="14">
        <v>0</v>
      </c>
      <c r="I95" s="14">
        <v>2.320219347396933E-6</v>
      </c>
      <c r="J95" s="14">
        <v>4.9823873082322138E-5</v>
      </c>
      <c r="K95" s="14">
        <v>0</v>
      </c>
    </row>
    <row r="96" spans="1:11">
      <c r="A96" s="2" t="s">
        <v>470</v>
      </c>
      <c r="B96" s="163">
        <v>354656</v>
      </c>
      <c r="D96" s="14">
        <v>4.3657791009890335E-14</v>
      </c>
      <c r="E96" s="14">
        <v>1.4800823902281408E-4</v>
      </c>
      <c r="F96" s="14">
        <v>1.4965128209265908E-8</v>
      </c>
      <c r="G96" s="14">
        <v>5.7886327485158007E-9</v>
      </c>
      <c r="H96" s="14">
        <v>0</v>
      </c>
      <c r="I96" s="14">
        <v>3.6936150606678662E-8</v>
      </c>
      <c r="J96" s="14">
        <v>1.9340710219636093E-6</v>
      </c>
      <c r="K96" s="14">
        <v>0</v>
      </c>
    </row>
    <row r="97" spans="1:11">
      <c r="A97" s="2" t="s">
        <v>472</v>
      </c>
      <c r="B97" s="3" t="s">
        <v>473</v>
      </c>
      <c r="D97" s="14">
        <v>6.8694069388539127E-14</v>
      </c>
      <c r="E97" s="14">
        <v>1.4573819230865898E-4</v>
      </c>
      <c r="F97" s="14">
        <v>6.5243601847898066E-8</v>
      </c>
      <c r="G97" s="14">
        <v>2.2616921159626484E-8</v>
      </c>
      <c r="H97" s="14">
        <v>0</v>
      </c>
      <c r="I97" s="14">
        <v>3.8429200530338813E-8</v>
      </c>
      <c r="J97" s="14">
        <v>4.1355178991090617E-6</v>
      </c>
      <c r="K97" s="14">
        <v>0</v>
      </c>
    </row>
    <row r="98" spans="1:11">
      <c r="A98" s="2" t="s">
        <v>474</v>
      </c>
      <c r="B98" s="3" t="s">
        <v>475</v>
      </c>
      <c r="D98" s="14">
        <v>3.3461362311924234E-23</v>
      </c>
      <c r="E98" s="14">
        <v>1.6960855429505009E-5</v>
      </c>
      <c r="F98" s="14">
        <v>6.5639052400718787E-5</v>
      </c>
      <c r="G98" s="14">
        <v>1.1669650735198319E-5</v>
      </c>
      <c r="H98" s="14">
        <v>0</v>
      </c>
      <c r="I98" s="14">
        <v>1.5110949277979717E-6</v>
      </c>
      <c r="J98" s="14">
        <v>5.421934650677987E-5</v>
      </c>
      <c r="K98" s="14">
        <v>0</v>
      </c>
    </row>
    <row r="99" spans="1:11">
      <c r="A99" s="2" t="s">
        <v>476</v>
      </c>
      <c r="B99" s="3" t="s">
        <v>477</v>
      </c>
      <c r="D99" s="14">
        <v>2.0333717864086435E-11</v>
      </c>
      <c r="E99" s="14">
        <v>1.4943107722947124E-4</v>
      </c>
      <c r="F99" s="14">
        <v>1.2394684531697125E-9</v>
      </c>
      <c r="G99" s="14">
        <v>5.7640937131118763E-10</v>
      </c>
      <c r="H99" s="14">
        <v>0</v>
      </c>
      <c r="I99" s="14">
        <v>3.6657322515980998E-8</v>
      </c>
      <c r="J99" s="14">
        <v>5.3042923647039467E-7</v>
      </c>
      <c r="K99" s="14">
        <v>0</v>
      </c>
    </row>
    <row r="100" spans="1:11">
      <c r="A100" s="2" t="s">
        <v>478</v>
      </c>
      <c r="B100" s="3" t="s">
        <v>479</v>
      </c>
      <c r="D100" s="14">
        <v>1.0337468918835318E-14</v>
      </c>
      <c r="E100" s="14">
        <v>1.0707753151200077E-4</v>
      </c>
      <c r="F100" s="14">
        <v>5.4781371513443654E-6</v>
      </c>
      <c r="G100" s="14">
        <v>1.3394560138992949E-6</v>
      </c>
      <c r="H100" s="14">
        <v>0</v>
      </c>
      <c r="I100" s="14">
        <v>1.9409209716904935E-7</v>
      </c>
      <c r="J100" s="14">
        <v>3.5910783215249024E-5</v>
      </c>
      <c r="K100" s="14">
        <v>0</v>
      </c>
    </row>
    <row r="101" spans="1:11">
      <c r="A101" s="2" t="s">
        <v>480</v>
      </c>
      <c r="B101" s="3" t="s">
        <v>481</v>
      </c>
      <c r="D101" s="14">
        <v>5.4898227940789055E-15</v>
      </c>
      <c r="E101" s="14">
        <v>1.4906732563844835E-4</v>
      </c>
      <c r="F101" s="14">
        <v>3.361839769177359E-9</v>
      </c>
      <c r="G101" s="14">
        <v>1.4523542695592292E-9</v>
      </c>
      <c r="H101" s="14">
        <v>0</v>
      </c>
      <c r="I101" s="14">
        <v>3.6672866926654935E-8</v>
      </c>
      <c r="J101" s="14">
        <v>8.9118729509641661E-7</v>
      </c>
      <c r="K101" s="14">
        <v>0</v>
      </c>
    </row>
    <row r="102" spans="1:11">
      <c r="A102" s="2" t="s">
        <v>482</v>
      </c>
      <c r="B102" s="3" t="s">
        <v>483</v>
      </c>
      <c r="D102" s="14">
        <v>3.4288469981551263E-31</v>
      </c>
      <c r="E102" s="14">
        <v>1.4973807319879952E-4</v>
      </c>
      <c r="F102" s="14">
        <v>2.3843323476964029E-10</v>
      </c>
      <c r="G102" s="14">
        <v>1.2521672655433588E-10</v>
      </c>
      <c r="H102" s="14">
        <v>0</v>
      </c>
      <c r="I102" s="14">
        <v>3.6679042781372218E-8</v>
      </c>
      <c r="J102" s="14">
        <v>2.2488410845780877E-7</v>
      </c>
      <c r="K102" s="14">
        <v>0</v>
      </c>
    </row>
    <row r="103" spans="1:11">
      <c r="A103" s="2" t="s">
        <v>484</v>
      </c>
      <c r="B103" s="3" t="s">
        <v>485</v>
      </c>
      <c r="D103" s="14">
        <v>2.7423091223290127E-17</v>
      </c>
      <c r="E103" s="14">
        <v>1.4944814963812459E-4</v>
      </c>
      <c r="F103" s="14">
        <v>1.1644882015277863E-9</v>
      </c>
      <c r="G103" s="14">
        <v>5.4403976962397737E-10</v>
      </c>
      <c r="H103" s="14">
        <v>0</v>
      </c>
      <c r="I103" s="14">
        <v>3.6657652859515657E-8</v>
      </c>
      <c r="J103" s="14">
        <v>5.134841810173153E-7</v>
      </c>
      <c r="K103" s="14">
        <v>0</v>
      </c>
    </row>
    <row r="104" spans="1:11">
      <c r="A104" s="2" t="s">
        <v>486</v>
      </c>
      <c r="B104" s="3" t="s">
        <v>487</v>
      </c>
      <c r="D104" s="14">
        <v>3.4591260788880734E-13</v>
      </c>
      <c r="E104" s="14">
        <v>1.4696385164323961E-4</v>
      </c>
      <c r="F104" s="14">
        <v>3.3914473230676642E-8</v>
      </c>
      <c r="G104" s="14">
        <v>1.2344702587642392E-8</v>
      </c>
      <c r="H104" s="14">
        <v>0</v>
      </c>
      <c r="I104" s="14">
        <v>3.7476222320436278E-8</v>
      </c>
      <c r="J104" s="14">
        <v>2.9524126127090203E-6</v>
      </c>
      <c r="K104" s="14">
        <v>0</v>
      </c>
    </row>
    <row r="105" spans="1:11">
      <c r="A105" s="2" t="s">
        <v>488</v>
      </c>
      <c r="B105" s="3" t="s">
        <v>489</v>
      </c>
      <c r="D105" s="14">
        <v>2.7280815886288623E-20</v>
      </c>
      <c r="E105" s="14">
        <v>1.4969299874482229E-4</v>
      </c>
      <c r="F105" s="14">
        <v>3.382797795687621E-10</v>
      </c>
      <c r="G105" s="14">
        <v>1.7312970710087586E-10</v>
      </c>
      <c r="H105" s="14">
        <v>0</v>
      </c>
      <c r="I105" s="14">
        <v>3.6673649739933326E-8</v>
      </c>
      <c r="J105" s="14">
        <v>2.6981619595107801E-7</v>
      </c>
      <c r="K105" s="14">
        <v>0</v>
      </c>
    </row>
    <row r="106" spans="1:11">
      <c r="A106" s="2" t="s">
        <v>490</v>
      </c>
      <c r="B106" s="3" t="s">
        <v>491</v>
      </c>
      <c r="D106" s="14">
        <v>1.6643353599751755E-12</v>
      </c>
      <c r="E106" s="14">
        <v>1.3915056501238887E-4</v>
      </c>
      <c r="F106" s="14">
        <v>3.9143488207759407E-7</v>
      </c>
      <c r="G106" s="14">
        <v>1.185100223038228E-7</v>
      </c>
      <c r="H106" s="14">
        <v>0</v>
      </c>
      <c r="I106" s="14">
        <v>4.8632432468571374E-8</v>
      </c>
      <c r="J106" s="14">
        <v>1.029085598642579E-5</v>
      </c>
      <c r="K106" s="14">
        <v>0</v>
      </c>
    </row>
    <row r="107" spans="1:11">
      <c r="A107" s="2" t="s">
        <v>492</v>
      </c>
      <c r="B107" s="3" t="s">
        <v>493</v>
      </c>
      <c r="D107" s="14">
        <v>1.6710243709995277E-19</v>
      </c>
      <c r="E107" s="14">
        <v>1.3400065395244181E-5</v>
      </c>
      <c r="F107" s="14">
        <v>7.1779671790546455E-5</v>
      </c>
      <c r="G107" s="14">
        <v>1.2459396982438364E-5</v>
      </c>
      <c r="H107" s="14">
        <v>0</v>
      </c>
      <c r="I107" s="14">
        <v>1.6158439276152515E-6</v>
      </c>
      <c r="J107" s="14">
        <v>5.0745021904155548E-5</v>
      </c>
      <c r="K107" s="14">
        <v>0</v>
      </c>
    </row>
    <row r="108" spans="1:11">
      <c r="A108" s="2" t="s">
        <v>291</v>
      </c>
      <c r="B108" s="3" t="s">
        <v>494</v>
      </c>
      <c r="D108" s="14">
        <v>5.463283048581911E-14</v>
      </c>
      <c r="E108" s="14">
        <v>1.1313001260027232E-4</v>
      </c>
      <c r="F108" s="14">
        <v>4.0782362994916762E-6</v>
      </c>
      <c r="G108" s="14">
        <v>1.0232174576380667E-6</v>
      </c>
      <c r="H108" s="14">
        <v>0</v>
      </c>
      <c r="I108" s="14">
        <v>1.5563180897151759E-7</v>
      </c>
      <c r="J108" s="14">
        <v>3.1612901778993575E-5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555BF-BE5A-4BAB-80A0-2D9FF97C5331}">
  <dimension ref="A1:D108"/>
  <sheetViews>
    <sheetView tabSelected="1" topLeftCell="A76" workbookViewId="0">
      <selection activeCell="A84" sqref="A84:D108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5.6482175016240721E-8</v>
      </c>
      <c r="B2">
        <f>'Mass Balance'!E2</f>
        <v>1.3588387844852976E-4</v>
      </c>
      <c r="C2">
        <f>SUM('Mass Balance'!E2:H2)</f>
        <v>1.3671836530463127E-4</v>
      </c>
      <c r="D2">
        <f>Concentrations!F2/Concentrations!E2</f>
        <v>0.99428391917831205</v>
      </c>
    </row>
    <row r="3" spans="1:4">
      <c r="A3">
        <f>'Mass Balance'!I3</f>
        <v>9.6613830171397054E-6</v>
      </c>
      <c r="B3">
        <f>'Mass Balance'!E3</f>
        <v>7.1972607359718131E-7</v>
      </c>
      <c r="C3">
        <f>SUM('Mass Balance'!E3:H3)</f>
        <v>9.9370804394554389E-5</v>
      </c>
      <c r="D3">
        <f>Concentrations!F3/Concentrations!E3</f>
        <v>7.2456569655418761E-3</v>
      </c>
    </row>
    <row r="4" spans="1:4">
      <c r="A4">
        <f>'Mass Balance'!I4</f>
        <v>2.3883734504964602E-7</v>
      </c>
      <c r="B4">
        <f>'Mass Balance'!E4</f>
        <v>1.0084878944062564E-4</v>
      </c>
      <c r="C4">
        <f>SUM('Mass Balance'!E4:H4)</f>
        <v>1.0969504925050791E-4</v>
      </c>
      <c r="D4">
        <f>Concentrations!F4/Concentrations!E4</f>
        <v>0.91971442972599593</v>
      </c>
    </row>
    <row r="5" spans="1:4">
      <c r="A5">
        <f>'Mass Balance'!I5</f>
        <v>2.6332313314402457E-6</v>
      </c>
      <c r="B5">
        <f>'Mass Balance'!E5</f>
        <v>7.1331753303897807E-6</v>
      </c>
      <c r="C5">
        <f>SUM('Mass Balance'!E5:H5)</f>
        <v>9.6775698089800004E-5</v>
      </c>
      <c r="D5">
        <f>Concentrations!F5/Concentrations!E5</f>
        <v>7.3737078138436121E-2</v>
      </c>
    </row>
    <row r="6" spans="1:4">
      <c r="A6">
        <f>'Mass Balance'!I6</f>
        <v>1.1987009749137647E-5</v>
      </c>
      <c r="B6">
        <f>'Mass Balance'!E6</f>
        <v>3.4296546366480594E-7</v>
      </c>
      <c r="C6">
        <f>SUM('Mass Balance'!E6:H6)</f>
        <v>1.0717639881740158E-4</v>
      </c>
      <c r="D6">
        <f>Concentrations!F6/Concentrations!E6</f>
        <v>3.2012571914110171E-3</v>
      </c>
    </row>
    <row r="7" spans="1:4">
      <c r="A7">
        <f>'Mass Balance'!I7</f>
        <v>1.018614178768108E-5</v>
      </c>
      <c r="B7">
        <f>'Mass Balance'!E7</f>
        <v>6.5966067554522979E-7</v>
      </c>
      <c r="C7">
        <f>SUM('Mass Balance'!E7:H7)</f>
        <v>1.0222483012650175E-4</v>
      </c>
      <c r="D7">
        <f>Concentrations!F7/Concentrations!E7</f>
        <v>6.4555542634555912E-3</v>
      </c>
    </row>
    <row r="8" spans="1:4">
      <c r="A8">
        <f>'Mass Balance'!I8</f>
        <v>7.7638516774357987E-6</v>
      </c>
      <c r="B8">
        <f>'Mass Balance'!E8</f>
        <v>1.4040146371146379E-6</v>
      </c>
      <c r="C8">
        <f>SUM('Mass Balance'!E8:H8)</f>
        <v>9.7029189155070793E-5</v>
      </c>
      <c r="D8">
        <f>Concentrations!F8/Concentrations!E8</f>
        <v>1.4475666589305138E-2</v>
      </c>
    </row>
    <row r="9" spans="1:4">
      <c r="A9">
        <f>'Mass Balance'!I9</f>
        <v>1.0021180370615257E-6</v>
      </c>
      <c r="B9">
        <f>'Mass Balance'!E9</f>
        <v>3.9389193342137885E-5</v>
      </c>
      <c r="C9">
        <f>SUM('Mass Balance'!E9:H9)</f>
        <v>8.6652108199913056E-5</v>
      </c>
      <c r="D9">
        <f>Concentrations!F9/Concentrations!E9</f>
        <v>0.45474432916135366</v>
      </c>
    </row>
    <row r="10" spans="1:4">
      <c r="A10">
        <f>'Mass Balance'!I10</f>
        <v>2.8197483788838092E-6</v>
      </c>
      <c r="B10">
        <f>'Mass Balance'!E10</f>
        <v>6.6409111103139376E-6</v>
      </c>
      <c r="C10">
        <f>SUM('Mass Balance'!E10:H10)</f>
        <v>9.6345028183898032E-5</v>
      </c>
      <c r="D10">
        <f>Concentrations!F10/Concentrations!E10</f>
        <v>6.8955307170267294E-2</v>
      </c>
    </row>
    <row r="11" spans="1:4">
      <c r="A11">
        <f>'Mass Balance'!I11</f>
        <v>3.1477094679823275E-6</v>
      </c>
      <c r="B11">
        <f>'Mass Balance'!E11</f>
        <v>5.8709275396137635E-6</v>
      </c>
      <c r="C11">
        <f>SUM('Mass Balance'!E11:H11)</f>
        <v>9.5592287339673325E-5</v>
      </c>
      <c r="D11">
        <f>Concentrations!F11/Concentrations!E11</f>
        <v>6.1440282663387712E-2</v>
      </c>
    </row>
    <row r="12" spans="1:4">
      <c r="A12">
        <f>'Mass Balance'!I12</f>
        <v>1.2080188904964912E-6</v>
      </c>
      <c r="B12">
        <f>'Mass Balance'!E12</f>
        <v>2.9195383221416407E-5</v>
      </c>
      <c r="C12">
        <f>SUM('Mass Balance'!E12:H12)</f>
        <v>8.8053201942327056E-5</v>
      </c>
      <c r="D12">
        <f>Concentrations!F12/Concentrations!E12</f>
        <v>0.33169457264537172</v>
      </c>
    </row>
    <row r="13" spans="1:4">
      <c r="A13">
        <f>'Mass Balance'!I13</f>
        <v>1.0214907093337942E-6</v>
      </c>
      <c r="B13">
        <f>'Mass Balance'!E13</f>
        <v>3.833653610582276E-5</v>
      </c>
      <c r="C13">
        <f>SUM('Mass Balance'!E13:H13)</f>
        <v>8.6666231492556772E-5</v>
      </c>
      <c r="D13">
        <f>Concentrations!F13/Concentrations!E13</f>
        <v>0.4425193802597488</v>
      </c>
    </row>
    <row r="14" spans="1:4">
      <c r="A14">
        <f>'Mass Balance'!I14</f>
        <v>4.3387285012227947E-6</v>
      </c>
      <c r="B14">
        <f>'Mass Balance'!E14</f>
        <v>3.9261436299742431E-6</v>
      </c>
      <c r="C14">
        <f>SUM('Mass Balance'!E14:H14)</f>
        <v>9.4337511526111753E-5</v>
      </c>
      <c r="D14">
        <f>Concentrations!F14/Concentrations!E14</f>
        <v>4.1634284508650317E-2</v>
      </c>
    </row>
    <row r="15" spans="1:4">
      <c r="A15">
        <f>'Mass Balance'!I15</f>
        <v>2.9810789670135239E-6</v>
      </c>
      <c r="B15">
        <f>'Mass Balance'!E15</f>
        <v>6.2479816783764765E-6</v>
      </c>
      <c r="C15">
        <f>SUM('Mass Balance'!E15:H15)</f>
        <v>9.5972315320277547E-5</v>
      </c>
      <c r="D15">
        <f>Concentrations!F15/Concentrations!E15</f>
        <v>6.512730593821664E-2</v>
      </c>
    </row>
    <row r="16" spans="1:4">
      <c r="A16">
        <f>'Mass Balance'!I16</f>
        <v>7.6435887122505114E-6</v>
      </c>
      <c r="B16">
        <f>'Mass Balance'!E16</f>
        <v>1.4483153870621686E-6</v>
      </c>
      <c r="C16">
        <f>SUM('Mass Balance'!E16:H16)</f>
        <v>9.6707454953126463E-5</v>
      </c>
      <c r="D16">
        <f>Concentrations!F16/Concentrations!E16</f>
        <v>1.4982094392090278E-2</v>
      </c>
    </row>
    <row r="17" spans="1:4">
      <c r="A17">
        <f>'Mass Balance'!I17</f>
        <v>2.6950429440171299E-6</v>
      </c>
      <c r="B17">
        <f>'Mass Balance'!E17</f>
        <v>6.9678906035242165E-6</v>
      </c>
      <c r="C17">
        <f>SUM('Mass Balance'!E17:H17)</f>
        <v>9.6652638513977486E-5</v>
      </c>
      <c r="D17">
        <f>Concentrations!F17/Concentrations!E17</f>
        <v>7.2120204192343523E-2</v>
      </c>
    </row>
    <row r="18" spans="1:4">
      <c r="A18">
        <f>'Mass Balance'!I18</f>
        <v>9.0621787078656763E-7</v>
      </c>
      <c r="B18">
        <f>'Mass Balance'!E18</f>
        <v>4.3846168235899048E-5</v>
      </c>
      <c r="C18">
        <f>SUM('Mass Balance'!E18:H18)</f>
        <v>8.5969733485204936E-5</v>
      </c>
      <c r="D18">
        <f>Concentrations!F18/Concentrations!E18</f>
        <v>0.51021756278682506</v>
      </c>
    </row>
    <row r="19" spans="1:4">
      <c r="A19">
        <f>'Mass Balance'!I19</f>
        <v>3.0141360479699934E-6</v>
      </c>
      <c r="B19">
        <f>'Mass Balance'!E19</f>
        <v>6.1716106626139348E-6</v>
      </c>
      <c r="C19">
        <f>SUM('Mass Balance'!E19:H19)</f>
        <v>9.590160079596341E-5</v>
      </c>
      <c r="D19">
        <f>Concentrations!F19/Concentrations!E19</f>
        <v>6.4378670328433418E-2</v>
      </c>
    </row>
    <row r="20" spans="1:4">
      <c r="A20">
        <f>'Mass Balance'!I20</f>
        <v>1.0219667671842353E-6</v>
      </c>
      <c r="B20">
        <f>'Mass Balance'!E20</f>
        <v>3.8354402552188956E-5</v>
      </c>
      <c r="C20">
        <f>SUM('Mass Balance'!E20:H20)</f>
        <v>8.6706621619939381E-5</v>
      </c>
      <c r="D20">
        <f>Concentrations!F20/Concentrations!E20</f>
        <v>0.4425193802597488</v>
      </c>
    </row>
    <row r="21" spans="1:4">
      <c r="A21">
        <f>'Mass Balance'!I21</f>
        <v>3.9584198502684111E-6</v>
      </c>
      <c r="B21">
        <f>'Mass Balance'!E21</f>
        <v>4.4190193068664502E-6</v>
      </c>
      <c r="C21">
        <f>SUM('Mass Balance'!E21:H21)</f>
        <v>9.4351393771179677E-5</v>
      </c>
      <c r="D21">
        <f>Concentrations!F21/Concentrations!E21</f>
        <v>4.6854026342393627E-2</v>
      </c>
    </row>
    <row r="22" spans="1:4">
      <c r="A22">
        <f>'Mass Balance'!I22</f>
        <v>1.131400424058111E-7</v>
      </c>
      <c r="B22">
        <f>'Mass Balance'!E22</f>
        <v>1.2066981362827846E-4</v>
      </c>
      <c r="C22">
        <f>SUM('Mass Balance'!E22:H22)</f>
        <v>1.239137841848588E-4</v>
      </c>
      <c r="D22">
        <f>Concentrations!F22/Concentrations!E22</f>
        <v>0.97420052731428097</v>
      </c>
    </row>
    <row r="23" spans="1:4">
      <c r="A23">
        <f>'Mass Balance'!I23</f>
        <v>6.8980642877912049E-8</v>
      </c>
      <c r="B23">
        <f>'Mass Balance'!E23</f>
        <v>1.3172284648106856E-4</v>
      </c>
      <c r="C23">
        <f>SUM('Mass Balance'!E23:H23)</f>
        <v>1.3307878339131226E-4</v>
      </c>
      <c r="D23">
        <f>Concentrations!F23/Concentrations!E23</f>
        <v>0.99019703955724414</v>
      </c>
    </row>
    <row r="24" spans="1:4">
      <c r="A24">
        <f>'Mass Balance'!I24</f>
        <v>5.0459671525578473E-7</v>
      </c>
      <c r="B24">
        <f>'Mass Balance'!E24</f>
        <v>7.3051231695560269E-5</v>
      </c>
      <c r="C24">
        <f>SUM('Mass Balance'!E24:H24)</f>
        <v>9.4508388697065037E-5</v>
      </c>
      <c r="D24">
        <f>Concentrations!F24/Concentrations!E24</f>
        <v>0.7732617400586479</v>
      </c>
    </row>
    <row r="25" spans="1:4">
      <c r="A25">
        <f>'Mass Balance'!I25</f>
        <v>1.3740661771535488E-6</v>
      </c>
      <c r="B25">
        <f>'Mass Balance'!E25</f>
        <v>1.773359548552024E-5</v>
      </c>
      <c r="C25">
        <f>SUM('Mass Balance'!E25:H25)</f>
        <v>8.7419572871313956E-5</v>
      </c>
      <c r="D25">
        <f>Concentrations!F25/Concentrations!E25</f>
        <v>0.20293523365319432</v>
      </c>
    </row>
    <row r="26" spans="1:4">
      <c r="A26">
        <f>'Mass Balance'!I26</f>
        <v>3.7245701945777256E-6</v>
      </c>
      <c r="B26">
        <f>'Mass Balance'!E26</f>
        <v>4.7827468113242752E-6</v>
      </c>
      <c r="C26">
        <f>SUM('Mass Balance'!E26:H26)</f>
        <v>9.4610362656139145E-5</v>
      </c>
      <c r="D26">
        <f>Concentrations!F26/Concentrations!E26</f>
        <v>5.0571754617127325E-2</v>
      </c>
    </row>
    <row r="27" spans="1:4">
      <c r="A27">
        <f>'Mass Balance'!I27</f>
        <v>9.4538886190607718E-6</v>
      </c>
      <c r="B27">
        <f>'Mass Balance'!E27</f>
        <v>7.9144195280031621E-7</v>
      </c>
      <c r="C27">
        <f>SUM('Mass Balance'!E27:H27)</f>
        <v>9.9367787182181403E-5</v>
      </c>
      <c r="D27">
        <f>Concentrations!F27/Concentrations!E27</f>
        <v>7.9678800475457261E-3</v>
      </c>
    </row>
    <row r="28" spans="1:4">
      <c r="A28">
        <f>'Mass Balance'!I28</f>
        <v>5.5716376830928481E-6</v>
      </c>
      <c r="B28">
        <f>'Mass Balance'!E28</f>
        <v>2.6851035510097148E-6</v>
      </c>
      <c r="C28">
        <f>SUM('Mass Balance'!E28:H28)</f>
        <v>9.4456413010716628E-5</v>
      </c>
      <c r="D28">
        <f>Concentrations!F28/Concentrations!E28</f>
        <v>2.8437992026032612E-2</v>
      </c>
    </row>
    <row r="29" spans="1:4">
      <c r="A29">
        <f>'Mass Balance'!I29</f>
        <v>3.6630638966174256E-6</v>
      </c>
      <c r="B29">
        <f>'Mass Balance'!E29</f>
        <v>3.5550758461537313E-6</v>
      </c>
      <c r="C29">
        <f>SUM('Mass Balance'!E29:H29)</f>
        <v>8.2083958737653605E-5</v>
      </c>
      <c r="D29">
        <f>Concentrations!F29/Concentrations!E29</f>
        <v>4.3327129345484813E-2</v>
      </c>
    </row>
    <row r="30" spans="1:4">
      <c r="A30">
        <f>'Mass Balance'!I30</f>
        <v>5.5716376830928481E-6</v>
      </c>
      <c r="B30">
        <f>'Mass Balance'!E30</f>
        <v>2.6851035510097148E-6</v>
      </c>
      <c r="C30">
        <f>SUM('Mass Balance'!E30:H30)</f>
        <v>9.4456413010716628E-5</v>
      </c>
      <c r="D30">
        <f>Concentrations!F30/Concentrations!E30</f>
        <v>2.8437992026032612E-2</v>
      </c>
    </row>
    <row r="31" spans="1:4">
      <c r="A31">
        <f>'Mass Balance'!I31</f>
        <v>3.6787737677699167E-8</v>
      </c>
      <c r="B31">
        <f>'Mass Balance'!E31</f>
        <v>1.4845565211667809E-4</v>
      </c>
      <c r="C31">
        <f>SUM('Mass Balance'!E31:H31)</f>
        <v>1.484684085707188E-4</v>
      </c>
      <c r="D31">
        <f>Concentrations!F31/Concentrations!E31</f>
        <v>1.0003040382004162</v>
      </c>
    </row>
    <row r="32" spans="1:4">
      <c r="A32">
        <f>'Mass Balance'!I32</f>
        <v>1.8322472246155871E-7</v>
      </c>
      <c r="B32">
        <f>'Mass Balance'!E32</f>
        <v>1.0956770531471854E-4</v>
      </c>
      <c r="C32">
        <f>SUM('Mass Balance'!E32:H32)</f>
        <v>1.1568615567572717E-4</v>
      </c>
      <c r="D32">
        <f>Concentrations!F32/Concentrations!E32</f>
        <v>0.9474810119395054</v>
      </c>
    </row>
    <row r="33" spans="1:4">
      <c r="A33">
        <f>'Mass Balance'!I33</f>
        <v>3.6868740467532667E-8</v>
      </c>
      <c r="B33">
        <f>'Mass Balance'!E33</f>
        <v>1.498964582834331E-4</v>
      </c>
      <c r="C33">
        <f>SUM('Mass Balance'!E33:H33)</f>
        <v>1.4995951606761547E-4</v>
      </c>
      <c r="D33">
        <f>Concentrations!F33/Concentrations!E33</f>
        <v>0.99996932932585081</v>
      </c>
    </row>
    <row r="34" spans="1:4">
      <c r="A34">
        <f>'Mass Balance'!I34</f>
        <v>5.5048331513084914E-8</v>
      </c>
      <c r="B34">
        <f>'Mass Balance'!E34</f>
        <v>1.3852592042645464E-4</v>
      </c>
      <c r="C34">
        <f>SUM('Mass Balance'!E34:H34)</f>
        <v>1.4992425130368582E-4</v>
      </c>
      <c r="D34">
        <f>Concentrations!F34/Concentrations!E34</f>
        <v>0.92433307638325402</v>
      </c>
    </row>
    <row r="35" spans="1:4">
      <c r="A35">
        <f>'Mass Balance'!I35</f>
        <v>7.5720365459841567E-8</v>
      </c>
      <c r="B35">
        <f>'Mass Balance'!E35</f>
        <v>1.2409022302314941E-4</v>
      </c>
      <c r="C35">
        <f>SUM('Mass Balance'!E35:H35)</f>
        <v>1.4984846450582704E-4</v>
      </c>
      <c r="D35">
        <f>Concentrations!F35/Concentrations!E35</f>
        <v>0.82842768947331991</v>
      </c>
    </row>
    <row r="36" spans="1:4">
      <c r="A36">
        <f>'Mass Balance'!I36</f>
        <v>1.2974941710775991E-7</v>
      </c>
      <c r="B36">
        <f>'Mass Balance'!E36</f>
        <v>8.2193670785331053E-5</v>
      </c>
      <c r="C36">
        <f>SUM('Mass Balance'!E36:H36)</f>
        <v>1.4970198350420778E-4</v>
      </c>
      <c r="D36">
        <f>Concentrations!F36/Concentrations!E36</f>
        <v>0.54926276684845676</v>
      </c>
    </row>
    <row r="37" spans="1:4">
      <c r="A37">
        <f>'Mass Balance'!I37</f>
        <v>2.1779819776025453E-7</v>
      </c>
      <c r="B37">
        <f>'Mass Balance'!E37</f>
        <v>1.00657072689113E-4</v>
      </c>
      <c r="C37">
        <f>SUM('Mass Balance'!E37:H37)</f>
        <v>1.3539935786270369E-4</v>
      </c>
      <c r="D37">
        <f>Concentrations!F37/Concentrations!E37</f>
        <v>0.74369871272051657</v>
      </c>
    </row>
    <row r="38" spans="1:4">
      <c r="A38">
        <f>'Mass Balance'!I38</f>
        <v>5.1913283949665253E-8</v>
      </c>
      <c r="B38">
        <f>'Mass Balance'!E38</f>
        <v>1.4095071030351307E-4</v>
      </c>
      <c r="C38">
        <f>SUM('Mass Balance'!E38:H38)</f>
        <v>1.4976616049935029E-4</v>
      </c>
      <c r="D38">
        <f>Concentrations!F38/Concentrations!E38</f>
        <v>0.94150560772638292</v>
      </c>
    </row>
    <row r="39" spans="1:4">
      <c r="A39">
        <f>'Mass Balance'!I39</f>
        <v>1.7364605618825933E-6</v>
      </c>
      <c r="B39">
        <f>'Mass Balance'!E39</f>
        <v>1.0637549449308231E-5</v>
      </c>
      <c r="C39">
        <f>SUM('Mass Balance'!E39:H39)</f>
        <v>1.0053112080775427E-4</v>
      </c>
      <c r="D39">
        <f>Concentrations!F39/Concentrations!E39</f>
        <v>0.10585476341410868</v>
      </c>
    </row>
    <row r="40" spans="1:4">
      <c r="A40">
        <f>'Mass Balance'!I40</f>
        <v>1.4342121567860273E-5</v>
      </c>
      <c r="B40">
        <f>'Mass Balance'!E40</f>
        <v>1.3606155336098136E-6</v>
      </c>
      <c r="C40">
        <f>SUM('Mass Balance'!E40:H40)</f>
        <v>1.340161293841771E-4</v>
      </c>
      <c r="D40">
        <f>Concentrations!F40/Concentrations!E40</f>
        <v>1.0156584652045903E-2</v>
      </c>
    </row>
    <row r="41" spans="1:4">
      <c r="A41">
        <f>'Mass Balance'!I41</f>
        <v>3.4294460676606441E-8</v>
      </c>
      <c r="B41">
        <f>'Mass Balance'!E41</f>
        <v>1.3995672944738021E-4</v>
      </c>
      <c r="C41">
        <f>SUM('Mass Balance'!E41:H41)</f>
        <v>1.3995737014756463E-4</v>
      </c>
      <c r="D41">
        <f>Concentrations!F41/Concentrations!E41</f>
        <v>1.0003854124253486</v>
      </c>
    </row>
    <row r="42" spans="1:4">
      <c r="A42">
        <f>'Mass Balance'!I42</f>
        <v>1.2949114212071537E-7</v>
      </c>
      <c r="B42">
        <f>'Mass Balance'!E42</f>
        <v>1.1777306897986213E-4</v>
      </c>
      <c r="C42">
        <f>SUM('Mass Balance'!E42:H42)</f>
        <v>1.217247757100658E-4</v>
      </c>
      <c r="D42">
        <f>Concentrations!F42/Concentrations!E42</f>
        <v>0.96791305509794789</v>
      </c>
    </row>
    <row r="43" spans="1:4">
      <c r="A43">
        <f>'Mass Balance'!I43</f>
        <v>4.3014684378903327E-7</v>
      </c>
      <c r="B43">
        <f>'Mass Balance'!E43</f>
        <v>1.224265902580041E-5</v>
      </c>
      <c r="C43">
        <f>SUM('Mass Balance'!E43:H43)</f>
        <v>1.4932352701661083E-4</v>
      </c>
      <c r="D43">
        <f>Concentrations!F43/Concentrations!E43</f>
        <v>8.2019450049147985E-2</v>
      </c>
    </row>
    <row r="44" spans="1:4">
      <c r="A44">
        <f>'Mass Balance'!I44</f>
        <v>4.3970100229466137E-8</v>
      </c>
      <c r="B44">
        <f>'Mass Balance'!E44</f>
        <v>1.2925912811344388E-4</v>
      </c>
      <c r="C44">
        <f>SUM('Mass Balance'!E44:H44)</f>
        <v>1.2968847199965722E-4</v>
      </c>
      <c r="D44">
        <f>Concentrations!F44/Concentrations!E44</f>
        <v>0.99707812228781301</v>
      </c>
    </row>
    <row r="45" spans="1:4">
      <c r="A45">
        <f>'Mass Balance'!I45</f>
        <v>1.4615649806743942E-7</v>
      </c>
      <c r="B45">
        <f>'Mass Balance'!E45</f>
        <v>1.146405585494053E-4</v>
      </c>
      <c r="C45">
        <f>SUM('Mass Balance'!E45:H45)</f>
        <v>1.193250035151347E-4</v>
      </c>
      <c r="D45">
        <f>Concentrations!F45/Concentrations!E45</f>
        <v>0.96111681605375665</v>
      </c>
    </row>
    <row r="46" spans="1:4">
      <c r="A46">
        <f>'Mass Balance'!I46</f>
        <v>1.3517612059125949E-7</v>
      </c>
      <c r="B46">
        <f>'Mass Balance'!E46</f>
        <v>1.1638344860218516E-4</v>
      </c>
      <c r="C46">
        <f>SUM('Mass Balance'!E46:H46)</f>
        <v>1.2058801362066709E-4</v>
      </c>
      <c r="D46">
        <f>Concentrations!F46/Concentrations!E46</f>
        <v>0.96550920546992725</v>
      </c>
    </row>
    <row r="47" spans="1:4">
      <c r="A47">
        <f>'Mass Balance'!I47</f>
        <v>9.862313366059316E-6</v>
      </c>
      <c r="B47">
        <f>'Mass Balance'!E47</f>
        <v>7.3469440792756362E-7</v>
      </c>
      <c r="C47">
        <f>SUM('Mass Balance'!E47:H47)</f>
        <v>1.0143744540899288E-4</v>
      </c>
      <c r="D47">
        <f>Concentrations!F47/Concentrations!E47</f>
        <v>7.2456569655418778E-3</v>
      </c>
    </row>
    <row r="48" spans="1:4">
      <c r="A48">
        <f>'Mass Balance'!I48</f>
        <v>3.9139932512395637E-8</v>
      </c>
      <c r="B48">
        <f>'Mass Balance'!E48</f>
        <v>1.4327375915381671E-4</v>
      </c>
      <c r="C48">
        <f>SUM('Mass Balance'!E48:H48)</f>
        <v>1.434064607394734E-4</v>
      </c>
      <c r="D48">
        <f>Concentrations!F48/Concentrations!E48</f>
        <v>0.99946427824493811</v>
      </c>
    </row>
    <row r="49" spans="1:4">
      <c r="A49">
        <f>'Mass Balance'!I49</f>
        <v>4.1397450388914835E-8</v>
      </c>
      <c r="B49">
        <f>'Mass Balance'!E49</f>
        <v>1.4003685594093248E-4</v>
      </c>
      <c r="C49">
        <f>SUM('Mass Balance'!E49:H49)</f>
        <v>1.4027646966924598E-4</v>
      </c>
      <c r="D49">
        <f>Concentrations!F49/Concentrations!E49</f>
        <v>0.99868117247035759</v>
      </c>
    </row>
    <row r="50" spans="1:4">
      <c r="A50">
        <f>'Mass Balance'!I50</f>
        <v>8.683475746081271E-7</v>
      </c>
      <c r="B50">
        <f>'Mass Balance'!E50</f>
        <v>4.5022034562071504E-5</v>
      </c>
      <c r="C50">
        <f>SUM('Mass Balance'!E50:H50)</f>
        <v>8.5186218813077067E-5</v>
      </c>
      <c r="D50">
        <f>Concentrations!F50/Concentrations!E50</f>
        <v>0.52871923915014019</v>
      </c>
    </row>
    <row r="51" spans="1:4">
      <c r="A51">
        <f>'Mass Balance'!I51</f>
        <v>3.5035386493531297E-8</v>
      </c>
      <c r="B51">
        <f>'Mass Balance'!E51</f>
        <v>1.4013355384725589E-4</v>
      </c>
      <c r="C51">
        <f>SUM('Mass Balance'!E51:H51)</f>
        <v>1.4015522604128518E-4</v>
      </c>
      <c r="D51">
        <f>Concentrations!F51/Concentrations!E51</f>
        <v>1.0002353017912216</v>
      </c>
    </row>
    <row r="52" spans="1:4">
      <c r="A52">
        <f>'Mass Balance'!I52</f>
        <v>5.2501096354077307E-8</v>
      </c>
      <c r="B52">
        <f>'Mass Balance'!E52</f>
        <v>1.2751484787429086E-4</v>
      </c>
      <c r="C52">
        <f>SUM('Mass Balance'!E52:H52)</f>
        <v>1.2827891745022219E-4</v>
      </c>
      <c r="D52">
        <f>Concentrations!F52/Concentrations!E52</f>
        <v>0.99443135462023424</v>
      </c>
    </row>
    <row r="53" spans="1:4">
      <c r="A53">
        <f>'Mass Balance'!I53</f>
        <v>2.1641503146661132E-7</v>
      </c>
      <c r="B53">
        <f>'Mass Balance'!E53</f>
        <v>1.0350651912437937E-4</v>
      </c>
      <c r="C53">
        <f>SUM('Mass Balance'!E53:H53)</f>
        <v>1.1133767528957879E-4</v>
      </c>
      <c r="D53">
        <f>Concentrations!F53/Concentrations!E53</f>
        <v>0.93002557825139132</v>
      </c>
    </row>
    <row r="54" spans="1:4">
      <c r="A54">
        <f>'Mass Balance'!I54</f>
        <v>8.8636686360779504E-6</v>
      </c>
      <c r="B54">
        <f>'Mass Balance'!E54</f>
        <v>1.0050570034253021E-6</v>
      </c>
      <c r="C54">
        <f>SUM('Mass Balance'!E54:H54)</f>
        <v>9.9099338940803573E-5</v>
      </c>
      <c r="D54">
        <f>Concentrations!F54/Concentrations!E54</f>
        <v>1.0145869572868196E-2</v>
      </c>
    </row>
    <row r="55" spans="1:4">
      <c r="A55">
        <f>'Mass Balance'!I55</f>
        <v>4.0647139338075246E-7</v>
      </c>
      <c r="B55">
        <f>'Mass Balance'!E55</f>
        <v>5.1394835159724109E-5</v>
      </c>
      <c r="C55">
        <f>SUM('Mass Balance'!E55:H55)</f>
        <v>6.8900092596149411E-5</v>
      </c>
      <c r="D55">
        <f>Concentrations!F55/Concentrations!E55</f>
        <v>0.74622365222951759</v>
      </c>
    </row>
    <row r="56" spans="1:4">
      <c r="A56">
        <f>'Mass Balance'!I56</f>
        <v>1.7054599402201839E-7</v>
      </c>
      <c r="B56">
        <f>'Mass Balance'!E56</f>
        <v>4.4187709003555351E-6</v>
      </c>
      <c r="C56">
        <f>SUM('Mass Balance'!E56:H56)</f>
        <v>1.2690450995013089E-5</v>
      </c>
      <c r="D56">
        <f>Concentrations!F56/Concentrations!E56</f>
        <v>0.34833231597096381</v>
      </c>
    </row>
    <row r="57" spans="1:4">
      <c r="A57">
        <f>'Mass Balance'!I57</f>
        <v>6.9775431140502824E-8</v>
      </c>
      <c r="B57">
        <f>'Mass Balance'!E57</f>
        <v>6.5670411388725777E-6</v>
      </c>
      <c r="C57">
        <f>SUM('Mass Balance'!E57:H57)</f>
        <v>9.650026244167244E-6</v>
      </c>
      <c r="D57">
        <f>Concentrations!F57/Concentrations!E57</f>
        <v>0.68078594465769404</v>
      </c>
    </row>
    <row r="58" spans="1:4">
      <c r="A58">
        <f>'Mass Balance'!I58</f>
        <v>3.4943372176832803E-9</v>
      </c>
      <c r="B58">
        <f>'Mass Balance'!E58</f>
        <v>1.1310028206817727E-5</v>
      </c>
      <c r="C58">
        <f>SUM('Mass Balance'!E58:H58)</f>
        <v>1.1334768487194789E-5</v>
      </c>
      <c r="D58">
        <f>Concentrations!F58/Concentrations!E58</f>
        <v>0.99820645128398888</v>
      </c>
    </row>
    <row r="59" spans="1:4">
      <c r="A59">
        <f>'Mass Balance'!I59</f>
        <v>2.4331480841095629E-8</v>
      </c>
      <c r="B59">
        <f>'Mass Balance'!E59</f>
        <v>2.4519727714301822E-6</v>
      </c>
      <c r="C59">
        <f>SUM('Mass Balance'!E59:H59)</f>
        <v>3.5209189238606615E-6</v>
      </c>
      <c r="D59">
        <f>Concentrations!F59/Concentrations!E59</f>
        <v>0.69667296359957631</v>
      </c>
    </row>
    <row r="60" spans="1:4">
      <c r="A60">
        <f>'Mass Balance'!I60</f>
        <v>4.0990074232376902E-10</v>
      </c>
      <c r="B60">
        <f>'Mass Balance'!E60</f>
        <v>8.6740701193232895E-8</v>
      </c>
      <c r="C60">
        <f>SUM('Mass Balance'!E60:H60)</f>
        <v>1.0349068269730199E-7</v>
      </c>
      <c r="D60">
        <f>Concentrations!F60/Concentrations!E60</f>
        <v>0.83847673156790337</v>
      </c>
    </row>
    <row r="61" spans="1:4">
      <c r="A61">
        <f>'Mass Balance'!I61</f>
        <v>3.1258741285448711E-7</v>
      </c>
      <c r="B61">
        <f>'Mass Balance'!E61</f>
        <v>9.1877177981737124E-5</v>
      </c>
      <c r="C61">
        <f>SUM('Mass Balance'!E61:H61)</f>
        <v>1.0413260949069194E-4</v>
      </c>
      <c r="D61">
        <f>Concentrations!F61/Concentrations!E61</f>
        <v>0.88265347232576219</v>
      </c>
    </row>
    <row r="62" spans="1:4">
      <c r="A62">
        <f>'Mass Balance'!I62</f>
        <v>4.2554867942658315E-6</v>
      </c>
      <c r="B62">
        <f>'Mass Balance'!E62</f>
        <v>4.0347824791975903E-6</v>
      </c>
      <c r="C62">
        <f>SUM('Mass Balance'!E62:H62)</f>
        <v>9.4400786881405281E-5</v>
      </c>
      <c r="D62">
        <f>Concentrations!F62/Concentrations!E62</f>
        <v>4.275765219305034E-2</v>
      </c>
    </row>
    <row r="63" spans="1:4">
      <c r="A63">
        <f>'Mass Balance'!I63</f>
        <v>1.1491700696437752E-5</v>
      </c>
      <c r="B63">
        <f>'Mass Balance'!E63</f>
        <v>4.1522920865533682E-7</v>
      </c>
      <c r="C63">
        <f>SUM('Mass Balance'!E63:H63)</f>
        <v>1.0572416275058136E-4</v>
      </c>
      <c r="D63">
        <f>Concentrations!F63/Concentrations!E63</f>
        <v>3.9290086006088312E-3</v>
      </c>
    </row>
    <row r="64" spans="1:4">
      <c r="A64">
        <f>'Mass Balance'!I64</f>
        <v>1.3794759523078837E-5</v>
      </c>
      <c r="B64">
        <f>'Mass Balance'!E64</f>
        <v>1.5158467478387171E-7</v>
      </c>
      <c r="C64">
        <f>SUM('Mass Balance'!E64:H64)</f>
        <v>1.1295439762080498E-4</v>
      </c>
      <c r="D64">
        <f>Concentrations!F64/Concentrations!E64</f>
        <v>1.3425222460896713E-3</v>
      </c>
    </row>
    <row r="65" spans="1:4">
      <c r="A65">
        <f>'Mass Balance'!I65</f>
        <v>1.5692777604843548E-5</v>
      </c>
      <c r="B65">
        <f>'Mass Balance'!E65</f>
        <v>4.4535644398632368E-8</v>
      </c>
      <c r="C65">
        <f>SUM('Mass Balance'!E65:H65)</f>
        <v>1.1976181061482142E-4</v>
      </c>
      <c r="D65">
        <f>Concentrations!F65/Concentrations!E65</f>
        <v>3.7201352181030864E-4</v>
      </c>
    </row>
    <row r="66" spans="1:4">
      <c r="A66">
        <f>'Mass Balance'!I66</f>
        <v>1.4706371468667952E-5</v>
      </c>
      <c r="B66">
        <f>'Mass Balance'!E66</f>
        <v>9.0163140225626684E-8</v>
      </c>
      <c r="C66">
        <f>SUM('Mass Balance'!E66:H66)</f>
        <v>1.161398017507875E-4</v>
      </c>
      <c r="D66">
        <f>Concentrations!F66/Concentrations!E66</f>
        <v>7.7663558721812712E-4</v>
      </c>
    </row>
    <row r="67" spans="1:4">
      <c r="A67">
        <f>'Mass Balance'!I67</f>
        <v>4.9651945131642611E-8</v>
      </c>
      <c r="B67">
        <f>'Mass Balance'!E67</f>
        <v>1.3802473907209087E-4</v>
      </c>
      <c r="C67">
        <f>SUM('Mass Balance'!E67:H67)</f>
        <v>1.3858281545592901E-4</v>
      </c>
      <c r="D67">
        <f>Concentrations!F67/Concentrations!E67</f>
        <v>0.99636139709402016</v>
      </c>
    </row>
    <row r="68" spans="1:4">
      <c r="A68">
        <f>'Mass Balance'!I68</f>
        <v>6.0587294916077124E-8</v>
      </c>
      <c r="B68">
        <f>'Mass Balance'!E68</f>
        <v>1.3298866959400398E-4</v>
      </c>
      <c r="C68">
        <f>SUM('Mass Balance'!E68:H68)</f>
        <v>1.3400771259026341E-4</v>
      </c>
      <c r="D68">
        <f>Concentrations!F68/Concentrations!E68</f>
        <v>0.99278266559629358</v>
      </c>
    </row>
    <row r="69" spans="1:4">
      <c r="A69">
        <f>'Mass Balance'!I69</f>
        <v>7.4463552183202525E-6</v>
      </c>
      <c r="B69">
        <f>'Mass Balance'!E69</f>
        <v>1.513270663875994E-6</v>
      </c>
      <c r="C69">
        <f>SUM('Mass Balance'!E69:H69)</f>
        <v>9.6003905374139587E-5</v>
      </c>
      <c r="D69">
        <f>Concentrations!F69/Concentrations!E69</f>
        <v>1.5768742130658431E-2</v>
      </c>
    </row>
    <row r="70" spans="1:4">
      <c r="A70">
        <f>'Mass Balance'!I70</f>
        <v>1.3596201280714183E-6</v>
      </c>
      <c r="B70">
        <f>'Mass Balance'!E70</f>
        <v>2.163239254245859E-5</v>
      </c>
      <c r="C70">
        <f>SUM('Mass Balance'!E70:H70)</f>
        <v>8.9680799102676278E-5</v>
      </c>
      <c r="D70">
        <f>Concentrations!F70/Concentrations!E70</f>
        <v>0.2413095023658347</v>
      </c>
    </row>
    <row r="71" spans="1:4">
      <c r="A71">
        <f>'Mass Balance'!I71</f>
        <v>5.76344755206524E-8</v>
      </c>
      <c r="B71">
        <f>'Mass Balance'!E71</f>
        <v>1.3194607464741111E-4</v>
      </c>
      <c r="C71">
        <f>SUM('Mass Balance'!E71:H71)</f>
        <v>1.3286239847372077E-4</v>
      </c>
      <c r="D71">
        <f>Concentrations!F71/Concentrations!E71</f>
        <v>0.99349051410971345</v>
      </c>
    </row>
    <row r="72" spans="1:4">
      <c r="A72">
        <f>'Mass Balance'!I72</f>
        <v>1.2424316450604689E-6</v>
      </c>
      <c r="B72">
        <f>'Mass Balance'!E72</f>
        <v>2.325984315504839E-5</v>
      </c>
      <c r="C72">
        <f>SUM('Mass Balance'!E72:H72)</f>
        <v>8.4801651553626675E-5</v>
      </c>
      <c r="D72">
        <f>Concentrations!F72/Concentrations!E72</f>
        <v>0.27439223036697247</v>
      </c>
    </row>
    <row r="73" spans="1:4">
      <c r="A73">
        <f>'Mass Balance'!I73</f>
        <v>3.3030116034965632E-7</v>
      </c>
      <c r="B73">
        <f>'Mass Balance'!E73</f>
        <v>8.7081942776963989E-5</v>
      </c>
      <c r="C73">
        <f>SUM('Mass Balance'!E73:H73)</f>
        <v>1.0022209224394873E-4</v>
      </c>
      <c r="D73">
        <f>Concentrations!F73/Concentrations!E73</f>
        <v>0.86922855121551568</v>
      </c>
    </row>
    <row r="74" spans="1:4">
      <c r="A74">
        <f>'Mass Balance'!I74</f>
        <v>1.331676379816147E-6</v>
      </c>
      <c r="B74">
        <f>'Mass Balance'!E74</f>
        <v>2.2196042880601721E-5</v>
      </c>
      <c r="C74">
        <f>SUM('Mass Balance'!E74:H74)</f>
        <v>8.8649347776647661E-5</v>
      </c>
      <c r="D74">
        <f>Concentrations!F74/Concentrations!E74</f>
        <v>0.25047786269637623</v>
      </c>
    </row>
    <row r="75" spans="1:4">
      <c r="A75">
        <f>'Mass Balance'!I75</f>
        <v>1.4654883048429279E-6</v>
      </c>
      <c r="B75">
        <f>'Mass Balance'!E75</f>
        <v>6.197026286740239E-6</v>
      </c>
      <c r="C75">
        <f>SUM('Mass Balance'!E75:H75)</f>
        <v>1.4848409785358509E-4</v>
      </c>
      <c r="D75">
        <f>Concentrations!F75/Concentrations!E75</f>
        <v>4.1751562404633215E-2</v>
      </c>
    </row>
    <row r="76" spans="1:4">
      <c r="A76">
        <f>'Mass Balance'!I76</f>
        <v>1.4654883106736448E-6</v>
      </c>
      <c r="B76">
        <f>'Mass Balance'!E76</f>
        <v>6.1970263113962576E-6</v>
      </c>
      <c r="C76">
        <f>SUM('Mass Balance'!E76:H76)</f>
        <v>1.4848409844435656E-4</v>
      </c>
      <c r="D76">
        <f>Concentrations!F76/Concentrations!E76</f>
        <v>4.1751562404633222E-2</v>
      </c>
    </row>
    <row r="77" spans="1:4">
      <c r="A77">
        <f>'Mass Balance'!I77</f>
        <v>6.9206289090033024E-7</v>
      </c>
      <c r="B77">
        <f>'Mass Balance'!E77</f>
        <v>5.1826315611896333E-5</v>
      </c>
      <c r="C77">
        <f>SUM('Mass Balance'!E77:H77)</f>
        <v>8.2970055716633605E-5</v>
      </c>
      <c r="D77">
        <f>Concentrations!F77/Concentrations!E77</f>
        <v>0.62488239900950349</v>
      </c>
    </row>
    <row r="78" spans="1:4">
      <c r="A78">
        <f>'Mass Balance'!I78</f>
        <v>1.173923139248472E-7</v>
      </c>
      <c r="B78">
        <f>'Mass Balance'!E78</f>
        <v>1.147157011521861E-4</v>
      </c>
      <c r="C78">
        <f>SUM('Mass Balance'!E78:H78)</f>
        <v>1.1820370334579468E-4</v>
      </c>
      <c r="D78">
        <f>Concentrations!F78/Concentrations!E78</f>
        <v>0.9708700837074894</v>
      </c>
    </row>
    <row r="79" spans="1:4">
      <c r="A79">
        <f>'Mass Balance'!I79</f>
        <v>2.2156874349110188E-7</v>
      </c>
      <c r="B79">
        <f>'Mass Balance'!E79</f>
        <v>1.0168215862444947E-4</v>
      </c>
      <c r="C79">
        <f>SUM('Mass Balance'!E79:H79)</f>
        <v>1.0976403663741992E-4</v>
      </c>
      <c r="D79">
        <f>Concentrations!F79/Concentrations!E79</f>
        <v>0.92673171443555502</v>
      </c>
    </row>
    <row r="80" spans="1:4">
      <c r="A80">
        <f>'Mass Balance'!I80</f>
        <v>2.8530673421173663E-6</v>
      </c>
      <c r="B80">
        <f>'Mass Balance'!E80</f>
        <v>4.2131912422352456E-6</v>
      </c>
      <c r="C80">
        <f>SUM('Mass Balance'!E80:H80)</f>
        <v>1.4708531943846109E-4</v>
      </c>
      <c r="D80">
        <f>Concentrations!F80/Concentrations!E80</f>
        <v>2.8655710640265234E-2</v>
      </c>
    </row>
    <row r="81" spans="1:4">
      <c r="A81">
        <f>'Mass Balance'!I81</f>
        <v>3.6907764433098136E-8</v>
      </c>
      <c r="B81">
        <f>'Mass Balance'!E81</f>
        <v>1.4808294802099947E-4</v>
      </c>
      <c r="C81">
        <f>SUM('Mass Balance'!E81:H81)</f>
        <v>1.4810224132966914E-4</v>
      </c>
      <c r="D81">
        <f>Concentrations!F81/Concentrations!E81</f>
        <v>1.0002596710296732</v>
      </c>
    </row>
    <row r="82" spans="1:4">
      <c r="A82">
        <f>'Mass Balance'!I82</f>
        <v>6.7531195262515909E-8</v>
      </c>
      <c r="B82">
        <f>'Mass Balance'!E82</f>
        <v>1.3216368151011944E-4</v>
      </c>
      <c r="C82">
        <f>SUM('Mass Balance'!E82:H82)</f>
        <v>1.3345883494107907E-4</v>
      </c>
      <c r="D82">
        <f>Concentrations!F82/Concentrations!E82</f>
        <v>0.99068169111119375</v>
      </c>
    </row>
    <row r="83" spans="1:4">
      <c r="A83">
        <f>'Mass Balance'!I83</f>
        <v>6.4299285989011417E-7</v>
      </c>
      <c r="B83">
        <f>'Mass Balance'!E83</f>
        <v>6.1911616917736741E-5</v>
      </c>
      <c r="C83">
        <f>SUM('Mass Balance'!E83:H83)</f>
        <v>9.0268149368022329E-5</v>
      </c>
      <c r="D83">
        <f>Concentrations!F83/Concentrations!E83</f>
        <v>0.68613084890735798</v>
      </c>
    </row>
    <row r="84" spans="1:4">
      <c r="A84">
        <f>'Mass Balance'!I84</f>
        <v>3.8380170892481894E-8</v>
      </c>
      <c r="B84">
        <f>'Mass Balance'!E84</f>
        <v>1.4579236825571268E-4</v>
      </c>
      <c r="C84">
        <f>SUM('Mass Balance'!E84:H84)</f>
        <v>1.4587813151398869E-4</v>
      </c>
      <c r="D84">
        <f>Concentrations!F84/Concentrations!E84</f>
        <v>0.99980185243897635</v>
      </c>
    </row>
    <row r="85" spans="1:4">
      <c r="A85">
        <f>'Mass Balance'!I85</f>
        <v>3.6662841283877376E-8</v>
      </c>
      <c r="B85">
        <f>'Mass Balance'!E85</f>
        <v>1.4919190624813195E-4</v>
      </c>
      <c r="C85">
        <f>SUM('Mass Balance'!E85:H85)</f>
        <v>1.491955436597664E-4</v>
      </c>
      <c r="D85">
        <f>Concentrations!F85/Concentrations!E85</f>
        <v>1.0003656023636858</v>
      </c>
    </row>
    <row r="86" spans="1:4">
      <c r="A86">
        <f>'Mass Balance'!I86</f>
        <v>3.8285782643475809E-8</v>
      </c>
      <c r="B86">
        <f>'Mass Balance'!E86</f>
        <v>1.4589866873336975E-4</v>
      </c>
      <c r="C86">
        <f>SUM('Mass Balance'!E86:H86)</f>
        <v>1.4598038543111349E-4</v>
      </c>
      <c r="D86">
        <f>Concentrations!F86/Concentrations!E86</f>
        <v>0.9998299951118701</v>
      </c>
    </row>
    <row r="87" spans="1:4">
      <c r="A87">
        <f>'Mass Balance'!I87</f>
        <v>1.0508343203357754E-5</v>
      </c>
      <c r="B87">
        <f>'Mass Balance'!E87</f>
        <v>5.9159947940526577E-7</v>
      </c>
      <c r="C87">
        <f>SUM('Mass Balance'!E87:H87)</f>
        <v>1.03053632680431E-4</v>
      </c>
      <c r="D87">
        <f>Concentrations!F87/Concentrations!E87</f>
        <v>5.7429338791492078E-3</v>
      </c>
    </row>
    <row r="88" spans="1:4">
      <c r="A88">
        <f>'Mass Balance'!I88</f>
        <v>9.9847313063205603E-8</v>
      </c>
      <c r="B88">
        <f>'Mass Balance'!E88</f>
        <v>1.2382283166653663E-4</v>
      </c>
      <c r="C88">
        <f>SUM('Mass Balance'!E88:H88)</f>
        <v>1.2648992444900186E-4</v>
      </c>
      <c r="D88">
        <f>Concentrations!F88/Concentrations!E88</f>
        <v>0.97929635205464516</v>
      </c>
    </row>
    <row r="89" spans="1:4">
      <c r="A89">
        <f>'Mass Balance'!I89</f>
        <v>7.2077539399816016E-8</v>
      </c>
      <c r="B89">
        <f>'Mass Balance'!E89</f>
        <v>1.308219364651453E-4</v>
      </c>
      <c r="C89">
        <f>SUM('Mass Balance'!E89:H89)</f>
        <v>1.3230787394470962E-4</v>
      </c>
      <c r="D89">
        <f>Concentrations!F89/Concentrations!E89</f>
        <v>0.98915470467762656</v>
      </c>
    </row>
    <row r="90" spans="1:4">
      <c r="A90">
        <f>'Mass Balance'!I90</f>
        <v>4.3953951652349153E-8</v>
      </c>
      <c r="B90">
        <f>'Mass Balance'!E90</f>
        <v>1.4157112130685009E-4</v>
      </c>
      <c r="C90">
        <f>SUM('Mass Balance'!E90:H90)</f>
        <v>1.418885047295366E-4</v>
      </c>
      <c r="D90">
        <f>Concentrations!F90/Concentrations!E90</f>
        <v>0.9981522688285277</v>
      </c>
    </row>
    <row r="91" spans="1:4">
      <c r="A91">
        <f>'Mass Balance'!I91</f>
        <v>4.6880539188871636E-6</v>
      </c>
      <c r="B91">
        <f>'Mass Balance'!E91</f>
        <v>3.5198605104487187E-6</v>
      </c>
      <c r="C91">
        <f>SUM('Mass Balance'!E91:H91)</f>
        <v>9.4285852038929993E-5</v>
      </c>
      <c r="D91">
        <f>Concentrations!F91/Concentrations!E91</f>
        <v>3.7346358460614348E-2</v>
      </c>
    </row>
    <row r="92" spans="1:4">
      <c r="A92">
        <f>'Mass Balance'!I92</f>
        <v>4.9758109813520906E-7</v>
      </c>
      <c r="B92">
        <f>'Mass Balance'!E92</f>
        <v>7.3674739650478763E-5</v>
      </c>
      <c r="C92">
        <f>SUM('Mass Balance'!E92:H92)</f>
        <v>9.4787577125412305E-5</v>
      </c>
      <c r="D92">
        <f>Concentrations!F92/Concentrations!E92</f>
        <v>0.77756468144100499</v>
      </c>
    </row>
    <row r="93" spans="1:4">
      <c r="A93">
        <f>'Mass Balance'!I93</f>
        <v>1.1976247205343142E-6</v>
      </c>
      <c r="B93">
        <f>'Mass Balance'!E93</f>
        <v>2.9623462222940438E-5</v>
      </c>
      <c r="C93">
        <f>SUM('Mass Balance'!E93:H93)</f>
        <v>8.7886486124787958E-5</v>
      </c>
      <c r="D93">
        <f>Concentrations!F93/Concentrations!E93</f>
        <v>0.33719649566104481</v>
      </c>
    </row>
    <row r="94" spans="1:4">
      <c r="A94">
        <f>'Mass Balance'!I94</f>
        <v>3.9944422480733853E-8</v>
      </c>
      <c r="B94">
        <f>'Mass Balance'!E94</f>
        <v>1.4821457486499729E-4</v>
      </c>
      <c r="C94">
        <f>SUM('Mass Balance'!E94:H94)</f>
        <v>1.4994894797377333E-4</v>
      </c>
      <c r="D94">
        <f>Concentrations!F94/Concentrations!E94</f>
        <v>0.98881905723355989</v>
      </c>
    </row>
    <row r="95" spans="1:4">
      <c r="A95">
        <f>'Mass Balance'!I95</f>
        <v>2.320219347396933E-6</v>
      </c>
      <c r="B95">
        <f>'Mass Balance'!E95</f>
        <v>8.1232713023287183E-6</v>
      </c>
      <c r="C95">
        <f>SUM('Mass Balance'!E95:H95)</f>
        <v>9.7855907570280895E-5</v>
      </c>
      <c r="D95">
        <f>Concentrations!F95/Concentrations!E95</f>
        <v>8.3044953699848878E-2</v>
      </c>
    </row>
    <row r="96" spans="1:4">
      <c r="A96">
        <f>'Mass Balance'!I96</f>
        <v>3.6936150606678662E-8</v>
      </c>
      <c r="B96">
        <f>'Mass Balance'!E96</f>
        <v>1.4800823902281408E-4</v>
      </c>
      <c r="C96">
        <f>SUM('Mass Balance'!E96:H96)</f>
        <v>1.4802899278377186E-4</v>
      </c>
      <c r="D96">
        <f>Concentrations!F96/Concentrations!E96</f>
        <v>1.0002497367076915</v>
      </c>
    </row>
    <row r="97" spans="1:4">
      <c r="A97">
        <f>'Mass Balance'!I97</f>
        <v>3.8429200530338813E-8</v>
      </c>
      <c r="B97">
        <f>'Mass Balance'!E97</f>
        <v>1.4573819230865898E-4</v>
      </c>
      <c r="C97">
        <f>SUM('Mass Balance'!E97:H97)</f>
        <v>1.458260528316665E-4</v>
      </c>
      <c r="D97">
        <f>Concentrations!F97/Concentrations!E97</f>
        <v>0.99978725482667152</v>
      </c>
    </row>
    <row r="98" spans="1:4">
      <c r="A98">
        <f>'Mass Balance'!I98</f>
        <v>1.5110949277979717E-6</v>
      </c>
      <c r="B98">
        <f>'Mass Balance'!E98</f>
        <v>1.6960855429505009E-5</v>
      </c>
      <c r="C98">
        <f>SUM('Mass Balance'!E98:H98)</f>
        <v>9.426955856542212E-5</v>
      </c>
      <c r="D98">
        <f>Concentrations!F98/Concentrations!E98</f>
        <v>0.17998885627798378</v>
      </c>
    </row>
    <row r="99" spans="1:4">
      <c r="A99">
        <f>'Mass Balance'!I99</f>
        <v>3.6657322515980998E-8</v>
      </c>
      <c r="B99">
        <f>'Mass Balance'!E99</f>
        <v>1.4943107722947124E-4</v>
      </c>
      <c r="C99">
        <f>SUM('Mass Balance'!E99:H99)</f>
        <v>1.4943289310729573E-4</v>
      </c>
      <c r="D99">
        <f>Concentrations!F99/Concentrations!E99</f>
        <v>1.0003778355007851</v>
      </c>
    </row>
    <row r="100" spans="1:4">
      <c r="A100">
        <f>'Mass Balance'!I100</f>
        <v>1.9409209716904935E-7</v>
      </c>
      <c r="B100">
        <f>'Mass Balance'!E100</f>
        <v>1.0707753151200077E-4</v>
      </c>
      <c r="C100">
        <f>SUM('Mass Balance'!E100:H100)</f>
        <v>1.1389512467724443E-4</v>
      </c>
      <c r="D100">
        <f>Concentrations!F100/Concentrations!E100</f>
        <v>0.94050813149305612</v>
      </c>
    </row>
    <row r="101" spans="1:4">
      <c r="A101">
        <f>'Mass Balance'!I101</f>
        <v>3.6672866926654935E-8</v>
      </c>
      <c r="B101">
        <f>'Mass Balance'!E101</f>
        <v>1.4906732563844835E-4</v>
      </c>
      <c r="C101">
        <f>SUM('Mass Balance'!E101:H101)</f>
        <v>1.490721398324871E-4</v>
      </c>
      <c r="D101">
        <f>Concentrations!F101/Concentrations!E101</f>
        <v>1.0003576850484848</v>
      </c>
    </row>
    <row r="102" spans="1:4">
      <c r="A102">
        <f>'Mass Balance'!I102</f>
        <v>3.6679042781372218E-8</v>
      </c>
      <c r="B102">
        <f>'Mass Balance'!E102</f>
        <v>1.4973807319879952E-4</v>
      </c>
      <c r="C102">
        <f>SUM('Mass Balance'!E102:H102)</f>
        <v>1.4973843684876084E-4</v>
      </c>
      <c r="D102">
        <f>Concentrations!F102/Concentrations!E102</f>
        <v>1.0003875625194711</v>
      </c>
    </row>
    <row r="103" spans="1:4">
      <c r="A103">
        <f>'Mass Balance'!I103</f>
        <v>3.6657652859515657E-8</v>
      </c>
      <c r="B103">
        <f>'Mass Balance'!E103</f>
        <v>1.4944814963812459E-4</v>
      </c>
      <c r="C103">
        <f>SUM('Mass Balance'!E103:H103)</f>
        <v>1.4944985816609573E-4</v>
      </c>
      <c r="D103">
        <f>Concentrations!F103/Concentrations!E103</f>
        <v>1.0003785554610216</v>
      </c>
    </row>
    <row r="104" spans="1:4">
      <c r="A104">
        <f>'Mass Balance'!I104</f>
        <v>3.7476222320436278E-8</v>
      </c>
      <c r="B104">
        <f>'Mass Balance'!E104</f>
        <v>1.4696385164323961E-4</v>
      </c>
      <c r="C104">
        <f>SUM('Mass Balance'!E104:H104)</f>
        <v>1.4701011081905794E-4</v>
      </c>
      <c r="D104">
        <f>Concentrations!F104/Concentrations!E104</f>
        <v>1.0000752026892545</v>
      </c>
    </row>
    <row r="105" spans="1:4">
      <c r="A105">
        <f>'Mass Balance'!I105</f>
        <v>3.6673649739933326E-8</v>
      </c>
      <c r="B105">
        <f>'Mass Balance'!E105</f>
        <v>1.4969299874482229E-4</v>
      </c>
      <c r="C105">
        <f>SUM('Mass Balance'!E105:H105)</f>
        <v>1.4969351015430897E-4</v>
      </c>
      <c r="D105">
        <f>Concentrations!F105/Concentrations!E105</f>
        <v>1.0003865743249911</v>
      </c>
    </row>
    <row r="106" spans="1:4">
      <c r="A106">
        <f>'Mass Balance'!I106</f>
        <v>4.8632432468571374E-8</v>
      </c>
      <c r="B106">
        <f>'Mass Balance'!E106</f>
        <v>1.3915056501238887E-4</v>
      </c>
      <c r="C106">
        <f>SUM('Mass Balance'!E106:H106)</f>
        <v>1.3966050991677027E-4</v>
      </c>
      <c r="D106">
        <f>Concentrations!F106/Concentrations!E106</f>
        <v>0.99673725025991455</v>
      </c>
    </row>
    <row r="107" spans="1:4">
      <c r="A107">
        <f>'Mass Balance'!I107</f>
        <v>1.6158439276152515E-6</v>
      </c>
      <c r="B107">
        <f>'Mass Balance'!E107</f>
        <v>1.3400065395244181E-5</v>
      </c>
      <c r="C107">
        <f>SUM('Mass Balance'!E107:H107)</f>
        <v>9.7639134168228995E-5</v>
      </c>
      <c r="D107">
        <f>Concentrations!F107/Concentrations!E107</f>
        <v>0.13729424608490648</v>
      </c>
    </row>
    <row r="108" spans="1:4">
      <c r="A108">
        <f>'Mass Balance'!I108</f>
        <v>1.5563180897151759E-7</v>
      </c>
      <c r="B108">
        <f>'Mass Balance'!E108</f>
        <v>1.1313001260027232E-4</v>
      </c>
      <c r="C108">
        <f>SUM('Mass Balance'!E108:H108)</f>
        <v>1.1823146635740206E-4</v>
      </c>
      <c r="D108">
        <f>Concentrations!F108/Concentrations!E108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0.90637827838801832</v>
      </c>
      <c r="M2" s="115">
        <v>1.440871811638794</v>
      </c>
      <c r="N2" s="115">
        <v>61.811034680144559</v>
      </c>
      <c r="O2" s="115">
        <v>1.3190694456936443</v>
      </c>
      <c r="P2" s="115">
        <v>1.3538632285295435</v>
      </c>
      <c r="Q2" s="111">
        <v>1.3190694456936443</v>
      </c>
      <c r="R2" s="68">
        <v>1.3538632285295435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4.8516850232728651E-3</v>
      </c>
      <c r="M3" s="115">
        <v>246.4638524780537</v>
      </c>
      <c r="N3" s="115">
        <v>26445.106205797336</v>
      </c>
      <c r="O3" s="115">
        <v>159.49236076237378</v>
      </c>
      <c r="P3" s="115">
        <v>68.318801972990727</v>
      </c>
      <c r="Q3" s="111">
        <v>159.49236076237378</v>
      </c>
      <c r="R3" s="68">
        <v>68.318801972990727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0.678358936920327</v>
      </c>
      <c r="M4" s="115">
        <v>6.0927894145317865</v>
      </c>
      <c r="N4" s="115">
        <v>573.91657655830443</v>
      </c>
      <c r="O4" s="115">
        <v>6.1856898375194262</v>
      </c>
      <c r="P4" s="115">
        <v>5.7947353224341454</v>
      </c>
      <c r="Q4" s="111">
        <v>6.1856898375194262</v>
      </c>
      <c r="R4" s="68">
        <v>5.7947353224341454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4.807710761521948E-2</v>
      </c>
      <c r="M5" s="115">
        <v>67.174268659189934</v>
      </c>
      <c r="N5" s="115">
        <v>7142.0186221157855</v>
      </c>
      <c r="O5" s="115">
        <v>62.907606038566151</v>
      </c>
      <c r="P5" s="115">
        <v>53.044174479247495</v>
      </c>
      <c r="Q5" s="111">
        <v>62.907606038566151</v>
      </c>
      <c r="R5" s="68">
        <v>53.044174479247495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2.3120272423031623E-3</v>
      </c>
      <c r="M6" s="115">
        <v>305.79106502902158</v>
      </c>
      <c r="N6" s="115">
        <v>32884.289921396223</v>
      </c>
      <c r="O6" s="115">
        <v>192.68855824873791</v>
      </c>
      <c r="P6" s="115">
        <v>76.329676598501337</v>
      </c>
      <c r="Q6" s="111">
        <v>192.68855824873793</v>
      </c>
      <c r="R6" s="68">
        <v>76.329676598501337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4.446809088588328E-3</v>
      </c>
      <c r="M7" s="115">
        <v>259.85055580819079</v>
      </c>
      <c r="N7" s="115">
        <v>27890.652488830812</v>
      </c>
      <c r="O7" s="115">
        <v>167.35467840752571</v>
      </c>
      <c r="P7" s="115">
        <v>70.701031937597349</v>
      </c>
      <c r="Q7" s="111">
        <v>167.35467840752571</v>
      </c>
      <c r="R7" s="68">
        <v>70.701031937597364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9.4641336557526896E-3</v>
      </c>
      <c r="M8" s="115">
        <v>198.0574407509132</v>
      </c>
      <c r="N8" s="115">
        <v>21206.535054254258</v>
      </c>
      <c r="O8" s="115">
        <v>133.41302923630565</v>
      </c>
      <c r="P8" s="115">
        <v>63.816426631049438</v>
      </c>
      <c r="Q8" s="111">
        <v>133.41302923630565</v>
      </c>
      <c r="R8" s="68">
        <v>63.816426631049438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0.26540889468128509</v>
      </c>
      <c r="M9" s="115">
        <v>25.564235639324636</v>
      </c>
      <c r="N9" s="115">
        <v>2676.1790478221424</v>
      </c>
      <c r="O9" s="115">
        <v>28.119086129601008</v>
      </c>
      <c r="P9" s="115">
        <v>27.603065370631501</v>
      </c>
      <c r="Q9" s="111">
        <v>28.119086129601008</v>
      </c>
      <c r="R9" s="68">
        <v>27.603065370631505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4.4759612044355079E-2</v>
      </c>
      <c r="M10" s="115">
        <v>71.932356604178807</v>
      </c>
      <c r="N10" s="115">
        <v>7651.1329136534132</v>
      </c>
      <c r="O10" s="115">
        <v>65.438304752506255</v>
      </c>
      <c r="P10" s="115">
        <v>53.344477028447479</v>
      </c>
      <c r="Q10" s="111">
        <v>65.438304752506255</v>
      </c>
      <c r="R10" s="68">
        <v>53.344477028447486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3.9570408477651746E-2</v>
      </c>
      <c r="M11" s="115">
        <v>80.298710917916523</v>
      </c>
      <c r="N11" s="115">
        <v>8546.8247614773718</v>
      </c>
      <c r="O11" s="115">
        <v>69.857113034689164</v>
      </c>
      <c r="P11" s="115">
        <v>53.82397471441876</v>
      </c>
      <c r="Q11" s="111">
        <v>69.857113034689164</v>
      </c>
      <c r="R11" s="68">
        <v>53.823974714418767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0.19673860725952472</v>
      </c>
      <c r="M12" s="115">
        <v>30.816808431032936</v>
      </c>
      <c r="N12" s="115">
        <v>3241.9943939401446</v>
      </c>
      <c r="O12" s="115">
        <v>34.403689188341794</v>
      </c>
      <c r="P12" s="115">
        <v>34.206148793724225</v>
      </c>
      <c r="Q12" s="111">
        <v>34.403689188341801</v>
      </c>
      <c r="R12" s="68">
        <v>34.206148793724232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0.25831843394902304</v>
      </c>
      <c r="M13" s="115">
        <v>26.058436462596795</v>
      </c>
      <c r="N13" s="115">
        <v>2729.4236416578415</v>
      </c>
      <c r="O13" s="115">
        <v>28.703213460226571</v>
      </c>
      <c r="P13" s="115">
        <v>28.210408455513111</v>
      </c>
      <c r="Q13" s="111">
        <v>28.703213460226571</v>
      </c>
      <c r="R13" s="68">
        <v>28.210408455513111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2.6463357514673123E-2</v>
      </c>
      <c r="M14" s="115">
        <v>110.68184952098967</v>
      </c>
      <c r="N14" s="115">
        <v>11803.865782472205</v>
      </c>
      <c r="O14" s="115">
        <v>86.065025944575325</v>
      </c>
      <c r="P14" s="115">
        <v>55.923185749992832</v>
      </c>
      <c r="Q14" s="111">
        <v>86.065025944575325</v>
      </c>
      <c r="R14" s="68">
        <v>55.92318574999284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4.2111528420635251E-2</v>
      </c>
      <c r="M15" s="115">
        <v>76.047932831977647</v>
      </c>
      <c r="N15" s="115">
        <v>8091.6637377073775</v>
      </c>
      <c r="O15" s="115">
        <v>67.616099477546797</v>
      </c>
      <c r="P15" s="115">
        <v>53.586569577561875</v>
      </c>
      <c r="Q15" s="111">
        <v>67.616099477546797</v>
      </c>
      <c r="R15" s="68">
        <v>53.586569577561882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9.7627353698446738E-3</v>
      </c>
      <c r="M16" s="115">
        <v>194.98950796557429</v>
      </c>
      <c r="N16" s="115">
        <v>20875.708504777685</v>
      </c>
      <c r="O16" s="115">
        <v>131.69959806416591</v>
      </c>
      <c r="P16" s="115">
        <v>63.437296182396132</v>
      </c>
      <c r="Q16" s="111">
        <v>131.69959806416591</v>
      </c>
      <c r="R16" s="68">
        <v>63.437296182396139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4.6963216963991604E-2</v>
      </c>
      <c r="M17" s="115">
        <v>68.751095510641065</v>
      </c>
      <c r="N17" s="115">
        <v>7310.7074106840155</v>
      </c>
      <c r="O17" s="115">
        <v>63.753099215791607</v>
      </c>
      <c r="P17" s="115">
        <v>53.155613239516669</v>
      </c>
      <c r="Q17" s="111">
        <v>63.753099215791607</v>
      </c>
      <c r="R17" s="68">
        <v>53.155613239516669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0.29542645757187364</v>
      </c>
      <c r="M18" s="115">
        <v>23.117802826187951</v>
      </c>
      <c r="N18" s="115">
        <v>2413.4023162572416</v>
      </c>
      <c r="O18" s="115">
        <v>25.266833128236236</v>
      </c>
      <c r="P18" s="115">
        <v>24.670268474045947</v>
      </c>
      <c r="Q18" s="111">
        <v>25.266833128236236</v>
      </c>
      <c r="R18" s="68">
        <v>24.670268474045947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4.1596835526717842E-2</v>
      </c>
      <c r="M19" s="115">
        <v>76.891225713520242</v>
      </c>
      <c r="N19" s="115">
        <v>8181.9458330088892</v>
      </c>
      <c r="O19" s="115">
        <v>68.062680679465089</v>
      </c>
      <c r="P19" s="115">
        <v>53.637063195126544</v>
      </c>
      <c r="Q19" s="111">
        <v>68.062680679465089</v>
      </c>
      <c r="R19" s="68">
        <v>53.637063195126551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0.25843882125873752</v>
      </c>
      <c r="M20" s="115">
        <v>26.070580795516204</v>
      </c>
      <c r="N20" s="115">
        <v>2730.6956684515435</v>
      </c>
      <c r="O20" s="115">
        <v>28.716590371025429</v>
      </c>
      <c r="P20" s="115">
        <v>28.223555698348189</v>
      </c>
      <c r="Q20" s="111">
        <v>28.716590371025429</v>
      </c>
      <c r="R20" s="68">
        <v>28.223555698348189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2.9785195169844642E-2</v>
      </c>
      <c r="M21" s="115">
        <v>100.98009822113293</v>
      </c>
      <c r="N21" s="115">
        <v>10763.263643202166</v>
      </c>
      <c r="O21" s="115">
        <v>80.815282411711806</v>
      </c>
      <c r="P21" s="115">
        <v>55.10886310394595</v>
      </c>
      <c r="Q21" s="111">
        <v>80.815282411711806</v>
      </c>
      <c r="R21" s="68">
        <v>55.108863103945957</v>
      </c>
    </row>
    <row r="22" spans="1:18">
      <c r="A22" s="102" t="s">
        <v>343</v>
      </c>
      <c r="B22" s="102" t="s">
        <v>403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0.80945039511823347</v>
      </c>
      <c r="M22" s="115">
        <v>2.8862255715768139</v>
      </c>
      <c r="N22" s="115">
        <v>223.40697148661158</v>
      </c>
      <c r="O22" s="115">
        <v>2.8001871350981529</v>
      </c>
      <c r="P22" s="115">
        <v>2.6631304027613227</v>
      </c>
      <c r="Q22" s="111">
        <v>2.8001871350981529</v>
      </c>
      <c r="R22" s="68">
        <v>2.6631304027613232</v>
      </c>
    </row>
    <row r="23" spans="1:18">
      <c r="A23" s="102" t="s">
        <v>344</v>
      </c>
      <c r="B23" s="102" t="s">
        <v>404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0.88045380408148111</v>
      </c>
      <c r="M23" s="115">
        <v>1.7597102774977564</v>
      </c>
      <c r="N23" s="115">
        <v>97.930773867338004</v>
      </c>
      <c r="O23" s="115">
        <v>1.641419431621185</v>
      </c>
      <c r="P23" s="115">
        <v>1.6322046721981192</v>
      </c>
      <c r="Q23" s="111">
        <v>1.6414194316211852</v>
      </c>
      <c r="R23" s="68">
        <v>1.6322046721981194</v>
      </c>
    </row>
    <row r="24" spans="1:18">
      <c r="A24" s="102" t="s">
        <v>345</v>
      </c>
      <c r="B24" s="102" t="s">
        <v>405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0.49197942013340451</v>
      </c>
      <c r="M24" s="115">
        <v>12.87236518509655</v>
      </c>
      <c r="N24" s="115">
        <v>1308.1140857434589</v>
      </c>
      <c r="O24" s="115">
        <v>13.58993065482875</v>
      </c>
      <c r="P24" s="115">
        <v>12.925765162109506</v>
      </c>
      <c r="Q24" s="111">
        <v>13.589930654828752</v>
      </c>
      <c r="R24" s="68">
        <v>12.925765162109508</v>
      </c>
    </row>
    <row r="25" spans="1:18">
      <c r="A25" s="102" t="s">
        <v>346</v>
      </c>
      <c r="B25" s="102" t="s">
        <v>406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0.11951011386511866</v>
      </c>
      <c r="M25" s="115">
        <v>35.052708600855837</v>
      </c>
      <c r="N25" s="115">
        <v>3703.5215582217875</v>
      </c>
      <c r="O25" s="115">
        <v>39.892810040930769</v>
      </c>
      <c r="P25" s="115">
        <v>40.328668921101638</v>
      </c>
      <c r="Q25" s="111">
        <v>39.892810040930769</v>
      </c>
      <c r="R25" s="68">
        <v>40.328668921101638</v>
      </c>
    </row>
    <row r="26" spans="1:18">
      <c r="A26" s="102" t="s">
        <v>347</v>
      </c>
      <c r="B26" s="102" t="s">
        <v>407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3.2236589101773995E-2</v>
      </c>
      <c r="M26" s="115">
        <v>95.014545780044017</v>
      </c>
      <c r="N26" s="115">
        <v>10123.611492252599</v>
      </c>
      <c r="O26" s="115">
        <v>77.643289571720075</v>
      </c>
      <c r="P26" s="115">
        <v>54.713196128279762</v>
      </c>
      <c r="Q26" s="111">
        <v>77.643289571720075</v>
      </c>
      <c r="R26" s="68">
        <v>54.713196128279762</v>
      </c>
    </row>
    <row r="27" spans="1:18">
      <c r="A27" s="102" t="s">
        <v>348</v>
      </c>
      <c r="B27" s="102" t="s">
        <v>349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5.3350970011228366E-3</v>
      </c>
      <c r="M27" s="115">
        <v>241.17062803726461</v>
      </c>
      <c r="N27" s="115">
        <v>25870.04278437117</v>
      </c>
      <c r="O27" s="115">
        <v>156.73275828005501</v>
      </c>
      <c r="P27" s="115">
        <v>67.963500663247814</v>
      </c>
      <c r="Q27" s="111">
        <v>156.73275828005501</v>
      </c>
      <c r="R27" s="68">
        <v>67.963500663247828</v>
      </c>
    </row>
    <row r="28" spans="1:18">
      <c r="A28" s="102" t="s">
        <v>350</v>
      </c>
      <c r="B28" s="102" t="s">
        <v>351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1.8098892928010687E-2</v>
      </c>
      <c r="M28" s="115">
        <v>142.13361436461346</v>
      </c>
      <c r="N28" s="115">
        <v>15182.354167279816</v>
      </c>
      <c r="O28" s="115">
        <v>102.99219935327977</v>
      </c>
      <c r="P28" s="115">
        <v>58.467951664978003</v>
      </c>
      <c r="Q28" s="111">
        <v>102.99219935327979</v>
      </c>
      <c r="R28" s="68">
        <v>58.46795166497801</v>
      </c>
    </row>
    <row r="29" spans="1:18">
      <c r="A29" s="102" t="s">
        <v>352</v>
      </c>
      <c r="B29" s="102" t="s">
        <v>408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2.3962175118738636E-2</v>
      </c>
      <c r="M29" s="115">
        <v>93.44550756677107</v>
      </c>
      <c r="N29" s="115">
        <v>9963.8447030337356</v>
      </c>
      <c r="O29" s="115">
        <v>73.339666259229631</v>
      </c>
      <c r="P29" s="115">
        <v>48.42035140582459</v>
      </c>
      <c r="Q29" s="111">
        <v>73.339666259229631</v>
      </c>
      <c r="R29" s="68">
        <v>48.420351405824597</v>
      </c>
    </row>
    <row r="30" spans="1:18">
      <c r="A30" s="102" t="s">
        <v>353</v>
      </c>
      <c r="B30" s="102" t="s">
        <v>409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1.8098892928010687E-2</v>
      </c>
      <c r="M30" s="115">
        <v>142.13361436461346</v>
      </c>
      <c r="N30" s="115">
        <v>15182.354167279816</v>
      </c>
      <c r="O30" s="115">
        <v>102.99219935327977</v>
      </c>
      <c r="P30" s="115">
        <v>58.467951664978003</v>
      </c>
      <c r="Q30" s="111">
        <v>102.99219935327979</v>
      </c>
      <c r="R30" s="68">
        <v>58.46795166497801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0.98355326862232384</v>
      </c>
      <c r="M31" s="115">
        <v>0.93846269585967257</v>
      </c>
      <c r="N31" s="115">
        <v>1.1525368404293952</v>
      </c>
      <c r="O31" s="115">
        <v>0.82239210230171667</v>
      </c>
      <c r="P31" s="115">
        <v>0.95182331454725855</v>
      </c>
      <c r="Q31" s="111">
        <v>0.82239210230171667</v>
      </c>
      <c r="R31" s="68">
        <v>0.95182331454725855</v>
      </c>
    </row>
    <row r="32" spans="1:18">
      <c r="A32" s="102" t="s">
        <v>354</v>
      </c>
      <c r="B32" s="102" t="s">
        <v>355</v>
      </c>
      <c r="D32" s="103" t="s">
        <v>410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0.75465919652671742</v>
      </c>
      <c r="M32" s="115">
        <v>4.6741000627948646</v>
      </c>
      <c r="N32" s="115">
        <v>407.23711680499736</v>
      </c>
      <c r="O32" s="115">
        <v>4.1700095226460832</v>
      </c>
      <c r="P32" s="115">
        <v>3.8304237998596919</v>
      </c>
      <c r="Q32" s="111">
        <v>4.1700095226460832</v>
      </c>
      <c r="R32" s="68">
        <v>3.8304237998596919</v>
      </c>
    </row>
    <row r="33" spans="1:18">
      <c r="A33" s="102" t="s">
        <v>356</v>
      </c>
      <c r="B33" s="102" t="s">
        <v>357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0.99300257654583368</v>
      </c>
      <c r="M33" s="115">
        <v>0.94052909355950687</v>
      </c>
      <c r="N33" s="115">
        <v>0.59139889238720122</v>
      </c>
      <c r="O33" s="115">
        <v>0.84230654431404839</v>
      </c>
      <c r="P33" s="115">
        <v>0.99019517509765909</v>
      </c>
      <c r="Q33" s="111">
        <v>0.84230654431404839</v>
      </c>
      <c r="R33" s="68">
        <v>0.9901951750976592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0.92565802070568548</v>
      </c>
      <c r="M34" s="115">
        <v>1.4042941712521662</v>
      </c>
      <c r="N34" s="115">
        <v>75.658186451905294</v>
      </c>
      <c r="O34" s="115">
        <v>4.4152023955878743</v>
      </c>
      <c r="P34" s="115">
        <v>7.2180464636131365</v>
      </c>
      <c r="Q34" s="111">
        <v>4.4152023955878743</v>
      </c>
      <c r="R34" s="68">
        <v>7.2180464636131365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0.83327701991126202</v>
      </c>
      <c r="M35" s="115">
        <v>1.9316419760163666</v>
      </c>
      <c r="N35" s="115">
        <v>161.99689868089277</v>
      </c>
      <c r="O35" s="115">
        <v>8.9196542787875401</v>
      </c>
      <c r="P35" s="115">
        <v>15.097559857829108</v>
      </c>
      <c r="Q35" s="111">
        <v>8.9196542787875401</v>
      </c>
      <c r="R35" s="68">
        <v>15.097559857829108</v>
      </c>
    </row>
    <row r="36" spans="1:18">
      <c r="A36" s="102" t="s">
        <v>358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0.55505624103650175</v>
      </c>
      <c r="M36" s="115">
        <v>3.3099341098918345</v>
      </c>
      <c r="N36" s="115">
        <v>390.8866403075055</v>
      </c>
      <c r="O36" s="115">
        <v>21.959197057200853</v>
      </c>
      <c r="P36" s="115">
        <v>37.984380768576344</v>
      </c>
      <c r="Q36" s="111">
        <v>21.959197057200853</v>
      </c>
      <c r="R36" s="68">
        <v>37.984380768576344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0.67784658689058919</v>
      </c>
      <c r="M37" s="115">
        <v>5.5560764734758816</v>
      </c>
      <c r="N37" s="115">
        <v>562.11038801285872</v>
      </c>
      <c r="O37" s="115">
        <v>13.175287713335994</v>
      </c>
      <c r="P37" s="115">
        <v>19.684270115446459</v>
      </c>
      <c r="Q37" s="111">
        <v>13.175287713335996</v>
      </c>
      <c r="R37" s="68">
        <v>19.684270115446463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0.94072488329601389</v>
      </c>
      <c r="M38" s="115">
        <v>1.3243184681037055</v>
      </c>
      <c r="N38" s="115">
        <v>61.556991192663915</v>
      </c>
      <c r="O38" s="115">
        <v>3.6116214602022167</v>
      </c>
      <c r="P38" s="115">
        <v>5.7973941582339306</v>
      </c>
      <c r="Q38" s="111">
        <v>3.6116214602022167</v>
      </c>
      <c r="R38" s="68">
        <v>5.7973941582339306</v>
      </c>
    </row>
    <row r="39" spans="1:18">
      <c r="A39" s="102" t="s">
        <v>359</v>
      </c>
      <c r="B39" s="102" t="s">
        <v>360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7.1692832032813333E-2</v>
      </c>
      <c r="M39" s="115">
        <v>44.297463313331463</v>
      </c>
      <c r="N39" s="115">
        <v>4696.5577971759531</v>
      </c>
      <c r="O39" s="115">
        <v>50.888155926957474</v>
      </c>
      <c r="P39" s="115">
        <v>51.913001938361845</v>
      </c>
      <c r="Q39" s="111">
        <v>50.888155926957474</v>
      </c>
      <c r="R39" s="68">
        <v>51.913001938361852</v>
      </c>
    </row>
    <row r="40" spans="1:18">
      <c r="A40" s="102" t="s">
        <v>361</v>
      </c>
      <c r="B40" s="102" t="s">
        <v>362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9.2182205491763217E-3</v>
      </c>
      <c r="M40" s="115">
        <v>365.87044815970086</v>
      </c>
      <c r="N40" s="115">
        <v>50408.10736922799</v>
      </c>
      <c r="O40" s="115">
        <v>177.91833743883097</v>
      </c>
      <c r="P40" s="115">
        <v>116.66882613885124</v>
      </c>
      <c r="Q40" s="111">
        <v>177.91833743883097</v>
      </c>
      <c r="R40" s="68">
        <v>116.66882613885126</v>
      </c>
    </row>
    <row r="41" spans="1:18">
      <c r="A41" s="102" t="s">
        <v>363</v>
      </c>
      <c r="B41" s="102" t="s">
        <v>364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0.92707281661100494</v>
      </c>
      <c r="M41" s="115">
        <v>0.87485869072975619</v>
      </c>
      <c r="N41" s="115">
        <v>6.5592149688762119E-2</v>
      </c>
      <c r="O41" s="115">
        <v>0.76641220986417735</v>
      </c>
      <c r="P41" s="115">
        <v>0.89057554012925066</v>
      </c>
      <c r="Q41" s="111">
        <v>0.76641220986417735</v>
      </c>
      <c r="R41" s="68">
        <v>0.89057554012925066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0.79054681647869918</v>
      </c>
      <c r="M42" s="115">
        <v>3.3033454622631475</v>
      </c>
      <c r="N42" s="115">
        <v>269.1436089320373</v>
      </c>
      <c r="O42" s="115">
        <v>3.233982161478949</v>
      </c>
      <c r="P42" s="115">
        <v>3.0569142587260849</v>
      </c>
      <c r="Q42" s="111">
        <v>3.2339821614789495</v>
      </c>
      <c r="R42" s="68">
        <v>3.0569142587260854</v>
      </c>
    </row>
    <row r="43" spans="1:18">
      <c r="A43" s="102" t="s">
        <v>365</v>
      </c>
      <c r="B43" s="102" t="s">
        <v>366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8.2952813709553874E-2</v>
      </c>
      <c r="M43" s="115">
        <v>10.973133770128401</v>
      </c>
      <c r="N43" s="115">
        <v>1518.4999469722693</v>
      </c>
      <c r="O43" s="115">
        <v>45.695493600395373</v>
      </c>
      <c r="P43" s="115">
        <v>76.801358686000896</v>
      </c>
      <c r="Q43" s="111">
        <v>45.695493600395373</v>
      </c>
      <c r="R43" s="68">
        <v>76.801358686000896</v>
      </c>
    </row>
    <row r="44" spans="1:18">
      <c r="A44" s="102" t="s">
        <v>367</v>
      </c>
      <c r="B44" s="102" t="s">
        <v>368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0.86026939230572919</v>
      </c>
      <c r="M44" s="115">
        <v>1.121686230343524</v>
      </c>
      <c r="N44" s="115">
        <v>32.761162317133632</v>
      </c>
      <c r="O44" s="115">
        <v>1.0089917531683477</v>
      </c>
      <c r="P44" s="115">
        <v>1.0744627350235125</v>
      </c>
      <c r="Q44" s="111">
        <v>1.0089917531683477</v>
      </c>
      <c r="R44" s="68">
        <v>1.0744627350235127</v>
      </c>
    </row>
    <row r="45" spans="1:18">
      <c r="A45" s="102" t="s">
        <v>369</v>
      </c>
      <c r="B45" s="102" t="s">
        <v>370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0.76993067747878785</v>
      </c>
      <c r="M45" s="115">
        <v>3.7284820935571279</v>
      </c>
      <c r="N45" s="115">
        <v>315.90490754462797</v>
      </c>
      <c r="O45" s="115">
        <v>3.6790141466947937</v>
      </c>
      <c r="P45" s="115">
        <v>3.4634908010469219</v>
      </c>
      <c r="Q45" s="111">
        <v>3.6790141466947937</v>
      </c>
      <c r="R45" s="68">
        <v>3.4634908010469223</v>
      </c>
    </row>
    <row r="46" spans="1:18">
      <c r="A46" s="102" t="s">
        <v>371</v>
      </c>
      <c r="B46" s="102" t="s">
        <v>372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0.78138058527750576</v>
      </c>
      <c r="M46" s="115">
        <v>3.4483704232464159</v>
      </c>
      <c r="N46" s="115">
        <v>285.30494634617816</v>
      </c>
      <c r="O46" s="115">
        <v>3.3860060200832431</v>
      </c>
      <c r="P46" s="115">
        <v>3.1952668259805712</v>
      </c>
      <c r="Q46" s="111">
        <v>3.3860060200832436</v>
      </c>
      <c r="R46" s="68">
        <v>3.1952668259805712</v>
      </c>
    </row>
    <row r="47" spans="1:18">
      <c r="A47" s="102" t="s">
        <v>373</v>
      </c>
      <c r="B47" s="102" t="s">
        <v>374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4.9525868054343669E-3</v>
      </c>
      <c r="M47" s="115">
        <v>251.58962668518663</v>
      </c>
      <c r="N47" s="115">
        <v>26995.092104060601</v>
      </c>
      <c r="O47" s="115">
        <v>162.80936575442757</v>
      </c>
      <c r="P47" s="115">
        <v>69.73964624485636</v>
      </c>
      <c r="Q47" s="111">
        <v>162.80936575442757</v>
      </c>
      <c r="R47" s="68">
        <v>69.73964624485636</v>
      </c>
    </row>
    <row r="48" spans="1:18">
      <c r="A48" s="102" t="s">
        <v>375</v>
      </c>
      <c r="B48" s="102" t="s">
        <v>376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0.95069169722700564</v>
      </c>
      <c r="M48" s="115">
        <v>0.99846766613254168</v>
      </c>
      <c r="N48" s="115">
        <v>10.758326866920665</v>
      </c>
      <c r="O48" s="115">
        <v>0.88095730625081214</v>
      </c>
      <c r="P48" s="115">
        <v>0.98955224481495285</v>
      </c>
      <c r="Q48" s="111">
        <v>0.88095730625081226</v>
      </c>
      <c r="R48" s="68">
        <v>0.98955224481495285</v>
      </c>
    </row>
    <row r="49" spans="1:18">
      <c r="A49" s="102" t="s">
        <v>377</v>
      </c>
      <c r="B49" s="102" t="s">
        <v>378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0.93028378458421479</v>
      </c>
      <c r="M49" s="115">
        <v>1.0560574078804805</v>
      </c>
      <c r="N49" s="115">
        <v>18.872108767080174</v>
      </c>
      <c r="O49" s="115">
        <v>0.93809656687308418</v>
      </c>
      <c r="P49" s="115">
        <v>1.0317745548995625</v>
      </c>
      <c r="Q49" s="111">
        <v>0.93809656687308429</v>
      </c>
      <c r="R49" s="68">
        <v>1.0317745548995625</v>
      </c>
    </row>
    <row r="50" spans="1:18">
      <c r="A50" s="102" t="s">
        <v>379</v>
      </c>
      <c r="B50" s="102" t="s">
        <v>380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0.3033438319413328</v>
      </c>
      <c r="M50" s="115">
        <v>22.15172384204406</v>
      </c>
      <c r="N50" s="115">
        <v>2310.1660454077164</v>
      </c>
      <c r="O50" s="115">
        <v>24.15955905466593</v>
      </c>
      <c r="P50" s="115">
        <v>23.547380763165091</v>
      </c>
      <c r="Q50" s="111">
        <v>24.159559054665934</v>
      </c>
      <c r="R50" s="68">
        <v>23.547380763165091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0.92855365800608292</v>
      </c>
      <c r="M51" s="115">
        <v>0.89375985952885961</v>
      </c>
      <c r="N51" s="115">
        <v>1.9073931356499387</v>
      </c>
      <c r="O51" s="115">
        <v>0.78355407275245659</v>
      </c>
      <c r="P51" s="115">
        <v>0.90416295409116609</v>
      </c>
      <c r="Q51" s="111">
        <v>0.78355407275245659</v>
      </c>
      <c r="R51" s="68">
        <v>0.90416295409116609</v>
      </c>
    </row>
    <row r="52" spans="1:18">
      <c r="A52" s="102" t="s">
        <v>381</v>
      </c>
      <c r="B52" s="102" t="s">
        <v>382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0.85047288845627866</v>
      </c>
      <c r="M52" s="115">
        <v>1.3393136825019722</v>
      </c>
      <c r="N52" s="115">
        <v>56.662905028846225</v>
      </c>
      <c r="O52" s="115">
        <v>1.2251032407674718</v>
      </c>
      <c r="P52" s="115">
        <v>1.259349899161897</v>
      </c>
      <c r="Q52" s="111">
        <v>1.2251032407674718</v>
      </c>
      <c r="R52" s="68">
        <v>1.259349899161897</v>
      </c>
    </row>
    <row r="53" spans="1:18">
      <c r="A53" s="102" t="s">
        <v>383</v>
      </c>
      <c r="B53" s="102" t="s">
        <v>384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0.69606750024385278</v>
      </c>
      <c r="M53" s="115">
        <v>5.5207916190462072</v>
      </c>
      <c r="N53" s="115">
        <v>511.90077024848694</v>
      </c>
      <c r="O53" s="115">
        <v>5.5755923447597091</v>
      </c>
      <c r="P53" s="115">
        <v>5.2220533371865967</v>
      </c>
      <c r="Q53" s="111">
        <v>5.5755923447597091</v>
      </c>
      <c r="R53" s="68">
        <v>5.2220533371865967</v>
      </c>
    </row>
    <row r="54" spans="1:18">
      <c r="A54" s="102" t="s">
        <v>385</v>
      </c>
      <c r="B54" s="102" t="s">
        <v>386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6.7749866686834135E-3</v>
      </c>
      <c r="M54" s="115">
        <v>226.11399581831506</v>
      </c>
      <c r="N54" s="115">
        <v>24237.553096284555</v>
      </c>
      <c r="O54" s="115">
        <v>148.77994027242255</v>
      </c>
      <c r="P54" s="115">
        <v>66.810283071650062</v>
      </c>
      <c r="Q54" s="111">
        <v>148.77994027242255</v>
      </c>
      <c r="R54" s="68">
        <v>66.810283071650062</v>
      </c>
    </row>
    <row r="55" spans="1:18">
      <c r="A55" s="102" t="s">
        <v>387</v>
      </c>
      <c r="B55" s="102" t="s">
        <v>388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0.34615866002140844</v>
      </c>
      <c r="M55" s="115">
        <v>10.369168198488582</v>
      </c>
      <c r="N55" s="115">
        <v>1059.0038934080674</v>
      </c>
      <c r="O55" s="115">
        <v>10.996012233723835</v>
      </c>
      <c r="P55" s="115">
        <v>10.489199873103122</v>
      </c>
      <c r="Q55" s="111">
        <v>10.996012233723835</v>
      </c>
      <c r="R55" s="68">
        <v>10.489199873103122</v>
      </c>
    </row>
    <row r="56" spans="1:18">
      <c r="A56" s="102" t="s">
        <v>389</v>
      </c>
      <c r="B56" s="102" t="s">
        <v>390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2.9776413413064265E-2</v>
      </c>
      <c r="M56" s="115">
        <v>4.3506631128065907</v>
      </c>
      <c r="N56" s="115">
        <v>457.424650193231</v>
      </c>
      <c r="O56" s="115">
        <v>4.8467444505265309</v>
      </c>
      <c r="P56" s="115">
        <v>4.8100712056658272</v>
      </c>
      <c r="Q56" s="111">
        <v>4.8467444505265318</v>
      </c>
      <c r="R56" s="68">
        <v>4.8100712056658272</v>
      </c>
    </row>
    <row r="57" spans="1:18">
      <c r="A57" s="102" t="s">
        <v>391</v>
      </c>
      <c r="B57" s="102" t="s">
        <v>392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4.4237503770653955E-2</v>
      </c>
      <c r="M57" s="115">
        <v>1.779985488278133</v>
      </c>
      <c r="N57" s="115">
        <v>183.41202939608849</v>
      </c>
      <c r="O57" s="115">
        <v>1.9055872272968821</v>
      </c>
      <c r="P57" s="115">
        <v>1.8300991413922856</v>
      </c>
      <c r="Q57" s="111">
        <v>1.9055872272968823</v>
      </c>
      <c r="R57" s="68">
        <v>1.8300991413922858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7.5179641209932382E-2</v>
      </c>
      <c r="M58" s="115">
        <v>8.9141255553144907E-2</v>
      </c>
      <c r="N58" s="115">
        <v>1.9259356283460209</v>
      </c>
      <c r="O58" s="115">
        <v>7.9495674562891069E-2</v>
      </c>
      <c r="P58" s="115">
        <v>8.6493144981874284E-2</v>
      </c>
      <c r="Q58" s="111">
        <v>7.9495674562891069E-2</v>
      </c>
      <c r="R58" s="68">
        <v>8.6493144981874284E-2</v>
      </c>
    </row>
    <row r="59" spans="1:18">
      <c r="A59" s="102" t="s">
        <v>393</v>
      </c>
      <c r="B59" s="102" t="s">
        <v>394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1.6516687718429242E-2</v>
      </c>
      <c r="M59" s="115">
        <v>0.62070104186468433</v>
      </c>
      <c r="N59" s="115">
        <v>63.840124081652853</v>
      </c>
      <c r="O59" s="115">
        <v>0.66305675345319481</v>
      </c>
      <c r="P59" s="115">
        <v>0.63576738305073788</v>
      </c>
      <c r="Q59" s="111">
        <v>0.66305675345319481</v>
      </c>
      <c r="R59" s="68">
        <v>0.63576738305073788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5.8399894625362305E-4</v>
      </c>
      <c r="M60" s="115">
        <v>1.0456651589892067E-2</v>
      </c>
      <c r="N60" s="115">
        <v>1.0435686114710752</v>
      </c>
      <c r="O60" s="115">
        <v>1.0897740214061074E-2</v>
      </c>
      <c r="P60" s="115">
        <v>1.0289489331886281E-2</v>
      </c>
      <c r="Q60" s="111">
        <v>1.0897740214061076E-2</v>
      </c>
      <c r="R60" s="68">
        <v>1.0289489331886281E-2</v>
      </c>
    </row>
    <row r="61" spans="1:18">
      <c r="A61" s="102" t="s">
        <v>395</v>
      </c>
      <c r="B61" s="102" t="s">
        <v>396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0.61835680883867916</v>
      </c>
      <c r="M61" s="115">
        <v>7.9741686952675277</v>
      </c>
      <c r="N61" s="115">
        <v>778.22598287662095</v>
      </c>
      <c r="O61" s="115">
        <v>8.2120601532903432</v>
      </c>
      <c r="P61" s="115">
        <v>7.7159382229032687</v>
      </c>
      <c r="Q61" s="111">
        <v>8.2120601532903432</v>
      </c>
      <c r="R61" s="68">
        <v>7.7159382229032687</v>
      </c>
    </row>
    <row r="62" spans="1:18">
      <c r="A62" s="102" t="s">
        <v>397</v>
      </c>
      <c r="B62" s="102" t="s">
        <v>398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2.7195557045596199E-2</v>
      </c>
      <c r="M62" s="115">
        <v>108.55833658841405</v>
      </c>
      <c r="N62" s="115">
        <v>11575.991669499066</v>
      </c>
      <c r="O62" s="115">
        <v>84.934697587161466</v>
      </c>
      <c r="P62" s="115">
        <v>55.777456640285429</v>
      </c>
      <c r="Q62" s="111">
        <v>84.934697587161466</v>
      </c>
      <c r="R62" s="68">
        <v>55.777456640285429</v>
      </c>
    </row>
    <row r="63" spans="1:18">
      <c r="A63" s="102" t="s">
        <v>399</v>
      </c>
      <c r="B63" s="102" t="s">
        <v>400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2.7991506586646743E-3</v>
      </c>
      <c r="M63" s="115">
        <v>293.15563001116709</v>
      </c>
      <c r="N63" s="115">
        <v>31508.372778200548</v>
      </c>
      <c r="O63" s="115">
        <v>185.71397883237529</v>
      </c>
      <c r="P63" s="115">
        <v>74.735872351082719</v>
      </c>
      <c r="Q63" s="111">
        <v>185.71397883237529</v>
      </c>
      <c r="R63" s="68">
        <v>74.735872351082733</v>
      </c>
    </row>
    <row r="64" spans="1:18">
      <c r="A64" s="102" t="s">
        <v>401</v>
      </c>
      <c r="B64" s="102" t="s">
        <v>402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1.0219153256077903E-3</v>
      </c>
      <c r="M64" s="115">
        <v>351.90713069078669</v>
      </c>
      <c r="N64" s="115">
        <v>37927.426521088339</v>
      </c>
      <c r="O64" s="115">
        <v>218.12741709592345</v>
      </c>
      <c r="P64" s="115">
        <v>82.405416770315654</v>
      </c>
      <c r="Q64" s="111">
        <v>218.12741709592348</v>
      </c>
      <c r="R64" s="68">
        <v>82.405416770315668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3.0025573479851991E-4</v>
      </c>
      <c r="M65" s="115">
        <v>400.32595930723329</v>
      </c>
      <c r="N65" s="115">
        <v>43279.857277177347</v>
      </c>
      <c r="O65" s="115">
        <v>244.65836642512261</v>
      </c>
      <c r="P65" s="115">
        <v>89.236135389856329</v>
      </c>
      <c r="Q65" s="111">
        <v>244.65836642512261</v>
      </c>
      <c r="R65" s="68">
        <v>89.236135389856344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6.0785360059396735E-4</v>
      </c>
      <c r="M66" s="115">
        <v>375.16253746601916</v>
      </c>
      <c r="N66" s="115">
        <v>40488.073093646803</v>
      </c>
      <c r="O66" s="115">
        <v>230.91348868719379</v>
      </c>
      <c r="P66" s="115">
        <v>85.628582779012788</v>
      </c>
      <c r="Q66" s="111">
        <v>230.91348868719379</v>
      </c>
      <c r="R66" s="68">
        <v>85.628582779012788</v>
      </c>
    </row>
    <row r="67" spans="1:18">
      <c r="A67" s="102" t="s">
        <v>411</v>
      </c>
      <c r="B67" s="102" t="s">
        <v>425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0.91922038593931732</v>
      </c>
      <c r="M67" s="115">
        <v>1.26663125335823</v>
      </c>
      <c r="N67" s="115">
        <v>42.182762144889132</v>
      </c>
      <c r="O67" s="115">
        <v>1.1450725427672683</v>
      </c>
      <c r="P67" s="115">
        <v>1.2056909528229642</v>
      </c>
      <c r="Q67" s="111">
        <v>1.1450725427672683</v>
      </c>
      <c r="R67" s="68">
        <v>1.2056909528229645</v>
      </c>
    </row>
    <row r="68" spans="1:18">
      <c r="A68" s="102" t="s">
        <v>412</v>
      </c>
      <c r="B68" s="102" t="s">
        <v>426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0.887850176765001</v>
      </c>
      <c r="M68" s="115">
        <v>1.5455942580631921</v>
      </c>
      <c r="N68" s="115">
        <v>74.671129509635449</v>
      </c>
      <c r="O68" s="115">
        <v>1.4258103130055138</v>
      </c>
      <c r="P68" s="115">
        <v>1.4433630111127047</v>
      </c>
      <c r="Q68" s="111">
        <v>1.425810313005514</v>
      </c>
      <c r="R68" s="68">
        <v>1.4433630111127047</v>
      </c>
    </row>
    <row r="69" spans="1:18">
      <c r="A69" s="102" t="s">
        <v>413</v>
      </c>
      <c r="B69" s="102" t="s">
        <v>427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1.0200552576964228E-2</v>
      </c>
      <c r="M69" s="115">
        <v>189.95804128367993</v>
      </c>
      <c r="N69" s="115">
        <v>20333.619493884005</v>
      </c>
      <c r="O69" s="115">
        <v>128.8354857800193</v>
      </c>
      <c r="P69" s="115">
        <v>62.723820054195691</v>
      </c>
      <c r="Q69" s="111">
        <v>128.8354857800193</v>
      </c>
      <c r="R69" s="68">
        <v>62.723820054195699</v>
      </c>
    </row>
    <row r="70" spans="1:18">
      <c r="A70" s="102" t="s">
        <v>414</v>
      </c>
      <c r="B70" s="102" t="s">
        <v>428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0.14578169246940878</v>
      </c>
      <c r="M70" s="115">
        <v>34.684186940597407</v>
      </c>
      <c r="N70" s="115">
        <v>3660.0130540125438</v>
      </c>
      <c r="O70" s="115">
        <v>39.219932167878241</v>
      </c>
      <c r="P70" s="115">
        <v>39.428902412206369</v>
      </c>
      <c r="Q70" s="111">
        <v>39.219932167878241</v>
      </c>
      <c r="R70" s="68">
        <v>39.428902412206369</v>
      </c>
    </row>
    <row r="71" spans="1:18">
      <c r="A71" s="102" t="s">
        <v>415</v>
      </c>
      <c r="B71" s="102" t="s">
        <v>429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0.8805413407332201</v>
      </c>
      <c r="M71" s="115">
        <v>1.4702672326697039</v>
      </c>
      <c r="N71" s="115">
        <v>67.46749009177168</v>
      </c>
      <c r="O71" s="115">
        <v>1.3516104559521596</v>
      </c>
      <c r="P71" s="115">
        <v>1.3766486693574191</v>
      </c>
      <c r="Q71" s="111">
        <v>1.3516104559521598</v>
      </c>
      <c r="R71" s="68">
        <v>1.3766486693574194</v>
      </c>
    </row>
    <row r="72" spans="1:18">
      <c r="A72" s="102" t="s">
        <v>416</v>
      </c>
      <c r="B72" s="102" t="s">
        <v>430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0.15674619363733905</v>
      </c>
      <c r="M72" s="115">
        <v>31.694684822971144</v>
      </c>
      <c r="N72" s="115">
        <v>3340.9106520396444</v>
      </c>
      <c r="O72" s="115">
        <v>35.661132613869562</v>
      </c>
      <c r="P72" s="115">
        <v>35.696826493030649</v>
      </c>
      <c r="Q72" s="111">
        <v>35.661132613869562</v>
      </c>
      <c r="R72" s="68">
        <v>35.696826493030649</v>
      </c>
    </row>
    <row r="73" spans="1:18">
      <c r="A73" s="102" t="s">
        <v>417</v>
      </c>
      <c r="B73" s="102" t="s">
        <v>431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0.58616158563801424</v>
      </c>
      <c r="M73" s="115">
        <v>8.4260500089198054</v>
      </c>
      <c r="N73" s="115">
        <v>829.13679562928303</v>
      </c>
      <c r="O73" s="115">
        <v>8.7125143223775812</v>
      </c>
      <c r="P73" s="115">
        <v>8.1978504497956823</v>
      </c>
      <c r="Q73" s="111">
        <v>8.7125143223775812</v>
      </c>
      <c r="R73" s="68">
        <v>8.1978504497956823</v>
      </c>
    </row>
    <row r="74" spans="1:18">
      <c r="A74" s="102" t="s">
        <v>418</v>
      </c>
      <c r="B74" s="102" t="s">
        <v>432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0.14957937935435525</v>
      </c>
      <c r="M74" s="115">
        <v>33.971336219799667</v>
      </c>
      <c r="N74" s="115">
        <v>3583.7164027380668</v>
      </c>
      <c r="O74" s="115">
        <v>38.359076014608426</v>
      </c>
      <c r="P74" s="115">
        <v>38.515935984955917</v>
      </c>
      <c r="Q74" s="111">
        <v>38.359076014608426</v>
      </c>
      <c r="R74" s="68">
        <v>38.515935984955917</v>
      </c>
    </row>
    <row r="75" spans="1:18">
      <c r="A75" s="102" t="s">
        <v>419</v>
      </c>
      <c r="B75" s="102" t="s">
        <v>433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4.2002286748316353E-2</v>
      </c>
      <c r="M75" s="115">
        <v>37.384905735788976</v>
      </c>
      <c r="N75" s="115">
        <v>5243.212442844716</v>
      </c>
      <c r="O75" s="115">
        <v>57.043318140284924</v>
      </c>
      <c r="P75" s="115">
        <v>83.230985821295207</v>
      </c>
      <c r="Q75" s="111">
        <v>57.043318140284924</v>
      </c>
      <c r="R75" s="68">
        <v>83.230985821295221</v>
      </c>
    </row>
    <row r="76" spans="1:18">
      <c r="A76" s="102" t="s">
        <v>420</v>
      </c>
      <c r="B76" s="102" t="s">
        <v>434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4.2002286915430238E-2</v>
      </c>
      <c r="M76" s="115">
        <v>37.384905884531754</v>
      </c>
      <c r="N76" s="115">
        <v>5243.2124637058087</v>
      </c>
      <c r="O76" s="115">
        <v>57.043318367242343</v>
      </c>
      <c r="P76" s="115">
        <v>83.230986152445126</v>
      </c>
      <c r="Q76" s="111">
        <v>57.043318367242343</v>
      </c>
      <c r="R76" s="68">
        <v>83.230986152445126</v>
      </c>
    </row>
    <row r="77" spans="1:18">
      <c r="A77" s="102" t="s">
        <v>421</v>
      </c>
      <c r="B77" s="102" t="s">
        <v>435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0.34914914042897977</v>
      </c>
      <c r="M77" s="115">
        <v>17.654665584192099</v>
      </c>
      <c r="N77" s="115">
        <v>1828.9777188040091</v>
      </c>
      <c r="O77" s="115">
        <v>19.036871641224732</v>
      </c>
      <c r="P77" s="115">
        <v>18.383976734565014</v>
      </c>
      <c r="Q77" s="111">
        <v>19.036871641224732</v>
      </c>
      <c r="R77" s="68">
        <v>18.383976734565014</v>
      </c>
    </row>
    <row r="78" spans="1:18">
      <c r="A78" s="102" t="s">
        <v>422</v>
      </c>
      <c r="B78" s="102" t="s">
        <v>436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0.76980258012516745</v>
      </c>
      <c r="M78" s="115">
        <v>2.9947018858379386</v>
      </c>
      <c r="N78" s="115">
        <v>238.73766573541647</v>
      </c>
      <c r="O78" s="115">
        <v>2.9201251113243876</v>
      </c>
      <c r="P78" s="115">
        <v>2.7671931271468537</v>
      </c>
      <c r="Q78" s="111">
        <v>2.9201251113243876</v>
      </c>
      <c r="R78" s="68">
        <v>2.7671931271468542</v>
      </c>
    </row>
    <row r="79" spans="1:18">
      <c r="A79" s="102" t="s">
        <v>423</v>
      </c>
      <c r="B79" s="102" t="s">
        <v>437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0.68385609485802945</v>
      </c>
      <c r="M79" s="115">
        <v>5.6522638645689254</v>
      </c>
      <c r="N79" s="115">
        <v>526.96629284503956</v>
      </c>
      <c r="O79" s="115">
        <v>5.7184554411751796</v>
      </c>
      <c r="P79" s="115">
        <v>5.3559577633657671</v>
      </c>
      <c r="Q79" s="111">
        <v>5.7184554411751796</v>
      </c>
      <c r="R79" s="68">
        <v>5.3559577633657671</v>
      </c>
    </row>
    <row r="80" spans="1:18">
      <c r="A80" s="102" t="s">
        <v>424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2.8556679010383328E-2</v>
      </c>
      <c r="M80" s="115">
        <v>72.782330156055266</v>
      </c>
      <c r="N80" s="115">
        <v>10214.692306922416</v>
      </c>
      <c r="O80" s="115">
        <v>70.362561768872169</v>
      </c>
      <c r="P80" s="115">
        <v>88.286766552115196</v>
      </c>
      <c r="Q80" s="111">
        <v>70.362561768872169</v>
      </c>
      <c r="R80" s="68">
        <v>88.286766552115211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0.9811776452470572</v>
      </c>
      <c r="M81" s="115">
        <v>0.94152460288515649</v>
      </c>
      <c r="N81" s="115">
        <v>1.7111304945028747</v>
      </c>
      <c r="O81" s="115">
        <v>0.82529680516106219</v>
      </c>
      <c r="P81" s="115">
        <v>0.95332040325938938</v>
      </c>
      <c r="Q81" s="111">
        <v>0.82529680516106219</v>
      </c>
      <c r="R81" s="68">
        <v>0.95332040325938938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0.88322401519874383</v>
      </c>
      <c r="M82" s="115">
        <v>1.7227345730233647</v>
      </c>
      <c r="N82" s="115">
        <v>93.76704009473309</v>
      </c>
      <c r="O82" s="115">
        <v>1.6038697631029895</v>
      </c>
      <c r="P82" s="115">
        <v>1.5994993300439848</v>
      </c>
      <c r="Q82" s="111">
        <v>1.6038697631029897</v>
      </c>
      <c r="R82" s="68">
        <v>1.599499330043985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0.41705044797556484</v>
      </c>
      <c r="M83" s="115">
        <v>16.402879078829443</v>
      </c>
      <c r="N83" s="115">
        <v>1689.1578108136282</v>
      </c>
      <c r="O83" s="115">
        <v>17.547616964026528</v>
      </c>
      <c r="P83" s="115">
        <v>16.843408543995235</v>
      </c>
      <c r="Q83" s="111">
        <v>17.547616964026528</v>
      </c>
      <c r="R83" s="68">
        <v>16.843408543995235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0.96685170116429919</v>
      </c>
      <c r="M84" s="115">
        <v>0.97908599215515046</v>
      </c>
      <c r="N84" s="115">
        <v>7.1015454359368935</v>
      </c>
      <c r="O84" s="115">
        <v>0.86132538983208962</v>
      </c>
      <c r="P84" s="115">
        <v>0.97795394946229486</v>
      </c>
      <c r="Q84" s="111">
        <v>0.86132538983208962</v>
      </c>
      <c r="R84" s="68">
        <v>0.97795394946229497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0.98829399037802201</v>
      </c>
      <c r="M85" s="115">
        <v>0.93527656336421883</v>
      </c>
      <c r="N85" s="115">
        <v>0.34718690980548833</v>
      </c>
      <c r="O85" s="115">
        <v>0.81936805519863942</v>
      </c>
      <c r="P85" s="115">
        <v>0.95109959511760922</v>
      </c>
      <c r="Q85" s="111">
        <v>0.81936805519863942</v>
      </c>
      <c r="R85" s="68">
        <v>0.95109959511760922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0.96750812937569808</v>
      </c>
      <c r="M86" s="115">
        <v>0.97667812866009718</v>
      </c>
      <c r="N86" s="115">
        <v>6.7818691852640258</v>
      </c>
      <c r="O86" s="115">
        <v>0.8590005396888416</v>
      </c>
      <c r="P86" s="115">
        <v>0.97624718895269635</v>
      </c>
      <c r="Q86" s="111">
        <v>0.8590005396888416</v>
      </c>
      <c r="R86" s="68">
        <v>0.97624718895269635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3.988027972114061E-3</v>
      </c>
      <c r="M87" s="115">
        <v>268.06997967749373</v>
      </c>
      <c r="N87" s="115">
        <v>28782.324316756552</v>
      </c>
      <c r="O87" s="115">
        <v>171.88491862197557</v>
      </c>
      <c r="P87" s="115">
        <v>71.679956913916314</v>
      </c>
      <c r="Q87" s="111">
        <v>171.88491862197557</v>
      </c>
      <c r="R87" s="68">
        <v>71.679956913916314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0.82998964574925371</v>
      </c>
      <c r="M88" s="115">
        <v>2.5471253332450408</v>
      </c>
      <c r="N88" s="115">
        <v>185.72005809820689</v>
      </c>
      <c r="O88" s="115">
        <v>2.4486218628609207</v>
      </c>
      <c r="P88" s="115">
        <v>2.3470070693731193</v>
      </c>
      <c r="Q88" s="111">
        <v>2.4486218628609211</v>
      </c>
      <c r="R88" s="68">
        <v>2.3470070693731193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0.87477976813059644</v>
      </c>
      <c r="M89" s="115">
        <v>1.8387127397912248</v>
      </c>
      <c r="N89" s="115">
        <v>106.80181979986092</v>
      </c>
      <c r="O89" s="115">
        <v>1.721762689215288</v>
      </c>
      <c r="P89" s="115">
        <v>1.7024044126722742</v>
      </c>
      <c r="Q89" s="111">
        <v>1.721762689215288</v>
      </c>
      <c r="R89" s="68">
        <v>1.7024044126722742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0.94110853128676242</v>
      </c>
      <c r="M90" s="115">
        <v>1.1212742768456416</v>
      </c>
      <c r="N90" s="115">
        <v>24.678158611403198</v>
      </c>
      <c r="O90" s="115">
        <v>1.0003835712844682</v>
      </c>
      <c r="P90" s="115">
        <v>1.0871800054825325</v>
      </c>
      <c r="Q90" s="111">
        <v>1.0003835712844684</v>
      </c>
      <c r="R90" s="68">
        <v>1.0871800054825325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2.3725091127578063E-2</v>
      </c>
      <c r="M91" s="115">
        <v>119.59321221650926</v>
      </c>
      <c r="N91" s="115">
        <v>12760.377785409515</v>
      </c>
      <c r="O91" s="115">
        <v>90.856636629187847</v>
      </c>
      <c r="P91" s="115">
        <v>56.625738908030158</v>
      </c>
      <c r="Q91" s="111">
        <v>90.856636629187847</v>
      </c>
      <c r="R91" s="68">
        <v>56.625738908030165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0.4961711510541853</v>
      </c>
      <c r="M92" s="115">
        <v>12.693395360592069</v>
      </c>
      <c r="N92" s="115">
        <v>1288.7737720725772</v>
      </c>
      <c r="O92" s="115">
        <v>13.390981841142318</v>
      </c>
      <c r="P92" s="115">
        <v>12.73053028747699</v>
      </c>
      <c r="Q92" s="111">
        <v>13.390981841142318</v>
      </c>
      <c r="R92" s="68">
        <v>12.73053028747699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0.19962261848869881</v>
      </c>
      <c r="M93" s="115">
        <v>30.551651034038628</v>
      </c>
      <c r="N93" s="115">
        <v>3213.4673697837538</v>
      </c>
      <c r="O93" s="115">
        <v>34.083516085177983</v>
      </c>
      <c r="P93" s="115">
        <v>33.867057756317621</v>
      </c>
      <c r="Q93" s="111">
        <v>34.083516085177983</v>
      </c>
      <c r="R93" s="68">
        <v>33.867057756317621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0.98380424771057173</v>
      </c>
      <c r="M94" s="115">
        <v>1.0189903694064759</v>
      </c>
      <c r="N94" s="115">
        <v>13.073033611406347</v>
      </c>
      <c r="O94" s="115">
        <v>1.3728699169901708</v>
      </c>
      <c r="P94" s="115">
        <v>1.9097616041306844</v>
      </c>
      <c r="Q94" s="111">
        <v>1.3728699169901708</v>
      </c>
      <c r="R94" s="68">
        <v>1.9097616041306844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5.4749509051848728E-2</v>
      </c>
      <c r="M95" s="115">
        <v>59.189269066248286</v>
      </c>
      <c r="N95" s="115">
        <v>6287.9493885776665</v>
      </c>
      <c r="O95" s="115">
        <v>58.716792319959687</v>
      </c>
      <c r="P95" s="115">
        <v>52.648228796705837</v>
      </c>
      <c r="Q95" s="111">
        <v>58.716792319959687</v>
      </c>
      <c r="R95" s="68">
        <v>52.648228796705837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0.9807032248832358</v>
      </c>
      <c r="M96" s="115">
        <v>0.94224873996629244</v>
      </c>
      <c r="N96" s="115">
        <v>1.834610905697541</v>
      </c>
      <c r="O96" s="115">
        <v>0.82598477394826919</v>
      </c>
      <c r="P96" s="115">
        <v>0.95370875640749064</v>
      </c>
      <c r="Q96" s="111">
        <v>0.82598477394826919</v>
      </c>
      <c r="R96" s="68">
        <v>0.95370875640749064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0.96651740291803656</v>
      </c>
      <c r="M97" s="115">
        <v>0.98033674822292893</v>
      </c>
      <c r="N97" s="115">
        <v>7.2669380465797326</v>
      </c>
      <c r="O97" s="115">
        <v>0.86253364270423594</v>
      </c>
      <c r="P97" s="115">
        <v>0.97884424532313985</v>
      </c>
      <c r="Q97" s="111">
        <v>0.86253364270423594</v>
      </c>
      <c r="R97" s="68">
        <v>0.97884424532313996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0.11430396756788855</v>
      </c>
      <c r="M98" s="115">
        <v>38.548339994846216</v>
      </c>
      <c r="N98" s="115">
        <v>4075.9216925044993</v>
      </c>
      <c r="O98" s="115">
        <v>44.060806407227162</v>
      </c>
      <c r="P98" s="115">
        <v>44.707421995686325</v>
      </c>
      <c r="Q98" s="111">
        <v>44.060806407227162</v>
      </c>
      <c r="R98" s="68">
        <v>44.707421995686332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0.98984943755912469</v>
      </c>
      <c r="M99" s="115">
        <v>0.93513577846890283</v>
      </c>
      <c r="N99" s="115">
        <v>0.17852498553220916</v>
      </c>
      <c r="O99" s="115">
        <v>0.81922120134918708</v>
      </c>
      <c r="P99" s="115">
        <v>0.95153755026966891</v>
      </c>
      <c r="Q99" s="111">
        <v>0.81922120134918708</v>
      </c>
      <c r="R99" s="68">
        <v>0.95153755026966891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0.7198543533114119</v>
      </c>
      <c r="M100" s="115">
        <v>4.9513290094145246</v>
      </c>
      <c r="N100" s="115">
        <v>449.56907576126741</v>
      </c>
      <c r="O100" s="115">
        <v>4.9691355723304733</v>
      </c>
      <c r="P100" s="115">
        <v>4.6558856026638908</v>
      </c>
      <c r="Q100" s="111">
        <v>4.9691355723304733</v>
      </c>
      <c r="R100" s="68">
        <v>4.6558856026638908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0.98748696463985353</v>
      </c>
      <c r="M101" s="115">
        <v>0.93553231955752392</v>
      </c>
      <c r="N101" s="115">
        <v>0.45398399192868044</v>
      </c>
      <c r="O101" s="115">
        <v>0.81961367987419087</v>
      </c>
      <c r="P101" s="115">
        <v>0.95100613446112436</v>
      </c>
      <c r="Q101" s="111">
        <v>0.81961367987419087</v>
      </c>
      <c r="R101" s="68">
        <v>0.95100613446112447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0.99185891431701356</v>
      </c>
      <c r="M102" s="115">
        <v>0.93568986687174038</v>
      </c>
      <c r="N102" s="115">
        <v>3.8197093673012369E-2</v>
      </c>
      <c r="O102" s="115">
        <v>0.81970504778375342</v>
      </c>
      <c r="P102" s="115">
        <v>0.95262408499900597</v>
      </c>
      <c r="Q102" s="111">
        <v>0.81970504778375342</v>
      </c>
      <c r="R102" s="68">
        <v>0.95262408499900608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0.98996079205170429</v>
      </c>
      <c r="M103" s="115">
        <v>0.93514420559988909</v>
      </c>
      <c r="N103" s="115">
        <v>0.16840253377945541</v>
      </c>
      <c r="O103" s="115">
        <v>0.81922773442544339</v>
      </c>
      <c r="P103" s="115">
        <v>0.95158222005242032</v>
      </c>
      <c r="Q103" s="111">
        <v>0.81922773442544339</v>
      </c>
      <c r="R103" s="68">
        <v>0.95158222005242032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0.97412648200744945</v>
      </c>
      <c r="M104" s="115">
        <v>0.95602607960296626</v>
      </c>
      <c r="N104" s="115">
        <v>3.9422903304822619</v>
      </c>
      <c r="O104" s="115">
        <v>0.83913546653216731</v>
      </c>
      <c r="P104" s="115">
        <v>0.96212569563697103</v>
      </c>
      <c r="Q104" s="111">
        <v>0.83913546653216731</v>
      </c>
      <c r="R104" s="68">
        <v>0.96212569563697115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0.99156288113036228</v>
      </c>
      <c r="M105" s="115">
        <v>0.93555228928401335</v>
      </c>
      <c r="N105" s="115">
        <v>5.298336875187469E-2</v>
      </c>
      <c r="O105" s="115">
        <v>0.81958319702198112</v>
      </c>
      <c r="P105" s="115">
        <v>0.95242572391979285</v>
      </c>
      <c r="Q105" s="111">
        <v>0.81958319702198124</v>
      </c>
      <c r="R105" s="68">
        <v>0.95242572391979285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0.92640352384889346</v>
      </c>
      <c r="M106" s="115">
        <v>1.2406232772594739</v>
      </c>
      <c r="N106" s="115">
        <v>38.727820205137057</v>
      </c>
      <c r="O106" s="115">
        <v>1.1186820130212798</v>
      </c>
      <c r="P106" s="115">
        <v>1.1846626633008883</v>
      </c>
      <c r="Q106" s="111">
        <v>1.1186820130212798</v>
      </c>
      <c r="R106" s="68">
        <v>1.1846626633008883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9.0309092360703697E-2</v>
      </c>
      <c r="M107" s="115">
        <v>41.220508357531926</v>
      </c>
      <c r="N107" s="115">
        <v>4364.8065176015052</v>
      </c>
      <c r="O107" s="115">
        <v>47.560491703100539</v>
      </c>
      <c r="P107" s="115">
        <v>48.646796950565232</v>
      </c>
      <c r="Q107" s="111">
        <v>47.560491703100539</v>
      </c>
      <c r="R107" s="68">
        <v>48.646796950565232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0.75997236548861757</v>
      </c>
      <c r="M108" s="115">
        <v>3.9701992084570814</v>
      </c>
      <c r="N108" s="115">
        <v>342.32287018871176</v>
      </c>
      <c r="O108" s="115">
        <v>3.9326750180641796</v>
      </c>
      <c r="P108" s="115">
        <v>3.6965199383397471</v>
      </c>
      <c r="Q108" s="111">
        <v>3.9326750180641796</v>
      </c>
      <c r="R108" s="68">
        <v>3.6965199383397471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403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344</v>
      </c>
      <c r="B23" s="102" t="s">
        <v>404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345</v>
      </c>
      <c r="B24" s="102" t="s">
        <v>405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346</v>
      </c>
      <c r="B25" s="102" t="s">
        <v>406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347</v>
      </c>
      <c r="B26" s="102" t="s">
        <v>407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348</v>
      </c>
      <c r="B27" s="102" t="s">
        <v>349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350</v>
      </c>
      <c r="B28" s="102" t="s">
        <v>351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352</v>
      </c>
      <c r="B29" s="102" t="s">
        <v>408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353</v>
      </c>
      <c r="B30" s="102" t="s">
        <v>409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354</v>
      </c>
      <c r="B32" s="102" t="s">
        <v>355</v>
      </c>
      <c r="D32" s="107" t="s">
        <v>410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356</v>
      </c>
      <c r="B33" s="102" t="s">
        <v>357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358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359</v>
      </c>
      <c r="B39" s="102" t="s">
        <v>360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361</v>
      </c>
      <c r="B40" s="102" t="s">
        <v>362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363</v>
      </c>
      <c r="B41" s="102" t="s">
        <v>364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365</v>
      </c>
      <c r="B43" s="102" t="s">
        <v>366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367</v>
      </c>
      <c r="B44" s="102" t="s">
        <v>368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369</v>
      </c>
      <c r="B45" s="102" t="s">
        <v>370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371</v>
      </c>
      <c r="B46" s="102" t="s">
        <v>372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373</v>
      </c>
      <c r="B47" s="102" t="s">
        <v>374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375</v>
      </c>
      <c r="B48" s="102" t="s">
        <v>376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377</v>
      </c>
      <c r="B49" s="102" t="s">
        <v>378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379</v>
      </c>
      <c r="B50" s="102" t="s">
        <v>380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381</v>
      </c>
      <c r="B52" s="102" t="s">
        <v>382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383</v>
      </c>
      <c r="B53" s="102" t="s">
        <v>384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385</v>
      </c>
      <c r="B54" s="102" t="s">
        <v>386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387</v>
      </c>
      <c r="B55" s="102" t="s">
        <v>388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389</v>
      </c>
      <c r="B56" s="102" t="s">
        <v>390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391</v>
      </c>
      <c r="B57" s="102" t="s">
        <v>392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393</v>
      </c>
      <c r="B59" s="102" t="s">
        <v>394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395</v>
      </c>
      <c r="B61" s="102" t="s">
        <v>396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397</v>
      </c>
      <c r="B62" s="102" t="s">
        <v>398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399</v>
      </c>
      <c r="B63" s="102" t="s">
        <v>400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401</v>
      </c>
      <c r="B64" s="102" t="s">
        <v>402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425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412</v>
      </c>
      <c r="B68" s="102" t="s">
        <v>426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413</v>
      </c>
      <c r="B69" s="102" t="s">
        <v>427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414</v>
      </c>
      <c r="B70" s="102" t="s">
        <v>428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415</v>
      </c>
      <c r="B71" s="102" t="s">
        <v>429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416</v>
      </c>
      <c r="B72" s="102" t="s">
        <v>430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417</v>
      </c>
      <c r="B73" s="102" t="s">
        <v>431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418</v>
      </c>
      <c r="B74" s="102" t="s">
        <v>432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419</v>
      </c>
      <c r="B75" s="102" t="s">
        <v>433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420</v>
      </c>
      <c r="B76" s="102" t="s">
        <v>434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421</v>
      </c>
      <c r="B77" s="102" t="s">
        <v>435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422</v>
      </c>
      <c r="B78" s="102" t="s">
        <v>436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423</v>
      </c>
      <c r="B79" s="102" t="s">
        <v>437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424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2024-10-28T23:05:39Z</dcterms:modified>
</cp:coreProperties>
</file>