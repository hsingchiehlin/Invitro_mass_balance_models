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384well_1um\"/>
    </mc:Choice>
  </mc:AlternateContent>
  <xr:revisionPtr revIDLastSave="0" documentId="13_ncr:1_{D417E96A-D566-4B4E-834C-D2F5361999C6}" xr6:coauthVersionLast="47" xr6:coauthVersionMax="47" xr10:uidLastSave="{00000000-0000-0000-0000-000000000000}"/>
  <bookViews>
    <workbookView xWindow="43080" yWindow="-120" windowWidth="29040" windowHeight="15720" firstSheet="1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T131" i="4"/>
  <c r="S131" i="4"/>
  <c r="R131" i="4"/>
  <c r="U131" i="4" s="1"/>
  <c r="V130" i="4"/>
  <c r="R130" i="4"/>
  <c r="U130" i="4" s="1"/>
  <c r="V127" i="4"/>
  <c r="U127" i="4"/>
  <c r="R127" i="4"/>
  <c r="T127" i="4" s="1"/>
  <c r="V126" i="4"/>
  <c r="R126" i="4"/>
  <c r="U126" i="4" s="1"/>
  <c r="V124" i="4"/>
  <c r="U124" i="4"/>
  <c r="T124" i="4"/>
  <c r="S124" i="4"/>
  <c r="R124" i="4"/>
  <c r="V121" i="4"/>
  <c r="U121" i="4"/>
  <c r="T121" i="4"/>
  <c r="S121" i="4"/>
  <c r="R121" i="4"/>
  <c r="V120" i="4"/>
  <c r="R120" i="4"/>
  <c r="T120" i="4" s="1"/>
  <c r="V119" i="4"/>
  <c r="R119" i="4"/>
  <c r="U119" i="4" s="1"/>
  <c r="V116" i="4"/>
  <c r="R116" i="4"/>
  <c r="U116" i="4" s="1"/>
  <c r="V115" i="4"/>
  <c r="U115" i="4"/>
  <c r="T115" i="4"/>
  <c r="R115" i="4"/>
  <c r="S115" i="4" s="1"/>
  <c r="V114" i="4"/>
  <c r="U114" i="4"/>
  <c r="R114" i="4"/>
  <c r="T114" i="4" s="1"/>
  <c r="V108" i="4"/>
  <c r="R108" i="4"/>
  <c r="U108" i="4" s="1"/>
  <c r="V107" i="4"/>
  <c r="T107" i="4"/>
  <c r="S107" i="4"/>
  <c r="R107" i="4"/>
  <c r="U107" i="4" s="1"/>
  <c r="V93" i="4"/>
  <c r="R93" i="4"/>
  <c r="T93" i="4" s="1"/>
  <c r="V92" i="4"/>
  <c r="U92" i="4"/>
  <c r="R92" i="4"/>
  <c r="T92" i="4" s="1"/>
  <c r="V91" i="4"/>
  <c r="R91" i="4"/>
  <c r="U91" i="4" s="1"/>
  <c r="V90" i="4"/>
  <c r="U90" i="4"/>
  <c r="T90" i="4"/>
  <c r="S90" i="4"/>
  <c r="R90" i="4"/>
  <c r="V89" i="4"/>
  <c r="U89" i="4"/>
  <c r="T89" i="4"/>
  <c r="S89" i="4"/>
  <c r="R89" i="4"/>
  <c r="V88" i="4"/>
  <c r="R88" i="4"/>
  <c r="T88" i="4" s="1"/>
  <c r="V86" i="4"/>
  <c r="R86" i="4"/>
  <c r="U86" i="4" s="1"/>
  <c r="V85" i="4"/>
  <c r="R85" i="4"/>
  <c r="U85" i="4" s="1"/>
  <c r="V84" i="4"/>
  <c r="U84" i="4"/>
  <c r="T84" i="4"/>
  <c r="R84" i="4"/>
  <c r="S84" i="4" s="1"/>
  <c r="V83" i="4"/>
  <c r="U83" i="4"/>
  <c r="R83" i="4"/>
  <c r="T83" i="4" s="1"/>
  <c r="V82" i="4"/>
  <c r="R82" i="4"/>
  <c r="S82" i="4" s="1"/>
  <c r="V81" i="4"/>
  <c r="T81" i="4"/>
  <c r="S81" i="4"/>
  <c r="R81" i="4"/>
  <c r="U81" i="4" s="1"/>
  <c r="V80" i="4"/>
  <c r="R80" i="4"/>
  <c r="U80" i="4" s="1"/>
  <c r="V79" i="4"/>
  <c r="U79" i="4"/>
  <c r="R79" i="4"/>
  <c r="T79" i="4" s="1"/>
  <c r="V78" i="4"/>
  <c r="R78" i="4"/>
  <c r="U78" i="4" s="1"/>
  <c r="V77" i="4"/>
  <c r="U77" i="4"/>
  <c r="T77" i="4"/>
  <c r="S77" i="4"/>
  <c r="R77" i="4"/>
  <c r="V76" i="4"/>
  <c r="U76" i="4"/>
  <c r="T76" i="4"/>
  <c r="S76" i="4"/>
  <c r="R76" i="4"/>
  <c r="V75" i="4"/>
  <c r="R75" i="4"/>
  <c r="U75" i="4" s="1"/>
  <c r="V74" i="4"/>
  <c r="R74" i="4"/>
  <c r="U74" i="4" s="1"/>
  <c r="V73" i="4"/>
  <c r="R73" i="4"/>
  <c r="U73" i="4" s="1"/>
  <c r="V72" i="4"/>
  <c r="U72" i="4"/>
  <c r="T72" i="4"/>
  <c r="R72" i="4"/>
  <c r="S72" i="4" s="1"/>
  <c r="V71" i="4"/>
  <c r="U71" i="4"/>
  <c r="R71" i="4"/>
  <c r="T71" i="4" s="1"/>
  <c r="V70" i="4"/>
  <c r="R70" i="4"/>
  <c r="T70" i="4" s="1"/>
  <c r="V69" i="4"/>
  <c r="T69" i="4"/>
  <c r="S69" i="4"/>
  <c r="R69" i="4"/>
  <c r="U69" i="4" s="1"/>
  <c r="V68" i="4"/>
  <c r="R68" i="4"/>
  <c r="T68" i="4" s="1"/>
  <c r="V65" i="4"/>
  <c r="U65" i="4"/>
  <c r="R65" i="4"/>
  <c r="T65" i="4" s="1"/>
  <c r="V64" i="4"/>
  <c r="R64" i="4"/>
  <c r="U64" i="4" s="1"/>
  <c r="V63" i="4"/>
  <c r="U63" i="4"/>
  <c r="T63" i="4"/>
  <c r="S63" i="4"/>
  <c r="R63" i="4"/>
  <c r="V62" i="4"/>
  <c r="U62" i="4"/>
  <c r="T62" i="4"/>
  <c r="S62" i="4"/>
  <c r="R62" i="4"/>
  <c r="V61" i="4"/>
  <c r="R61" i="4"/>
  <c r="T61" i="4" s="1"/>
  <c r="V60" i="4"/>
  <c r="R60" i="4"/>
  <c r="U60" i="4" s="1"/>
  <c r="V58" i="4"/>
  <c r="R58" i="4"/>
  <c r="U58" i="4" s="1"/>
  <c r="V57" i="4"/>
  <c r="U57" i="4"/>
  <c r="T57" i="4"/>
  <c r="R57" i="4"/>
  <c r="S57" i="4" s="1"/>
  <c r="V49" i="4"/>
  <c r="U49" i="4"/>
  <c r="R49" i="4"/>
  <c r="T49" i="4" s="1"/>
  <c r="V48" i="4"/>
  <c r="R48" i="4"/>
  <c r="T48" i="4" s="1"/>
  <c r="V47" i="4"/>
  <c r="T47" i="4"/>
  <c r="S47" i="4"/>
  <c r="R47" i="4"/>
  <c r="U47" i="4" s="1"/>
  <c r="V46" i="4"/>
  <c r="R46" i="4"/>
  <c r="U46" i="4" s="1"/>
  <c r="V45" i="4"/>
  <c r="U45" i="4"/>
  <c r="R45" i="4"/>
  <c r="T45" i="4" s="1"/>
  <c r="V44" i="4"/>
  <c r="R44" i="4"/>
  <c r="U44" i="4" s="1"/>
  <c r="V43" i="4"/>
  <c r="U43" i="4"/>
  <c r="T43" i="4"/>
  <c r="S43" i="4"/>
  <c r="R43" i="4"/>
  <c r="V42" i="4"/>
  <c r="U42" i="4"/>
  <c r="T42" i="4"/>
  <c r="S42" i="4"/>
  <c r="R42" i="4"/>
  <c r="V41" i="4"/>
  <c r="R41" i="4"/>
  <c r="T41" i="4" s="1"/>
  <c r="V40" i="4"/>
  <c r="R40" i="4"/>
  <c r="U40" i="4" s="1"/>
  <c r="V39" i="4"/>
  <c r="R39" i="4"/>
  <c r="U39" i="4" s="1"/>
  <c r="V38" i="4"/>
  <c r="U38" i="4"/>
  <c r="T38" i="4"/>
  <c r="R38" i="4"/>
  <c r="S38" i="4" s="1"/>
  <c r="V37" i="4"/>
  <c r="U37" i="4"/>
  <c r="R37" i="4"/>
  <c r="T37" i="4" s="1"/>
  <c r="V36" i="4"/>
  <c r="R36" i="4"/>
  <c r="S36" i="4" s="1"/>
  <c r="V35" i="4"/>
  <c r="T35" i="4"/>
  <c r="S35" i="4"/>
  <c r="R35" i="4"/>
  <c r="U35" i="4" s="1"/>
  <c r="V34" i="4"/>
  <c r="R34" i="4"/>
  <c r="T34" i="4" s="1"/>
  <c r="V33" i="4"/>
  <c r="U33" i="4"/>
  <c r="R33" i="4"/>
  <c r="T33" i="4" s="1"/>
  <c r="V32" i="4"/>
  <c r="R32" i="4"/>
  <c r="U32" i="4" s="1"/>
  <c r="V31" i="4"/>
  <c r="U31" i="4"/>
  <c r="T31" i="4"/>
  <c r="S31" i="4"/>
  <c r="R31" i="4"/>
  <c r="V30" i="4"/>
  <c r="U30" i="4"/>
  <c r="T30" i="4"/>
  <c r="S30" i="4"/>
  <c r="R30" i="4"/>
  <c r="V29" i="4"/>
  <c r="R29" i="4"/>
  <c r="S29" i="4" s="1"/>
  <c r="V28" i="4"/>
  <c r="R28" i="4"/>
  <c r="U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O130" i="4" s="1"/>
  <c r="P130" i="4" s="1"/>
  <c r="L130" i="4"/>
  <c r="M130" i="4"/>
  <c r="N130" i="4"/>
  <c r="Q130" i="4" s="1"/>
  <c r="I131" i="4"/>
  <c r="L131" i="4" s="1"/>
  <c r="M131" i="4" s="1"/>
  <c r="J131" i="4"/>
  <c r="K131" i="4"/>
  <c r="O131" i="4"/>
  <c r="P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S48" i="4" l="1"/>
  <c r="S108" i="4"/>
  <c r="T36" i="4"/>
  <c r="S41" i="4"/>
  <c r="S61" i="4"/>
  <c r="S75" i="4"/>
  <c r="S88" i="4"/>
  <c r="T108" i="4"/>
  <c r="U36" i="4"/>
  <c r="S46" i="4"/>
  <c r="U48" i="4"/>
  <c r="S68" i="4"/>
  <c r="U70" i="4"/>
  <c r="T75" i="4"/>
  <c r="S80" i="4"/>
  <c r="U82" i="4"/>
  <c r="S93" i="4"/>
  <c r="S130" i="4"/>
  <c r="U29" i="4"/>
  <c r="S39" i="4"/>
  <c r="U41" i="4"/>
  <c r="T46" i="4"/>
  <c r="S58" i="4"/>
  <c r="U61" i="4"/>
  <c r="S73" i="4"/>
  <c r="T80" i="4"/>
  <c r="S85" i="4"/>
  <c r="U88" i="4"/>
  <c r="S116" i="4"/>
  <c r="U120" i="4"/>
  <c r="T130" i="4"/>
  <c r="S32" i="4"/>
  <c r="U34" i="4"/>
  <c r="T39" i="4"/>
  <c r="S44" i="4"/>
  <c r="T58" i="4"/>
  <c r="S64" i="4"/>
  <c r="U68" i="4"/>
  <c r="T73" i="4"/>
  <c r="S78" i="4"/>
  <c r="T85" i="4"/>
  <c r="S91" i="4"/>
  <c r="U93" i="4"/>
  <c r="T116" i="4"/>
  <c r="T32" i="4"/>
  <c r="S37" i="4"/>
  <c r="T44" i="4"/>
  <c r="S49" i="4"/>
  <c r="T64" i="4"/>
  <c r="S71" i="4"/>
  <c r="T78" i="4"/>
  <c r="S83" i="4"/>
  <c r="T91" i="4"/>
  <c r="S114" i="4"/>
  <c r="T126" i="4"/>
  <c r="S70" i="4"/>
  <c r="T82" i="4"/>
  <c r="T29" i="4"/>
  <c r="S34" i="4"/>
  <c r="S126" i="4"/>
  <c r="S120" i="4"/>
  <c r="S40" i="4"/>
  <c r="S74" i="4"/>
  <c r="S119" i="4"/>
  <c r="T28" i="4"/>
  <c r="S33" i="4"/>
  <c r="T40" i="4"/>
  <c r="S45" i="4"/>
  <c r="T60" i="4"/>
  <c r="S65" i="4"/>
  <c r="T74" i="4"/>
  <c r="S79" i="4"/>
  <c r="T86" i="4"/>
  <c r="S92" i="4"/>
  <c r="T119" i="4"/>
  <c r="S127" i="4"/>
  <c r="S28" i="4"/>
  <c r="S60" i="4"/>
  <c r="S86" i="4"/>
  <c r="N131" i="4"/>
  <c r="Q131" i="4" s="1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K87" i="4" s="1"/>
  <c r="J122" i="4"/>
  <c r="K122" i="4"/>
  <c r="J117" i="4"/>
  <c r="K117" i="4"/>
  <c r="J120" i="4"/>
  <c r="K120" i="4"/>
  <c r="O120" i="4" s="1"/>
  <c r="P120" i="4" s="1"/>
  <c r="J101" i="4"/>
  <c r="K101" i="4"/>
  <c r="J86" i="4"/>
  <c r="K86" i="4" s="1"/>
  <c r="J85" i="4"/>
  <c r="K85" i="4" s="1"/>
  <c r="J88" i="4"/>
  <c r="K88" i="4" s="1"/>
  <c r="J119" i="4"/>
  <c r="K119" i="4"/>
  <c r="O119" i="4" s="1"/>
  <c r="P119" i="4" s="1"/>
  <c r="J72" i="4"/>
  <c r="K72" i="4" s="1"/>
  <c r="J103" i="4"/>
  <c r="K103" i="4"/>
  <c r="J118" i="4"/>
  <c r="K118" i="4"/>
  <c r="J104" i="4"/>
  <c r="K104" i="4"/>
  <c r="J90" i="4"/>
  <c r="K90" i="4" s="1"/>
  <c r="J71" i="4"/>
  <c r="K71" i="4"/>
  <c r="J110" i="4"/>
  <c r="K110" i="4"/>
  <c r="J82" i="4"/>
  <c r="K82" i="4"/>
  <c r="J113" i="4"/>
  <c r="K113" i="4"/>
  <c r="J97" i="4"/>
  <c r="K97" i="4"/>
  <c r="J81" i="4"/>
  <c r="K81" i="4" s="1"/>
  <c r="J116" i="4"/>
  <c r="K116" i="4" s="1"/>
  <c r="O116" i="4" s="1"/>
  <c r="P116" i="4" s="1"/>
  <c r="J100" i="4"/>
  <c r="K100" i="4"/>
  <c r="O100" i="4"/>
  <c r="J84" i="4"/>
  <c r="K84" i="4" s="1"/>
  <c r="J114" i="4"/>
  <c r="K114" i="4"/>
  <c r="O114" i="4" s="1"/>
  <c r="P114" i="4" s="1"/>
  <c r="J78" i="4"/>
  <c r="K78" i="4"/>
  <c r="J115" i="4"/>
  <c r="L115" i="4" s="1"/>
  <c r="M115" i="4" s="1"/>
  <c r="K115" i="4"/>
  <c r="O115" i="4" s="1"/>
  <c r="P115" i="4" s="1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 s="1"/>
  <c r="J77" i="4"/>
  <c r="K77" i="4"/>
  <c r="J112" i="4"/>
  <c r="K112" i="4"/>
  <c r="J96" i="4"/>
  <c r="K96" i="4"/>
  <c r="J80" i="4"/>
  <c r="K80" i="4" s="1"/>
  <c r="J106" i="4"/>
  <c r="K106" i="4"/>
  <c r="J127" i="4"/>
  <c r="K127" i="4" s="1"/>
  <c r="O127" i="4" s="1"/>
  <c r="P127" i="4" s="1"/>
  <c r="J111" i="4"/>
  <c r="K111" i="4"/>
  <c r="J95" i="4"/>
  <c r="K95" i="4" s="1"/>
  <c r="J79" i="4"/>
  <c r="K79" i="4"/>
  <c r="J126" i="4"/>
  <c r="K126" i="4"/>
  <c r="J94" i="4"/>
  <c r="K94" i="4" s="1"/>
  <c r="J121" i="4"/>
  <c r="L121" i="4" s="1"/>
  <c r="M121" i="4" s="1"/>
  <c r="K121" i="4"/>
  <c r="J105" i="4"/>
  <c r="K105" i="4"/>
  <c r="J89" i="4"/>
  <c r="K89" i="4" s="1"/>
  <c r="J73" i="4"/>
  <c r="K73" i="4"/>
  <c r="J124" i="4"/>
  <c r="L124" i="4" s="1"/>
  <c r="M124" i="4" s="1"/>
  <c r="K124" i="4"/>
  <c r="J108" i="4"/>
  <c r="K108" i="4"/>
  <c r="O108" i="4" s="1"/>
  <c r="P108" i="4" s="1"/>
  <c r="J92" i="4"/>
  <c r="K92" i="4" s="1"/>
  <c r="J76" i="4"/>
  <c r="L76" i="4" s="1"/>
  <c r="K76" i="4"/>
  <c r="J98" i="4"/>
  <c r="K98" i="4"/>
  <c r="J123" i="4"/>
  <c r="K123" i="4"/>
  <c r="J107" i="4"/>
  <c r="K107" i="4"/>
  <c r="J91" i="4"/>
  <c r="K91" i="4"/>
  <c r="J75" i="4"/>
  <c r="K75" i="4" s="1"/>
  <c r="P100" i="4"/>
  <c r="O107" i="4"/>
  <c r="P107" i="4"/>
  <c r="O112" i="4"/>
  <c r="P112" i="4"/>
  <c r="O98" i="4"/>
  <c r="P98" i="4"/>
  <c r="O105" i="4"/>
  <c r="P105" i="4"/>
  <c r="O126" i="4"/>
  <c r="P126" i="4"/>
  <c r="O111" i="4"/>
  <c r="P111" i="4"/>
  <c r="O104" i="4"/>
  <c r="P104" i="4"/>
  <c r="O91" i="4"/>
  <c r="P91" i="4"/>
  <c r="O124" i="4"/>
  <c r="P124" i="4"/>
  <c r="O121" i="4"/>
  <c r="P121" i="4"/>
  <c r="O96" i="4"/>
  <c r="P96" i="4" s="1"/>
  <c r="O102" i="4"/>
  <c r="P102" i="4"/>
  <c r="O110" i="4"/>
  <c r="P110" i="4"/>
  <c r="O118" i="4"/>
  <c r="P118" i="4"/>
  <c r="O117" i="4"/>
  <c r="P117" i="4"/>
  <c r="O106" i="4"/>
  <c r="P106" i="4"/>
  <c r="O109" i="4"/>
  <c r="P109" i="4"/>
  <c r="O113" i="4"/>
  <c r="P113" i="4"/>
  <c r="O71" i="4"/>
  <c r="P71" i="4"/>
  <c r="O103" i="4"/>
  <c r="P103" i="4"/>
  <c r="O122" i="4"/>
  <c r="P122" i="4"/>
  <c r="O123" i="4"/>
  <c r="P123" i="4"/>
  <c r="O125" i="4"/>
  <c r="P125" i="4"/>
  <c r="O99" i="4"/>
  <c r="P99" i="4"/>
  <c r="O101" i="4"/>
  <c r="P101" i="4"/>
  <c r="I76" i="4"/>
  <c r="I77" i="4"/>
  <c r="I81" i="4"/>
  <c r="I89" i="4"/>
  <c r="N89" i="4" s="1"/>
  <c r="Q89" i="4" s="1"/>
  <c r="I90" i="4"/>
  <c r="L90" i="4" s="1"/>
  <c r="I96" i="4"/>
  <c r="I99" i="4"/>
  <c r="I102" i="4"/>
  <c r="I104" i="4"/>
  <c r="I108" i="4"/>
  <c r="L108" i="4" s="1"/>
  <c r="M108" i="4" s="1"/>
  <c r="I111" i="4"/>
  <c r="I113" i="4"/>
  <c r="I115" i="4"/>
  <c r="I119" i="4"/>
  <c r="L119" i="4" s="1"/>
  <c r="M119" i="4" s="1"/>
  <c r="I120" i="4"/>
  <c r="N120" i="4" s="1"/>
  <c r="Q120" i="4" s="1"/>
  <c r="I123" i="4"/>
  <c r="I125" i="4"/>
  <c r="I79" i="4"/>
  <c r="I92" i="4"/>
  <c r="N92" i="4" s="1"/>
  <c r="Q92" i="4" s="1"/>
  <c r="I100" i="4"/>
  <c r="I103" i="4"/>
  <c r="I107" i="4"/>
  <c r="N107" i="4" s="1"/>
  <c r="Q107" i="4" s="1"/>
  <c r="I109" i="4"/>
  <c r="I110" i="4"/>
  <c r="I117" i="4"/>
  <c r="I124" i="4"/>
  <c r="I72" i="4"/>
  <c r="I106" i="4"/>
  <c r="I71" i="4"/>
  <c r="N71" i="4" s="1"/>
  <c r="Q71" i="4" s="1"/>
  <c r="I75" i="4"/>
  <c r="I80" i="4"/>
  <c r="L80" i="4" s="1"/>
  <c r="I83" i="4"/>
  <c r="I86" i="4"/>
  <c r="L86" i="4" s="1"/>
  <c r="I88" i="4"/>
  <c r="N88" i="4" s="1"/>
  <c r="Q88" i="4" s="1"/>
  <c r="I94" i="4"/>
  <c r="I95" i="4"/>
  <c r="I98" i="4"/>
  <c r="I101" i="4"/>
  <c r="I118" i="4"/>
  <c r="I127" i="4"/>
  <c r="L127" i="4" s="1"/>
  <c r="M127" i="4" s="1"/>
  <c r="I73" i="4"/>
  <c r="N73" i="4" s="1"/>
  <c r="Q73" i="4" s="1"/>
  <c r="I74" i="4"/>
  <c r="L74" i="4" s="1"/>
  <c r="I78" i="4"/>
  <c r="L78" i="4" s="1"/>
  <c r="I82" i="4"/>
  <c r="N82" i="4" s="1"/>
  <c r="Q82" i="4" s="1"/>
  <c r="I85" i="4"/>
  <c r="L85" i="4" s="1"/>
  <c r="I93" i="4"/>
  <c r="N93" i="4" s="1"/>
  <c r="Q93" i="4" s="1"/>
  <c r="I112" i="4"/>
  <c r="I114" i="4"/>
  <c r="I121" i="4"/>
  <c r="I122" i="4"/>
  <c r="I84" i="4"/>
  <c r="I87" i="4"/>
  <c r="I91" i="4"/>
  <c r="I97" i="4"/>
  <c r="L97" i="4" s="1"/>
  <c r="I105" i="4"/>
  <c r="I116" i="4"/>
  <c r="N116" i="4" s="1"/>
  <c r="Q116" i="4" s="1"/>
  <c r="I126" i="4"/>
  <c r="N126" i="4" s="1"/>
  <c r="Q126" i="4" s="1"/>
  <c r="L105" i="4"/>
  <c r="N105" i="4"/>
  <c r="Q105" i="4"/>
  <c r="N121" i="4"/>
  <c r="Q121" i="4"/>
  <c r="N101" i="4"/>
  <c r="Q101" i="4"/>
  <c r="L101" i="4"/>
  <c r="N75" i="4"/>
  <c r="Q75" i="4" s="1"/>
  <c r="L75" i="4"/>
  <c r="L106" i="4"/>
  <c r="N106" i="4"/>
  <c r="Q106" i="4"/>
  <c r="N124" i="4"/>
  <c r="Q124" i="4"/>
  <c r="N79" i="4"/>
  <c r="Q79" i="4" s="1"/>
  <c r="L79" i="4"/>
  <c r="N119" i="4"/>
  <c r="Q119" i="4" s="1"/>
  <c r="L96" i="4"/>
  <c r="N96" i="4"/>
  <c r="Q96" i="4" s="1"/>
  <c r="N77" i="4"/>
  <c r="Q77" i="4" s="1"/>
  <c r="L77" i="4"/>
  <c r="N114" i="4"/>
  <c r="Q114" i="4"/>
  <c r="L114" i="4"/>
  <c r="M114" i="4" s="1"/>
  <c r="N98" i="4"/>
  <c r="Q98" i="4"/>
  <c r="L98" i="4"/>
  <c r="L71" i="4"/>
  <c r="M71" i="4" s="1"/>
  <c r="L72" i="4"/>
  <c r="N72" i="4"/>
  <c r="Q72" i="4" s="1"/>
  <c r="N117" i="4"/>
  <c r="Q117" i="4"/>
  <c r="L117" i="4"/>
  <c r="N103" i="4"/>
  <c r="Q103" i="4"/>
  <c r="L103" i="4"/>
  <c r="L125" i="4"/>
  <c r="N125" i="4"/>
  <c r="Q125" i="4"/>
  <c r="N115" i="4"/>
  <c r="Q115" i="4"/>
  <c r="L104" i="4"/>
  <c r="N104" i="4"/>
  <c r="Q104" i="4"/>
  <c r="N76" i="4"/>
  <c r="Q76" i="4"/>
  <c r="N91" i="4"/>
  <c r="Q91" i="4"/>
  <c r="L91" i="4"/>
  <c r="M91" i="4" s="1"/>
  <c r="L112" i="4"/>
  <c r="N112" i="4"/>
  <c r="Q112" i="4"/>
  <c r="N95" i="4"/>
  <c r="Q95" i="4" s="1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7" i="4"/>
  <c r="Q87" i="4" s="1"/>
  <c r="L87" i="4"/>
  <c r="N122" i="4"/>
  <c r="Q122" i="4"/>
  <c r="L122" i="4"/>
  <c r="N74" i="4"/>
  <c r="Q74" i="4" s="1"/>
  <c r="N118" i="4"/>
  <c r="Q118" i="4"/>
  <c r="L118" i="4"/>
  <c r="L94" i="4"/>
  <c r="N94" i="4"/>
  <c r="Q94" i="4" s="1"/>
  <c r="N109" i="4"/>
  <c r="Q109" i="4"/>
  <c r="L109" i="4"/>
  <c r="L92" i="4"/>
  <c r="N111" i="4"/>
  <c r="Q111" i="4"/>
  <c r="L111" i="4"/>
  <c r="N99" i="4"/>
  <c r="Q99" i="4"/>
  <c r="L99" i="4"/>
  <c r="N81" i="4"/>
  <c r="Q81" i="4" s="1"/>
  <c r="M74" i="4" l="1"/>
  <c r="M78" i="4"/>
  <c r="M80" i="4"/>
  <c r="M75" i="4"/>
  <c r="M85" i="4"/>
  <c r="L107" i="4"/>
  <c r="M107" i="4" s="1"/>
  <c r="O94" i="4"/>
  <c r="P94" i="4" s="1"/>
  <c r="O75" i="4"/>
  <c r="P75" i="4" s="1"/>
  <c r="L116" i="4"/>
  <c r="M116" i="4" s="1"/>
  <c r="O79" i="4"/>
  <c r="P79" i="4" s="1"/>
  <c r="L82" i="4"/>
  <c r="M79" i="4"/>
  <c r="N86" i="4"/>
  <c r="Q86" i="4" s="1"/>
  <c r="O83" i="4"/>
  <c r="P83" i="4" s="1"/>
  <c r="L120" i="4"/>
  <c r="M120" i="4" s="1"/>
  <c r="O77" i="4"/>
  <c r="P77" i="4" s="1"/>
  <c r="N108" i="4"/>
  <c r="Q108" i="4" s="1"/>
  <c r="O88" i="4"/>
  <c r="P88" i="4" s="1"/>
  <c r="O81" i="4"/>
  <c r="P81" i="4" s="1"/>
  <c r="L81" i="4"/>
  <c r="M86" i="4"/>
  <c r="O76" i="4"/>
  <c r="P76" i="4" s="1"/>
  <c r="O97" i="4"/>
  <c r="P97" i="4" s="1"/>
  <c r="M76" i="4"/>
  <c r="M77" i="4"/>
  <c r="O92" i="4"/>
  <c r="P92" i="4" s="1"/>
  <c r="O80" i="4"/>
  <c r="P80" i="4" s="1"/>
  <c r="N80" i="4"/>
  <c r="Q80" i="4" s="1"/>
  <c r="M87" i="4"/>
  <c r="M95" i="4"/>
  <c r="M97" i="4"/>
  <c r="L126" i="4"/>
  <c r="M126" i="4" s="1"/>
  <c r="L73" i="4"/>
  <c r="M90" i="4"/>
  <c r="O82" i="4"/>
  <c r="P82" i="4" s="1"/>
  <c r="O78" i="4"/>
  <c r="P78" i="4" s="1"/>
  <c r="O84" i="4"/>
  <c r="P84" i="4" s="1"/>
  <c r="M94" i="4"/>
  <c r="N127" i="4"/>
  <c r="Q127" i="4" s="1"/>
  <c r="L84" i="4"/>
  <c r="O73" i="4"/>
  <c r="P73" i="4" s="1"/>
  <c r="O95" i="4"/>
  <c r="P95" i="4" s="1"/>
  <c r="L83" i="4"/>
  <c r="L89" i="4"/>
  <c r="N78" i="4"/>
  <c r="Q78" i="4" s="1"/>
  <c r="N84" i="4"/>
  <c r="Q84" i="4" s="1"/>
  <c r="N90" i="4"/>
  <c r="Q90" i="4" s="1"/>
  <c r="O89" i="4"/>
  <c r="P89" i="4" s="1"/>
  <c r="O93" i="4"/>
  <c r="P93" i="4" s="1"/>
  <c r="O85" i="4"/>
  <c r="P85" i="4" s="1"/>
  <c r="M92" i="4"/>
  <c r="M72" i="4"/>
  <c r="M96" i="4"/>
  <c r="O72" i="4"/>
  <c r="P72" i="4" s="1"/>
  <c r="O87" i="4"/>
  <c r="P87" i="4" s="1"/>
  <c r="O74" i="4"/>
  <c r="P74" i="4" s="1"/>
  <c r="O90" i="4"/>
  <c r="P90" i="4" s="1"/>
  <c r="O86" i="4"/>
  <c r="P86" i="4" s="1"/>
  <c r="N97" i="4"/>
  <c r="Q97" i="4" s="1"/>
  <c r="N85" i="4"/>
  <c r="Q85" i="4" s="1"/>
  <c r="L93" i="4"/>
  <c r="L88" i="4"/>
  <c r="J14" i="4"/>
  <c r="J13" i="4" s="1"/>
  <c r="K16" i="4" s="1"/>
  <c r="M82" i="4" l="1"/>
  <c r="M83" i="4"/>
  <c r="M81" i="4"/>
  <c r="M84" i="4"/>
  <c r="M88" i="4"/>
  <c r="M73" i="4"/>
  <c r="M93" i="4"/>
  <c r="M89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8" i="4" l="1"/>
  <c r="P58" i="4" s="1"/>
  <c r="O57" i="4"/>
  <c r="P57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M64" i="4" l="1"/>
  <c r="O64" i="4"/>
  <c r="P64" i="4" s="1"/>
  <c r="M69" i="4"/>
  <c r="M58" i="4"/>
  <c r="O69" i="4"/>
  <c r="P69" i="4" s="1"/>
  <c r="M57" i="4"/>
  <c r="O65" i="4"/>
  <c r="P65" i="4" s="1"/>
  <c r="O66" i="4"/>
  <c r="P66" i="4" s="1"/>
  <c r="M65" i="4"/>
  <c r="M66" i="4"/>
  <c r="O67" i="4"/>
  <c r="P67" i="4" s="1"/>
  <c r="M67" i="4"/>
  <c r="M68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J45" i="4"/>
  <c r="J30" i="4"/>
  <c r="K30" i="4" s="1"/>
  <c r="J43" i="4"/>
  <c r="L43" i="4" s="1"/>
  <c r="J31" i="4"/>
  <c r="J44" i="4"/>
  <c r="L44" i="4" s="1"/>
  <c r="J36" i="4"/>
  <c r="L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K52" i="4"/>
  <c r="O52" i="4" s="1"/>
  <c r="P52" i="4" s="1"/>
  <c r="L52" i="4"/>
  <c r="M52" i="4" s="1"/>
  <c r="K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M48" i="4" l="1"/>
  <c r="O49" i="4"/>
  <c r="P49" i="4" s="1"/>
  <c r="M49" i="4"/>
  <c r="O48" i="4"/>
  <c r="P48" i="4" s="1"/>
  <c r="O35" i="4"/>
  <c r="P35" i="4" s="1"/>
  <c r="M45" i="4"/>
  <c r="O33" i="4"/>
  <c r="P33" i="4" s="1"/>
  <c r="M44" i="4"/>
  <c r="O31" i="4"/>
  <c r="P31" i="4" s="1"/>
  <c r="O28" i="4"/>
  <c r="P28" i="4" s="1"/>
  <c r="L35" i="4"/>
  <c r="M31" i="4"/>
  <c r="O46" i="4"/>
  <c r="P46" i="4" s="1"/>
  <c r="O45" i="4"/>
  <c r="P45" i="4" s="1"/>
  <c r="O30" i="4"/>
  <c r="P30" i="4" s="1"/>
  <c r="O43" i="4"/>
  <c r="P43" i="4" s="1"/>
  <c r="M43" i="4"/>
  <c r="O39" i="4"/>
  <c r="P39" i="4" s="1"/>
  <c r="O47" i="4"/>
  <c r="P47" i="4" s="1"/>
  <c r="O41" i="4"/>
  <c r="P41" i="4" s="1"/>
  <c r="M39" i="4"/>
  <c r="K36" i="4"/>
  <c r="L30" i="4"/>
  <c r="K44" i="4"/>
  <c r="L47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6" i="4"/>
  <c r="K40" i="4"/>
  <c r="K32" i="4"/>
  <c r="L28" i="4"/>
  <c r="O44" i="4" l="1"/>
  <c r="P44" i="4" s="1"/>
  <c r="M33" i="4"/>
  <c r="M47" i="4"/>
  <c r="M30" i="4"/>
  <c r="M35" i="4"/>
  <c r="O32" i="4"/>
  <c r="P32" i="4" s="1"/>
  <c r="O40" i="4"/>
  <c r="P40" i="4" s="1"/>
  <c r="O42" i="4"/>
  <c r="P42" i="4" s="1"/>
  <c r="M41" i="4"/>
  <c r="O29" i="4"/>
  <c r="P29" i="4" s="1"/>
  <c r="O34" i="4"/>
  <c r="P34" i="4" s="1"/>
  <c r="O37" i="4"/>
  <c r="P37" i="4" s="1"/>
  <c r="O36" i="4"/>
  <c r="P36" i="4" s="1"/>
  <c r="O38" i="4"/>
  <c r="P38" i="4" s="1"/>
  <c r="M46" i="4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<sst xmlns="http://schemas.openxmlformats.org/spreadsheetml/2006/main" count="318" uniqueCount="295">
  <si>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</si>
  <si>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</si>
  <si>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</si>
  <si>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</si>
  <si>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</si>
  <si>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</si>
  <si>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</si>
  <si>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</si>
  <si>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</si>
  <si>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</si>
  <si>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</si>
  <si>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</si>
  <si>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</si>
  <si>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</si>
  <si>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</si>
  <si>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</si>
  <si>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</si>
  <si>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</si>
  <si>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</si>
  <si>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</si>
  <si>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</si>
  <si>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</si>
  <si>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</si>
  <si>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</si>
  <si>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</si>
  <si>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</si>
  <si>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</si>
  <si>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</si>
  <si>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</si>
  <si>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</si>
  <si>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</si>
  <si>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</si>
  <si>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</si>
  <si>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</si>
  <si>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</si>
  <si>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</si>
  <si>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</si>
  <si>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</si>
  <si>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</si>
  <si>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</si>
  <si>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</si>
  <si>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</si>
  <si>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</si>
  <si>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</si>
  <si>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</si>
  <si>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</si>
  <si>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</si>
  <si>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</si>
  <si>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</si>
  <si>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</si>
  <si>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</si>
  <si>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</si>
  <si>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</si>
  <si>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</si>
  <si>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</si>
  <si>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</si>
  <si>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</si>
  <si>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</si>
  <si>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</si>
  <si>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</si>
  <si>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</si>
  <si>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</si>
  <si>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</si>
  <si>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</si>
  <si>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</si>
  <si>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</si>
  <si>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</si>
  <si>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</si>
  <si>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</si>
  <si>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</si>
  <si>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</si>
  <si>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</si>
  <si>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</si>
  <si>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</si>
  <si>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</si>
  <si>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</si>
  <si>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</si>
  <si>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</si>
  <si>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</si>
  <si>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</si>
  <si>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</si>
  <si>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</si>
  <si>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</si>
  <si>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</si>
  <si>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</si>
  <si>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</si>
  <si>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</si>
  <si>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</si>
  <si>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</si>
  <si>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</si>
  <si>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</si>
  <si>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</si>
  <si>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</si>
  <si>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</si>
  <si>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</si>
  <si>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</si>
  <si>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</si>
  <si>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</si>
  <si>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</si>
  <si>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</si>
  <si>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</si>
  <si>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</si>
  <si>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</si>
  <si>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</si>
  <si>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</si>
  <si>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</si>
  <si>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</si>
  <si>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</si>
  <si>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</si>
  <si>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</si>
  <si>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</si>
  <si>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</si>
  <si>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Balb/c 3T3</t>
    <phoneticPr fontId="22" type="noConversion"/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</si>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</sst>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3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  <font>
      <sz val="9"/>
      <name val="新細明體"/>
      <family val="2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112</v>
      </c>
      <c r="K17" s="31" t="s">
        <v>80</v>
      </c>
      <c r="L17" s="81">
        <v>1.4831999999999998E-3</v>
      </c>
      <c r="M17" s="81">
        <v>5.7599999999999991E-4</v>
      </c>
      <c r="N17" s="81">
        <v>3.4079999999999994E-4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6" zoomScale="70" zoomScaleNormal="70" workbookViewId="0">
      <selection activeCell="R28" sqref="R28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70"/>
      <c r="H1" s="17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70"/>
      <c r="H2" s="170"/>
      <c r="I2" s="115" t="s">
        <v>19</v>
      </c>
      <c r="J2" s="116"/>
      <c r="K2" s="116"/>
      <c r="L2" s="116"/>
      <c r="M2" s="116"/>
      <c r="N2" s="116"/>
      <c r="O2" s="116"/>
      <c r="P2" s="116"/>
      <c r="Q2" s="11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70"/>
      <c r="H3" s="170"/>
      <c r="I3" s="118"/>
      <c r="J3" s="119"/>
      <c r="K3" s="119"/>
      <c r="L3" s="119"/>
      <c r="M3" s="119"/>
      <c r="N3" s="119"/>
      <c r="O3" s="119"/>
      <c r="P3" s="119"/>
      <c r="Q3" s="12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70"/>
      <c r="H4" s="170"/>
      <c r="I4" s="121"/>
      <c r="J4" s="122"/>
      <c r="K4" s="122"/>
      <c r="L4" s="122"/>
      <c r="M4" s="122"/>
      <c r="N4" s="122"/>
      <c r="O4" s="122"/>
      <c r="P4" s="122"/>
      <c r="Q4" s="12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70"/>
      <c r="H5" s="170"/>
      <c r="I5" s="124" t="s">
        <v>38</v>
      </c>
      <c r="J5" s="125"/>
      <c r="K5" s="125"/>
      <c r="L5" s="125"/>
      <c r="M5" s="125"/>
      <c r="N5" s="125"/>
      <c r="O5" s="125"/>
      <c r="P5" s="125"/>
      <c r="Q5" s="12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70"/>
      <c r="H6" s="170"/>
      <c r="I6" s="49" t="s">
        <v>49</v>
      </c>
      <c r="J6" s="49" t="s">
        <v>50</v>
      </c>
      <c r="K6" s="49" t="s">
        <v>46</v>
      </c>
      <c r="L6" s="167" t="s">
        <v>39</v>
      </c>
      <c r="M6" s="168"/>
      <c r="N6" s="168"/>
      <c r="O6" s="168"/>
      <c r="P6" s="168"/>
      <c r="Q6" s="16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70"/>
      <c r="H7" s="170"/>
      <c r="I7" s="50" t="s">
        <v>20</v>
      </c>
      <c r="J7" s="37">
        <f>SUM(J13,J19)</f>
        <v>40.013440000000003</v>
      </c>
      <c r="K7" s="38">
        <f>J7/J7</f>
        <v>1</v>
      </c>
      <c r="L7" s="161" t="s">
        <v>68</v>
      </c>
      <c r="M7" s="162"/>
      <c r="N7" s="162"/>
      <c r="O7" s="162"/>
      <c r="P7" s="162"/>
      <c r="Q7" s="16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2" t="s">
        <v>3</v>
      </c>
      <c r="C8" s="143"/>
      <c r="D8" s="143"/>
      <c r="E8" s="143"/>
      <c r="F8" s="144"/>
      <c r="G8" s="170"/>
      <c r="H8" s="170"/>
      <c r="I8" s="51" t="s">
        <v>6</v>
      </c>
      <c r="J8" s="37">
        <f>SUM(J14,J20)</f>
        <v>39.801105919999998</v>
      </c>
      <c r="K8" s="39">
        <f>J8/J7</f>
        <v>0.99469343100718144</v>
      </c>
      <c r="L8" s="161" t="s">
        <v>69</v>
      </c>
      <c r="M8" s="162"/>
      <c r="N8" s="162"/>
      <c r="O8" s="162"/>
      <c r="P8" s="162"/>
      <c r="Q8" s="16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5"/>
      <c r="C9" s="146"/>
      <c r="D9" s="146"/>
      <c r="E9" s="146"/>
      <c r="F9" s="147"/>
      <c r="G9" s="170"/>
      <c r="H9" s="170"/>
      <c r="I9" s="50" t="s">
        <v>8</v>
      </c>
      <c r="J9" s="40">
        <f t="shared" ref="J9:J10" si="0">SUM(J15,J21)</f>
        <v>0.19522560000000003</v>
      </c>
      <c r="K9" s="39">
        <f>J9/J7</f>
        <v>4.8790006557796585E-3</v>
      </c>
      <c r="L9" s="161" t="s">
        <v>69</v>
      </c>
      <c r="M9" s="162"/>
      <c r="N9" s="162"/>
      <c r="O9" s="162"/>
      <c r="P9" s="162"/>
      <c r="Q9" s="16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8"/>
      <c r="C10" s="149"/>
      <c r="D10" s="149"/>
      <c r="E10" s="149"/>
      <c r="F10" s="150"/>
      <c r="G10" s="170"/>
      <c r="H10" s="170"/>
      <c r="I10" s="51" t="s">
        <v>9</v>
      </c>
      <c r="J10" s="40">
        <f t="shared" si="0"/>
        <v>1.7108479999999999E-2</v>
      </c>
      <c r="K10" s="39">
        <f>J10/J7</f>
        <v>4.2756833703875489E-4</v>
      </c>
      <c r="L10" s="161" t="s">
        <v>69</v>
      </c>
      <c r="M10" s="162"/>
      <c r="N10" s="162"/>
      <c r="O10" s="162"/>
      <c r="P10" s="162"/>
      <c r="Q10" s="16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51" t="s">
        <v>36</v>
      </c>
      <c r="C11" s="152"/>
      <c r="D11" s="152"/>
      <c r="E11" s="152"/>
      <c r="F11" s="153"/>
      <c r="G11" s="170"/>
      <c r="H11" s="170"/>
      <c r="I11" s="186"/>
      <c r="J11" s="186"/>
      <c r="K11" s="186"/>
      <c r="L11" s="186"/>
      <c r="M11" s="186"/>
      <c r="N11" s="186"/>
      <c r="O11" s="186"/>
      <c r="P11" s="186"/>
      <c r="Q11" s="18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4"/>
      <c r="C12" s="155"/>
      <c r="D12" s="155"/>
      <c r="E12" s="155"/>
      <c r="F12" s="156"/>
      <c r="G12" s="170"/>
      <c r="H12" s="170"/>
      <c r="I12" s="49" t="s">
        <v>51</v>
      </c>
      <c r="J12" s="49" t="s">
        <v>50</v>
      </c>
      <c r="K12" s="49" t="s">
        <v>46</v>
      </c>
      <c r="L12" s="167" t="s">
        <v>39</v>
      </c>
      <c r="M12" s="168"/>
      <c r="N12" s="168"/>
      <c r="O12" s="168"/>
      <c r="P12" s="168"/>
      <c r="Q12" s="16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40" t="s">
        <v>4</v>
      </c>
      <c r="C13" s="141"/>
      <c r="D13" s="130" t="s">
        <v>39</v>
      </c>
      <c r="E13" s="130"/>
      <c r="F13" s="130"/>
      <c r="G13" s="170"/>
      <c r="H13" s="170"/>
      <c r="I13" s="50" t="s">
        <v>5</v>
      </c>
      <c r="J13" s="41">
        <f>SUM(J14:J16)</f>
        <v>40</v>
      </c>
      <c r="K13" s="38">
        <f>J13/J13</f>
        <v>1</v>
      </c>
      <c r="L13" s="161" t="s">
        <v>71</v>
      </c>
      <c r="M13" s="162"/>
      <c r="N13" s="162"/>
      <c r="O13" s="162"/>
      <c r="P13" s="162"/>
      <c r="Q13" s="16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31" t="s">
        <v>17</v>
      </c>
      <c r="E14" s="131"/>
      <c r="F14" s="131"/>
      <c r="G14" s="170"/>
      <c r="H14" s="170"/>
      <c r="I14" s="51" t="s">
        <v>43</v>
      </c>
      <c r="J14" s="41">
        <f>C14-SUM(J15:J16)</f>
        <v>39.7928</v>
      </c>
      <c r="K14" s="39">
        <f>J14/J13</f>
        <v>0.99482000000000004</v>
      </c>
      <c r="L14" s="164" t="s">
        <v>70</v>
      </c>
      <c r="M14" s="165"/>
      <c r="N14" s="165"/>
      <c r="O14" s="165"/>
      <c r="P14" s="165"/>
      <c r="Q14" s="16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2" t="s">
        <v>60</v>
      </c>
      <c r="E15" s="132"/>
      <c r="F15" s="132"/>
      <c r="G15" s="170"/>
      <c r="H15" s="17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0.19200000000000003</v>
      </c>
      <c r="K15" s="39">
        <f>J15/J13</f>
        <v>4.8000000000000004E-3</v>
      </c>
      <c r="L15" s="161" t="s">
        <v>69</v>
      </c>
      <c r="M15" s="162"/>
      <c r="N15" s="162"/>
      <c r="O15" s="162"/>
      <c r="P15" s="162"/>
      <c r="Q15" s="16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33" t="s">
        <v>40</v>
      </c>
      <c r="E16" s="134"/>
      <c r="F16" s="135"/>
      <c r="G16" s="170"/>
      <c r="H16" s="17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1.52E-2</v>
      </c>
      <c r="K16" s="39">
        <f>J16/J13</f>
        <v>3.8000000000000002E-4</v>
      </c>
      <c r="L16" s="161" t="s">
        <v>69</v>
      </c>
      <c r="M16" s="162"/>
      <c r="N16" s="162"/>
      <c r="O16" s="162"/>
      <c r="P16" s="162"/>
      <c r="Q16" s="16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36" t="s">
        <v>61</v>
      </c>
      <c r="E17" s="137"/>
      <c r="F17" s="138"/>
      <c r="G17" s="170"/>
      <c r="H17" s="170"/>
      <c r="I17" s="164"/>
      <c r="J17" s="165"/>
      <c r="K17" s="165"/>
      <c r="L17" s="165"/>
      <c r="M17" s="165"/>
      <c r="N17" s="165"/>
      <c r="O17" s="165"/>
      <c r="P17" s="165"/>
      <c r="Q17" s="16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33" t="s">
        <v>41</v>
      </c>
      <c r="E18" s="134"/>
      <c r="F18" s="135"/>
      <c r="G18" s="170"/>
      <c r="H18" s="170"/>
      <c r="I18" s="49" t="s">
        <v>29</v>
      </c>
      <c r="J18" s="49" t="s">
        <v>50</v>
      </c>
      <c r="K18" s="49" t="s">
        <v>46</v>
      </c>
      <c r="L18" s="167" t="s">
        <v>39</v>
      </c>
      <c r="M18" s="168"/>
      <c r="N18" s="168"/>
      <c r="O18" s="168"/>
      <c r="P18" s="168"/>
      <c r="Q18" s="16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2"/>
      <c r="C19" s="132"/>
      <c r="D19" s="132"/>
      <c r="E19" s="132"/>
      <c r="F19" s="132"/>
      <c r="G19" s="170"/>
      <c r="H19" s="170"/>
      <c r="I19" s="50" t="s">
        <v>5</v>
      </c>
      <c r="J19" s="41">
        <f>SUM(J20:J22)</f>
        <v>1.3439999999999997E-2</v>
      </c>
      <c r="K19" s="38">
        <f>J19/J19</f>
        <v>1</v>
      </c>
      <c r="L19" s="161" t="s">
        <v>55</v>
      </c>
      <c r="M19" s="162"/>
      <c r="N19" s="162"/>
      <c r="O19" s="162"/>
      <c r="P19" s="162"/>
      <c r="Q19" s="16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40" t="s">
        <v>7</v>
      </c>
      <c r="C20" s="141"/>
      <c r="D20" s="130" t="s">
        <v>39</v>
      </c>
      <c r="E20" s="130"/>
      <c r="F20" s="130"/>
      <c r="G20" s="170"/>
      <c r="H20" s="17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8.3059199999999996E-3</v>
      </c>
      <c r="K20" s="39">
        <f>J20/J19</f>
        <v>0.6180000000000001</v>
      </c>
      <c r="L20" s="161" t="s">
        <v>69</v>
      </c>
      <c r="M20" s="162"/>
      <c r="N20" s="162"/>
      <c r="O20" s="162"/>
      <c r="P20" s="162"/>
      <c r="Q20" s="16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36" t="s">
        <v>61</v>
      </c>
      <c r="E21" s="137"/>
      <c r="F21" s="138"/>
      <c r="G21" s="170"/>
      <c r="H21" s="17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3.225599999999999E-3</v>
      </c>
      <c r="K21" s="39">
        <f>J21/J19</f>
        <v>0.24</v>
      </c>
      <c r="L21" s="161" t="s">
        <v>69</v>
      </c>
      <c r="M21" s="162"/>
      <c r="N21" s="162"/>
      <c r="O21" s="162"/>
      <c r="P21" s="162"/>
      <c r="Q21" s="16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39" t="s">
        <v>67</v>
      </c>
      <c r="E22" s="139"/>
      <c r="F22" s="139"/>
      <c r="G22" s="170"/>
      <c r="H22" s="17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1.9084799999999995E-3</v>
      </c>
      <c r="K22" s="39">
        <f>J22/J19</f>
        <v>0.14199999999999999</v>
      </c>
      <c r="L22" s="161" t="s">
        <v>69</v>
      </c>
      <c r="M22" s="162"/>
      <c r="N22" s="162"/>
      <c r="O22" s="162"/>
      <c r="P22" s="162"/>
      <c r="Q22" s="16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7"/>
      <c r="C23" s="128"/>
      <c r="D23" s="128"/>
      <c r="E23" s="128"/>
      <c r="F23" s="129"/>
      <c r="G23" s="170"/>
      <c r="H23" s="170"/>
      <c r="I23" s="181"/>
      <c r="J23" s="182"/>
      <c r="K23" s="182"/>
      <c r="L23" s="182"/>
      <c r="M23" s="182"/>
      <c r="N23" s="182"/>
      <c r="O23" s="182"/>
      <c r="P23" s="182"/>
      <c r="Q23" s="18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51" t="s">
        <v>37</v>
      </c>
      <c r="C24" s="152"/>
      <c r="D24" s="152"/>
      <c r="E24" s="152"/>
      <c r="F24" s="153"/>
      <c r="G24" s="170"/>
      <c r="H24" s="170"/>
      <c r="I24" s="175" t="s">
        <v>42</v>
      </c>
      <c r="J24" s="176"/>
      <c r="K24" s="176"/>
      <c r="L24" s="176"/>
      <c r="M24" s="176"/>
      <c r="N24" s="176"/>
      <c r="O24" s="176"/>
      <c r="P24" s="176"/>
      <c r="Q24" s="17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4"/>
      <c r="C25" s="155"/>
      <c r="D25" s="155"/>
      <c r="E25" s="155"/>
      <c r="F25" s="156"/>
      <c r="G25" s="170"/>
      <c r="H25" s="170"/>
      <c r="I25" s="178"/>
      <c r="J25" s="179"/>
      <c r="K25" s="179"/>
      <c r="L25" s="179"/>
      <c r="M25" s="179"/>
      <c r="N25" s="179"/>
      <c r="O25" s="179"/>
      <c r="P25" s="179"/>
      <c r="Q25" s="18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3" t="s">
        <v>11</v>
      </c>
      <c r="C26" s="173" t="s">
        <v>12</v>
      </c>
      <c r="D26" s="157" t="s">
        <v>47</v>
      </c>
      <c r="E26" s="157" t="s">
        <v>48</v>
      </c>
      <c r="F26" s="159" t="s">
        <v>66</v>
      </c>
      <c r="G26" s="170"/>
      <c r="H26" s="170"/>
      <c r="I26" s="184" t="s">
        <v>53</v>
      </c>
      <c r="J26" s="184" t="s">
        <v>54</v>
      </c>
      <c r="K26" s="171" t="s">
        <v>73</v>
      </c>
      <c r="L26" s="171" t="s">
        <v>52</v>
      </c>
      <c r="M26" s="171" t="s">
        <v>59</v>
      </c>
      <c r="N26" s="171" t="s">
        <v>62</v>
      </c>
      <c r="O26" s="171" t="s">
        <v>72</v>
      </c>
      <c r="P26" s="171" t="s">
        <v>64</v>
      </c>
      <c r="Q26" s="17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4"/>
      <c r="C27" s="174"/>
      <c r="D27" s="158"/>
      <c r="E27" s="158"/>
      <c r="F27" s="160"/>
      <c r="G27" s="170"/>
      <c r="H27" s="170"/>
      <c r="I27" s="185"/>
      <c r="J27" s="185"/>
      <c r="K27" s="172"/>
      <c r="L27" s="172"/>
      <c r="M27" s="172"/>
      <c r="N27" s="172"/>
      <c r="O27" s="172"/>
      <c r="P27" s="172"/>
      <c r="Q27" s="172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115</v>
      </c>
      <c r="C28" s="46" t="s">
        <v>116</v>
      </c>
      <c r="D28" s="47">
        <v>1.6437199999999998</v>
      </c>
      <c r="E28" s="47">
        <v>1.9024449999999995</v>
      </c>
      <c r="F28" s="98">
        <v>9.9999999999999995E-7</v>
      </c>
      <c r="G28" s="170"/>
      <c r="H28" s="17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1.352715763119182</v>
      </c>
      <c r="K28" s="95">
        <f t="shared" ref="K28:K47" si="3">IF(D28=0,"",1/(1+10^D28*$J$15/$J$14+10^E28*$J$16/$J$14+10^J28*$J$19/$J$14))</f>
        <v>0.79964682842827473</v>
      </c>
      <c r="L28" s="95">
        <f t="shared" ref="L28:L47" si="4">IF(D28=0,"",1/(1+10^I28/10^J28*$J$13/$J$19))</f>
        <v>6.0842738303239193E-3</v>
      </c>
      <c r="M28" s="95">
        <f t="shared" ref="M28:M47" si="5">IF(D28=0,"",1-L28)</f>
        <v>0.99391572616967605</v>
      </c>
      <c r="N28" s="95">
        <f t="shared" ref="N28:N47" si="6">IF(D28=0,"",1/(1/10^E28*$J$20/$J$22+10^D28/10^E28*$J$21/$J$22+10^I28/10^E28*$J$13/$J$22+1))</f>
        <v>3.0635595952006349E-3</v>
      </c>
      <c r="O28" s="40">
        <f t="shared" ref="O28:O47" si="7">IF(D28=0,"",F28*K28*$J$7/$J$14)</f>
        <v>8.0408064751676342E-7</v>
      </c>
      <c r="P28" s="40">
        <f t="shared" ref="P28:P47" si="8">IF(D28=0,"",O28*10^J28)</f>
        <v>1.8114042102175322E-5</v>
      </c>
      <c r="Q28" s="40">
        <f t="shared" ref="Q28:Q47" si="9">IF(D28=0,"",F28*N28*$J$7/$J$22)</f>
        <v>6.4230989085023113E-5</v>
      </c>
      <c r="R28" s="9">
        <f>F28*$C$14</f>
        <v>3.9999999999999996E-5</v>
      </c>
      <c r="S28" s="9">
        <f>$R28*L28</f>
        <v>2.4337095321295674E-7</v>
      </c>
      <c r="T28" s="9">
        <f>R28*K28</f>
        <v>3.198587313713099E-5</v>
      </c>
      <c r="U28" s="9">
        <f>$R28*M28</f>
        <v>3.9756629046787041E-5</v>
      </c>
      <c r="V28" s="102">
        <f>K28/M28</f>
        <v>0.80454188154354978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117</v>
      </c>
      <c r="C29" s="46" t="s">
        <v>118</v>
      </c>
      <c r="D29" s="47">
        <v>4.7386560000000006</v>
      </c>
      <c r="E29" s="47">
        <v>5.8355820000000005</v>
      </c>
      <c r="F29" s="98">
        <v>9.9999999999999995E-7</v>
      </c>
      <c r="G29" s="170"/>
      <c r="H29" s="170"/>
      <c r="I29" s="94">
        <f t="shared" si="1"/>
        <v>2.7194923137791687</v>
      </c>
      <c r="J29" s="94">
        <f t="shared" si="2"/>
        <v>5.0429475645742867</v>
      </c>
      <c r="K29" s="95">
        <f t="shared" si="3"/>
        <v>1.772391309739127E-3</v>
      </c>
      <c r="L29" s="95">
        <f t="shared" si="4"/>
        <v>6.6084855714625385E-2</v>
      </c>
      <c r="M29" s="95">
        <f t="shared" si="5"/>
        <v>0.93391514428537459</v>
      </c>
      <c r="N29" s="95">
        <f t="shared" si="6"/>
        <v>5.8213635992677287E-2</v>
      </c>
      <c r="O29" s="40">
        <f t="shared" si="7"/>
        <v>1.7822187262210245E-9</v>
      </c>
      <c r="P29" s="40">
        <f t="shared" si="8"/>
        <v>1.9674720305400467E-4</v>
      </c>
      <c r="Q29" s="40">
        <f t="shared" si="9"/>
        <v>1.2205146666325209E-3</v>
      </c>
      <c r="R29" s="9">
        <f>F29*$C$14</f>
        <v>3.9999999999999996E-5</v>
      </c>
      <c r="S29" s="9">
        <f t="shared" ref="S29:S49" si="10">$R29*L29</f>
        <v>2.6433942285850149E-6</v>
      </c>
      <c r="T29" s="9">
        <f t="shared" ref="T29:T49" si="11">R29*K29</f>
        <v>7.0895652389565074E-8</v>
      </c>
      <c r="U29" s="9">
        <f t="shared" ref="U29:U49" si="12">$R29*M29</f>
        <v>3.7356605771414983E-5</v>
      </c>
      <c r="V29" s="102">
        <f t="shared" ref="V29:V49" si="13">K29/M29</f>
        <v>1.8978076547793309E-3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119</v>
      </c>
      <c r="C30" s="46" t="s">
        <v>120</v>
      </c>
      <c r="D30" s="91">
        <v>7.1429999999999998</v>
      </c>
      <c r="E30" s="91">
        <v>9.299925</v>
      </c>
      <c r="F30" s="98">
        <v>9.9999999999999995E-7</v>
      </c>
      <c r="G30" s="170"/>
      <c r="H30" s="170"/>
      <c r="I30" s="94">
        <f t="shared" si="1"/>
        <v>5.9163420575972845</v>
      </c>
      <c r="J30" s="94">
        <f t="shared" si="2"/>
        <v>8.4572977199279009</v>
      </c>
      <c r="K30" s="95">
        <f t="shared" si="3"/>
        <v>1.0800466419134517E-6</v>
      </c>
      <c r="L30" s="95">
        <f t="shared" si="4"/>
        <v>0.10455263928645776</v>
      </c>
      <c r="M30" s="95">
        <f t="shared" si="5"/>
        <v>0.89544736071354225</v>
      </c>
      <c r="N30" s="95">
        <f t="shared" si="6"/>
        <v>0.10333575690655231</v>
      </c>
      <c r="O30" s="40">
        <f t="shared" si="7"/>
        <v>1.0860351999207239E-12</v>
      </c>
      <c r="P30" s="40">
        <f t="shared" si="8"/>
        <v>3.1127312194422109E-4</v>
      </c>
      <c r="Q30" s="40">
        <f t="shared" si="9"/>
        <v>2.1665509247332524E-3</v>
      </c>
      <c r="R30" s="9">
        <f t="shared" ref="R30:R49" si="14">F30*$C$14</f>
        <v>3.9999999999999996E-5</v>
      </c>
      <c r="S30" s="9">
        <f t="shared" si="10"/>
        <v>4.1821055714583102E-6</v>
      </c>
      <c r="T30" s="9">
        <f t="shared" si="11"/>
        <v>4.3201865676538067E-11</v>
      </c>
      <c r="U30" s="9">
        <f t="shared" si="12"/>
        <v>3.5817894428541688E-5</v>
      </c>
      <c r="V30" s="102">
        <f t="shared" si="13"/>
        <v>1.2061531356268786E-6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113</v>
      </c>
      <c r="C31" s="46" t="s">
        <v>114</v>
      </c>
      <c r="D31" s="47">
        <v>3.3511520000000004</v>
      </c>
      <c r="E31" s="47">
        <v>4.2962190000000007</v>
      </c>
      <c r="F31" s="98">
        <v>9.9999999999999995E-7</v>
      </c>
      <c r="G31" s="170"/>
      <c r="H31" s="170"/>
      <c r="I31" s="94">
        <f t="shared" si="1"/>
        <v>1.2852308448323728</v>
      </c>
      <c r="J31" s="94">
        <f t="shared" si="2"/>
        <v>3.5247920710512646</v>
      </c>
      <c r="K31" s="95">
        <f t="shared" si="3"/>
        <v>4.8740736343655812E-2</v>
      </c>
      <c r="L31" s="95">
        <f t="shared" si="4"/>
        <v>5.5116156747484601E-2</v>
      </c>
      <c r="M31" s="95">
        <f t="shared" si="5"/>
        <v>0.9448838432525154</v>
      </c>
      <c r="N31" s="95">
        <f t="shared" si="6"/>
        <v>4.6237484624915046E-2</v>
      </c>
      <c r="O31" s="40">
        <f t="shared" si="7"/>
        <v>4.9010990160096584E-8</v>
      </c>
      <c r="P31" s="40">
        <f t="shared" si="8"/>
        <v>1.6409129695283271E-4</v>
      </c>
      <c r="Q31" s="40">
        <f t="shared" si="9"/>
        <v>9.6942111879084992E-4</v>
      </c>
      <c r="R31" s="9">
        <f t="shared" si="14"/>
        <v>3.9999999999999996E-5</v>
      </c>
      <c r="S31" s="9">
        <f t="shared" si="10"/>
        <v>2.2046462698993839E-6</v>
      </c>
      <c r="T31" s="9">
        <f t="shared" si="11"/>
        <v>1.9496294537462322E-6</v>
      </c>
      <c r="U31" s="9">
        <f t="shared" si="12"/>
        <v>3.779535373010061E-5</v>
      </c>
      <c r="V31" s="102">
        <f t="shared" si="13"/>
        <v>5.1583839317093816E-2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121</v>
      </c>
      <c r="C32" s="46" t="s">
        <v>122</v>
      </c>
      <c r="D32" s="47">
        <v>5.9183200000000005</v>
      </c>
      <c r="E32" s="47">
        <v>7.0401399999999992</v>
      </c>
      <c r="F32" s="98">
        <v>9.9999999999999995E-7</v>
      </c>
      <c r="G32" s="170"/>
      <c r="H32" s="170"/>
      <c r="I32" s="94">
        <f t="shared" si="1"/>
        <v>3.9109447814528924</v>
      </c>
      <c r="J32" s="94">
        <f t="shared" si="2"/>
        <v>6.2446121134706578</v>
      </c>
      <c r="K32" s="95">
        <f t="shared" si="3"/>
        <v>1.1387406384227106E-4</v>
      </c>
      <c r="L32" s="95">
        <f t="shared" si="4"/>
        <v>6.7550987584961711E-2</v>
      </c>
      <c r="M32" s="95">
        <f t="shared" si="5"/>
        <v>0.9324490124150383</v>
      </c>
      <c r="N32" s="95">
        <f t="shared" si="6"/>
        <v>5.9902911836081693E-2</v>
      </c>
      <c r="O32" s="40">
        <f t="shared" si="7"/>
        <v>1.1450546383036336E-10</v>
      </c>
      <c r="P32" s="40">
        <f t="shared" si="8"/>
        <v>2.0111215689520913E-4</v>
      </c>
      <c r="Q32" s="40">
        <f t="shared" si="9"/>
        <v>1.2559322437638045E-3</v>
      </c>
      <c r="R32" s="9">
        <f t="shared" si="14"/>
        <v>3.9999999999999996E-5</v>
      </c>
      <c r="S32" s="9">
        <f t="shared" si="10"/>
        <v>2.7020395033984684E-6</v>
      </c>
      <c r="T32" s="9">
        <f t="shared" si="11"/>
        <v>4.5549625536908416E-9</v>
      </c>
      <c r="U32" s="9">
        <f t="shared" si="12"/>
        <v>3.7297960496601531E-5</v>
      </c>
      <c r="V32" s="102">
        <f t="shared" si="13"/>
        <v>1.221236360659955E-4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123</v>
      </c>
      <c r="C33" s="96" t="s">
        <v>124</v>
      </c>
      <c r="D33" s="97">
        <v>5.5295200000000007</v>
      </c>
      <c r="E33" s="97">
        <v>6.5305900000000001</v>
      </c>
      <c r="F33" s="98">
        <v>9.9999999999999995E-7</v>
      </c>
      <c r="G33" s="170"/>
      <c r="H33" s="170"/>
      <c r="I33" s="94">
        <f t="shared" si="1"/>
        <v>3.4646398062685493</v>
      </c>
      <c r="J33" s="94">
        <f t="shared" si="2"/>
        <v>5.7505440288504071</v>
      </c>
      <c r="K33" s="95">
        <f t="shared" si="3"/>
        <v>3.2047632178870147E-4</v>
      </c>
      <c r="L33" s="95">
        <f t="shared" si="4"/>
        <v>6.0944531926788136E-2</v>
      </c>
      <c r="M33" s="95">
        <f t="shared" si="5"/>
        <v>0.93905546807321183</v>
      </c>
      <c r="N33" s="95">
        <f t="shared" si="6"/>
        <v>5.2151771044781553E-2</v>
      </c>
      <c r="O33" s="40">
        <f t="shared" si="7"/>
        <v>3.2225327379106019E-10</v>
      </c>
      <c r="P33" s="40">
        <f t="shared" si="8"/>
        <v>1.8144348002832036E-4</v>
      </c>
      <c r="Q33" s="40">
        <f t="shared" si="9"/>
        <v>1.0934208174013377E-3</v>
      </c>
      <c r="R33" s="9">
        <f t="shared" si="14"/>
        <v>3.9999999999999996E-5</v>
      </c>
      <c r="S33" s="9">
        <f t="shared" si="10"/>
        <v>2.4377812770715251E-6</v>
      </c>
      <c r="T33" s="9">
        <f t="shared" si="11"/>
        <v>1.2819052871548058E-8</v>
      </c>
      <c r="U33" s="9">
        <f t="shared" si="12"/>
        <v>3.7562218722928472E-5</v>
      </c>
      <c r="V33" s="102">
        <f t="shared" si="13"/>
        <v>3.4127517775522508E-4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125</v>
      </c>
      <c r="C34" s="46" t="s">
        <v>126</v>
      </c>
      <c r="D34" s="91">
        <v>5.4845040000000003</v>
      </c>
      <c r="E34" s="91">
        <v>6.5678879999999999</v>
      </c>
      <c r="F34" s="98">
        <v>9.9999999999999995E-7</v>
      </c>
      <c r="G34" s="170"/>
      <c r="H34" s="170"/>
      <c r="I34" s="94">
        <f t="shared" si="1"/>
        <v>3.4579829545014036</v>
      </c>
      <c r="J34" s="94">
        <f t="shared" si="2"/>
        <v>5.7768867999222078</v>
      </c>
      <c r="K34" s="95">
        <f t="shared" si="3"/>
        <v>3.2386818148965761E-4</v>
      </c>
      <c r="L34" s="95">
        <f t="shared" si="4"/>
        <v>6.5440988714383544E-2</v>
      </c>
      <c r="M34" s="95">
        <f t="shared" si="5"/>
        <v>0.93455901128561647</v>
      </c>
      <c r="N34" s="95">
        <f t="shared" si="6"/>
        <v>5.7430076754036302E-2</v>
      </c>
      <c r="O34" s="40">
        <f t="shared" si="7"/>
        <v>3.2566394040996174E-10</v>
      </c>
      <c r="P34" s="40">
        <f t="shared" si="8"/>
        <v>1.948302883529513E-4</v>
      </c>
      <c r="Q34" s="40">
        <f t="shared" si="9"/>
        <v>1.2040864616831336E-3</v>
      </c>
      <c r="R34" s="9">
        <f t="shared" si="14"/>
        <v>3.9999999999999996E-5</v>
      </c>
      <c r="S34" s="9">
        <f t="shared" si="10"/>
        <v>2.6176395485753417E-6</v>
      </c>
      <c r="T34" s="9">
        <f t="shared" si="11"/>
        <v>1.2954727259586303E-8</v>
      </c>
      <c r="U34" s="9">
        <f t="shared" si="12"/>
        <v>3.7382360451424658E-5</v>
      </c>
      <c r="V34" s="102">
        <f t="shared" si="13"/>
        <v>3.4654652898176186E-4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127</v>
      </c>
      <c r="C35" s="46" t="s">
        <v>128</v>
      </c>
      <c r="D35" s="91">
        <v>2.7195840000000011</v>
      </c>
      <c r="E35" s="91">
        <v>3.2500779999999994</v>
      </c>
      <c r="F35" s="98">
        <v>9.9999999999999995E-7</v>
      </c>
      <c r="G35" s="170"/>
      <c r="H35" s="170"/>
      <c r="I35" s="94">
        <f t="shared" si="1"/>
        <v>0.62193942428688143</v>
      </c>
      <c r="J35" s="94">
        <f t="shared" si="2"/>
        <v>2.5786532271571372</v>
      </c>
      <c r="K35" s="95">
        <f t="shared" si="3"/>
        <v>0.23056529470465403</v>
      </c>
      <c r="L35" s="95">
        <f t="shared" si="4"/>
        <v>2.9514941955844119E-2</v>
      </c>
      <c r="M35" s="95">
        <f t="shared" si="5"/>
        <v>0.97048505804415586</v>
      </c>
      <c r="N35" s="95">
        <f t="shared" si="6"/>
        <v>1.9667766821045648E-2</v>
      </c>
      <c r="O35" s="40">
        <f t="shared" si="7"/>
        <v>2.3184371508782977E-7</v>
      </c>
      <c r="P35" s="40">
        <f t="shared" si="8"/>
        <v>8.7871604096253841E-5</v>
      </c>
      <c r="Q35" s="40">
        <f t="shared" si="9"/>
        <v>4.1235695822219832E-4</v>
      </c>
      <c r="R35" s="9">
        <f t="shared" si="14"/>
        <v>3.9999999999999996E-5</v>
      </c>
      <c r="S35" s="9">
        <f t="shared" si="10"/>
        <v>1.1805976782337646E-6</v>
      </c>
      <c r="T35" s="9">
        <f t="shared" si="11"/>
        <v>9.2226117881861605E-6</v>
      </c>
      <c r="U35" s="9">
        <f t="shared" si="12"/>
        <v>3.8819402321766229E-5</v>
      </c>
      <c r="V35" s="102">
        <f t="shared" si="13"/>
        <v>0.23757737720281685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81</v>
      </c>
      <c r="C36" s="46" t="s">
        <v>82</v>
      </c>
      <c r="D36" s="47">
        <v>7.5547280000000008</v>
      </c>
      <c r="E36" s="47">
        <v>9.7459910000000001</v>
      </c>
      <c r="F36" s="98">
        <v>9.9999999999999995E-7</v>
      </c>
      <c r="G36" s="170"/>
      <c r="H36" s="170"/>
      <c r="I36" s="94">
        <f t="shared" si="1"/>
        <v>6.3597288158186656</v>
      </c>
      <c r="J36" s="94">
        <f t="shared" si="2"/>
        <v>8.902979282626525</v>
      </c>
      <c r="K36" s="95">
        <f t="shared" si="3"/>
        <v>3.8887968515143551E-7</v>
      </c>
      <c r="L36" s="95">
        <f t="shared" si="4"/>
        <v>0.10504836774299034</v>
      </c>
      <c r="M36" s="95">
        <f t="shared" si="5"/>
        <v>0.89495163225700969</v>
      </c>
      <c r="N36" s="95">
        <f t="shared" si="6"/>
        <v>0.10391766277867828</v>
      </c>
      <c r="O36" s="40">
        <f t="shared" si="7"/>
        <v>3.9103591476412458E-13</v>
      </c>
      <c r="P36" s="40">
        <f t="shared" si="8"/>
        <v>3.1274899998378616E-4</v>
      </c>
      <c r="Q36" s="40">
        <f t="shared" si="9"/>
        <v>2.1787512389623565E-3</v>
      </c>
      <c r="R36" s="9">
        <f t="shared" si="14"/>
        <v>3.9999999999999996E-5</v>
      </c>
      <c r="S36" s="9">
        <f t="shared" si="10"/>
        <v>4.2019347097196129E-6</v>
      </c>
      <c r="T36" s="9">
        <f t="shared" si="11"/>
        <v>1.5555187406057418E-11</v>
      </c>
      <c r="U36" s="9">
        <f t="shared" si="12"/>
        <v>3.5798065290280383E-5</v>
      </c>
      <c r="V36" s="102">
        <f t="shared" si="13"/>
        <v>4.3452592423425866E-7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129</v>
      </c>
      <c r="C37" s="96" t="s">
        <v>130</v>
      </c>
      <c r="D37" s="97">
        <v>4.10616</v>
      </c>
      <c r="E37" s="97">
        <v>5.1108449999999994</v>
      </c>
      <c r="F37" s="98">
        <v>9.9999999999999995E-7</v>
      </c>
      <c r="G37" s="170"/>
      <c r="H37" s="170"/>
      <c r="I37" s="94">
        <f t="shared" si="1"/>
        <v>2.0466328175843658</v>
      </c>
      <c r="J37" s="94">
        <f t="shared" si="2"/>
        <v>4.3302914014280267</v>
      </c>
      <c r="K37" s="95">
        <f t="shared" si="3"/>
        <v>8.3934298247150627E-3</v>
      </c>
      <c r="L37" s="95">
        <f t="shared" si="4"/>
        <v>6.0649277944452004E-2</v>
      </c>
      <c r="M37" s="95">
        <f t="shared" si="5"/>
        <v>0.93935072205554804</v>
      </c>
      <c r="N37" s="95">
        <f t="shared" si="6"/>
        <v>5.1959812799129181E-2</v>
      </c>
      <c r="O37" s="40">
        <f t="shared" si="7"/>
        <v>8.4399690568506526E-9</v>
      </c>
      <c r="P37" s="40">
        <f t="shared" si="8"/>
        <v>1.8056445268405181E-4</v>
      </c>
      <c r="Q37" s="40">
        <f t="shared" si="9"/>
        <v>1.0893961958465313E-3</v>
      </c>
      <c r="R37" s="9">
        <f t="shared" si="14"/>
        <v>3.9999999999999996E-5</v>
      </c>
      <c r="S37" s="9">
        <f t="shared" si="10"/>
        <v>2.4259711177780801E-6</v>
      </c>
      <c r="T37" s="9">
        <f t="shared" si="11"/>
        <v>3.3573719298860248E-7</v>
      </c>
      <c r="U37" s="9">
        <f t="shared" si="12"/>
        <v>3.7574028882221921E-5</v>
      </c>
      <c r="V37" s="102">
        <f t="shared" si="13"/>
        <v>8.9353525021495881E-3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131</v>
      </c>
      <c r="C38" s="46" t="s">
        <v>132</v>
      </c>
      <c r="D38" s="91">
        <v>2.8295519999999996</v>
      </c>
      <c r="E38" s="91">
        <v>3.5791989999999991</v>
      </c>
      <c r="F38" s="98">
        <v>9.9999999999999995E-7</v>
      </c>
      <c r="G38" s="170"/>
      <c r="H38" s="170"/>
      <c r="I38" s="94">
        <f t="shared" si="1"/>
        <v>0.75425121724867172</v>
      </c>
      <c r="J38" s="94">
        <f t="shared" si="2"/>
        <v>2.8460801477665378</v>
      </c>
      <c r="K38" s="95">
        <f t="shared" si="3"/>
        <v>0.16820125413377615</v>
      </c>
      <c r="L38" s="95">
        <f t="shared" si="4"/>
        <v>3.9856957815779401E-2</v>
      </c>
      <c r="M38" s="95">
        <f t="shared" si="5"/>
        <v>0.96014304218422064</v>
      </c>
      <c r="N38" s="95">
        <f t="shared" si="6"/>
        <v>3.0613384316884526E-2</v>
      </c>
      <c r="O38" s="40">
        <f t="shared" si="7"/>
        <v>1.6913388327050636E-7</v>
      </c>
      <c r="P38" s="40">
        <f t="shared" si="8"/>
        <v>1.1866175521906407E-4</v>
      </c>
      <c r="Q38" s="40">
        <f t="shared" si="9"/>
        <v>6.4184419881822201E-4</v>
      </c>
      <c r="R38" s="9">
        <f t="shared" si="14"/>
        <v>3.9999999999999996E-5</v>
      </c>
      <c r="S38" s="9">
        <f t="shared" si="10"/>
        <v>1.5942783126311759E-6</v>
      </c>
      <c r="T38" s="9">
        <f t="shared" si="11"/>
        <v>6.7280501653510456E-6</v>
      </c>
      <c r="U38" s="9">
        <f t="shared" si="12"/>
        <v>3.8405721687368824E-5</v>
      </c>
      <c r="V38" s="102">
        <f t="shared" si="13"/>
        <v>0.1751835369770911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83</v>
      </c>
      <c r="C39" s="46" t="s">
        <v>84</v>
      </c>
      <c r="D39" s="91">
        <v>-2.3039999999996397E-3</v>
      </c>
      <c r="E39" s="91">
        <v>-1.314813</v>
      </c>
      <c r="F39" s="98">
        <v>9.9999999999999995E-7</v>
      </c>
      <c r="G39" s="170"/>
      <c r="H39" s="170"/>
      <c r="I39" s="94">
        <f t="shared" si="1"/>
        <v>-1.6810051832329899E-4</v>
      </c>
      <c r="J39" s="94">
        <f t="shared" si="2"/>
        <v>-6.3683170976411324E-2</v>
      </c>
      <c r="K39" s="95">
        <f t="shared" si="3"/>
        <v>0.99491632625084703</v>
      </c>
      <c r="L39" s="95">
        <f t="shared" si="4"/>
        <v>2.9020049986403336E-4</v>
      </c>
      <c r="M39" s="95">
        <f t="shared" si="5"/>
        <v>0.99970979950013594</v>
      </c>
      <c r="N39" s="95">
        <f t="shared" si="6"/>
        <v>2.3113018745539977E-6</v>
      </c>
      <c r="O39" s="40">
        <f t="shared" si="7"/>
        <v>1.0004328603530964E-6</v>
      </c>
      <c r="P39" s="40">
        <f t="shared" si="8"/>
        <v>8.6398216438091612E-7</v>
      </c>
      <c r="Q39" s="40">
        <f t="shared" si="9"/>
        <v>4.8459055834671539E-8</v>
      </c>
      <c r="R39" s="9">
        <f t="shared" si="14"/>
        <v>3.9999999999999996E-5</v>
      </c>
      <c r="S39" s="9">
        <f t="shared" si="10"/>
        <v>1.1608019994561334E-8</v>
      </c>
      <c r="T39" s="9">
        <f t="shared" si="11"/>
        <v>3.979665305003388E-5</v>
      </c>
      <c r="U39" s="9">
        <f t="shared" si="12"/>
        <v>3.9988391980005431E-5</v>
      </c>
      <c r="V39" s="102">
        <f t="shared" si="13"/>
        <v>0.99520513527857213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133</v>
      </c>
      <c r="C40" s="46" t="s">
        <v>134</v>
      </c>
      <c r="D40" s="47">
        <v>3.2352399999999997</v>
      </c>
      <c r="E40" s="47">
        <v>3.7544849999999994</v>
      </c>
      <c r="F40" s="98">
        <v>9.9999999999999995E-7</v>
      </c>
      <c r="G40" s="170"/>
      <c r="H40" s="170"/>
      <c r="I40" s="94">
        <f t="shared" si="1"/>
        <v>1.0570731161685156</v>
      </c>
      <c r="J40" s="94">
        <f t="shared" si="2"/>
        <v>3.0863447971892604</v>
      </c>
      <c r="K40" s="95">
        <f t="shared" si="3"/>
        <v>8.4204567241113693E-2</v>
      </c>
      <c r="L40" s="95">
        <f t="shared" si="4"/>
        <v>3.469566492745127E-2</v>
      </c>
      <c r="M40" s="95">
        <f t="shared" si="5"/>
        <v>0.96530433507254876</v>
      </c>
      <c r="N40" s="95">
        <f t="shared" si="6"/>
        <v>2.2945829497350939E-2</v>
      </c>
      <c r="O40" s="40">
        <f t="shared" si="7"/>
        <v>8.4671458128813976E-8</v>
      </c>
      <c r="P40" s="40">
        <f t="shared" si="8"/>
        <v>1.0329560318710391E-4</v>
      </c>
      <c r="Q40" s="40">
        <f t="shared" si="9"/>
        <v>4.8108524681551921E-4</v>
      </c>
      <c r="R40" s="9">
        <f t="shared" si="14"/>
        <v>3.9999999999999996E-5</v>
      </c>
      <c r="S40" s="9">
        <f t="shared" si="10"/>
        <v>1.3878265970980507E-6</v>
      </c>
      <c r="T40" s="9">
        <f t="shared" si="11"/>
        <v>3.3681826896445476E-6</v>
      </c>
      <c r="U40" s="9">
        <f t="shared" si="12"/>
        <v>3.8612173402901944E-5</v>
      </c>
      <c r="V40" s="102">
        <f t="shared" si="13"/>
        <v>8.7231108554780487E-2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135</v>
      </c>
      <c r="C41" s="96" t="s">
        <v>136</v>
      </c>
      <c r="D41" s="97">
        <v>3.3303280000000011</v>
      </c>
      <c r="E41" s="97">
        <v>3.8215209999999997</v>
      </c>
      <c r="F41" s="98">
        <v>9.9999999999999995E-7</v>
      </c>
      <c r="G41" s="170"/>
      <c r="H41" s="170"/>
      <c r="I41" s="94">
        <f t="shared" si="1"/>
        <v>1.1393826628828596</v>
      </c>
      <c r="J41" s="94">
        <f t="shared" si="2"/>
        <v>3.1630398899948347</v>
      </c>
      <c r="K41" s="95">
        <f t="shared" si="3"/>
        <v>6.9697899214728534E-2</v>
      </c>
      <c r="L41" s="95">
        <f t="shared" si="4"/>
        <v>3.4265284943480349E-2</v>
      </c>
      <c r="M41" s="95">
        <f t="shared" si="5"/>
        <v>0.96573471505651964</v>
      </c>
      <c r="N41" s="95">
        <f t="shared" si="6"/>
        <v>2.2162757884655288E-2</v>
      </c>
      <c r="O41" s="40">
        <f t="shared" si="7"/>
        <v>7.0084354666034733E-8</v>
      </c>
      <c r="P41" s="40">
        <f t="shared" si="8"/>
        <v>1.0201427999768266E-4</v>
      </c>
      <c r="Q41" s="40">
        <f t="shared" si="9"/>
        <v>4.646672654951488E-4</v>
      </c>
      <c r="R41" s="9">
        <f t="shared" si="14"/>
        <v>3.9999999999999996E-5</v>
      </c>
      <c r="S41" s="9">
        <f t="shared" si="10"/>
        <v>1.3706113977392139E-6</v>
      </c>
      <c r="T41" s="9">
        <f t="shared" si="11"/>
        <v>2.787915968589141E-6</v>
      </c>
      <c r="U41" s="9">
        <f t="shared" si="12"/>
        <v>3.8629388602260782E-5</v>
      </c>
      <c r="V41" s="102">
        <f t="shared" si="13"/>
        <v>7.2170854094904799E-2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137</v>
      </c>
      <c r="C42" s="46" t="s">
        <v>138</v>
      </c>
      <c r="D42" s="91">
        <v>4.4202640000000004</v>
      </c>
      <c r="E42" s="91">
        <v>5.6388380000000007</v>
      </c>
      <c r="F42" s="98">
        <v>9.9999999999999995E-7</v>
      </c>
      <c r="G42" s="170"/>
      <c r="H42" s="170"/>
      <c r="I42" s="94">
        <f t="shared" si="1"/>
        <v>2.466507651261447</v>
      </c>
      <c r="J42" s="94">
        <f t="shared" si="2"/>
        <v>4.8333812334786872</v>
      </c>
      <c r="K42" s="95">
        <f t="shared" si="3"/>
        <v>3.1516435001960291E-3</v>
      </c>
      <c r="L42" s="95">
        <f t="shared" si="4"/>
        <v>7.2529233736892407E-2</v>
      </c>
      <c r="M42" s="95">
        <f t="shared" si="5"/>
        <v>0.92747076626310765</v>
      </c>
      <c r="N42" s="95">
        <f t="shared" si="6"/>
        <v>6.5804894943772257E-2</v>
      </c>
      <c r="O42" s="40">
        <f t="shared" si="7"/>
        <v>3.1691184861704578E-9</v>
      </c>
      <c r="P42" s="40">
        <f t="shared" si="8"/>
        <v>2.1593334392686918E-4</v>
      </c>
      <c r="Q42" s="40">
        <f t="shared" si="9"/>
        <v>1.3796739895303774E-3</v>
      </c>
      <c r="R42" s="9">
        <f t="shared" si="14"/>
        <v>3.9999999999999996E-5</v>
      </c>
      <c r="S42" s="9">
        <f t="shared" si="10"/>
        <v>2.9011693494756962E-6</v>
      </c>
      <c r="T42" s="9">
        <f t="shared" si="11"/>
        <v>1.2606574000784116E-7</v>
      </c>
      <c r="U42" s="9">
        <f t="shared" si="12"/>
        <v>3.7098830650524305E-5</v>
      </c>
      <c r="V42" s="102">
        <f t="shared" si="13"/>
        <v>3.3981054873507047E-3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139</v>
      </c>
      <c r="C43" s="46" t="s">
        <v>140</v>
      </c>
      <c r="D43" s="91">
        <v>4.2752879999999998</v>
      </c>
      <c r="E43" s="91">
        <v>5.3084609999999994</v>
      </c>
      <c r="F43" s="98">
        <v>9.9999999999999995E-7</v>
      </c>
      <c r="G43" s="170"/>
      <c r="H43" s="170"/>
      <c r="I43" s="94">
        <f t="shared" si="1"/>
        <v>2.2273249528367836</v>
      </c>
      <c r="J43" s="94">
        <f t="shared" si="2"/>
        <v>4.5239348971579787</v>
      </c>
      <c r="K43" s="95">
        <f t="shared" si="3"/>
        <v>5.5265071883817728E-3</v>
      </c>
      <c r="L43" s="95">
        <f t="shared" si="4"/>
        <v>6.2370669515807491E-2</v>
      </c>
      <c r="M43" s="95">
        <f t="shared" si="5"/>
        <v>0.9376293304841925</v>
      </c>
      <c r="N43" s="95">
        <f t="shared" si="6"/>
        <v>5.392558351878312E-2</v>
      </c>
      <c r="O43" s="40">
        <f t="shared" si="7"/>
        <v>5.5571501324833326E-9</v>
      </c>
      <c r="P43" s="40">
        <f t="shared" si="8"/>
        <v>1.85689363276086E-4</v>
      </c>
      <c r="Q43" s="40">
        <f t="shared" si="9"/>
        <v>1.1306108005291215E-3</v>
      </c>
      <c r="R43" s="9">
        <f t="shared" si="14"/>
        <v>3.9999999999999996E-5</v>
      </c>
      <c r="S43" s="9">
        <f t="shared" si="10"/>
        <v>2.4948267806322995E-6</v>
      </c>
      <c r="T43" s="9">
        <f t="shared" si="11"/>
        <v>2.2106028753527088E-7</v>
      </c>
      <c r="U43" s="9">
        <f t="shared" si="12"/>
        <v>3.7505173219367697E-5</v>
      </c>
      <c r="V43" s="102">
        <f t="shared" si="13"/>
        <v>5.894127891165564E-3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85</v>
      </c>
      <c r="C44" s="46" t="s">
        <v>86</v>
      </c>
      <c r="D44" s="91">
        <v>2.7665919999999997</v>
      </c>
      <c r="E44" s="91">
        <v>3.5255839999999989</v>
      </c>
      <c r="F44" s="98">
        <v>9.9999999999999995E-7</v>
      </c>
      <c r="G44" s="170"/>
      <c r="H44" s="170"/>
      <c r="I44" s="94">
        <f t="shared" si="1"/>
        <v>0.70532975413914478</v>
      </c>
      <c r="J44" s="94">
        <f t="shared" si="2"/>
        <v>2.7903744043145644</v>
      </c>
      <c r="K44" s="95">
        <f t="shared" si="3"/>
        <v>0.18837318261948044</v>
      </c>
      <c r="L44" s="95">
        <f t="shared" si="4"/>
        <v>3.926343117301153E-2</v>
      </c>
      <c r="M44" s="95">
        <f t="shared" si="5"/>
        <v>0.96073656882698844</v>
      </c>
      <c r="N44" s="95">
        <f t="shared" si="6"/>
        <v>3.0303039319351684E-2</v>
      </c>
      <c r="O44" s="40">
        <f t="shared" si="7"/>
        <v>1.8941765948497275E-7</v>
      </c>
      <c r="P44" s="40">
        <f t="shared" si="8"/>
        <v>1.1689471335085023E-4</v>
      </c>
      <c r="Q44" s="40">
        <f t="shared" si="9"/>
        <v>6.3533746521971402E-4</v>
      </c>
      <c r="R44" s="9">
        <f t="shared" si="14"/>
        <v>3.9999999999999996E-5</v>
      </c>
      <c r="S44" s="9">
        <f t="shared" si="10"/>
        <v>1.570537246920461E-6</v>
      </c>
      <c r="T44" s="9">
        <f t="shared" si="11"/>
        <v>7.5349273047792165E-6</v>
      </c>
      <c r="U44" s="9">
        <f t="shared" si="12"/>
        <v>3.8429462753079536E-5</v>
      </c>
      <c r="V44" s="102">
        <f t="shared" si="13"/>
        <v>0.19607162746961398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141</v>
      </c>
      <c r="C45" s="46" t="s">
        <v>142</v>
      </c>
      <c r="D45" s="91">
        <v>4.4687359999999998</v>
      </c>
      <c r="E45" s="91">
        <v>5.2666120000000003</v>
      </c>
      <c r="F45" s="98">
        <v>9.9999999999999995E-7</v>
      </c>
      <c r="G45" s="170"/>
      <c r="H45" s="170"/>
      <c r="I45" s="94">
        <f t="shared" si="1"/>
        <v>2.3272580136650043</v>
      </c>
      <c r="J45" s="94">
        <f t="shared" si="2"/>
        <v>4.522432495717549</v>
      </c>
      <c r="K45" s="95">
        <f t="shared" si="3"/>
        <v>4.4483272296602675E-3</v>
      </c>
      <c r="L45" s="95">
        <f t="shared" si="4"/>
        <v>5.0029250055063638E-2</v>
      </c>
      <c r="M45" s="95">
        <f t="shared" si="5"/>
        <v>0.94997074994493635</v>
      </c>
      <c r="N45" s="95">
        <f t="shared" si="6"/>
        <v>3.9417750973798182E-2</v>
      </c>
      <c r="O45" s="40">
        <f t="shared" si="7"/>
        <v>4.4729919659932779E-9</v>
      </c>
      <c r="P45" s="40">
        <f t="shared" si="8"/>
        <v>1.4894660679488729E-4</v>
      </c>
      <c r="Q45" s="40">
        <f t="shared" si="9"/>
        <v>8.2643769571859045E-4</v>
      </c>
      <c r="R45" s="9">
        <f t="shared" si="14"/>
        <v>3.9999999999999996E-5</v>
      </c>
      <c r="S45" s="9">
        <f t="shared" si="10"/>
        <v>2.0011700022025453E-6</v>
      </c>
      <c r="T45" s="9">
        <f t="shared" si="11"/>
        <v>1.7793308918641068E-7</v>
      </c>
      <c r="U45" s="9">
        <f t="shared" si="12"/>
        <v>3.7998829997797452E-5</v>
      </c>
      <c r="V45" s="102">
        <f t="shared" si="13"/>
        <v>4.6825938903046309E-3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87</v>
      </c>
      <c r="C46" s="46" t="s">
        <v>88</v>
      </c>
      <c r="D46" s="93">
        <v>2.6972559999999999</v>
      </c>
      <c r="E46" s="93">
        <v>3.431432</v>
      </c>
      <c r="F46" s="98">
        <v>9.9999999999999995E-7</v>
      </c>
      <c r="G46" s="170"/>
      <c r="H46" s="170"/>
      <c r="I46" s="94">
        <f t="shared" si="1"/>
        <v>0.64458903464573347</v>
      </c>
      <c r="J46" s="94">
        <f t="shared" si="2"/>
        <v>2.7020905339390611</v>
      </c>
      <c r="K46" s="95">
        <f t="shared" si="3"/>
        <v>0.21717454514081033</v>
      </c>
      <c r="L46" s="95">
        <f t="shared" si="4"/>
        <v>3.6939773152716134E-2</v>
      </c>
      <c r="M46" s="95">
        <f t="shared" si="5"/>
        <v>0.96306022684728387</v>
      </c>
      <c r="N46" s="95">
        <f t="shared" si="6"/>
        <v>2.8127040242798357E-2</v>
      </c>
      <c r="O46" s="40">
        <f t="shared" si="7"/>
        <v>2.1837871754486004E-7</v>
      </c>
      <c r="P46" s="40">
        <f t="shared" si="8"/>
        <v>1.0997674082290316E-4</v>
      </c>
      <c r="Q46" s="40">
        <f t="shared" si="9"/>
        <v>5.8971518545271513E-4</v>
      </c>
      <c r="R46" s="9">
        <f t="shared" si="14"/>
        <v>3.9999999999999996E-5</v>
      </c>
      <c r="S46" s="9">
        <f t="shared" si="10"/>
        <v>1.4775909261086453E-6</v>
      </c>
      <c r="T46" s="9">
        <f t="shared" si="11"/>
        <v>8.6869818056324126E-6</v>
      </c>
      <c r="U46" s="9">
        <f t="shared" si="12"/>
        <v>3.8522409073891353E-5</v>
      </c>
      <c r="V46" s="102">
        <f t="shared" si="13"/>
        <v>0.22550463521036732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143</v>
      </c>
      <c r="C47" s="46" t="s">
        <v>144</v>
      </c>
      <c r="D47" s="91">
        <v>3.859360000000001</v>
      </c>
      <c r="E47" s="91">
        <v>4.2614199999999993</v>
      </c>
      <c r="F47" s="98">
        <v>9.9999999999999995E-7</v>
      </c>
      <c r="G47" s="170"/>
      <c r="H47" s="170"/>
      <c r="I47" s="94">
        <f t="shared" si="1"/>
        <v>1.6299602750984028</v>
      </c>
      <c r="J47" s="94">
        <f t="shared" si="2"/>
        <v>3.6364018134902829</v>
      </c>
      <c r="K47" s="95">
        <f t="shared" si="3"/>
        <v>2.2553857013968184E-2</v>
      </c>
      <c r="L47" s="95">
        <f t="shared" si="4"/>
        <v>3.2977475462083419E-2</v>
      </c>
      <c r="M47" s="95">
        <f t="shared" si="5"/>
        <v>0.96702252453791659</v>
      </c>
      <c r="N47" s="95">
        <f t="shared" si="6"/>
        <v>1.9748037205070665E-2</v>
      </c>
      <c r="O47" s="40">
        <f t="shared" si="7"/>
        <v>2.2678911873429242E-8</v>
      </c>
      <c r="P47" s="40">
        <f t="shared" si="8"/>
        <v>9.818022587451996E-5</v>
      </c>
      <c r="Q47" s="40">
        <f t="shared" si="9"/>
        <v>4.1403991753796894E-4</v>
      </c>
      <c r="R47" s="9">
        <f t="shared" si="14"/>
        <v>3.9999999999999996E-5</v>
      </c>
      <c r="S47" s="9">
        <f t="shared" si="10"/>
        <v>1.3190990184833367E-6</v>
      </c>
      <c r="T47" s="9">
        <f t="shared" si="11"/>
        <v>9.0215428055872726E-7</v>
      </c>
      <c r="U47" s="9">
        <f t="shared" si="12"/>
        <v>3.8680900981516657E-5</v>
      </c>
      <c r="V47" s="102">
        <f t="shared" si="13"/>
        <v>2.3322990356140206E-2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145</v>
      </c>
      <c r="C48" s="46" t="s">
        <v>146</v>
      </c>
      <c r="D48" s="91">
        <v>2.0184960000000003</v>
      </c>
      <c r="E48" s="91">
        <v>2.3512620000000002</v>
      </c>
      <c r="F48" s="98">
        <v>9.9999999999999995E-7</v>
      </c>
      <c r="G48" s="170"/>
      <c r="H48" s="17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1.7600042430072071</v>
      </c>
      <c r="K48" s="95">
        <f t="shared" ref="K48:K50" si="17">IF(D48=0,"",1/(1+10^D48*$J$15/$J$14+10^E48*$J$16/$J$14+10^J48*$J$19/$J$14))</f>
        <v>0.6216234002069303</v>
      </c>
      <c r="L48" s="95">
        <f t="shared" ref="L48:L50" si="18">IF(D48=0,"",1/(1+10^I48/10^J48*$J$13/$J$19))</f>
        <v>1.2081653251742864E-2</v>
      </c>
      <c r="M48" s="95">
        <f t="shared" ref="M48:M92" si="19">IF(D48=0,"",1-L48)</f>
        <v>0.98791834674825718</v>
      </c>
      <c r="N48" s="95">
        <f t="shared" ref="N48:N50" si="20">IF(D48=0,"",1/(1/10^E48*$J$20/$J$22+10^D48/10^E48*$J$21/$J$22+10^I48/10^E48*$J$13/$J$22+1))</f>
        <v>6.6937959360456089E-3</v>
      </c>
      <c r="O48" s="40">
        <f t="shared" ref="O48:O92" si="21">IF(D48=0,"",F48*K48*$J$7/$J$14)</f>
        <v>6.2507012893729501E-7</v>
      </c>
      <c r="P48" s="40">
        <f t="shared" ref="P48:P50" si="22">IF(D48=0,"",O48*10^J48)</f>
        <v>3.596938299772456E-5</v>
      </c>
      <c r="Q48" s="40">
        <f t="shared" ref="Q48:Q50" si="23">IF(D48=0,"",F48*N48*$J$7/$J$22)</f>
        <v>1.4034299655181343E-4</v>
      </c>
      <c r="R48" s="9">
        <f t="shared" si="14"/>
        <v>3.9999999999999996E-5</v>
      </c>
      <c r="S48" s="9">
        <f t="shared" si="10"/>
        <v>4.8326613006971447E-7</v>
      </c>
      <c r="T48" s="9">
        <f t="shared" si="11"/>
        <v>2.4864936008277211E-5</v>
      </c>
      <c r="U48" s="9">
        <f t="shared" si="12"/>
        <v>3.9516733869930285E-5</v>
      </c>
      <c r="V48" s="102">
        <f t="shared" si="13"/>
        <v>0.62922548432571346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147</v>
      </c>
      <c r="C49" s="46" t="s">
        <v>148</v>
      </c>
      <c r="D49" s="91">
        <v>1.4665360000000003</v>
      </c>
      <c r="E49" s="91">
        <v>1.8522119999999997</v>
      </c>
      <c r="F49" s="98">
        <v>9.9999999999999995E-7</v>
      </c>
      <c r="G49" s="170"/>
      <c r="H49" s="170"/>
      <c r="I49" s="94">
        <f t="shared" si="15"/>
        <v>6.5352597387686409E-2</v>
      </c>
      <c r="J49" s="94">
        <f t="shared" si="16"/>
        <v>1.2491688866071173</v>
      </c>
      <c r="K49" s="95">
        <f t="shared" si="17"/>
        <v>0.8514702527647755</v>
      </c>
      <c r="L49" s="95">
        <f t="shared" si="18"/>
        <v>5.1042640877748445E-3</v>
      </c>
      <c r="M49" s="95">
        <f t="shared" si="19"/>
        <v>0.99489573591222513</v>
      </c>
      <c r="N49" s="95">
        <f t="shared" si="20"/>
        <v>2.9057924691476837E-3</v>
      </c>
      <c r="O49" s="40">
        <f t="shared" si="21"/>
        <v>8.5619141831658434E-7</v>
      </c>
      <c r="P49" s="40">
        <f t="shared" si="22"/>
        <v>1.5196366430084339E-5</v>
      </c>
      <c r="Q49" s="40">
        <f t="shared" si="23"/>
        <v>6.0923222992482355E-5</v>
      </c>
      <c r="R49" s="9">
        <f t="shared" si="14"/>
        <v>3.9999999999999996E-5</v>
      </c>
      <c r="S49" s="9">
        <f t="shared" si="10"/>
        <v>2.0417056351099376E-7</v>
      </c>
      <c r="T49" s="9">
        <f t="shared" si="11"/>
        <v>3.4058810110591014E-5</v>
      </c>
      <c r="U49" s="9">
        <f t="shared" si="12"/>
        <v>3.9795829436489002E-5</v>
      </c>
      <c r="V49" s="102">
        <f t="shared" si="13"/>
        <v>0.85583867940097058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149</v>
      </c>
      <c r="C50" s="46" t="s">
        <v>150</v>
      </c>
      <c r="D50" s="91"/>
      <c r="E50" s="91"/>
      <c r="F50" s="92"/>
      <c r="G50" s="170"/>
      <c r="H50" s="17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151</v>
      </c>
      <c r="C51" s="46" t="s">
        <v>152</v>
      </c>
      <c r="D51" s="91"/>
      <c r="E51" s="91"/>
      <c r="F51" s="92"/>
      <c r="G51" s="170"/>
      <c r="H51" s="17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153</v>
      </c>
      <c r="C52" s="46" t="s">
        <v>154</v>
      </c>
      <c r="D52" s="47"/>
      <c r="E52" s="47"/>
      <c r="F52" s="92"/>
      <c r="G52" s="170"/>
      <c r="H52" s="17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155</v>
      </c>
      <c r="C53" s="46" t="s">
        <v>156</v>
      </c>
      <c r="D53" s="47"/>
      <c r="E53" s="47"/>
      <c r="F53" s="92"/>
      <c r="G53" s="170"/>
      <c r="H53" s="17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157</v>
      </c>
      <c r="C54" s="46" t="s">
        <v>158</v>
      </c>
      <c r="D54" s="47"/>
      <c r="E54" s="47"/>
      <c r="F54" s="92"/>
      <c r="G54" s="170"/>
      <c r="H54" s="17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159</v>
      </c>
      <c r="C55" s="46" t="s">
        <v>160</v>
      </c>
      <c r="D55" s="47"/>
      <c r="E55" s="47"/>
      <c r="F55" s="57"/>
      <c r="G55" s="170"/>
      <c r="H55" s="17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161</v>
      </c>
      <c r="C56" s="46" t="s">
        <v>162</v>
      </c>
      <c r="D56" s="47"/>
      <c r="E56" s="47"/>
      <c r="F56" s="57"/>
      <c r="G56" s="170"/>
      <c r="H56" s="17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89</v>
      </c>
      <c r="C57" s="88" t="s">
        <v>90</v>
      </c>
      <c r="D57" s="91">
        <v>6.5247999999999973E-2</v>
      </c>
      <c r="E57" s="91">
        <v>8.2216000000000289E-2</v>
      </c>
      <c r="F57" s="98">
        <v>9.9999999999999995E-7</v>
      </c>
      <c r="G57" s="170"/>
      <c r="H57" s="170"/>
      <c r="I57" s="54">
        <f t="shared" si="24"/>
        <v>3.7217650281818146E-4</v>
      </c>
      <c r="J57" s="54">
        <f t="shared" si="25"/>
        <v>2.8775248633271803E-2</v>
      </c>
      <c r="K57" s="55">
        <f t="shared" si="26"/>
        <v>0.99361141879694559</v>
      </c>
      <c r="L57" s="55">
        <f t="shared" si="27"/>
        <v>3.5858043694306972E-4</v>
      </c>
      <c r="M57" s="55">
        <f t="shared" si="28"/>
        <v>0.99964141956305697</v>
      </c>
      <c r="N57" s="55">
        <f t="shared" si="29"/>
        <v>5.7585837560188731E-5</v>
      </c>
      <c r="O57" s="56">
        <f t="shared" si="30"/>
        <v>9.991207175505735E-7</v>
      </c>
      <c r="P57" s="56">
        <f t="shared" si="31"/>
        <v>1.0675622618151275E-6</v>
      </c>
      <c r="Q57" s="56">
        <f t="shared" si="32"/>
        <v>1.2073521630115898E-6</v>
      </c>
      <c r="R57" s="9">
        <f t="shared" ref="R57:R58" si="33">F57*$C$14</f>
        <v>3.9999999999999996E-5</v>
      </c>
      <c r="S57" s="9">
        <f t="shared" ref="S57:S58" si="34">$R57*L57</f>
        <v>1.4343217477722788E-8</v>
      </c>
      <c r="T57" s="9">
        <f t="shared" ref="T57:T58" si="35">R57*K57</f>
        <v>3.974445675187782E-5</v>
      </c>
      <c r="U57" s="9">
        <f t="shared" ref="U57:U58" si="36">$R57*M57</f>
        <v>3.9985656782522273E-5</v>
      </c>
      <c r="V57" s="102">
        <f t="shared" ref="V57:V58" si="37">K57/M57</f>
        <v>0.99396783621796392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163</v>
      </c>
      <c r="C58" s="46" t="s">
        <v>164</v>
      </c>
      <c r="D58" s="47">
        <v>2.1823520000000003</v>
      </c>
      <c r="E58" s="47">
        <v>2.5882690000000008</v>
      </c>
      <c r="F58" s="98">
        <v>9.9999999999999995E-7</v>
      </c>
      <c r="G58" s="170"/>
      <c r="H58" s="170"/>
      <c r="I58" s="54">
        <f t="shared" si="24"/>
        <v>0.27242732253974722</v>
      </c>
      <c r="J58" s="54">
        <f t="shared" si="25"/>
        <v>1.9645678547977998</v>
      </c>
      <c r="K58" s="55">
        <f t="shared" si="26"/>
        <v>0.52262913778069364</v>
      </c>
      <c r="L58" s="55">
        <f t="shared" si="27"/>
        <v>1.6268827090159605E-2</v>
      </c>
      <c r="M58" s="55">
        <f t="shared" si="28"/>
        <v>0.98373117290984036</v>
      </c>
      <c r="N58" s="55">
        <f t="shared" si="29"/>
        <v>9.7128287799352515E-3</v>
      </c>
      <c r="O58" s="56">
        <f t="shared" si="30"/>
        <v>5.2552697088014716E-7</v>
      </c>
      <c r="P58" s="56">
        <f t="shared" si="31"/>
        <v>4.8435397071612813E-5</v>
      </c>
      <c r="Q58" s="56">
        <f t="shared" si="32"/>
        <v>2.0364043197529578E-4</v>
      </c>
      <c r="R58" s="9">
        <f t="shared" si="33"/>
        <v>3.9999999999999996E-5</v>
      </c>
      <c r="S58" s="9">
        <f t="shared" si="34"/>
        <v>6.5075308360638415E-7</v>
      </c>
      <c r="T58" s="9">
        <f t="shared" si="35"/>
        <v>2.0905165511227744E-5</v>
      </c>
      <c r="U58" s="9">
        <f t="shared" si="36"/>
        <v>3.9349246916393614E-5</v>
      </c>
      <c r="V58" s="102">
        <f t="shared" si="37"/>
        <v>0.53127231521471052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165</v>
      </c>
      <c r="C59" s="46" t="s">
        <v>166</v>
      </c>
      <c r="D59" s="47"/>
      <c r="E59" s="47"/>
      <c r="F59" s="57"/>
      <c r="G59" s="170"/>
      <c r="H59" s="17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91</v>
      </c>
      <c r="C60" s="46" t="s">
        <v>92</v>
      </c>
      <c r="D60" s="47">
        <v>2.3628240000000003</v>
      </c>
      <c r="E60" s="47">
        <v>2.5674030000000005</v>
      </c>
      <c r="F60" s="98">
        <v>9.9999999999999995E-7</v>
      </c>
      <c r="G60" s="170"/>
      <c r="H60" s="170"/>
      <c r="I60" s="54">
        <f t="shared" si="24"/>
        <v>0.35062624883359406</v>
      </c>
      <c r="J60" s="54">
        <f t="shared" si="25"/>
        <v>2.0350331374712782</v>
      </c>
      <c r="K60" s="55">
        <f t="shared" si="26"/>
        <v>0.43663587382115648</v>
      </c>
      <c r="L60" s="55">
        <f t="shared" si="27"/>
        <v>1.598627653893827E-2</v>
      </c>
      <c r="M60" s="55">
        <f t="shared" si="28"/>
        <v>0.98401372346106175</v>
      </c>
      <c r="N60" s="55">
        <f t="shared" si="29"/>
        <v>7.734024228542827E-3</v>
      </c>
      <c r="O60" s="56">
        <f t="shared" si="30"/>
        <v>4.3905689820747515E-7</v>
      </c>
      <c r="P60" s="56">
        <f t="shared" si="31"/>
        <v>4.7594190261474285E-5</v>
      </c>
      <c r="Q60" s="56">
        <f t="shared" si="32"/>
        <v>1.6215255828059229E-4</v>
      </c>
      <c r="R60" s="9">
        <f t="shared" ref="R60:R65" si="38">F60*$C$14</f>
        <v>3.9999999999999996E-5</v>
      </c>
      <c r="S60" s="9">
        <f t="shared" ref="S60:S93" si="39">$R60*L60</f>
        <v>6.3945106155753075E-7</v>
      </c>
      <c r="T60" s="9">
        <f t="shared" ref="T60:T93" si="40">R60*K60</f>
        <v>1.7465434952846258E-5</v>
      </c>
      <c r="U60" s="9">
        <f t="shared" ref="U60:U93" si="41">$R60*M60</f>
        <v>3.9360548938442468E-5</v>
      </c>
      <c r="V60" s="102">
        <f t="shared" ref="V60:V93" si="42">K60/M60</f>
        <v>0.44372945560696192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93</v>
      </c>
      <c r="C61" s="46" t="s">
        <v>94</v>
      </c>
      <c r="D61" s="47">
        <v>3.2672240000000001</v>
      </c>
      <c r="E61" s="47">
        <v>3.6253630000000006</v>
      </c>
      <c r="F61" s="98">
        <v>9.9999999999999995E-7</v>
      </c>
      <c r="G61" s="170"/>
      <c r="H61" s="170"/>
      <c r="I61" s="54">
        <f t="shared" si="24"/>
        <v>1.0599296125914559</v>
      </c>
      <c r="J61" s="54">
        <f t="shared" si="25"/>
        <v>3.0186926757394756</v>
      </c>
      <c r="K61" s="55">
        <f t="shared" si="26"/>
        <v>8.4089762511046454E-2</v>
      </c>
      <c r="L61" s="55">
        <f t="shared" si="27"/>
        <v>2.9650401000338483E-2</v>
      </c>
      <c r="M61" s="55">
        <f t="shared" si="28"/>
        <v>0.97034959899966156</v>
      </c>
      <c r="N61" s="55">
        <f t="shared" si="29"/>
        <v>1.7021163361756027E-2</v>
      </c>
      <c r="O61" s="56">
        <f t="shared" si="30"/>
        <v>8.4556016838473466E-8</v>
      </c>
      <c r="P61" s="56">
        <f t="shared" si="31"/>
        <v>8.8274891473436319E-5</v>
      </c>
      <c r="Q61" s="56">
        <f t="shared" si="32"/>
        <v>3.568679257345234E-4</v>
      </c>
      <c r="R61" s="9">
        <f t="shared" si="38"/>
        <v>3.9999999999999996E-5</v>
      </c>
      <c r="S61" s="9">
        <f t="shared" si="39"/>
        <v>1.1860160400135393E-6</v>
      </c>
      <c r="T61" s="9">
        <f t="shared" si="40"/>
        <v>3.3635905004418578E-6</v>
      </c>
      <c r="U61" s="9">
        <f t="shared" si="41"/>
        <v>3.8813983959986456E-5</v>
      </c>
      <c r="V61" s="102">
        <f t="shared" si="42"/>
        <v>8.6659243841327935E-2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167</v>
      </c>
      <c r="C62" s="46" t="s">
        <v>111</v>
      </c>
      <c r="D62" s="47">
        <v>2.9091840000000002</v>
      </c>
      <c r="E62" s="47">
        <v>3.4102429999999995</v>
      </c>
      <c r="F62" s="98">
        <v>9.9999999999999995E-7</v>
      </c>
      <c r="G62" s="170"/>
      <c r="H62" s="170"/>
      <c r="I62" s="54">
        <f t="shared" si="24"/>
        <v>0.76837016932652724</v>
      </c>
      <c r="J62" s="54">
        <f t="shared" si="25"/>
        <v>2.7486001130708546</v>
      </c>
      <c r="K62" s="55">
        <f t="shared" si="26"/>
        <v>0.16430491834379241</v>
      </c>
      <c r="L62" s="55">
        <f t="shared" si="27"/>
        <v>3.1106091600572181E-2</v>
      </c>
      <c r="M62" s="55">
        <f t="shared" si="28"/>
        <v>0.96889390839942779</v>
      </c>
      <c r="N62" s="55">
        <f t="shared" si="29"/>
        <v>2.0266403162185566E-2</v>
      </c>
      <c r="O62" s="56">
        <f t="shared" si="30"/>
        <v>1.6521594338308028E-7</v>
      </c>
      <c r="P62" s="56">
        <f t="shared" si="31"/>
        <v>9.2608759664732126E-5</v>
      </c>
      <c r="Q62" s="56">
        <f t="shared" si="32"/>
        <v>4.2490804564151714E-4</v>
      </c>
      <c r="R62" s="9">
        <f t="shared" si="38"/>
        <v>3.9999999999999996E-5</v>
      </c>
      <c r="S62" s="9">
        <f t="shared" si="39"/>
        <v>1.2442436640228871E-6</v>
      </c>
      <c r="T62" s="9">
        <f t="shared" si="40"/>
        <v>6.5721967337516954E-6</v>
      </c>
      <c r="U62" s="9">
        <f t="shared" si="41"/>
        <v>3.8755756335977108E-5</v>
      </c>
      <c r="V62" s="102">
        <f t="shared" si="42"/>
        <v>0.16957988580526556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95</v>
      </c>
      <c r="C63" s="46" t="s">
        <v>96</v>
      </c>
      <c r="D63" s="47">
        <v>2.857424</v>
      </c>
      <c r="E63" s="47">
        <v>3.3289280000000003</v>
      </c>
      <c r="F63" s="98">
        <v>9.9999999999999995E-7</v>
      </c>
      <c r="G63" s="170"/>
      <c r="H63" s="170"/>
      <c r="I63" s="54">
        <f t="shared" si="24"/>
        <v>0.7211484450377651</v>
      </c>
      <c r="J63" s="54">
        <f t="shared" si="25"/>
        <v>2.677877461623039</v>
      </c>
      <c r="K63" s="55">
        <f t="shared" si="26"/>
        <v>0.18347819834104365</v>
      </c>
      <c r="L63" s="55">
        <f t="shared" si="27"/>
        <v>2.9515945390069718E-2</v>
      </c>
      <c r="M63" s="55">
        <f t="shared" si="28"/>
        <v>0.97048405460993026</v>
      </c>
      <c r="N63" s="55">
        <f t="shared" si="29"/>
        <v>1.8767031411786976E-2</v>
      </c>
      <c r="O63" s="56">
        <f t="shared" si="30"/>
        <v>1.8449553388119078E-7</v>
      </c>
      <c r="P63" s="56">
        <f t="shared" si="31"/>
        <v>8.7874591511073757E-5</v>
      </c>
      <c r="Q63" s="56">
        <f t="shared" si="32"/>
        <v>3.934720224333782E-4</v>
      </c>
      <c r="R63" s="9">
        <f t="shared" si="38"/>
        <v>3.9999999999999996E-5</v>
      </c>
      <c r="S63" s="9">
        <f t="shared" si="39"/>
        <v>1.1806378156027887E-6</v>
      </c>
      <c r="T63" s="9">
        <f t="shared" si="40"/>
        <v>7.3391279336417454E-6</v>
      </c>
      <c r="U63" s="9">
        <f t="shared" si="41"/>
        <v>3.8819362184397208E-5</v>
      </c>
      <c r="V63" s="102">
        <f t="shared" si="42"/>
        <v>0.18905843683829471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97</v>
      </c>
      <c r="C64" s="46" t="s">
        <v>98</v>
      </c>
      <c r="D64" s="47">
        <v>2.0783680000000002</v>
      </c>
      <c r="E64" s="47">
        <v>2.5770209999999998</v>
      </c>
      <c r="F64" s="98">
        <v>9.9999999999999995E-7</v>
      </c>
      <c r="G64" s="170"/>
      <c r="H64" s="170"/>
      <c r="I64" s="54">
        <f t="shared" si="24"/>
        <v>0.2338148544799136</v>
      </c>
      <c r="J64" s="54">
        <f t="shared" si="25"/>
        <v>1.9189837104465801</v>
      </c>
      <c r="K64" s="55">
        <f t="shared" si="26"/>
        <v>0.5713715567281592</v>
      </c>
      <c r="L64" s="55">
        <f t="shared" si="27"/>
        <v>1.6013899444816227E-2</v>
      </c>
      <c r="M64" s="55">
        <f t="shared" si="28"/>
        <v>0.98398610055518376</v>
      </c>
      <c r="N64" s="55">
        <f t="shared" si="29"/>
        <v>1.0347197318987943E-2</v>
      </c>
      <c r="O64" s="56">
        <f t="shared" si="30"/>
        <v>5.7453965297362331E-7</v>
      </c>
      <c r="P64" s="56">
        <f t="shared" si="31"/>
        <v>4.7676428913778859E-5</v>
      </c>
      <c r="Q64" s="56">
        <f t="shared" si="32"/>
        <v>2.1694068530531368E-4</v>
      </c>
      <c r="R64" s="9">
        <f t="shared" si="38"/>
        <v>3.9999999999999996E-5</v>
      </c>
      <c r="S64" s="9">
        <f t="shared" si="39"/>
        <v>6.4055597779264902E-7</v>
      </c>
      <c r="T64" s="9">
        <f t="shared" si="40"/>
        <v>2.2854862269126365E-5</v>
      </c>
      <c r="U64" s="9">
        <f t="shared" si="41"/>
        <v>3.9359444022207349E-5</v>
      </c>
      <c r="V64" s="102">
        <f t="shared" si="42"/>
        <v>0.5806703533777362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168</v>
      </c>
      <c r="C65" s="46" t="s">
        <v>169</v>
      </c>
      <c r="D65" s="47">
        <v>3.4409280000000009</v>
      </c>
      <c r="E65" s="47">
        <v>4.1160660000000009</v>
      </c>
      <c r="F65" s="98">
        <v>9.9999999999999995E-7</v>
      </c>
      <c r="G65" s="170"/>
      <c r="H65" s="170"/>
      <c r="I65" s="54">
        <f t="shared" si="24"/>
        <v>1.2834731216469764</v>
      </c>
      <c r="J65" s="54">
        <f t="shared" si="25"/>
        <v>3.4010714909731083</v>
      </c>
      <c r="K65" s="55">
        <f t="shared" si="26"/>
        <v>4.9607853659566728E-2</v>
      </c>
      <c r="L65" s="55">
        <f t="shared" si="27"/>
        <v>4.2190696773722156E-2</v>
      </c>
      <c r="M65" s="55">
        <f t="shared" si="28"/>
        <v>0.95780930322627789</v>
      </c>
      <c r="N65" s="55">
        <f t="shared" si="29"/>
        <v>3.1081326905525713E-2</v>
      </c>
      <c r="O65" s="56">
        <f t="shared" si="30"/>
        <v>4.9882915400169222E-8</v>
      </c>
      <c r="P65" s="56">
        <f t="shared" si="31"/>
        <v>1.2560974061856596E-4</v>
      </c>
      <c r="Q65" s="56">
        <f t="shared" si="32"/>
        <v>6.5165514401756329E-4</v>
      </c>
      <c r="R65" s="9">
        <f t="shared" si="38"/>
        <v>3.9999999999999996E-5</v>
      </c>
      <c r="S65" s="9">
        <f t="shared" si="39"/>
        <v>1.6876278709488862E-6</v>
      </c>
      <c r="T65" s="9">
        <f t="shared" si="40"/>
        <v>1.9843141463826688E-6</v>
      </c>
      <c r="U65" s="9">
        <f t="shared" si="41"/>
        <v>3.8312372129051114E-5</v>
      </c>
      <c r="V65" s="102">
        <f t="shared" si="42"/>
        <v>5.1793038021731463E-2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170</v>
      </c>
      <c r="C66" s="46" t="s">
        <v>171</v>
      </c>
      <c r="D66" s="47"/>
      <c r="E66" s="47"/>
      <c r="F66" s="57"/>
      <c r="G66" s="170"/>
      <c r="H66" s="17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172</v>
      </c>
      <c r="C67" s="46" t="s">
        <v>173</v>
      </c>
      <c r="D67" s="47"/>
      <c r="E67" s="47"/>
      <c r="F67" s="57"/>
      <c r="G67" s="170"/>
      <c r="H67" s="17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99</v>
      </c>
      <c r="C68" s="46" t="s">
        <v>100</v>
      </c>
      <c r="D68" s="47">
        <v>2.3414159999999997</v>
      </c>
      <c r="E68" s="47">
        <v>2.4767320000000002</v>
      </c>
      <c r="F68" s="98">
        <v>9.9999999999999995E-7</v>
      </c>
      <c r="G68" s="170"/>
      <c r="H68" s="170"/>
      <c r="I68" s="54">
        <f t="shared" si="24"/>
        <v>0.33491051106253611</v>
      </c>
      <c r="J68" s="54">
        <f t="shared" si="25"/>
        <v>1.9816264972737887</v>
      </c>
      <c r="K68" s="55">
        <f t="shared" si="26"/>
        <v>0.45332812837725173</v>
      </c>
      <c r="L68" s="55">
        <f t="shared" si="27"/>
        <v>1.4676886445387942E-2</v>
      </c>
      <c r="M68" s="55">
        <f t="shared" si="28"/>
        <v>0.98532311355461211</v>
      </c>
      <c r="N68" s="55">
        <f t="shared" si="29"/>
        <v>6.5167007918204628E-3</v>
      </c>
      <c r="O68" s="56">
        <f t="shared" si="30"/>
        <v>4.558417066689316E-7</v>
      </c>
      <c r="P68" s="56">
        <f t="shared" si="31"/>
        <v>4.3695886545338085E-5</v>
      </c>
      <c r="Q68" s="56">
        <f t="shared" si="32"/>
        <v>1.3662999671542835E-4</v>
      </c>
      <c r="R68" s="9">
        <f>F68*$C$14</f>
        <v>3.9999999999999996E-5</v>
      </c>
      <c r="S68" s="9">
        <f t="shared" si="39"/>
        <v>5.8707545781551758E-7</v>
      </c>
      <c r="T68" s="9">
        <f t="shared" si="40"/>
        <v>1.8133125135090069E-5</v>
      </c>
      <c r="U68" s="9">
        <f t="shared" si="41"/>
        <v>3.9412924542184484E-5</v>
      </c>
      <c r="V68" s="102">
        <f t="shared" si="42"/>
        <v>0.46008068027739996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174</v>
      </c>
      <c r="C69" s="46" t="s">
        <v>175</v>
      </c>
      <c r="D69" s="47">
        <v>4.3302640000000006</v>
      </c>
      <c r="E69" s="47">
        <v>5.074033</v>
      </c>
      <c r="F69" s="98">
        <v>9.9999999999999995E-7</v>
      </c>
      <c r="G69" s="170"/>
      <c r="H69" s="170"/>
      <c r="I69" s="54">
        <f t="shared" si="24"/>
        <v>2.1724337273682748</v>
      </c>
      <c r="J69" s="54">
        <f t="shared" si="25"/>
        <v>4.3419099657043558</v>
      </c>
      <c r="K69" s="55">
        <f t="shared" si="26"/>
        <v>6.3719326490272454E-3</v>
      </c>
      <c r="L69" s="55">
        <f t="shared" si="27"/>
        <v>4.7290718452496147E-2</v>
      </c>
      <c r="M69" s="55">
        <f t="shared" si="28"/>
        <v>0.95270928154750389</v>
      </c>
      <c r="N69" s="55">
        <f t="shared" si="29"/>
        <v>3.6239925036692253E-2</v>
      </c>
      <c r="O69" s="56">
        <f t="shared" si="30"/>
        <v>6.4072632419908323E-9</v>
      </c>
      <c r="P69" s="56">
        <f t="shared" si="31"/>
        <v>1.4079347658897695E-4</v>
      </c>
      <c r="Q69" s="56">
        <f t="shared" si="32"/>
        <v>7.5981098364152802E-4</v>
      </c>
      <c r="R69" s="9">
        <f>F69*$C$14</f>
        <v>3.9999999999999996E-5</v>
      </c>
      <c r="S69" s="9">
        <f t="shared" si="39"/>
        <v>1.8916287380998458E-6</v>
      </c>
      <c r="T69" s="9">
        <f t="shared" si="40"/>
        <v>2.5487730596108978E-7</v>
      </c>
      <c r="U69" s="9">
        <f t="shared" si="41"/>
        <v>3.8108371261900151E-5</v>
      </c>
      <c r="V69" s="102">
        <f t="shared" si="42"/>
        <v>6.6882235456730233E-3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176</v>
      </c>
      <c r="C70" s="46" t="s">
        <v>177</v>
      </c>
      <c r="D70" s="47">
        <v>1.4854320000000003</v>
      </c>
      <c r="E70" s="47">
        <v>1.5057189999999996</v>
      </c>
      <c r="F70" s="98">
        <v>9.9999999999999995E-7</v>
      </c>
      <c r="G70" s="170"/>
      <c r="H70" s="170"/>
      <c r="I70" s="54">
        <f t="shared" si="24"/>
        <v>6.2122287627494992E-2</v>
      </c>
      <c r="J70" s="54">
        <f t="shared" si="25"/>
        <v>1.0971554041516225</v>
      </c>
      <c r="K70" s="55">
        <f t="shared" si="26"/>
        <v>0.85909912204051497</v>
      </c>
      <c r="L70" s="55">
        <f t="shared" si="27"/>
        <v>3.6290541540390324E-3</v>
      </c>
      <c r="M70" s="55">
        <f t="shared" si="28"/>
        <v>0.99637094584596098</v>
      </c>
      <c r="N70" s="55">
        <f t="shared" si="29"/>
        <v>1.3202172081080918E-3</v>
      </c>
      <c r="O70" s="56">
        <f t="shared" si="30"/>
        <v>8.6386258754902454E-7</v>
      </c>
      <c r="P70" s="56">
        <f t="shared" si="31"/>
        <v>1.0804385464984493E-5</v>
      </c>
      <c r="Q70" s="56">
        <f t="shared" si="32"/>
        <v>2.7679845763959099E-5</v>
      </c>
      <c r="R70" s="9">
        <f t="shared" ref="R70:R86" si="43">F70*$C$14</f>
        <v>3.9999999999999996E-5</v>
      </c>
      <c r="S70" s="9">
        <f t="shared" si="39"/>
        <v>1.451621661615613E-7</v>
      </c>
      <c r="T70" s="9">
        <f t="shared" si="40"/>
        <v>3.4363964881620596E-5</v>
      </c>
      <c r="U70" s="9">
        <f t="shared" si="41"/>
        <v>3.9854837833838435E-5</v>
      </c>
      <c r="V70" s="102">
        <f t="shared" si="42"/>
        <v>0.86222819485277502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178</v>
      </c>
      <c r="C71" s="46" t="s">
        <v>179</v>
      </c>
      <c r="D71" s="47">
        <v>2.0758240000000003</v>
      </c>
      <c r="E71" s="47">
        <v>2.477398</v>
      </c>
      <c r="F71" s="98">
        <v>9.9999999999999995E-7</v>
      </c>
      <c r="G71" s="170"/>
      <c r="H71" s="17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1.8562658331213004</v>
      </c>
      <c r="K71" s="55">
        <f t="shared" ref="K71:K122" si="46">IF(D71=0,"",1/(1+10^D71*$J$15/$J$14+10^E71*$J$16/$J$14+10^J71*$J$19/$J$14))</f>
        <v>0.58361254656806139</v>
      </c>
      <c r="L71" s="55">
        <f t="shared" ref="L71:L122" si="47">IF(D71=0,"",1/(1+10^I71/10^J71*$J$13/$J$19))</f>
        <v>1.4157456064755134E-2</v>
      </c>
      <c r="M71" s="55">
        <f t="shared" si="19"/>
        <v>0.98584254393524484</v>
      </c>
      <c r="N71" s="55">
        <f t="shared" ref="N71:N122" si="48">IF(D71=0,"",1/(1/10^E71*$J$20/$J$22+10^D71/10^E71*$J$21/$J$22+10^I71/10^E71*$J$13/$J$22+1))</f>
        <v>8.4024460722353419E-3</v>
      </c>
      <c r="O71" s="56">
        <f t="shared" si="21"/>
        <v>5.8684851569500838E-7</v>
      </c>
      <c r="P71" s="56">
        <f t="shared" ref="P71:P122" si="49">IF(D71=0,"",O71*10^J71)</f>
        <v>4.2149443363074084E-5</v>
      </c>
      <c r="Q71" s="56">
        <f t="shared" ref="Q71:Q122" si="50">IF(D71=0,"",F71*N71*$J$7/$J$22)</f>
        <v>1.7616677762650099E-4</v>
      </c>
      <c r="R71" s="9">
        <f t="shared" si="43"/>
        <v>3.9999999999999996E-5</v>
      </c>
      <c r="S71" s="9">
        <f t="shared" si="39"/>
        <v>5.6629824259020532E-7</v>
      </c>
      <c r="T71" s="9">
        <f t="shared" si="40"/>
        <v>2.3344501862722453E-5</v>
      </c>
      <c r="U71" s="9">
        <f t="shared" si="41"/>
        <v>3.9433701757409791E-5</v>
      </c>
      <c r="V71" s="102">
        <f t="shared" si="42"/>
        <v>0.59199367095522304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180</v>
      </c>
      <c r="C72" s="46" t="s">
        <v>181</v>
      </c>
      <c r="D72" s="47">
        <v>2.3078000000000003</v>
      </c>
      <c r="E72" s="47">
        <v>2.5099249999999995</v>
      </c>
      <c r="F72" s="98">
        <v>9.9999999999999995E-7</v>
      </c>
      <c r="G72" s="170"/>
      <c r="H72" s="170"/>
      <c r="I72" s="54">
        <f t="shared" si="44"/>
        <v>0.32073739190116707</v>
      </c>
      <c r="J72" s="54">
        <f t="shared" si="45"/>
        <v>1.9791588629447154</v>
      </c>
      <c r="K72" s="55">
        <f t="shared" si="46"/>
        <v>0.46817873629679824</v>
      </c>
      <c r="L72" s="55">
        <f t="shared" si="47"/>
        <v>1.50718067711229E-2</v>
      </c>
      <c r="M72" s="55">
        <f t="shared" si="19"/>
        <v>0.98492819322887715</v>
      </c>
      <c r="N72" s="55">
        <f t="shared" si="48"/>
        <v>7.264735370009311E-3</v>
      </c>
      <c r="O72" s="56">
        <f t="shared" si="21"/>
        <v>4.7077465707584686E-7</v>
      </c>
      <c r="P72" s="56">
        <f t="shared" si="49"/>
        <v>4.4871639577970254E-5</v>
      </c>
      <c r="Q72" s="56">
        <f t="shared" si="50"/>
        <v>1.5231338701151987E-4</v>
      </c>
      <c r="R72" s="9">
        <f t="shared" si="43"/>
        <v>3.9999999999999996E-5</v>
      </c>
      <c r="S72" s="9">
        <f t="shared" si="39"/>
        <v>6.0287227084491597E-7</v>
      </c>
      <c r="T72" s="9">
        <f t="shared" si="40"/>
        <v>1.8727149451871928E-5</v>
      </c>
      <c r="U72" s="9">
        <f t="shared" si="41"/>
        <v>3.9397127729155082E-5</v>
      </c>
      <c r="V72" s="102">
        <f t="shared" si="42"/>
        <v>0.47534301435922355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182</v>
      </c>
      <c r="C73" s="46" t="s">
        <v>183</v>
      </c>
      <c r="D73" s="47">
        <v>5.676184000000001</v>
      </c>
      <c r="E73" s="47">
        <v>7.0708080000000004</v>
      </c>
      <c r="F73" s="98">
        <v>9.9999999999999995E-7</v>
      </c>
      <c r="G73" s="170"/>
      <c r="H73" s="170"/>
      <c r="I73" s="54">
        <f t="shared" si="44"/>
        <v>3.8293839195374848</v>
      </c>
      <c r="J73" s="54">
        <f t="shared" si="45"/>
        <v>6.2517180889118604</v>
      </c>
      <c r="K73" s="55">
        <f t="shared" si="46"/>
        <v>1.3532911010281055E-4</v>
      </c>
      <c r="L73" s="55">
        <f t="shared" si="47"/>
        <v>8.1602616562073738E-2</v>
      </c>
      <c r="M73" s="55">
        <f t="shared" si="19"/>
        <v>0.91839738343792621</v>
      </c>
      <c r="N73" s="55">
        <f t="shared" si="48"/>
        <v>7.6398061657855551E-2</v>
      </c>
      <c r="O73" s="56">
        <f t="shared" si="21"/>
        <v>1.360794723505811E-10</v>
      </c>
      <c r="P73" s="56">
        <f t="shared" si="49"/>
        <v>2.4294653286082921E-4</v>
      </c>
      <c r="Q73" s="56">
        <f t="shared" si="50"/>
        <v>1.6017717011773268E-3</v>
      </c>
      <c r="R73" s="9">
        <f t="shared" si="43"/>
        <v>3.9999999999999996E-5</v>
      </c>
      <c r="S73" s="9">
        <f t="shared" si="39"/>
        <v>3.2641046624829494E-6</v>
      </c>
      <c r="T73" s="9">
        <f t="shared" si="40"/>
        <v>5.4131644041124216E-9</v>
      </c>
      <c r="U73" s="9">
        <f t="shared" si="41"/>
        <v>3.6735895337517044E-5</v>
      </c>
      <c r="V73" s="102">
        <f t="shared" si="42"/>
        <v>1.4735354492868865E-4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184</v>
      </c>
      <c r="C74" s="46" t="s">
        <v>185</v>
      </c>
      <c r="D74" s="47">
        <v>1.2599279999999999</v>
      </c>
      <c r="E74" s="47">
        <v>1.3925860000000003</v>
      </c>
      <c r="F74" s="98">
        <v>9.9999999999999995E-7</v>
      </c>
      <c r="G74" s="170"/>
      <c r="H74" s="170"/>
      <c r="I74" s="54">
        <f t="shared" si="44"/>
        <v>3.8037572032670899E-2</v>
      </c>
      <c r="J74" s="54">
        <f t="shared" si="45"/>
        <v>0.92896201878272155</v>
      </c>
      <c r="K74" s="55">
        <f t="shared" si="46"/>
        <v>0.90901966878413343</v>
      </c>
      <c r="L74" s="55">
        <f t="shared" si="47"/>
        <v>2.6069341947680767E-3</v>
      </c>
      <c r="M74" s="55">
        <f t="shared" si="19"/>
        <v>0.9973930658052319</v>
      </c>
      <c r="N74" s="55">
        <f t="shared" si="48"/>
        <v>1.0765702994559186E-3</v>
      </c>
      <c r="O74" s="56">
        <f t="shared" si="21"/>
        <v>9.1405992982936106E-7</v>
      </c>
      <c r="P74" s="56">
        <f t="shared" si="49"/>
        <v>7.7613396567188095E-6</v>
      </c>
      <c r="Q74" s="56">
        <f t="shared" si="50"/>
        <v>2.2571512975279511E-5</v>
      </c>
      <c r="R74" s="9">
        <f t="shared" si="43"/>
        <v>3.9999999999999996E-5</v>
      </c>
      <c r="S74" s="9">
        <f t="shared" si="39"/>
        <v>1.0427736779072305E-7</v>
      </c>
      <c r="T74" s="9">
        <f t="shared" si="40"/>
        <v>3.6360786751365334E-5</v>
      </c>
      <c r="U74" s="9">
        <f t="shared" si="41"/>
        <v>3.9895722632209269E-5</v>
      </c>
      <c r="V74" s="102">
        <f t="shared" si="42"/>
        <v>0.9113956171835309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186</v>
      </c>
      <c r="C75" s="46" t="s">
        <v>187</v>
      </c>
      <c r="D75" s="47">
        <v>1.2889359999999999</v>
      </c>
      <c r="E75" s="47">
        <v>1.371977</v>
      </c>
      <c r="F75" s="98">
        <v>9.9999999999999995E-7</v>
      </c>
      <c r="G75" s="170"/>
      <c r="H75" s="170"/>
      <c r="I75" s="54">
        <f t="shared" si="44"/>
        <v>4.0258976380178252E-2</v>
      </c>
      <c r="J75" s="54">
        <f t="shared" si="45"/>
        <v>0.93601930537447964</v>
      </c>
      <c r="K75" s="55">
        <f t="shared" si="46"/>
        <v>0.90435553061249785</v>
      </c>
      <c r="L75" s="55">
        <f t="shared" si="47"/>
        <v>2.636047755608805E-3</v>
      </c>
      <c r="M75" s="55">
        <f t="shared" si="19"/>
        <v>0.99736395224439123</v>
      </c>
      <c r="N75" s="55">
        <f t="shared" si="48"/>
        <v>1.0214081358714776E-3</v>
      </c>
      <c r="O75" s="56">
        <f t="shared" si="21"/>
        <v>9.0936993030978844E-7</v>
      </c>
      <c r="P75" s="56">
        <f t="shared" si="49"/>
        <v>7.8480162727818163E-6</v>
      </c>
      <c r="Q75" s="56">
        <f t="shared" si="50"/>
        <v>2.1414975876197409E-5</v>
      </c>
      <c r="R75" s="9">
        <f t="shared" si="43"/>
        <v>3.9999999999999996E-5</v>
      </c>
      <c r="S75" s="9">
        <f t="shared" si="39"/>
        <v>1.0544191022435219E-7</v>
      </c>
      <c r="T75" s="9">
        <f t="shared" si="40"/>
        <v>3.617422122449991E-5</v>
      </c>
      <c r="U75" s="9">
        <f t="shared" si="41"/>
        <v>3.9894558089775647E-5</v>
      </c>
      <c r="V75" s="102">
        <f t="shared" si="42"/>
        <v>0.90674575572678928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188</v>
      </c>
      <c r="C76" s="46" t="s">
        <v>189</v>
      </c>
      <c r="D76" s="47">
        <v>3.3144320000000005</v>
      </c>
      <c r="E76" s="47">
        <v>3.8699789999999998</v>
      </c>
      <c r="F76" s="98">
        <v>9.9999999999999995E-7</v>
      </c>
      <c r="G76" s="170"/>
      <c r="H76" s="170"/>
      <c r="I76" s="54">
        <f t="shared" si="44"/>
        <v>1.137117589232139</v>
      </c>
      <c r="J76" s="54">
        <f t="shared" si="45"/>
        <v>3.1898469808277863</v>
      </c>
      <c r="K76" s="55">
        <f t="shared" si="46"/>
        <v>6.989654628562593E-2</v>
      </c>
      <c r="L76" s="55">
        <f t="shared" si="47"/>
        <v>3.6550848852836493E-2</v>
      </c>
      <c r="M76" s="55">
        <f t="shared" si="19"/>
        <v>0.96344915114716345</v>
      </c>
      <c r="N76" s="55">
        <f t="shared" si="48"/>
        <v>2.4849510088179688E-2</v>
      </c>
      <c r="O76" s="56">
        <f t="shared" si="21"/>
        <v>7.0284103179648487E-8</v>
      </c>
      <c r="P76" s="56">
        <f t="shared" si="49"/>
        <v>1.0881883910134249E-4</v>
      </c>
      <c r="Q76" s="56">
        <f t="shared" si="50"/>
        <v>5.2099806177836438E-4</v>
      </c>
      <c r="R76" s="9">
        <f t="shared" si="43"/>
        <v>3.9999999999999996E-5</v>
      </c>
      <c r="S76" s="9">
        <f t="shared" si="39"/>
        <v>1.4620339541134595E-6</v>
      </c>
      <c r="T76" s="9">
        <f t="shared" si="40"/>
        <v>2.7958618514250369E-6</v>
      </c>
      <c r="U76" s="9">
        <f t="shared" si="41"/>
        <v>3.8537966045886536E-5</v>
      </c>
      <c r="V76" s="102">
        <f t="shared" si="42"/>
        <v>7.2548246269563091E-2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101</v>
      </c>
      <c r="C77" s="46" t="s">
        <v>102</v>
      </c>
      <c r="D77" s="47">
        <v>0.29376000000000013</v>
      </c>
      <c r="E77" s="47">
        <v>0.18140000000000034</v>
      </c>
      <c r="F77" s="98">
        <v>9.9999999999999995E-7</v>
      </c>
      <c r="G77" s="170"/>
      <c r="H77" s="170"/>
      <c r="I77" s="54">
        <f t="shared" si="44"/>
        <v>2.0958974367173925E-3</v>
      </c>
      <c r="J77" s="54">
        <f t="shared" si="45"/>
        <v>0.11582725100744908</v>
      </c>
      <c r="K77" s="55">
        <f t="shared" si="46"/>
        <v>0.98959853682239518</v>
      </c>
      <c r="L77" s="55">
        <f t="shared" si="47"/>
        <v>4.3639630536087572E-4</v>
      </c>
      <c r="M77" s="55">
        <f t="shared" si="19"/>
        <v>0.99956360369463915</v>
      </c>
      <c r="N77" s="55">
        <f t="shared" si="48"/>
        <v>7.2067948323646471E-5</v>
      </c>
      <c r="O77" s="56">
        <f t="shared" si="21"/>
        <v>9.9508558526242682E-7</v>
      </c>
      <c r="P77" s="56">
        <f t="shared" si="49"/>
        <v>1.2992349241651103E-6</v>
      </c>
      <c r="Q77" s="56">
        <f t="shared" si="50"/>
        <v>1.5109859816038573E-6</v>
      </c>
      <c r="R77" s="9">
        <f t="shared" si="43"/>
        <v>3.9999999999999996E-5</v>
      </c>
      <c r="S77" s="9">
        <f t="shared" si="39"/>
        <v>1.7455852214435026E-8</v>
      </c>
      <c r="T77" s="9">
        <f t="shared" si="40"/>
        <v>3.9583941472895802E-5</v>
      </c>
      <c r="U77" s="9">
        <f t="shared" si="41"/>
        <v>3.9982544147785564E-5</v>
      </c>
      <c r="V77" s="102">
        <f t="shared" si="42"/>
        <v>0.99003058251079712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190</v>
      </c>
      <c r="C78" s="46" t="s">
        <v>191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1.3393017792075548</v>
      </c>
      <c r="K78" s="55">
        <f t="shared" si="46"/>
        <v>0.80795109568682177</v>
      </c>
      <c r="L78" s="55">
        <f t="shared" si="47"/>
        <v>5.9604853247150454E-3</v>
      </c>
      <c r="M78" s="55">
        <f t="shared" si="19"/>
        <v>0.99403951467528495</v>
      </c>
      <c r="N78" s="55">
        <f t="shared" si="48"/>
        <v>3.0773095755369548E-3</v>
      </c>
      <c r="O78" s="56">
        <f t="shared" si="21"/>
        <v>8.1243095962583433E-7</v>
      </c>
      <c r="P78" s="56">
        <f t="shared" si="49"/>
        <v>1.7745500142214733E-5</v>
      </c>
      <c r="Q78" s="56">
        <f t="shared" si="50"/>
        <v>6.4519272961819594E-5</v>
      </c>
      <c r="R78" s="9">
        <f t="shared" si="43"/>
        <v>3.9999999999999996E-5</v>
      </c>
      <c r="S78" s="9">
        <f t="shared" si="39"/>
        <v>2.3841941298860177E-7</v>
      </c>
      <c r="T78" s="9">
        <f t="shared" si="40"/>
        <v>3.2318043827472865E-5</v>
      </c>
      <c r="U78" s="9">
        <f t="shared" si="41"/>
        <v>3.9761580587011397E-5</v>
      </c>
      <c r="V78" s="102">
        <f t="shared" si="42"/>
        <v>0.81279575284363703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192</v>
      </c>
      <c r="C79" s="46" t="s">
        <v>193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2.3514817080656072</v>
      </c>
      <c r="K79" s="55">
        <f t="shared" si="46"/>
        <v>0.30267668660893715</v>
      </c>
      <c r="L79" s="55">
        <f t="shared" si="47"/>
        <v>2.2964418287702387E-2</v>
      </c>
      <c r="M79" s="55">
        <f t="shared" si="19"/>
        <v>0.97703558171229765</v>
      </c>
      <c r="N79" s="55">
        <f t="shared" si="48"/>
        <v>1.3359557855712915E-2</v>
      </c>
      <c r="O79" s="56">
        <f t="shared" si="21"/>
        <v>3.0435494458860673E-7</v>
      </c>
      <c r="P79" s="56">
        <f t="shared" si="49"/>
        <v>6.8369447417401951E-5</v>
      </c>
      <c r="Q79" s="56">
        <f t="shared" si="50"/>
        <v>2.8009822826862086E-4</v>
      </c>
      <c r="R79" s="9">
        <f t="shared" si="43"/>
        <v>3.9999999999999996E-5</v>
      </c>
      <c r="S79" s="9">
        <f t="shared" si="39"/>
        <v>9.1857673150809542E-7</v>
      </c>
      <c r="T79" s="9">
        <f t="shared" si="40"/>
        <v>1.2107067464357485E-5</v>
      </c>
      <c r="U79" s="9">
        <f t="shared" si="41"/>
        <v>3.9081423268491905E-5</v>
      </c>
      <c r="V79" s="102">
        <f t="shared" si="42"/>
        <v>0.3097908533468996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194</v>
      </c>
      <c r="C80" s="46" t="s">
        <v>195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5.2573793638422401</v>
      </c>
      <c r="K80" s="55">
        <f t="shared" si="46"/>
        <v>9.840104404368194E-4</v>
      </c>
      <c r="L80" s="55">
        <f t="shared" si="47"/>
        <v>6.0113752620374994E-2</v>
      </c>
      <c r="M80" s="55">
        <f t="shared" si="19"/>
        <v>0.93988624737962501</v>
      </c>
      <c r="N80" s="55">
        <f t="shared" si="48"/>
        <v>5.1189256341671395E-2</v>
      </c>
      <c r="O80" s="56">
        <f t="shared" si="21"/>
        <v>9.8946650443779402E-10</v>
      </c>
      <c r="P80" s="56">
        <f t="shared" si="49"/>
        <v>1.7897009178945072E-4</v>
      </c>
      <c r="Q80" s="56">
        <f t="shared" si="50"/>
        <v>1.073240608899275E-3</v>
      </c>
      <c r="R80" s="9">
        <f t="shared" si="43"/>
        <v>3.9999999999999996E-5</v>
      </c>
      <c r="S80" s="9">
        <f t="shared" si="39"/>
        <v>2.4045501048149995E-6</v>
      </c>
      <c r="T80" s="9">
        <f t="shared" si="40"/>
        <v>3.9360417617472772E-8</v>
      </c>
      <c r="U80" s="9">
        <f t="shared" si="41"/>
        <v>3.7595449895184998E-5</v>
      </c>
      <c r="V80" s="102">
        <f t="shared" si="42"/>
        <v>1.0469463120459644E-3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196</v>
      </c>
      <c r="C81" s="46" t="s">
        <v>197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2.638206330325866</v>
      </c>
      <c r="K81" s="55">
        <f t="shared" si="46"/>
        <v>0.21859565513563714</v>
      </c>
      <c r="L81" s="55">
        <f t="shared" si="47"/>
        <v>3.2095387648192336E-2</v>
      </c>
      <c r="M81" s="55">
        <f t="shared" si="19"/>
        <v>0.96790461235180769</v>
      </c>
      <c r="N81" s="55">
        <f t="shared" si="48"/>
        <v>2.2467597732575242E-2</v>
      </c>
      <c r="O81" s="56">
        <f t="shared" si="21"/>
        <v>2.1980770719905383E-7</v>
      </c>
      <c r="P81" s="56">
        <f t="shared" si="49"/>
        <v>9.5554082435839703E-5</v>
      </c>
      <c r="Q81" s="56">
        <f t="shared" si="50"/>
        <v>4.7105857741057584E-4</v>
      </c>
      <c r="R81" s="9">
        <f t="shared" si="43"/>
        <v>3.9999999999999996E-5</v>
      </c>
      <c r="S81" s="9">
        <f t="shared" si="39"/>
        <v>1.2838155059276933E-6</v>
      </c>
      <c r="T81" s="9">
        <f t="shared" si="40"/>
        <v>8.7438262054254851E-6</v>
      </c>
      <c r="U81" s="9">
        <f t="shared" si="41"/>
        <v>3.8716184494072302E-5</v>
      </c>
      <c r="V81" s="102">
        <f t="shared" si="42"/>
        <v>0.22584421269002425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198</v>
      </c>
      <c r="C82" s="46" t="s">
        <v>199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3.4821247233434276</v>
      </c>
      <c r="K82" s="55">
        <f t="shared" si="46"/>
        <v>4.6050195590168999E-2</v>
      </c>
      <c r="L82" s="55">
        <f t="shared" si="47"/>
        <v>4.7200975259835153E-2</v>
      </c>
      <c r="M82" s="55">
        <f t="shared" si="19"/>
        <v>0.95279902474016487</v>
      </c>
      <c r="N82" s="55">
        <f t="shared" si="48"/>
        <v>3.6894581894748021E-2</v>
      </c>
      <c r="O82" s="56">
        <f t="shared" si="21"/>
        <v>4.6305531107021677E-8</v>
      </c>
      <c r="P82" s="56">
        <f t="shared" si="49"/>
        <v>1.4052629401048358E-4</v>
      </c>
      <c r="Q82" s="56">
        <f t="shared" si="50"/>
        <v>7.7353660450755915E-4</v>
      </c>
      <c r="R82" s="9">
        <f t="shared" si="43"/>
        <v>3.9999999999999996E-5</v>
      </c>
      <c r="S82" s="9">
        <f t="shared" si="39"/>
        <v>1.888039010393406E-6</v>
      </c>
      <c r="T82" s="9">
        <f t="shared" si="40"/>
        <v>1.8420078236067598E-6</v>
      </c>
      <c r="U82" s="9">
        <f t="shared" si="41"/>
        <v>3.8111960989606591E-5</v>
      </c>
      <c r="V82" s="102">
        <f t="shared" si="42"/>
        <v>4.8331489007062342E-2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200</v>
      </c>
      <c r="C83" s="46" t="s">
        <v>201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2.8279013612794559</v>
      </c>
      <c r="K83" s="55">
        <f t="shared" si="46"/>
        <v>0.15779454186511421</v>
      </c>
      <c r="L83" s="55">
        <f t="shared" si="47"/>
        <v>3.5858168832386003E-2</v>
      </c>
      <c r="M83" s="55">
        <f t="shared" si="19"/>
        <v>0.96414183116761398</v>
      </c>
      <c r="N83" s="55">
        <f t="shared" si="48"/>
        <v>2.5720007494348145E-2</v>
      </c>
      <c r="O83" s="56">
        <f t="shared" si="21"/>
        <v>1.5866946867893778E-7</v>
      </c>
      <c r="P83" s="56">
        <f t="shared" si="49"/>
        <v>1.0675659874140982E-4</v>
      </c>
      <c r="Q83" s="56">
        <f t="shared" si="50"/>
        <v>5.39249023660007E-4</v>
      </c>
      <c r="R83" s="9">
        <f t="shared" si="43"/>
        <v>3.9999999999999996E-5</v>
      </c>
      <c r="S83" s="9">
        <f t="shared" si="39"/>
        <v>1.4343267532954399E-6</v>
      </c>
      <c r="T83" s="9">
        <f t="shared" si="40"/>
        <v>6.3117816746045677E-6</v>
      </c>
      <c r="U83" s="9">
        <f t="shared" si="41"/>
        <v>3.8565673246704555E-5</v>
      </c>
      <c r="V83" s="102">
        <f t="shared" si="42"/>
        <v>0.16366320469055759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103</v>
      </c>
      <c r="C84" s="46" t="s">
        <v>104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1.1194464580046877</v>
      </c>
      <c r="K84" s="55">
        <f t="shared" si="46"/>
        <v>0.87028215298833556</v>
      </c>
      <c r="L84" s="55">
        <f t="shared" si="47"/>
        <v>3.8699139210316633E-3</v>
      </c>
      <c r="M84" s="55">
        <f t="shared" si="19"/>
        <v>0.99613008607896836</v>
      </c>
      <c r="N84" s="55">
        <f t="shared" si="48"/>
        <v>1.8171559122544024E-3</v>
      </c>
      <c r="O84" s="56">
        <f t="shared" si="21"/>
        <v>8.7510762529074577E-7</v>
      </c>
      <c r="P84" s="56">
        <f t="shared" si="49"/>
        <v>1.1521470869372414E-5</v>
      </c>
      <c r="Q84" s="56">
        <f t="shared" si="50"/>
        <v>3.8098727293781867E-5</v>
      </c>
      <c r="R84" s="9">
        <f t="shared" si="43"/>
        <v>3.9999999999999996E-5</v>
      </c>
      <c r="S84" s="9">
        <f t="shared" si="39"/>
        <v>1.5479655684126652E-7</v>
      </c>
      <c r="T84" s="9">
        <f t="shared" si="40"/>
        <v>3.4811286119533417E-5</v>
      </c>
      <c r="U84" s="9">
        <f t="shared" si="41"/>
        <v>3.9845203443158731E-5</v>
      </c>
      <c r="V84" s="102">
        <f t="shared" si="42"/>
        <v>0.8736631541910318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202</v>
      </c>
      <c r="C85" s="46" t="s">
        <v>203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0.61860589125383425</v>
      </c>
      <c r="J85" s="54">
        <f t="shared" si="45"/>
        <v>2.6217835296151417</v>
      </c>
      <c r="K85" s="55">
        <f t="shared" si="46"/>
        <v>0.23157008315528924</v>
      </c>
      <c r="L85" s="55">
        <f t="shared" si="47"/>
        <v>3.2738648777358326E-2</v>
      </c>
      <c r="M85" s="55">
        <f t="shared" si="19"/>
        <v>0.96726135122264167</v>
      </c>
      <c r="N85" s="55">
        <f t="shared" si="48"/>
        <v>2.3471214670638115E-2</v>
      </c>
      <c r="O85" s="56">
        <f t="shared" si="21"/>
        <v>2.3285407481074913E-7</v>
      </c>
      <c r="P85" s="56">
        <f t="shared" si="49"/>
        <v>9.7469193343296246E-5</v>
      </c>
      <c r="Q85" s="56">
        <f t="shared" si="50"/>
        <v>4.921005407186338E-4</v>
      </c>
      <c r="R85" s="9">
        <f t="shared" si="43"/>
        <v>3.9999999999999996E-5</v>
      </c>
      <c r="S85" s="9">
        <f t="shared" si="39"/>
        <v>1.3095459510943328E-6</v>
      </c>
      <c r="T85" s="9">
        <f t="shared" si="40"/>
        <v>9.2628033262115686E-6</v>
      </c>
      <c r="U85" s="9">
        <f t="shared" si="41"/>
        <v>3.8690454048905662E-5</v>
      </c>
      <c r="V85" s="102">
        <f t="shared" si="42"/>
        <v>0.23940797682299522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105</v>
      </c>
      <c r="C86" s="46" t="s">
        <v>106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1.9657934893493081</v>
      </c>
      <c r="K86" s="55">
        <f t="shared" si="46"/>
        <v>0.53544347587163699</v>
      </c>
      <c r="L86" s="55">
        <f t="shared" si="47"/>
        <v>1.6714827162903387E-2</v>
      </c>
      <c r="M86" s="55">
        <f t="shared" si="19"/>
        <v>0.9832851728370966</v>
      </c>
      <c r="N86" s="55">
        <f t="shared" si="48"/>
        <v>1.0481821152723156E-2</v>
      </c>
      <c r="O86" s="56">
        <f t="shared" si="21"/>
        <v>5.3841236090903867E-7</v>
      </c>
      <c r="P86" s="56">
        <f t="shared" si="49"/>
        <v>4.9763224240565852E-5</v>
      </c>
      <c r="Q86" s="56">
        <f t="shared" si="50"/>
        <v>2.1976322611985398E-4</v>
      </c>
      <c r="R86" s="9">
        <f t="shared" si="43"/>
        <v>3.9999999999999996E-5</v>
      </c>
      <c r="S86" s="9">
        <f t="shared" si="39"/>
        <v>6.6859308651613545E-7</v>
      </c>
      <c r="T86" s="9">
        <f t="shared" si="40"/>
        <v>2.1417739034865479E-5</v>
      </c>
      <c r="U86" s="9">
        <f t="shared" si="41"/>
        <v>3.9331406913483858E-5</v>
      </c>
      <c r="V86" s="102">
        <f t="shared" si="42"/>
        <v>0.54454545910288565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204</v>
      </c>
      <c r="C87" s="46" t="s">
        <v>205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206</v>
      </c>
      <c r="C88" s="46" t="s">
        <v>207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4.4541110421332437</v>
      </c>
      <c r="K88" s="55">
        <f t="shared" si="46"/>
        <v>6.79312304522768E-3</v>
      </c>
      <c r="L88" s="55">
        <f t="shared" si="47"/>
        <v>6.5279270551544741E-2</v>
      </c>
      <c r="M88" s="55">
        <f t="shared" si="19"/>
        <v>0.9347207294484553</v>
      </c>
      <c r="N88" s="55">
        <f t="shared" si="48"/>
        <v>5.7364154271393394E-2</v>
      </c>
      <c r="O88" s="56">
        <f t="shared" si="21"/>
        <v>6.8307890217033E-9</v>
      </c>
      <c r="P88" s="56">
        <f t="shared" si="49"/>
        <v>1.9434882257872045E-4</v>
      </c>
      <c r="Q88" s="56">
        <f t="shared" si="50"/>
        <v>1.2027043223346034E-3</v>
      </c>
      <c r="R88" s="9">
        <f>F88*$C$14</f>
        <v>3.9999999999999996E-5</v>
      </c>
      <c r="S88" s="9">
        <f t="shared" si="39"/>
        <v>2.6111708220617893E-6</v>
      </c>
      <c r="T88" s="9">
        <f t="shared" si="40"/>
        <v>2.7172492180910716E-7</v>
      </c>
      <c r="U88" s="9">
        <f t="shared" si="41"/>
        <v>3.7388829177938206E-5</v>
      </c>
      <c r="V88" s="102">
        <f t="shared" si="42"/>
        <v>7.267542947545471E-3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208</v>
      </c>
      <c r="C89" s="46" t="s">
        <v>209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5.9198274752242268</v>
      </c>
      <c r="K89" s="55">
        <f t="shared" si="46"/>
        <v>2.76589146313211E-4</v>
      </c>
      <c r="L89" s="55">
        <f t="shared" si="47"/>
        <v>7.7670728521351581E-2</v>
      </c>
      <c r="M89" s="55">
        <f t="shared" si="19"/>
        <v>0.9223292714786484</v>
      </c>
      <c r="N89" s="55">
        <f t="shared" si="48"/>
        <v>7.1785255065710263E-2</v>
      </c>
      <c r="O89" s="56">
        <f t="shared" si="21"/>
        <v>2.7812275614319399E-10</v>
      </c>
      <c r="P89" s="56">
        <f t="shared" si="49"/>
        <v>2.3124055323254416E-4</v>
      </c>
      <c r="Q89" s="56">
        <f t="shared" si="50"/>
        <v>1.5050589979756113E-3</v>
      </c>
      <c r="R89" s="9">
        <f>F89*$C$14</f>
        <v>3.9999999999999996E-5</v>
      </c>
      <c r="S89" s="9">
        <f t="shared" si="39"/>
        <v>3.1068291408540628E-6</v>
      </c>
      <c r="T89" s="9">
        <f t="shared" si="40"/>
        <v>1.1063565852528438E-8</v>
      </c>
      <c r="U89" s="9">
        <f t="shared" si="41"/>
        <v>3.6893170859145931E-5</v>
      </c>
      <c r="V89" s="102">
        <f t="shared" si="42"/>
        <v>2.9988113233118171E-4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210</v>
      </c>
      <c r="C90" s="46" t="s">
        <v>211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6.2984912087723171</v>
      </c>
      <c r="K90" s="55">
        <f t="shared" si="46"/>
        <v>1.2397755098767882E-4</v>
      </c>
      <c r="L90" s="55">
        <f t="shared" si="47"/>
        <v>8.3258586126303602E-2</v>
      </c>
      <c r="M90" s="55">
        <f t="shared" si="19"/>
        <v>0.91674141387369645</v>
      </c>
      <c r="N90" s="55">
        <f t="shared" si="48"/>
        <v>7.8341731700853304E-2</v>
      </c>
      <c r="O90" s="56">
        <f t="shared" si="21"/>
        <v>1.2466497199976949E-10</v>
      </c>
      <c r="P90" s="56">
        <f t="shared" si="49"/>
        <v>2.4787666967631582E-4</v>
      </c>
      <c r="Q90" s="56">
        <f t="shared" si="50"/>
        <v>1.6425229401975355E-3</v>
      </c>
      <c r="R90" s="9">
        <f>F90*$C$14</f>
        <v>3.9999999999999996E-5</v>
      </c>
      <c r="S90" s="9">
        <f t="shared" si="39"/>
        <v>3.3303434450521438E-6</v>
      </c>
      <c r="T90" s="9">
        <f t="shared" si="40"/>
        <v>4.9591020395071521E-9</v>
      </c>
      <c r="U90" s="9">
        <f t="shared" si="41"/>
        <v>3.6669656554947857E-5</v>
      </c>
      <c r="V90" s="102">
        <f t="shared" si="42"/>
        <v>1.3523720987340467E-4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107</v>
      </c>
      <c r="C91" s="46" t="s">
        <v>108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6.7277753052884339</v>
      </c>
      <c r="K91" s="55">
        <f t="shared" si="46"/>
        <v>4.8970119720417764E-5</v>
      </c>
      <c r="L91" s="55">
        <f t="shared" si="47"/>
        <v>8.8369264557054003E-2</v>
      </c>
      <c r="M91" s="55">
        <f t="shared" si="19"/>
        <v>0.91163073544294604</v>
      </c>
      <c r="N91" s="55">
        <f t="shared" si="48"/>
        <v>8.4339550051173204E-2</v>
      </c>
      <c r="O91" s="56">
        <f t="shared" si="21"/>
        <v>4.9241645403835691E-11</v>
      </c>
      <c r="P91" s="56">
        <f t="shared" si="49"/>
        <v>2.630921328272179E-4</v>
      </c>
      <c r="Q91" s="56">
        <f t="shared" si="50"/>
        <v>1.7682739801305838E-3</v>
      </c>
      <c r="R91" s="9">
        <f t="shared" ref="R91:R92" si="51">F91*$C$14</f>
        <v>3.9999999999999996E-5</v>
      </c>
      <c r="S91" s="9">
        <f t="shared" si="39"/>
        <v>3.5347705822821596E-6</v>
      </c>
      <c r="T91" s="9">
        <f t="shared" si="40"/>
        <v>1.9588047888167102E-9</v>
      </c>
      <c r="U91" s="9">
        <f t="shared" si="41"/>
        <v>3.6465229417717839E-5</v>
      </c>
      <c r="V91" s="102">
        <f t="shared" si="42"/>
        <v>5.3717056497249412E-5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109</v>
      </c>
      <c r="C92" s="46" t="s">
        <v>110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7.9903404987982469</v>
      </c>
      <c r="K92" s="55">
        <f t="shared" si="46"/>
        <v>2.921924315017826E-6</v>
      </c>
      <c r="L92" s="55">
        <f t="shared" si="47"/>
        <v>9.6517092540010355E-2</v>
      </c>
      <c r="M92" s="55">
        <f t="shared" si="19"/>
        <v>0.9034829074599896</v>
      </c>
      <c r="N92" s="55">
        <f t="shared" si="48"/>
        <v>9.3903131712057025E-2</v>
      </c>
      <c r="O92" s="56">
        <f t="shared" si="21"/>
        <v>2.9381255720508955E-12</v>
      </c>
      <c r="P92" s="56">
        <f t="shared" si="49"/>
        <v>2.8734976869971418E-4</v>
      </c>
      <c r="Q92" s="56">
        <f t="shared" si="50"/>
        <v>1.9687852775887053E-3</v>
      </c>
      <c r="R92" s="9">
        <f t="shared" si="51"/>
        <v>3.9999999999999996E-5</v>
      </c>
      <c r="S92" s="9">
        <f t="shared" si="39"/>
        <v>3.8606837016004136E-6</v>
      </c>
      <c r="T92" s="9">
        <f t="shared" si="40"/>
        <v>1.1687697260071303E-10</v>
      </c>
      <c r="U92" s="9">
        <f t="shared" si="41"/>
        <v>3.6139316298399582E-5</v>
      </c>
      <c r="V92" s="102">
        <f t="shared" si="42"/>
        <v>3.2340670652335748E-6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212</v>
      </c>
      <c r="C93" s="46" t="s">
        <v>213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1.7879431652958269</v>
      </c>
      <c r="K93" s="55">
        <f t="shared" si="46"/>
        <v>0.55483969565099378</v>
      </c>
      <c r="L93" s="55">
        <f t="shared" si="47"/>
        <v>1.1500201760438492E-2</v>
      </c>
      <c r="M93" s="55">
        <f t="shared" ref="M93:M127" si="52">IF(D93=0,"",1-L93)</f>
        <v>0.98849979823956147</v>
      </c>
      <c r="N93" s="55">
        <f t="shared" si="48"/>
        <v>4.7320643168824172E-3</v>
      </c>
      <c r="O93" s="56">
        <f t="shared" ref="O93:O127" si="53">IF(D93=0,"",F93*K93*$J$7/$J$14)</f>
        <v>5.5791612732829318E-7</v>
      </c>
      <c r="P93" s="56">
        <f t="shared" si="49"/>
        <v>3.4238291155446439E-5</v>
      </c>
      <c r="Q93" s="56">
        <f t="shared" si="50"/>
        <v>9.9213076175655831E-5</v>
      </c>
      <c r="R93" s="9">
        <f>F93*$C$14</f>
        <v>3.9999999999999996E-5</v>
      </c>
      <c r="S93" s="9">
        <f t="shared" si="39"/>
        <v>4.6000807041753964E-7</v>
      </c>
      <c r="T93" s="9">
        <f t="shared" si="40"/>
        <v>2.2193587826039749E-5</v>
      </c>
      <c r="U93" s="9">
        <f t="shared" si="41"/>
        <v>3.9539991929582454E-5</v>
      </c>
      <c r="V93" s="102">
        <f t="shared" si="42"/>
        <v>0.56129469792418629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214</v>
      </c>
      <c r="C94" s="46" t="s">
        <v>215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216</v>
      </c>
      <c r="C95" s="46" t="s">
        <v>217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218</v>
      </c>
      <c r="C96" s="46" t="s">
        <v>219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220</v>
      </c>
      <c r="C97" s="46" t="s">
        <v>221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222</v>
      </c>
      <c r="C98" s="46" t="s">
        <v>223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224</v>
      </c>
      <c r="C99" s="46" t="s">
        <v>225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226</v>
      </c>
      <c r="C100" s="46" t="s">
        <v>227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228</v>
      </c>
      <c r="C101" s="46" t="s">
        <v>229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230</v>
      </c>
      <c r="C102" s="46" t="s">
        <v>231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232</v>
      </c>
      <c r="C103" s="46" t="s">
        <v>233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234</v>
      </c>
      <c r="C104" s="46" t="s">
        <v>235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236</v>
      </c>
      <c r="C105" s="46" t="s">
        <v>237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238</v>
      </c>
      <c r="C106" s="46" t="s">
        <v>239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240</v>
      </c>
      <c r="C107" s="46" t="s">
        <v>241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0.65878493193924714</v>
      </c>
      <c r="K107" s="55">
        <f t="shared" si="46"/>
        <v>0.95069831991949527</v>
      </c>
      <c r="L107" s="55">
        <f t="shared" si="47"/>
        <v>1.4636000914450813E-3</v>
      </c>
      <c r="M107" s="55">
        <f t="shared" si="52"/>
        <v>0.99853639990855492</v>
      </c>
      <c r="N107" s="55">
        <f t="shared" si="48"/>
        <v>5.3276764273146198E-4</v>
      </c>
      <c r="O107" s="56">
        <f t="shared" si="53"/>
        <v>9.5596967748435721E-7</v>
      </c>
      <c r="P107" s="56">
        <f t="shared" si="49"/>
        <v>4.357416253201806E-6</v>
      </c>
      <c r="Q107" s="56">
        <f t="shared" si="50"/>
        <v>1.1170075718046192E-5</v>
      </c>
      <c r="R107" s="9">
        <f>F107*$C$14</f>
        <v>3.9999999999999996E-5</v>
      </c>
      <c r="S107" s="9">
        <f t="shared" ref="S107:S108" si="54">$R107*L107</f>
        <v>5.8544003657803248E-8</v>
      </c>
      <c r="T107" s="9">
        <f t="shared" ref="T107:T108" si="55">R107*K107</f>
        <v>3.8027932796779807E-5</v>
      </c>
      <c r="U107" s="9">
        <f t="shared" ref="U107:U108" si="56">$R107*M107</f>
        <v>3.994145599634219E-5</v>
      </c>
      <c r="V107" s="102">
        <f t="shared" ref="V107:V108" si="57">K107/M107</f>
        <v>0.95209180156733331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242</v>
      </c>
      <c r="C108" s="46" t="s">
        <v>243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1.5278597886488656</v>
      </c>
      <c r="K108" s="55">
        <f t="shared" si="46"/>
        <v>0.72464801939809531</v>
      </c>
      <c r="L108" s="55">
        <f t="shared" si="47"/>
        <v>8.2524265528590608E-3</v>
      </c>
      <c r="M108" s="55">
        <f t="shared" si="52"/>
        <v>0.99174757344714093</v>
      </c>
      <c r="N108" s="55">
        <f t="shared" si="48"/>
        <v>4.1721433657485882E-3</v>
      </c>
      <c r="O108" s="56">
        <f t="shared" si="53"/>
        <v>7.2866599096581596E-7</v>
      </c>
      <c r="P108" s="56">
        <f t="shared" si="49"/>
        <v>2.4569045738633409E-5</v>
      </c>
      <c r="Q108" s="56">
        <f t="shared" si="50"/>
        <v>8.7473700660619565E-5</v>
      </c>
      <c r="R108" s="9">
        <f>F108*$C$14</f>
        <v>3.9999999999999996E-5</v>
      </c>
      <c r="S108" s="9">
        <f t="shared" si="54"/>
        <v>3.3009706211436243E-7</v>
      </c>
      <c r="T108" s="9">
        <f t="shared" si="55"/>
        <v>2.8985920775923811E-5</v>
      </c>
      <c r="U108" s="9">
        <f t="shared" si="56"/>
        <v>3.9669902937885637E-5</v>
      </c>
      <c r="V108" s="102">
        <f t="shared" si="57"/>
        <v>0.73067788497767194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244</v>
      </c>
      <c r="C109" s="46" t="s">
        <v>245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246</v>
      </c>
      <c r="C110" s="46" t="s">
        <v>247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248</v>
      </c>
      <c r="C111" s="46" t="s">
        <v>249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250</v>
      </c>
      <c r="C112" s="46" t="s">
        <v>251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252</v>
      </c>
      <c r="C113" s="46" t="s">
        <v>253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254</v>
      </c>
      <c r="C114" s="46" t="s">
        <v>255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1.3877069023096393</v>
      </c>
      <c r="K114" s="55">
        <f t="shared" si="46"/>
        <v>0.796188631347308</v>
      </c>
      <c r="L114" s="55">
        <f t="shared" si="47"/>
        <v>6.5662534797998433E-3</v>
      </c>
      <c r="M114" s="55">
        <f t="shared" si="52"/>
        <v>0.99343374652020011</v>
      </c>
      <c r="N114" s="55">
        <f t="shared" si="48"/>
        <v>3.5631006140817434E-3</v>
      </c>
      <c r="O114" s="56">
        <f t="shared" si="53"/>
        <v>8.0060327569554357E-7</v>
      </c>
      <c r="P114" s="56">
        <f t="shared" si="49"/>
        <v>1.9548987324312676E-5</v>
      </c>
      <c r="Q114" s="56">
        <f t="shared" si="50"/>
        <v>7.470443108417329E-5</v>
      </c>
      <c r="R114" s="9">
        <f>F114*$C$14</f>
        <v>3.9999999999999996E-5</v>
      </c>
      <c r="S114" s="9">
        <f t="shared" ref="S114:S116" si="58">$R114*L114</f>
        <v>2.6265013919199369E-7</v>
      </c>
      <c r="T114" s="9">
        <f t="shared" ref="T114:T116" si="59">R114*K114</f>
        <v>3.1847545253892318E-5</v>
      </c>
      <c r="U114" s="9">
        <f t="shared" ref="U114:U116" si="60">$R114*M114</f>
        <v>3.9737349860808004E-5</v>
      </c>
      <c r="V114" s="102">
        <f t="shared" ref="V114:V116" si="61">K114/M114</f>
        <v>0.8014511628341574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256</v>
      </c>
      <c r="C115" s="46" t="s">
        <v>257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0.17110445915344102</v>
      </c>
      <c r="J115" s="54">
        <f t="shared" si="45"/>
        <v>1.4994216752369602</v>
      </c>
      <c r="K115" s="55">
        <f t="shared" si="46"/>
        <v>0.66610608746718236</v>
      </c>
      <c r="L115" s="55">
        <f t="shared" si="47"/>
        <v>7.1049307196268301E-3</v>
      </c>
      <c r="M115" s="55">
        <f t="shared" si="52"/>
        <v>0.99289506928037319</v>
      </c>
      <c r="N115" s="55">
        <f t="shared" si="48"/>
        <v>1.7038153109427856E-3</v>
      </c>
      <c r="O115" s="56">
        <f t="shared" si="53"/>
        <v>6.6979946031701349E-7</v>
      </c>
      <c r="P115" s="56">
        <f t="shared" si="49"/>
        <v>2.1152732072466151E-5</v>
      </c>
      <c r="Q115" s="56">
        <f t="shared" si="50"/>
        <v>3.572241349948153E-5</v>
      </c>
      <c r="R115" s="9">
        <f>F115*$C$14</f>
        <v>3.9999999999999996E-5</v>
      </c>
      <c r="S115" s="9">
        <f t="shared" si="58"/>
        <v>2.841972287850732E-7</v>
      </c>
      <c r="T115" s="9">
        <f t="shared" si="59"/>
        <v>2.6644243498687293E-5</v>
      </c>
      <c r="U115" s="9">
        <f t="shared" si="60"/>
        <v>3.9715802771214922E-5</v>
      </c>
      <c r="V115" s="102">
        <f t="shared" si="61"/>
        <v>0.67087259074613015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258</v>
      </c>
      <c r="C116" s="46" t="s">
        <v>259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0.23502720558428336</v>
      </c>
      <c r="K116" s="55">
        <f t="shared" si="46"/>
        <v>0.98104943954838297</v>
      </c>
      <c r="L116" s="55">
        <f t="shared" si="47"/>
        <v>5.6926288464345394E-4</v>
      </c>
      <c r="M116" s="55">
        <f t="shared" si="52"/>
        <v>0.99943073711535657</v>
      </c>
      <c r="N116" s="55">
        <f t="shared" si="48"/>
        <v>6.4284905227452157E-5</v>
      </c>
      <c r="O116" s="56">
        <f t="shared" si="53"/>
        <v>9.8648908562360165E-7</v>
      </c>
      <c r="P116" s="56">
        <f t="shared" si="49"/>
        <v>1.6948040386092093E-6</v>
      </c>
      <c r="Q116" s="56">
        <f t="shared" si="50"/>
        <v>1.3478056873660421E-6</v>
      </c>
      <c r="R116" s="9">
        <f>F116*$C$14</f>
        <v>3.9999999999999996E-5</v>
      </c>
      <c r="S116" s="9">
        <f t="shared" si="58"/>
        <v>2.2770515385738156E-8</v>
      </c>
      <c r="T116" s="9">
        <f t="shared" si="59"/>
        <v>3.9241977581935316E-5</v>
      </c>
      <c r="U116" s="9">
        <f t="shared" si="60"/>
        <v>3.9977229484614261E-5</v>
      </c>
      <c r="V116" s="102">
        <f t="shared" si="61"/>
        <v>0.98160823268250952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260</v>
      </c>
      <c r="C117" s="46" t="s">
        <v>261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262</v>
      </c>
      <c r="C118" s="46" t="s">
        <v>263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264</v>
      </c>
      <c r="C119" s="46" t="s">
        <v>265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3.5881322653047101</v>
      </c>
      <c r="K119" s="55">
        <f t="shared" si="46"/>
        <v>3.4111111875142014E-2</v>
      </c>
      <c r="L119" s="55">
        <f t="shared" si="47"/>
        <v>4.4629591391903936E-2</v>
      </c>
      <c r="M119" s="55">
        <f t="shared" si="52"/>
        <v>0.95537040860809608</v>
      </c>
      <c r="N119" s="55">
        <f t="shared" si="48"/>
        <v>3.3647437084528657E-2</v>
      </c>
      <c r="O119" s="56">
        <f t="shared" si="53"/>
        <v>3.4300248495941042E-8</v>
      </c>
      <c r="P119" s="56">
        <f t="shared" si="49"/>
        <v>1.3287079444824893E-4</v>
      </c>
      <c r="Q119" s="56">
        <f t="shared" si="50"/>
        <v>7.0545654391744356E-4</v>
      </c>
      <c r="R119" s="9">
        <f>F119*$C$14</f>
        <v>3.9999999999999996E-5</v>
      </c>
      <c r="S119" s="9">
        <f t="shared" ref="S119:S121" si="62">$R119*L119</f>
        <v>1.7851836556761574E-6</v>
      </c>
      <c r="T119" s="9">
        <f t="shared" ref="T119:T121" si="63">R119*K119</f>
        <v>1.3644444750056805E-6</v>
      </c>
      <c r="U119" s="9">
        <f t="shared" ref="U119:U121" si="64">$R119*M119</f>
        <v>3.8214816344323842E-5</v>
      </c>
      <c r="V119" s="102">
        <f t="shared" ref="V119:V121" si="65">K119/M119</f>
        <v>3.5704593284231374E-2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266</v>
      </c>
      <c r="C120" s="46" t="s">
        <v>267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1.6895489434747182</v>
      </c>
      <c r="K120" s="55">
        <f t="shared" si="46"/>
        <v>0.63251600369572369</v>
      </c>
      <c r="L120" s="55">
        <f t="shared" si="47"/>
        <v>1.0452380990161233E-2</v>
      </c>
      <c r="M120" s="55">
        <f t="shared" si="52"/>
        <v>0.98954761900983879</v>
      </c>
      <c r="N120" s="55">
        <f t="shared" si="48"/>
        <v>4.9898860984658767E-3</v>
      </c>
      <c r="O120" s="56">
        <f t="shared" si="53"/>
        <v>6.3602312888056684E-7</v>
      </c>
      <c r="P120" s="56">
        <f t="shared" si="49"/>
        <v>3.1118729137422412E-5</v>
      </c>
      <c r="Q120" s="56">
        <f t="shared" si="50"/>
        <v>1.0461860119456244E-4</v>
      </c>
      <c r="R120" s="9">
        <f>F120*$C$14</f>
        <v>3.9999999999999996E-5</v>
      </c>
      <c r="S120" s="9">
        <f t="shared" si="62"/>
        <v>4.1809523960644929E-7</v>
      </c>
      <c r="T120" s="9">
        <f t="shared" si="63"/>
        <v>2.5300640147828946E-5</v>
      </c>
      <c r="U120" s="9">
        <f t="shared" si="64"/>
        <v>3.9581904760393551E-5</v>
      </c>
      <c r="V120" s="102">
        <f t="shared" si="65"/>
        <v>0.63919713568573078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268</v>
      </c>
      <c r="C121" s="46" t="s">
        <v>269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4.0463375290265402</v>
      </c>
      <c r="K121" s="55">
        <f t="shared" si="46"/>
        <v>9.7106877233507811E-3</v>
      </c>
      <c r="L121" s="55">
        <f t="shared" si="47"/>
        <v>3.649070776375414E-2</v>
      </c>
      <c r="M121" s="55">
        <f t="shared" si="52"/>
        <v>0.96350929223624582</v>
      </c>
      <c r="N121" s="55">
        <f t="shared" si="48"/>
        <v>2.3626103505071921E-2</v>
      </c>
      <c r="O121" s="56">
        <f t="shared" si="53"/>
        <v>9.764530783886359E-9</v>
      </c>
      <c r="P121" s="56">
        <f t="shared" si="49"/>
        <v>1.0863978762369874E-4</v>
      </c>
      <c r="Q121" s="56">
        <f t="shared" si="50"/>
        <v>4.9534796017458149E-4</v>
      </c>
      <c r="R121" s="9">
        <f>F121*$C$14</f>
        <v>3.9999999999999996E-5</v>
      </c>
      <c r="S121" s="9">
        <f t="shared" si="62"/>
        <v>1.4596283105501654E-6</v>
      </c>
      <c r="T121" s="9">
        <f t="shared" si="63"/>
        <v>3.8842750893403123E-7</v>
      </c>
      <c r="U121" s="9">
        <f t="shared" si="64"/>
        <v>3.8540371689449828E-5</v>
      </c>
      <c r="V121" s="102">
        <f t="shared" si="65"/>
        <v>1.0078457780944563E-2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270</v>
      </c>
      <c r="C122" s="46" t="s">
        <v>271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272</v>
      </c>
      <c r="C123" s="46" t="s">
        <v>273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274</v>
      </c>
      <c r="C124" s="46" t="s">
        <v>275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2.7319270672547926</v>
      </c>
      <c r="K124" s="55">
        <f t="shared" si="68"/>
        <v>0.19979857259350758</v>
      </c>
      <c r="L124" s="55">
        <f t="shared" si="69"/>
        <v>3.6401075719167592E-2</v>
      </c>
      <c r="M124" s="55">
        <f t="shared" si="52"/>
        <v>0.96359892428083238</v>
      </c>
      <c r="N124" s="55">
        <f t="shared" si="70"/>
        <v>2.7161859297409351E-2</v>
      </c>
      <c r="O124" s="56">
        <f t="shared" si="53"/>
        <v>2.0090640006624214E-7</v>
      </c>
      <c r="P124" s="56">
        <f t="shared" si="71"/>
        <v>1.0837293595419419E-4</v>
      </c>
      <c r="Q124" s="56">
        <f t="shared" si="72"/>
        <v>5.6947907616811881E-4</v>
      </c>
      <c r="R124" s="9">
        <f>F124*$C$14</f>
        <v>3.9999999999999996E-5</v>
      </c>
      <c r="S124" s="9">
        <f t="shared" ref="S124:S127" si="73">$R124*L124</f>
        <v>1.4560430287667034E-6</v>
      </c>
      <c r="T124" s="9">
        <f t="shared" ref="T124:T127" si="74">R124*K124</f>
        <v>7.9919429037403025E-6</v>
      </c>
      <c r="U124" s="9">
        <f t="shared" ref="U124:U127" si="75">$R124*M124</f>
        <v>3.8543956971233289E-5</v>
      </c>
      <c r="V124" s="102">
        <f t="shared" ref="V124:V127" si="76">K124/M124</f>
        <v>0.20734619721854117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276</v>
      </c>
      <c r="C125" s="46" t="s">
        <v>277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278</v>
      </c>
      <c r="C126" s="46" t="s">
        <v>279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2.0586187754155523</v>
      </c>
      <c r="K126" s="55">
        <f t="shared" si="68"/>
        <v>0.44393709024355482</v>
      </c>
      <c r="L126" s="55">
        <f t="shared" si="69"/>
        <v>1.7160699092610421E-2</v>
      </c>
      <c r="M126" s="55">
        <f t="shared" si="52"/>
        <v>0.98283930090738958</v>
      </c>
      <c r="N126" s="55">
        <f t="shared" si="70"/>
        <v>9.2524883114846659E-3</v>
      </c>
      <c r="O126" s="56">
        <f t="shared" si="53"/>
        <v>4.4639859784270188E-7</v>
      </c>
      <c r="P126" s="56">
        <f t="shared" si="71"/>
        <v>5.1090669903290318E-5</v>
      </c>
      <c r="Q126" s="56">
        <f t="shared" si="72"/>
        <v>1.9398887381701308E-4</v>
      </c>
      <c r="R126" s="9">
        <f>F126*$C$14</f>
        <v>3.9999999999999996E-5</v>
      </c>
      <c r="S126" s="9">
        <f t="shared" si="73"/>
        <v>6.8642796370441675E-7</v>
      </c>
      <c r="T126" s="9">
        <f t="shared" si="74"/>
        <v>1.7757483609742191E-5</v>
      </c>
      <c r="U126" s="9">
        <f t="shared" si="75"/>
        <v>3.9313572036295578E-5</v>
      </c>
      <c r="V126" s="102">
        <f t="shared" si="76"/>
        <v>0.45168837859220473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280</v>
      </c>
      <c r="C127" s="46" t="s">
        <v>281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3.5843904257090345E-2</v>
      </c>
      <c r="K127" s="55">
        <f t="shared" si="68"/>
        <v>0.99320884394068909</v>
      </c>
      <c r="L127" s="55">
        <f t="shared" si="69"/>
        <v>3.6431684466716938E-4</v>
      </c>
      <c r="M127" s="55">
        <f t="shared" si="52"/>
        <v>0.9996356831553328</v>
      </c>
      <c r="N127" s="55">
        <f t="shared" si="70"/>
        <v>5.6608636187233933E-5</v>
      </c>
      <c r="O127" s="56">
        <f t="shared" si="53"/>
        <v>9.9871591052879227E-7</v>
      </c>
      <c r="P127" s="56">
        <f t="shared" si="71"/>
        <v>1.0846406402588622E-6</v>
      </c>
      <c r="Q127" s="56">
        <f t="shared" si="72"/>
        <v>1.1868640318786229E-6</v>
      </c>
      <c r="R127" s="9">
        <f>F127*$C$14</f>
        <v>3.9999999999999996E-5</v>
      </c>
      <c r="S127" s="9">
        <f t="shared" si="73"/>
        <v>1.4572673786686774E-8</v>
      </c>
      <c r="T127" s="9">
        <f t="shared" si="74"/>
        <v>3.9728353757627558E-5</v>
      </c>
      <c r="U127" s="9">
        <f t="shared" si="75"/>
        <v>3.9985427326213305E-5</v>
      </c>
      <c r="V127" s="102">
        <f t="shared" si="76"/>
        <v>0.99357081852624796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282</v>
      </c>
      <c r="C128" s="46" t="s">
        <v>283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284</v>
      </c>
      <c r="C129" s="46" t="s">
        <v>285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286</v>
      </c>
      <c r="C130" s="46" t="s">
        <v>287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0.60777493199684662</v>
      </c>
      <c r="K130" s="55">
        <f t="shared" si="79"/>
        <v>0.94742107624342553</v>
      </c>
      <c r="L130" s="55">
        <f t="shared" si="80"/>
        <v>1.2969186733008931E-3</v>
      </c>
      <c r="M130" s="55">
        <f t="shared" si="81"/>
        <v>0.99870308132669916</v>
      </c>
      <c r="N130" s="55">
        <f t="shared" si="82"/>
        <v>2.7433306503098345E-4</v>
      </c>
      <c r="O130" s="56">
        <f t="shared" si="83"/>
        <v>9.5267426240429753E-7</v>
      </c>
      <c r="P130" s="56">
        <f t="shared" si="84"/>
        <v>3.8611739225450077E-6</v>
      </c>
      <c r="Q130" s="56">
        <f t="shared" si="85"/>
        <v>5.7517027360168078E-6</v>
      </c>
      <c r="R130" s="9">
        <f>F130*$C$14</f>
        <v>3.9999999999999996E-5</v>
      </c>
      <c r="S130" s="9">
        <f t="shared" ref="S130:S131" si="86">$R130*L130</f>
        <v>5.1876746932035721E-8</v>
      </c>
      <c r="T130" s="9">
        <f t="shared" ref="T130:T131" si="87">R130*K130</f>
        <v>3.789684304973702E-5</v>
      </c>
      <c r="U130" s="9">
        <f t="shared" ref="U130:U131" si="88">$R130*M130</f>
        <v>3.994812325306796E-5</v>
      </c>
      <c r="V130" s="102">
        <f t="shared" ref="V130:V131" si="89">K130/M130</f>
        <v>0.94865139995848469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288</v>
      </c>
      <c r="C131" s="46" t="s">
        <v>289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-5.5484612143741681E-2</v>
      </c>
      <c r="K131" s="55">
        <f t="shared" si="79"/>
        <v>0.99586235979573468</v>
      </c>
      <c r="L131" s="55">
        <f t="shared" si="80"/>
        <v>2.9601210771752209E-4</v>
      </c>
      <c r="M131" s="55">
        <f t="shared" si="81"/>
        <v>0.99970398789228243</v>
      </c>
      <c r="N131" s="55">
        <f t="shared" si="82"/>
        <v>2.7253823046058114E-5</v>
      </c>
      <c r="O131" s="56">
        <f t="shared" si="83"/>
        <v>1.0013841393906698E-6</v>
      </c>
      <c r="P131" s="56">
        <f t="shared" si="84"/>
        <v>8.8128442793367635E-7</v>
      </c>
      <c r="Q131" s="56">
        <f t="shared" si="85"/>
        <v>5.7140720008806169E-7</v>
      </c>
      <c r="R131" s="9">
        <f>F131*$C$14</f>
        <v>3.9999999999999996E-5</v>
      </c>
      <c r="S131" s="9">
        <f t="shared" si="86"/>
        <v>1.1840484308700882E-8</v>
      </c>
      <c r="T131" s="9">
        <f t="shared" si="87"/>
        <v>3.9834494391829381E-5</v>
      </c>
      <c r="U131" s="9">
        <f t="shared" si="88"/>
        <v>3.9988159515691296E-5</v>
      </c>
      <c r="V131" s="102">
        <f t="shared" si="89"/>
        <v>0.99615723439830706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290</v>
      </c>
      <c r="C132" s="46" t="s">
        <v>291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292</v>
      </c>
      <c r="C133" s="46" t="s">
        <v>293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97</v>
      </c>
      <c r="C134" s="46" t="s">
        <v>294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2024-10-28T22:56:44Z</dcterms:modified>
</cp:coreProperties>
</file>