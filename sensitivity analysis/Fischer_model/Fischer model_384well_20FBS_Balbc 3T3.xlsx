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Paper writing\R1\Sens_R\Fischer\384well_1um\"/>
    </mc:Choice>
  </mc:AlternateContent>
  <xr:revisionPtr revIDLastSave="0" documentId="13_ncr:1_{D9399CFC-6785-43ED-9BCE-1D184D582606}" xr6:coauthVersionLast="47" xr6:coauthVersionMax="47" xr10:uidLastSave="{00000000-0000-0000-0000-000000000000}"/>
  <bookViews>
    <workbookView xWindow="-98" yWindow="-98" windowWidth="21795" windowHeight="13875" firstSheet="1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43" i="4" l="1"/>
  <c r="U143" i="4"/>
  <c r="T143" i="4"/>
  <c r="S143" i="4"/>
  <c r="R143" i="4"/>
  <c r="V142" i="4"/>
  <c r="R142" i="4"/>
  <c r="V141" i="4"/>
  <c r="U141" i="4"/>
  <c r="R141" i="4"/>
  <c r="T141" i="4" s="1"/>
  <c r="V140" i="4"/>
  <c r="R140" i="4"/>
  <c r="V139" i="4"/>
  <c r="U139" i="4"/>
  <c r="T139" i="4"/>
  <c r="S139" i="4"/>
  <c r="R139" i="4"/>
  <c r="V138" i="4"/>
  <c r="U138" i="4"/>
  <c r="T138" i="4"/>
  <c r="R138" i="4"/>
  <c r="S138" i="4" s="1"/>
  <c r="V137" i="4"/>
  <c r="T137" i="4"/>
  <c r="R137" i="4"/>
  <c r="U137" i="4" s="1"/>
  <c r="V136" i="4"/>
  <c r="R136" i="4"/>
  <c r="U136" i="4" s="1"/>
  <c r="V135" i="4"/>
  <c r="R135" i="4"/>
  <c r="V134" i="4"/>
  <c r="U134" i="4"/>
  <c r="T134" i="4"/>
  <c r="R134" i="4"/>
  <c r="S134" i="4" s="1"/>
  <c r="V133" i="4"/>
  <c r="U133" i="4"/>
  <c r="R133" i="4"/>
  <c r="T133" i="4" s="1"/>
  <c r="V132" i="4"/>
  <c r="R132" i="4"/>
  <c r="U132" i="4" s="1"/>
  <c r="V131" i="4"/>
  <c r="U131" i="4"/>
  <c r="T131" i="4"/>
  <c r="S131" i="4"/>
  <c r="R131" i="4"/>
  <c r="V130" i="4"/>
  <c r="R130" i="4"/>
  <c r="U130" i="4" s="1"/>
  <c r="V129" i="4"/>
  <c r="U129" i="4"/>
  <c r="R129" i="4"/>
  <c r="T129" i="4" s="1"/>
  <c r="V128" i="4"/>
  <c r="R128" i="4"/>
  <c r="V127" i="4"/>
  <c r="U127" i="4"/>
  <c r="T127" i="4"/>
  <c r="S127" i="4"/>
  <c r="R127" i="4"/>
  <c r="V126" i="4"/>
  <c r="U126" i="4"/>
  <c r="T126" i="4"/>
  <c r="R126" i="4"/>
  <c r="S126" i="4" s="1"/>
  <c r="V125" i="4"/>
  <c r="R125" i="4"/>
  <c r="T125" i="4" s="1"/>
  <c r="V124" i="4"/>
  <c r="R124" i="4"/>
  <c r="U124" i="4" s="1"/>
  <c r="V123" i="4"/>
  <c r="R123" i="4"/>
  <c r="V122" i="4"/>
  <c r="U122" i="4"/>
  <c r="T122" i="4"/>
  <c r="R122" i="4"/>
  <c r="S122" i="4" s="1"/>
  <c r="V121" i="4"/>
  <c r="U121" i="4"/>
  <c r="R121" i="4"/>
  <c r="T121" i="4" s="1"/>
  <c r="V120" i="4"/>
  <c r="R120" i="4"/>
  <c r="U120" i="4" s="1"/>
  <c r="V119" i="4"/>
  <c r="U119" i="4"/>
  <c r="T119" i="4"/>
  <c r="S119" i="4"/>
  <c r="R119" i="4"/>
  <c r="V118" i="4"/>
  <c r="T118" i="4"/>
  <c r="S118" i="4"/>
  <c r="R118" i="4"/>
  <c r="U118" i="4" s="1"/>
  <c r="V117" i="4"/>
  <c r="U117" i="4"/>
  <c r="R117" i="4"/>
  <c r="T117" i="4" s="1"/>
  <c r="V116" i="4"/>
  <c r="R116" i="4"/>
  <c r="V115" i="4"/>
  <c r="U115" i="4"/>
  <c r="T115" i="4"/>
  <c r="S115" i="4"/>
  <c r="R115" i="4"/>
  <c r="V114" i="4"/>
  <c r="U114" i="4"/>
  <c r="T114" i="4"/>
  <c r="R114" i="4"/>
  <c r="S114" i="4" s="1"/>
  <c r="V113" i="4"/>
  <c r="R113" i="4"/>
  <c r="U113" i="4" s="1"/>
  <c r="V112" i="4"/>
  <c r="R112" i="4"/>
  <c r="U112" i="4" s="1"/>
  <c r="V111" i="4"/>
  <c r="S111" i="4"/>
  <c r="R111" i="4"/>
  <c r="V110" i="4"/>
  <c r="U110" i="4"/>
  <c r="T110" i="4"/>
  <c r="R110" i="4"/>
  <c r="S110" i="4" s="1"/>
  <c r="V109" i="4"/>
  <c r="U109" i="4"/>
  <c r="R109" i="4"/>
  <c r="T109" i="4" s="1"/>
  <c r="V108" i="4"/>
  <c r="U108" i="4"/>
  <c r="T108" i="4"/>
  <c r="S108" i="4"/>
  <c r="R108" i="4"/>
  <c r="R107" i="4"/>
  <c r="V106" i="4"/>
  <c r="U106" i="4"/>
  <c r="T106" i="4"/>
  <c r="R106" i="4"/>
  <c r="S106" i="4" s="1"/>
  <c r="V105" i="4"/>
  <c r="R105" i="4"/>
  <c r="U105" i="4" s="1"/>
  <c r="V104" i="4"/>
  <c r="R104" i="4"/>
  <c r="U104" i="4" s="1"/>
  <c r="V103" i="4"/>
  <c r="R103" i="4"/>
  <c r="V102" i="4"/>
  <c r="U102" i="4"/>
  <c r="T102" i="4"/>
  <c r="R102" i="4"/>
  <c r="S102" i="4" s="1"/>
  <c r="V101" i="4"/>
  <c r="U101" i="4"/>
  <c r="R101" i="4"/>
  <c r="T101" i="4" s="1"/>
  <c r="R100" i="4"/>
  <c r="V99" i="4"/>
  <c r="U99" i="4"/>
  <c r="T99" i="4"/>
  <c r="S99" i="4"/>
  <c r="R99" i="4"/>
  <c r="V98" i="4"/>
  <c r="U98" i="4"/>
  <c r="T98" i="4"/>
  <c r="R98" i="4"/>
  <c r="S98" i="4" s="1"/>
  <c r="R97" i="4"/>
  <c r="V96" i="4"/>
  <c r="U96" i="4"/>
  <c r="R96" i="4"/>
  <c r="T96" i="4" s="1"/>
  <c r="V95" i="4"/>
  <c r="U95" i="4"/>
  <c r="T95" i="4"/>
  <c r="S95" i="4"/>
  <c r="R95" i="4"/>
  <c r="V94" i="4"/>
  <c r="R94" i="4"/>
  <c r="U94" i="4" s="1"/>
  <c r="V93" i="4"/>
  <c r="U93" i="4"/>
  <c r="R93" i="4"/>
  <c r="T93" i="4" s="1"/>
  <c r="V92" i="4"/>
  <c r="R92" i="4"/>
  <c r="V91" i="4"/>
  <c r="U91" i="4"/>
  <c r="T91" i="4"/>
  <c r="S91" i="4"/>
  <c r="R91" i="4"/>
  <c r="V90" i="4"/>
  <c r="U90" i="4"/>
  <c r="T90" i="4"/>
  <c r="R90" i="4"/>
  <c r="S90" i="4" s="1"/>
  <c r="V89" i="4"/>
  <c r="R89" i="4"/>
  <c r="U89" i="4" s="1"/>
  <c r="V88" i="4"/>
  <c r="R88" i="4"/>
  <c r="U88" i="4" s="1"/>
  <c r="V87" i="4"/>
  <c r="R87" i="4"/>
  <c r="V86" i="4"/>
  <c r="U86" i="4"/>
  <c r="T86" i="4"/>
  <c r="R86" i="4"/>
  <c r="S86" i="4" s="1"/>
  <c r="V85" i="4"/>
  <c r="U85" i="4"/>
  <c r="R85" i="4"/>
  <c r="T85" i="4" s="1"/>
  <c r="V84" i="4"/>
  <c r="R84" i="4"/>
  <c r="U84" i="4" s="1"/>
  <c r="V83" i="4"/>
  <c r="U83" i="4"/>
  <c r="T83" i="4"/>
  <c r="S83" i="4"/>
  <c r="R83" i="4"/>
  <c r="V82" i="4"/>
  <c r="R82" i="4"/>
  <c r="U82" i="4" s="1"/>
  <c r="V81" i="4"/>
  <c r="U81" i="4"/>
  <c r="R81" i="4"/>
  <c r="T81" i="4" s="1"/>
  <c r="V80" i="4"/>
  <c r="R80" i="4"/>
  <c r="V79" i="4"/>
  <c r="U79" i="4"/>
  <c r="T79" i="4"/>
  <c r="S79" i="4"/>
  <c r="R79" i="4"/>
  <c r="V78" i="4"/>
  <c r="U78" i="4"/>
  <c r="T78" i="4"/>
  <c r="R78" i="4"/>
  <c r="S78" i="4" s="1"/>
  <c r="V77" i="4"/>
  <c r="R77" i="4"/>
  <c r="U77" i="4" s="1"/>
  <c r="V76" i="4"/>
  <c r="R76" i="4"/>
  <c r="U76" i="4" s="1"/>
  <c r="V75" i="4"/>
  <c r="R75" i="4"/>
  <c r="V74" i="4"/>
  <c r="U74" i="4"/>
  <c r="T74" i="4"/>
  <c r="R74" i="4"/>
  <c r="S74" i="4" s="1"/>
  <c r="V73" i="4"/>
  <c r="U73" i="4"/>
  <c r="R73" i="4"/>
  <c r="T73" i="4" s="1"/>
  <c r="V72" i="4"/>
  <c r="R72" i="4"/>
  <c r="U72" i="4" s="1"/>
  <c r="V71" i="4"/>
  <c r="U71" i="4"/>
  <c r="T71" i="4"/>
  <c r="S71" i="4"/>
  <c r="R71" i="4"/>
  <c r="V70" i="4"/>
  <c r="R70" i="4"/>
  <c r="U70" i="4" s="1"/>
  <c r="V69" i="4"/>
  <c r="U69" i="4"/>
  <c r="R69" i="4"/>
  <c r="T69" i="4" s="1"/>
  <c r="V68" i="4"/>
  <c r="R68" i="4"/>
  <c r="V67" i="4"/>
  <c r="U67" i="4"/>
  <c r="T67" i="4"/>
  <c r="S67" i="4"/>
  <c r="R67" i="4"/>
  <c r="V66" i="4"/>
  <c r="U66" i="4"/>
  <c r="T66" i="4"/>
  <c r="R66" i="4"/>
  <c r="S66" i="4" s="1"/>
  <c r="V65" i="4"/>
  <c r="U65" i="4"/>
  <c r="T65" i="4"/>
  <c r="S65" i="4"/>
  <c r="R65" i="4"/>
  <c r="V64" i="4"/>
  <c r="R64" i="4"/>
  <c r="U64" i="4" s="1"/>
  <c r="V63" i="4"/>
  <c r="R63" i="4"/>
  <c r="V62" i="4"/>
  <c r="U62" i="4"/>
  <c r="T62" i="4"/>
  <c r="R62" i="4"/>
  <c r="S62" i="4" s="1"/>
  <c r="V61" i="4"/>
  <c r="U61" i="4"/>
  <c r="R61" i="4"/>
  <c r="T61" i="4" s="1"/>
  <c r="V60" i="4"/>
  <c r="R60" i="4"/>
  <c r="U60" i="4" s="1"/>
  <c r="V59" i="4"/>
  <c r="U59" i="4"/>
  <c r="T59" i="4"/>
  <c r="S59" i="4"/>
  <c r="R59" i="4"/>
  <c r="V58" i="4"/>
  <c r="R58" i="4"/>
  <c r="U58" i="4" s="1"/>
  <c r="V57" i="4"/>
  <c r="U57" i="4"/>
  <c r="R57" i="4"/>
  <c r="T57" i="4" s="1"/>
  <c r="V56" i="4"/>
  <c r="R56" i="4"/>
  <c r="V55" i="4"/>
  <c r="U55" i="4"/>
  <c r="T55" i="4"/>
  <c r="S55" i="4"/>
  <c r="R55" i="4"/>
  <c r="V54" i="4"/>
  <c r="U54" i="4"/>
  <c r="T54" i="4"/>
  <c r="R54" i="4"/>
  <c r="S54" i="4" s="1"/>
  <c r="V53" i="4"/>
  <c r="R53" i="4"/>
  <c r="U53" i="4" s="1"/>
  <c r="V52" i="4"/>
  <c r="R52" i="4"/>
  <c r="U52" i="4" s="1"/>
  <c r="V51" i="4"/>
  <c r="R51" i="4"/>
  <c r="V50" i="4"/>
  <c r="U50" i="4"/>
  <c r="T50" i="4"/>
  <c r="R50" i="4"/>
  <c r="S50" i="4" s="1"/>
  <c r="V49" i="4"/>
  <c r="U49" i="4"/>
  <c r="R49" i="4"/>
  <c r="T49" i="4" s="1"/>
  <c r="V48" i="4"/>
  <c r="U48" i="4"/>
  <c r="R48" i="4"/>
  <c r="T48" i="4" s="1"/>
  <c r="V47" i="4"/>
  <c r="U47" i="4"/>
  <c r="T47" i="4"/>
  <c r="S47" i="4"/>
  <c r="R47" i="4"/>
  <c r="V46" i="4"/>
  <c r="R46" i="4"/>
  <c r="U46" i="4" s="1"/>
  <c r="V45" i="4"/>
  <c r="U45" i="4"/>
  <c r="R45" i="4"/>
  <c r="T45" i="4" s="1"/>
  <c r="V44" i="4"/>
  <c r="R44" i="4"/>
  <c r="V43" i="4"/>
  <c r="U43" i="4"/>
  <c r="T43" i="4"/>
  <c r="S43" i="4"/>
  <c r="R43" i="4"/>
  <c r="V42" i="4"/>
  <c r="U42" i="4"/>
  <c r="T42" i="4"/>
  <c r="R42" i="4"/>
  <c r="S42" i="4" s="1"/>
  <c r="V41" i="4"/>
  <c r="R41" i="4"/>
  <c r="U41" i="4" s="1"/>
  <c r="V40" i="4"/>
  <c r="R40" i="4"/>
  <c r="U40" i="4" s="1"/>
  <c r="V39" i="4"/>
  <c r="R39" i="4"/>
  <c r="V38" i="4"/>
  <c r="U38" i="4"/>
  <c r="T38" i="4"/>
  <c r="R38" i="4"/>
  <c r="S38" i="4" s="1"/>
  <c r="V37" i="4"/>
  <c r="U37" i="4"/>
  <c r="R37" i="4"/>
  <c r="T37" i="4" s="1"/>
  <c r="V36" i="4"/>
  <c r="R36" i="4"/>
  <c r="U36" i="4" s="1"/>
  <c r="V35" i="4"/>
  <c r="U35" i="4"/>
  <c r="T35" i="4"/>
  <c r="S35" i="4"/>
  <c r="R35" i="4"/>
  <c r="V34" i="4"/>
  <c r="R34" i="4"/>
  <c r="U34" i="4" s="1"/>
  <c r="V33" i="4"/>
  <c r="U33" i="4"/>
  <c r="R33" i="4"/>
  <c r="T33" i="4" s="1"/>
  <c r="V32" i="4"/>
  <c r="R32" i="4"/>
  <c r="V31" i="4"/>
  <c r="U31" i="4"/>
  <c r="T31" i="4"/>
  <c r="S31" i="4"/>
  <c r="R31" i="4"/>
  <c r="V30" i="4"/>
  <c r="U30" i="4"/>
  <c r="T30" i="4"/>
  <c r="R30" i="4"/>
  <c r="S30" i="4" s="1"/>
  <c r="V29" i="4"/>
  <c r="R29" i="4"/>
  <c r="U29" i="4" s="1"/>
  <c r="V28" i="4"/>
  <c r="R28" i="4"/>
  <c r="U28" i="4" s="1"/>
  <c r="I135" i="4"/>
  <c r="L135" i="4" s="1"/>
  <c r="M135" i="4" s="1"/>
  <c r="J135" i="4"/>
  <c r="K135" i="4"/>
  <c r="O135" i="4" s="1"/>
  <c r="P135" i="4" s="1"/>
  <c r="N135" i="4"/>
  <c r="Q135" i="4"/>
  <c r="I136" i="4"/>
  <c r="L136" i="4" s="1"/>
  <c r="M136" i="4" s="1"/>
  <c r="J136" i="4"/>
  <c r="K136" i="4"/>
  <c r="O136" i="4" s="1"/>
  <c r="P136" i="4" s="1"/>
  <c r="I137" i="4"/>
  <c r="J137" i="4"/>
  <c r="K137" i="4"/>
  <c r="O137" i="4" s="1"/>
  <c r="P137" i="4" s="1"/>
  <c r="L137" i="4"/>
  <c r="M137" i="4"/>
  <c r="N137" i="4"/>
  <c r="Q137" i="4" s="1"/>
  <c r="I138" i="4"/>
  <c r="J138" i="4"/>
  <c r="K138" i="4"/>
  <c r="L138" i="4"/>
  <c r="M138" i="4"/>
  <c r="N138" i="4"/>
  <c r="O138" i="4"/>
  <c r="P138" i="4"/>
  <c r="Q138" i="4"/>
  <c r="I139" i="4"/>
  <c r="L139" i="4" s="1"/>
  <c r="M139" i="4" s="1"/>
  <c r="J139" i="4"/>
  <c r="K139" i="4"/>
  <c r="O139" i="4" s="1"/>
  <c r="P139" i="4" s="1"/>
  <c r="N139" i="4"/>
  <c r="Q139" i="4"/>
  <c r="I140" i="4"/>
  <c r="L140" i="4" s="1"/>
  <c r="M140" i="4" s="1"/>
  <c r="J140" i="4"/>
  <c r="K140" i="4"/>
  <c r="O140" i="4" s="1"/>
  <c r="P140" i="4" s="1"/>
  <c r="I141" i="4"/>
  <c r="J141" i="4"/>
  <c r="K141" i="4"/>
  <c r="O141" i="4" s="1"/>
  <c r="P141" i="4" s="1"/>
  <c r="L141" i="4"/>
  <c r="M141" i="4"/>
  <c r="N141" i="4"/>
  <c r="Q141" i="4" s="1"/>
  <c r="I142" i="4"/>
  <c r="J142" i="4"/>
  <c r="K142" i="4"/>
  <c r="L142" i="4"/>
  <c r="M142" i="4"/>
  <c r="N142" i="4"/>
  <c r="O142" i="4"/>
  <c r="P142" i="4"/>
  <c r="Q142" i="4"/>
  <c r="I143" i="4"/>
  <c r="J143" i="4"/>
  <c r="L143" i="4" s="1"/>
  <c r="M143" i="4" s="1"/>
  <c r="K143" i="4"/>
  <c r="O143" i="4" s="1"/>
  <c r="P143" i="4" s="1"/>
  <c r="N143" i="4"/>
  <c r="Q143" i="4"/>
  <c r="U39" i="4" l="1"/>
  <c r="T39" i="4"/>
  <c r="U87" i="4"/>
  <c r="T87" i="4"/>
  <c r="S36" i="4"/>
  <c r="S39" i="4"/>
  <c r="S46" i="4"/>
  <c r="U68" i="4"/>
  <c r="T68" i="4"/>
  <c r="S68" i="4"/>
  <c r="S84" i="4"/>
  <c r="S87" i="4"/>
  <c r="S94" i="4"/>
  <c r="T36" i="4"/>
  <c r="T46" i="4"/>
  <c r="T84" i="4"/>
  <c r="T94" i="4"/>
  <c r="S105" i="4"/>
  <c r="S125" i="4"/>
  <c r="S53" i="4"/>
  <c r="U75" i="4"/>
  <c r="T75" i="4"/>
  <c r="T105" i="4"/>
  <c r="U128" i="4"/>
  <c r="T128" i="4"/>
  <c r="S128" i="4"/>
  <c r="S34" i="4"/>
  <c r="T53" i="4"/>
  <c r="U56" i="4"/>
  <c r="T56" i="4"/>
  <c r="S56" i="4"/>
  <c r="S72" i="4"/>
  <c r="S75" i="4"/>
  <c r="S82" i="4"/>
  <c r="U125" i="4"/>
  <c r="U142" i="4"/>
  <c r="T142" i="4"/>
  <c r="T34" i="4"/>
  <c r="T72" i="4"/>
  <c r="T82" i="4"/>
  <c r="S113" i="4"/>
  <c r="U135" i="4"/>
  <c r="T135" i="4"/>
  <c r="S142" i="4"/>
  <c r="S41" i="4"/>
  <c r="U63" i="4"/>
  <c r="T63" i="4"/>
  <c r="S89" i="4"/>
  <c r="T113" i="4"/>
  <c r="U116" i="4"/>
  <c r="T116" i="4"/>
  <c r="S116" i="4"/>
  <c r="S132" i="4"/>
  <c r="S135" i="4"/>
  <c r="T41" i="4"/>
  <c r="U44" i="4"/>
  <c r="T44" i="4"/>
  <c r="S44" i="4"/>
  <c r="S60" i="4"/>
  <c r="S63" i="4"/>
  <c r="S70" i="4"/>
  <c r="T89" i="4"/>
  <c r="U92" i="4"/>
  <c r="T92" i="4"/>
  <c r="S92" i="4"/>
  <c r="T132" i="4"/>
  <c r="T60" i="4"/>
  <c r="T70" i="4"/>
  <c r="U103" i="4"/>
  <c r="T103" i="4"/>
  <c r="U123" i="4"/>
  <c r="T123" i="4"/>
  <c r="S29" i="4"/>
  <c r="U51" i="4"/>
  <c r="T51" i="4"/>
  <c r="S77" i="4"/>
  <c r="S103" i="4"/>
  <c r="S120" i="4"/>
  <c r="S123" i="4"/>
  <c r="S130" i="4"/>
  <c r="T29" i="4"/>
  <c r="U32" i="4"/>
  <c r="T32" i="4"/>
  <c r="S32" i="4"/>
  <c r="S48" i="4"/>
  <c r="S51" i="4"/>
  <c r="S58" i="4"/>
  <c r="T77" i="4"/>
  <c r="U80" i="4"/>
  <c r="T80" i="4"/>
  <c r="S80" i="4"/>
  <c r="S96" i="4"/>
  <c r="T120" i="4"/>
  <c r="T130" i="4"/>
  <c r="T58" i="4"/>
  <c r="U111" i="4"/>
  <c r="T111" i="4"/>
  <c r="S137" i="4"/>
  <c r="U140" i="4"/>
  <c r="T140" i="4"/>
  <c r="S140" i="4"/>
  <c r="S37" i="4"/>
  <c r="S49" i="4"/>
  <c r="S61" i="4"/>
  <c r="S73" i="4"/>
  <c r="S85" i="4"/>
  <c r="S101" i="4"/>
  <c r="S109" i="4"/>
  <c r="S121" i="4"/>
  <c r="S133" i="4"/>
  <c r="S28" i="4"/>
  <c r="S40" i="4"/>
  <c r="S52" i="4"/>
  <c r="S64" i="4"/>
  <c r="S76" i="4"/>
  <c r="S88" i="4"/>
  <c r="S104" i="4"/>
  <c r="S112" i="4"/>
  <c r="S124" i="4"/>
  <c r="S136" i="4"/>
  <c r="T28" i="4"/>
  <c r="S33" i="4"/>
  <c r="T40" i="4"/>
  <c r="S45" i="4"/>
  <c r="T52" i="4"/>
  <c r="S57" i="4"/>
  <c r="T64" i="4"/>
  <c r="S69" i="4"/>
  <c r="T76" i="4"/>
  <c r="S81" i="4"/>
  <c r="T88" i="4"/>
  <c r="S93" i="4"/>
  <c r="T104" i="4"/>
  <c r="T112" i="4"/>
  <c r="S117" i="4"/>
  <c r="T124" i="4"/>
  <c r="S129" i="4"/>
  <c r="T136" i="4"/>
  <c r="S141" i="4"/>
  <c r="N140" i="4"/>
  <c r="Q140" i="4" s="1"/>
  <c r="N136" i="4"/>
  <c r="Q136" i="4" s="1"/>
  <c r="I128" i="4" l="1"/>
  <c r="J128" i="4"/>
  <c r="K128" i="4"/>
  <c r="L128" i="4"/>
  <c r="M128" i="4"/>
  <c r="N128" i="4"/>
  <c r="O128" i="4"/>
  <c r="P128" i="4"/>
  <c r="Q128" i="4"/>
  <c r="I129" i="4"/>
  <c r="J129" i="4"/>
  <c r="K129" i="4" s="1"/>
  <c r="O129" i="4" s="1"/>
  <c r="P129" i="4"/>
  <c r="I130" i="4"/>
  <c r="N130" i="4" s="1"/>
  <c r="Q130" i="4" s="1"/>
  <c r="J130" i="4"/>
  <c r="K130" i="4"/>
  <c r="L130" i="4"/>
  <c r="M130" i="4" s="1"/>
  <c r="I131" i="4"/>
  <c r="J131" i="4"/>
  <c r="K131" i="4"/>
  <c r="O131" i="4"/>
  <c r="P131" i="4"/>
  <c r="I132" i="4"/>
  <c r="N132" i="4" s="1"/>
  <c r="Q132" i="4" s="1"/>
  <c r="J132" i="4"/>
  <c r="K132" i="4" s="1"/>
  <c r="O132" i="4" s="1"/>
  <c r="P132" i="4" s="1"/>
  <c r="L132" i="4"/>
  <c r="M132" i="4"/>
  <c r="I133" i="4"/>
  <c r="J133" i="4"/>
  <c r="K133" i="4"/>
  <c r="L133" i="4"/>
  <c r="M133" i="4"/>
  <c r="N133" i="4"/>
  <c r="Q133" i="4" s="1"/>
  <c r="O133" i="4"/>
  <c r="P133" i="4" s="1"/>
  <c r="I134" i="4"/>
  <c r="J134" i="4"/>
  <c r="K134" i="4"/>
  <c r="L134" i="4"/>
  <c r="M134" i="4"/>
  <c r="N134" i="4"/>
  <c r="O134" i="4"/>
  <c r="P134" i="4"/>
  <c r="Q134" i="4"/>
  <c r="L129" i="4" l="1"/>
  <c r="M129" i="4" s="1"/>
  <c r="N129" i="4"/>
  <c r="Q129" i="4" s="1"/>
  <c r="O130" i="4"/>
  <c r="P130" i="4" s="1"/>
  <c r="L131" i="4"/>
  <c r="N131" i="4"/>
  <c r="Q131" i="4" s="1"/>
  <c r="M131" i="4" l="1"/>
  <c r="O15" i="1"/>
  <c r="L15" i="1"/>
  <c r="N15" i="1"/>
  <c r="M104" i="4"/>
  <c r="J16" i="4"/>
  <c r="J15" i="4"/>
  <c r="J87" i="4"/>
  <c r="K87" i="4" s="1"/>
  <c r="J122" i="4"/>
  <c r="K122" i="4"/>
  <c r="J117" i="4"/>
  <c r="K117" i="4"/>
  <c r="J120" i="4"/>
  <c r="K120" i="4"/>
  <c r="J101" i="4"/>
  <c r="K101" i="4"/>
  <c r="O101" i="4" s="1"/>
  <c r="P101" i="4" s="1"/>
  <c r="J86" i="4"/>
  <c r="K86" i="4" s="1"/>
  <c r="J85" i="4"/>
  <c r="K85" i="4" s="1"/>
  <c r="J88" i="4"/>
  <c r="K88" i="4" s="1"/>
  <c r="J119" i="4"/>
  <c r="K119" i="4"/>
  <c r="J72" i="4"/>
  <c r="K72" i="4" s="1"/>
  <c r="J103" i="4"/>
  <c r="L103" i="4" s="1"/>
  <c r="M103" i="4" s="1"/>
  <c r="K103" i="4"/>
  <c r="J118" i="4"/>
  <c r="K118" i="4"/>
  <c r="O118" i="4" s="1"/>
  <c r="P118" i="4" s="1"/>
  <c r="J104" i="4"/>
  <c r="K104" i="4"/>
  <c r="O104" i="4" s="1"/>
  <c r="P104" i="4" s="1"/>
  <c r="J90" i="4"/>
  <c r="K90" i="4" s="1"/>
  <c r="J71" i="4"/>
  <c r="K71" i="4"/>
  <c r="J110" i="4"/>
  <c r="K110" i="4"/>
  <c r="J82" i="4"/>
  <c r="K82" i="4"/>
  <c r="J113" i="4"/>
  <c r="K113" i="4"/>
  <c r="O113" i="4" s="1"/>
  <c r="P113" i="4" s="1"/>
  <c r="J97" i="4"/>
  <c r="K97" i="4"/>
  <c r="J81" i="4"/>
  <c r="K81" i="4" s="1"/>
  <c r="J116" i="4"/>
  <c r="K116" i="4" s="1"/>
  <c r="J100" i="4"/>
  <c r="K100" i="4"/>
  <c r="O100" i="4" s="1"/>
  <c r="P100" i="4" s="1"/>
  <c r="J84" i="4"/>
  <c r="K84" i="4" s="1"/>
  <c r="J114" i="4"/>
  <c r="K114" i="4"/>
  <c r="J78" i="4"/>
  <c r="K78" i="4"/>
  <c r="J115" i="4"/>
  <c r="L115" i="4" s="1"/>
  <c r="K115" i="4"/>
  <c r="J99" i="4"/>
  <c r="K99" i="4"/>
  <c r="O99" i="4" s="1"/>
  <c r="P99" i="4" s="1"/>
  <c r="J83" i="4"/>
  <c r="K83" i="4"/>
  <c r="J102" i="4"/>
  <c r="K102" i="4"/>
  <c r="O102" i="4" s="1"/>
  <c r="P102" i="4" s="1"/>
  <c r="J74" i="4"/>
  <c r="K74" i="4"/>
  <c r="J125" i="4"/>
  <c r="K125" i="4"/>
  <c r="O125" i="4" s="1"/>
  <c r="P125" i="4" s="1"/>
  <c r="J109" i="4"/>
  <c r="K109" i="4"/>
  <c r="O109" i="4" s="1"/>
  <c r="P109" i="4" s="1"/>
  <c r="J93" i="4"/>
  <c r="K93" i="4" s="1"/>
  <c r="J77" i="4"/>
  <c r="K77" i="4" s="1"/>
  <c r="J112" i="4"/>
  <c r="K112" i="4" s="1"/>
  <c r="O112" i="4" s="1"/>
  <c r="P112" i="4" s="1"/>
  <c r="J96" i="4"/>
  <c r="K96" i="4"/>
  <c r="J80" i="4"/>
  <c r="K80" i="4" s="1"/>
  <c r="J106" i="4"/>
  <c r="K106" i="4"/>
  <c r="J127" i="4"/>
  <c r="K127" i="4" s="1"/>
  <c r="J111" i="4"/>
  <c r="L111" i="4" s="1"/>
  <c r="M111" i="4" s="1"/>
  <c r="K111" i="4"/>
  <c r="O111" i="4" s="1"/>
  <c r="P111" i="4" s="1"/>
  <c r="J95" i="4"/>
  <c r="K95" i="4" s="1"/>
  <c r="J79" i="4"/>
  <c r="K79" i="4"/>
  <c r="J126" i="4"/>
  <c r="K126" i="4"/>
  <c r="J94" i="4"/>
  <c r="K94" i="4" s="1"/>
  <c r="J121" i="4"/>
  <c r="K121" i="4"/>
  <c r="J105" i="4"/>
  <c r="K105" i="4"/>
  <c r="J89" i="4"/>
  <c r="K89" i="4" s="1"/>
  <c r="J73" i="4"/>
  <c r="K73" i="4"/>
  <c r="J124" i="4"/>
  <c r="K124" i="4"/>
  <c r="J108" i="4"/>
  <c r="K108" i="4"/>
  <c r="J92" i="4"/>
  <c r="K92" i="4" s="1"/>
  <c r="J76" i="4"/>
  <c r="K76" i="4"/>
  <c r="J98" i="4"/>
  <c r="L98" i="4" s="1"/>
  <c r="M98" i="4" s="1"/>
  <c r="K98" i="4"/>
  <c r="J123" i="4"/>
  <c r="K123" i="4"/>
  <c r="J107" i="4"/>
  <c r="K107" i="4" s="1"/>
  <c r="J91" i="4"/>
  <c r="K91" i="4" s="1"/>
  <c r="J75" i="4"/>
  <c r="K75" i="4" s="1"/>
  <c r="O98" i="4"/>
  <c r="P98" i="4"/>
  <c r="O105" i="4"/>
  <c r="P105" i="4" s="1"/>
  <c r="O126" i="4"/>
  <c r="P126" i="4" s="1"/>
  <c r="O124" i="4"/>
  <c r="P124" i="4"/>
  <c r="O121" i="4"/>
  <c r="P121" i="4" s="1"/>
  <c r="O96" i="4"/>
  <c r="P96" i="4" s="1"/>
  <c r="O110" i="4"/>
  <c r="P110" i="4"/>
  <c r="O117" i="4"/>
  <c r="P117" i="4"/>
  <c r="O106" i="4"/>
  <c r="P106" i="4"/>
  <c r="O71" i="4"/>
  <c r="P71" i="4"/>
  <c r="O103" i="4"/>
  <c r="P103" i="4"/>
  <c r="O122" i="4"/>
  <c r="P122" i="4"/>
  <c r="O123" i="4"/>
  <c r="P123" i="4"/>
  <c r="I76" i="4"/>
  <c r="N76" i="4" s="1"/>
  <c r="Q76" i="4" s="1"/>
  <c r="I77" i="4"/>
  <c r="L77" i="4" s="1"/>
  <c r="I81" i="4"/>
  <c r="I89" i="4"/>
  <c r="N89" i="4" s="1"/>
  <c r="Q89" i="4" s="1"/>
  <c r="I90" i="4"/>
  <c r="I96" i="4"/>
  <c r="L96" i="4" s="1"/>
  <c r="I99" i="4"/>
  <c r="I102" i="4"/>
  <c r="N102" i="4" s="1"/>
  <c r="Q102" i="4" s="1"/>
  <c r="I104" i="4"/>
  <c r="I108" i="4"/>
  <c r="L108" i="4" s="1"/>
  <c r="I111" i="4"/>
  <c r="I113" i="4"/>
  <c r="I115" i="4"/>
  <c r="I119" i="4"/>
  <c r="L119" i="4" s="1"/>
  <c r="I120" i="4"/>
  <c r="N120" i="4" s="1"/>
  <c r="Q120" i="4" s="1"/>
  <c r="I123" i="4"/>
  <c r="N123" i="4" s="1"/>
  <c r="Q123" i="4" s="1"/>
  <c r="I125" i="4"/>
  <c r="N125" i="4" s="1"/>
  <c r="Q125" i="4" s="1"/>
  <c r="I79" i="4"/>
  <c r="N79" i="4" s="1"/>
  <c r="Q79" i="4" s="1"/>
  <c r="I92" i="4"/>
  <c r="N92" i="4" s="1"/>
  <c r="Q92" i="4" s="1"/>
  <c r="I100" i="4"/>
  <c r="L100" i="4" s="1"/>
  <c r="M100" i="4" s="1"/>
  <c r="I103" i="4"/>
  <c r="I107" i="4"/>
  <c r="N107" i="4" s="1"/>
  <c r="Q107" i="4" s="1"/>
  <c r="I109" i="4"/>
  <c r="L109" i="4" s="1"/>
  <c r="M109" i="4" s="1"/>
  <c r="I110" i="4"/>
  <c r="L110" i="4" s="1"/>
  <c r="M110" i="4" s="1"/>
  <c r="I117" i="4"/>
  <c r="L117" i="4" s="1"/>
  <c r="M117" i="4" s="1"/>
  <c r="I124" i="4"/>
  <c r="N124" i="4" s="1"/>
  <c r="Q124" i="4" s="1"/>
  <c r="I72" i="4"/>
  <c r="I106" i="4"/>
  <c r="L106" i="4" s="1"/>
  <c r="M106" i="4" s="1"/>
  <c r="I71" i="4"/>
  <c r="N71" i="4" s="1"/>
  <c r="Q71" i="4" s="1"/>
  <c r="I75" i="4"/>
  <c r="L75" i="4" s="1"/>
  <c r="I80" i="4"/>
  <c r="I83" i="4"/>
  <c r="I86" i="4"/>
  <c r="I88" i="4"/>
  <c r="N88" i="4" s="1"/>
  <c r="Q88" i="4" s="1"/>
  <c r="I94" i="4"/>
  <c r="N94" i="4" s="1"/>
  <c r="Q94" i="4" s="1"/>
  <c r="I95" i="4"/>
  <c r="I98" i="4"/>
  <c r="N98" i="4" s="1"/>
  <c r="Q98" i="4" s="1"/>
  <c r="I101" i="4"/>
  <c r="I118" i="4"/>
  <c r="I127" i="4"/>
  <c r="L127" i="4" s="1"/>
  <c r="I73" i="4"/>
  <c r="N73" i="4" s="1"/>
  <c r="Q73" i="4" s="1"/>
  <c r="I74" i="4"/>
  <c r="L74" i="4" s="1"/>
  <c r="I78" i="4"/>
  <c r="I82" i="4"/>
  <c r="N82" i="4" s="1"/>
  <c r="Q82" i="4" s="1"/>
  <c r="I85" i="4"/>
  <c r="I93" i="4"/>
  <c r="N93" i="4" s="1"/>
  <c r="Q93" i="4" s="1"/>
  <c r="I112" i="4"/>
  <c r="I114" i="4"/>
  <c r="N114" i="4" s="1"/>
  <c r="Q114" i="4" s="1"/>
  <c r="I121" i="4"/>
  <c r="N121" i="4" s="1"/>
  <c r="Q121" i="4" s="1"/>
  <c r="I122" i="4"/>
  <c r="N122" i="4" s="1"/>
  <c r="Q122" i="4" s="1"/>
  <c r="I84" i="4"/>
  <c r="I87" i="4"/>
  <c r="N87" i="4" s="1"/>
  <c r="Q87" i="4" s="1"/>
  <c r="I91" i="4"/>
  <c r="N91" i="4" s="1"/>
  <c r="Q91" i="4" s="1"/>
  <c r="I97" i="4"/>
  <c r="L97" i="4" s="1"/>
  <c r="I105" i="4"/>
  <c r="L105" i="4" s="1"/>
  <c r="M105" i="4" s="1"/>
  <c r="I116" i="4"/>
  <c r="N116" i="4" s="1"/>
  <c r="Q116" i="4" s="1"/>
  <c r="I126" i="4"/>
  <c r="N126" i="4" s="1"/>
  <c r="Q126" i="4" s="1"/>
  <c r="N105" i="4"/>
  <c r="Q105" i="4"/>
  <c r="N101" i="4"/>
  <c r="Q101" i="4"/>
  <c r="L101" i="4"/>
  <c r="M101" i="4" s="1"/>
  <c r="N75" i="4"/>
  <c r="Q75" i="4" s="1"/>
  <c r="N119" i="4"/>
  <c r="Q119" i="4" s="1"/>
  <c r="N77" i="4"/>
  <c r="Q77" i="4" s="1"/>
  <c r="L72" i="4"/>
  <c r="N72" i="4"/>
  <c r="Q72" i="4" s="1"/>
  <c r="N117" i="4"/>
  <c r="Q117" i="4"/>
  <c r="N103" i="4"/>
  <c r="Q103" i="4" s="1"/>
  <c r="N115" i="4"/>
  <c r="Q115" i="4"/>
  <c r="L104" i="4"/>
  <c r="N104" i="4"/>
  <c r="Q104" i="4"/>
  <c r="L112" i="4"/>
  <c r="M112" i="4" s="1"/>
  <c r="N112" i="4"/>
  <c r="Q112" i="4"/>
  <c r="N95" i="4"/>
  <c r="Q95" i="4" s="1"/>
  <c r="N83" i="4"/>
  <c r="Q83" i="4" s="1"/>
  <c r="N110" i="4"/>
  <c r="Q110" i="4" s="1"/>
  <c r="N113" i="4"/>
  <c r="Q113" i="4"/>
  <c r="L113" i="4"/>
  <c r="M113" i="4" s="1"/>
  <c r="L102" i="4"/>
  <c r="M102" i="4" s="1"/>
  <c r="N118" i="4"/>
  <c r="Q118" i="4"/>
  <c r="L118" i="4"/>
  <c r="M118" i="4" s="1"/>
  <c r="L94" i="4"/>
  <c r="N109" i="4"/>
  <c r="Q109" i="4" s="1"/>
  <c r="L92" i="4"/>
  <c r="N111" i="4"/>
  <c r="Q111" i="4"/>
  <c r="N99" i="4"/>
  <c r="Q99" i="4"/>
  <c r="L99" i="4"/>
  <c r="M99" i="4" s="1"/>
  <c r="N81" i="4"/>
  <c r="Q81" i="4" s="1"/>
  <c r="O91" i="4" l="1"/>
  <c r="P91" i="4" s="1"/>
  <c r="O107" i="4"/>
  <c r="P107" i="4" s="1"/>
  <c r="N96" i="4"/>
  <c r="Q96" i="4" s="1"/>
  <c r="L95" i="4"/>
  <c r="M95" i="4" s="1"/>
  <c r="M127" i="4"/>
  <c r="O115" i="4"/>
  <c r="P115" i="4" s="1"/>
  <c r="O120" i="4"/>
  <c r="P120" i="4" s="1"/>
  <c r="N74" i="4"/>
  <c r="Q74" i="4" s="1"/>
  <c r="L71" i="4"/>
  <c r="L79" i="4"/>
  <c r="M119" i="4"/>
  <c r="L122" i="4"/>
  <c r="M122" i="4" s="1"/>
  <c r="L123" i="4"/>
  <c r="M123" i="4" s="1"/>
  <c r="L76" i="4"/>
  <c r="L121" i="4"/>
  <c r="O114" i="4"/>
  <c r="P114" i="4" s="1"/>
  <c r="L91" i="4"/>
  <c r="L125" i="4"/>
  <c r="M125" i="4" s="1"/>
  <c r="L87" i="4"/>
  <c r="M87" i="4" s="1"/>
  <c r="N100" i="4"/>
  <c r="Q100" i="4" s="1"/>
  <c r="L114" i="4"/>
  <c r="M108" i="4"/>
  <c r="O108" i="4"/>
  <c r="P108" i="4" s="1"/>
  <c r="O119" i="4"/>
  <c r="P119" i="4" s="1"/>
  <c r="N106" i="4"/>
  <c r="Q106" i="4" s="1"/>
  <c r="L85" i="4"/>
  <c r="L86" i="4"/>
  <c r="O116" i="4"/>
  <c r="P116" i="4" s="1"/>
  <c r="L90" i="4"/>
  <c r="O127" i="4"/>
  <c r="P127" i="4" s="1"/>
  <c r="M115" i="4"/>
  <c r="L78" i="4"/>
  <c r="L80" i="4"/>
  <c r="L124" i="4"/>
  <c r="M74" i="4"/>
  <c r="M78" i="4"/>
  <c r="M80" i="4"/>
  <c r="M75" i="4"/>
  <c r="M85" i="4"/>
  <c r="L107" i="4"/>
  <c r="O94" i="4"/>
  <c r="P94" i="4" s="1"/>
  <c r="O75" i="4"/>
  <c r="P75" i="4" s="1"/>
  <c r="L116" i="4"/>
  <c r="O79" i="4"/>
  <c r="P79" i="4" s="1"/>
  <c r="L82" i="4"/>
  <c r="M79" i="4"/>
  <c r="N86" i="4"/>
  <c r="Q86" i="4" s="1"/>
  <c r="O83" i="4"/>
  <c r="P83" i="4" s="1"/>
  <c r="L120" i="4"/>
  <c r="O77" i="4"/>
  <c r="P77" i="4" s="1"/>
  <c r="N108" i="4"/>
  <c r="Q108" i="4" s="1"/>
  <c r="O88" i="4"/>
  <c r="P88" i="4" s="1"/>
  <c r="O81" i="4"/>
  <c r="P81" i="4" s="1"/>
  <c r="L81" i="4"/>
  <c r="M86" i="4"/>
  <c r="O76" i="4"/>
  <c r="P76" i="4" s="1"/>
  <c r="O97" i="4"/>
  <c r="P97" i="4" s="1"/>
  <c r="M76" i="4"/>
  <c r="M77" i="4"/>
  <c r="O92" i="4"/>
  <c r="P92" i="4" s="1"/>
  <c r="O80" i="4"/>
  <c r="P80" i="4" s="1"/>
  <c r="N80" i="4"/>
  <c r="Q80" i="4" s="1"/>
  <c r="M97" i="4"/>
  <c r="L126" i="4"/>
  <c r="L73" i="4"/>
  <c r="O82" i="4"/>
  <c r="P82" i="4" s="1"/>
  <c r="O78" i="4"/>
  <c r="P78" i="4" s="1"/>
  <c r="O84" i="4"/>
  <c r="P84" i="4" s="1"/>
  <c r="M94" i="4"/>
  <c r="N127" i="4"/>
  <c r="Q127" i="4" s="1"/>
  <c r="L84" i="4"/>
  <c r="O73" i="4"/>
  <c r="P73" i="4" s="1"/>
  <c r="O95" i="4"/>
  <c r="P95" i="4" s="1"/>
  <c r="L83" i="4"/>
  <c r="L89" i="4"/>
  <c r="N78" i="4"/>
  <c r="Q78" i="4" s="1"/>
  <c r="N84" i="4"/>
  <c r="Q84" i="4" s="1"/>
  <c r="N90" i="4"/>
  <c r="Q90" i="4" s="1"/>
  <c r="O89" i="4"/>
  <c r="P89" i="4" s="1"/>
  <c r="O93" i="4"/>
  <c r="P93" i="4" s="1"/>
  <c r="O85" i="4"/>
  <c r="P85" i="4" s="1"/>
  <c r="M92" i="4"/>
  <c r="M72" i="4"/>
  <c r="M96" i="4"/>
  <c r="O72" i="4"/>
  <c r="P72" i="4" s="1"/>
  <c r="O87" i="4"/>
  <c r="P87" i="4" s="1"/>
  <c r="O74" i="4"/>
  <c r="P74" i="4" s="1"/>
  <c r="O90" i="4"/>
  <c r="P90" i="4" s="1"/>
  <c r="O86" i="4"/>
  <c r="P86" i="4" s="1"/>
  <c r="N97" i="4"/>
  <c r="Q97" i="4" s="1"/>
  <c r="N85" i="4"/>
  <c r="Q85" i="4" s="1"/>
  <c r="L93" i="4"/>
  <c r="L88" i="4"/>
  <c r="J14" i="4"/>
  <c r="J13" i="4" s="1"/>
  <c r="K16" i="4" s="1"/>
  <c r="M116" i="4" l="1"/>
  <c r="M124" i="4"/>
  <c r="M120" i="4"/>
  <c r="M114" i="4"/>
  <c r="M90" i="4"/>
  <c r="M126" i="4"/>
  <c r="M71" i="4"/>
  <c r="M121" i="4"/>
  <c r="M107" i="4"/>
  <c r="M91" i="4"/>
  <c r="M82" i="4"/>
  <c r="M83" i="4"/>
  <c r="M81" i="4"/>
  <c r="M84" i="4"/>
  <c r="M88" i="4"/>
  <c r="M73" i="4"/>
  <c r="M93" i="4"/>
  <c r="M89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J60" i="4"/>
  <c r="K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60" i="4" l="1"/>
  <c r="P60" i="4" s="1"/>
  <c r="O62" i="4"/>
  <c r="P62" i="4" s="1"/>
  <c r="O61" i="4"/>
  <c r="P61" i="4" s="1"/>
  <c r="O58" i="4"/>
  <c r="P58" i="4" s="1"/>
  <c r="O57" i="4"/>
  <c r="P57" i="4" s="1"/>
  <c r="L66" i="4"/>
  <c r="K66" i="4"/>
  <c r="K70" i="4"/>
  <c r="L70" i="4"/>
  <c r="K64" i="4"/>
  <c r="L64" i="4"/>
  <c r="O63" i="4"/>
  <c r="P63" i="4" s="1"/>
  <c r="L63" i="4"/>
  <c r="K68" i="4"/>
  <c r="L68" i="4"/>
  <c r="L67" i="4"/>
  <c r="K67" i="4"/>
  <c r="L65" i="4"/>
  <c r="K65" i="4"/>
  <c r="K69" i="4"/>
  <c r="L69" i="4"/>
  <c r="N62" i="4"/>
  <c r="Q62" i="4" s="1"/>
  <c r="L62" i="4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L60" i="4"/>
  <c r="N60" i="4"/>
  <c r="Q60" i="4" s="1"/>
  <c r="M70" i="4" l="1"/>
  <c r="M61" i="4"/>
  <c r="M60" i="4"/>
  <c r="M62" i="4"/>
  <c r="M63" i="4"/>
  <c r="M64" i="4"/>
  <c r="O64" i="4"/>
  <c r="P64" i="4" s="1"/>
  <c r="M69" i="4"/>
  <c r="M58" i="4"/>
  <c r="O69" i="4"/>
  <c r="P69" i="4" s="1"/>
  <c r="M57" i="4"/>
  <c r="O65" i="4"/>
  <c r="P65" i="4" s="1"/>
  <c r="O66" i="4"/>
  <c r="P66" i="4" s="1"/>
  <c r="M65" i="4"/>
  <c r="M66" i="4"/>
  <c r="O67" i="4"/>
  <c r="P67" i="4" s="1"/>
  <c r="M67" i="4"/>
  <c r="M68" i="4"/>
  <c r="O68" i="4"/>
  <c r="P68" i="4" s="1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53" i="4"/>
  <c r="J54" i="4"/>
  <c r="J50" i="4"/>
  <c r="J48" i="4"/>
  <c r="J51" i="4"/>
  <c r="Q54" i="4"/>
  <c r="Q51" i="4"/>
  <c r="Q49" i="4"/>
  <c r="J39" i="4" l="1"/>
  <c r="J45" i="4"/>
  <c r="J30" i="4"/>
  <c r="K30" i="4" s="1"/>
  <c r="J43" i="4"/>
  <c r="L43" i="4" s="1"/>
  <c r="J31" i="4"/>
  <c r="J44" i="4"/>
  <c r="L44" i="4" s="1"/>
  <c r="J36" i="4"/>
  <c r="L36" i="4" s="1"/>
  <c r="J46" i="4"/>
  <c r="K46" i="4" s="1"/>
  <c r="J35" i="4"/>
  <c r="K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K47" i="4" s="1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5" i="4"/>
  <c r="K45" i="4"/>
  <c r="K52" i="4"/>
  <c r="O52" i="4" s="1"/>
  <c r="P52" i="4" s="1"/>
  <c r="L52" i="4"/>
  <c r="M52" i="4" s="1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K43" i="4" l="1"/>
  <c r="O43" i="4" s="1"/>
  <c r="P43" i="4" s="1"/>
  <c r="M48" i="4"/>
  <c r="O49" i="4"/>
  <c r="P49" i="4" s="1"/>
  <c r="M49" i="4"/>
  <c r="O48" i="4"/>
  <c r="P48" i="4" s="1"/>
  <c r="O35" i="4"/>
  <c r="P35" i="4" s="1"/>
  <c r="M45" i="4"/>
  <c r="O33" i="4"/>
  <c r="P33" i="4" s="1"/>
  <c r="M44" i="4"/>
  <c r="O31" i="4"/>
  <c r="P31" i="4" s="1"/>
  <c r="O28" i="4"/>
  <c r="P28" i="4" s="1"/>
  <c r="L35" i="4"/>
  <c r="M31" i="4"/>
  <c r="O46" i="4"/>
  <c r="P46" i="4" s="1"/>
  <c r="O45" i="4"/>
  <c r="P45" i="4" s="1"/>
  <c r="O30" i="4"/>
  <c r="P30" i="4" s="1"/>
  <c r="M43" i="4"/>
  <c r="O39" i="4"/>
  <c r="P39" i="4" s="1"/>
  <c r="O47" i="4"/>
  <c r="P47" i="4" s="1"/>
  <c r="O41" i="4"/>
  <c r="P41" i="4" s="1"/>
  <c r="M39" i="4"/>
  <c r="K36" i="4"/>
  <c r="L30" i="4"/>
  <c r="K44" i="4"/>
  <c r="L47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6" i="4"/>
  <c r="K40" i="4"/>
  <c r="K32" i="4"/>
  <c r="L28" i="4"/>
  <c r="O44" i="4" l="1"/>
  <c r="P44" i="4" s="1"/>
  <c r="M33" i="4"/>
  <c r="M47" i="4"/>
  <c r="M30" i="4"/>
  <c r="M35" i="4"/>
  <c r="O32" i="4"/>
  <c r="P32" i="4" s="1"/>
  <c r="O40" i="4"/>
  <c r="P40" i="4" s="1"/>
  <c r="O42" i="4"/>
  <c r="P42" i="4" s="1"/>
  <c r="M41" i="4"/>
  <c r="O29" i="4"/>
  <c r="P29" i="4" s="1"/>
  <c r="O34" i="4"/>
  <c r="P34" i="4" s="1"/>
  <c r="O37" i="4"/>
  <c r="P37" i="4" s="1"/>
  <c r="O36" i="4"/>
  <c r="P36" i="4" s="1"/>
  <c r="O38" i="4"/>
  <c r="P38" i="4" s="1"/>
  <c r="M46" i="4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<sst xmlns="http://schemas.openxmlformats.org/spreadsheetml/2006/main" count="340" uniqueCount="315">
  <si>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</si>
  <si>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</si>
  <si>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</si>
  <si>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</si>
  <si>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</si>
  <si>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</si>
  <si>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</si>
  <si>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</si>
  <si>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</si>
  <si>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</si>
  <si>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</si>
  <si>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</si>
  <si>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</si>
  <si>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</si>
  <si>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</si>
  <si>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</si>
  <si>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</si>
  <si>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</si>
  <si>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</si>
  <si>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</si>
  <si>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</si>
  <si>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</si>
  <si>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</si>
  <si>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</si>
  <si>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</si>
  <si>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</si>
  <si>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</si>
  <si>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</si>
  <si>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</si>
  <si>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</si>
  <si>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</si>
  <si>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</si>
  <si>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</si>
  <si>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</si>
  <si>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</si>
  <si>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</si>
  <si>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</si>
  <si>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</si>
  <si>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</si>
  <si>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</si>
  <si>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</si>
  <si>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</si>
  <si>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</si>
  <si>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</si>
  <si>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</si>
  <si>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</si>
  <si>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</si>
  <si>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</si>
  <si>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</si>
  <si>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</si>
  <si>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</si>
  <si>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</si>
  <si>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</si>
  <si>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</si>
  <si>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</si>
  <si>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</si>
  <si>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</si>
  <si>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</si>
  <si>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</si>
  <si>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</si>
  <si>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</si>
  <si>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</si>
  <si>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</si>
  <si>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</si>
  <si>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</si>
  <si>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</si>
  <si>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</si>
  <si>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</si>
  <si>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</si>
  <si>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</si>
  <si>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</si>
  <si>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</si>
  <si>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</si>
  <si>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</si>
  <si>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</si>
  <si>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</si>
  <si>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</si>
  <si>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</si>
  <si>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</si>
  <si>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</si>
  <si>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</si>
  <si>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</si>
  <si>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</si>
  <si>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</si>
  <si>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</si>
  <si>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</si>
  <si>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</si>
  <si>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</si>
  <si>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</si>
  <si>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</si>
  <si>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</si>
  <si>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</si>
  <si>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</si>
  <si>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</si>
  <si>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</si>
  <si>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</si>
  <si>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</si>
  <si>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</si>
  <si>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</si>
  <si>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</si>
  <si>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</si>
  <si>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</si>
  <si>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</si>
  <si>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</si>
  <si>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</si>
  <si>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</si>
  <si>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</si>
  <si>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</si>
  <si>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</si>
  <si>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</si>
  <si>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</si>
  <si>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</si>
  <si>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Balb/c 3T3</t>
    <phoneticPr fontId="22" type="noConversion"/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</si>
  <si>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</si>
  <si>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</si>
  <si>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</si>
  <si>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</si>
  <si>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</si>
  <si>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</si>
  <si>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</si>
  <si>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</si>
  <si>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</si>
  <si>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</si>
  <si>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</si>
  <si>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</si>
  <si>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</si>
  <si>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</si>
  <si>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</si>
  <si>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</si>
  <si>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</si>
  <si>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</si>
  <si>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</si>
  <si>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</si>
  <si>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</si>
  <si>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</si>
  <si>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</si>
  <si>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</si>
  <si>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</si>
  <si>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</si>
  <si>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</si>
  <si>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</si>
  <si>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</si>
  <si>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</si>
  <si>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</si>
  <si>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</si>
  <si>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</si>
  <si>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</si>
  <si>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</si>
  <si>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</si>
  <si>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</si>
  <si>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</si>
  <si>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</si>
  <si>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</si>
  <si>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</si>
  <si>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</si>
  <si>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</si>
  <si>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</si>
  <si>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</si>
  <si>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</si>
  <si>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</si>
  <si>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</si>
  <si>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</si>
  <si>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</si>
  <si>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</si>
  <si>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</si>
  <si>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</si>
  <si>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</si>
  <si>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</si>
  <si>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</si>
  <si>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</si>
  <si>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</si>
  <si>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</si>
  <si>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</si>
  <si>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</si>
  <si>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</si>
  <si>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</si>
  <si>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</si>
  <si>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</si>
  <si>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</si>
  <si>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</si>
  <si>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</si>
  <si>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</si>
  <si>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</si>
  <si>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</si>
  <si>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</si>
  <si>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</si>
  <si>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</si>
  <si>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</si>
  <si>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</si>
  <si>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</si>
  <si>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</si>
  <si>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</si>
  <si>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</si>
  <si>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</si>
  <si>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</si>
  <si>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</si>
  <si>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</si>
  <si>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</si>
  <si>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</si>
  <si>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</si>
  <si>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</si>
  <si>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</si>
  <si>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</si>
  <si>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</si>
  <si>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</si>
  <si>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</si>
  <si>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</si>
  <si>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</si>
  <si>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</si>
  <si>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</si>
  <si>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</si>
  <si>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</si>
  <si>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375-73-5</t>
  </si>
  <si>
    <t>757124-72-4</t>
  </si>
  <si>
    <t>375-95-1</t>
  </si>
  <si>
    <t>307-24-4</t>
  </si>
  <si>
    <t>375-22-4</t>
  </si>
  <si>
    <t>335-67-1</t>
  </si>
  <si>
    <t>27619-97-2</t>
  </si>
  <si>
    <t>39108-34-4</t>
  </si>
  <si>
    <t>2058-94-8</t>
  </si>
  <si>
    <t>1763-23-1</t>
  </si>
  <si>
    <t>375-85-9</t>
  </si>
  <si>
    <t>2706-90-3</t>
  </si>
  <si>
    <t>355-46-4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</si>
  <si>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</si>
  <si>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</si>
  <si>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</si>
  <si>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</si>
  <si>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</si>
  <si>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</si>
  <si>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</si>
  <si>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</si>
  <si>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</si>
  <si>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</si>
  <si>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</si>
  <si>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</si>
  <si>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</si>
  <si>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</si>
  <si>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</si>
  <si>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</si>
  <si>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</si>
  <si>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</si>
  <si>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</si>
  <si>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</si>
  <si>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</si>
  <si>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</si>
  <si>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</si>
  <si>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</si>
  <si>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</si>
  <si>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</si>
  <si>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</si>
  <si>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</si>
  <si>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</si>
  <si>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</si>
  <si>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</si>
  <si>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</si>
  <si>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</si>
  <si>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</si>
  <si>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</si>
  <si>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</si>
  <si>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</si>
  <si>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</si>
  <si>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</si>
  <si>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</si>
  <si>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</si>
  <si>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</si>
  <si>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</si>
  <si>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</si>
  <si>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</si>
  <si>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</si>
  <si>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</si>
  <si>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</si>
  <si>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</si>
  <si>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</si>
  <si>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</si>
  <si>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</si>
  <si>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</si>
  <si>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</si>
  <si>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</si>
  <si>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</si>
  <si>
    <t>Cisapride</t>
  </si>
  <si>
    <t>81098-60-4</t>
  </si>
  <si>
    <t>Citalopram hydrobromide</t>
  </si>
  <si>
    <t>59729-33-8</t>
  </si>
  <si>
    <t>Dofetilide</t>
  </si>
  <si>
    <t>115256-11-6</t>
  </si>
  <si>
    <t>Moxifloxacin hydrochloride</t>
  </si>
  <si>
    <t>186826-86-8</t>
  </si>
  <si>
    <t>N-acetylpro-cainamide</t>
  </si>
  <si>
    <t>32795-44-1</t>
  </si>
  <si>
    <t>Quinidine sulfate</t>
  </si>
  <si>
    <t>50-54-4</t>
  </si>
  <si>
    <t>Sematilide</t>
  </si>
  <si>
    <t>101526-83-4</t>
  </si>
  <si>
    <t>Sotalol hydrochloride</t>
  </si>
  <si>
    <t>959-24-0</t>
  </si>
  <si>
    <t>Mifepristone</t>
  </si>
  <si>
    <t>84371-65-3</t>
  </si>
  <si>
    <t>Perfluorobutanesulfonic_acid</t>
  </si>
  <si>
    <t>4_2_Fluorotelomer_sulfonic_acid</t>
  </si>
  <si>
    <t>˂1</t>
  </si>
  <si>
    <t>Perfluorononanoic_acid</t>
  </si>
  <si>
    <t>Perfluorohexanoic_acid</t>
  </si>
  <si>
    <t>Perfluorobutanoic_acid</t>
  </si>
  <si>
    <t>Perfluorooctanoic_acid</t>
  </si>
  <si>
    <t>6_2_Fluorotelomer_sulfonic_acid</t>
  </si>
  <si>
    <t>8_2_Fluorotelomer_sulfonic_acid</t>
  </si>
  <si>
    <t>Perfluoroundecanoic_acid</t>
  </si>
  <si>
    <t>Perfluorooctanesulfonic_acid</t>
  </si>
  <si>
    <t>Perfluoroheptanoic_acid</t>
  </si>
  <si>
    <t>Perfluoropentanoic_acid</t>
  </si>
  <si>
    <t>N/A</t>
  </si>
  <si>
    <t>Perfluorohexanesulfonic_acid</t>
  </si>
  <si>
    <t>Perfluorodecanoic_acid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</si>
</sst>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3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  <font>
      <sz val="9"/>
      <name val="新細明體"/>
      <family val="2"/>
      <charset val="136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5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0" t="s">
        <v>57</v>
      </c>
      <c r="C2" s="111"/>
      <c r="D2" s="111"/>
      <c r="E2" s="111"/>
      <c r="F2" s="111"/>
      <c r="G2" s="111"/>
      <c r="H2" s="112"/>
      <c r="I2" s="7"/>
      <c r="J2" s="101" t="s">
        <v>56</v>
      </c>
      <c r="K2" s="102"/>
      <c r="L2" s="102"/>
      <c r="M2" s="102"/>
      <c r="N2" s="102"/>
      <c r="O2" s="103"/>
      <c r="P2" s="7"/>
      <c r="Q2" s="101" t="s">
        <v>58</v>
      </c>
      <c r="R2" s="102"/>
      <c r="S2" s="102"/>
      <c r="T2" s="102"/>
      <c r="U2" s="102"/>
      <c r="V2" s="103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4"/>
      <c r="K3" s="105"/>
      <c r="L3" s="105"/>
      <c r="M3" s="105"/>
      <c r="N3" s="105"/>
      <c r="O3" s="106"/>
      <c r="P3" s="7"/>
      <c r="Q3" s="104"/>
      <c r="R3" s="105"/>
      <c r="S3" s="105"/>
      <c r="T3" s="105"/>
      <c r="U3" s="105"/>
      <c r="V3" s="106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7"/>
      <c r="K4" s="108"/>
      <c r="L4" s="108"/>
      <c r="M4" s="108"/>
      <c r="N4" s="108"/>
      <c r="O4" s="109"/>
      <c r="P4" s="7"/>
      <c r="Q4" s="107"/>
      <c r="R4" s="108"/>
      <c r="S4" s="108"/>
      <c r="T4" s="108"/>
      <c r="U4" s="108"/>
      <c r="V4" s="109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8"/>
      <c r="R5" s="59"/>
      <c r="S5" s="59"/>
      <c r="T5" s="59"/>
      <c r="U5" s="59"/>
      <c r="V5" s="60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8"/>
      <c r="S6" s="79"/>
      <c r="T6" s="79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1" t="s">
        <v>74</v>
      </c>
      <c r="L7" s="82">
        <v>0</v>
      </c>
      <c r="M7" s="83">
        <v>0</v>
      </c>
      <c r="N7" s="13"/>
      <c r="O7" s="14"/>
      <c r="P7" s="7"/>
      <c r="Q7" s="11"/>
      <c r="R7" s="13"/>
      <c r="S7" s="61"/>
      <c r="T7" s="62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7"/>
      <c r="T8" s="78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4"/>
      <c r="R9" s="1"/>
      <c r="S9" s="75"/>
      <c r="T9" s="76"/>
      <c r="U9" s="1"/>
      <c r="V9" s="66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1" t="s">
        <v>16</v>
      </c>
      <c r="L10" s="82">
        <v>24</v>
      </c>
      <c r="M10" s="82">
        <v>1.9</v>
      </c>
      <c r="N10" s="13"/>
      <c r="O10" s="14"/>
      <c r="P10" s="7"/>
      <c r="Q10" s="12"/>
      <c r="R10" s="3"/>
      <c r="S10" s="77"/>
      <c r="T10" s="68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4"/>
      <c r="R11" s="1"/>
      <c r="S11" s="75"/>
      <c r="T11" s="75"/>
      <c r="U11" s="1"/>
      <c r="V11" s="66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1"/>
      <c r="T12" s="61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1"/>
      <c r="R14" s="72"/>
      <c r="S14" s="73"/>
      <c r="T14" s="73"/>
      <c r="U14" s="73"/>
      <c r="V14" s="74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7">
        <f>M15/0.029*(0.018)</f>
        <v>4.619905956112852E-5</v>
      </c>
      <c r="M15" s="57">
        <v>7.4431818181818174E-5</v>
      </c>
      <c r="N15" s="57">
        <f>M15/0.029*(0.953)</f>
        <v>2.4459835423197487E-3</v>
      </c>
      <c r="O15" s="98">
        <f>SUM(L15:N15)</f>
        <v>2.5666144200626952E-3</v>
      </c>
      <c r="P15" s="9"/>
      <c r="Q15" s="64"/>
      <c r="R15" s="1"/>
      <c r="S15" s="69"/>
      <c r="T15" s="69"/>
      <c r="U15" s="69"/>
      <c r="V15" s="66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7">
        <v>2.5484800000000001E-3</v>
      </c>
      <c r="M16" s="57">
        <v>2.2915000000000001E-4</v>
      </c>
      <c r="N16" s="57">
        <v>9.6669999999999994E-5</v>
      </c>
      <c r="O16" s="98"/>
      <c r="P16" s="9"/>
      <c r="Q16" s="12"/>
      <c r="R16" s="3"/>
      <c r="S16" s="70"/>
      <c r="T16" s="70"/>
      <c r="U16" s="70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99" t="s">
        <v>112</v>
      </c>
      <c r="K17" s="31" t="s">
        <v>80</v>
      </c>
      <c r="L17" s="80">
        <v>1.4831999999999998E-3</v>
      </c>
      <c r="M17" s="80">
        <v>5.7599999999999991E-4</v>
      </c>
      <c r="N17" s="80">
        <v>3.4079999999999994E-4</v>
      </c>
      <c r="O17" s="98"/>
      <c r="P17" s="9"/>
      <c r="Q17" s="64"/>
      <c r="R17" s="1"/>
      <c r="S17" s="69"/>
      <c r="T17" s="69"/>
      <c r="U17" s="69"/>
      <c r="V17" s="66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7">
        <v>2.2457100000000002E-3</v>
      </c>
      <c r="M18" s="57">
        <v>3.0027E-4</v>
      </c>
      <c r="N18" s="57">
        <v>6.6229999999999994E-5</v>
      </c>
      <c r="O18" s="98"/>
      <c r="P18" s="9"/>
      <c r="Q18" s="11"/>
      <c r="R18" s="13"/>
      <c r="S18" s="63"/>
      <c r="T18" s="63"/>
      <c r="U18" s="63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7">
        <v>3.2730300000000001E-3</v>
      </c>
      <c r="M19" s="57">
        <v>3.9889999999999999E-4</v>
      </c>
      <c r="N19" s="57">
        <v>1.0728E-4</v>
      </c>
      <c r="O19" s="98"/>
      <c r="P19" s="9"/>
      <c r="Q19" s="12"/>
      <c r="R19" s="3"/>
      <c r="S19" s="70"/>
      <c r="T19" s="70"/>
      <c r="U19" s="70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4"/>
      <c r="R20" s="1"/>
      <c r="S20" s="1"/>
      <c r="T20" s="1"/>
      <c r="U20" s="1"/>
      <c r="V20" s="66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4"/>
      <c r="P23" s="7"/>
      <c r="Q23" s="64"/>
      <c r="R23" s="65"/>
      <c r="S23" s="65"/>
      <c r="T23" s="65"/>
      <c r="U23" s="65"/>
      <c r="V23" s="66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5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7"/>
      <c r="M25" s="7"/>
      <c r="N25" s="7"/>
      <c r="O25" s="86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4"/>
      <c r="R26" s="65"/>
      <c r="S26" s="65"/>
      <c r="T26" s="65"/>
      <c r="U26" s="65"/>
      <c r="V26" s="66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4"/>
      <c r="R28" s="67"/>
      <c r="S28" s="65"/>
      <c r="T28" s="65"/>
      <c r="U28" s="65"/>
      <c r="V28" s="66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4"/>
      <c r="R32" s="65"/>
      <c r="S32" s="67"/>
      <c r="T32" s="65"/>
      <c r="U32" s="65"/>
      <c r="V32" s="66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8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4"/>
      <c r="R36" s="65"/>
      <c r="S36" s="65"/>
      <c r="T36" s="65"/>
      <c r="U36" s="65"/>
      <c r="V36" s="66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4"/>
      <c r="R40" s="65"/>
      <c r="S40" s="65"/>
      <c r="T40" s="65"/>
      <c r="U40" s="65"/>
      <c r="V40" s="66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4"/>
      <c r="R43" s="65"/>
      <c r="S43" s="65"/>
      <c r="T43" s="65"/>
      <c r="U43" s="65"/>
      <c r="V43" s="66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C104" zoomScale="70" zoomScaleNormal="70" workbookViewId="0">
      <selection activeCell="S28" sqref="S28:V143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38"/>
      <c r="H1" s="13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38"/>
      <c r="H2" s="138"/>
      <c r="I2" s="151" t="s">
        <v>19</v>
      </c>
      <c r="J2" s="152"/>
      <c r="K2" s="152"/>
      <c r="L2" s="152"/>
      <c r="M2" s="152"/>
      <c r="N2" s="152"/>
      <c r="O2" s="152"/>
      <c r="P2" s="152"/>
      <c r="Q2" s="153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38"/>
      <c r="H3" s="138"/>
      <c r="I3" s="154"/>
      <c r="J3" s="155"/>
      <c r="K3" s="155"/>
      <c r="L3" s="155"/>
      <c r="M3" s="155"/>
      <c r="N3" s="155"/>
      <c r="O3" s="155"/>
      <c r="P3" s="155"/>
      <c r="Q3" s="156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38"/>
      <c r="H4" s="138"/>
      <c r="I4" s="157"/>
      <c r="J4" s="158"/>
      <c r="K4" s="158"/>
      <c r="L4" s="158"/>
      <c r="M4" s="158"/>
      <c r="N4" s="158"/>
      <c r="O4" s="158"/>
      <c r="P4" s="158"/>
      <c r="Q4" s="159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38"/>
      <c r="H5" s="138"/>
      <c r="I5" s="160" t="s">
        <v>38</v>
      </c>
      <c r="J5" s="161"/>
      <c r="K5" s="161"/>
      <c r="L5" s="161"/>
      <c r="M5" s="161"/>
      <c r="N5" s="161"/>
      <c r="O5" s="161"/>
      <c r="P5" s="161"/>
      <c r="Q5" s="162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38"/>
      <c r="H6" s="138"/>
      <c r="I6" s="49" t="s">
        <v>49</v>
      </c>
      <c r="J6" s="49" t="s">
        <v>50</v>
      </c>
      <c r="K6" s="49" t="s">
        <v>46</v>
      </c>
      <c r="L6" s="130" t="s">
        <v>39</v>
      </c>
      <c r="M6" s="131"/>
      <c r="N6" s="131"/>
      <c r="O6" s="131"/>
      <c r="P6" s="131"/>
      <c r="Q6" s="132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38"/>
      <c r="H7" s="138"/>
      <c r="I7" s="50" t="s">
        <v>20</v>
      </c>
      <c r="J7" s="37">
        <f>SUM(J13,J19)</f>
        <v>40.013440000000003</v>
      </c>
      <c r="K7" s="38">
        <f>J7/J7</f>
        <v>1</v>
      </c>
      <c r="L7" s="113" t="s">
        <v>68</v>
      </c>
      <c r="M7" s="114"/>
      <c r="N7" s="114"/>
      <c r="O7" s="114"/>
      <c r="P7" s="114"/>
      <c r="Q7" s="115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76" t="s">
        <v>3</v>
      </c>
      <c r="C8" s="177"/>
      <c r="D8" s="177"/>
      <c r="E8" s="177"/>
      <c r="F8" s="178"/>
      <c r="G8" s="138"/>
      <c r="H8" s="138"/>
      <c r="I8" s="51" t="s">
        <v>6</v>
      </c>
      <c r="J8" s="37">
        <f>SUM(J14,J20)</f>
        <v>39.801105919999998</v>
      </c>
      <c r="K8" s="39">
        <f>J8/J7</f>
        <v>0.99469343100718144</v>
      </c>
      <c r="L8" s="113" t="s">
        <v>69</v>
      </c>
      <c r="M8" s="114"/>
      <c r="N8" s="114"/>
      <c r="O8" s="114"/>
      <c r="P8" s="114"/>
      <c r="Q8" s="115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79"/>
      <c r="C9" s="180"/>
      <c r="D9" s="180"/>
      <c r="E9" s="180"/>
      <c r="F9" s="181"/>
      <c r="G9" s="138"/>
      <c r="H9" s="138"/>
      <c r="I9" s="50" t="s">
        <v>8</v>
      </c>
      <c r="J9" s="40">
        <f t="shared" ref="J9:J10" si="0">SUM(J15,J21)</f>
        <v>0.19522560000000003</v>
      </c>
      <c r="K9" s="39">
        <f>J9/J7</f>
        <v>4.8790006557796585E-3</v>
      </c>
      <c r="L9" s="113" t="s">
        <v>69</v>
      </c>
      <c r="M9" s="114"/>
      <c r="N9" s="114"/>
      <c r="O9" s="114"/>
      <c r="P9" s="114"/>
      <c r="Q9" s="115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2"/>
      <c r="C10" s="183"/>
      <c r="D10" s="183"/>
      <c r="E10" s="183"/>
      <c r="F10" s="184"/>
      <c r="G10" s="138"/>
      <c r="H10" s="138"/>
      <c r="I10" s="51" t="s">
        <v>9</v>
      </c>
      <c r="J10" s="40">
        <f t="shared" si="0"/>
        <v>1.7108479999999999E-2</v>
      </c>
      <c r="K10" s="39">
        <f>J10/J7</f>
        <v>4.2756833703875489E-4</v>
      </c>
      <c r="L10" s="113" t="s">
        <v>69</v>
      </c>
      <c r="M10" s="114"/>
      <c r="N10" s="114"/>
      <c r="O10" s="114"/>
      <c r="P10" s="114"/>
      <c r="Q10" s="115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1" t="s">
        <v>36</v>
      </c>
      <c r="C11" s="142"/>
      <c r="D11" s="142"/>
      <c r="E11" s="142"/>
      <c r="F11" s="143"/>
      <c r="G11" s="138"/>
      <c r="H11" s="138"/>
      <c r="I11" s="129"/>
      <c r="J11" s="129"/>
      <c r="K11" s="129"/>
      <c r="L11" s="129"/>
      <c r="M11" s="129"/>
      <c r="N11" s="129"/>
      <c r="O11" s="129"/>
      <c r="P11" s="129"/>
      <c r="Q11" s="129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4"/>
      <c r="C12" s="145"/>
      <c r="D12" s="145"/>
      <c r="E12" s="145"/>
      <c r="F12" s="146"/>
      <c r="G12" s="138"/>
      <c r="H12" s="138"/>
      <c r="I12" s="49" t="s">
        <v>51</v>
      </c>
      <c r="J12" s="49" t="s">
        <v>50</v>
      </c>
      <c r="K12" s="49" t="s">
        <v>46</v>
      </c>
      <c r="L12" s="130" t="s">
        <v>39</v>
      </c>
      <c r="M12" s="131"/>
      <c r="N12" s="131"/>
      <c r="O12" s="131"/>
      <c r="P12" s="131"/>
      <c r="Q12" s="132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3" t="s">
        <v>4</v>
      </c>
      <c r="C13" s="134"/>
      <c r="D13" s="166" t="s">
        <v>39</v>
      </c>
      <c r="E13" s="166"/>
      <c r="F13" s="166"/>
      <c r="G13" s="138"/>
      <c r="H13" s="138"/>
      <c r="I13" s="50" t="s">
        <v>5</v>
      </c>
      <c r="J13" s="41">
        <f>SUM(J14:J16)</f>
        <v>40</v>
      </c>
      <c r="K13" s="38">
        <f>J13/J13</f>
        <v>1</v>
      </c>
      <c r="L13" s="113" t="s">
        <v>71</v>
      </c>
      <c r="M13" s="114"/>
      <c r="N13" s="114"/>
      <c r="O13" s="114"/>
      <c r="P13" s="114"/>
      <c r="Q13" s="115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40</v>
      </c>
      <c r="D14" s="167" t="s">
        <v>17</v>
      </c>
      <c r="E14" s="167"/>
      <c r="F14" s="167"/>
      <c r="G14" s="138"/>
      <c r="H14" s="138"/>
      <c r="I14" s="51" t="s">
        <v>43</v>
      </c>
      <c r="J14" s="41">
        <f>C14-SUM(J15:J16)</f>
        <v>39.7928</v>
      </c>
      <c r="K14" s="39">
        <f>J14/J13</f>
        <v>0.99482000000000004</v>
      </c>
      <c r="L14" s="135" t="s">
        <v>70</v>
      </c>
      <c r="M14" s="136"/>
      <c r="N14" s="136"/>
      <c r="O14" s="136"/>
      <c r="P14" s="136"/>
      <c r="Q14" s="13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68" t="s">
        <v>60</v>
      </c>
      <c r="E15" s="168"/>
      <c r="F15" s="168"/>
      <c r="G15" s="138"/>
      <c r="H15" s="138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0.19200000000000003</v>
      </c>
      <c r="K15" s="39">
        <f>J15/J13</f>
        <v>4.8000000000000004E-3</v>
      </c>
      <c r="L15" s="113" t="s">
        <v>69</v>
      </c>
      <c r="M15" s="114"/>
      <c r="N15" s="114"/>
      <c r="O15" s="114"/>
      <c r="P15" s="114"/>
      <c r="Q15" s="115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69" t="s">
        <v>40</v>
      </c>
      <c r="E16" s="170"/>
      <c r="F16" s="171"/>
      <c r="G16" s="138"/>
      <c r="H16" s="138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1.52E-2</v>
      </c>
      <c r="K16" s="39">
        <f>J16/J13</f>
        <v>3.8000000000000002E-4</v>
      </c>
      <c r="L16" s="113" t="s">
        <v>69</v>
      </c>
      <c r="M16" s="114"/>
      <c r="N16" s="114"/>
      <c r="O16" s="114"/>
      <c r="P16" s="114"/>
      <c r="Q16" s="115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72" t="s">
        <v>61</v>
      </c>
      <c r="E17" s="173"/>
      <c r="F17" s="174"/>
      <c r="G17" s="138"/>
      <c r="H17" s="138"/>
      <c r="I17" s="135"/>
      <c r="J17" s="136"/>
      <c r="K17" s="136"/>
      <c r="L17" s="136"/>
      <c r="M17" s="136"/>
      <c r="N17" s="136"/>
      <c r="O17" s="136"/>
      <c r="P17" s="136"/>
      <c r="Q17" s="13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69" t="s">
        <v>41</v>
      </c>
      <c r="E18" s="170"/>
      <c r="F18" s="171"/>
      <c r="G18" s="138"/>
      <c r="H18" s="138"/>
      <c r="I18" s="49" t="s">
        <v>29</v>
      </c>
      <c r="J18" s="49" t="s">
        <v>50</v>
      </c>
      <c r="K18" s="49" t="s">
        <v>46</v>
      </c>
      <c r="L18" s="130" t="s">
        <v>39</v>
      </c>
      <c r="M18" s="131"/>
      <c r="N18" s="131"/>
      <c r="O18" s="131"/>
      <c r="P18" s="131"/>
      <c r="Q18" s="132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68"/>
      <c r="C19" s="168"/>
      <c r="D19" s="168"/>
      <c r="E19" s="168"/>
      <c r="F19" s="168"/>
      <c r="G19" s="138"/>
      <c r="H19" s="138"/>
      <c r="I19" s="50" t="s">
        <v>5</v>
      </c>
      <c r="J19" s="41">
        <f>SUM(J20:J22)</f>
        <v>1.3439999999999997E-2</v>
      </c>
      <c r="K19" s="38">
        <f>J19/J19</f>
        <v>1</v>
      </c>
      <c r="L19" s="113" t="s">
        <v>55</v>
      </c>
      <c r="M19" s="114"/>
      <c r="N19" s="114"/>
      <c r="O19" s="114"/>
      <c r="P19" s="114"/>
      <c r="Q19" s="115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3" t="s">
        <v>7</v>
      </c>
      <c r="C20" s="134"/>
      <c r="D20" s="166" t="s">
        <v>39</v>
      </c>
      <c r="E20" s="166"/>
      <c r="F20" s="166"/>
      <c r="G20" s="138"/>
      <c r="H20" s="138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8.3059199999999996E-3</v>
      </c>
      <c r="K20" s="39">
        <f>J20/J19</f>
        <v>0.6180000000000001</v>
      </c>
      <c r="L20" s="113" t="s">
        <v>69</v>
      </c>
      <c r="M20" s="114"/>
      <c r="N20" s="114"/>
      <c r="O20" s="114"/>
      <c r="P20" s="114"/>
      <c r="Q20" s="115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72" t="s">
        <v>61</v>
      </c>
      <c r="E21" s="173"/>
      <c r="F21" s="174"/>
      <c r="G21" s="138"/>
      <c r="H21" s="138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3.225599999999999E-3</v>
      </c>
      <c r="K21" s="39">
        <f>J21/J19</f>
        <v>0.24</v>
      </c>
      <c r="L21" s="113" t="s">
        <v>69</v>
      </c>
      <c r="M21" s="114"/>
      <c r="N21" s="114"/>
      <c r="O21" s="114"/>
      <c r="P21" s="114"/>
      <c r="Q21" s="115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5600</v>
      </c>
      <c r="D22" s="175" t="s">
        <v>67</v>
      </c>
      <c r="E22" s="175"/>
      <c r="F22" s="175"/>
      <c r="G22" s="138"/>
      <c r="H22" s="138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1.9084799999999995E-3</v>
      </c>
      <c r="K22" s="39">
        <f>J22/J19</f>
        <v>0.14199999999999999</v>
      </c>
      <c r="L22" s="113" t="s">
        <v>69</v>
      </c>
      <c r="M22" s="114"/>
      <c r="N22" s="114"/>
      <c r="O22" s="114"/>
      <c r="P22" s="114"/>
      <c r="Q22" s="115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3"/>
      <c r="C23" s="164"/>
      <c r="D23" s="164"/>
      <c r="E23" s="164"/>
      <c r="F23" s="165"/>
      <c r="G23" s="138"/>
      <c r="H23" s="138"/>
      <c r="I23" s="124"/>
      <c r="J23" s="125"/>
      <c r="K23" s="125"/>
      <c r="L23" s="125"/>
      <c r="M23" s="125"/>
      <c r="N23" s="125"/>
      <c r="O23" s="125"/>
      <c r="P23" s="125"/>
      <c r="Q23" s="126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1" t="s">
        <v>37</v>
      </c>
      <c r="C24" s="142"/>
      <c r="D24" s="142"/>
      <c r="E24" s="142"/>
      <c r="F24" s="143"/>
      <c r="G24" s="138"/>
      <c r="H24" s="138"/>
      <c r="I24" s="118" t="s">
        <v>42</v>
      </c>
      <c r="J24" s="119"/>
      <c r="K24" s="119"/>
      <c r="L24" s="119"/>
      <c r="M24" s="119"/>
      <c r="N24" s="119"/>
      <c r="O24" s="119"/>
      <c r="P24" s="119"/>
      <c r="Q24" s="120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4"/>
      <c r="C25" s="145"/>
      <c r="D25" s="145"/>
      <c r="E25" s="145"/>
      <c r="F25" s="146"/>
      <c r="G25" s="138"/>
      <c r="H25" s="138"/>
      <c r="I25" s="121"/>
      <c r="J25" s="122"/>
      <c r="K25" s="122"/>
      <c r="L25" s="122"/>
      <c r="M25" s="122"/>
      <c r="N25" s="122"/>
      <c r="O25" s="122"/>
      <c r="P25" s="122"/>
      <c r="Q25" s="123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39" t="s">
        <v>11</v>
      </c>
      <c r="C26" s="139" t="s">
        <v>12</v>
      </c>
      <c r="D26" s="147" t="s">
        <v>47</v>
      </c>
      <c r="E26" s="147" t="s">
        <v>48</v>
      </c>
      <c r="F26" s="149" t="s">
        <v>66</v>
      </c>
      <c r="G26" s="138"/>
      <c r="H26" s="138"/>
      <c r="I26" s="127" t="s">
        <v>53</v>
      </c>
      <c r="J26" s="127" t="s">
        <v>54</v>
      </c>
      <c r="K26" s="116" t="s">
        <v>73</v>
      </c>
      <c r="L26" s="116" t="s">
        <v>52</v>
      </c>
      <c r="M26" s="116" t="s">
        <v>59</v>
      </c>
      <c r="N26" s="116" t="s">
        <v>62</v>
      </c>
      <c r="O26" s="116" t="s">
        <v>72</v>
      </c>
      <c r="P26" s="116" t="s">
        <v>64</v>
      </c>
      <c r="Q26" s="116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0"/>
      <c r="C27" s="140"/>
      <c r="D27" s="148"/>
      <c r="E27" s="148"/>
      <c r="F27" s="150"/>
      <c r="G27" s="138"/>
      <c r="H27" s="138"/>
      <c r="I27" s="128"/>
      <c r="J27" s="128"/>
      <c r="K27" s="117"/>
      <c r="L27" s="117"/>
      <c r="M27" s="117"/>
      <c r="N27" s="117"/>
      <c r="O27" s="117"/>
      <c r="P27" s="117"/>
      <c r="Q27" s="117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8"/>
      <c r="B28" s="46" t="s">
        <v>89</v>
      </c>
      <c r="C28" s="46" t="s">
        <v>90</v>
      </c>
      <c r="D28" s="47">
        <v>6.5247999999999973E-2</v>
      </c>
      <c r="E28" s="47">
        <v>8.2216000000000289E-2</v>
      </c>
      <c r="F28" s="96">
        <v>9.9999999999999995E-7</v>
      </c>
      <c r="G28" s="138"/>
      <c r="H28" s="138"/>
      <c r="I28" s="92">
        <f t="shared" ref="I28:I47" si="1">IF(D28=0,"",LOG($K$15*10^D28+$K$16*10^E28+$K$14))</f>
        <v>3.7217650281818146E-4</v>
      </c>
      <c r="J28" s="92">
        <f t="shared" ref="J28:J47" si="2">IF(D28=0,"",LOG($K$21*10^D28+$K$22*10^E28+$K$20))</f>
        <v>2.8775248633271803E-2</v>
      </c>
      <c r="K28" s="93">
        <f t="shared" ref="K28:K47" si="3">IF(D28=0,"",1/(1+10^D28*$J$15/$J$14+10^E28*$J$16/$J$14+10^J28*$J$19/$J$14))</f>
        <v>0.99361141879694559</v>
      </c>
      <c r="L28" s="93">
        <f t="shared" ref="L28:L47" si="4">IF(D28=0,"",1/(1+10^I28/10^J28*$J$13/$J$19))</f>
        <v>3.5858043694306972E-4</v>
      </c>
      <c r="M28" s="93">
        <f t="shared" ref="M28:M47" si="5">IF(D28=0,"",1-L28)</f>
        <v>0.99964141956305697</v>
      </c>
      <c r="N28" s="93">
        <f t="shared" ref="N28:N47" si="6">IF(D28=0,"",1/(1/10^E28*$J$20/$J$22+10^D28/10^E28*$J$21/$J$22+10^I28/10^E28*$J$13/$J$22+1))</f>
        <v>5.7585837560188731E-5</v>
      </c>
      <c r="O28" s="40">
        <f t="shared" ref="O28:O47" si="7">IF(D28=0,"",F28*K28*$J$7/$J$14)</f>
        <v>9.991207175505735E-7</v>
      </c>
      <c r="P28" s="40">
        <f t="shared" ref="P28:P47" si="8">IF(D28=0,"",O28*10^J28)</f>
        <v>1.0675622618151275E-6</v>
      </c>
      <c r="Q28" s="40">
        <f t="shared" ref="Q28:Q47" si="9">IF(D28=0,"",F28*N28*$J$7/$J$22)</f>
        <v>1.2073521630115898E-6</v>
      </c>
      <c r="R28" s="9">
        <f>F28*$C$14</f>
        <v>3.9999999999999996E-5</v>
      </c>
      <c r="S28" s="9">
        <f>$R28*L28</f>
        <v>1.4343217477722788E-8</v>
      </c>
      <c r="T28" s="9">
        <f t="shared" ref="T28:T91" si="10">R28*K28</f>
        <v>3.974445675187782E-5</v>
      </c>
      <c r="U28" s="9">
        <f t="shared" ref="U28:U91" si="11">$R28*M28</f>
        <v>3.9985656782522273E-5</v>
      </c>
      <c r="V28" s="100">
        <f>K28/M28</f>
        <v>0.99396783621796392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8"/>
      <c r="B29" s="46" t="s">
        <v>163</v>
      </c>
      <c r="C29" s="46" t="s">
        <v>164</v>
      </c>
      <c r="D29" s="47">
        <v>2.31</v>
      </c>
      <c r="E29" s="47">
        <v>2.58</v>
      </c>
      <c r="F29" s="96">
        <v>9.9999999999999995E-7</v>
      </c>
      <c r="G29" s="138"/>
      <c r="H29" s="138"/>
      <c r="I29" s="92">
        <f t="shared" si="1"/>
        <v>0.32619780382173885</v>
      </c>
      <c r="J29" s="92">
        <f t="shared" si="2"/>
        <v>2.0153874426845424</v>
      </c>
      <c r="K29" s="93">
        <f t="shared" si="3"/>
        <v>0.4618181372192095</v>
      </c>
      <c r="L29" s="93">
        <f t="shared" si="4"/>
        <v>1.6160440607626475E-2</v>
      </c>
      <c r="M29" s="93">
        <f t="shared" si="5"/>
        <v>0.98383955939237355</v>
      </c>
      <c r="N29" s="93">
        <f t="shared" si="6"/>
        <v>8.4208144740055228E-3</v>
      </c>
      <c r="O29" s="40">
        <f t="shared" si="7"/>
        <v>4.6437879024679357E-7</v>
      </c>
      <c r="P29" s="40">
        <f t="shared" si="8"/>
        <v>4.811270986806738E-5</v>
      </c>
      <c r="Q29" s="40">
        <f t="shared" si="9"/>
        <v>1.7655189192800115E-4</v>
      </c>
      <c r="R29" s="9">
        <f t="shared" ref="R29:R92" si="12">F29*$C$14</f>
        <v>3.9999999999999996E-5</v>
      </c>
      <c r="S29" s="9">
        <f t="shared" ref="S29:S92" si="13">$R29*L29</f>
        <v>6.4641762430505897E-7</v>
      </c>
      <c r="T29" s="9">
        <f t="shared" si="10"/>
        <v>1.8472725488768377E-5</v>
      </c>
      <c r="U29" s="9">
        <f t="shared" si="11"/>
        <v>3.9353582375694938E-5</v>
      </c>
      <c r="V29" s="100">
        <f t="shared" ref="V29:V92" si="14">K29/M29</f>
        <v>0.46940391124791903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89"/>
      <c r="B30" s="46" t="s">
        <v>165</v>
      </c>
      <c r="C30" s="46" t="s">
        <v>166</v>
      </c>
      <c r="D30" s="90">
        <v>4.4000000000000004</v>
      </c>
      <c r="E30" s="90">
        <v>2.64</v>
      </c>
      <c r="F30" s="96">
        <v>9.9999999999999995E-7</v>
      </c>
      <c r="G30" s="138"/>
      <c r="H30" s="138"/>
      <c r="I30" s="92">
        <f t="shared" si="1"/>
        <v>2.0854020627961285</v>
      </c>
      <c r="J30" s="92">
        <f t="shared" si="2"/>
        <v>3.7846979172891171</v>
      </c>
      <c r="K30" s="93">
        <f t="shared" si="3"/>
        <v>8.0371397818638935E-3</v>
      </c>
      <c r="L30" s="93">
        <f t="shared" si="4"/>
        <v>1.6534619624720102E-2</v>
      </c>
      <c r="M30" s="93">
        <f t="shared" si="5"/>
        <v>0.98346538037527986</v>
      </c>
      <c r="N30" s="93">
        <f t="shared" si="6"/>
        <v>1.6826145327902202E-4</v>
      </c>
      <c r="O30" s="40">
        <f t="shared" si="7"/>
        <v>8.0817034848822889E-9</v>
      </c>
      <c r="P30" s="40">
        <f t="shared" si="8"/>
        <v>4.9226712074148865E-5</v>
      </c>
      <c r="Q30" s="40">
        <f t="shared" si="9"/>
        <v>3.5277915226216424E-6</v>
      </c>
      <c r="R30" s="9">
        <f t="shared" si="12"/>
        <v>3.9999999999999996E-5</v>
      </c>
      <c r="S30" s="9">
        <f t="shared" si="13"/>
        <v>6.6138478498880403E-7</v>
      </c>
      <c r="T30" s="9">
        <f t="shared" si="10"/>
        <v>3.2148559127455572E-7</v>
      </c>
      <c r="U30" s="9">
        <f t="shared" si="11"/>
        <v>3.9338615215011193E-5</v>
      </c>
      <c r="V30" s="100">
        <f t="shared" si="14"/>
        <v>8.1722650763741238E-3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89"/>
      <c r="B31" s="46" t="s">
        <v>91</v>
      </c>
      <c r="C31" s="46" t="s">
        <v>92</v>
      </c>
      <c r="D31" s="47">
        <v>-0.92190615231165807</v>
      </c>
      <c r="E31" s="47">
        <v>-1.7889087518799642</v>
      </c>
      <c r="F31" s="96">
        <v>9.9999999999999995E-7</v>
      </c>
      <c r="G31" s="138"/>
      <c r="H31" s="138"/>
      <c r="I31" s="92">
        <f t="shared" si="1"/>
        <v>-2.0020416091501053E-3</v>
      </c>
      <c r="J31" s="92">
        <f t="shared" si="2"/>
        <v>-0.18773071557122345</v>
      </c>
      <c r="K31" s="93">
        <f t="shared" si="3"/>
        <v>0.9991976705167317</v>
      </c>
      <c r="L31" s="93">
        <f t="shared" si="4"/>
        <v>2.1903598337794401E-4</v>
      </c>
      <c r="M31" s="93">
        <f t="shared" si="5"/>
        <v>0.99978096401662209</v>
      </c>
      <c r="N31" s="93">
        <f t="shared" si="6"/>
        <v>7.7915843205131524E-7</v>
      </c>
      <c r="O31" s="40">
        <f t="shared" si="7"/>
        <v>1.0047379434812585E-6</v>
      </c>
      <c r="P31" s="40">
        <f t="shared" si="8"/>
        <v>6.5211184365583066E-7</v>
      </c>
      <c r="Q31" s="40">
        <f t="shared" si="9"/>
        <v>1.6335937065821697E-8</v>
      </c>
      <c r="R31" s="9">
        <f t="shared" si="12"/>
        <v>3.9999999999999996E-5</v>
      </c>
      <c r="S31" s="9">
        <f t="shared" si="13"/>
        <v>8.7614393351177603E-9</v>
      </c>
      <c r="T31" s="9">
        <f t="shared" si="10"/>
        <v>3.9967906820669267E-5</v>
      </c>
      <c r="U31" s="9">
        <f t="shared" si="11"/>
        <v>3.9991238560664879E-5</v>
      </c>
      <c r="V31" s="100">
        <f t="shared" si="14"/>
        <v>0.99941657870985356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89"/>
      <c r="B32" s="46" t="s">
        <v>93</v>
      </c>
      <c r="C32" s="46" t="s">
        <v>94</v>
      </c>
      <c r="D32" s="47">
        <v>0.54749180498968375</v>
      </c>
      <c r="E32" s="47">
        <v>0.30136158174588817</v>
      </c>
      <c r="F32" s="96">
        <v>9.9999999999999995E-7</v>
      </c>
      <c r="G32" s="138"/>
      <c r="H32" s="138"/>
      <c r="I32" s="92">
        <f t="shared" si="1"/>
        <v>5.4008424806920542E-3</v>
      </c>
      <c r="J32" s="92">
        <f t="shared" si="2"/>
        <v>0.2427563434266759</v>
      </c>
      <c r="K32" s="93">
        <f t="shared" si="3"/>
        <v>0.9819552419235037</v>
      </c>
      <c r="L32" s="93">
        <f t="shared" si="4"/>
        <v>5.8001978215513762E-4</v>
      </c>
      <c r="M32" s="93">
        <f t="shared" si="5"/>
        <v>0.99941998021784484</v>
      </c>
      <c r="N32" s="93">
        <f t="shared" si="6"/>
        <v>9.4261943224955183E-5</v>
      </c>
      <c r="O32" s="40">
        <f t="shared" si="7"/>
        <v>9.8739991042076971E-7</v>
      </c>
      <c r="P32" s="40">
        <f t="shared" si="8"/>
        <v>1.7268293714343514E-6</v>
      </c>
      <c r="Q32" s="40">
        <f t="shared" si="9"/>
        <v>1.9763081664545355E-6</v>
      </c>
      <c r="R32" s="9">
        <f t="shared" si="12"/>
        <v>3.9999999999999996E-5</v>
      </c>
      <c r="S32" s="9">
        <f t="shared" si="13"/>
        <v>2.3200791286205501E-8</v>
      </c>
      <c r="T32" s="9">
        <f t="shared" si="10"/>
        <v>3.9278209676940143E-5</v>
      </c>
      <c r="U32" s="9">
        <f t="shared" si="11"/>
        <v>3.9976799208713787E-5</v>
      </c>
      <c r="V32" s="100">
        <f t="shared" si="14"/>
        <v>0.98252512593300934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89"/>
      <c r="B33" s="94" t="s">
        <v>167</v>
      </c>
      <c r="C33" s="94" t="s">
        <v>111</v>
      </c>
      <c r="D33" s="95">
        <v>1.6452318246143236</v>
      </c>
      <c r="E33" s="95">
        <v>1.8629354124795308</v>
      </c>
      <c r="F33" s="96">
        <v>9.9999999999999995E-7</v>
      </c>
      <c r="G33" s="138"/>
      <c r="H33" s="138"/>
      <c r="I33" s="92">
        <f t="shared" si="1"/>
        <v>9.1527063522880606E-2</v>
      </c>
      <c r="J33" s="92">
        <f t="shared" si="2"/>
        <v>1.3340133129861464</v>
      </c>
      <c r="K33" s="93">
        <f t="shared" si="3"/>
        <v>0.8010774279373517</v>
      </c>
      <c r="L33" s="93">
        <f t="shared" si="4"/>
        <v>5.8382485120430606E-3</v>
      </c>
      <c r="M33" s="93">
        <f t="shared" si="5"/>
        <v>0.99416175148795694</v>
      </c>
      <c r="N33" s="93">
        <f t="shared" si="6"/>
        <v>2.8021605925146842E-3</v>
      </c>
      <c r="O33" s="40">
        <f t="shared" si="7"/>
        <v>8.0551917930192263E-7</v>
      </c>
      <c r="P33" s="40">
        <f t="shared" si="8"/>
        <v>1.7381577867687822E-5</v>
      </c>
      <c r="Q33" s="40">
        <f t="shared" si="9"/>
        <v>5.8750463583035083E-5</v>
      </c>
      <c r="R33" s="9">
        <f t="shared" si="12"/>
        <v>3.9999999999999996E-5</v>
      </c>
      <c r="S33" s="9">
        <f t="shared" si="13"/>
        <v>2.335299404817224E-7</v>
      </c>
      <c r="T33" s="9">
        <f t="shared" si="10"/>
        <v>3.2043097117494064E-5</v>
      </c>
      <c r="U33" s="9">
        <f t="shared" si="11"/>
        <v>3.9766470059518272E-5</v>
      </c>
      <c r="V33" s="100">
        <f t="shared" si="14"/>
        <v>0.80578178222847852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8"/>
      <c r="B34" s="46" t="s">
        <v>95</v>
      </c>
      <c r="C34" s="46" t="s">
        <v>96</v>
      </c>
      <c r="D34" s="90">
        <v>0.39857726844789648</v>
      </c>
      <c r="E34" s="90">
        <v>8.9525410045599246E-2</v>
      </c>
      <c r="F34" s="96">
        <v>9.9999999999999995E-7</v>
      </c>
      <c r="G34" s="138"/>
      <c r="H34" s="138"/>
      <c r="I34" s="92">
        <f t="shared" si="1"/>
        <v>3.1608226539332684E-3</v>
      </c>
      <c r="J34" s="92">
        <f t="shared" si="2"/>
        <v>0.14407219555289499</v>
      </c>
      <c r="K34" s="93">
        <f t="shared" si="3"/>
        <v>0.98714711171165614</v>
      </c>
      <c r="L34" s="93">
        <f t="shared" si="4"/>
        <v>4.6456752133542528E-4</v>
      </c>
      <c r="M34" s="93">
        <f t="shared" si="5"/>
        <v>0.99953543247866461</v>
      </c>
      <c r="N34" s="93">
        <f t="shared" si="6"/>
        <v>5.8182235408120134E-5</v>
      </c>
      <c r="O34" s="40">
        <f t="shared" si="7"/>
        <v>9.9262056768178296E-7</v>
      </c>
      <c r="P34" s="40">
        <f t="shared" si="8"/>
        <v>1.3831060000672444E-6</v>
      </c>
      <c r="Q34" s="40">
        <f t="shared" si="9"/>
        <v>1.2198563178910395E-6</v>
      </c>
      <c r="R34" s="9">
        <f t="shared" si="12"/>
        <v>3.9999999999999996E-5</v>
      </c>
      <c r="S34" s="9">
        <f t="shared" si="13"/>
        <v>1.858270085341701E-8</v>
      </c>
      <c r="T34" s="9">
        <f t="shared" si="10"/>
        <v>3.9485884468466239E-5</v>
      </c>
      <c r="U34" s="9">
        <f t="shared" si="11"/>
        <v>3.9981417299146582E-5</v>
      </c>
      <c r="V34" s="100">
        <f t="shared" si="14"/>
        <v>0.98760592134659231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8"/>
      <c r="B35" s="46" t="s">
        <v>97</v>
      </c>
      <c r="C35" s="46" t="s">
        <v>98</v>
      </c>
      <c r="D35" s="90">
        <v>0.27761205565007074</v>
      </c>
      <c r="E35" s="90">
        <v>-8.2551864497786676E-2</v>
      </c>
      <c r="F35" s="96">
        <v>9.9999999999999995E-7</v>
      </c>
      <c r="G35" s="138"/>
      <c r="H35" s="138"/>
      <c r="I35" s="92">
        <f t="shared" si="1"/>
        <v>1.8333114105419375E-3</v>
      </c>
      <c r="J35" s="92">
        <f t="shared" si="2"/>
        <v>7.5627777349989087E-2</v>
      </c>
      <c r="K35" s="93">
        <f t="shared" si="3"/>
        <v>0.99023502132222008</v>
      </c>
      <c r="L35" s="93">
        <f t="shared" si="4"/>
        <v>3.9807126484878657E-4</v>
      </c>
      <c r="M35" s="93">
        <f t="shared" si="5"/>
        <v>0.99960192873515119</v>
      </c>
      <c r="N35" s="93">
        <f t="shared" si="6"/>
        <v>3.9270780356059151E-5</v>
      </c>
      <c r="O35" s="40">
        <f t="shared" si="7"/>
        <v>9.9572559889164295E-7</v>
      </c>
      <c r="P35" s="40">
        <f t="shared" si="8"/>
        <v>1.1851339785529043E-6</v>
      </c>
      <c r="Q35" s="40">
        <f t="shared" si="9"/>
        <v>8.2335629062413641E-7</v>
      </c>
      <c r="R35" s="9">
        <f t="shared" si="12"/>
        <v>3.9999999999999996E-5</v>
      </c>
      <c r="S35" s="9">
        <f t="shared" si="13"/>
        <v>1.5922850593951462E-8</v>
      </c>
      <c r="T35" s="9">
        <f t="shared" si="10"/>
        <v>3.9609400852888798E-5</v>
      </c>
      <c r="U35" s="9">
        <f t="shared" si="11"/>
        <v>3.9984077149406047E-5</v>
      </c>
      <c r="V35" s="100">
        <f t="shared" si="14"/>
        <v>0.99062936240550925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8"/>
      <c r="B36" s="46" t="s">
        <v>168</v>
      </c>
      <c r="C36" s="46" t="s">
        <v>169</v>
      </c>
      <c r="D36" s="47">
        <v>3.4409280000000009</v>
      </c>
      <c r="E36" s="47">
        <v>4.1160660000000009</v>
      </c>
      <c r="F36" s="96">
        <v>9.9999999999999995E-7</v>
      </c>
      <c r="G36" s="138"/>
      <c r="H36" s="138"/>
      <c r="I36" s="92">
        <f t="shared" si="1"/>
        <v>1.2834731216469764</v>
      </c>
      <c r="J36" s="92">
        <f t="shared" si="2"/>
        <v>3.4010714909731083</v>
      </c>
      <c r="K36" s="93">
        <f t="shared" si="3"/>
        <v>4.9607853659566728E-2</v>
      </c>
      <c r="L36" s="93">
        <f t="shared" si="4"/>
        <v>4.2190696773722156E-2</v>
      </c>
      <c r="M36" s="93">
        <f t="shared" si="5"/>
        <v>0.95780930322627789</v>
      </c>
      <c r="N36" s="93">
        <f t="shared" si="6"/>
        <v>3.1081326905525713E-2</v>
      </c>
      <c r="O36" s="40">
        <f t="shared" si="7"/>
        <v>4.9882915400169222E-8</v>
      </c>
      <c r="P36" s="40">
        <f t="shared" si="8"/>
        <v>1.2560974061856596E-4</v>
      </c>
      <c r="Q36" s="40">
        <f t="shared" si="9"/>
        <v>6.5165514401756329E-4</v>
      </c>
      <c r="R36" s="9">
        <f t="shared" si="12"/>
        <v>3.9999999999999996E-5</v>
      </c>
      <c r="S36" s="9">
        <f t="shared" si="13"/>
        <v>1.6876278709488862E-6</v>
      </c>
      <c r="T36" s="9">
        <f t="shared" si="10"/>
        <v>1.9843141463826688E-6</v>
      </c>
      <c r="U36" s="9">
        <f t="shared" si="11"/>
        <v>3.8312372129051114E-5</v>
      </c>
      <c r="V36" s="100">
        <f t="shared" si="14"/>
        <v>5.1793038021731463E-2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8"/>
      <c r="B37" s="94" t="s">
        <v>170</v>
      </c>
      <c r="C37" s="94" t="s">
        <v>171</v>
      </c>
      <c r="D37" s="95">
        <v>4.9025336133267672</v>
      </c>
      <c r="E37" s="95">
        <v>6.4965619006479365</v>
      </c>
      <c r="F37" s="96">
        <v>9.9999999999999995E-7</v>
      </c>
      <c r="G37" s="138"/>
      <c r="H37" s="138"/>
      <c r="I37" s="92">
        <f t="shared" si="1"/>
        <v>3.1977472098667894</v>
      </c>
      <c r="J37" s="92">
        <f t="shared" si="2"/>
        <v>5.6671527084817406</v>
      </c>
      <c r="K37" s="93">
        <f t="shared" si="3"/>
        <v>5.7410288999011866E-4</v>
      </c>
      <c r="L37" s="93">
        <f t="shared" si="4"/>
        <v>9.0102576761214304E-2</v>
      </c>
      <c r="M37" s="93">
        <f t="shared" si="5"/>
        <v>0.90989742323878575</v>
      </c>
      <c r="N37" s="93">
        <f t="shared" si="6"/>
        <v>8.6384285942420078E-2</v>
      </c>
      <c r="O37" s="40">
        <f t="shared" si="7"/>
        <v>5.7728613071827609E-10</v>
      </c>
      <c r="P37" s="40">
        <f t="shared" si="8"/>
        <v>2.6825253341370889E-4</v>
      </c>
      <c r="Q37" s="40">
        <f t="shared" si="9"/>
        <v>1.8111441788752672E-3</v>
      </c>
      <c r="R37" s="9">
        <f t="shared" si="12"/>
        <v>3.9999999999999996E-5</v>
      </c>
      <c r="S37" s="9">
        <f t="shared" si="13"/>
        <v>3.604103070448572E-6</v>
      </c>
      <c r="T37" s="9">
        <f t="shared" si="10"/>
        <v>2.2964115599604743E-8</v>
      </c>
      <c r="U37" s="9">
        <f t="shared" si="11"/>
        <v>3.639589692955143E-5</v>
      </c>
      <c r="V37" s="100">
        <f t="shared" si="14"/>
        <v>6.3095341884428658E-4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8"/>
      <c r="B38" s="46" t="s">
        <v>172</v>
      </c>
      <c r="C38" s="46" t="s">
        <v>173</v>
      </c>
      <c r="D38" s="90">
        <v>-0.51108880646233978</v>
      </c>
      <c r="E38" s="90">
        <v>-1.2045066120098076</v>
      </c>
      <c r="F38" s="96">
        <v>9.9999999999999995E-7</v>
      </c>
      <c r="G38" s="138"/>
      <c r="H38" s="138"/>
      <c r="I38" s="92">
        <f t="shared" si="1"/>
        <v>-1.5996885357091404E-3</v>
      </c>
      <c r="J38" s="92">
        <f t="shared" si="2"/>
        <v>-0.15437586186998223</v>
      </c>
      <c r="K38" s="93">
        <f t="shared" si="3"/>
        <v>0.99825515412797849</v>
      </c>
      <c r="L38" s="93">
        <f t="shared" si="4"/>
        <v>2.3629823019835004E-4</v>
      </c>
      <c r="M38" s="93">
        <f t="shared" si="5"/>
        <v>0.99976370176980167</v>
      </c>
      <c r="N38" s="93">
        <f t="shared" si="6"/>
        <v>2.9896342699494619E-6</v>
      </c>
      <c r="O38" s="40">
        <f t="shared" si="7"/>
        <v>1.0037902011014711E-6</v>
      </c>
      <c r="P38" s="40">
        <f t="shared" si="8"/>
        <v>7.0350484048719271E-7</v>
      </c>
      <c r="Q38" s="40">
        <f t="shared" si="9"/>
        <v>6.2681061097085964E-8</v>
      </c>
      <c r="R38" s="9">
        <f t="shared" si="12"/>
        <v>3.9999999999999996E-5</v>
      </c>
      <c r="S38" s="9">
        <f t="shared" si="13"/>
        <v>9.4519292079340003E-9</v>
      </c>
      <c r="T38" s="9">
        <f t="shared" si="10"/>
        <v>3.9930206165119135E-5</v>
      </c>
      <c r="U38" s="9">
        <f t="shared" si="11"/>
        <v>3.999054807079206E-5</v>
      </c>
      <c r="V38" s="100">
        <f t="shared" si="14"/>
        <v>0.99849109580678641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8"/>
      <c r="B39" s="46" t="s">
        <v>99</v>
      </c>
      <c r="C39" s="46" t="s">
        <v>100</v>
      </c>
      <c r="D39" s="90">
        <v>2.3414159999999997</v>
      </c>
      <c r="E39" s="90">
        <v>2.4767320000000002</v>
      </c>
      <c r="F39" s="96">
        <v>9.9999999999999995E-7</v>
      </c>
      <c r="G39" s="138"/>
      <c r="H39" s="138"/>
      <c r="I39" s="92">
        <f t="shared" si="1"/>
        <v>0.33491051106253611</v>
      </c>
      <c r="J39" s="92">
        <f t="shared" si="2"/>
        <v>1.9816264972737887</v>
      </c>
      <c r="K39" s="93">
        <f t="shared" si="3"/>
        <v>0.45332812837725173</v>
      </c>
      <c r="L39" s="93">
        <f t="shared" si="4"/>
        <v>1.4676886445387942E-2</v>
      </c>
      <c r="M39" s="93">
        <f t="shared" si="5"/>
        <v>0.98532311355461211</v>
      </c>
      <c r="N39" s="93">
        <f t="shared" si="6"/>
        <v>6.5167007918204628E-3</v>
      </c>
      <c r="O39" s="40">
        <f t="shared" si="7"/>
        <v>4.558417066689316E-7</v>
      </c>
      <c r="P39" s="40">
        <f t="shared" si="8"/>
        <v>4.3695886545338085E-5</v>
      </c>
      <c r="Q39" s="40">
        <f t="shared" si="9"/>
        <v>1.3662999671542835E-4</v>
      </c>
      <c r="R39" s="9">
        <f t="shared" si="12"/>
        <v>3.9999999999999996E-5</v>
      </c>
      <c r="S39" s="9">
        <f t="shared" si="13"/>
        <v>5.8707545781551758E-7</v>
      </c>
      <c r="T39" s="9">
        <f t="shared" si="10"/>
        <v>1.8133125135090069E-5</v>
      </c>
      <c r="U39" s="9">
        <f t="shared" si="11"/>
        <v>3.9412924542184484E-5</v>
      </c>
      <c r="V39" s="100">
        <f t="shared" si="14"/>
        <v>0.46008068027739996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8"/>
      <c r="B40" s="46" t="s">
        <v>174</v>
      </c>
      <c r="C40" s="46" t="s">
        <v>175</v>
      </c>
      <c r="D40" s="47">
        <v>2.349974877229557</v>
      </c>
      <c r="E40" s="47">
        <v>2.8654572197209189</v>
      </c>
      <c r="F40" s="96">
        <v>9.9999999999999995E-7</v>
      </c>
      <c r="G40" s="138"/>
      <c r="H40" s="138"/>
      <c r="I40" s="92">
        <f t="shared" si="1"/>
        <v>0.37071855582347524</v>
      </c>
      <c r="J40" s="92">
        <f t="shared" si="2"/>
        <v>2.2000700770906532</v>
      </c>
      <c r="K40" s="93">
        <f t="shared" si="3"/>
        <v>0.41427157001500403</v>
      </c>
      <c r="L40" s="93">
        <f t="shared" si="4"/>
        <v>2.2179409372930881E-2</v>
      </c>
      <c r="M40" s="93">
        <f t="shared" si="5"/>
        <v>0.97782059062706916</v>
      </c>
      <c r="N40" s="93">
        <f t="shared" si="6"/>
        <v>1.4575567194650285E-2</v>
      </c>
      <c r="O40" s="40">
        <f t="shared" si="7"/>
        <v>4.1656859056163838E-7</v>
      </c>
      <c r="P40" s="40">
        <f t="shared" si="8"/>
        <v>6.6032326352619605E-5</v>
      </c>
      <c r="Q40" s="40">
        <f t="shared" si="9"/>
        <v>3.0559323828864213E-4</v>
      </c>
      <c r="R40" s="9">
        <f t="shared" si="12"/>
        <v>3.9999999999999996E-5</v>
      </c>
      <c r="S40" s="9">
        <f t="shared" si="13"/>
        <v>8.8717637491723515E-7</v>
      </c>
      <c r="T40" s="9">
        <f t="shared" si="10"/>
        <v>1.657086280060016E-5</v>
      </c>
      <c r="U40" s="9">
        <f t="shared" si="11"/>
        <v>3.9112823625082762E-5</v>
      </c>
      <c r="V40" s="100">
        <f t="shared" si="14"/>
        <v>0.42366828228615511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8"/>
      <c r="B41" s="94" t="s">
        <v>176</v>
      </c>
      <c r="C41" s="94" t="s">
        <v>177</v>
      </c>
      <c r="D41" s="95">
        <v>1.4854320000000003</v>
      </c>
      <c r="E41" s="95">
        <v>1.5057189999999996</v>
      </c>
      <c r="F41" s="96">
        <v>9.9999999999999995E-7</v>
      </c>
      <c r="G41" s="138"/>
      <c r="H41" s="138"/>
      <c r="I41" s="92">
        <f t="shared" si="1"/>
        <v>6.2122287627494992E-2</v>
      </c>
      <c r="J41" s="92">
        <f t="shared" si="2"/>
        <v>1.0971554041516225</v>
      </c>
      <c r="K41" s="93">
        <f t="shared" si="3"/>
        <v>0.85909912204051497</v>
      </c>
      <c r="L41" s="93">
        <f t="shared" si="4"/>
        <v>3.6290541540390324E-3</v>
      </c>
      <c r="M41" s="93">
        <f t="shared" si="5"/>
        <v>0.99637094584596098</v>
      </c>
      <c r="N41" s="93">
        <f t="shared" si="6"/>
        <v>1.3202172081080918E-3</v>
      </c>
      <c r="O41" s="40">
        <f t="shared" si="7"/>
        <v>8.6386258754902454E-7</v>
      </c>
      <c r="P41" s="40">
        <f t="shared" si="8"/>
        <v>1.0804385464984493E-5</v>
      </c>
      <c r="Q41" s="40">
        <f t="shared" si="9"/>
        <v>2.7679845763959099E-5</v>
      </c>
      <c r="R41" s="9">
        <f t="shared" si="12"/>
        <v>3.9999999999999996E-5</v>
      </c>
      <c r="S41" s="9">
        <f t="shared" si="13"/>
        <v>1.451621661615613E-7</v>
      </c>
      <c r="T41" s="9">
        <f t="shared" si="10"/>
        <v>3.4363964881620596E-5</v>
      </c>
      <c r="U41" s="9">
        <f t="shared" si="11"/>
        <v>3.9854837833838435E-5</v>
      </c>
      <c r="V41" s="100">
        <f t="shared" si="14"/>
        <v>0.86222819485277502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89"/>
      <c r="B42" s="46" t="s">
        <v>178</v>
      </c>
      <c r="C42" s="46" t="s">
        <v>179</v>
      </c>
      <c r="D42" s="90">
        <v>2.0758240000000003</v>
      </c>
      <c r="E42" s="90">
        <v>2.477398</v>
      </c>
      <c r="F42" s="96">
        <v>9.9999999999999995E-7</v>
      </c>
      <c r="G42" s="138"/>
      <c r="H42" s="138"/>
      <c r="I42" s="92">
        <f t="shared" si="1"/>
        <v>0.22542744412672311</v>
      </c>
      <c r="J42" s="92">
        <f t="shared" si="2"/>
        <v>1.8562658331213004</v>
      </c>
      <c r="K42" s="93">
        <f t="shared" si="3"/>
        <v>0.58361254656806139</v>
      </c>
      <c r="L42" s="93">
        <f t="shared" si="4"/>
        <v>1.4157456064755134E-2</v>
      </c>
      <c r="M42" s="93">
        <f t="shared" si="5"/>
        <v>0.98584254393524484</v>
      </c>
      <c r="N42" s="93">
        <f t="shared" si="6"/>
        <v>8.4024460722353419E-3</v>
      </c>
      <c r="O42" s="40">
        <f t="shared" si="7"/>
        <v>5.8684851569500838E-7</v>
      </c>
      <c r="P42" s="40">
        <f t="shared" si="8"/>
        <v>4.2149443363074084E-5</v>
      </c>
      <c r="Q42" s="40">
        <f t="shared" si="9"/>
        <v>1.7616677762650099E-4</v>
      </c>
      <c r="R42" s="9">
        <f t="shared" si="12"/>
        <v>3.9999999999999996E-5</v>
      </c>
      <c r="S42" s="9">
        <f t="shared" si="13"/>
        <v>5.6629824259020532E-7</v>
      </c>
      <c r="T42" s="9">
        <f t="shared" si="10"/>
        <v>2.3344501862722453E-5</v>
      </c>
      <c r="U42" s="9">
        <f t="shared" si="11"/>
        <v>3.9433701757409791E-5</v>
      </c>
      <c r="V42" s="100">
        <f t="shared" si="14"/>
        <v>0.59199367095522304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89"/>
      <c r="B43" s="46" t="s">
        <v>180</v>
      </c>
      <c r="C43" s="46" t="s">
        <v>181</v>
      </c>
      <c r="D43" s="90">
        <v>2.3078000000000003</v>
      </c>
      <c r="E43" s="90">
        <v>2.5099249999999995</v>
      </c>
      <c r="F43" s="96">
        <v>9.9999999999999995E-7</v>
      </c>
      <c r="G43" s="138"/>
      <c r="H43" s="138"/>
      <c r="I43" s="92">
        <f t="shared" si="1"/>
        <v>0.32073739190116707</v>
      </c>
      <c r="J43" s="92">
        <f t="shared" si="2"/>
        <v>1.9791588629447154</v>
      </c>
      <c r="K43" s="93">
        <f t="shared" si="3"/>
        <v>0.46817873629679824</v>
      </c>
      <c r="L43" s="93">
        <f t="shared" si="4"/>
        <v>1.50718067711229E-2</v>
      </c>
      <c r="M43" s="93">
        <f t="shared" si="5"/>
        <v>0.98492819322887715</v>
      </c>
      <c r="N43" s="93">
        <f t="shared" si="6"/>
        <v>7.264735370009311E-3</v>
      </c>
      <c r="O43" s="40">
        <f t="shared" si="7"/>
        <v>4.7077465707584686E-7</v>
      </c>
      <c r="P43" s="40">
        <f t="shared" si="8"/>
        <v>4.4871639577970254E-5</v>
      </c>
      <c r="Q43" s="40">
        <f t="shared" si="9"/>
        <v>1.5231338701151987E-4</v>
      </c>
      <c r="R43" s="9">
        <f t="shared" si="12"/>
        <v>3.9999999999999996E-5</v>
      </c>
      <c r="S43" s="9">
        <f t="shared" si="13"/>
        <v>6.0287227084491597E-7</v>
      </c>
      <c r="T43" s="9">
        <f t="shared" si="10"/>
        <v>1.8727149451871928E-5</v>
      </c>
      <c r="U43" s="9">
        <f t="shared" si="11"/>
        <v>3.9397127729155082E-5</v>
      </c>
      <c r="V43" s="100">
        <f t="shared" si="14"/>
        <v>0.47534301435922355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89"/>
      <c r="B44" s="46" t="s">
        <v>182</v>
      </c>
      <c r="C44" s="46" t="s">
        <v>183</v>
      </c>
      <c r="D44" s="90">
        <v>5.676184000000001</v>
      </c>
      <c r="E44" s="90">
        <v>7.0708080000000004</v>
      </c>
      <c r="F44" s="96">
        <v>9.9999999999999995E-7</v>
      </c>
      <c r="G44" s="138"/>
      <c r="H44" s="138"/>
      <c r="I44" s="92">
        <f t="shared" si="1"/>
        <v>3.8293839195374848</v>
      </c>
      <c r="J44" s="92">
        <f t="shared" si="2"/>
        <v>6.2517180889118604</v>
      </c>
      <c r="K44" s="93">
        <f t="shared" si="3"/>
        <v>1.3532911010281055E-4</v>
      </c>
      <c r="L44" s="93">
        <f t="shared" si="4"/>
        <v>8.1602616562073738E-2</v>
      </c>
      <c r="M44" s="93">
        <f t="shared" si="5"/>
        <v>0.91839738343792621</v>
      </c>
      <c r="N44" s="93">
        <f t="shared" si="6"/>
        <v>7.6398061657855551E-2</v>
      </c>
      <c r="O44" s="40">
        <f t="shared" si="7"/>
        <v>1.360794723505811E-10</v>
      </c>
      <c r="P44" s="40">
        <f t="shared" si="8"/>
        <v>2.4294653286082921E-4</v>
      </c>
      <c r="Q44" s="40">
        <f t="shared" si="9"/>
        <v>1.6017717011773268E-3</v>
      </c>
      <c r="R44" s="9">
        <f t="shared" si="12"/>
        <v>3.9999999999999996E-5</v>
      </c>
      <c r="S44" s="9">
        <f t="shared" si="13"/>
        <v>3.2641046624829494E-6</v>
      </c>
      <c r="T44" s="9">
        <f t="shared" si="10"/>
        <v>5.4131644041124216E-9</v>
      </c>
      <c r="U44" s="9">
        <f t="shared" si="11"/>
        <v>3.6735895337517044E-5</v>
      </c>
      <c r="V44" s="100">
        <f t="shared" si="14"/>
        <v>1.4735354492868865E-4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89"/>
      <c r="B45" s="46" t="s">
        <v>184</v>
      </c>
      <c r="C45" s="46" t="s">
        <v>185</v>
      </c>
      <c r="D45" s="90">
        <v>1.2599279999999999</v>
      </c>
      <c r="E45" s="90">
        <v>1.3925860000000003</v>
      </c>
      <c r="F45" s="96">
        <v>9.9999999999999995E-7</v>
      </c>
      <c r="G45" s="138"/>
      <c r="H45" s="138"/>
      <c r="I45" s="92">
        <f t="shared" si="1"/>
        <v>3.8037572032670899E-2</v>
      </c>
      <c r="J45" s="92">
        <f t="shared" si="2"/>
        <v>0.92896201878272155</v>
      </c>
      <c r="K45" s="93">
        <f t="shared" si="3"/>
        <v>0.90901966878413343</v>
      </c>
      <c r="L45" s="93">
        <f t="shared" si="4"/>
        <v>2.6069341947680767E-3</v>
      </c>
      <c r="M45" s="93">
        <f t="shared" si="5"/>
        <v>0.9973930658052319</v>
      </c>
      <c r="N45" s="93">
        <f t="shared" si="6"/>
        <v>1.0765702994559186E-3</v>
      </c>
      <c r="O45" s="40">
        <f t="shared" si="7"/>
        <v>9.1405992982936106E-7</v>
      </c>
      <c r="P45" s="40">
        <f t="shared" si="8"/>
        <v>7.7613396567188095E-6</v>
      </c>
      <c r="Q45" s="40">
        <f t="shared" si="9"/>
        <v>2.2571512975279511E-5</v>
      </c>
      <c r="R45" s="9">
        <f t="shared" si="12"/>
        <v>3.9999999999999996E-5</v>
      </c>
      <c r="S45" s="9">
        <f t="shared" si="13"/>
        <v>1.0427736779072305E-7</v>
      </c>
      <c r="T45" s="9">
        <f t="shared" si="10"/>
        <v>3.6360786751365334E-5</v>
      </c>
      <c r="U45" s="9">
        <f t="shared" si="11"/>
        <v>3.9895722632209269E-5</v>
      </c>
      <c r="V45" s="100">
        <f t="shared" si="14"/>
        <v>0.9113956171835309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8"/>
      <c r="B46" s="46" t="s">
        <v>186</v>
      </c>
      <c r="C46" s="46" t="s">
        <v>187</v>
      </c>
      <c r="D46" s="91">
        <v>1.2889359999999999</v>
      </c>
      <c r="E46" s="91">
        <v>1.371977</v>
      </c>
      <c r="F46" s="96">
        <v>9.9999999999999995E-7</v>
      </c>
      <c r="G46" s="138"/>
      <c r="H46" s="138"/>
      <c r="I46" s="92">
        <f t="shared" si="1"/>
        <v>4.0258976380178252E-2</v>
      </c>
      <c r="J46" s="92">
        <f t="shared" si="2"/>
        <v>0.93601930537447964</v>
      </c>
      <c r="K46" s="93">
        <f t="shared" si="3"/>
        <v>0.90435553061249785</v>
      </c>
      <c r="L46" s="93">
        <f t="shared" si="4"/>
        <v>2.636047755608805E-3</v>
      </c>
      <c r="M46" s="93">
        <f t="shared" si="5"/>
        <v>0.99736395224439123</v>
      </c>
      <c r="N46" s="93">
        <f t="shared" si="6"/>
        <v>1.0214081358714776E-3</v>
      </c>
      <c r="O46" s="40">
        <f t="shared" si="7"/>
        <v>9.0936993030978844E-7</v>
      </c>
      <c r="P46" s="40">
        <f t="shared" si="8"/>
        <v>7.8480162727818163E-6</v>
      </c>
      <c r="Q46" s="40">
        <f t="shared" si="9"/>
        <v>2.1414975876197409E-5</v>
      </c>
      <c r="R46" s="9">
        <f t="shared" si="12"/>
        <v>3.9999999999999996E-5</v>
      </c>
      <c r="S46" s="9">
        <f t="shared" si="13"/>
        <v>1.0544191022435219E-7</v>
      </c>
      <c r="T46" s="9">
        <f t="shared" si="10"/>
        <v>3.617422122449991E-5</v>
      </c>
      <c r="U46" s="9">
        <f t="shared" si="11"/>
        <v>3.9894558089775647E-5</v>
      </c>
      <c r="V46" s="100">
        <f t="shared" si="14"/>
        <v>0.90674575572678928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8"/>
      <c r="B47" s="46" t="s">
        <v>188</v>
      </c>
      <c r="C47" s="46" t="s">
        <v>189</v>
      </c>
      <c r="D47" s="90">
        <v>2.5448008164668257</v>
      </c>
      <c r="E47" s="90">
        <v>3.1426039783542175</v>
      </c>
      <c r="F47" s="96">
        <v>9.9999999999999995E-7</v>
      </c>
      <c r="G47" s="138"/>
      <c r="H47" s="138"/>
      <c r="I47" s="92">
        <f t="shared" si="1"/>
        <v>0.50587648659747519</v>
      </c>
      <c r="J47" s="92">
        <f t="shared" si="2"/>
        <v>2.4501770687994897</v>
      </c>
      <c r="K47" s="93">
        <f t="shared" si="3"/>
        <v>0.30145203067336657</v>
      </c>
      <c r="L47" s="93">
        <f t="shared" si="4"/>
        <v>2.8707148252617859E-2</v>
      </c>
      <c r="M47" s="93">
        <f t="shared" si="5"/>
        <v>0.97129285174738211</v>
      </c>
      <c r="N47" s="93">
        <f t="shared" si="6"/>
        <v>2.0077299893695433E-2</v>
      </c>
      <c r="O47" s="40">
        <f t="shared" si="7"/>
        <v>3.0312349827674638E-7</v>
      </c>
      <c r="P47" s="40">
        <f t="shared" si="8"/>
        <v>8.5466648376282011E-5</v>
      </c>
      <c r="Q47" s="40">
        <f t="shared" si="9"/>
        <v>4.2094328190936712E-4</v>
      </c>
      <c r="R47" s="9">
        <f t="shared" si="12"/>
        <v>3.9999999999999996E-5</v>
      </c>
      <c r="S47" s="9">
        <f t="shared" si="13"/>
        <v>1.1482859301047143E-6</v>
      </c>
      <c r="T47" s="9">
        <f t="shared" si="10"/>
        <v>1.2058081226934662E-5</v>
      </c>
      <c r="U47" s="9">
        <f t="shared" si="11"/>
        <v>3.8851714069895279E-5</v>
      </c>
      <c r="V47" s="100">
        <f t="shared" si="14"/>
        <v>0.31036162793852151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8"/>
      <c r="B48" s="46" t="s">
        <v>101</v>
      </c>
      <c r="C48" s="46" t="s">
        <v>102</v>
      </c>
      <c r="D48" s="90">
        <v>0.29376000000000013</v>
      </c>
      <c r="E48" s="90">
        <v>0.18140000000000034</v>
      </c>
      <c r="F48" s="96">
        <v>9.9999999999999995E-7</v>
      </c>
      <c r="G48" s="138"/>
      <c r="H48" s="138"/>
      <c r="I48" s="92">
        <f t="shared" ref="I48:I50" si="15">IF(D48=0,"",LOG($K$15*10^D48+$K$16*10^E48+$K$14))</f>
        <v>2.0958974367173925E-3</v>
      </c>
      <c r="J48" s="92">
        <f t="shared" ref="J48:J50" si="16">IF(D48=0,"",LOG($K$21*10^D48+$K$22*10^E48+$K$20))</f>
        <v>0.11582725100744908</v>
      </c>
      <c r="K48" s="93">
        <f t="shared" ref="K48:K50" si="17">IF(D48=0,"",1/(1+10^D48*$J$15/$J$14+10^E48*$J$16/$J$14+10^J48*$J$19/$J$14))</f>
        <v>0.98959853682239518</v>
      </c>
      <c r="L48" s="93">
        <f t="shared" ref="L48:L50" si="18">IF(D48=0,"",1/(1+10^I48/10^J48*$J$13/$J$19))</f>
        <v>4.3639630536087572E-4</v>
      </c>
      <c r="M48" s="93">
        <f t="shared" ref="M48:M92" si="19">IF(D48=0,"",1-L48)</f>
        <v>0.99956360369463915</v>
      </c>
      <c r="N48" s="93">
        <f t="shared" ref="N48:N50" si="20">IF(D48=0,"",1/(1/10^E48*$J$20/$J$22+10^D48/10^E48*$J$21/$J$22+10^I48/10^E48*$J$13/$J$22+1))</f>
        <v>7.2067948323646471E-5</v>
      </c>
      <c r="O48" s="40">
        <f t="shared" ref="O48:O92" si="21">IF(D48=0,"",F48*K48*$J$7/$J$14)</f>
        <v>9.9508558526242682E-7</v>
      </c>
      <c r="P48" s="40">
        <f t="shared" ref="P48:P50" si="22">IF(D48=0,"",O48*10^J48)</f>
        <v>1.2992349241651103E-6</v>
      </c>
      <c r="Q48" s="40">
        <f t="shared" ref="Q48:Q50" si="23">IF(D48=0,"",F48*N48*$J$7/$J$22)</f>
        <v>1.5109859816038573E-6</v>
      </c>
      <c r="R48" s="9">
        <f t="shared" si="12"/>
        <v>3.9999999999999996E-5</v>
      </c>
      <c r="S48" s="9">
        <f t="shared" si="13"/>
        <v>1.7455852214435026E-8</v>
      </c>
      <c r="T48" s="9">
        <f t="shared" si="10"/>
        <v>3.9583941472895802E-5</v>
      </c>
      <c r="U48" s="9">
        <f t="shared" si="11"/>
        <v>3.9982544147785564E-5</v>
      </c>
      <c r="V48" s="100">
        <f t="shared" si="14"/>
        <v>0.99003058251079712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8"/>
      <c r="B49" s="46" t="s">
        <v>190</v>
      </c>
      <c r="C49" s="46" t="s">
        <v>191</v>
      </c>
      <c r="D49" s="90">
        <v>1.6175039999999998</v>
      </c>
      <c r="E49" s="90">
        <v>1.8999029999999997</v>
      </c>
      <c r="F49" s="96">
        <v>9.9999999999999995E-7</v>
      </c>
      <c r="G49" s="138"/>
      <c r="H49" s="138"/>
      <c r="I49" s="92">
        <f t="shared" si="15"/>
        <v>8.7763082204907472E-2</v>
      </c>
      <c r="J49" s="92">
        <f t="shared" si="16"/>
        <v>1.3393017792075548</v>
      </c>
      <c r="K49" s="93">
        <f t="shared" si="17"/>
        <v>0.80795109568682177</v>
      </c>
      <c r="L49" s="93">
        <f t="shared" si="18"/>
        <v>5.9604853247150454E-3</v>
      </c>
      <c r="M49" s="93">
        <f t="shared" si="19"/>
        <v>0.99403951467528495</v>
      </c>
      <c r="N49" s="93">
        <f t="shared" si="20"/>
        <v>3.0773095755369548E-3</v>
      </c>
      <c r="O49" s="40">
        <f t="shared" si="21"/>
        <v>8.1243095962583433E-7</v>
      </c>
      <c r="P49" s="40">
        <f t="shared" si="22"/>
        <v>1.7745500142214733E-5</v>
      </c>
      <c r="Q49" s="40">
        <f t="shared" si="23"/>
        <v>6.4519272961819594E-5</v>
      </c>
      <c r="R49" s="9">
        <f t="shared" si="12"/>
        <v>3.9999999999999996E-5</v>
      </c>
      <c r="S49" s="9">
        <f t="shared" si="13"/>
        <v>2.3841941298860177E-7</v>
      </c>
      <c r="T49" s="9">
        <f t="shared" si="10"/>
        <v>3.2318043827472865E-5</v>
      </c>
      <c r="U49" s="9">
        <f t="shared" si="11"/>
        <v>3.9761580587011397E-5</v>
      </c>
      <c r="V49" s="100">
        <f t="shared" si="14"/>
        <v>0.81279575284363703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8"/>
      <c r="B50" s="46" t="s">
        <v>192</v>
      </c>
      <c r="C50" s="46" t="s">
        <v>193</v>
      </c>
      <c r="D50" s="90">
        <v>2.5898400000000001</v>
      </c>
      <c r="E50" s="90">
        <v>2.96393</v>
      </c>
      <c r="F50" s="96">
        <v>9.9999999999999995E-7</v>
      </c>
      <c r="G50" s="138"/>
      <c r="H50" s="138"/>
      <c r="I50" s="92">
        <f t="shared" si="15"/>
        <v>0.50667591684415281</v>
      </c>
      <c r="J50" s="92">
        <f t="shared" si="16"/>
        <v>2.3514817080656072</v>
      </c>
      <c r="K50" s="93">
        <f t="shared" si="17"/>
        <v>0.30267668660893715</v>
      </c>
      <c r="L50" s="93">
        <f t="shared" si="18"/>
        <v>2.2964418287702387E-2</v>
      </c>
      <c r="M50" s="93">
        <f t="shared" si="19"/>
        <v>0.97703558171229765</v>
      </c>
      <c r="N50" s="93">
        <f t="shared" si="20"/>
        <v>1.3359557855712915E-2</v>
      </c>
      <c r="O50" s="40">
        <f t="shared" si="21"/>
        <v>3.0435494458860673E-7</v>
      </c>
      <c r="P50" s="40">
        <f t="shared" si="22"/>
        <v>6.8369447417401951E-5</v>
      </c>
      <c r="Q50" s="40">
        <f t="shared" si="23"/>
        <v>2.8009822826862086E-4</v>
      </c>
      <c r="R50" s="9">
        <f t="shared" si="12"/>
        <v>3.9999999999999996E-5</v>
      </c>
      <c r="S50" s="9">
        <f t="shared" si="13"/>
        <v>9.1857673150809542E-7</v>
      </c>
      <c r="T50" s="9">
        <f t="shared" si="10"/>
        <v>1.2107067464357485E-5</v>
      </c>
      <c r="U50" s="9">
        <f t="shared" si="11"/>
        <v>3.9081423268491905E-5</v>
      </c>
      <c r="V50" s="100">
        <f t="shared" si="14"/>
        <v>0.3097908533468996</v>
      </c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8"/>
      <c r="B51" s="46" t="s">
        <v>194</v>
      </c>
      <c r="C51" s="46" t="s">
        <v>195</v>
      </c>
      <c r="D51" s="90">
        <v>5.0487680000000008</v>
      </c>
      <c r="E51" s="90">
        <v>6.0352960000000007</v>
      </c>
      <c r="F51" s="96">
        <v>9.9999999999999995E-7</v>
      </c>
      <c r="G51" s="138"/>
      <c r="H51" s="138"/>
      <c r="I51" s="92">
        <f t="shared" ref="I51:I70" si="24">IF(D51=0,"",LOG($K$15*10^D51+$K$16*10^E51+$K$14))</f>
        <v>2.9778200964006376</v>
      </c>
      <c r="J51" s="92">
        <f t="shared" ref="J51:J70" si="25">IF(D51=0,"",LOG($K$21*10^D51+$K$22*10^E51+$K$20))</f>
        <v>5.2573793638422401</v>
      </c>
      <c r="K51" s="93">
        <f t="shared" ref="K51:K70" si="26">IF(D51=0,"",1/(1+10^D51*$J$15/$J$14+10^E51*$J$16/$J$14+10^J51*$J$19/$J$14))</f>
        <v>9.840104404368194E-4</v>
      </c>
      <c r="L51" s="93">
        <f t="shared" ref="L51:L70" si="27">IF(D51=0,"",1/(1+10^I51/10^J51*$J$13/$J$19))</f>
        <v>6.0113752620374994E-2</v>
      </c>
      <c r="M51" s="93">
        <f t="shared" ref="M51:M70" si="28">IF(D51=0,"",1-L51)</f>
        <v>0.93988624737962501</v>
      </c>
      <c r="N51" s="93">
        <f t="shared" ref="N51:N70" si="29">IF(D51=0,"",1/(1/10^E51*$J$20/$J$22+10^D51/10^E51*$J$21/$J$22+10^I51/10^E51*$J$13/$J$22+1))</f>
        <v>5.1189256341671395E-2</v>
      </c>
      <c r="O51" s="40">
        <f t="shared" ref="O51:O70" si="30">IF(D51=0,"",F51*K51*$J$7/$J$14)</f>
        <v>9.8946650443779402E-10</v>
      </c>
      <c r="P51" s="40">
        <f t="shared" ref="P51:P70" si="31">IF(D51=0,"",O51*10^J51)</f>
        <v>1.7897009178945072E-4</v>
      </c>
      <c r="Q51" s="40">
        <f t="shared" ref="Q51:Q70" si="32">IF(D51=0,"",F51*N51*$J$7/$J$22)</f>
        <v>1.073240608899275E-3</v>
      </c>
      <c r="R51" s="9">
        <f t="shared" si="12"/>
        <v>3.9999999999999996E-5</v>
      </c>
      <c r="S51" s="9">
        <f t="shared" si="13"/>
        <v>2.4045501048149995E-6</v>
      </c>
      <c r="T51" s="9">
        <f t="shared" si="10"/>
        <v>3.9360417617472772E-8</v>
      </c>
      <c r="U51" s="9">
        <f t="shared" si="11"/>
        <v>3.7595449895184998E-5</v>
      </c>
      <c r="V51" s="100">
        <f t="shared" si="14"/>
        <v>1.0469463120459644E-3</v>
      </c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196</v>
      </c>
      <c r="C52" s="46" t="s">
        <v>197</v>
      </c>
      <c r="D52" s="47">
        <v>2.7330160000000001</v>
      </c>
      <c r="E52" s="47">
        <v>3.3310319999999995</v>
      </c>
      <c r="F52" s="96">
        <v>9.9999999999999995E-7</v>
      </c>
      <c r="G52" s="138"/>
      <c r="H52" s="138"/>
      <c r="I52" s="92">
        <f t="shared" si="24"/>
        <v>0.64393554165863076</v>
      </c>
      <c r="J52" s="92">
        <f t="shared" si="25"/>
        <v>2.638206330325866</v>
      </c>
      <c r="K52" s="93">
        <f t="shared" si="26"/>
        <v>0.21859565513563714</v>
      </c>
      <c r="L52" s="93">
        <f t="shared" si="27"/>
        <v>3.2095387648192336E-2</v>
      </c>
      <c r="M52" s="93">
        <f t="shared" si="28"/>
        <v>0.96790461235180769</v>
      </c>
      <c r="N52" s="93">
        <f t="shared" si="29"/>
        <v>2.2467597732575242E-2</v>
      </c>
      <c r="O52" s="40">
        <f t="shared" si="30"/>
        <v>2.1980770719905383E-7</v>
      </c>
      <c r="P52" s="40">
        <f t="shared" si="31"/>
        <v>9.5554082435839703E-5</v>
      </c>
      <c r="Q52" s="40">
        <f t="shared" si="32"/>
        <v>4.7105857741057584E-4</v>
      </c>
      <c r="R52" s="9">
        <f t="shared" si="12"/>
        <v>3.9999999999999996E-5</v>
      </c>
      <c r="S52" s="9">
        <f t="shared" si="13"/>
        <v>1.2838155059276933E-6</v>
      </c>
      <c r="T52" s="9">
        <f t="shared" si="10"/>
        <v>8.7438262054254851E-6</v>
      </c>
      <c r="U52" s="9">
        <f t="shared" si="11"/>
        <v>3.8716184494072302E-5</v>
      </c>
      <c r="V52" s="100">
        <f t="shared" si="14"/>
        <v>0.22584421269002425</v>
      </c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198</v>
      </c>
      <c r="C53" s="46" t="s">
        <v>199</v>
      </c>
      <c r="D53" s="47">
        <v>3.4406639999999999</v>
      </c>
      <c r="E53" s="47">
        <v>4.222847999999999</v>
      </c>
      <c r="F53" s="96">
        <v>9.9999999999999995E-7</v>
      </c>
      <c r="G53" s="138"/>
      <c r="H53" s="138"/>
      <c r="I53" s="92">
        <f t="shared" si="24"/>
        <v>1.3135143326183101</v>
      </c>
      <c r="J53" s="92">
        <f t="shared" si="25"/>
        <v>3.4821247233434276</v>
      </c>
      <c r="K53" s="93">
        <f t="shared" si="26"/>
        <v>4.6050195590168999E-2</v>
      </c>
      <c r="L53" s="93">
        <f t="shared" si="27"/>
        <v>4.7200975259835153E-2</v>
      </c>
      <c r="M53" s="93">
        <f t="shared" si="28"/>
        <v>0.95279902474016487</v>
      </c>
      <c r="N53" s="93">
        <f t="shared" si="29"/>
        <v>3.6894581894748021E-2</v>
      </c>
      <c r="O53" s="40">
        <f t="shared" si="30"/>
        <v>4.6305531107021677E-8</v>
      </c>
      <c r="P53" s="40">
        <f t="shared" si="31"/>
        <v>1.4052629401048358E-4</v>
      </c>
      <c r="Q53" s="40">
        <f t="shared" si="32"/>
        <v>7.7353660450755915E-4</v>
      </c>
      <c r="R53" s="9">
        <f t="shared" si="12"/>
        <v>3.9999999999999996E-5</v>
      </c>
      <c r="S53" s="9">
        <f t="shared" si="13"/>
        <v>1.888039010393406E-6</v>
      </c>
      <c r="T53" s="9">
        <f t="shared" si="10"/>
        <v>1.8420078236067598E-6</v>
      </c>
      <c r="U53" s="9">
        <f t="shared" si="11"/>
        <v>3.8111960989606591E-5</v>
      </c>
      <c r="V53" s="100">
        <f t="shared" si="14"/>
        <v>4.8331489007062342E-2</v>
      </c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200</v>
      </c>
      <c r="C54" s="46" t="s">
        <v>201</v>
      </c>
      <c r="D54" s="47">
        <v>2.8976480000000002</v>
      </c>
      <c r="E54" s="47">
        <v>3.5312959999999993</v>
      </c>
      <c r="F54" s="96">
        <v>9.9999999999999995E-7</v>
      </c>
      <c r="G54" s="138"/>
      <c r="H54" s="138"/>
      <c r="I54" s="92">
        <f t="shared" si="24"/>
        <v>0.78379345695532832</v>
      </c>
      <c r="J54" s="92">
        <f t="shared" si="25"/>
        <v>2.8279013612794559</v>
      </c>
      <c r="K54" s="93">
        <f t="shared" si="26"/>
        <v>0.15779454186511421</v>
      </c>
      <c r="L54" s="93">
        <f t="shared" si="27"/>
        <v>3.5858168832386003E-2</v>
      </c>
      <c r="M54" s="93">
        <f t="shared" si="28"/>
        <v>0.96414183116761398</v>
      </c>
      <c r="N54" s="93">
        <f t="shared" si="29"/>
        <v>2.5720007494348145E-2</v>
      </c>
      <c r="O54" s="40">
        <f t="shared" si="30"/>
        <v>1.5866946867893778E-7</v>
      </c>
      <c r="P54" s="40">
        <f t="shared" si="31"/>
        <v>1.0675659874140982E-4</v>
      </c>
      <c r="Q54" s="40">
        <f t="shared" si="32"/>
        <v>5.39249023660007E-4</v>
      </c>
      <c r="R54" s="9">
        <f t="shared" si="12"/>
        <v>3.9999999999999996E-5</v>
      </c>
      <c r="S54" s="9">
        <f t="shared" si="13"/>
        <v>1.4343267532954399E-6</v>
      </c>
      <c r="T54" s="9">
        <f t="shared" si="10"/>
        <v>6.3117816746045677E-6</v>
      </c>
      <c r="U54" s="9">
        <f t="shared" si="11"/>
        <v>3.8565673246704555E-5</v>
      </c>
      <c r="V54" s="100">
        <f t="shared" si="14"/>
        <v>0.16366320469055759</v>
      </c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103</v>
      </c>
      <c r="C55" s="46" t="s">
        <v>104</v>
      </c>
      <c r="D55" s="47">
        <v>1.423632</v>
      </c>
      <c r="E55" s="47">
        <v>1.638849</v>
      </c>
      <c r="F55" s="96">
        <v>9.9999999999999995E-7</v>
      </c>
      <c r="G55" s="138"/>
      <c r="H55" s="138"/>
      <c r="I55" s="54">
        <f t="shared" si="24"/>
        <v>5.6400487609719711E-2</v>
      </c>
      <c r="J55" s="54">
        <f t="shared" si="25"/>
        <v>1.1194464580046877</v>
      </c>
      <c r="K55" s="55">
        <f t="shared" si="26"/>
        <v>0.87028215298833556</v>
      </c>
      <c r="L55" s="55">
        <f t="shared" si="27"/>
        <v>3.8699139210316633E-3</v>
      </c>
      <c r="M55" s="55">
        <f t="shared" si="28"/>
        <v>0.99613008607896836</v>
      </c>
      <c r="N55" s="55">
        <f t="shared" si="29"/>
        <v>1.8171559122544024E-3</v>
      </c>
      <c r="O55" s="56">
        <f t="shared" si="30"/>
        <v>8.7510762529074577E-7</v>
      </c>
      <c r="P55" s="56">
        <f t="shared" si="31"/>
        <v>1.1521470869372414E-5</v>
      </c>
      <c r="Q55" s="56">
        <f t="shared" si="32"/>
        <v>3.8098727293781867E-5</v>
      </c>
      <c r="R55" s="9">
        <f t="shared" si="12"/>
        <v>3.9999999999999996E-5</v>
      </c>
      <c r="S55" s="9">
        <f t="shared" si="13"/>
        <v>1.5479655684126652E-7</v>
      </c>
      <c r="T55" s="9">
        <f t="shared" si="10"/>
        <v>3.4811286119533417E-5</v>
      </c>
      <c r="U55" s="9">
        <f t="shared" si="11"/>
        <v>3.9845203443158731E-5</v>
      </c>
      <c r="V55" s="100">
        <f t="shared" si="14"/>
        <v>0.8736631541910318</v>
      </c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202</v>
      </c>
      <c r="C56" s="46" t="s">
        <v>203</v>
      </c>
      <c r="D56" s="47">
        <v>2.6912000000000003</v>
      </c>
      <c r="E56" s="47">
        <v>3.3249699999999995</v>
      </c>
      <c r="F56" s="96">
        <v>9.9999999999999995E-7</v>
      </c>
      <c r="G56" s="138"/>
      <c r="H56" s="138"/>
      <c r="I56" s="54">
        <f t="shared" si="24"/>
        <v>0.61860589125383425</v>
      </c>
      <c r="J56" s="54">
        <f t="shared" si="25"/>
        <v>2.6217835296151417</v>
      </c>
      <c r="K56" s="55">
        <f t="shared" si="26"/>
        <v>0.23157008315528924</v>
      </c>
      <c r="L56" s="55">
        <f t="shared" si="27"/>
        <v>3.2738648777358326E-2</v>
      </c>
      <c r="M56" s="55">
        <f t="shared" si="28"/>
        <v>0.96726135122264167</v>
      </c>
      <c r="N56" s="55">
        <f t="shared" si="29"/>
        <v>2.3471214670638115E-2</v>
      </c>
      <c r="O56" s="56">
        <f t="shared" si="30"/>
        <v>2.3285407481074913E-7</v>
      </c>
      <c r="P56" s="56">
        <f t="shared" si="31"/>
        <v>9.7469193343296246E-5</v>
      </c>
      <c r="Q56" s="56">
        <f t="shared" si="32"/>
        <v>4.921005407186338E-4</v>
      </c>
      <c r="R56" s="9">
        <f t="shared" si="12"/>
        <v>3.9999999999999996E-5</v>
      </c>
      <c r="S56" s="9">
        <f t="shared" si="13"/>
        <v>1.3095459510943328E-6</v>
      </c>
      <c r="T56" s="9">
        <f t="shared" si="10"/>
        <v>9.2628033262115686E-6</v>
      </c>
      <c r="U56" s="9">
        <f t="shared" si="11"/>
        <v>3.8690454048905662E-5</v>
      </c>
      <c r="V56" s="100">
        <f t="shared" si="14"/>
        <v>0.23940797682299522</v>
      </c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7" t="s">
        <v>105</v>
      </c>
      <c r="C57" s="87" t="s">
        <v>106</v>
      </c>
      <c r="D57" s="90">
        <v>2.1493200000000003</v>
      </c>
      <c r="E57" s="90">
        <v>2.6108399999999996</v>
      </c>
      <c r="F57" s="96">
        <v>9.9999999999999995E-7</v>
      </c>
      <c r="G57" s="138"/>
      <c r="H57" s="138"/>
      <c r="I57" s="54">
        <f t="shared" si="24"/>
        <v>0.26171036693668792</v>
      </c>
      <c r="J57" s="54">
        <f t="shared" si="25"/>
        <v>1.9657934893493081</v>
      </c>
      <c r="K57" s="55">
        <f t="shared" si="26"/>
        <v>0.53544347587163699</v>
      </c>
      <c r="L57" s="55">
        <f t="shared" si="27"/>
        <v>1.6714827162903387E-2</v>
      </c>
      <c r="M57" s="55">
        <f t="shared" si="28"/>
        <v>0.9832851728370966</v>
      </c>
      <c r="N57" s="55">
        <f t="shared" si="29"/>
        <v>1.0481821152723156E-2</v>
      </c>
      <c r="O57" s="56">
        <f t="shared" si="30"/>
        <v>5.3841236090903867E-7</v>
      </c>
      <c r="P57" s="56">
        <f t="shared" si="31"/>
        <v>4.9763224240565852E-5</v>
      </c>
      <c r="Q57" s="56">
        <f t="shared" si="32"/>
        <v>2.1976322611985398E-4</v>
      </c>
      <c r="R57" s="9">
        <f t="shared" si="12"/>
        <v>3.9999999999999996E-5</v>
      </c>
      <c r="S57" s="9">
        <f t="shared" si="13"/>
        <v>6.6859308651613545E-7</v>
      </c>
      <c r="T57" s="9">
        <f t="shared" si="10"/>
        <v>2.1417739034865479E-5</v>
      </c>
      <c r="U57" s="9">
        <f t="shared" si="11"/>
        <v>3.9331406913483858E-5</v>
      </c>
      <c r="V57" s="100">
        <f t="shared" si="14"/>
        <v>0.54454545910288565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145</v>
      </c>
      <c r="C58" s="46" t="s">
        <v>146</v>
      </c>
      <c r="D58" s="47">
        <v>2.0184960000000003</v>
      </c>
      <c r="E58" s="47">
        <v>2.3512620000000002</v>
      </c>
      <c r="F58" s="96">
        <v>9.9999999999999995E-7</v>
      </c>
      <c r="G58" s="138"/>
      <c r="H58" s="138"/>
      <c r="I58" s="54">
        <f t="shared" si="24"/>
        <v>0.19893820408979257</v>
      </c>
      <c r="J58" s="54">
        <f t="shared" si="25"/>
        <v>1.7600042430072071</v>
      </c>
      <c r="K58" s="55">
        <f t="shared" si="26"/>
        <v>0.6216234002069303</v>
      </c>
      <c r="L58" s="55">
        <f t="shared" si="27"/>
        <v>1.2081653251742864E-2</v>
      </c>
      <c r="M58" s="55">
        <f t="shared" si="28"/>
        <v>0.98791834674825718</v>
      </c>
      <c r="N58" s="55">
        <f t="shared" si="29"/>
        <v>6.6937959360456089E-3</v>
      </c>
      <c r="O58" s="56">
        <f t="shared" si="30"/>
        <v>6.2507012893729501E-7</v>
      </c>
      <c r="P58" s="56">
        <f t="shared" si="31"/>
        <v>3.596938299772456E-5</v>
      </c>
      <c r="Q58" s="56">
        <f t="shared" si="32"/>
        <v>1.4034299655181343E-4</v>
      </c>
      <c r="R58" s="9">
        <f t="shared" si="12"/>
        <v>3.9999999999999996E-5</v>
      </c>
      <c r="S58" s="9">
        <f t="shared" si="13"/>
        <v>4.8326613006971447E-7</v>
      </c>
      <c r="T58" s="9">
        <f t="shared" si="10"/>
        <v>2.4864936008277211E-5</v>
      </c>
      <c r="U58" s="9">
        <f t="shared" si="11"/>
        <v>3.9516733869930285E-5</v>
      </c>
      <c r="V58" s="100">
        <f t="shared" si="14"/>
        <v>0.62922548432571346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147</v>
      </c>
      <c r="C59" s="46" t="s">
        <v>148</v>
      </c>
      <c r="D59" s="47">
        <v>1.4665360000000003</v>
      </c>
      <c r="E59" s="47">
        <v>1.8522119999999997</v>
      </c>
      <c r="F59" s="96">
        <v>9.9999999999999995E-7</v>
      </c>
      <c r="G59" s="138"/>
      <c r="H59" s="138"/>
      <c r="I59" s="54">
        <f t="shared" si="24"/>
        <v>6.5352597387686409E-2</v>
      </c>
      <c r="J59" s="54">
        <f t="shared" si="25"/>
        <v>1.2491688866071173</v>
      </c>
      <c r="K59" s="55">
        <f t="shared" si="26"/>
        <v>0.8514702527647755</v>
      </c>
      <c r="L59" s="55">
        <f t="shared" si="27"/>
        <v>5.1042640877748445E-3</v>
      </c>
      <c r="M59" s="55">
        <f t="shared" si="28"/>
        <v>0.99489573591222513</v>
      </c>
      <c r="N59" s="55">
        <f t="shared" si="29"/>
        <v>2.9057924691476837E-3</v>
      </c>
      <c r="O59" s="56">
        <f t="shared" si="30"/>
        <v>8.5619141831658434E-7</v>
      </c>
      <c r="P59" s="56">
        <f t="shared" si="31"/>
        <v>1.5196366430084339E-5</v>
      </c>
      <c r="Q59" s="56">
        <f t="shared" si="32"/>
        <v>6.0923222992482355E-5</v>
      </c>
      <c r="R59" s="9">
        <f t="shared" si="12"/>
        <v>3.9999999999999996E-5</v>
      </c>
      <c r="S59" s="9">
        <f t="shared" si="13"/>
        <v>2.0417056351099376E-7</v>
      </c>
      <c r="T59" s="9">
        <f t="shared" si="10"/>
        <v>3.4058810110591014E-5</v>
      </c>
      <c r="U59" s="9">
        <f t="shared" si="11"/>
        <v>3.9795829436489002E-5</v>
      </c>
      <c r="V59" s="100">
        <f t="shared" si="14"/>
        <v>0.85583867940097058</v>
      </c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149</v>
      </c>
      <c r="C60" s="46" t="s">
        <v>150</v>
      </c>
      <c r="D60" s="47">
        <v>2.7203999877244023</v>
      </c>
      <c r="E60" s="47">
        <v>3.3923999825375306</v>
      </c>
      <c r="F60" s="96">
        <v>9.9999999999999995E-7</v>
      </c>
      <c r="G60" s="138"/>
      <c r="H60" s="138"/>
      <c r="I60" s="54">
        <f t="shared" si="24"/>
        <v>0.6487673116742505</v>
      </c>
      <c r="J60" s="54">
        <f t="shared" si="25"/>
        <v>2.6786895992598456</v>
      </c>
      <c r="K60" s="55">
        <f t="shared" si="26"/>
        <v>0.21558516031993485</v>
      </c>
      <c r="L60" s="55">
        <f t="shared" si="27"/>
        <v>3.4745873324430139E-2</v>
      </c>
      <c r="M60" s="55">
        <f t="shared" si="28"/>
        <v>0.96525412667556987</v>
      </c>
      <c r="N60" s="55">
        <f t="shared" si="29"/>
        <v>2.5521251049086282E-2</v>
      </c>
      <c r="O60" s="56">
        <f t="shared" si="30"/>
        <v>2.1678052002754503E-7</v>
      </c>
      <c r="P60" s="56">
        <f t="shared" si="31"/>
        <v>1.0344508314841418E-4</v>
      </c>
      <c r="Q60" s="56">
        <f t="shared" si="32"/>
        <v>5.3508187016764722E-4</v>
      </c>
      <c r="R60" s="9">
        <f t="shared" si="12"/>
        <v>3.9999999999999996E-5</v>
      </c>
      <c r="S60" s="9">
        <f t="shared" si="13"/>
        <v>1.3898349329772055E-6</v>
      </c>
      <c r="T60" s="9">
        <f t="shared" si="10"/>
        <v>8.6234064127973929E-6</v>
      </c>
      <c r="U60" s="9">
        <f t="shared" si="11"/>
        <v>3.8610165067022792E-5</v>
      </c>
      <c r="V60" s="100">
        <f t="shared" si="14"/>
        <v>0.22334549458227271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151</v>
      </c>
      <c r="C61" s="46" t="s">
        <v>152</v>
      </c>
      <c r="D61" s="47">
        <v>3.4658999877244021</v>
      </c>
      <c r="E61" s="47">
        <v>4.4528999825375299</v>
      </c>
      <c r="F61" s="96">
        <v>9.9999999999999995E-7</v>
      </c>
      <c r="G61" s="138"/>
      <c r="H61" s="138"/>
      <c r="I61" s="54">
        <f t="shared" si="24"/>
        <v>1.4117733403846819</v>
      </c>
      <c r="J61" s="54">
        <f t="shared" si="25"/>
        <v>3.6749685564755032</v>
      </c>
      <c r="K61" s="55">
        <f t="shared" si="26"/>
        <v>3.6308887241617321E-2</v>
      </c>
      <c r="L61" s="55">
        <f t="shared" si="27"/>
        <v>5.8019805069230934E-2</v>
      </c>
      <c r="M61" s="55">
        <f t="shared" si="28"/>
        <v>0.94198019493076912</v>
      </c>
      <c r="N61" s="55">
        <f t="shared" si="29"/>
        <v>4.9407859098943012E-2</v>
      </c>
      <c r="O61" s="56">
        <f t="shared" si="30"/>
        <v>3.6510209915090673E-8</v>
      </c>
      <c r="P61" s="56">
        <f t="shared" si="31"/>
        <v>1.7273601108254238E-4</v>
      </c>
      <c r="Q61" s="56">
        <f t="shared" si="32"/>
        <v>1.0358916025234798E-3</v>
      </c>
      <c r="R61" s="9">
        <f t="shared" si="12"/>
        <v>3.9999999999999996E-5</v>
      </c>
      <c r="S61" s="9">
        <f t="shared" si="13"/>
        <v>2.320792202769237E-6</v>
      </c>
      <c r="T61" s="9">
        <f t="shared" si="10"/>
        <v>1.4523554896646927E-6</v>
      </c>
      <c r="U61" s="9">
        <f t="shared" si="11"/>
        <v>3.767920779723076E-5</v>
      </c>
      <c r="V61" s="100">
        <f t="shared" si="14"/>
        <v>3.8545276680987804E-2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153</v>
      </c>
      <c r="C62" s="46" t="s">
        <v>154</v>
      </c>
      <c r="D62" s="47">
        <v>4.1687999877244026</v>
      </c>
      <c r="E62" s="47">
        <v>5.4527999825375302</v>
      </c>
      <c r="F62" s="96">
        <v>9.9999999999999995E-7</v>
      </c>
      <c r="G62" s="138"/>
      <c r="H62" s="138"/>
      <c r="I62" s="54">
        <f t="shared" si="24"/>
        <v>2.2542758302531842</v>
      </c>
      <c r="J62" s="54">
        <f t="shared" si="25"/>
        <v>4.6416780984884465</v>
      </c>
      <c r="K62" s="55">
        <f t="shared" si="26"/>
        <v>5.1197280907529933E-3</v>
      </c>
      <c r="L62" s="55">
        <f t="shared" si="27"/>
        <v>7.5773921592212912E-2</v>
      </c>
      <c r="M62" s="55">
        <f t="shared" si="28"/>
        <v>0.92422607840778714</v>
      </c>
      <c r="N62" s="55">
        <f t="shared" si="29"/>
        <v>6.9651422848349562E-2</v>
      </c>
      <c r="O62" s="56">
        <f t="shared" si="30"/>
        <v>5.1481155579818326E-9</v>
      </c>
      <c r="P62" s="56">
        <f t="shared" si="31"/>
        <v>2.2559339770794034E-4</v>
      </c>
      <c r="Q62" s="56">
        <f t="shared" si="32"/>
        <v>1.4603207940649444E-3</v>
      </c>
      <c r="R62" s="9">
        <f t="shared" si="12"/>
        <v>3.9999999999999996E-5</v>
      </c>
      <c r="S62" s="9">
        <f t="shared" si="13"/>
        <v>3.030956863688516E-6</v>
      </c>
      <c r="T62" s="9">
        <f t="shared" si="10"/>
        <v>2.0478912363011971E-7</v>
      </c>
      <c r="U62" s="9">
        <f t="shared" si="11"/>
        <v>3.6969043136311483E-5</v>
      </c>
      <c r="V62" s="100">
        <f t="shared" si="14"/>
        <v>5.5394759035289481E-3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155</v>
      </c>
      <c r="C63" s="46" t="s">
        <v>156</v>
      </c>
      <c r="D63" s="47">
        <v>4.999499987724402</v>
      </c>
      <c r="E63" s="47">
        <v>6.6344999825375304</v>
      </c>
      <c r="F63" s="96">
        <v>9.9999999999999995E-7</v>
      </c>
      <c r="G63" s="138"/>
      <c r="H63" s="138"/>
      <c r="I63" s="54">
        <f t="shared" si="24"/>
        <v>3.3259932392561606</v>
      </c>
      <c r="J63" s="54">
        <f t="shared" si="25"/>
        <v>5.8034741934365162</v>
      </c>
      <c r="K63" s="55">
        <f t="shared" si="26"/>
        <v>4.2658924075175756E-4</v>
      </c>
      <c r="L63" s="55">
        <f t="shared" si="27"/>
        <v>9.1638687570255853E-2</v>
      </c>
      <c r="M63" s="55">
        <f t="shared" si="28"/>
        <v>0.90836131242974416</v>
      </c>
      <c r="N63" s="55">
        <f t="shared" si="29"/>
        <v>8.8184649718894545E-2</v>
      </c>
      <c r="O63" s="56">
        <f t="shared" si="30"/>
        <v>4.2895455935410444E-10</v>
      </c>
      <c r="P63" s="56">
        <f t="shared" si="31"/>
        <v>2.7282582788476061E-4</v>
      </c>
      <c r="Q63" s="56">
        <f t="shared" si="32"/>
        <v>1.848890840065395E-3</v>
      </c>
      <c r="R63" s="9">
        <f t="shared" si="12"/>
        <v>3.9999999999999996E-5</v>
      </c>
      <c r="S63" s="9">
        <f t="shared" si="13"/>
        <v>3.6655475028102336E-6</v>
      </c>
      <c r="T63" s="9">
        <f t="shared" si="10"/>
        <v>1.70635696300703E-8</v>
      </c>
      <c r="U63" s="9">
        <f t="shared" si="11"/>
        <v>3.6334452497189764E-5</v>
      </c>
      <c r="V63" s="100">
        <f t="shared" si="14"/>
        <v>4.6962506539461571E-4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157</v>
      </c>
      <c r="C64" s="46" t="s">
        <v>158</v>
      </c>
      <c r="D64" s="47">
        <v>4.4669999877244022</v>
      </c>
      <c r="E64" s="47">
        <v>5.8769999825375301</v>
      </c>
      <c r="F64" s="96">
        <v>9.9999999999999995E-7</v>
      </c>
      <c r="G64" s="138"/>
      <c r="H64" s="138"/>
      <c r="I64" s="54">
        <f t="shared" si="24"/>
        <v>2.6313958666363746</v>
      </c>
      <c r="J64" s="54">
        <f t="shared" si="25"/>
        <v>5.0569476970919887</v>
      </c>
      <c r="K64" s="55">
        <f t="shared" si="26"/>
        <v>2.1336138123348417E-3</v>
      </c>
      <c r="L64" s="55">
        <f t="shared" si="27"/>
        <v>8.2159593313280252E-2</v>
      </c>
      <c r="M64" s="55">
        <f t="shared" si="28"/>
        <v>0.91784040668671973</v>
      </c>
      <c r="N64" s="55">
        <f t="shared" si="29"/>
        <v>7.7090153545153028E-2</v>
      </c>
      <c r="O64" s="56">
        <f t="shared" si="30"/>
        <v>2.1454441070503069E-9</v>
      </c>
      <c r="P64" s="56">
        <f t="shared" si="31"/>
        <v>2.4460475873998105E-4</v>
      </c>
      <c r="Q64" s="56">
        <f t="shared" si="32"/>
        <v>1.6162821897372616E-3</v>
      </c>
      <c r="R64" s="9">
        <f t="shared" si="12"/>
        <v>3.9999999999999996E-5</v>
      </c>
      <c r="S64" s="9">
        <f t="shared" si="13"/>
        <v>3.2863837325312098E-6</v>
      </c>
      <c r="T64" s="9">
        <f t="shared" si="10"/>
        <v>8.5344552493393665E-8</v>
      </c>
      <c r="U64" s="9">
        <f t="shared" si="11"/>
        <v>3.6713616267468784E-5</v>
      </c>
      <c r="V64" s="100">
        <f t="shared" si="14"/>
        <v>2.3246021822430985E-3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159</v>
      </c>
      <c r="C65" s="46" t="s">
        <v>160</v>
      </c>
      <c r="D65" s="47">
        <v>4.2539999877244021</v>
      </c>
      <c r="E65" s="47">
        <v>5.5739999825375302</v>
      </c>
      <c r="F65" s="96">
        <v>9.9999999999999995E-7</v>
      </c>
      <c r="G65" s="138"/>
      <c r="H65" s="138"/>
      <c r="I65" s="54">
        <f t="shared" si="24"/>
        <v>2.3610319672695166</v>
      </c>
      <c r="J65" s="54">
        <f t="shared" si="25"/>
        <v>4.7600765897084454</v>
      </c>
      <c r="K65" s="55">
        <f t="shared" si="26"/>
        <v>3.9957431210452012E-3</v>
      </c>
      <c r="L65" s="55">
        <f t="shared" si="27"/>
        <v>7.7672792593390425E-2</v>
      </c>
      <c r="M65" s="55">
        <f t="shared" si="28"/>
        <v>0.92232720740660956</v>
      </c>
      <c r="N65" s="55">
        <f t="shared" si="29"/>
        <v>7.1858915244213825E-2</v>
      </c>
      <c r="O65" s="56">
        <f t="shared" si="30"/>
        <v>4.0178984044690218E-9</v>
      </c>
      <c r="P65" s="56">
        <f t="shared" si="31"/>
        <v>2.3124669836816042E-4</v>
      </c>
      <c r="Q65" s="56">
        <f t="shared" si="32"/>
        <v>1.5066033668623385E-3</v>
      </c>
      <c r="R65" s="9">
        <f t="shared" si="12"/>
        <v>3.9999999999999996E-5</v>
      </c>
      <c r="S65" s="9">
        <f t="shared" si="13"/>
        <v>3.1069117037356168E-6</v>
      </c>
      <c r="T65" s="9">
        <f t="shared" si="10"/>
        <v>1.5982972484180803E-7</v>
      </c>
      <c r="U65" s="9">
        <f t="shared" si="11"/>
        <v>3.6893088296264378E-5</v>
      </c>
      <c r="V65" s="100">
        <f t="shared" si="14"/>
        <v>4.3322403252966935E-3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161</v>
      </c>
      <c r="C66" s="46" t="s">
        <v>162</v>
      </c>
      <c r="D66" s="47">
        <v>4.4669999877244022</v>
      </c>
      <c r="E66" s="47">
        <v>5.8769999825375301</v>
      </c>
      <c r="F66" s="96">
        <v>9.9999999999999995E-7</v>
      </c>
      <c r="G66" s="138"/>
      <c r="H66" s="138"/>
      <c r="I66" s="54">
        <f t="shared" si="24"/>
        <v>2.6313958666363746</v>
      </c>
      <c r="J66" s="54">
        <f t="shared" si="25"/>
        <v>5.0569476970919887</v>
      </c>
      <c r="K66" s="55">
        <f t="shared" si="26"/>
        <v>2.1336138123348417E-3</v>
      </c>
      <c r="L66" s="55">
        <f t="shared" si="27"/>
        <v>8.2159593313280252E-2</v>
      </c>
      <c r="M66" s="55">
        <f t="shared" si="28"/>
        <v>0.91784040668671973</v>
      </c>
      <c r="N66" s="55">
        <f t="shared" si="29"/>
        <v>7.7090153545153028E-2</v>
      </c>
      <c r="O66" s="56">
        <f t="shared" si="30"/>
        <v>2.1454441070503069E-9</v>
      </c>
      <c r="P66" s="56">
        <f t="shared" si="31"/>
        <v>2.4460475873998105E-4</v>
      </c>
      <c r="Q66" s="56">
        <f t="shared" si="32"/>
        <v>1.6162821897372616E-3</v>
      </c>
      <c r="R66" s="9">
        <f t="shared" si="12"/>
        <v>3.9999999999999996E-5</v>
      </c>
      <c r="S66" s="9">
        <f t="shared" si="13"/>
        <v>3.2863837325312098E-6</v>
      </c>
      <c r="T66" s="9">
        <f t="shared" si="10"/>
        <v>8.5344552493393665E-8</v>
      </c>
      <c r="U66" s="9">
        <f t="shared" si="11"/>
        <v>3.6713616267468784E-5</v>
      </c>
      <c r="V66" s="100">
        <f t="shared" si="14"/>
        <v>2.3246021822430985E-3</v>
      </c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115</v>
      </c>
      <c r="C67" s="46" t="s">
        <v>116</v>
      </c>
      <c r="D67" s="47">
        <v>-0.73745450190951667</v>
      </c>
      <c r="E67" s="47">
        <v>-1.5265197844064957</v>
      </c>
      <c r="F67" s="96">
        <v>9.9999999999999995E-7</v>
      </c>
      <c r="G67" s="138"/>
      <c r="H67" s="138"/>
      <c r="I67" s="54">
        <f t="shared" si="24"/>
        <v>-1.8671766444063711E-3</v>
      </c>
      <c r="J67" s="54">
        <f t="shared" si="25"/>
        <v>-0.17642537119776203</v>
      </c>
      <c r="K67" s="55">
        <f t="shared" si="26"/>
        <v>0.99888172926941088</v>
      </c>
      <c r="L67" s="55">
        <f t="shared" si="27"/>
        <v>2.2474159970210444E-4</v>
      </c>
      <c r="M67" s="55">
        <f t="shared" si="28"/>
        <v>0.99977525840029791</v>
      </c>
      <c r="N67" s="55">
        <f t="shared" si="29"/>
        <v>1.4252052024846364E-6</v>
      </c>
      <c r="O67" s="56">
        <f t="shared" si="30"/>
        <v>1.0044202504276608E-6</v>
      </c>
      <c r="P67" s="56">
        <f t="shared" si="31"/>
        <v>6.6909855023691798E-7</v>
      </c>
      <c r="Q67" s="56">
        <f t="shared" si="32"/>
        <v>2.9881037714467463E-8</v>
      </c>
      <c r="R67" s="9">
        <f t="shared" si="12"/>
        <v>3.9999999999999996E-5</v>
      </c>
      <c r="S67" s="9">
        <f t="shared" si="13"/>
        <v>8.9896639880841773E-9</v>
      </c>
      <c r="T67" s="9">
        <f t="shared" si="10"/>
        <v>3.9955269170776433E-5</v>
      </c>
      <c r="U67" s="9">
        <f t="shared" si="11"/>
        <v>3.999101033601191E-5</v>
      </c>
      <c r="V67" s="100">
        <f t="shared" si="14"/>
        <v>0.99910627001080554</v>
      </c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117</v>
      </c>
      <c r="C68" s="46" t="s">
        <v>118</v>
      </c>
      <c r="D68" s="47">
        <v>4.7386560000000006</v>
      </c>
      <c r="E68" s="47">
        <v>5.8355820000000005</v>
      </c>
      <c r="F68" s="96">
        <v>9.9999999999999995E-7</v>
      </c>
      <c r="G68" s="138"/>
      <c r="H68" s="138"/>
      <c r="I68" s="54">
        <f t="shared" si="24"/>
        <v>2.7194923137791687</v>
      </c>
      <c r="J68" s="54">
        <f t="shared" si="25"/>
        <v>5.0429475645742867</v>
      </c>
      <c r="K68" s="55">
        <f t="shared" si="26"/>
        <v>1.772391309739127E-3</v>
      </c>
      <c r="L68" s="55">
        <f t="shared" si="27"/>
        <v>6.6084855714625385E-2</v>
      </c>
      <c r="M68" s="55">
        <f t="shared" si="28"/>
        <v>0.93391514428537459</v>
      </c>
      <c r="N68" s="55">
        <f t="shared" si="29"/>
        <v>5.8213635992677287E-2</v>
      </c>
      <c r="O68" s="56">
        <f t="shared" si="30"/>
        <v>1.7822187262210245E-9</v>
      </c>
      <c r="P68" s="56">
        <f t="shared" si="31"/>
        <v>1.9674720305400467E-4</v>
      </c>
      <c r="Q68" s="56">
        <f t="shared" si="32"/>
        <v>1.2205146666325209E-3</v>
      </c>
      <c r="R68" s="9">
        <f t="shared" si="12"/>
        <v>3.9999999999999996E-5</v>
      </c>
      <c r="S68" s="9">
        <f t="shared" si="13"/>
        <v>2.6433942285850149E-6</v>
      </c>
      <c r="T68" s="9">
        <f t="shared" si="10"/>
        <v>7.0895652389565074E-8</v>
      </c>
      <c r="U68" s="9">
        <f t="shared" si="11"/>
        <v>3.7356605771414983E-5</v>
      </c>
      <c r="V68" s="100">
        <f t="shared" si="14"/>
        <v>1.8978076547793309E-3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119</v>
      </c>
      <c r="C69" s="46" t="s">
        <v>120</v>
      </c>
      <c r="D69" s="47">
        <v>2.3724999877244022</v>
      </c>
      <c r="E69" s="47">
        <v>2.8974999825375303</v>
      </c>
      <c r="F69" s="96">
        <v>9.9999999999999995E-7</v>
      </c>
      <c r="G69" s="138"/>
      <c r="H69" s="138"/>
      <c r="I69" s="54">
        <f t="shared" si="24"/>
        <v>0.38500856866688477</v>
      </c>
      <c r="J69" s="54">
        <f t="shared" si="25"/>
        <v>2.2287889533331362</v>
      </c>
      <c r="K69" s="55">
        <f t="shared" si="26"/>
        <v>0.40056208595627907</v>
      </c>
      <c r="L69" s="55">
        <f t="shared" si="27"/>
        <v>2.2911502102788545E-2</v>
      </c>
      <c r="M69" s="55">
        <f t="shared" si="28"/>
        <v>0.97708849789721142</v>
      </c>
      <c r="N69" s="55">
        <f t="shared" si="29"/>
        <v>1.5172352932929043E-2</v>
      </c>
      <c r="O69" s="56">
        <f t="shared" si="30"/>
        <v>4.0278309122973037E-7</v>
      </c>
      <c r="P69" s="56">
        <f t="shared" si="31"/>
        <v>6.8211905855640147E-5</v>
      </c>
      <c r="Q69" s="56">
        <f t="shared" si="32"/>
        <v>3.1810552572758446E-4</v>
      </c>
      <c r="R69" s="9">
        <f t="shared" si="12"/>
        <v>3.9999999999999996E-5</v>
      </c>
      <c r="S69" s="9">
        <f t="shared" si="13"/>
        <v>9.1646008411154172E-7</v>
      </c>
      <c r="T69" s="9">
        <f t="shared" si="10"/>
        <v>1.6022483438251162E-5</v>
      </c>
      <c r="U69" s="9">
        <f t="shared" si="11"/>
        <v>3.9083539915888451E-5</v>
      </c>
      <c r="V69" s="100">
        <f t="shared" si="14"/>
        <v>0.40995476542639409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113</v>
      </c>
      <c r="C70" s="46" t="s">
        <v>114</v>
      </c>
      <c r="D70" s="47">
        <v>3.3511520000000004</v>
      </c>
      <c r="E70" s="47">
        <v>4.2962190000000007</v>
      </c>
      <c r="F70" s="96">
        <v>9.9999999999999995E-7</v>
      </c>
      <c r="G70" s="138"/>
      <c r="H70" s="138"/>
      <c r="I70" s="54">
        <f t="shared" si="24"/>
        <v>1.2852308448323728</v>
      </c>
      <c r="J70" s="54">
        <f t="shared" si="25"/>
        <v>3.5247920710512646</v>
      </c>
      <c r="K70" s="55">
        <f t="shared" si="26"/>
        <v>4.8740736343655812E-2</v>
      </c>
      <c r="L70" s="55">
        <f t="shared" si="27"/>
        <v>5.5116156747484601E-2</v>
      </c>
      <c r="M70" s="55">
        <f t="shared" si="28"/>
        <v>0.9448838432525154</v>
      </c>
      <c r="N70" s="55">
        <f t="shared" si="29"/>
        <v>4.6237484624915046E-2</v>
      </c>
      <c r="O70" s="56">
        <f t="shared" si="30"/>
        <v>4.9010990160096584E-8</v>
      </c>
      <c r="P70" s="56">
        <f t="shared" si="31"/>
        <v>1.6409129695283271E-4</v>
      </c>
      <c r="Q70" s="56">
        <f t="shared" si="32"/>
        <v>9.6942111879084992E-4</v>
      </c>
      <c r="R70" s="9">
        <f t="shared" si="12"/>
        <v>3.9999999999999996E-5</v>
      </c>
      <c r="S70" s="9">
        <f t="shared" si="13"/>
        <v>2.2046462698993839E-6</v>
      </c>
      <c r="T70" s="9">
        <f t="shared" si="10"/>
        <v>1.9496294537462322E-6</v>
      </c>
      <c r="U70" s="9">
        <f t="shared" si="11"/>
        <v>3.779535373010061E-5</v>
      </c>
      <c r="V70" s="100">
        <f t="shared" si="14"/>
        <v>5.1583839317093816E-2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121</v>
      </c>
      <c r="C71" s="46" t="s">
        <v>122</v>
      </c>
      <c r="D71" s="47">
        <v>5.9183200000000005</v>
      </c>
      <c r="E71" s="47">
        <v>7.0401399999999992</v>
      </c>
      <c r="F71" s="96">
        <v>9.9999999999999995E-7</v>
      </c>
      <c r="G71" s="138"/>
      <c r="H71" s="138"/>
      <c r="I71" s="54">
        <f t="shared" ref="I71:I122" si="33">IF(D71=0,"",LOG($K$15*10^D71+$K$16*10^E71+$K$14))</f>
        <v>3.9109447814528924</v>
      </c>
      <c r="J71" s="54">
        <f t="shared" ref="J71:J122" si="34">IF(D71=0,"",LOG($K$21*10^D71+$K$22*10^E71+$K$20))</f>
        <v>6.2446121134706578</v>
      </c>
      <c r="K71" s="55">
        <f t="shared" ref="K71:K122" si="35">IF(D71=0,"",1/(1+10^D71*$J$15/$J$14+10^E71*$J$16/$J$14+10^J71*$J$19/$J$14))</f>
        <v>1.1387406384227106E-4</v>
      </c>
      <c r="L71" s="55">
        <f t="shared" ref="L71:L122" si="36">IF(D71=0,"",1/(1+10^I71/10^J71*$J$13/$J$19))</f>
        <v>6.7550987584961711E-2</v>
      </c>
      <c r="M71" s="55">
        <f t="shared" si="19"/>
        <v>0.9324490124150383</v>
      </c>
      <c r="N71" s="55">
        <f t="shared" ref="N71:N122" si="37">IF(D71=0,"",1/(1/10^E71*$J$20/$J$22+10^D71/10^E71*$J$21/$J$22+10^I71/10^E71*$J$13/$J$22+1))</f>
        <v>5.9902911836081693E-2</v>
      </c>
      <c r="O71" s="56">
        <f t="shared" si="21"/>
        <v>1.1450546383036336E-10</v>
      </c>
      <c r="P71" s="56">
        <f t="shared" ref="P71:P122" si="38">IF(D71=0,"",O71*10^J71)</f>
        <v>2.0111215689520913E-4</v>
      </c>
      <c r="Q71" s="56">
        <f t="shared" ref="Q71:Q122" si="39">IF(D71=0,"",F71*N71*$J$7/$J$22)</f>
        <v>1.2559322437638045E-3</v>
      </c>
      <c r="R71" s="9">
        <f t="shared" si="12"/>
        <v>3.9999999999999996E-5</v>
      </c>
      <c r="S71" s="9">
        <f t="shared" si="13"/>
        <v>2.7020395033984684E-6</v>
      </c>
      <c r="T71" s="9">
        <f t="shared" si="10"/>
        <v>4.5549625536908416E-9</v>
      </c>
      <c r="U71" s="9">
        <f t="shared" si="11"/>
        <v>3.7297960496601531E-5</v>
      </c>
      <c r="V71" s="100">
        <f t="shared" si="14"/>
        <v>1.221236360659955E-4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123</v>
      </c>
      <c r="C72" s="46" t="s">
        <v>124</v>
      </c>
      <c r="D72" s="47">
        <v>5.5295200000000007</v>
      </c>
      <c r="E72" s="47">
        <v>6.5305900000000001</v>
      </c>
      <c r="F72" s="96">
        <v>9.9999999999999995E-7</v>
      </c>
      <c r="G72" s="138"/>
      <c r="H72" s="138"/>
      <c r="I72" s="54">
        <f t="shared" si="33"/>
        <v>3.4646398062685493</v>
      </c>
      <c r="J72" s="54">
        <f t="shared" si="34"/>
        <v>5.7505440288504071</v>
      </c>
      <c r="K72" s="55">
        <f t="shared" si="35"/>
        <v>3.2047632178870147E-4</v>
      </c>
      <c r="L72" s="55">
        <f t="shared" si="36"/>
        <v>6.0944531926788136E-2</v>
      </c>
      <c r="M72" s="55">
        <f t="shared" si="19"/>
        <v>0.93905546807321183</v>
      </c>
      <c r="N72" s="55">
        <f t="shared" si="37"/>
        <v>5.2151771044781553E-2</v>
      </c>
      <c r="O72" s="56">
        <f t="shared" si="21"/>
        <v>3.2225327379106019E-10</v>
      </c>
      <c r="P72" s="56">
        <f t="shared" si="38"/>
        <v>1.8144348002832036E-4</v>
      </c>
      <c r="Q72" s="56">
        <f t="shared" si="39"/>
        <v>1.0934208174013377E-3</v>
      </c>
      <c r="R72" s="9">
        <f t="shared" si="12"/>
        <v>3.9999999999999996E-5</v>
      </c>
      <c r="S72" s="9">
        <f t="shared" si="13"/>
        <v>2.4377812770715251E-6</v>
      </c>
      <c r="T72" s="9">
        <f t="shared" si="10"/>
        <v>1.2819052871548058E-8</v>
      </c>
      <c r="U72" s="9">
        <f t="shared" si="11"/>
        <v>3.7562218722928472E-5</v>
      </c>
      <c r="V72" s="100">
        <f t="shared" si="14"/>
        <v>3.4127517775522508E-4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125</v>
      </c>
      <c r="C73" s="46" t="s">
        <v>126</v>
      </c>
      <c r="D73" s="47">
        <v>5.4845040000000003</v>
      </c>
      <c r="E73" s="47">
        <v>6.5678879999999999</v>
      </c>
      <c r="F73" s="96">
        <v>9.9999999999999995E-7</v>
      </c>
      <c r="G73" s="138"/>
      <c r="H73" s="138"/>
      <c r="I73" s="54">
        <f t="shared" si="33"/>
        <v>3.4579829545014036</v>
      </c>
      <c r="J73" s="54">
        <f t="shared" si="34"/>
        <v>5.7768867999222078</v>
      </c>
      <c r="K73" s="55">
        <f t="shared" si="35"/>
        <v>3.2386818148965761E-4</v>
      </c>
      <c r="L73" s="55">
        <f t="shared" si="36"/>
        <v>6.5440988714383544E-2</v>
      </c>
      <c r="M73" s="55">
        <f t="shared" si="19"/>
        <v>0.93455901128561647</v>
      </c>
      <c r="N73" s="55">
        <f t="shared" si="37"/>
        <v>5.7430076754036302E-2</v>
      </c>
      <c r="O73" s="56">
        <f t="shared" si="21"/>
        <v>3.2566394040996174E-10</v>
      </c>
      <c r="P73" s="56">
        <f t="shared" si="38"/>
        <v>1.948302883529513E-4</v>
      </c>
      <c r="Q73" s="56">
        <f t="shared" si="39"/>
        <v>1.2040864616831336E-3</v>
      </c>
      <c r="R73" s="9">
        <f t="shared" si="12"/>
        <v>3.9999999999999996E-5</v>
      </c>
      <c r="S73" s="9">
        <f t="shared" si="13"/>
        <v>2.6176395485753417E-6</v>
      </c>
      <c r="T73" s="9">
        <f t="shared" si="10"/>
        <v>1.2954727259586303E-8</v>
      </c>
      <c r="U73" s="9">
        <f t="shared" si="11"/>
        <v>3.7382360451424658E-5</v>
      </c>
      <c r="V73" s="100">
        <f t="shared" si="14"/>
        <v>3.4654652898176186E-4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127</v>
      </c>
      <c r="C74" s="46" t="s">
        <v>128</v>
      </c>
      <c r="D74" s="47">
        <v>2.7195840000000011</v>
      </c>
      <c r="E74" s="47">
        <v>3.2500779999999994</v>
      </c>
      <c r="F74" s="96">
        <v>9.9999999999999995E-7</v>
      </c>
      <c r="G74" s="138"/>
      <c r="H74" s="138"/>
      <c r="I74" s="54">
        <f t="shared" si="33"/>
        <v>0.62193942428688143</v>
      </c>
      <c r="J74" s="54">
        <f t="shared" si="34"/>
        <v>2.5786532271571372</v>
      </c>
      <c r="K74" s="55">
        <f t="shared" si="35"/>
        <v>0.23056529470465403</v>
      </c>
      <c r="L74" s="55">
        <f t="shared" si="36"/>
        <v>2.9514941955844119E-2</v>
      </c>
      <c r="M74" s="55">
        <f t="shared" si="19"/>
        <v>0.97048505804415586</v>
      </c>
      <c r="N74" s="55">
        <f t="shared" si="37"/>
        <v>1.9667766821045648E-2</v>
      </c>
      <c r="O74" s="56">
        <f t="shared" si="21"/>
        <v>2.3184371508782977E-7</v>
      </c>
      <c r="P74" s="56">
        <f t="shared" si="38"/>
        <v>8.7871604096253841E-5</v>
      </c>
      <c r="Q74" s="56">
        <f t="shared" si="39"/>
        <v>4.1235695822219832E-4</v>
      </c>
      <c r="R74" s="9">
        <f t="shared" si="12"/>
        <v>3.9999999999999996E-5</v>
      </c>
      <c r="S74" s="9">
        <f t="shared" si="13"/>
        <v>1.1805976782337646E-6</v>
      </c>
      <c r="T74" s="9">
        <f t="shared" si="10"/>
        <v>9.2226117881861605E-6</v>
      </c>
      <c r="U74" s="9">
        <f t="shared" si="11"/>
        <v>3.8819402321766229E-5</v>
      </c>
      <c r="V74" s="100">
        <f t="shared" si="14"/>
        <v>0.23757737720281685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81</v>
      </c>
      <c r="C75" s="46" t="s">
        <v>82</v>
      </c>
      <c r="D75" s="47">
        <v>3.9841999877244016</v>
      </c>
      <c r="E75" s="47">
        <v>5.1901999825375293</v>
      </c>
      <c r="F75" s="96">
        <v>9.9999999999999995E-7</v>
      </c>
      <c r="G75" s="138"/>
      <c r="H75" s="138"/>
      <c r="I75" s="54">
        <f t="shared" si="33"/>
        <v>2.0259693417507676</v>
      </c>
      <c r="J75" s="54">
        <f t="shared" si="34"/>
        <v>4.3859314040665449</v>
      </c>
      <c r="K75" s="55">
        <f t="shared" si="35"/>
        <v>8.7010767626603761E-3</v>
      </c>
      <c r="L75" s="55">
        <f t="shared" si="36"/>
        <v>7.1465950424535241E-2</v>
      </c>
      <c r="M75" s="55">
        <f t="shared" si="19"/>
        <v>0.92853404957546481</v>
      </c>
      <c r="N75" s="55">
        <f t="shared" si="37"/>
        <v>6.4663036783348907E-2</v>
      </c>
      <c r="O75" s="56">
        <f t="shared" si="21"/>
        <v>8.7493218114358674E-9</v>
      </c>
      <c r="P75" s="56">
        <f t="shared" si="38"/>
        <v>2.1276774697582721E-4</v>
      </c>
      <c r="Q75" s="56">
        <f t="shared" si="39"/>
        <v>1.3557336427671893E-3</v>
      </c>
      <c r="R75" s="9">
        <f t="shared" si="12"/>
        <v>3.9999999999999996E-5</v>
      </c>
      <c r="S75" s="9">
        <f t="shared" si="13"/>
        <v>2.8586380169814095E-6</v>
      </c>
      <c r="T75" s="9">
        <f t="shared" si="10"/>
        <v>3.4804307050641501E-7</v>
      </c>
      <c r="U75" s="9">
        <f t="shared" si="11"/>
        <v>3.7141361983018588E-5</v>
      </c>
      <c r="V75" s="100">
        <f t="shared" si="14"/>
        <v>9.370767573508583E-3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129</v>
      </c>
      <c r="C76" s="46" t="s">
        <v>130</v>
      </c>
      <c r="D76" s="47">
        <v>4.10616</v>
      </c>
      <c r="E76" s="47">
        <v>5.1108449999999994</v>
      </c>
      <c r="F76" s="96">
        <v>9.9999999999999995E-7</v>
      </c>
      <c r="G76" s="138"/>
      <c r="H76" s="138"/>
      <c r="I76" s="54">
        <f t="shared" si="33"/>
        <v>2.0466328175843658</v>
      </c>
      <c r="J76" s="54">
        <f t="shared" si="34"/>
        <v>4.3302914014280267</v>
      </c>
      <c r="K76" s="55">
        <f t="shared" si="35"/>
        <v>8.3934298247150627E-3</v>
      </c>
      <c r="L76" s="55">
        <f t="shared" si="36"/>
        <v>6.0649277944452004E-2</v>
      </c>
      <c r="M76" s="55">
        <f t="shared" si="19"/>
        <v>0.93935072205554804</v>
      </c>
      <c r="N76" s="55">
        <f t="shared" si="37"/>
        <v>5.1959812799129181E-2</v>
      </c>
      <c r="O76" s="56">
        <f t="shared" si="21"/>
        <v>8.4399690568506526E-9</v>
      </c>
      <c r="P76" s="56">
        <f t="shared" si="38"/>
        <v>1.8056445268405181E-4</v>
      </c>
      <c r="Q76" s="56">
        <f t="shared" si="39"/>
        <v>1.0893961958465313E-3</v>
      </c>
      <c r="R76" s="9">
        <f t="shared" si="12"/>
        <v>3.9999999999999996E-5</v>
      </c>
      <c r="S76" s="9">
        <f t="shared" si="13"/>
        <v>2.4259711177780801E-6</v>
      </c>
      <c r="T76" s="9">
        <f t="shared" si="10"/>
        <v>3.3573719298860248E-7</v>
      </c>
      <c r="U76" s="9">
        <f t="shared" si="11"/>
        <v>3.7574028882221921E-5</v>
      </c>
      <c r="V76" s="100">
        <f t="shared" si="14"/>
        <v>8.9353525021495881E-3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131</v>
      </c>
      <c r="C77" s="46" t="s">
        <v>132</v>
      </c>
      <c r="D77" s="47">
        <v>2.8295519999999996</v>
      </c>
      <c r="E77" s="47">
        <v>3.5791989999999991</v>
      </c>
      <c r="F77" s="96">
        <v>9.9999999999999995E-7</v>
      </c>
      <c r="G77" s="138"/>
      <c r="H77" s="138"/>
      <c r="I77" s="54">
        <f t="shared" si="33"/>
        <v>0.75425121724867172</v>
      </c>
      <c r="J77" s="54">
        <f t="shared" si="34"/>
        <v>2.8460801477665378</v>
      </c>
      <c r="K77" s="55">
        <f t="shared" si="35"/>
        <v>0.16820125413377615</v>
      </c>
      <c r="L77" s="55">
        <f t="shared" si="36"/>
        <v>3.9856957815779401E-2</v>
      </c>
      <c r="M77" s="55">
        <f t="shared" si="19"/>
        <v>0.96014304218422064</v>
      </c>
      <c r="N77" s="55">
        <f t="shared" si="37"/>
        <v>3.0613384316884526E-2</v>
      </c>
      <c r="O77" s="56">
        <f t="shared" si="21"/>
        <v>1.6913388327050636E-7</v>
      </c>
      <c r="P77" s="56">
        <f t="shared" si="38"/>
        <v>1.1866175521906407E-4</v>
      </c>
      <c r="Q77" s="56">
        <f t="shared" si="39"/>
        <v>6.4184419881822201E-4</v>
      </c>
      <c r="R77" s="9">
        <f t="shared" si="12"/>
        <v>3.9999999999999996E-5</v>
      </c>
      <c r="S77" s="9">
        <f t="shared" si="13"/>
        <v>1.5942783126311759E-6</v>
      </c>
      <c r="T77" s="9">
        <f t="shared" si="10"/>
        <v>6.7280501653510456E-6</v>
      </c>
      <c r="U77" s="9">
        <f t="shared" si="11"/>
        <v>3.8405721687368824E-5</v>
      </c>
      <c r="V77" s="100">
        <f t="shared" si="14"/>
        <v>0.1751835369770911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83</v>
      </c>
      <c r="C78" s="46" t="s">
        <v>84</v>
      </c>
      <c r="D78" s="47">
        <v>3.03</v>
      </c>
      <c r="E78" s="47">
        <v>3.96</v>
      </c>
      <c r="F78" s="96">
        <v>9.9999999999999995E-7</v>
      </c>
      <c r="G78" s="7"/>
      <c r="H78" s="7"/>
      <c r="I78" s="54">
        <f t="shared" si="33"/>
        <v>0.98244102051051041</v>
      </c>
      <c r="J78" s="54">
        <f t="shared" si="34"/>
        <v>3.1911261573025951</v>
      </c>
      <c r="K78" s="55">
        <f t="shared" si="35"/>
        <v>9.824890325401843E-2</v>
      </c>
      <c r="L78" s="55">
        <f t="shared" si="36"/>
        <v>5.1528634984080772E-2</v>
      </c>
      <c r="M78" s="55">
        <f t="shared" si="19"/>
        <v>0.94847136501591922</v>
      </c>
      <c r="N78" s="55">
        <f t="shared" si="37"/>
        <v>4.2974499266597799E-2</v>
      </c>
      <c r="O78" s="56">
        <f t="shared" si="21"/>
        <v>9.8793666075784339E-8</v>
      </c>
      <c r="P78" s="56">
        <f t="shared" si="38"/>
        <v>1.5341056132570069E-4</v>
      </c>
      <c r="Q78" s="56">
        <f t="shared" si="39"/>
        <v>9.0100894320823668E-4</v>
      </c>
      <c r="R78" s="9">
        <f t="shared" si="12"/>
        <v>3.9999999999999996E-5</v>
      </c>
      <c r="S78" s="9">
        <f t="shared" si="13"/>
        <v>2.0611453993632307E-6</v>
      </c>
      <c r="T78" s="9">
        <f t="shared" si="10"/>
        <v>3.9299561301607367E-6</v>
      </c>
      <c r="U78" s="9">
        <f t="shared" si="11"/>
        <v>3.7938854600636766E-5</v>
      </c>
      <c r="V78" s="100">
        <f t="shared" si="14"/>
        <v>0.1035865782330386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133</v>
      </c>
      <c r="C79" s="46" t="s">
        <v>134</v>
      </c>
      <c r="D79" s="47">
        <v>3.2352399999999997</v>
      </c>
      <c r="E79" s="47">
        <v>3.7544849999999994</v>
      </c>
      <c r="F79" s="96">
        <v>9.9999999999999995E-7</v>
      </c>
      <c r="G79" s="7"/>
      <c r="H79" s="7"/>
      <c r="I79" s="54">
        <f t="shared" si="33"/>
        <v>1.0570731161685156</v>
      </c>
      <c r="J79" s="54">
        <f t="shared" si="34"/>
        <v>3.0863447971892604</v>
      </c>
      <c r="K79" s="55">
        <f t="shared" si="35"/>
        <v>8.4204567241113693E-2</v>
      </c>
      <c r="L79" s="55">
        <f t="shared" si="36"/>
        <v>3.469566492745127E-2</v>
      </c>
      <c r="M79" s="55">
        <f t="shared" si="19"/>
        <v>0.96530433507254876</v>
      </c>
      <c r="N79" s="55">
        <f t="shared" si="37"/>
        <v>2.2945829497350939E-2</v>
      </c>
      <c r="O79" s="56">
        <f t="shared" si="21"/>
        <v>8.4671458128813976E-8</v>
      </c>
      <c r="P79" s="56">
        <f t="shared" si="38"/>
        <v>1.0329560318710391E-4</v>
      </c>
      <c r="Q79" s="56">
        <f t="shared" si="39"/>
        <v>4.8108524681551921E-4</v>
      </c>
      <c r="R79" s="9">
        <f t="shared" si="12"/>
        <v>3.9999999999999996E-5</v>
      </c>
      <c r="S79" s="9">
        <f t="shared" si="13"/>
        <v>1.3878265970980507E-6</v>
      </c>
      <c r="T79" s="9">
        <f t="shared" si="10"/>
        <v>3.3681826896445476E-6</v>
      </c>
      <c r="U79" s="9">
        <f t="shared" si="11"/>
        <v>3.8612173402901944E-5</v>
      </c>
      <c r="V79" s="100">
        <f t="shared" si="14"/>
        <v>8.7231108554780487E-2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135</v>
      </c>
      <c r="C80" s="46" t="s">
        <v>136</v>
      </c>
      <c r="D80" s="47">
        <v>3.3303280000000011</v>
      </c>
      <c r="E80" s="47">
        <v>3.8215209999999997</v>
      </c>
      <c r="F80" s="96">
        <v>9.9999999999999995E-7</v>
      </c>
      <c r="G80" s="7"/>
      <c r="H80" s="7"/>
      <c r="I80" s="54">
        <f t="shared" si="33"/>
        <v>1.1393826628828596</v>
      </c>
      <c r="J80" s="54">
        <f t="shared" si="34"/>
        <v>3.1630398899948347</v>
      </c>
      <c r="K80" s="55">
        <f t="shared" si="35"/>
        <v>6.9697899214728534E-2</v>
      </c>
      <c r="L80" s="55">
        <f t="shared" si="36"/>
        <v>3.4265284943480349E-2</v>
      </c>
      <c r="M80" s="55">
        <f t="shared" si="19"/>
        <v>0.96573471505651964</v>
      </c>
      <c r="N80" s="55">
        <f t="shared" si="37"/>
        <v>2.2162757884655288E-2</v>
      </c>
      <c r="O80" s="56">
        <f t="shared" si="21"/>
        <v>7.0084354666034733E-8</v>
      </c>
      <c r="P80" s="56">
        <f t="shared" si="38"/>
        <v>1.0201427999768266E-4</v>
      </c>
      <c r="Q80" s="56">
        <f t="shared" si="39"/>
        <v>4.646672654951488E-4</v>
      </c>
      <c r="R80" s="9">
        <f t="shared" si="12"/>
        <v>3.9999999999999996E-5</v>
      </c>
      <c r="S80" s="9">
        <f t="shared" si="13"/>
        <v>1.3706113977392139E-6</v>
      </c>
      <c r="T80" s="9">
        <f t="shared" si="10"/>
        <v>2.787915968589141E-6</v>
      </c>
      <c r="U80" s="9">
        <f t="shared" si="11"/>
        <v>3.8629388602260782E-5</v>
      </c>
      <c r="V80" s="100">
        <f t="shared" si="14"/>
        <v>7.2170854094904799E-2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137</v>
      </c>
      <c r="C81" s="46" t="s">
        <v>138</v>
      </c>
      <c r="D81" s="47">
        <v>4.4202640000000004</v>
      </c>
      <c r="E81" s="47">
        <v>5.6388380000000007</v>
      </c>
      <c r="F81" s="96">
        <v>9.9999999999999995E-7</v>
      </c>
      <c r="G81" s="7"/>
      <c r="H81" s="7"/>
      <c r="I81" s="54">
        <f t="shared" si="33"/>
        <v>2.466507651261447</v>
      </c>
      <c r="J81" s="54">
        <f t="shared" si="34"/>
        <v>4.8333812334786872</v>
      </c>
      <c r="K81" s="55">
        <f t="shared" si="35"/>
        <v>3.1516435001960291E-3</v>
      </c>
      <c r="L81" s="55">
        <f t="shared" si="36"/>
        <v>7.2529233736892407E-2</v>
      </c>
      <c r="M81" s="55">
        <f t="shared" si="19"/>
        <v>0.92747076626310765</v>
      </c>
      <c r="N81" s="55">
        <f t="shared" si="37"/>
        <v>6.5804894943772257E-2</v>
      </c>
      <c r="O81" s="56">
        <f t="shared" si="21"/>
        <v>3.1691184861704578E-9</v>
      </c>
      <c r="P81" s="56">
        <f t="shared" si="38"/>
        <v>2.1593334392686918E-4</v>
      </c>
      <c r="Q81" s="56">
        <f t="shared" si="39"/>
        <v>1.3796739895303774E-3</v>
      </c>
      <c r="R81" s="9">
        <f t="shared" si="12"/>
        <v>3.9999999999999996E-5</v>
      </c>
      <c r="S81" s="9">
        <f t="shared" si="13"/>
        <v>2.9011693494756962E-6</v>
      </c>
      <c r="T81" s="9">
        <f t="shared" si="10"/>
        <v>1.2606574000784116E-7</v>
      </c>
      <c r="U81" s="9">
        <f t="shared" si="11"/>
        <v>3.7098830650524305E-5</v>
      </c>
      <c r="V81" s="100">
        <f t="shared" si="14"/>
        <v>3.3981054873507047E-3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139</v>
      </c>
      <c r="C82" s="46" t="s">
        <v>140</v>
      </c>
      <c r="D82" s="47">
        <v>4.2752879999999998</v>
      </c>
      <c r="E82" s="47">
        <v>5.3084609999999994</v>
      </c>
      <c r="F82" s="96">
        <v>9.9999999999999995E-7</v>
      </c>
      <c r="G82" s="7"/>
      <c r="H82" s="7"/>
      <c r="I82" s="54">
        <f t="shared" si="33"/>
        <v>2.2273249528367836</v>
      </c>
      <c r="J82" s="54">
        <f t="shared" si="34"/>
        <v>4.5239348971579787</v>
      </c>
      <c r="K82" s="55">
        <f t="shared" si="35"/>
        <v>5.5265071883817728E-3</v>
      </c>
      <c r="L82" s="55">
        <f t="shared" si="36"/>
        <v>6.2370669515807491E-2</v>
      </c>
      <c r="M82" s="55">
        <f t="shared" si="19"/>
        <v>0.9376293304841925</v>
      </c>
      <c r="N82" s="55">
        <f t="shared" si="37"/>
        <v>5.392558351878312E-2</v>
      </c>
      <c r="O82" s="56">
        <f t="shared" si="21"/>
        <v>5.5571501324833326E-9</v>
      </c>
      <c r="P82" s="56">
        <f t="shared" si="38"/>
        <v>1.85689363276086E-4</v>
      </c>
      <c r="Q82" s="56">
        <f t="shared" si="39"/>
        <v>1.1306108005291215E-3</v>
      </c>
      <c r="R82" s="9">
        <f t="shared" si="12"/>
        <v>3.9999999999999996E-5</v>
      </c>
      <c r="S82" s="9">
        <f t="shared" si="13"/>
        <v>2.4948267806322995E-6</v>
      </c>
      <c r="T82" s="9">
        <f t="shared" si="10"/>
        <v>2.2106028753527088E-7</v>
      </c>
      <c r="U82" s="9">
        <f t="shared" si="11"/>
        <v>3.7505173219367697E-5</v>
      </c>
      <c r="V82" s="100">
        <f t="shared" si="14"/>
        <v>5.894127891165564E-3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85</v>
      </c>
      <c r="C83" s="46" t="s">
        <v>86</v>
      </c>
      <c r="D83" s="47">
        <v>2.7665919999999997</v>
      </c>
      <c r="E83" s="47">
        <v>3.5255839999999989</v>
      </c>
      <c r="F83" s="96">
        <v>9.9999999999999995E-7</v>
      </c>
      <c r="G83" s="7"/>
      <c r="H83" s="7"/>
      <c r="I83" s="54">
        <f t="shared" si="33"/>
        <v>0.70532975413914478</v>
      </c>
      <c r="J83" s="54">
        <f t="shared" si="34"/>
        <v>2.7903744043145644</v>
      </c>
      <c r="K83" s="55">
        <f t="shared" si="35"/>
        <v>0.18837318261948044</v>
      </c>
      <c r="L83" s="55">
        <f t="shared" si="36"/>
        <v>3.926343117301153E-2</v>
      </c>
      <c r="M83" s="55">
        <f t="shared" si="19"/>
        <v>0.96073656882698844</v>
      </c>
      <c r="N83" s="55">
        <f t="shared" si="37"/>
        <v>3.0303039319351684E-2</v>
      </c>
      <c r="O83" s="56">
        <f t="shared" si="21"/>
        <v>1.8941765948497275E-7</v>
      </c>
      <c r="P83" s="56">
        <f t="shared" si="38"/>
        <v>1.1689471335085023E-4</v>
      </c>
      <c r="Q83" s="56">
        <f t="shared" si="39"/>
        <v>6.3533746521971402E-4</v>
      </c>
      <c r="R83" s="9">
        <f t="shared" si="12"/>
        <v>3.9999999999999996E-5</v>
      </c>
      <c r="S83" s="9">
        <f t="shared" si="13"/>
        <v>1.570537246920461E-6</v>
      </c>
      <c r="T83" s="9">
        <f t="shared" si="10"/>
        <v>7.5349273047792165E-6</v>
      </c>
      <c r="U83" s="9">
        <f t="shared" si="11"/>
        <v>3.8429462753079536E-5</v>
      </c>
      <c r="V83" s="100">
        <f t="shared" si="14"/>
        <v>0.19607162746961398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141</v>
      </c>
      <c r="C84" s="46" t="s">
        <v>142</v>
      </c>
      <c r="D84" s="47">
        <v>4.4687359999999998</v>
      </c>
      <c r="E84" s="47">
        <v>5.2666120000000003</v>
      </c>
      <c r="F84" s="96">
        <v>9.9999999999999995E-7</v>
      </c>
      <c r="G84" s="7"/>
      <c r="H84" s="7"/>
      <c r="I84" s="54">
        <f t="shared" si="33"/>
        <v>2.3272580136650043</v>
      </c>
      <c r="J84" s="54">
        <f t="shared" si="34"/>
        <v>4.522432495717549</v>
      </c>
      <c r="K84" s="55">
        <f t="shared" si="35"/>
        <v>4.4483272296602675E-3</v>
      </c>
      <c r="L84" s="55">
        <f t="shared" si="36"/>
        <v>5.0029250055063638E-2</v>
      </c>
      <c r="M84" s="55">
        <f t="shared" si="19"/>
        <v>0.94997074994493635</v>
      </c>
      <c r="N84" s="55">
        <f t="shared" si="37"/>
        <v>3.9417750973798182E-2</v>
      </c>
      <c r="O84" s="56">
        <f t="shared" si="21"/>
        <v>4.4729919659932779E-9</v>
      </c>
      <c r="P84" s="56">
        <f t="shared" si="38"/>
        <v>1.4894660679488729E-4</v>
      </c>
      <c r="Q84" s="56">
        <f t="shared" si="39"/>
        <v>8.2643769571859045E-4</v>
      </c>
      <c r="R84" s="9">
        <f t="shared" si="12"/>
        <v>3.9999999999999996E-5</v>
      </c>
      <c r="S84" s="9">
        <f t="shared" si="13"/>
        <v>2.0011700022025453E-6</v>
      </c>
      <c r="T84" s="9">
        <f t="shared" si="10"/>
        <v>1.7793308918641068E-7</v>
      </c>
      <c r="U84" s="9">
        <f t="shared" si="11"/>
        <v>3.7998829997797452E-5</v>
      </c>
      <c r="V84" s="100">
        <f t="shared" si="14"/>
        <v>4.6825938903046309E-3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87</v>
      </c>
      <c r="C85" s="46" t="s">
        <v>88</v>
      </c>
      <c r="D85" s="47">
        <v>2.6972559999999999</v>
      </c>
      <c r="E85" s="47">
        <v>3.431432</v>
      </c>
      <c r="F85" s="96">
        <v>9.9999999999999995E-7</v>
      </c>
      <c r="G85" s="7"/>
      <c r="H85" s="7"/>
      <c r="I85" s="54">
        <f t="shared" si="33"/>
        <v>0.64458903464573347</v>
      </c>
      <c r="J85" s="54">
        <f t="shared" si="34"/>
        <v>2.7020905339390611</v>
      </c>
      <c r="K85" s="55">
        <f t="shared" si="35"/>
        <v>0.21717454514081033</v>
      </c>
      <c r="L85" s="55">
        <f t="shared" si="36"/>
        <v>3.6939773152716134E-2</v>
      </c>
      <c r="M85" s="55">
        <f t="shared" si="19"/>
        <v>0.96306022684728387</v>
      </c>
      <c r="N85" s="55">
        <f t="shared" si="37"/>
        <v>2.8127040242798357E-2</v>
      </c>
      <c r="O85" s="56">
        <f t="shared" si="21"/>
        <v>2.1837871754486004E-7</v>
      </c>
      <c r="P85" s="56">
        <f t="shared" si="38"/>
        <v>1.0997674082290316E-4</v>
      </c>
      <c r="Q85" s="56">
        <f t="shared" si="39"/>
        <v>5.8971518545271513E-4</v>
      </c>
      <c r="R85" s="9">
        <f t="shared" si="12"/>
        <v>3.9999999999999996E-5</v>
      </c>
      <c r="S85" s="9">
        <f t="shared" si="13"/>
        <v>1.4775909261086453E-6</v>
      </c>
      <c r="T85" s="9">
        <f t="shared" si="10"/>
        <v>8.6869818056324126E-6</v>
      </c>
      <c r="U85" s="9">
        <f t="shared" si="11"/>
        <v>3.8522409073891353E-5</v>
      </c>
      <c r="V85" s="100">
        <f t="shared" si="14"/>
        <v>0.22550463521036732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143</v>
      </c>
      <c r="C86" s="46" t="s">
        <v>144</v>
      </c>
      <c r="D86" s="47">
        <v>3.859360000000001</v>
      </c>
      <c r="E86" s="47">
        <v>4.2614199999999993</v>
      </c>
      <c r="F86" s="96">
        <v>9.9999999999999995E-7</v>
      </c>
      <c r="G86" s="7"/>
      <c r="H86" s="7"/>
      <c r="I86" s="54">
        <f t="shared" si="33"/>
        <v>1.6299602750984028</v>
      </c>
      <c r="J86" s="54">
        <f t="shared" si="34"/>
        <v>3.6364018134902829</v>
      </c>
      <c r="K86" s="55">
        <f t="shared" si="35"/>
        <v>2.2553857013968184E-2</v>
      </c>
      <c r="L86" s="55">
        <f t="shared" si="36"/>
        <v>3.2977475462083419E-2</v>
      </c>
      <c r="M86" s="55">
        <f t="shared" si="19"/>
        <v>0.96702252453791659</v>
      </c>
      <c r="N86" s="55">
        <f t="shared" si="37"/>
        <v>1.9748037205070665E-2</v>
      </c>
      <c r="O86" s="56">
        <f t="shared" si="21"/>
        <v>2.2678911873429242E-8</v>
      </c>
      <c r="P86" s="56">
        <f t="shared" si="38"/>
        <v>9.818022587451996E-5</v>
      </c>
      <c r="Q86" s="56">
        <f t="shared" si="39"/>
        <v>4.1403991753796894E-4</v>
      </c>
      <c r="R86" s="9">
        <f t="shared" si="12"/>
        <v>3.9999999999999996E-5</v>
      </c>
      <c r="S86" s="9">
        <f t="shared" si="13"/>
        <v>1.3190990184833367E-6</v>
      </c>
      <c r="T86" s="9">
        <f t="shared" si="10"/>
        <v>9.0215428055872726E-7</v>
      </c>
      <c r="U86" s="9">
        <f t="shared" si="11"/>
        <v>3.8680900981516657E-5</v>
      </c>
      <c r="V86" s="100">
        <f t="shared" si="14"/>
        <v>2.3322990356140206E-2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281</v>
      </c>
      <c r="C87" s="46" t="s">
        <v>282</v>
      </c>
      <c r="D87" s="47">
        <v>2.5105662711924017</v>
      </c>
      <c r="E87" s="47">
        <v>3.0939041322596146</v>
      </c>
      <c r="F87" s="96">
        <v>9.9999999999999995E-7</v>
      </c>
      <c r="G87" s="7"/>
      <c r="H87" s="7"/>
      <c r="I87" s="54">
        <f t="shared" si="33"/>
        <v>0.48026857292599601</v>
      </c>
      <c r="J87" s="54">
        <f t="shared" si="34"/>
        <v>2.4059565027875509</v>
      </c>
      <c r="K87" s="55">
        <f t="shared" si="35"/>
        <v>0.32014702538229461</v>
      </c>
      <c r="L87" s="55">
        <f t="shared" si="36"/>
        <v>2.7535993048494418E-2</v>
      </c>
      <c r="M87" s="55">
        <f t="shared" si="19"/>
        <v>0.97246400695150559</v>
      </c>
      <c r="N87" s="55">
        <f t="shared" si="37"/>
        <v>1.9060606571158527E-2</v>
      </c>
      <c r="O87" s="56">
        <f t="shared" si="21"/>
        <v>3.2192215152773676E-7</v>
      </c>
      <c r="P87" s="56">
        <f t="shared" si="38"/>
        <v>8.1979896256424757E-5</v>
      </c>
      <c r="Q87" s="56">
        <f t="shared" si="39"/>
        <v>3.9962715742300557E-4</v>
      </c>
      <c r="R87" s="9">
        <f t="shared" si="12"/>
        <v>3.9999999999999996E-5</v>
      </c>
      <c r="S87" s="9">
        <f t="shared" si="13"/>
        <v>1.1014397219397766E-6</v>
      </c>
      <c r="T87" s="9">
        <f t="shared" si="10"/>
        <v>1.2805881015291784E-5</v>
      </c>
      <c r="U87" s="9">
        <f t="shared" si="11"/>
        <v>3.889856027806022E-5</v>
      </c>
      <c r="V87" s="100">
        <f t="shared" si="14"/>
        <v>0.32921221052272792</v>
      </c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283</v>
      </c>
      <c r="C88" s="46" t="s">
        <v>284</v>
      </c>
      <c r="D88" s="47">
        <v>1.93</v>
      </c>
      <c r="E88" s="47">
        <v>1.25</v>
      </c>
      <c r="F88" s="96">
        <v>9.9999999999999995E-7</v>
      </c>
      <c r="G88" s="7"/>
      <c r="H88" s="7"/>
      <c r="I88" s="54">
        <f t="shared" si="33"/>
        <v>0.14925721804369038</v>
      </c>
      <c r="J88" s="54">
        <f t="shared" si="34"/>
        <v>1.3723682366191232</v>
      </c>
      <c r="K88" s="55">
        <f t="shared" si="35"/>
        <v>0.70154411456518306</v>
      </c>
      <c r="L88" s="55">
        <f t="shared" si="36"/>
        <v>5.5849333129496404E-3</v>
      </c>
      <c r="M88" s="55">
        <f t="shared" si="19"/>
        <v>0.99441506668705038</v>
      </c>
      <c r="N88" s="55">
        <f t="shared" si="37"/>
        <v>5.9832630889138257E-4</v>
      </c>
      <c r="O88" s="56">
        <f t="shared" si="21"/>
        <v>7.0543398141138799E-7</v>
      </c>
      <c r="P88" s="56">
        <f t="shared" si="38"/>
        <v>1.6627410269472599E-5</v>
      </c>
      <c r="Q88" s="56">
        <f t="shared" si="39"/>
        <v>1.2544587242856517E-5</v>
      </c>
      <c r="R88" s="9">
        <f t="shared" si="12"/>
        <v>3.9999999999999996E-5</v>
      </c>
      <c r="S88" s="9">
        <f t="shared" si="13"/>
        <v>2.2339733251798559E-7</v>
      </c>
      <c r="T88" s="9">
        <f t="shared" si="10"/>
        <v>2.8061764582607321E-5</v>
      </c>
      <c r="U88" s="9">
        <f t="shared" si="11"/>
        <v>3.9776602667482013E-5</v>
      </c>
      <c r="V88" s="100">
        <f t="shared" si="14"/>
        <v>0.70548419675741303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285</v>
      </c>
      <c r="C89" s="46" t="s">
        <v>286</v>
      </c>
      <c r="D89" s="47">
        <v>1.25894119353766</v>
      </c>
      <c r="E89" s="47">
        <v>1.3134233879901926</v>
      </c>
      <c r="F89" s="96">
        <v>9.9999999999999995E-7</v>
      </c>
      <c r="G89" s="7"/>
      <c r="H89" s="7"/>
      <c r="I89" s="54">
        <f t="shared" si="33"/>
        <v>3.7336026484154294E-2</v>
      </c>
      <c r="J89" s="54">
        <f t="shared" si="34"/>
        <v>0.89745442298650768</v>
      </c>
      <c r="K89" s="55">
        <f t="shared" si="35"/>
        <v>0.91065182017392077</v>
      </c>
      <c r="L89" s="55">
        <f t="shared" si="36"/>
        <v>2.4288547980073449E-3</v>
      </c>
      <c r="M89" s="55">
        <f t="shared" si="19"/>
        <v>0.99757114520199264</v>
      </c>
      <c r="N89" s="55">
        <f t="shared" si="37"/>
        <v>8.9879130413616842E-4</v>
      </c>
      <c r="O89" s="56">
        <f t="shared" si="21"/>
        <v>9.1570113104430877E-7</v>
      </c>
      <c r="P89" s="56">
        <f t="shared" si="38"/>
        <v>7.2311633726770114E-6</v>
      </c>
      <c r="Q89" s="56">
        <f t="shared" si="39"/>
        <v>1.884417542786633E-5</v>
      </c>
      <c r="R89" s="9">
        <f t="shared" si="12"/>
        <v>3.9999999999999996E-5</v>
      </c>
      <c r="S89" s="9">
        <f t="shared" si="13"/>
        <v>9.7154191920293782E-8</v>
      </c>
      <c r="T89" s="9">
        <f t="shared" si="10"/>
        <v>3.6426072806956827E-5</v>
      </c>
      <c r="U89" s="9">
        <f t="shared" si="11"/>
        <v>3.9902845808079701E-5</v>
      </c>
      <c r="V89" s="100">
        <f t="shared" si="14"/>
        <v>0.91286904653755596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287</v>
      </c>
      <c r="C90" s="46" t="s">
        <v>288</v>
      </c>
      <c r="D90" s="47">
        <v>0.21626245461153099</v>
      </c>
      <c r="E90" s="47">
        <v>-0.16982383217232916</v>
      </c>
      <c r="F90" s="96">
        <v>9.9999999999999995E-7</v>
      </c>
      <c r="G90" s="7"/>
      <c r="H90" s="7"/>
      <c r="I90" s="54">
        <f t="shared" si="33"/>
        <v>1.290009012521746E-3</v>
      </c>
      <c r="J90" s="54">
        <f t="shared" si="34"/>
        <v>4.4904334412289026E-2</v>
      </c>
      <c r="K90" s="55">
        <f t="shared" si="35"/>
        <v>0.99150107700502166</v>
      </c>
      <c r="L90" s="55">
        <f t="shared" si="36"/>
        <v>3.7135758111446899E-4</v>
      </c>
      <c r="M90" s="55">
        <f t="shared" si="19"/>
        <v>0.99962864241888549</v>
      </c>
      <c r="N90" s="55">
        <f t="shared" si="37"/>
        <v>3.2162697944903852E-5</v>
      </c>
      <c r="O90" s="56">
        <f t="shared" si="21"/>
        <v>9.969986745008095E-7</v>
      </c>
      <c r="P90" s="56">
        <f t="shared" si="38"/>
        <v>1.1056022537551295E-6</v>
      </c>
      <c r="Q90" s="56">
        <f t="shared" si="39"/>
        <v>6.7432730993069557E-7</v>
      </c>
      <c r="R90" s="9">
        <f t="shared" si="12"/>
        <v>3.9999999999999996E-5</v>
      </c>
      <c r="S90" s="9">
        <f t="shared" si="13"/>
        <v>1.4854303244578758E-8</v>
      </c>
      <c r="T90" s="9">
        <f t="shared" si="10"/>
        <v>3.9660043080200861E-5</v>
      </c>
      <c r="U90" s="9">
        <f t="shared" si="11"/>
        <v>3.9985145696755419E-5</v>
      </c>
      <c r="V90" s="100">
        <f t="shared" si="14"/>
        <v>0.99186941523184358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289</v>
      </c>
      <c r="C91" s="46" t="s">
        <v>290</v>
      </c>
      <c r="D91" s="47">
        <v>-2.4693681101840836E-2</v>
      </c>
      <c r="E91" s="47">
        <v>-0.51259241959557644</v>
      </c>
      <c r="F91" s="96">
        <v>9.9999999999999995E-7</v>
      </c>
      <c r="G91" s="7"/>
      <c r="H91" s="7"/>
      <c r="I91" s="54">
        <f t="shared" si="33"/>
        <v>-2.2961926676165657E-4</v>
      </c>
      <c r="J91" s="54">
        <f t="shared" si="34"/>
        <v>-5.1413201390364628E-2</v>
      </c>
      <c r="K91" s="55">
        <f t="shared" si="35"/>
        <v>0.99504895151366157</v>
      </c>
      <c r="L91" s="55">
        <f t="shared" si="36"/>
        <v>2.9855614513116848E-4</v>
      </c>
      <c r="M91" s="55">
        <f t="shared" si="19"/>
        <v>0.99970144385486881</v>
      </c>
      <c r="N91" s="55">
        <f t="shared" si="37"/>
        <v>1.4660039511100589E-5</v>
      </c>
      <c r="O91" s="56">
        <f t="shared" si="21"/>
        <v>1.0005662209860781E-6</v>
      </c>
      <c r="P91" s="56">
        <f t="shared" si="38"/>
        <v>8.8885851189265671E-7</v>
      </c>
      <c r="Q91" s="56">
        <f t="shared" si="39"/>
        <v>3.0736429586637165E-7</v>
      </c>
      <c r="R91" s="9">
        <f t="shared" si="12"/>
        <v>3.9999999999999996E-5</v>
      </c>
      <c r="S91" s="9">
        <f t="shared" si="13"/>
        <v>1.1942245805246738E-8</v>
      </c>
      <c r="T91" s="9">
        <f t="shared" si="10"/>
        <v>3.9801958060546458E-5</v>
      </c>
      <c r="U91" s="9">
        <f t="shared" si="11"/>
        <v>3.9988057754194748E-5</v>
      </c>
      <c r="V91" s="100">
        <f t="shared" si="14"/>
        <v>0.99534611821378682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291</v>
      </c>
      <c r="C92" s="46" t="s">
        <v>292</v>
      </c>
      <c r="D92" s="47">
        <v>1.358312346903767</v>
      </c>
      <c r="E92" s="47">
        <v>1.454782352637753</v>
      </c>
      <c r="F92" s="96">
        <v>9.9999999999999995E-7</v>
      </c>
      <c r="G92" s="7"/>
      <c r="H92" s="7"/>
      <c r="I92" s="54">
        <f t="shared" si="33"/>
        <v>4.7346378220411142E-2</v>
      </c>
      <c r="J92" s="54">
        <f t="shared" si="34"/>
        <v>1.0060883213991665</v>
      </c>
      <c r="K92" s="55">
        <f t="shared" si="35"/>
        <v>0.88935094163739137</v>
      </c>
      <c r="L92" s="55">
        <f t="shared" si="36"/>
        <v>3.0461848945831827E-3</v>
      </c>
      <c r="M92" s="55">
        <f t="shared" si="19"/>
        <v>0.99695381510541681</v>
      </c>
      <c r="N92" s="55">
        <f t="shared" si="37"/>
        <v>1.2154543040193114E-3</v>
      </c>
      <c r="O92" s="56">
        <f t="shared" si="21"/>
        <v>8.9428214506521951E-7</v>
      </c>
      <c r="P92" s="56">
        <f t="shared" si="38"/>
        <v>9.0690726568683443E-6</v>
      </c>
      <c r="Q92" s="56">
        <f t="shared" si="39"/>
        <v>2.5483373085711396E-5</v>
      </c>
      <c r="R92" s="9">
        <f t="shared" si="12"/>
        <v>3.9999999999999996E-5</v>
      </c>
      <c r="S92" s="9">
        <f t="shared" si="13"/>
        <v>1.218473957833273E-7</v>
      </c>
      <c r="T92" s="9">
        <f t="shared" ref="T92:T143" si="40">R92*K92</f>
        <v>3.557403766549565E-5</v>
      </c>
      <c r="U92" s="9">
        <f t="shared" ref="U92:U143" si="41">$R92*M92</f>
        <v>3.9878152604216671E-5</v>
      </c>
      <c r="V92" s="100">
        <f t="shared" si="14"/>
        <v>0.89206834676022817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293</v>
      </c>
      <c r="C93" s="46" t="s">
        <v>294</v>
      </c>
      <c r="D93" s="47">
        <v>-1.2091799453325114E-2</v>
      </c>
      <c r="E93" s="47">
        <v>-0.49466579922233578</v>
      </c>
      <c r="F93" s="96">
        <v>9.9999999999999995E-7</v>
      </c>
      <c r="G93" s="7"/>
      <c r="H93" s="7"/>
      <c r="I93" s="54">
        <f t="shared" si="33"/>
        <v>-1.6947243885858597E-4</v>
      </c>
      <c r="J93" s="54">
        <f t="shared" si="34"/>
        <v>-4.7270856045721135E-2</v>
      </c>
      <c r="K93" s="55">
        <f t="shared" si="35"/>
        <v>0.99490834836752062</v>
      </c>
      <c r="L93" s="55">
        <f t="shared" si="36"/>
        <v>3.0137483709169699E-4</v>
      </c>
      <c r="M93" s="55">
        <f t="shared" ref="M93:M127" si="42">IF(D93=0,"",1-L93)</f>
        <v>0.99969862516290831</v>
      </c>
      <c r="N93" s="55">
        <f t="shared" si="37"/>
        <v>1.5275674294214179E-5</v>
      </c>
      <c r="O93" s="56">
        <f t="shared" ref="O93:O127" si="43">IF(D93=0,"",F93*K93*$J$7/$J$14)</f>
        <v>1.0004248382346276E-6</v>
      </c>
      <c r="P93" s="56">
        <f t="shared" si="38"/>
        <v>8.9725029475285673E-7</v>
      </c>
      <c r="Q93" s="56">
        <f t="shared" si="39"/>
        <v>3.2027177483184604E-7</v>
      </c>
      <c r="R93" s="9">
        <f t="shared" ref="R93:R143" si="44">F93*$C$14</f>
        <v>3.9999999999999996E-5</v>
      </c>
      <c r="S93" s="9">
        <f t="shared" ref="S93:S143" si="45">$R93*L93</f>
        <v>1.2054993483667879E-8</v>
      </c>
      <c r="T93" s="9">
        <f t="shared" si="40"/>
        <v>3.9796333934700824E-5</v>
      </c>
      <c r="U93" s="9">
        <f t="shared" si="41"/>
        <v>3.9987945006516326E-5</v>
      </c>
      <c r="V93" s="100">
        <f t="shared" ref="V93:V143" si="46">K93/M93</f>
        <v>0.9952082791005068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295</v>
      </c>
      <c r="C94" s="46" t="s">
        <v>296</v>
      </c>
      <c r="D94" s="47">
        <v>-0.5582197001134892</v>
      </c>
      <c r="E94" s="47">
        <v>-1.2715519677670764</v>
      </c>
      <c r="F94" s="96">
        <v>9.9999999999999995E-7</v>
      </c>
      <c r="G94" s="7"/>
      <c r="H94" s="7"/>
      <c r="I94" s="54">
        <f t="shared" si="33"/>
        <v>-1.6675027667828724E-3</v>
      </c>
      <c r="J94" s="54">
        <f t="shared" si="34"/>
        <v>-0.1599116898851925</v>
      </c>
      <c r="K94" s="55">
        <f t="shared" si="35"/>
        <v>0.9984139936705414</v>
      </c>
      <c r="L94" s="55">
        <f t="shared" si="36"/>
        <v>2.3334244228568151E-4</v>
      </c>
      <c r="M94" s="55">
        <f t="shared" si="42"/>
        <v>0.99976665755771432</v>
      </c>
      <c r="N94" s="55">
        <f t="shared" si="37"/>
        <v>2.5623697911841518E-6</v>
      </c>
      <c r="O94" s="56">
        <f t="shared" si="43"/>
        <v>1.003949921365086E-6</v>
      </c>
      <c r="P94" s="56">
        <f t="shared" si="38"/>
        <v>6.9470489686395706E-7</v>
      </c>
      <c r="Q94" s="56">
        <f t="shared" si="39"/>
        <v>5.3722978442194639E-8</v>
      </c>
      <c r="R94" s="9">
        <f t="shared" si="44"/>
        <v>3.9999999999999996E-5</v>
      </c>
      <c r="S94" s="9">
        <f t="shared" si="45"/>
        <v>9.3336976914272596E-9</v>
      </c>
      <c r="T94" s="9">
        <f t="shared" si="40"/>
        <v>3.9936559746821653E-5</v>
      </c>
      <c r="U94" s="9">
        <f t="shared" si="41"/>
        <v>3.999066630230857E-5</v>
      </c>
      <c r="V94" s="100">
        <f t="shared" si="46"/>
        <v>0.9986470204052641</v>
      </c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297</v>
      </c>
      <c r="C95" s="46" t="s">
        <v>298</v>
      </c>
      <c r="D95" s="47">
        <v>3.8826699877244018</v>
      </c>
      <c r="E95" s="47">
        <v>5.0457699825375304</v>
      </c>
      <c r="F95" s="96">
        <v>9.9999999999999995E-7</v>
      </c>
      <c r="G95" s="7"/>
      <c r="H95" s="7"/>
      <c r="I95" s="54">
        <f t="shared" si="33"/>
        <v>1.9022995281384409</v>
      </c>
      <c r="J95" s="54">
        <f t="shared" si="34"/>
        <v>4.2457757065517692</v>
      </c>
      <c r="K95" s="55">
        <f t="shared" si="35"/>
        <v>1.1598463308498074E-2</v>
      </c>
      <c r="L95" s="55">
        <f t="shared" si="36"/>
        <v>6.8987582921550911E-2</v>
      </c>
      <c r="M95" s="55">
        <f t="shared" si="42"/>
        <v>0.93101241707844906</v>
      </c>
      <c r="N95" s="55">
        <f t="shared" si="37"/>
        <v>6.1809260760379271E-2</v>
      </c>
      <c r="O95" s="56">
        <f t="shared" si="43"/>
        <v>1.1662773559206421E-8</v>
      </c>
      <c r="P95" s="56">
        <f t="shared" si="38"/>
        <v>2.0538917484944227E-4</v>
      </c>
      <c r="Q95" s="56">
        <f t="shared" si="39"/>
        <v>1.2959010033533444E-3</v>
      </c>
      <c r="R95" s="9">
        <f t="shared" si="44"/>
        <v>3.9999999999999996E-5</v>
      </c>
      <c r="S95" s="9">
        <f t="shared" si="45"/>
        <v>2.7595033168620362E-6</v>
      </c>
      <c r="T95" s="9">
        <f t="shared" si="40"/>
        <v>4.6393853233992293E-7</v>
      </c>
      <c r="U95" s="9">
        <f t="shared" si="41"/>
        <v>3.724049668313796E-5</v>
      </c>
      <c r="V95" s="100">
        <f t="shared" si="46"/>
        <v>1.2457903993261953E-2</v>
      </c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299</v>
      </c>
      <c r="C96" s="46" t="s">
        <v>212</v>
      </c>
      <c r="D96" s="47">
        <v>-5.8280000000154555</v>
      </c>
      <c r="E96" s="47">
        <v>-8.7680000000219867</v>
      </c>
      <c r="F96" s="96">
        <v>9.9999999999999995E-7</v>
      </c>
      <c r="G96" s="7"/>
      <c r="H96" s="7"/>
      <c r="I96" s="54">
        <f t="shared" si="33"/>
        <v>-2.2554890834977572E-3</v>
      </c>
      <c r="J96" s="54">
        <f t="shared" si="34"/>
        <v>-0.20901127412599796</v>
      </c>
      <c r="K96" s="55">
        <f t="shared" si="35"/>
        <v>0.99979130705367802</v>
      </c>
      <c r="L96" s="55">
        <f t="shared" si="36"/>
        <v>2.0868577753695047E-4</v>
      </c>
      <c r="M96" s="55">
        <f t="shared" si="42"/>
        <v>0.99979131422246303</v>
      </c>
      <c r="N96" s="55">
        <f t="shared" si="37"/>
        <v>8.1807377423388924E-14</v>
      </c>
      <c r="O96" s="56">
        <f t="shared" si="43"/>
        <v>1.0053348715675681E-6</v>
      </c>
      <c r="P96" s="56">
        <f t="shared" si="38"/>
        <v>6.2129730939941369E-7</v>
      </c>
      <c r="Q96" s="56">
        <f t="shared" si="39"/>
        <v>1.7151841193453052E-15</v>
      </c>
      <c r="R96" s="9">
        <f t="shared" si="44"/>
        <v>3.9999999999999996E-5</v>
      </c>
      <c r="S96" s="9">
        <f t="shared" si="45"/>
        <v>8.3474311014780182E-9</v>
      </c>
      <c r="T96" s="9">
        <f t="shared" si="40"/>
        <v>3.9991652282147116E-5</v>
      </c>
      <c r="U96" s="9">
        <f t="shared" si="41"/>
        <v>3.9991652568898519E-5</v>
      </c>
      <c r="V96" s="100">
        <f t="shared" si="46"/>
        <v>0.99999999282971863</v>
      </c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300</v>
      </c>
      <c r="C97" s="46" t="s">
        <v>213</v>
      </c>
      <c r="D97" s="47" t="s">
        <v>301</v>
      </c>
      <c r="E97" s="47">
        <v>-4.1624004386372073</v>
      </c>
      <c r="F97" s="96">
        <v>9.9999999999999995E-7</v>
      </c>
      <c r="G97" s="7"/>
      <c r="H97" s="7"/>
      <c r="I97" s="54" t="e">
        <f t="shared" si="33"/>
        <v>#VALUE!</v>
      </c>
      <c r="J97" s="54" t="e">
        <f t="shared" si="34"/>
        <v>#VALUE!</v>
      </c>
      <c r="K97" s="55" t="e">
        <f t="shared" si="35"/>
        <v>#VALUE!</v>
      </c>
      <c r="L97" s="55" t="e">
        <f t="shared" si="36"/>
        <v>#VALUE!</v>
      </c>
      <c r="M97" s="55" t="e">
        <f t="shared" si="42"/>
        <v>#VALUE!</v>
      </c>
      <c r="N97" s="55" t="e">
        <f t="shared" si="37"/>
        <v>#VALUE!</v>
      </c>
      <c r="O97" s="56" t="e">
        <f t="shared" si="43"/>
        <v>#VALUE!</v>
      </c>
      <c r="P97" s="56" t="e">
        <f t="shared" si="38"/>
        <v>#VALUE!</v>
      </c>
      <c r="Q97" s="56" t="e">
        <f t="shared" si="39"/>
        <v>#VALUE!</v>
      </c>
      <c r="R97" s="9">
        <f t="shared" si="44"/>
        <v>3.9999999999999996E-5</v>
      </c>
      <c r="S97" s="9"/>
      <c r="T97" s="9"/>
      <c r="U97" s="9"/>
      <c r="V97" s="100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302</v>
      </c>
      <c r="C98" s="46" t="s">
        <v>214</v>
      </c>
      <c r="D98" s="47">
        <v>4.54</v>
      </c>
      <c r="E98" s="47">
        <v>4.25</v>
      </c>
      <c r="F98" s="96">
        <v>9.9999999999999995E-7</v>
      </c>
      <c r="G98" s="7"/>
      <c r="H98" s="7"/>
      <c r="I98" s="54">
        <f t="shared" si="33"/>
        <v>2.2410131712935462</v>
      </c>
      <c r="J98" s="54">
        <f t="shared" si="34"/>
        <v>4.0353280242380984</v>
      </c>
      <c r="K98" s="55">
        <f t="shared" si="35"/>
        <v>5.5941966659984934E-3</v>
      </c>
      <c r="L98" s="55">
        <f t="shared" si="36"/>
        <v>2.0495594680554265E-2</v>
      </c>
      <c r="M98" s="55">
        <f t="shared" si="42"/>
        <v>0.97950440531944571</v>
      </c>
      <c r="N98" s="55">
        <f t="shared" si="37"/>
        <v>4.7711255399155049E-3</v>
      </c>
      <c r="O98" s="56">
        <f t="shared" si="43"/>
        <v>5.6252149294126266E-9</v>
      </c>
      <c r="P98" s="56">
        <f t="shared" si="38"/>
        <v>6.1019289286806417E-5</v>
      </c>
      <c r="Q98" s="56">
        <f t="shared" si="39"/>
        <v>1.000320388601802E-4</v>
      </c>
      <c r="R98" s="9">
        <f t="shared" si="44"/>
        <v>3.9999999999999996E-5</v>
      </c>
      <c r="S98" s="9">
        <f t="shared" si="45"/>
        <v>8.1982378722217057E-7</v>
      </c>
      <c r="T98" s="9">
        <f t="shared" si="40"/>
        <v>2.237678666399397E-7</v>
      </c>
      <c r="U98" s="9">
        <f t="shared" si="41"/>
        <v>3.9180176212777823E-5</v>
      </c>
      <c r="V98" s="100">
        <f t="shared" si="46"/>
        <v>5.7112521757102849E-3</v>
      </c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303</v>
      </c>
      <c r="C99" s="46" t="s">
        <v>215</v>
      </c>
      <c r="D99" s="47">
        <v>2.83</v>
      </c>
      <c r="E99" s="47">
        <v>2.3199999999999998</v>
      </c>
      <c r="F99" s="96">
        <v>9.9999999999999995E-7</v>
      </c>
      <c r="G99" s="7"/>
      <c r="H99" s="7"/>
      <c r="I99" s="54">
        <f t="shared" si="33"/>
        <v>0.63542458371912058</v>
      </c>
      <c r="J99" s="54">
        <f t="shared" si="34"/>
        <v>2.2845343185523066</v>
      </c>
      <c r="K99" s="55">
        <f t="shared" si="35"/>
        <v>0.22691508401585295</v>
      </c>
      <c r="L99" s="55">
        <f t="shared" si="36"/>
        <v>1.4756808939876038E-2</v>
      </c>
      <c r="M99" s="55">
        <f t="shared" si="42"/>
        <v>0.98524319106012392</v>
      </c>
      <c r="N99" s="55">
        <f t="shared" si="37"/>
        <v>2.2737697282692684E-3</v>
      </c>
      <c r="O99" s="56">
        <f t="shared" si="43"/>
        <v>2.2817326499676552E-7</v>
      </c>
      <c r="P99" s="56">
        <f t="shared" si="38"/>
        <v>4.393383103476144E-5</v>
      </c>
      <c r="Q99" s="56">
        <f t="shared" si="39"/>
        <v>4.7672151972207571E-5</v>
      </c>
      <c r="R99" s="9">
        <f t="shared" si="44"/>
        <v>3.9999999999999996E-5</v>
      </c>
      <c r="S99" s="9">
        <f t="shared" si="45"/>
        <v>5.9027235759504147E-7</v>
      </c>
      <c r="T99" s="9">
        <f t="shared" si="40"/>
        <v>9.0766033606341168E-6</v>
      </c>
      <c r="U99" s="9">
        <f t="shared" si="41"/>
        <v>3.9409727642404956E-5</v>
      </c>
      <c r="V99" s="100">
        <f t="shared" si="46"/>
        <v>0.23031378047047632</v>
      </c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304</v>
      </c>
      <c r="C100" s="46" t="s">
        <v>216</v>
      </c>
      <c r="D100" s="47" t="s">
        <v>301</v>
      </c>
      <c r="E100" s="47">
        <v>1.7</v>
      </c>
      <c r="F100" s="96">
        <v>9.9999999999999995E-7</v>
      </c>
      <c r="G100" s="7"/>
      <c r="H100" s="7"/>
      <c r="I100" s="54" t="e">
        <f t="shared" si="33"/>
        <v>#VALUE!</v>
      </c>
      <c r="J100" s="54" t="e">
        <f t="shared" si="34"/>
        <v>#VALUE!</v>
      </c>
      <c r="K100" s="55" t="e">
        <f t="shared" si="35"/>
        <v>#VALUE!</v>
      </c>
      <c r="L100" s="55" t="e">
        <f t="shared" si="36"/>
        <v>#VALUE!</v>
      </c>
      <c r="M100" s="55" t="e">
        <f t="shared" si="42"/>
        <v>#VALUE!</v>
      </c>
      <c r="N100" s="55" t="e">
        <f t="shared" si="37"/>
        <v>#VALUE!</v>
      </c>
      <c r="O100" s="56" t="e">
        <f t="shared" si="43"/>
        <v>#VALUE!</v>
      </c>
      <c r="P100" s="56" t="e">
        <f t="shared" si="38"/>
        <v>#VALUE!</v>
      </c>
      <c r="Q100" s="56" t="e">
        <f t="shared" si="39"/>
        <v>#VALUE!</v>
      </c>
      <c r="R100" s="9">
        <f t="shared" si="44"/>
        <v>3.9999999999999996E-5</v>
      </c>
      <c r="S100" s="9"/>
      <c r="T100" s="9"/>
      <c r="U100" s="9"/>
      <c r="V100" s="100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305</v>
      </c>
      <c r="C101" s="46" t="s">
        <v>217</v>
      </c>
      <c r="D101" s="47">
        <v>4.2</v>
      </c>
      <c r="E101" s="47">
        <v>3.52</v>
      </c>
      <c r="F101" s="96">
        <v>9.9999999999999995E-7</v>
      </c>
      <c r="G101" s="7"/>
      <c r="H101" s="7"/>
      <c r="I101" s="54">
        <f t="shared" si="33"/>
        <v>1.8939169904293498</v>
      </c>
      <c r="J101" s="54">
        <f t="shared" si="34"/>
        <v>3.6308922154546472</v>
      </c>
      <c r="K101" s="55">
        <f t="shared" si="35"/>
        <v>1.2472004013837782E-2</v>
      </c>
      <c r="L101" s="55">
        <f t="shared" si="36"/>
        <v>1.800624798360478E-2</v>
      </c>
      <c r="M101" s="55">
        <f t="shared" si="42"/>
        <v>0.98199375201639527</v>
      </c>
      <c r="N101" s="55">
        <f t="shared" si="37"/>
        <v>1.9807029842649191E-3</v>
      </c>
      <c r="O101" s="56">
        <f t="shared" si="43"/>
        <v>1.2541157804614335E-8</v>
      </c>
      <c r="P101" s="56">
        <f t="shared" si="38"/>
        <v>5.3608030008712148E-5</v>
      </c>
      <c r="Q101" s="56">
        <f t="shared" si="39"/>
        <v>4.1527676485320937E-5</v>
      </c>
      <c r="R101" s="9">
        <f t="shared" si="44"/>
        <v>3.9999999999999996E-5</v>
      </c>
      <c r="S101" s="9">
        <f t="shared" si="45"/>
        <v>7.2024991934419113E-7</v>
      </c>
      <c r="T101" s="9">
        <f t="shared" si="40"/>
        <v>4.9888016055351118E-7</v>
      </c>
      <c r="U101" s="9">
        <f t="shared" si="41"/>
        <v>3.9279750080655805E-5</v>
      </c>
      <c r="V101" s="100">
        <f t="shared" si="46"/>
        <v>1.2700695893663436E-2</v>
      </c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306</v>
      </c>
      <c r="C102" s="46" t="s">
        <v>218</v>
      </c>
      <c r="D102" s="47">
        <v>3.44</v>
      </c>
      <c r="E102" s="47">
        <v>-2.9403004386372071</v>
      </c>
      <c r="F102" s="96">
        <v>9.9999999999999995E-7</v>
      </c>
      <c r="G102" s="7"/>
      <c r="H102" s="7"/>
      <c r="I102" s="54">
        <f t="shared" si="33"/>
        <v>1.1527504756067957</v>
      </c>
      <c r="J102" s="54">
        <f t="shared" si="34"/>
        <v>2.820617192166893</v>
      </c>
      <c r="K102" s="55">
        <f t="shared" si="35"/>
        <v>6.8905630185462641E-2</v>
      </c>
      <c r="L102" s="55">
        <f t="shared" si="36"/>
        <v>1.5398083512518933E-2</v>
      </c>
      <c r="M102" s="55">
        <f t="shared" si="42"/>
        <v>0.98460191648748108</v>
      </c>
      <c r="N102" s="55">
        <f t="shared" si="37"/>
        <v>3.7917298219310504E-9</v>
      </c>
      <c r="O102" s="56">
        <f t="shared" si="43"/>
        <v>6.9287692725523172E-8</v>
      </c>
      <c r="P102" s="56">
        <f t="shared" si="38"/>
        <v>4.5843027585056995E-5</v>
      </c>
      <c r="Q102" s="56">
        <f t="shared" si="39"/>
        <v>7.9497900803806595E-11</v>
      </c>
      <c r="R102" s="9">
        <f t="shared" si="44"/>
        <v>3.9999999999999996E-5</v>
      </c>
      <c r="S102" s="9">
        <f t="shared" si="45"/>
        <v>6.1592334050075727E-7</v>
      </c>
      <c r="T102" s="9">
        <f t="shared" si="40"/>
        <v>2.7562252074185055E-6</v>
      </c>
      <c r="U102" s="9">
        <f t="shared" si="41"/>
        <v>3.9384076659499238E-5</v>
      </c>
      <c r="V102" s="100">
        <f t="shared" si="46"/>
        <v>6.9983237927547501E-2</v>
      </c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307</v>
      </c>
      <c r="C103" s="46" t="s">
        <v>219</v>
      </c>
      <c r="D103" s="47">
        <v>4.49</v>
      </c>
      <c r="E103" s="47">
        <v>-1.7182004386372074</v>
      </c>
      <c r="F103" s="96">
        <v>9.9999999999999995E-7</v>
      </c>
      <c r="G103" s="7"/>
      <c r="H103" s="7"/>
      <c r="I103" s="54">
        <f t="shared" si="33"/>
        <v>2.1741441801583692</v>
      </c>
      <c r="J103" s="54">
        <f t="shared" si="34"/>
        <v>3.8702475870342981</v>
      </c>
      <c r="K103" s="55">
        <f t="shared" si="35"/>
        <v>6.5525749894589378E-3</v>
      </c>
      <c r="L103" s="55">
        <f t="shared" si="36"/>
        <v>1.6415509109472409E-2</v>
      </c>
      <c r="M103" s="55">
        <f t="shared" si="42"/>
        <v>0.98358449089052757</v>
      </c>
      <c r="N103" s="55">
        <f t="shared" si="37"/>
        <v>6.0130480621527161E-9</v>
      </c>
      <c r="O103" s="56">
        <f t="shared" si="43"/>
        <v>6.5889071939199012E-9</v>
      </c>
      <c r="P103" s="56">
        <f t="shared" si="38"/>
        <v>4.887209738253927E-5</v>
      </c>
      <c r="Q103" s="56">
        <f t="shared" si="39"/>
        <v>1.2607034805293429E-10</v>
      </c>
      <c r="R103" s="9">
        <f t="shared" si="44"/>
        <v>3.9999999999999996E-5</v>
      </c>
      <c r="S103" s="9">
        <f t="shared" si="45"/>
        <v>6.5662036437889632E-7</v>
      </c>
      <c r="T103" s="9">
        <f t="shared" si="40"/>
        <v>2.6210299957835751E-7</v>
      </c>
      <c r="U103" s="9">
        <f t="shared" si="41"/>
        <v>3.9343379635621102E-5</v>
      </c>
      <c r="V103" s="100">
        <f t="shared" si="46"/>
        <v>6.6619340281853182E-3</v>
      </c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308</v>
      </c>
      <c r="C104" s="46" t="s">
        <v>220</v>
      </c>
      <c r="D104" s="47">
        <v>5.17</v>
      </c>
      <c r="E104" s="47">
        <v>4.54</v>
      </c>
      <c r="F104" s="96">
        <v>9.9999999999999995E-7</v>
      </c>
      <c r="G104" s="7"/>
      <c r="H104" s="7"/>
      <c r="I104" s="54">
        <f t="shared" si="33"/>
        <v>2.8598242449089666</v>
      </c>
      <c r="J104" s="54">
        <f t="shared" si="34"/>
        <v>4.6066272802174426</v>
      </c>
      <c r="K104" s="55">
        <f t="shared" si="35"/>
        <v>1.3484971871597765E-3</v>
      </c>
      <c r="L104" s="55">
        <f t="shared" si="36"/>
        <v>1.8410776026687826E-2</v>
      </c>
      <c r="M104" s="55">
        <f t="shared" si="42"/>
        <v>0.98158922397331216</v>
      </c>
      <c r="N104" s="55">
        <f t="shared" si="37"/>
        <v>2.2425036513850204E-3</v>
      </c>
      <c r="O104" s="56">
        <f t="shared" si="43"/>
        <v>1.3559742287194289E-9</v>
      </c>
      <c r="P104" s="56">
        <f t="shared" si="38"/>
        <v>5.4812387045930993E-5</v>
      </c>
      <c r="Q104" s="56">
        <f t="shared" si="39"/>
        <v>4.7016623336097553E-5</v>
      </c>
      <c r="R104" s="9">
        <f t="shared" si="44"/>
        <v>3.9999999999999996E-5</v>
      </c>
      <c r="S104" s="9">
        <f t="shared" si="45"/>
        <v>7.3643104106751297E-7</v>
      </c>
      <c r="T104" s="9">
        <f t="shared" si="40"/>
        <v>5.393988748639106E-8</v>
      </c>
      <c r="U104" s="9">
        <f t="shared" si="41"/>
        <v>3.9263568958932485E-5</v>
      </c>
      <c r="V104" s="100">
        <f t="shared" si="46"/>
        <v>1.3737897220400211E-3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309</v>
      </c>
      <c r="C105" s="46" t="s">
        <v>221</v>
      </c>
      <c r="D105" s="47">
        <v>4.76</v>
      </c>
      <c r="E105" s="47">
        <v>4.8899999999999997</v>
      </c>
      <c r="F105" s="96">
        <v>9.9999999999999995E-7</v>
      </c>
      <c r="G105" s="7"/>
      <c r="H105" s="7"/>
      <c r="I105" s="54">
        <f t="shared" si="33"/>
        <v>2.4867185626172419</v>
      </c>
      <c r="J105" s="54">
        <f t="shared" si="34"/>
        <v>4.3950446753285686</v>
      </c>
      <c r="K105" s="55">
        <f t="shared" si="35"/>
        <v>3.1576819111754973E-3</v>
      </c>
      <c r="L105" s="55">
        <f t="shared" si="36"/>
        <v>2.6485478539496142E-2</v>
      </c>
      <c r="M105" s="55">
        <f t="shared" si="42"/>
        <v>0.97351452146050388</v>
      </c>
      <c r="N105" s="55">
        <f t="shared" si="37"/>
        <v>1.1755781170018471E-2</v>
      </c>
      <c r="O105" s="56">
        <f t="shared" si="43"/>
        <v>3.1751903784580656E-9</v>
      </c>
      <c r="P105" s="56">
        <f t="shared" si="38"/>
        <v>7.885231446513523E-5</v>
      </c>
      <c r="Q105" s="56">
        <f t="shared" si="39"/>
        <v>2.4647323760252347E-4</v>
      </c>
      <c r="R105" s="9">
        <f t="shared" si="44"/>
        <v>3.9999999999999996E-5</v>
      </c>
      <c r="S105" s="9">
        <f t="shared" si="45"/>
        <v>1.0594191415798456E-6</v>
      </c>
      <c r="T105" s="9">
        <f t="shared" si="40"/>
        <v>1.2630727644701988E-7</v>
      </c>
      <c r="U105" s="9">
        <f t="shared" si="41"/>
        <v>3.894058085842015E-5</v>
      </c>
      <c r="V105" s="100">
        <f t="shared" si="46"/>
        <v>3.2435899430017967E-3</v>
      </c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310</v>
      </c>
      <c r="C106" s="46" t="s">
        <v>222</v>
      </c>
      <c r="D106" s="47">
        <v>3.93</v>
      </c>
      <c r="E106" s="47">
        <v>2.91</v>
      </c>
      <c r="F106" s="96">
        <v>9.9999999999999995E-7</v>
      </c>
      <c r="G106" s="7"/>
      <c r="H106" s="7"/>
      <c r="I106" s="54">
        <f t="shared" si="33"/>
        <v>1.6248833107371423</v>
      </c>
      <c r="J106" s="54">
        <f t="shared" si="34"/>
        <v>3.3342066205682497</v>
      </c>
      <c r="K106" s="55">
        <f t="shared" si="35"/>
        <v>2.3198108589391638E-2</v>
      </c>
      <c r="L106" s="55">
        <f t="shared" si="36"/>
        <v>1.691429758520388E-2</v>
      </c>
      <c r="M106" s="55">
        <f t="shared" si="42"/>
        <v>0.98308570241479609</v>
      </c>
      <c r="N106" s="55">
        <f t="shared" si="37"/>
        <v>9.0434822598372676E-4</v>
      </c>
      <c r="O106" s="56">
        <f t="shared" si="43"/>
        <v>2.3326735644516266E-8</v>
      </c>
      <c r="P106" s="56">
        <f t="shared" si="38"/>
        <v>5.0357085682120564E-5</v>
      </c>
      <c r="Q106" s="56">
        <f t="shared" si="39"/>
        <v>1.8960682574355664E-5</v>
      </c>
      <c r="R106" s="9">
        <f t="shared" si="44"/>
        <v>3.9999999999999996E-5</v>
      </c>
      <c r="S106" s="9">
        <f t="shared" si="45"/>
        <v>6.7657190340815516E-7</v>
      </c>
      <c r="T106" s="9">
        <f t="shared" si="40"/>
        <v>9.2792434357566545E-7</v>
      </c>
      <c r="U106" s="9">
        <f t="shared" si="41"/>
        <v>3.9323428096591843E-5</v>
      </c>
      <c r="V106" s="100">
        <f t="shared" si="46"/>
        <v>2.3597239317395338E-2</v>
      </c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311</v>
      </c>
      <c r="C107" s="46" t="s">
        <v>223</v>
      </c>
      <c r="D107" s="47" t="s">
        <v>301</v>
      </c>
      <c r="E107" s="47" t="s">
        <v>312</v>
      </c>
      <c r="F107" s="96">
        <v>9.9999999999999995E-7</v>
      </c>
      <c r="G107" s="7"/>
      <c r="H107" s="7"/>
      <c r="I107" s="54" t="e">
        <f t="shared" si="33"/>
        <v>#VALUE!</v>
      </c>
      <c r="J107" s="54" t="e">
        <f t="shared" si="34"/>
        <v>#VALUE!</v>
      </c>
      <c r="K107" s="55" t="e">
        <f t="shared" si="35"/>
        <v>#VALUE!</v>
      </c>
      <c r="L107" s="55" t="e">
        <f t="shared" si="36"/>
        <v>#VALUE!</v>
      </c>
      <c r="M107" s="55" t="e">
        <f t="shared" si="42"/>
        <v>#VALUE!</v>
      </c>
      <c r="N107" s="55" t="e">
        <f t="shared" si="37"/>
        <v>#VALUE!</v>
      </c>
      <c r="O107" s="56" t="e">
        <f t="shared" si="43"/>
        <v>#VALUE!</v>
      </c>
      <c r="P107" s="56" t="e">
        <f t="shared" si="38"/>
        <v>#VALUE!</v>
      </c>
      <c r="Q107" s="56" t="e">
        <f t="shared" si="39"/>
        <v>#VALUE!</v>
      </c>
      <c r="R107" s="9">
        <f t="shared" si="44"/>
        <v>3.9999999999999996E-5</v>
      </c>
      <c r="S107" s="9"/>
      <c r="T107" s="9"/>
      <c r="U107" s="9"/>
      <c r="V107" s="100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313</v>
      </c>
      <c r="C108" s="46" t="s">
        <v>224</v>
      </c>
      <c r="D108" s="47">
        <v>4.6100000000000003</v>
      </c>
      <c r="E108" s="47">
        <v>4.13</v>
      </c>
      <c r="F108" s="96">
        <v>9.9999999999999995E-7</v>
      </c>
      <c r="G108" s="7"/>
      <c r="H108" s="7"/>
      <c r="I108" s="54">
        <f t="shared" si="33"/>
        <v>2.3046271115114854</v>
      </c>
      <c r="J108" s="54">
        <f t="shared" si="34"/>
        <v>4.0679360505628344</v>
      </c>
      <c r="K108" s="55">
        <f t="shared" si="35"/>
        <v>4.8387986803871946E-3</v>
      </c>
      <c r="L108" s="55">
        <f t="shared" si="36"/>
        <v>1.9110338233287023E-2</v>
      </c>
      <c r="M108" s="55">
        <f t="shared" si="42"/>
        <v>0.98088966176671299</v>
      </c>
      <c r="N108" s="55">
        <f t="shared" si="37"/>
        <v>3.1305501653503156E-3</v>
      </c>
      <c r="O108" s="56">
        <f t="shared" si="43"/>
        <v>4.8656284722299564E-9</v>
      </c>
      <c r="P108" s="56">
        <f t="shared" si="38"/>
        <v>5.6895116984920879E-5</v>
      </c>
      <c r="Q108" s="56">
        <f t="shared" si="39"/>
        <v>6.5635522095193539E-5</v>
      </c>
      <c r="R108" s="9">
        <f t="shared" si="44"/>
        <v>3.9999999999999996E-5</v>
      </c>
      <c r="S108" s="9">
        <f t="shared" si="45"/>
        <v>7.6441352933148083E-7</v>
      </c>
      <c r="T108" s="9">
        <f t="shared" si="40"/>
        <v>1.9355194721548775E-7</v>
      </c>
      <c r="U108" s="9">
        <f t="shared" si="41"/>
        <v>3.9235586470668517E-5</v>
      </c>
      <c r="V108" s="100">
        <f t="shared" si="46"/>
        <v>4.9330713422668492E-3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314</v>
      </c>
      <c r="C109" s="46" t="s">
        <v>225</v>
      </c>
      <c r="D109" s="47">
        <v>4.8099999999999996</v>
      </c>
      <c r="E109" s="47">
        <v>4.82</v>
      </c>
      <c r="F109" s="96">
        <v>9.9999999999999995E-7</v>
      </c>
      <c r="G109" s="7"/>
      <c r="H109" s="7"/>
      <c r="I109" s="54">
        <f t="shared" si="33"/>
        <v>2.5263589248425813</v>
      </c>
      <c r="J109" s="54">
        <f t="shared" si="34"/>
        <v>4.3958183693354318</v>
      </c>
      <c r="K109" s="55">
        <f t="shared" si="35"/>
        <v>2.8887756764138495E-3</v>
      </c>
      <c r="L109" s="55">
        <f t="shared" si="36"/>
        <v>2.4273195712563689E-2</v>
      </c>
      <c r="M109" s="55">
        <f t="shared" si="42"/>
        <v>0.9757268042874363</v>
      </c>
      <c r="N109" s="55">
        <f t="shared" si="37"/>
        <v>9.1537054318843129E-3</v>
      </c>
      <c r="O109" s="56">
        <f t="shared" si="43"/>
        <v>2.904793133472512E-9</v>
      </c>
      <c r="P109" s="56">
        <f t="shared" si="38"/>
        <v>7.2265927102152102E-5</v>
      </c>
      <c r="Q109" s="56">
        <f t="shared" si="39"/>
        <v>1.9191777911027478E-4</v>
      </c>
      <c r="R109" s="9">
        <f t="shared" si="44"/>
        <v>3.9999999999999996E-5</v>
      </c>
      <c r="S109" s="9">
        <f t="shared" si="45"/>
        <v>9.7092782850254744E-7</v>
      </c>
      <c r="T109" s="9">
        <f t="shared" si="40"/>
        <v>1.1555102705655397E-7</v>
      </c>
      <c r="U109" s="9">
        <f t="shared" si="41"/>
        <v>3.9029072171497452E-5</v>
      </c>
      <c r="V109" s="100">
        <f t="shared" si="46"/>
        <v>2.9606398673484163E-3</v>
      </c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204</v>
      </c>
      <c r="C110" s="46" t="s">
        <v>205</v>
      </c>
      <c r="D110" s="47">
        <v>3.19</v>
      </c>
      <c r="E110" s="47">
        <v>1.4</v>
      </c>
      <c r="F110" s="96">
        <v>9.9999999999999995E-7</v>
      </c>
      <c r="G110" s="7"/>
      <c r="H110" s="7"/>
      <c r="I110" s="54">
        <f t="shared" si="33"/>
        <v>0.92627477267552383</v>
      </c>
      <c r="J110" s="54">
        <f t="shared" si="34"/>
        <v>2.575073327711408</v>
      </c>
      <c r="K110" s="55">
        <f t="shared" si="35"/>
        <v>0.11614961315801033</v>
      </c>
      <c r="L110" s="55">
        <f t="shared" si="36"/>
        <v>1.4746395073791605E-2</v>
      </c>
      <c r="M110" s="55">
        <f t="shared" si="42"/>
        <v>0.98525360492620839</v>
      </c>
      <c r="N110" s="55">
        <f t="shared" si="37"/>
        <v>1.3992679334607307E-4</v>
      </c>
      <c r="O110" s="56">
        <f t="shared" si="43"/>
        <v>1.1679363043367787E-7</v>
      </c>
      <c r="P110" s="56">
        <f t="shared" si="38"/>
        <v>4.3902826971834518E-5</v>
      </c>
      <c r="Q110" s="56">
        <f t="shared" si="39"/>
        <v>2.9337233557309984E-6</v>
      </c>
      <c r="R110" s="9">
        <f t="shared" si="44"/>
        <v>3.9999999999999996E-5</v>
      </c>
      <c r="S110" s="9">
        <f t="shared" si="45"/>
        <v>5.8985580295166421E-7</v>
      </c>
      <c r="T110" s="9">
        <f t="shared" si="40"/>
        <v>4.6459845263204123E-6</v>
      </c>
      <c r="U110" s="9">
        <f t="shared" si="41"/>
        <v>3.9410144197048335E-5</v>
      </c>
      <c r="V110" s="100">
        <f t="shared" si="46"/>
        <v>0.11788803672198639</v>
      </c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206</v>
      </c>
      <c r="C111" s="46" t="s">
        <v>207</v>
      </c>
      <c r="D111" s="47">
        <v>2.8380318246143235</v>
      </c>
      <c r="E111" s="47">
        <v>3.5597354124795313</v>
      </c>
      <c r="F111" s="96">
        <v>9.9999999999999995E-7</v>
      </c>
      <c r="G111" s="7"/>
      <c r="H111" s="7"/>
      <c r="I111" s="54">
        <f t="shared" si="33"/>
        <v>0.75430624695958448</v>
      </c>
      <c r="J111" s="54">
        <f t="shared" si="34"/>
        <v>2.8332513634530265</v>
      </c>
      <c r="K111" s="55">
        <f t="shared" si="35"/>
        <v>0.16837610635735056</v>
      </c>
      <c r="L111" s="55">
        <f t="shared" si="36"/>
        <v>3.873705457131419E-2</v>
      </c>
      <c r="M111" s="55">
        <f t="shared" si="42"/>
        <v>0.96126294542868584</v>
      </c>
      <c r="N111" s="55">
        <f t="shared" si="37"/>
        <v>2.9302116374034744E-2</v>
      </c>
      <c r="O111" s="56">
        <f t="shared" si="43"/>
        <v>1.6930970500099178E-7</v>
      </c>
      <c r="P111" s="56">
        <f t="shared" si="38"/>
        <v>1.153275899453874E-4</v>
      </c>
      <c r="Q111" s="56">
        <f t="shared" si="39"/>
        <v>6.1435198451409347E-4</v>
      </c>
      <c r="R111" s="9">
        <f t="shared" si="44"/>
        <v>3.9999999999999996E-5</v>
      </c>
      <c r="S111" s="9">
        <f t="shared" si="45"/>
        <v>1.5494821828525676E-6</v>
      </c>
      <c r="T111" s="9">
        <f t="shared" si="40"/>
        <v>6.7350442542940218E-6</v>
      </c>
      <c r="U111" s="9">
        <f t="shared" si="41"/>
        <v>3.845051781714743E-5</v>
      </c>
      <c r="V111" s="100">
        <f t="shared" si="46"/>
        <v>0.17516134077368536</v>
      </c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208</v>
      </c>
      <c r="C112" s="46" t="s">
        <v>209</v>
      </c>
      <c r="D112" s="47">
        <v>5.4191360000000008</v>
      </c>
      <c r="E112" s="47">
        <v>6.7333169999999996</v>
      </c>
      <c r="F112" s="96">
        <v>9.9999999999999995E-7</v>
      </c>
      <c r="G112" s="7"/>
      <c r="H112" s="7"/>
      <c r="I112" s="54">
        <f t="shared" si="33"/>
        <v>3.5207953657582807</v>
      </c>
      <c r="J112" s="54">
        <f t="shared" si="34"/>
        <v>5.9198274752242268</v>
      </c>
      <c r="K112" s="55">
        <f t="shared" si="35"/>
        <v>2.76589146313211E-4</v>
      </c>
      <c r="L112" s="55">
        <f t="shared" si="36"/>
        <v>7.7670728521351581E-2</v>
      </c>
      <c r="M112" s="55">
        <f t="shared" si="42"/>
        <v>0.9223292714786484</v>
      </c>
      <c r="N112" s="55">
        <f t="shared" si="37"/>
        <v>7.1785255065710263E-2</v>
      </c>
      <c r="O112" s="56">
        <f t="shared" si="43"/>
        <v>2.7812275614319399E-10</v>
      </c>
      <c r="P112" s="56">
        <f t="shared" si="38"/>
        <v>2.3124055323254416E-4</v>
      </c>
      <c r="Q112" s="56">
        <f t="shared" si="39"/>
        <v>1.5050589979756113E-3</v>
      </c>
      <c r="R112" s="9">
        <f t="shared" si="44"/>
        <v>3.9999999999999996E-5</v>
      </c>
      <c r="S112" s="9">
        <f t="shared" si="45"/>
        <v>3.1068291408540628E-6</v>
      </c>
      <c r="T112" s="9">
        <f t="shared" si="40"/>
        <v>1.1063565852528438E-8</v>
      </c>
      <c r="U112" s="9">
        <f t="shared" si="41"/>
        <v>3.6893170859145931E-5</v>
      </c>
      <c r="V112" s="100">
        <f t="shared" si="46"/>
        <v>2.9988113233118171E-4</v>
      </c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210</v>
      </c>
      <c r="C113" s="46" t="s">
        <v>211</v>
      </c>
      <c r="D113" s="47">
        <v>5.6895360000000004</v>
      </c>
      <c r="E113" s="47">
        <v>7.1197670000000004</v>
      </c>
      <c r="F113" s="96">
        <v>9.9999999999999995E-7</v>
      </c>
      <c r="G113" s="7"/>
      <c r="H113" s="7"/>
      <c r="I113" s="54">
        <f t="shared" si="33"/>
        <v>3.8666483056990257</v>
      </c>
      <c r="J113" s="54">
        <f t="shared" si="34"/>
        <v>6.2984912087723171</v>
      </c>
      <c r="K113" s="55">
        <f t="shared" si="35"/>
        <v>1.2397755098767882E-4</v>
      </c>
      <c r="L113" s="55">
        <f t="shared" si="36"/>
        <v>8.3258586126303602E-2</v>
      </c>
      <c r="M113" s="55">
        <f t="shared" si="42"/>
        <v>0.91674141387369645</v>
      </c>
      <c r="N113" s="55">
        <f t="shared" si="37"/>
        <v>7.8341731700853304E-2</v>
      </c>
      <c r="O113" s="56">
        <f t="shared" si="43"/>
        <v>1.2466497199976949E-10</v>
      </c>
      <c r="P113" s="56">
        <f t="shared" si="38"/>
        <v>2.4787666967631582E-4</v>
      </c>
      <c r="Q113" s="56">
        <f t="shared" si="39"/>
        <v>1.6425229401975355E-3</v>
      </c>
      <c r="R113" s="9">
        <f t="shared" si="44"/>
        <v>3.9999999999999996E-5</v>
      </c>
      <c r="S113" s="9">
        <f t="shared" si="45"/>
        <v>3.3303434450521438E-6</v>
      </c>
      <c r="T113" s="9">
        <f t="shared" si="40"/>
        <v>4.9591020395071521E-9</v>
      </c>
      <c r="U113" s="9">
        <f t="shared" si="41"/>
        <v>3.6669656554947857E-5</v>
      </c>
      <c r="V113" s="100">
        <f t="shared" si="46"/>
        <v>1.3523720987340467E-4</v>
      </c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107</v>
      </c>
      <c r="C114" s="46" t="s">
        <v>108</v>
      </c>
      <c r="D114" s="47">
        <v>6.0065360000000005</v>
      </c>
      <c r="E114" s="47">
        <v>7.5552170000000007</v>
      </c>
      <c r="F114" s="96">
        <v>9.9999999999999995E-7</v>
      </c>
      <c r="G114" s="7"/>
      <c r="H114" s="7"/>
      <c r="I114" s="54">
        <f t="shared" si="33"/>
        <v>4.2676323009395754</v>
      </c>
      <c r="J114" s="54">
        <f t="shared" si="34"/>
        <v>6.7277753052884339</v>
      </c>
      <c r="K114" s="55">
        <f t="shared" si="35"/>
        <v>4.8970119720417764E-5</v>
      </c>
      <c r="L114" s="55">
        <f t="shared" si="36"/>
        <v>8.8369264557054003E-2</v>
      </c>
      <c r="M114" s="55">
        <f t="shared" si="42"/>
        <v>0.91163073544294604</v>
      </c>
      <c r="N114" s="55">
        <f t="shared" si="37"/>
        <v>8.4339550051173204E-2</v>
      </c>
      <c r="O114" s="56">
        <f t="shared" si="43"/>
        <v>4.9241645403835691E-11</v>
      </c>
      <c r="P114" s="56">
        <f t="shared" si="38"/>
        <v>2.630921328272179E-4</v>
      </c>
      <c r="Q114" s="56">
        <f t="shared" si="39"/>
        <v>1.7682739801305838E-3</v>
      </c>
      <c r="R114" s="9">
        <f t="shared" si="44"/>
        <v>3.9999999999999996E-5</v>
      </c>
      <c r="S114" s="9">
        <f t="shared" si="45"/>
        <v>3.5347705822821596E-6</v>
      </c>
      <c r="T114" s="9">
        <f t="shared" si="40"/>
        <v>1.9588047888167102E-9</v>
      </c>
      <c r="U114" s="9">
        <f t="shared" si="41"/>
        <v>3.6465229417717839E-5</v>
      </c>
      <c r="V114" s="100">
        <f t="shared" si="46"/>
        <v>5.3717056497249412E-5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109</v>
      </c>
      <c r="C115" s="46" t="s">
        <v>110</v>
      </c>
      <c r="D115" s="47">
        <v>4.6510502998865109</v>
      </c>
      <c r="E115" s="47">
        <v>6.1388180322329244</v>
      </c>
      <c r="F115" s="96">
        <v>9.9999999999999995E-7</v>
      </c>
      <c r="G115" s="7"/>
      <c r="H115" s="7"/>
      <c r="I115" s="54">
        <f t="shared" si="33"/>
        <v>2.8686693929579801</v>
      </c>
      <c r="J115" s="54">
        <f t="shared" si="34"/>
        <v>5.3143493213259028</v>
      </c>
      <c r="K115" s="55">
        <f t="shared" si="35"/>
        <v>1.2307020963806244E-3</v>
      </c>
      <c r="L115" s="55">
        <f t="shared" si="36"/>
        <v>8.5722934841828011E-2</v>
      </c>
      <c r="M115" s="55">
        <f t="shared" si="42"/>
        <v>0.91427706515817198</v>
      </c>
      <c r="N115" s="55">
        <f t="shared" si="37"/>
        <v>8.1255746881011656E-2</v>
      </c>
      <c r="O115" s="56">
        <f t="shared" si="43"/>
        <v>1.2375259969492052E-9</v>
      </c>
      <c r="P115" s="56">
        <f t="shared" si="38"/>
        <v>2.5521350520218712E-4</v>
      </c>
      <c r="Q115" s="56">
        <f t="shared" si="39"/>
        <v>1.7036185616189573E-3</v>
      </c>
      <c r="R115" s="9">
        <f t="shared" si="44"/>
        <v>3.9999999999999996E-5</v>
      </c>
      <c r="S115" s="9">
        <f t="shared" si="45"/>
        <v>3.4289173936731199E-6</v>
      </c>
      <c r="T115" s="9">
        <f t="shared" si="40"/>
        <v>4.9228083855224973E-8</v>
      </c>
      <c r="U115" s="9">
        <f t="shared" si="41"/>
        <v>3.6571082606326875E-5</v>
      </c>
      <c r="V115" s="100">
        <f t="shared" si="46"/>
        <v>1.3460931519349774E-3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226</v>
      </c>
      <c r="C116" s="46" t="s">
        <v>227</v>
      </c>
      <c r="D116" s="47">
        <v>-0.1223633442417989</v>
      </c>
      <c r="E116" s="47">
        <v>-0.65153095448481257</v>
      </c>
      <c r="F116" s="96">
        <v>9.9999999999999995E-7</v>
      </c>
      <c r="G116" s="7"/>
      <c r="H116" s="7"/>
      <c r="I116" s="54">
        <f t="shared" si="33"/>
        <v>-6.405424315775722E-4</v>
      </c>
      <c r="J116" s="54">
        <f t="shared" si="34"/>
        <v>-8.0530405253931125E-2</v>
      </c>
      <c r="K116" s="55">
        <f t="shared" si="35"/>
        <v>0.99600991791377258</v>
      </c>
      <c r="L116" s="55">
        <f t="shared" si="36"/>
        <v>2.7946538766330012E-4</v>
      </c>
      <c r="M116" s="55">
        <f t="shared" si="42"/>
        <v>0.99972053461233668</v>
      </c>
      <c r="N116" s="55">
        <f t="shared" si="37"/>
        <v>1.0656530259720843E-5</v>
      </c>
      <c r="O116" s="56">
        <f t="shared" si="43"/>
        <v>1.0015325156774006E-6</v>
      </c>
      <c r="P116" s="56">
        <f t="shared" si="38"/>
        <v>8.3202169057605689E-7</v>
      </c>
      <c r="Q116" s="56">
        <f t="shared" si="39"/>
        <v>2.2342619998927131E-7</v>
      </c>
      <c r="R116" s="9">
        <f t="shared" si="44"/>
        <v>3.9999999999999996E-5</v>
      </c>
      <c r="S116" s="9">
        <f t="shared" si="45"/>
        <v>1.1178615506532004E-8</v>
      </c>
      <c r="T116" s="9">
        <f t="shared" si="40"/>
        <v>3.9840396716550898E-5</v>
      </c>
      <c r="U116" s="9">
        <f t="shared" si="41"/>
        <v>3.9988821384493466E-5</v>
      </c>
      <c r="V116" s="100">
        <f t="shared" si="46"/>
        <v>0.99628834602261829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228</v>
      </c>
      <c r="C117" s="46" t="s">
        <v>229</v>
      </c>
      <c r="D117" s="47">
        <v>1.8253520000000001</v>
      </c>
      <c r="E117" s="47">
        <v>2.0793489999999997</v>
      </c>
      <c r="F117" s="96">
        <v>9.9999999999999995E-7</v>
      </c>
      <c r="G117" s="7"/>
      <c r="H117" s="7"/>
      <c r="I117" s="54">
        <f t="shared" si="33"/>
        <v>0.13401854480859055</v>
      </c>
      <c r="J117" s="54">
        <f t="shared" si="34"/>
        <v>1.5278597886488656</v>
      </c>
      <c r="K117" s="55">
        <f t="shared" si="35"/>
        <v>0.72464801939809531</v>
      </c>
      <c r="L117" s="55">
        <f t="shared" si="36"/>
        <v>8.2524265528590608E-3</v>
      </c>
      <c r="M117" s="55">
        <f t="shared" si="42"/>
        <v>0.99174757344714093</v>
      </c>
      <c r="N117" s="55">
        <f t="shared" si="37"/>
        <v>4.1721433657485882E-3</v>
      </c>
      <c r="O117" s="56">
        <f t="shared" si="43"/>
        <v>7.2866599096581596E-7</v>
      </c>
      <c r="P117" s="56">
        <f t="shared" si="38"/>
        <v>2.4569045738633409E-5</v>
      </c>
      <c r="Q117" s="56">
        <f t="shared" si="39"/>
        <v>8.7473700660619565E-5</v>
      </c>
      <c r="R117" s="9">
        <f t="shared" si="44"/>
        <v>3.9999999999999996E-5</v>
      </c>
      <c r="S117" s="9">
        <f t="shared" si="45"/>
        <v>3.3009706211436243E-7</v>
      </c>
      <c r="T117" s="9">
        <f t="shared" si="40"/>
        <v>2.8985920775923811E-5</v>
      </c>
      <c r="U117" s="9">
        <f t="shared" si="41"/>
        <v>3.9669902937885637E-5</v>
      </c>
      <c r="V117" s="100">
        <f t="shared" si="46"/>
        <v>0.73067788497767194</v>
      </c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230</v>
      </c>
      <c r="C118" s="46" t="s">
        <v>231</v>
      </c>
      <c r="D118" s="47">
        <v>2.848199987724402</v>
      </c>
      <c r="E118" s="47">
        <v>3.5741999825375301</v>
      </c>
      <c r="F118" s="96">
        <v>9.9999999999999995E-7</v>
      </c>
      <c r="G118" s="7"/>
      <c r="H118" s="7"/>
      <c r="I118" s="54">
        <f t="shared" si="33"/>
        <v>0.76376170277705713</v>
      </c>
      <c r="J118" s="54">
        <f t="shared" si="34"/>
        <v>2.8466643436404468</v>
      </c>
      <c r="K118" s="55">
        <f t="shared" si="35"/>
        <v>0.16469144134133071</v>
      </c>
      <c r="L118" s="55">
        <f t="shared" si="36"/>
        <v>3.9077803400437316E-2</v>
      </c>
      <c r="M118" s="55">
        <f t="shared" si="42"/>
        <v>0.96092219659956268</v>
      </c>
      <c r="N118" s="55">
        <f t="shared" si="37"/>
        <v>2.9631533439797447E-2</v>
      </c>
      <c r="O118" s="56">
        <f t="shared" si="43"/>
        <v>1.6560460954305444E-7</v>
      </c>
      <c r="P118" s="56">
        <f t="shared" si="38"/>
        <v>1.1634206411422582E-4</v>
      </c>
      <c r="Q118" s="56">
        <f t="shared" si="39"/>
        <v>6.2125858557665213E-4</v>
      </c>
      <c r="R118" s="9">
        <f t="shared" si="44"/>
        <v>3.9999999999999996E-5</v>
      </c>
      <c r="S118" s="9">
        <f t="shared" si="45"/>
        <v>1.5631121360174926E-6</v>
      </c>
      <c r="T118" s="9">
        <f t="shared" si="40"/>
        <v>6.5876576536532276E-6</v>
      </c>
      <c r="U118" s="9">
        <f t="shared" si="41"/>
        <v>3.8436887863982506E-5</v>
      </c>
      <c r="V118" s="100">
        <f t="shared" si="46"/>
        <v>0.17138894483250369</v>
      </c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232</v>
      </c>
      <c r="C119" s="46" t="s">
        <v>233</v>
      </c>
      <c r="D119" s="47">
        <v>-0.98996462433878363</v>
      </c>
      <c r="E119" s="47">
        <v>-1.885724324763622</v>
      </c>
      <c r="F119" s="96">
        <v>9.9999999999999995E-7</v>
      </c>
      <c r="G119" s="7"/>
      <c r="H119" s="7"/>
      <c r="I119" s="54">
        <f t="shared" si="33"/>
        <v>-2.0389427152517209E-3</v>
      </c>
      <c r="J119" s="54">
        <f t="shared" si="34"/>
        <v>-0.19083877645329236</v>
      </c>
      <c r="K119" s="55">
        <f t="shared" si="35"/>
        <v>0.99928411625579383</v>
      </c>
      <c r="L119" s="55">
        <f t="shared" si="36"/>
        <v>2.1749284658785853E-4</v>
      </c>
      <c r="M119" s="55">
        <f t="shared" si="42"/>
        <v>0.9997825071534121</v>
      </c>
      <c r="N119" s="55">
        <f t="shared" si="37"/>
        <v>6.2351624572075621E-7</v>
      </c>
      <c r="O119" s="56">
        <f t="shared" si="43"/>
        <v>1.0048248685378821E-6</v>
      </c>
      <c r="P119" s="56">
        <f t="shared" si="38"/>
        <v>6.4751763150092888E-7</v>
      </c>
      <c r="Q119" s="56">
        <f t="shared" si="39"/>
        <v>1.3072722735985047E-8</v>
      </c>
      <c r="R119" s="9">
        <f t="shared" si="44"/>
        <v>3.9999999999999996E-5</v>
      </c>
      <c r="S119" s="9">
        <f t="shared" si="45"/>
        <v>8.6997138635143403E-9</v>
      </c>
      <c r="T119" s="9">
        <f t="shared" si="40"/>
        <v>3.997136465023175E-5</v>
      </c>
      <c r="U119" s="9">
        <f t="shared" si="41"/>
        <v>3.9991300286136482E-5</v>
      </c>
      <c r="V119" s="100">
        <f t="shared" si="46"/>
        <v>0.99950150068234611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234</v>
      </c>
      <c r="C120" s="46" t="s">
        <v>235</v>
      </c>
      <c r="D120" s="47">
        <v>-7.2373500000194575</v>
      </c>
      <c r="E120" s="47">
        <v>-10.772850000027681</v>
      </c>
      <c r="F120" s="96">
        <v>9.9999999999999995E-7</v>
      </c>
      <c r="G120" s="7"/>
      <c r="H120" s="7"/>
      <c r="I120" s="54">
        <f t="shared" si="33"/>
        <v>-2.255492076189E-3</v>
      </c>
      <c r="J120" s="54">
        <f t="shared" si="34"/>
        <v>-0.20901151514484168</v>
      </c>
      <c r="K120" s="55">
        <f t="shared" si="35"/>
        <v>0.99979131405751787</v>
      </c>
      <c r="L120" s="55">
        <f t="shared" si="36"/>
        <v>2.0868566318529472E-4</v>
      </c>
      <c r="M120" s="55">
        <f t="shared" si="42"/>
        <v>0.99979131433681467</v>
      </c>
      <c r="N120" s="55">
        <f t="shared" si="37"/>
        <v>8.0898873339325687E-16</v>
      </c>
      <c r="O120" s="56">
        <f t="shared" si="43"/>
        <v>1.0053348786102422E-6</v>
      </c>
      <c r="P120" s="56">
        <f t="shared" si="38"/>
        <v>6.2129696895275293E-7</v>
      </c>
      <c r="Q120" s="56">
        <f t="shared" si="39"/>
        <v>1.6961363045097191E-17</v>
      </c>
      <c r="R120" s="9">
        <f t="shared" si="44"/>
        <v>3.9999999999999996E-5</v>
      </c>
      <c r="S120" s="9">
        <f t="shared" si="45"/>
        <v>8.3474265274117883E-9</v>
      </c>
      <c r="T120" s="9">
        <f t="shared" si="40"/>
        <v>3.9991652562300709E-5</v>
      </c>
      <c r="U120" s="9">
        <f t="shared" si="41"/>
        <v>3.9991652573472585E-5</v>
      </c>
      <c r="V120" s="100">
        <f t="shared" si="46"/>
        <v>0.99999999972064491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236</v>
      </c>
      <c r="C121" s="46" t="s">
        <v>237</v>
      </c>
      <c r="D121" s="47">
        <v>0.89837073464087869</v>
      </c>
      <c r="E121" s="47">
        <v>0.80049921406660218</v>
      </c>
      <c r="F121" s="96">
        <v>9.9999999999999995E-7</v>
      </c>
      <c r="G121" s="7"/>
      <c r="H121" s="7"/>
      <c r="I121" s="54">
        <f t="shared" si="33"/>
        <v>1.502652106892244E-2</v>
      </c>
      <c r="J121" s="54">
        <f t="shared" si="34"/>
        <v>0.5332939464998927</v>
      </c>
      <c r="K121" s="55">
        <f t="shared" si="35"/>
        <v>0.95992428890220105</v>
      </c>
      <c r="L121" s="55">
        <f t="shared" si="36"/>
        <v>1.1069441178402357E-3</v>
      </c>
      <c r="M121" s="55">
        <f t="shared" si="42"/>
        <v>0.99889305588215982</v>
      </c>
      <c r="N121" s="55">
        <f t="shared" si="37"/>
        <v>2.9081667772455373E-4</v>
      </c>
      <c r="O121" s="56">
        <f t="shared" si="43"/>
        <v>9.6524680189709909E-7</v>
      </c>
      <c r="P121" s="56">
        <f t="shared" si="38"/>
        <v>3.2955834853090183E-6</v>
      </c>
      <c r="Q121" s="56">
        <f t="shared" si="39"/>
        <v>6.097300304499272E-6</v>
      </c>
      <c r="R121" s="9">
        <f t="shared" si="44"/>
        <v>3.9999999999999996E-5</v>
      </c>
      <c r="S121" s="9">
        <f t="shared" si="45"/>
        <v>4.4277764713609428E-8</v>
      </c>
      <c r="T121" s="9">
        <f t="shared" si="40"/>
        <v>3.8396971556088039E-5</v>
      </c>
      <c r="U121" s="9">
        <f t="shared" si="41"/>
        <v>3.9955722235286387E-5</v>
      </c>
      <c r="V121" s="100">
        <f t="shared" si="46"/>
        <v>0.96098804897032342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238</v>
      </c>
      <c r="C122" s="46" t="s">
        <v>239</v>
      </c>
      <c r="D122" s="47">
        <v>5.1201999877244022</v>
      </c>
      <c r="E122" s="47">
        <v>6.8061999825375299</v>
      </c>
      <c r="F122" s="96">
        <v>9.9999999999999995E-7</v>
      </c>
      <c r="G122" s="7"/>
      <c r="H122" s="7"/>
      <c r="I122" s="54">
        <f t="shared" si="33"/>
        <v>3.4865950332654698</v>
      </c>
      <c r="J122" s="54">
        <f t="shared" si="34"/>
        <v>5.9733565938903412</v>
      </c>
      <c r="K122" s="55">
        <f t="shared" si="35"/>
        <v>2.9413678332097115E-4</v>
      </c>
      <c r="L122" s="55">
        <f t="shared" si="36"/>
        <v>9.3433087883345534E-2</v>
      </c>
      <c r="M122" s="55">
        <f t="shared" si="42"/>
        <v>0.90656691211665441</v>
      </c>
      <c r="N122" s="55">
        <f t="shared" si="37"/>
        <v>9.0288499418847742E-2</v>
      </c>
      <c r="O122" s="56">
        <f t="shared" si="43"/>
        <v>2.957676899139211E-10</v>
      </c>
      <c r="P122" s="56">
        <f t="shared" si="38"/>
        <v>2.7816809940736453E-4</v>
      </c>
      <c r="Q122" s="56">
        <f t="shared" si="39"/>
        <v>1.8930004266149501E-3</v>
      </c>
      <c r="R122" s="9">
        <f t="shared" si="44"/>
        <v>3.9999999999999996E-5</v>
      </c>
      <c r="S122" s="9">
        <f t="shared" si="45"/>
        <v>3.7373235153338208E-6</v>
      </c>
      <c r="T122" s="9">
        <f t="shared" si="40"/>
        <v>1.1765471332838845E-8</v>
      </c>
      <c r="U122" s="9">
        <f t="shared" si="41"/>
        <v>3.6262676484666176E-5</v>
      </c>
      <c r="V122" s="100">
        <f t="shared" si="46"/>
        <v>3.2445126707108683E-4</v>
      </c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240</v>
      </c>
      <c r="C123" s="46" t="s">
        <v>241</v>
      </c>
      <c r="D123" s="47">
        <v>1.6430320000000003</v>
      </c>
      <c r="E123" s="47">
        <v>1.9699289999999996</v>
      </c>
      <c r="F123" s="96">
        <v>9.9999999999999995E-7</v>
      </c>
      <c r="G123" s="7"/>
      <c r="H123" s="7"/>
      <c r="I123" s="54">
        <f t="shared" ref="I123:I127" si="47">IF(D123=0,"",LOG($K$15*10^D123+$K$16*10^E123+$K$14))</f>
        <v>9.3867444440884892E-2</v>
      </c>
      <c r="J123" s="54">
        <f t="shared" ref="J123:J127" si="48">IF(D123=0,"",LOG($K$21*10^D123+$K$22*10^E123+$K$20))</f>
        <v>1.3877069023096393</v>
      </c>
      <c r="K123" s="55">
        <f t="shared" ref="K123:K127" si="49">IF(D123=0,"",1/(1+10^D123*$J$15/$J$14+10^E123*$J$16/$J$14+10^J123*$J$19/$J$14))</f>
        <v>0.796188631347308</v>
      </c>
      <c r="L123" s="55">
        <f t="shared" ref="L123:L127" si="50">IF(D123=0,"",1/(1+10^I123/10^J123*$J$13/$J$19))</f>
        <v>6.5662534797998433E-3</v>
      </c>
      <c r="M123" s="55">
        <f t="shared" si="42"/>
        <v>0.99343374652020011</v>
      </c>
      <c r="N123" s="55">
        <f t="shared" ref="N123:N127" si="51">IF(D123=0,"",1/(1/10^E123*$J$20/$J$22+10^D123/10^E123*$J$21/$J$22+10^I123/10^E123*$J$13/$J$22+1))</f>
        <v>3.5631006140817434E-3</v>
      </c>
      <c r="O123" s="56">
        <f t="shared" si="43"/>
        <v>8.0060327569554357E-7</v>
      </c>
      <c r="P123" s="56">
        <f t="shared" ref="P123:P127" si="52">IF(D123=0,"",O123*10^J123)</f>
        <v>1.9548987324312676E-5</v>
      </c>
      <c r="Q123" s="56">
        <f t="shared" ref="Q123:Q127" si="53">IF(D123=0,"",F123*N123*$J$7/$J$22)</f>
        <v>7.470443108417329E-5</v>
      </c>
      <c r="R123" s="9">
        <f t="shared" si="44"/>
        <v>3.9999999999999996E-5</v>
      </c>
      <c r="S123" s="9">
        <f t="shared" si="45"/>
        <v>2.6265013919199369E-7</v>
      </c>
      <c r="T123" s="9">
        <f t="shared" si="40"/>
        <v>3.1847545253892318E-5</v>
      </c>
      <c r="U123" s="9">
        <f t="shared" si="41"/>
        <v>3.9737349860808004E-5</v>
      </c>
      <c r="V123" s="100">
        <f t="shared" si="46"/>
        <v>0.8014511628341574</v>
      </c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242</v>
      </c>
      <c r="C124" s="46" t="s">
        <v>243</v>
      </c>
      <c r="D124" s="47">
        <v>1.9888079999999992</v>
      </c>
      <c r="E124" s="47">
        <v>1.7269960000000002</v>
      </c>
      <c r="F124" s="96">
        <v>9.9999999999999995E-7</v>
      </c>
      <c r="G124" s="7"/>
      <c r="H124" s="7"/>
      <c r="I124" s="54">
        <f t="shared" si="47"/>
        <v>0.17110445915344102</v>
      </c>
      <c r="J124" s="54">
        <f t="shared" si="48"/>
        <v>1.4994216752369602</v>
      </c>
      <c r="K124" s="55">
        <f t="shared" si="49"/>
        <v>0.66610608746718236</v>
      </c>
      <c r="L124" s="55">
        <f t="shared" si="50"/>
        <v>7.1049307196268301E-3</v>
      </c>
      <c r="M124" s="55">
        <f t="shared" si="42"/>
        <v>0.99289506928037319</v>
      </c>
      <c r="N124" s="55">
        <f t="shared" si="51"/>
        <v>1.7038153109427856E-3</v>
      </c>
      <c r="O124" s="56">
        <f t="shared" si="43"/>
        <v>6.6979946031701349E-7</v>
      </c>
      <c r="P124" s="56">
        <f t="shared" si="52"/>
        <v>2.1152732072466151E-5</v>
      </c>
      <c r="Q124" s="56">
        <f t="shared" si="53"/>
        <v>3.572241349948153E-5</v>
      </c>
      <c r="R124" s="9">
        <f t="shared" si="44"/>
        <v>3.9999999999999996E-5</v>
      </c>
      <c r="S124" s="9">
        <f t="shared" si="45"/>
        <v>2.841972287850732E-7</v>
      </c>
      <c r="T124" s="9">
        <f t="shared" si="40"/>
        <v>2.6644243498687293E-5</v>
      </c>
      <c r="U124" s="9">
        <f t="shared" si="41"/>
        <v>3.9715802771214922E-5</v>
      </c>
      <c r="V124" s="100">
        <f t="shared" si="46"/>
        <v>0.67087259074613015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244</v>
      </c>
      <c r="C125" s="46" t="s">
        <v>245</v>
      </c>
      <c r="D125" s="47">
        <v>0.57692000000000121</v>
      </c>
      <c r="E125" s="47">
        <v>0.1355349999999973</v>
      </c>
      <c r="F125" s="96">
        <v>9.9999999999999995E-7</v>
      </c>
      <c r="G125" s="7"/>
      <c r="H125" s="7"/>
      <c r="I125" s="54">
        <f t="shared" si="47"/>
        <v>5.8063156695311677E-3</v>
      </c>
      <c r="J125" s="54">
        <f t="shared" si="48"/>
        <v>0.23502720558428336</v>
      </c>
      <c r="K125" s="55">
        <f t="shared" si="49"/>
        <v>0.98104943954838297</v>
      </c>
      <c r="L125" s="55">
        <f t="shared" si="50"/>
        <v>5.6926288464345394E-4</v>
      </c>
      <c r="M125" s="55">
        <f t="shared" si="42"/>
        <v>0.99943073711535657</v>
      </c>
      <c r="N125" s="55">
        <f t="shared" si="51"/>
        <v>6.4284905227452157E-5</v>
      </c>
      <c r="O125" s="56">
        <f t="shared" si="43"/>
        <v>9.8648908562360165E-7</v>
      </c>
      <c r="P125" s="56">
        <f t="shared" si="52"/>
        <v>1.6948040386092093E-6</v>
      </c>
      <c r="Q125" s="56">
        <f t="shared" si="53"/>
        <v>1.3478056873660421E-6</v>
      </c>
      <c r="R125" s="9">
        <f t="shared" si="44"/>
        <v>3.9999999999999996E-5</v>
      </c>
      <c r="S125" s="9">
        <f t="shared" si="45"/>
        <v>2.2770515385738156E-8</v>
      </c>
      <c r="T125" s="9">
        <f t="shared" si="40"/>
        <v>3.9241977581935316E-5</v>
      </c>
      <c r="U125" s="9">
        <f t="shared" si="41"/>
        <v>3.9977229484614261E-5</v>
      </c>
      <c r="V125" s="100">
        <f t="shared" si="46"/>
        <v>0.98160823268250952</v>
      </c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246</v>
      </c>
      <c r="C126" s="46" t="s">
        <v>247</v>
      </c>
      <c r="D126" s="47">
        <v>4.3320999877244022</v>
      </c>
      <c r="E126" s="47">
        <v>5.6850999825375297</v>
      </c>
      <c r="F126" s="96">
        <v>9.9999999999999995E-7</v>
      </c>
      <c r="G126" s="7"/>
      <c r="H126" s="7"/>
      <c r="I126" s="54">
        <f t="shared" si="47"/>
        <v>2.4596069923312118</v>
      </c>
      <c r="J126" s="54">
        <f t="shared" si="48"/>
        <v>4.8687907701634652</v>
      </c>
      <c r="K126" s="55">
        <f t="shared" si="49"/>
        <v>3.1785310916836993E-3</v>
      </c>
      <c r="L126" s="55">
        <f t="shared" si="50"/>
        <v>7.936189031729296E-2</v>
      </c>
      <c r="M126" s="55">
        <f t="shared" si="42"/>
        <v>0.92063810968270698</v>
      </c>
      <c r="N126" s="55">
        <f t="shared" si="51"/>
        <v>7.3826037757245902E-2</v>
      </c>
      <c r="O126" s="56">
        <f t="shared" si="43"/>
        <v>3.1961551618689863E-9</v>
      </c>
      <c r="P126" s="56">
        <f t="shared" si="52"/>
        <v>2.3627546402511796E-4</v>
      </c>
      <c r="Q126" s="56">
        <f t="shared" si="53"/>
        <v>1.547846313420782E-3</v>
      </c>
      <c r="R126" s="9">
        <f t="shared" si="44"/>
        <v>3.9999999999999996E-5</v>
      </c>
      <c r="S126" s="9">
        <f t="shared" si="45"/>
        <v>3.1744756126917183E-6</v>
      </c>
      <c r="T126" s="9">
        <f t="shared" si="40"/>
        <v>1.2714124366734795E-7</v>
      </c>
      <c r="U126" s="9">
        <f t="shared" si="41"/>
        <v>3.6825524387308276E-5</v>
      </c>
      <c r="V126" s="100">
        <f t="shared" si="46"/>
        <v>3.4525304332439196E-3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248</v>
      </c>
      <c r="C127" s="46" t="s">
        <v>249</v>
      </c>
      <c r="D127" s="47">
        <v>2.713299987724402</v>
      </c>
      <c r="E127" s="47">
        <v>3.3822999825375302</v>
      </c>
      <c r="F127" s="96">
        <v>9.9999999999999995E-7</v>
      </c>
      <c r="G127" s="7"/>
      <c r="H127" s="7"/>
      <c r="I127" s="54">
        <f t="shared" si="47"/>
        <v>0.64263545610035988</v>
      </c>
      <c r="J127" s="54">
        <f t="shared" si="48"/>
        <v>2.669397404558385</v>
      </c>
      <c r="K127" s="55">
        <f t="shared" si="49"/>
        <v>0.21870572050346801</v>
      </c>
      <c r="L127" s="55">
        <f t="shared" si="50"/>
        <v>3.4502639208749422E-2</v>
      </c>
      <c r="M127" s="55">
        <f t="shared" si="42"/>
        <v>0.96549736079125059</v>
      </c>
      <c r="N127" s="55">
        <f t="shared" si="51"/>
        <v>2.5295498306360794E-2</v>
      </c>
      <c r="O127" s="56">
        <f t="shared" si="43"/>
        <v>2.1991838284871352E-7</v>
      </c>
      <c r="P127" s="56">
        <f t="shared" si="52"/>
        <v>1.0272092885572495E-4</v>
      </c>
      <c r="Q127" s="56">
        <f t="shared" si="53"/>
        <v>5.3034870879006824E-4</v>
      </c>
      <c r="R127" s="9">
        <f t="shared" si="44"/>
        <v>3.9999999999999996E-5</v>
      </c>
      <c r="S127" s="9">
        <f t="shared" si="45"/>
        <v>1.3801055683499769E-6</v>
      </c>
      <c r="T127" s="9">
        <f t="shared" si="40"/>
        <v>8.7482288201387197E-6</v>
      </c>
      <c r="U127" s="9">
        <f t="shared" si="41"/>
        <v>3.8619894431650019E-5</v>
      </c>
      <c r="V127" s="100">
        <f t="shared" si="46"/>
        <v>0.22652130330447812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250</v>
      </c>
      <c r="C128" s="46" t="s">
        <v>251</v>
      </c>
      <c r="D128" s="47">
        <v>3.598704000000001</v>
      </c>
      <c r="E128" s="47">
        <v>4.3131730000000008</v>
      </c>
      <c r="F128" s="96">
        <v>9.9999999999999995E-7</v>
      </c>
      <c r="G128" s="7"/>
      <c r="H128" s="7"/>
      <c r="I128" s="54">
        <f t="shared" ref="I128:I134" si="54">IF(D128=0,"",LOG($K$15*10^D128+$K$16*10^E128+$K$14))</f>
        <v>1.4450204174697026</v>
      </c>
      <c r="J128" s="54">
        <f t="shared" ref="J128:J134" si="55">IF(D128=0,"",LOG($K$21*10^D128+$K$22*10^E128+$K$20))</f>
        <v>3.5881322653047101</v>
      </c>
      <c r="K128" s="55">
        <f t="shared" ref="K128:K134" si="56">IF(D128=0,"",1/(1+10^D128*$J$15/$J$14+10^E128*$J$16/$J$14+10^J128*$J$19/$J$14))</f>
        <v>3.4111111875142014E-2</v>
      </c>
      <c r="L128" s="55">
        <f t="shared" ref="L128:L134" si="57">IF(D128=0,"",1/(1+10^I128/10^J128*$J$13/$J$19))</f>
        <v>4.4629591391903936E-2</v>
      </c>
      <c r="M128" s="55">
        <f t="shared" ref="M128:M134" si="58">IF(D128=0,"",1-L128)</f>
        <v>0.95537040860809608</v>
      </c>
      <c r="N128" s="55">
        <f t="shared" ref="N128:N134" si="59">IF(D128=0,"",1/(1/10^E128*$J$20/$J$22+10^D128/10^E128*$J$21/$J$22+10^I128/10^E128*$J$13/$J$22+1))</f>
        <v>3.3647437084528657E-2</v>
      </c>
      <c r="O128" s="56">
        <f t="shared" ref="O128:O134" si="60">IF(D128=0,"",F128*K128*$J$7/$J$14)</f>
        <v>3.4300248495941042E-8</v>
      </c>
      <c r="P128" s="56">
        <f t="shared" ref="P128:P134" si="61">IF(D128=0,"",O128*10^J128)</f>
        <v>1.3287079444824893E-4</v>
      </c>
      <c r="Q128" s="56">
        <f t="shared" ref="Q128:Q134" si="62">IF(D128=0,"",F128*N128*$J$7/$J$22)</f>
        <v>7.0545654391744356E-4</v>
      </c>
      <c r="R128" s="9">
        <f t="shared" si="44"/>
        <v>3.9999999999999996E-5</v>
      </c>
      <c r="S128" s="9">
        <f t="shared" si="45"/>
        <v>1.7851836556761574E-6</v>
      </c>
      <c r="T128" s="9">
        <f t="shared" si="40"/>
        <v>1.3644444750056805E-6</v>
      </c>
      <c r="U128" s="9">
        <f t="shared" si="41"/>
        <v>3.8214816344323842E-5</v>
      </c>
      <c r="V128" s="100">
        <f t="shared" si="46"/>
        <v>3.5704593284231374E-2</v>
      </c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252</v>
      </c>
      <c r="C129" s="46" t="s">
        <v>253</v>
      </c>
      <c r="D129" s="47">
        <v>-1.2627122753537208</v>
      </c>
      <c r="E129" s="47">
        <v>-2.2737174621228986</v>
      </c>
      <c r="F129" s="96">
        <v>9.9999999999999995E-7</v>
      </c>
      <c r="G129" s="7"/>
      <c r="H129" s="7"/>
      <c r="I129" s="54">
        <f t="shared" si="54"/>
        <v>-2.1401866039787642E-3</v>
      </c>
      <c r="J129" s="54">
        <f t="shared" si="55"/>
        <v>-0.19937710602079325</v>
      </c>
      <c r="K129" s="55">
        <f t="shared" si="56"/>
        <v>0.99952128166775234</v>
      </c>
      <c r="L129" s="55">
        <f t="shared" si="57"/>
        <v>2.1330925998806798E-4</v>
      </c>
      <c r="M129" s="55">
        <f t="shared" si="58"/>
        <v>0.99978669074001192</v>
      </c>
      <c r="N129" s="55">
        <f t="shared" si="59"/>
        <v>2.5524526676756283E-7</v>
      </c>
      <c r="O129" s="56">
        <f t="shared" si="60"/>
        <v>1.0050633489660366E-6</v>
      </c>
      <c r="P129" s="56">
        <f t="shared" si="61"/>
        <v>6.3506229731971417E-7</v>
      </c>
      <c r="Q129" s="56">
        <f t="shared" si="62"/>
        <v>5.3515054740358148E-9</v>
      </c>
      <c r="R129" s="9">
        <f t="shared" si="44"/>
        <v>3.9999999999999996E-5</v>
      </c>
      <c r="S129" s="9">
        <f t="shared" si="45"/>
        <v>8.532370399522719E-9</v>
      </c>
      <c r="T129" s="9">
        <f t="shared" si="40"/>
        <v>3.998085126671009E-5</v>
      </c>
      <c r="U129" s="9">
        <f t="shared" si="41"/>
        <v>3.9991467629600472E-5</v>
      </c>
      <c r="V129" s="100">
        <f t="shared" si="46"/>
        <v>0.99973453430144876</v>
      </c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254</v>
      </c>
      <c r="C130" s="46" t="s">
        <v>255</v>
      </c>
      <c r="D130" s="47">
        <v>2.1582748772295566</v>
      </c>
      <c r="E130" s="47">
        <v>2.5927572197209185</v>
      </c>
      <c r="F130" s="96">
        <v>9.9999999999999995E-7</v>
      </c>
      <c r="G130" s="7"/>
      <c r="H130" s="7"/>
      <c r="I130" s="54">
        <f t="shared" si="54"/>
        <v>0.26355542441139918</v>
      </c>
      <c r="J130" s="54">
        <f t="shared" si="55"/>
        <v>1.957929354072679</v>
      </c>
      <c r="K130" s="55">
        <f t="shared" si="56"/>
        <v>0.53337062099517196</v>
      </c>
      <c r="L130" s="55">
        <f t="shared" si="57"/>
        <v>1.6351334912180143E-2</v>
      </c>
      <c r="M130" s="55">
        <f t="shared" si="58"/>
        <v>0.9836486650878199</v>
      </c>
      <c r="N130" s="55">
        <f t="shared" si="59"/>
        <v>1.0015425942756312E-2</v>
      </c>
      <c r="O130" s="56">
        <f t="shared" si="60"/>
        <v>5.3632801262924577E-7</v>
      </c>
      <c r="P130" s="56">
        <f t="shared" si="61"/>
        <v>4.8681038573543567E-5</v>
      </c>
      <c r="Q130" s="56">
        <f t="shared" si="62"/>
        <v>2.0998472346313467E-4</v>
      </c>
      <c r="R130" s="9">
        <f t="shared" si="44"/>
        <v>3.9999999999999996E-5</v>
      </c>
      <c r="S130" s="9">
        <f t="shared" si="45"/>
        <v>6.5405339648720567E-7</v>
      </c>
      <c r="T130" s="9">
        <f t="shared" si="40"/>
        <v>2.1334824839806875E-5</v>
      </c>
      <c r="U130" s="9">
        <f t="shared" si="41"/>
        <v>3.9345946603512796E-5</v>
      </c>
      <c r="V130" s="100">
        <f t="shared" si="46"/>
        <v>0.5422369184505047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256</v>
      </c>
      <c r="C131" s="46" t="s">
        <v>257</v>
      </c>
      <c r="D131" s="47">
        <v>0.51229998772440222</v>
      </c>
      <c r="E131" s="47">
        <v>0.25129998253752994</v>
      </c>
      <c r="F131" s="96">
        <v>9.9999999999999995E-7</v>
      </c>
      <c r="G131" s="7"/>
      <c r="H131" s="7"/>
      <c r="I131" s="54">
        <f t="shared" si="54"/>
        <v>4.79958444939446E-3</v>
      </c>
      <c r="J131" s="54">
        <f t="shared" si="55"/>
        <v>0.21801564157044259</v>
      </c>
      <c r="K131" s="55">
        <f t="shared" si="56"/>
        <v>0.98334648662074298</v>
      </c>
      <c r="L131" s="55">
        <f t="shared" si="57"/>
        <v>5.4867728579793146E-4</v>
      </c>
      <c r="M131" s="55">
        <f t="shared" si="58"/>
        <v>0.99945132271420212</v>
      </c>
      <c r="N131" s="55">
        <f t="shared" si="59"/>
        <v>8.4118141131597453E-5</v>
      </c>
      <c r="O131" s="56">
        <f t="shared" si="60"/>
        <v>9.8879886918261351E-7</v>
      </c>
      <c r="P131" s="56">
        <f t="shared" si="61"/>
        <v>1.6335167897796419E-6</v>
      </c>
      <c r="Q131" s="56">
        <f t="shared" si="62"/>
        <v>1.7636318919143546E-6</v>
      </c>
      <c r="R131" s="9">
        <f t="shared" si="44"/>
        <v>3.9999999999999996E-5</v>
      </c>
      <c r="S131" s="9">
        <f t="shared" si="45"/>
        <v>2.1947091431917258E-8</v>
      </c>
      <c r="T131" s="9">
        <f t="shared" si="40"/>
        <v>3.9333859464829714E-5</v>
      </c>
      <c r="U131" s="9">
        <f t="shared" si="41"/>
        <v>3.997805290856808E-5</v>
      </c>
      <c r="V131" s="100">
        <f t="shared" si="46"/>
        <v>0.98388632269781451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258</v>
      </c>
      <c r="C132" s="46" t="s">
        <v>259</v>
      </c>
      <c r="D132" s="47">
        <v>0.92271245461153151</v>
      </c>
      <c r="E132" s="47">
        <v>0.83512616782767168</v>
      </c>
      <c r="F132" s="96">
        <v>9.9999999999999995E-7</v>
      </c>
      <c r="G132" s="7"/>
      <c r="H132" s="7"/>
      <c r="I132" s="54">
        <f t="shared" si="54"/>
        <v>1.6027626042906213E-2</v>
      </c>
      <c r="J132" s="54">
        <f t="shared" si="55"/>
        <v>0.55608247089775464</v>
      </c>
      <c r="K132" s="55">
        <f t="shared" si="56"/>
        <v>0.95765954979580836</v>
      </c>
      <c r="L132" s="55">
        <f t="shared" si="57"/>
        <v>1.1638268820516472E-3</v>
      </c>
      <c r="M132" s="55">
        <f t="shared" si="58"/>
        <v>0.99883617311794837</v>
      </c>
      <c r="N132" s="55">
        <f t="shared" si="59"/>
        <v>3.1421030596454937E-4</v>
      </c>
      <c r="O132" s="56">
        <f t="shared" si="60"/>
        <v>9.6296950544273327E-7</v>
      </c>
      <c r="P132" s="56">
        <f t="shared" si="61"/>
        <v>3.4649343091786218E-6</v>
      </c>
      <c r="Q132" s="56">
        <f t="shared" si="62"/>
        <v>6.5877741580179735E-6</v>
      </c>
      <c r="R132" s="9">
        <f t="shared" si="44"/>
        <v>3.9999999999999996E-5</v>
      </c>
      <c r="S132" s="9">
        <f t="shared" si="45"/>
        <v>4.6553075282065883E-8</v>
      </c>
      <c r="T132" s="9">
        <f t="shared" si="40"/>
        <v>3.8306381991832333E-5</v>
      </c>
      <c r="U132" s="9">
        <f t="shared" si="41"/>
        <v>3.9953446924717932E-5</v>
      </c>
      <c r="V132" s="100">
        <f t="shared" si="46"/>
        <v>0.95877539837829073</v>
      </c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260</v>
      </c>
      <c r="C133" s="46" t="s">
        <v>261</v>
      </c>
      <c r="D133" s="47">
        <v>2.8951366557581992</v>
      </c>
      <c r="E133" s="47">
        <v>3.6409690455151855</v>
      </c>
      <c r="F133" s="96">
        <v>9.9999999999999995E-7</v>
      </c>
      <c r="G133" s="7"/>
      <c r="H133" s="7"/>
      <c r="I133" s="54">
        <f t="shared" si="54"/>
        <v>0.80804902693102654</v>
      </c>
      <c r="J133" s="54">
        <f t="shared" si="55"/>
        <v>2.9086838751373172</v>
      </c>
      <c r="K133" s="55">
        <f t="shared" si="56"/>
        <v>0.148483092818399</v>
      </c>
      <c r="L133" s="55">
        <f t="shared" si="57"/>
        <v>4.0640182524795475E-2</v>
      </c>
      <c r="M133" s="55">
        <f t="shared" si="58"/>
        <v>0.95935981747520449</v>
      </c>
      <c r="N133" s="55">
        <f t="shared" si="59"/>
        <v>3.1155101075566998E-2</v>
      </c>
      <c r="O133" s="56">
        <f t="shared" si="60"/>
        <v>1.4930639023902413E-7</v>
      </c>
      <c r="P133" s="56">
        <f t="shared" si="61"/>
        <v>1.2099356436346376E-4</v>
      </c>
      <c r="Q133" s="56">
        <f t="shared" si="62"/>
        <v>6.5320190286570251E-4</v>
      </c>
      <c r="R133" s="9">
        <f t="shared" si="44"/>
        <v>3.9999999999999996E-5</v>
      </c>
      <c r="S133" s="9">
        <f t="shared" si="45"/>
        <v>1.6256073009918188E-6</v>
      </c>
      <c r="T133" s="9">
        <f t="shared" si="40"/>
        <v>5.9393237127359595E-6</v>
      </c>
      <c r="U133" s="9">
        <f t="shared" si="41"/>
        <v>3.8374392699008174E-5</v>
      </c>
      <c r="V133" s="100">
        <f t="shared" si="46"/>
        <v>0.15477309984607177</v>
      </c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262</v>
      </c>
      <c r="C134" s="46" t="s">
        <v>263</v>
      </c>
      <c r="D134" s="47">
        <v>-1.7616394390778063</v>
      </c>
      <c r="E134" s="47">
        <v>-2.9834589203782875</v>
      </c>
      <c r="F134" s="96">
        <v>9.9999999999999995E-7</v>
      </c>
      <c r="G134" s="7"/>
      <c r="H134" s="7"/>
      <c r="I134" s="54">
        <f t="shared" si="54"/>
        <v>-2.2190435405287081E-3</v>
      </c>
      <c r="J134" s="54">
        <f t="shared" si="55"/>
        <v>-0.20599844026673014</v>
      </c>
      <c r="K134" s="55">
        <f t="shared" si="56"/>
        <v>0.99970597442879161</v>
      </c>
      <c r="L134" s="55">
        <f t="shared" si="57"/>
        <v>2.1012059254877475E-4</v>
      </c>
      <c r="M134" s="55">
        <f t="shared" si="58"/>
        <v>0.99978987940745123</v>
      </c>
      <c r="N134" s="55">
        <f t="shared" si="59"/>
        <v>4.9807699267585952E-8</v>
      </c>
      <c r="O134" s="56">
        <f t="shared" si="60"/>
        <v>1.0052490657970285E-6</v>
      </c>
      <c r="P134" s="56">
        <f t="shared" si="61"/>
        <v>6.2556902698771185E-7</v>
      </c>
      <c r="Q134" s="56">
        <f t="shared" si="62"/>
        <v>1.0442747035240585E-9</v>
      </c>
      <c r="R134" s="9">
        <f t="shared" si="44"/>
        <v>3.9999999999999996E-5</v>
      </c>
      <c r="S134" s="9">
        <f t="shared" si="45"/>
        <v>8.4048237019509897E-9</v>
      </c>
      <c r="T134" s="9">
        <f t="shared" si="40"/>
        <v>3.9988238977151663E-5</v>
      </c>
      <c r="U134" s="9">
        <f t="shared" si="41"/>
        <v>3.9991595176298048E-5</v>
      </c>
      <c r="V134" s="100">
        <f t="shared" si="46"/>
        <v>0.99991607738747135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6" t="s">
        <v>264</v>
      </c>
      <c r="C135" s="46" t="s">
        <v>265</v>
      </c>
      <c r="D135" s="47">
        <v>1.1365502998865107</v>
      </c>
      <c r="E135" s="47">
        <v>1.1393180322329237</v>
      </c>
      <c r="F135" s="96">
        <v>9.9999999999999995E-7</v>
      </c>
      <c r="G135" s="7"/>
      <c r="H135" s="7"/>
      <c r="I135" s="54">
        <f t="shared" ref="I135:I143" si="63">IF(D135=0,"",LOG($K$15*10^D135+$K$16*10^E135+$K$14))</f>
        <v>2.7672233265732864E-2</v>
      </c>
      <c r="J135" s="54">
        <f t="shared" ref="J135:J143" si="64">IF(D135=0,"",LOG($K$21*10^D135+$K$22*10^E135+$K$20))</f>
        <v>0.76802960759012895</v>
      </c>
      <c r="K135" s="55">
        <f t="shared" ref="K135:K143" si="65">IF(D135=0,"",1/(1+10^D135*$J$15/$J$14+10^E135*$J$16/$J$14+10^J135*$J$19/$J$14))</f>
        <v>0.93168788614629705</v>
      </c>
      <c r="L135" s="55">
        <f t="shared" ref="L135:L143" si="66">IF(D135=0,"",1/(1+10^I135/10^J135*$J$13/$J$19))</f>
        <v>1.844568661979571E-3</v>
      </c>
      <c r="M135" s="55">
        <f t="shared" ref="M135:M143" si="67">IF(D135=0,"",1-L135)</f>
        <v>0.99815543133802043</v>
      </c>
      <c r="N135" s="55">
        <f t="shared" ref="N135:N143" si="68">IF(D135=0,"",1/(1/10^E135*$J$20/$J$22+10^D135/10^E135*$J$21/$J$22+10^I135/10^E135*$J$13/$J$22+1))</f>
        <v>6.1584524849692839E-4</v>
      </c>
      <c r="O135" s="56">
        <f t="shared" ref="O135:O143" si="69">IF(D135=0,"",F135*K135*$J$7/$J$14)</f>
        <v>9.3685383614728518E-7</v>
      </c>
      <c r="P135" s="56">
        <f t="shared" ref="P135:P143" si="70">IF(D135=0,"",O135*10^J135)</f>
        <v>5.4916322531249899E-6</v>
      </c>
      <c r="Q135" s="56">
        <f t="shared" ref="Q135:Q143" si="71">IF(D135=0,"",F135*N135*$J$7/$J$22)</f>
        <v>1.2911891610086007E-5</v>
      </c>
      <c r="R135" s="9">
        <f t="shared" si="44"/>
        <v>3.9999999999999996E-5</v>
      </c>
      <c r="S135" s="9">
        <f t="shared" si="45"/>
        <v>7.3782746479182829E-8</v>
      </c>
      <c r="T135" s="9">
        <f t="shared" si="40"/>
        <v>3.7267515445851882E-5</v>
      </c>
      <c r="U135" s="9">
        <f t="shared" si="41"/>
        <v>3.9926217253520814E-5</v>
      </c>
      <c r="V135" s="100">
        <f t="shared" si="46"/>
        <v>0.93340962428804897</v>
      </c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6" t="s">
        <v>266</v>
      </c>
      <c r="C136" s="46" t="s">
        <v>267</v>
      </c>
      <c r="D136" s="47">
        <v>-0.16497034264114602</v>
      </c>
      <c r="E136" s="47">
        <v>-0.71214090995430623</v>
      </c>
      <c r="F136" s="96">
        <v>9.9999999999999995E-7</v>
      </c>
      <c r="G136" s="7"/>
      <c r="H136" s="7"/>
      <c r="I136" s="54">
        <f t="shared" si="63"/>
        <v>-7.9255891896301502E-4</v>
      </c>
      <c r="J136" s="54">
        <f t="shared" si="64"/>
        <v>-9.1674979358172204E-2</v>
      </c>
      <c r="K136" s="55">
        <f t="shared" si="65"/>
        <v>0.99636557265823744</v>
      </c>
      <c r="L136" s="55">
        <f t="shared" si="66"/>
        <v>2.7248242970695361E-4</v>
      </c>
      <c r="M136" s="55">
        <f t="shared" si="67"/>
        <v>0.9997275175702931</v>
      </c>
      <c r="N136" s="55">
        <f t="shared" si="68"/>
        <v>9.2717330070096228E-6</v>
      </c>
      <c r="O136" s="56">
        <f t="shared" si="69"/>
        <v>1.0018901424284298E-6</v>
      </c>
      <c r="P136" s="56">
        <f t="shared" si="70"/>
        <v>8.1123209465278332E-7</v>
      </c>
      <c r="Q136" s="56">
        <f t="shared" si="71"/>
        <v>1.9439236060739395E-7</v>
      </c>
      <c r="R136" s="9">
        <f t="shared" si="44"/>
        <v>3.9999999999999996E-5</v>
      </c>
      <c r="S136" s="9">
        <f t="shared" si="45"/>
        <v>1.0899297188278144E-8</v>
      </c>
      <c r="T136" s="9">
        <f t="shared" si="40"/>
        <v>3.9854622906329492E-5</v>
      </c>
      <c r="U136" s="9">
        <f t="shared" si="41"/>
        <v>3.9989100702811723E-5</v>
      </c>
      <c r="V136" s="100">
        <f t="shared" si="46"/>
        <v>0.99663713876734494</v>
      </c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6" t="s">
        <v>268</v>
      </c>
      <c r="C137" s="46" t="s">
        <v>269</v>
      </c>
      <c r="D137" s="47">
        <v>-2.7256879443499291</v>
      </c>
      <c r="E137" s="47">
        <v>-4.3548518644977863</v>
      </c>
      <c r="F137" s="96">
        <v>9.9999999999999995E-7</v>
      </c>
      <c r="G137" s="7"/>
      <c r="H137" s="7"/>
      <c r="I137" s="54">
        <f t="shared" si="63"/>
        <v>-2.2515440087297459E-3</v>
      </c>
      <c r="J137" s="54">
        <f t="shared" si="64"/>
        <v>-0.20869004627707885</v>
      </c>
      <c r="K137" s="55">
        <f t="shared" si="65"/>
        <v>0.99978207263815755</v>
      </c>
      <c r="L137" s="55">
        <f t="shared" si="66"/>
        <v>2.0883826108153799E-4</v>
      </c>
      <c r="M137" s="55">
        <f t="shared" si="67"/>
        <v>0.99979116173891847</v>
      </c>
      <c r="N137" s="55">
        <f t="shared" si="68"/>
        <v>2.1180518844241551E-9</v>
      </c>
      <c r="O137" s="56">
        <f t="shared" si="69"/>
        <v>1.0053255859497839E-6</v>
      </c>
      <c r="P137" s="56">
        <f t="shared" si="70"/>
        <v>6.2175128195613546E-7</v>
      </c>
      <c r="Q137" s="56">
        <f t="shared" si="71"/>
        <v>4.4407351397076674E-11</v>
      </c>
      <c r="R137" s="9">
        <f t="shared" si="44"/>
        <v>3.9999999999999996E-5</v>
      </c>
      <c r="S137" s="9">
        <f t="shared" si="45"/>
        <v>8.3535304432615187E-9</v>
      </c>
      <c r="T137" s="9">
        <f t="shared" si="40"/>
        <v>3.99912829055263E-5</v>
      </c>
      <c r="U137" s="9">
        <f t="shared" si="41"/>
        <v>3.9991646469556737E-5</v>
      </c>
      <c r="V137" s="100">
        <f t="shared" si="46"/>
        <v>0.99999090900069054</v>
      </c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6" t="s">
        <v>270</v>
      </c>
      <c r="C138" s="46" t="s">
        <v>271</v>
      </c>
      <c r="D138" s="47">
        <v>-0.21545001227559774</v>
      </c>
      <c r="E138" s="47">
        <v>-0.78395001746247006</v>
      </c>
      <c r="F138" s="96">
        <v>9.9999999999999995E-7</v>
      </c>
      <c r="G138" s="7"/>
      <c r="H138" s="7"/>
      <c r="I138" s="54">
        <f t="shared" si="63"/>
        <v>-9.5421953907495261E-4</v>
      </c>
      <c r="J138" s="54">
        <f t="shared" si="64"/>
        <v>-0.10375488815809189</v>
      </c>
      <c r="K138" s="55">
        <f t="shared" si="65"/>
        <v>0.99674387814621446</v>
      </c>
      <c r="L138" s="55">
        <f t="shared" si="66"/>
        <v>2.6510838154132535E-4</v>
      </c>
      <c r="M138" s="55">
        <f t="shared" si="67"/>
        <v>0.99973489161845863</v>
      </c>
      <c r="N138" s="55">
        <f t="shared" si="68"/>
        <v>7.8617037330174382E-6</v>
      </c>
      <c r="O138" s="56">
        <f t="shared" si="69"/>
        <v>1.0022705455150396E-6</v>
      </c>
      <c r="P138" s="56">
        <f t="shared" si="70"/>
        <v>7.8927814868310501E-7</v>
      </c>
      <c r="Q138" s="56">
        <f t="shared" si="71"/>
        <v>1.6482950338430028E-7</v>
      </c>
      <c r="R138" s="9">
        <f t="shared" si="44"/>
        <v>3.9999999999999996E-5</v>
      </c>
      <c r="S138" s="9">
        <f t="shared" si="45"/>
        <v>1.0604335261653013E-8</v>
      </c>
      <c r="T138" s="9">
        <f t="shared" si="40"/>
        <v>3.9869755125848577E-5</v>
      </c>
      <c r="U138" s="9">
        <f t="shared" si="41"/>
        <v>3.9989395664738345E-5</v>
      </c>
      <c r="V138" s="100">
        <f t="shared" si="46"/>
        <v>0.99700819337474356</v>
      </c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6" t="s">
        <v>272</v>
      </c>
      <c r="C139" s="46" t="s">
        <v>273</v>
      </c>
      <c r="D139" s="47">
        <v>1.0310160000000004</v>
      </c>
      <c r="E139" s="47">
        <v>0.78085199999999966</v>
      </c>
      <c r="F139" s="96">
        <v>9.9999999999999995E-7</v>
      </c>
      <c r="G139" s="7"/>
      <c r="H139" s="7"/>
      <c r="I139" s="54">
        <f t="shared" si="63"/>
        <v>2.0637855846763784E-2</v>
      </c>
      <c r="J139" s="54">
        <f t="shared" si="64"/>
        <v>0.60777493199684662</v>
      </c>
      <c r="K139" s="55">
        <f t="shared" si="65"/>
        <v>0.94742107624342553</v>
      </c>
      <c r="L139" s="55">
        <f t="shared" si="66"/>
        <v>1.2969186733008931E-3</v>
      </c>
      <c r="M139" s="55">
        <f t="shared" si="67"/>
        <v>0.99870308132669916</v>
      </c>
      <c r="N139" s="55">
        <f t="shared" si="68"/>
        <v>2.7433306503098345E-4</v>
      </c>
      <c r="O139" s="56">
        <f t="shared" si="69"/>
        <v>9.5267426240429753E-7</v>
      </c>
      <c r="P139" s="56">
        <f t="shared" si="70"/>
        <v>3.8611739225450077E-6</v>
      </c>
      <c r="Q139" s="56">
        <f t="shared" si="71"/>
        <v>5.7517027360168078E-6</v>
      </c>
      <c r="R139" s="9">
        <f t="shared" si="44"/>
        <v>3.9999999999999996E-5</v>
      </c>
      <c r="S139" s="9">
        <f t="shared" si="45"/>
        <v>5.1876746932035721E-8</v>
      </c>
      <c r="T139" s="9">
        <f t="shared" si="40"/>
        <v>3.789684304973702E-5</v>
      </c>
      <c r="U139" s="9">
        <f t="shared" si="41"/>
        <v>3.994812325306796E-5</v>
      </c>
      <c r="V139" s="100">
        <f t="shared" si="46"/>
        <v>0.94865139995848469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6" t="s">
        <v>274</v>
      </c>
      <c r="C140" s="46" t="s">
        <v>275</v>
      </c>
      <c r="D140" s="47">
        <v>-1.8497486811018407</v>
      </c>
      <c r="E140" s="47">
        <v>-3.1087974195955765</v>
      </c>
      <c r="F140" s="96">
        <v>9.9999999999999995E-7</v>
      </c>
      <c r="G140" s="7"/>
      <c r="H140" s="7"/>
      <c r="I140" s="54">
        <f t="shared" si="63"/>
        <v>-2.2257476801494347E-3</v>
      </c>
      <c r="J140" s="54">
        <f t="shared" si="64"/>
        <v>-0.2065570605287429</v>
      </c>
      <c r="K140" s="55">
        <f t="shared" si="65"/>
        <v>0.99972167364551057</v>
      </c>
      <c r="L140" s="55">
        <f t="shared" si="66"/>
        <v>2.0985378979392763E-4</v>
      </c>
      <c r="M140" s="55">
        <f t="shared" si="67"/>
        <v>0.99979014621020612</v>
      </c>
      <c r="N140" s="55">
        <f t="shared" si="68"/>
        <v>3.7321990840098148E-8</v>
      </c>
      <c r="O140" s="56">
        <f t="shared" si="69"/>
        <v>1.0052648520615343E-6</v>
      </c>
      <c r="P140" s="56">
        <f t="shared" si="70"/>
        <v>6.2477470436695952E-7</v>
      </c>
      <c r="Q140" s="56">
        <f t="shared" si="71"/>
        <v>7.8249771606766507E-10</v>
      </c>
      <c r="R140" s="9">
        <f t="shared" si="44"/>
        <v>3.9999999999999996E-5</v>
      </c>
      <c r="S140" s="9">
        <f t="shared" si="45"/>
        <v>8.3941515917571048E-9</v>
      </c>
      <c r="T140" s="9">
        <f t="shared" si="40"/>
        <v>3.9988866945820421E-5</v>
      </c>
      <c r="U140" s="9">
        <f t="shared" si="41"/>
        <v>3.9991605848408243E-5</v>
      </c>
      <c r="V140" s="100">
        <f t="shared" si="46"/>
        <v>0.99993151306306116</v>
      </c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6" t="s">
        <v>276</v>
      </c>
      <c r="C141" s="46" t="s">
        <v>277</v>
      </c>
      <c r="D141" s="47">
        <v>-1.4544244920654867</v>
      </c>
      <c r="E141" s="47">
        <v>-2.5464348408255515</v>
      </c>
      <c r="F141" s="96">
        <v>9.9999999999999995E-7</v>
      </c>
      <c r="G141" s="7"/>
      <c r="H141" s="7"/>
      <c r="I141" s="54">
        <f t="shared" si="63"/>
        <v>-2.1814307177209532E-3</v>
      </c>
      <c r="J141" s="54">
        <f t="shared" si="64"/>
        <v>-0.2028483440849736</v>
      </c>
      <c r="K141" s="55">
        <f t="shared" si="65"/>
        <v>0.99961788620246084</v>
      </c>
      <c r="L141" s="55">
        <f t="shared" si="66"/>
        <v>2.1163156516878134E-4</v>
      </c>
      <c r="M141" s="55">
        <f t="shared" si="67"/>
        <v>0.99978836843483121</v>
      </c>
      <c r="N141" s="55">
        <f t="shared" si="68"/>
        <v>1.3623299095031061E-7</v>
      </c>
      <c r="O141" s="56">
        <f t="shared" si="69"/>
        <v>1.0051604891460012E-6</v>
      </c>
      <c r="P141" s="56">
        <f t="shared" si="70"/>
        <v>6.3006748028178012E-7</v>
      </c>
      <c r="Q141" s="56">
        <f t="shared" si="71"/>
        <v>2.8562786140859726E-9</v>
      </c>
      <c r="R141" s="9">
        <f t="shared" si="44"/>
        <v>3.9999999999999996E-5</v>
      </c>
      <c r="S141" s="9">
        <f t="shared" si="45"/>
        <v>8.4652626067512523E-9</v>
      </c>
      <c r="T141" s="9">
        <f t="shared" si="40"/>
        <v>3.9984715448098432E-5</v>
      </c>
      <c r="U141" s="9">
        <f t="shared" si="41"/>
        <v>3.9991534737393244E-5</v>
      </c>
      <c r="V141" s="100">
        <f t="shared" si="46"/>
        <v>0.99982948168057084</v>
      </c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6" t="s">
        <v>278</v>
      </c>
      <c r="C142" s="46" t="s">
        <v>279</v>
      </c>
      <c r="D142" s="47">
        <v>2.3179513188981593</v>
      </c>
      <c r="E142" s="47">
        <v>2.8199025804044244</v>
      </c>
      <c r="F142" s="96">
        <v>9.9999999999999995E-7</v>
      </c>
      <c r="G142" s="7"/>
      <c r="H142" s="7"/>
      <c r="I142" s="54">
        <f t="shared" si="63"/>
        <v>0.35101699191808489</v>
      </c>
      <c r="J142" s="54">
        <f t="shared" si="64"/>
        <v>2.159334202365554</v>
      </c>
      <c r="K142" s="55">
        <f t="shared" si="65"/>
        <v>0.43395264932733862</v>
      </c>
      <c r="L142" s="55">
        <f t="shared" si="66"/>
        <v>2.1152968179147878E-2</v>
      </c>
      <c r="M142" s="55">
        <f t="shared" si="67"/>
        <v>0.97884703182085209</v>
      </c>
      <c r="N142" s="55">
        <f t="shared" si="68"/>
        <v>1.3747636437467131E-2</v>
      </c>
      <c r="O142" s="56">
        <f t="shared" si="69"/>
        <v>4.3635879598069262E-7</v>
      </c>
      <c r="P142" s="56">
        <f t="shared" si="70"/>
        <v>6.2976415406119267E-5</v>
      </c>
      <c r="Q142" s="56">
        <f t="shared" si="71"/>
        <v>2.8823473430814316E-4</v>
      </c>
      <c r="R142" s="9">
        <f t="shared" si="44"/>
        <v>3.9999999999999996E-5</v>
      </c>
      <c r="S142" s="9">
        <f t="shared" si="45"/>
        <v>8.4611872716591501E-7</v>
      </c>
      <c r="T142" s="9">
        <f t="shared" si="40"/>
        <v>1.7358105973093543E-5</v>
      </c>
      <c r="U142" s="9">
        <f t="shared" si="41"/>
        <v>3.9153881272834082E-5</v>
      </c>
      <c r="V142" s="100">
        <f t="shared" si="46"/>
        <v>0.44333040323992151</v>
      </c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6" t="s">
        <v>97</v>
      </c>
      <c r="C143" s="46" t="s">
        <v>280</v>
      </c>
      <c r="D143" s="47">
        <v>3.46</v>
      </c>
      <c r="E143" s="47">
        <v>2.6247999825375303</v>
      </c>
      <c r="F143" s="96">
        <v>9.9999999999999995E-7</v>
      </c>
      <c r="G143" s="7"/>
      <c r="H143" s="7"/>
      <c r="I143" s="54">
        <f t="shared" si="63"/>
        <v>1.1760432553236648</v>
      </c>
      <c r="J143" s="54">
        <f t="shared" si="64"/>
        <v>2.8765866563787141</v>
      </c>
      <c r="K143" s="55">
        <f t="shared" si="65"/>
        <v>6.5228842544850577E-2</v>
      </c>
      <c r="L143" s="55">
        <f t="shared" si="66"/>
        <v>1.658139626260911E-2</v>
      </c>
      <c r="M143" s="55">
        <f t="shared" si="67"/>
        <v>0.98341860373739087</v>
      </c>
      <c r="N143" s="55">
        <f t="shared" si="68"/>
        <v>1.3186294432819144E-3</v>
      </c>
      <c r="O143" s="56">
        <f t="shared" si="69"/>
        <v>6.559051832084763E-8</v>
      </c>
      <c r="P143" s="56">
        <f t="shared" si="70"/>
        <v>4.9365975034980211E-5</v>
      </c>
      <c r="Q143" s="56">
        <f t="shared" si="71"/>
        <v>2.7646556480023004E-5</v>
      </c>
      <c r="R143" s="9">
        <f t="shared" si="44"/>
        <v>3.9999999999999996E-5</v>
      </c>
      <c r="S143" s="9">
        <f t="shared" si="45"/>
        <v>6.6325585050436429E-7</v>
      </c>
      <c r="T143" s="9">
        <f t="shared" si="40"/>
        <v>2.6091537017940227E-6</v>
      </c>
      <c r="U143" s="9">
        <f t="shared" si="41"/>
        <v>3.9336744149495629E-5</v>
      </c>
      <c r="V143" s="100">
        <f t="shared" si="46"/>
        <v>6.6328664413053032E-2</v>
      </c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2025-02-02T17:32:23Z</dcterms:modified>
</cp:coreProperties>
</file>