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384well_1um\"/>
    </mc:Choice>
  </mc:AlternateContent>
  <xr:revisionPtr revIDLastSave="0" documentId="13_ncr:1_{41696776-6BF4-411C-B371-91D9EA3E7C09}" xr6:coauthVersionLast="47" xr6:coauthVersionMax="47" xr10:uidLastSave="{00000000-0000-0000-0000-000000000000}"/>
  <bookViews>
    <workbookView xWindow="-98" yWindow="-98" windowWidth="21795" windowHeight="13875" firstSheet="1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3" i="4" l="1"/>
  <c r="R143" i="4"/>
  <c r="U143" i="4" s="1"/>
  <c r="V142" i="4"/>
  <c r="R142" i="4"/>
  <c r="U142" i="4" s="1"/>
  <c r="V141" i="4"/>
  <c r="U141" i="4"/>
  <c r="T141" i="4"/>
  <c r="S141" i="4"/>
  <c r="R141" i="4"/>
  <c r="V140" i="4"/>
  <c r="R140" i="4"/>
  <c r="V139" i="4"/>
  <c r="U139" i="4"/>
  <c r="T139" i="4"/>
  <c r="S139" i="4"/>
  <c r="R139" i="4"/>
  <c r="V138" i="4"/>
  <c r="R138" i="4"/>
  <c r="S138" i="4" s="1"/>
  <c r="V137" i="4"/>
  <c r="U137" i="4"/>
  <c r="T137" i="4"/>
  <c r="R137" i="4"/>
  <c r="S137" i="4" s="1"/>
  <c r="V136" i="4"/>
  <c r="U136" i="4"/>
  <c r="T136" i="4"/>
  <c r="S136" i="4"/>
  <c r="R136" i="4"/>
  <c r="V135" i="4"/>
  <c r="T135" i="4"/>
  <c r="S135" i="4"/>
  <c r="R135" i="4"/>
  <c r="U135" i="4" s="1"/>
  <c r="V134" i="4"/>
  <c r="U134" i="4"/>
  <c r="T134" i="4"/>
  <c r="R134" i="4"/>
  <c r="S134" i="4" s="1"/>
  <c r="V133" i="4"/>
  <c r="R133" i="4"/>
  <c r="U133" i="4" s="1"/>
  <c r="V132" i="4"/>
  <c r="R132" i="4"/>
  <c r="U132" i="4" s="1"/>
  <c r="V131" i="4"/>
  <c r="R131" i="4"/>
  <c r="U131" i="4" s="1"/>
  <c r="V130" i="4"/>
  <c r="S130" i="4"/>
  <c r="R130" i="4"/>
  <c r="U130" i="4" s="1"/>
  <c r="V129" i="4"/>
  <c r="U129" i="4"/>
  <c r="T129" i="4"/>
  <c r="S129" i="4"/>
  <c r="R129" i="4"/>
  <c r="V128" i="4"/>
  <c r="R128" i="4"/>
  <c r="V127" i="4"/>
  <c r="U127" i="4"/>
  <c r="T127" i="4"/>
  <c r="S127" i="4"/>
  <c r="R127" i="4"/>
  <c r="V126" i="4"/>
  <c r="R126" i="4"/>
  <c r="U126" i="4" s="1"/>
  <c r="V125" i="4"/>
  <c r="U125" i="4"/>
  <c r="T125" i="4"/>
  <c r="S125" i="4"/>
  <c r="R125" i="4"/>
  <c r="V124" i="4"/>
  <c r="U124" i="4"/>
  <c r="T124" i="4"/>
  <c r="S124" i="4"/>
  <c r="R124" i="4"/>
  <c r="V123" i="4"/>
  <c r="R123" i="4"/>
  <c r="V122" i="4"/>
  <c r="U122" i="4"/>
  <c r="T122" i="4"/>
  <c r="R122" i="4"/>
  <c r="S122" i="4" s="1"/>
  <c r="V121" i="4"/>
  <c r="R121" i="4"/>
  <c r="V120" i="4"/>
  <c r="R120" i="4"/>
  <c r="U120" i="4" s="1"/>
  <c r="V119" i="4"/>
  <c r="R119" i="4"/>
  <c r="U119" i="4" s="1"/>
  <c r="V118" i="4"/>
  <c r="U118" i="4"/>
  <c r="T118" i="4"/>
  <c r="S118" i="4"/>
  <c r="R118" i="4"/>
  <c r="V117" i="4"/>
  <c r="U117" i="4"/>
  <c r="T117" i="4"/>
  <c r="S117" i="4"/>
  <c r="R117" i="4"/>
  <c r="V116" i="4"/>
  <c r="R116" i="4"/>
  <c r="V115" i="4"/>
  <c r="U115" i="4"/>
  <c r="T115" i="4"/>
  <c r="S115" i="4"/>
  <c r="R115" i="4"/>
  <c r="V114" i="4"/>
  <c r="R114" i="4"/>
  <c r="U114" i="4" s="1"/>
  <c r="V113" i="4"/>
  <c r="R113" i="4"/>
  <c r="U113" i="4" s="1"/>
  <c r="V112" i="4"/>
  <c r="U112" i="4"/>
  <c r="T112" i="4"/>
  <c r="S112" i="4"/>
  <c r="R112" i="4"/>
  <c r="V111" i="4"/>
  <c r="R111" i="4"/>
  <c r="U111" i="4" s="1"/>
  <c r="V110" i="4"/>
  <c r="U110" i="4"/>
  <c r="T110" i="4"/>
  <c r="R110" i="4"/>
  <c r="S110" i="4" s="1"/>
  <c r="V109" i="4"/>
  <c r="R109" i="4"/>
  <c r="V108" i="4"/>
  <c r="R108" i="4"/>
  <c r="U108" i="4" s="1"/>
  <c r="R107" i="4"/>
  <c r="V106" i="4"/>
  <c r="R106" i="4"/>
  <c r="U106" i="4" s="1"/>
  <c r="V105" i="4"/>
  <c r="U105" i="4"/>
  <c r="T105" i="4"/>
  <c r="S105" i="4"/>
  <c r="R105" i="4"/>
  <c r="V104" i="4"/>
  <c r="U104" i="4"/>
  <c r="T104" i="4"/>
  <c r="S104" i="4"/>
  <c r="R104" i="4"/>
  <c r="V103" i="4"/>
  <c r="R103" i="4"/>
  <c r="U103" i="4" s="1"/>
  <c r="V102" i="4"/>
  <c r="U102" i="4"/>
  <c r="T102" i="4"/>
  <c r="R102" i="4"/>
  <c r="S102" i="4" s="1"/>
  <c r="V101" i="4"/>
  <c r="R101" i="4"/>
  <c r="R100" i="4"/>
  <c r="V99" i="4"/>
  <c r="U99" i="4"/>
  <c r="T99" i="4"/>
  <c r="S99" i="4"/>
  <c r="R99" i="4"/>
  <c r="V98" i="4"/>
  <c r="R98" i="4"/>
  <c r="U98" i="4" s="1"/>
  <c r="R97" i="4"/>
  <c r="V96" i="4"/>
  <c r="R96" i="4"/>
  <c r="U96" i="4" s="1"/>
  <c r="V95" i="4"/>
  <c r="R95" i="4"/>
  <c r="U95" i="4" s="1"/>
  <c r="V94" i="4"/>
  <c r="U94" i="4"/>
  <c r="T94" i="4"/>
  <c r="S94" i="4"/>
  <c r="R94" i="4"/>
  <c r="V93" i="4"/>
  <c r="U93" i="4"/>
  <c r="T93" i="4"/>
  <c r="S93" i="4"/>
  <c r="R93" i="4"/>
  <c r="V92" i="4"/>
  <c r="R92" i="4"/>
  <c r="V91" i="4"/>
  <c r="U91" i="4"/>
  <c r="T91" i="4"/>
  <c r="S91" i="4"/>
  <c r="R91" i="4"/>
  <c r="V90" i="4"/>
  <c r="R90" i="4"/>
  <c r="U90" i="4" s="1"/>
  <c r="V89" i="4"/>
  <c r="R89" i="4"/>
  <c r="U89" i="4" s="1"/>
  <c r="V88" i="4"/>
  <c r="U88" i="4"/>
  <c r="T88" i="4"/>
  <c r="S88" i="4"/>
  <c r="R88" i="4"/>
  <c r="V87" i="4"/>
  <c r="R87" i="4"/>
  <c r="U87" i="4" s="1"/>
  <c r="V86" i="4"/>
  <c r="U86" i="4"/>
  <c r="T86" i="4"/>
  <c r="R86" i="4"/>
  <c r="S86" i="4" s="1"/>
  <c r="V85" i="4"/>
  <c r="R85" i="4"/>
  <c r="V84" i="4"/>
  <c r="R84" i="4"/>
  <c r="U84" i="4" s="1"/>
  <c r="V83" i="4"/>
  <c r="R83" i="4"/>
  <c r="U83" i="4" s="1"/>
  <c r="V82" i="4"/>
  <c r="U82" i="4"/>
  <c r="T82" i="4"/>
  <c r="R82" i="4"/>
  <c r="S82" i="4" s="1"/>
  <c r="V81" i="4"/>
  <c r="U81" i="4"/>
  <c r="T81" i="4"/>
  <c r="S81" i="4"/>
  <c r="R81" i="4"/>
  <c r="V80" i="4"/>
  <c r="R80" i="4"/>
  <c r="S80" i="4" s="1"/>
  <c r="V79" i="4"/>
  <c r="U79" i="4"/>
  <c r="T79" i="4"/>
  <c r="S79" i="4"/>
  <c r="R79" i="4"/>
  <c r="V78" i="4"/>
  <c r="R78" i="4"/>
  <c r="U78" i="4" s="1"/>
  <c r="V77" i="4"/>
  <c r="R77" i="4"/>
  <c r="S77" i="4" s="1"/>
  <c r="V76" i="4"/>
  <c r="U76" i="4"/>
  <c r="T76" i="4"/>
  <c r="S76" i="4"/>
  <c r="R76" i="4"/>
  <c r="V75" i="4"/>
  <c r="R75" i="4"/>
  <c r="U75" i="4" s="1"/>
  <c r="V74" i="4"/>
  <c r="U74" i="4"/>
  <c r="T74" i="4"/>
  <c r="R74" i="4"/>
  <c r="S74" i="4" s="1"/>
  <c r="V73" i="4"/>
  <c r="R73" i="4"/>
  <c r="V72" i="4"/>
  <c r="T72" i="4"/>
  <c r="S72" i="4"/>
  <c r="R72" i="4"/>
  <c r="U72" i="4" s="1"/>
  <c r="V71" i="4"/>
  <c r="R71" i="4"/>
  <c r="U71" i="4" s="1"/>
  <c r="V70" i="4"/>
  <c r="U70" i="4"/>
  <c r="T70" i="4"/>
  <c r="S70" i="4"/>
  <c r="R70" i="4"/>
  <c r="V69" i="4"/>
  <c r="U69" i="4"/>
  <c r="S69" i="4"/>
  <c r="R69" i="4"/>
  <c r="T69" i="4" s="1"/>
  <c r="V68" i="4"/>
  <c r="R68" i="4"/>
  <c r="S68" i="4" s="1"/>
  <c r="V67" i="4"/>
  <c r="U67" i="4"/>
  <c r="T67" i="4"/>
  <c r="S67" i="4"/>
  <c r="R67" i="4"/>
  <c r="V66" i="4"/>
  <c r="R66" i="4"/>
  <c r="U66" i="4" s="1"/>
  <c r="V65" i="4"/>
  <c r="R65" i="4"/>
  <c r="U65" i="4" s="1"/>
  <c r="V64" i="4"/>
  <c r="U64" i="4"/>
  <c r="T64" i="4"/>
  <c r="S64" i="4"/>
  <c r="R64" i="4"/>
  <c r="V63" i="4"/>
  <c r="S63" i="4"/>
  <c r="R63" i="4"/>
  <c r="U63" i="4" s="1"/>
  <c r="V62" i="4"/>
  <c r="U62" i="4"/>
  <c r="T62" i="4"/>
  <c r="R62" i="4"/>
  <c r="S62" i="4" s="1"/>
  <c r="V61" i="4"/>
  <c r="R61" i="4"/>
  <c r="V60" i="4"/>
  <c r="U60" i="4"/>
  <c r="T60" i="4"/>
  <c r="R60" i="4"/>
  <c r="S60" i="4" s="1"/>
  <c r="V59" i="4"/>
  <c r="R59" i="4"/>
  <c r="U59" i="4" s="1"/>
  <c r="V58" i="4"/>
  <c r="R58" i="4"/>
  <c r="T58" i="4" s="1"/>
  <c r="V57" i="4"/>
  <c r="U57" i="4"/>
  <c r="S57" i="4"/>
  <c r="R57" i="4"/>
  <c r="T57" i="4" s="1"/>
  <c r="V56" i="4"/>
  <c r="S56" i="4"/>
  <c r="R56" i="4"/>
  <c r="V55" i="4"/>
  <c r="U55" i="4"/>
  <c r="T55" i="4"/>
  <c r="S55" i="4"/>
  <c r="R55" i="4"/>
  <c r="V54" i="4"/>
  <c r="R54" i="4"/>
  <c r="U54" i="4" s="1"/>
  <c r="V53" i="4"/>
  <c r="T53" i="4"/>
  <c r="S53" i="4"/>
  <c r="R53" i="4"/>
  <c r="U53" i="4" s="1"/>
  <c r="V52" i="4"/>
  <c r="U52" i="4"/>
  <c r="T52" i="4"/>
  <c r="S52" i="4"/>
  <c r="R52" i="4"/>
  <c r="V51" i="4"/>
  <c r="T51" i="4"/>
  <c r="S51" i="4"/>
  <c r="R51" i="4"/>
  <c r="U51" i="4" s="1"/>
  <c r="V50" i="4"/>
  <c r="U50" i="4"/>
  <c r="T50" i="4"/>
  <c r="R50" i="4"/>
  <c r="S50" i="4" s="1"/>
  <c r="V49" i="4"/>
  <c r="R49" i="4"/>
  <c r="V48" i="4"/>
  <c r="U48" i="4"/>
  <c r="T48" i="4"/>
  <c r="R48" i="4"/>
  <c r="S48" i="4" s="1"/>
  <c r="V47" i="4"/>
  <c r="R47" i="4"/>
  <c r="U47" i="4" s="1"/>
  <c r="V46" i="4"/>
  <c r="R46" i="4"/>
  <c r="U46" i="4" s="1"/>
  <c r="V45" i="4"/>
  <c r="U45" i="4"/>
  <c r="S45" i="4"/>
  <c r="R45" i="4"/>
  <c r="T45" i="4" s="1"/>
  <c r="V44" i="4"/>
  <c r="R44" i="4"/>
  <c r="V43" i="4"/>
  <c r="U43" i="4"/>
  <c r="T43" i="4"/>
  <c r="S43" i="4"/>
  <c r="R43" i="4"/>
  <c r="V42" i="4"/>
  <c r="R42" i="4"/>
  <c r="U42" i="4" s="1"/>
  <c r="V41" i="4"/>
  <c r="U41" i="4"/>
  <c r="T41" i="4"/>
  <c r="R41" i="4"/>
  <c r="S41" i="4" s="1"/>
  <c r="V40" i="4"/>
  <c r="U40" i="4"/>
  <c r="T40" i="4"/>
  <c r="S40" i="4"/>
  <c r="R40" i="4"/>
  <c r="V39" i="4"/>
  <c r="T39" i="4"/>
  <c r="S39" i="4"/>
  <c r="R39" i="4"/>
  <c r="U39" i="4" s="1"/>
  <c r="V38" i="4"/>
  <c r="U38" i="4"/>
  <c r="T38" i="4"/>
  <c r="R38" i="4"/>
  <c r="S38" i="4" s="1"/>
  <c r="V37" i="4"/>
  <c r="R37" i="4"/>
  <c r="V36" i="4"/>
  <c r="R36" i="4"/>
  <c r="T36" i="4" s="1"/>
  <c r="V35" i="4"/>
  <c r="R35" i="4"/>
  <c r="U35" i="4" s="1"/>
  <c r="V34" i="4"/>
  <c r="R34" i="4"/>
  <c r="U34" i="4" s="1"/>
  <c r="V33" i="4"/>
  <c r="U33" i="4"/>
  <c r="S33" i="4"/>
  <c r="R33" i="4"/>
  <c r="T33" i="4" s="1"/>
  <c r="V32" i="4"/>
  <c r="R32" i="4"/>
  <c r="V31" i="4"/>
  <c r="U31" i="4"/>
  <c r="T31" i="4"/>
  <c r="S31" i="4"/>
  <c r="R31" i="4"/>
  <c r="V30" i="4"/>
  <c r="R30" i="4"/>
  <c r="U30" i="4" s="1"/>
  <c r="V29" i="4"/>
  <c r="U29" i="4"/>
  <c r="T29" i="4"/>
  <c r="R29" i="4"/>
  <c r="S29" i="4" s="1"/>
  <c r="V28" i="4"/>
  <c r="U28" i="4"/>
  <c r="T28" i="4"/>
  <c r="S28" i="4"/>
  <c r="R28" i="4"/>
  <c r="I135" i="4"/>
  <c r="J135" i="4"/>
  <c r="K135" i="4" s="1"/>
  <c r="O135" i="4" s="1"/>
  <c r="P135" i="4" s="1"/>
  <c r="L135" i="4"/>
  <c r="M135" i="4" s="1"/>
  <c r="N135" i="4"/>
  <c r="Q135" i="4"/>
  <c r="I136" i="4"/>
  <c r="L136" i="4" s="1"/>
  <c r="M136" i="4" s="1"/>
  <c r="J136" i="4"/>
  <c r="K136" i="4"/>
  <c r="O136" i="4" s="1"/>
  <c r="P136" i="4" s="1"/>
  <c r="I137" i="4"/>
  <c r="J137" i="4"/>
  <c r="K137" i="4"/>
  <c r="O137" i="4" s="1"/>
  <c r="P137" i="4" s="1"/>
  <c r="L137" i="4"/>
  <c r="M137" i="4"/>
  <c r="N137" i="4"/>
  <c r="Q137" i="4" s="1"/>
  <c r="I138" i="4"/>
  <c r="L138" i="4" s="1"/>
  <c r="M138" i="4" s="1"/>
  <c r="J138" i="4"/>
  <c r="K138" i="4"/>
  <c r="N138" i="4"/>
  <c r="O138" i="4"/>
  <c r="P138" i="4"/>
  <c r="Q138" i="4"/>
  <c r="I139" i="4"/>
  <c r="J139" i="4"/>
  <c r="K139" i="4" s="1"/>
  <c r="O139" i="4" s="1"/>
  <c r="P139" i="4" s="1"/>
  <c r="L139" i="4"/>
  <c r="M139" i="4" s="1"/>
  <c r="N139" i="4"/>
  <c r="Q139" i="4"/>
  <c r="I140" i="4"/>
  <c r="L140" i="4" s="1"/>
  <c r="M140" i="4" s="1"/>
  <c r="J140" i="4"/>
  <c r="K140" i="4"/>
  <c r="O140" i="4" s="1"/>
  <c r="P140" i="4" s="1"/>
  <c r="I141" i="4"/>
  <c r="J141" i="4"/>
  <c r="K141" i="4"/>
  <c r="O141" i="4" s="1"/>
  <c r="P141" i="4" s="1"/>
  <c r="L141" i="4"/>
  <c r="M141" i="4"/>
  <c r="N141" i="4"/>
  <c r="Q141" i="4" s="1"/>
  <c r="I142" i="4"/>
  <c r="L142" i="4" s="1"/>
  <c r="M142" i="4" s="1"/>
  <c r="J142" i="4"/>
  <c r="K142" i="4"/>
  <c r="N142" i="4"/>
  <c r="O142" i="4"/>
  <c r="P142" i="4"/>
  <c r="Q142" i="4"/>
  <c r="I143" i="4"/>
  <c r="J143" i="4"/>
  <c r="K143" i="4" s="1"/>
  <c r="O143" i="4" s="1"/>
  <c r="P143" i="4" s="1"/>
  <c r="L143" i="4"/>
  <c r="M143" i="4" s="1"/>
  <c r="N143" i="4"/>
  <c r="Q143" i="4"/>
  <c r="U32" i="4" l="1"/>
  <c r="T32" i="4"/>
  <c r="U85" i="4"/>
  <c r="T85" i="4"/>
  <c r="S85" i="4"/>
  <c r="U109" i="4"/>
  <c r="T109" i="4"/>
  <c r="S109" i="4"/>
  <c r="S32" i="4"/>
  <c r="U73" i="4"/>
  <c r="T73" i="4"/>
  <c r="S73" i="4"/>
  <c r="U128" i="4"/>
  <c r="T128" i="4"/>
  <c r="S128" i="4"/>
  <c r="S89" i="4"/>
  <c r="T103" i="4"/>
  <c r="U36" i="4"/>
  <c r="S46" i="4"/>
  <c r="U58" i="4"/>
  <c r="T77" i="4"/>
  <c r="U37" i="4"/>
  <c r="T37" i="4"/>
  <c r="S37" i="4"/>
  <c r="T46" i="4"/>
  <c r="S65" i="4"/>
  <c r="U77" i="4"/>
  <c r="S87" i="4"/>
  <c r="S96" i="4"/>
  <c r="S111" i="4"/>
  <c r="S120" i="4"/>
  <c r="S34" i="4"/>
  <c r="U56" i="4"/>
  <c r="T56" i="4"/>
  <c r="T65" i="4"/>
  <c r="S75" i="4"/>
  <c r="S84" i="4"/>
  <c r="T87" i="4"/>
  <c r="T96" i="4"/>
  <c r="U101" i="4"/>
  <c r="T101" i="4"/>
  <c r="S101" i="4"/>
  <c r="S108" i="4"/>
  <c r="T111" i="4"/>
  <c r="T120" i="4"/>
  <c r="T142" i="4"/>
  <c r="T132" i="4"/>
  <c r="S142" i="4"/>
  <c r="T34" i="4"/>
  <c r="T75" i="4"/>
  <c r="T84" i="4"/>
  <c r="T108" i="4"/>
  <c r="S36" i="4"/>
  <c r="U61" i="4"/>
  <c r="T61" i="4"/>
  <c r="S61" i="4"/>
  <c r="U92" i="4"/>
  <c r="T92" i="4"/>
  <c r="S103" i="4"/>
  <c r="U116" i="4"/>
  <c r="T116" i="4"/>
  <c r="S58" i="4"/>
  <c r="U80" i="4"/>
  <c r="T80" i="4"/>
  <c r="S92" i="4"/>
  <c r="S113" i="4"/>
  <c r="S116" i="4"/>
  <c r="U49" i="4"/>
  <c r="T49" i="4"/>
  <c r="S49" i="4"/>
  <c r="T89" i="4"/>
  <c r="T113" i="4"/>
  <c r="U123" i="4"/>
  <c r="T123" i="4"/>
  <c r="U68" i="4"/>
  <c r="T68" i="4"/>
  <c r="S123" i="4"/>
  <c r="U44" i="4"/>
  <c r="T44" i="4"/>
  <c r="T130" i="4"/>
  <c r="T140" i="4"/>
  <c r="U140" i="4"/>
  <c r="S132" i="4"/>
  <c r="S44" i="4"/>
  <c r="T63" i="4"/>
  <c r="U121" i="4"/>
  <c r="T121" i="4"/>
  <c r="S121" i="4"/>
  <c r="S140" i="4"/>
  <c r="S133" i="4"/>
  <c r="S30" i="4"/>
  <c r="S42" i="4"/>
  <c r="S54" i="4"/>
  <c r="S66" i="4"/>
  <c r="S78" i="4"/>
  <c r="S90" i="4"/>
  <c r="S98" i="4"/>
  <c r="S106" i="4"/>
  <c r="S114" i="4"/>
  <c r="S126" i="4"/>
  <c r="T133" i="4"/>
  <c r="T30" i="4"/>
  <c r="S35" i="4"/>
  <c r="T42" i="4"/>
  <c r="S47" i="4"/>
  <c r="T54" i="4"/>
  <c r="S59" i="4"/>
  <c r="T66" i="4"/>
  <c r="S71" i="4"/>
  <c r="T78" i="4"/>
  <c r="S83" i="4"/>
  <c r="T90" i="4"/>
  <c r="S95" i="4"/>
  <c r="T98" i="4"/>
  <c r="T106" i="4"/>
  <c r="T114" i="4"/>
  <c r="S119" i="4"/>
  <c r="T126" i="4"/>
  <c r="S131" i="4"/>
  <c r="T138" i="4"/>
  <c r="S143" i="4"/>
  <c r="T35" i="4"/>
  <c r="T47" i="4"/>
  <c r="T59" i="4"/>
  <c r="T71" i="4"/>
  <c r="T83" i="4"/>
  <c r="T95" i="4"/>
  <c r="T119" i="4"/>
  <c r="T131" i="4"/>
  <c r="U138" i="4"/>
  <c r="T143" i="4"/>
  <c r="N140" i="4"/>
  <c r="Q140" i="4" s="1"/>
  <c r="N136" i="4"/>
  <c r="Q136" i="4" s="1"/>
  <c r="I128" i="4" l="1"/>
  <c r="L128" i="4" s="1"/>
  <c r="M128" i="4" s="1"/>
  <c r="J128" i="4"/>
  <c r="K128" i="4" s="1"/>
  <c r="O128" i="4" s="1"/>
  <c r="P128" i="4" s="1"/>
  <c r="N128" i="4"/>
  <c r="Q128" i="4"/>
  <c r="I129" i="4"/>
  <c r="J129" i="4"/>
  <c r="K129" i="4" s="1"/>
  <c r="O129" i="4" s="1"/>
  <c r="P129" i="4" s="1"/>
  <c r="I130" i="4"/>
  <c r="N130" i="4" s="1"/>
  <c r="Q130" i="4" s="1"/>
  <c r="J130" i="4"/>
  <c r="K130" i="4"/>
  <c r="L130" i="4"/>
  <c r="M130" i="4"/>
  <c r="I131" i="4"/>
  <c r="L131" i="4" s="1"/>
  <c r="M131" i="4" s="1"/>
  <c r="J131" i="4"/>
  <c r="K131" i="4" s="1"/>
  <c r="I132" i="4"/>
  <c r="N132" i="4" s="1"/>
  <c r="Q132" i="4" s="1"/>
  <c r="J132" i="4"/>
  <c r="K132" i="4"/>
  <c r="O132" i="4" s="1"/>
  <c r="P132" i="4" s="1"/>
  <c r="L132" i="4"/>
  <c r="M132" i="4"/>
  <c r="I133" i="4"/>
  <c r="J133" i="4"/>
  <c r="K133" i="4"/>
  <c r="L133" i="4"/>
  <c r="M133" i="4"/>
  <c r="N133" i="4"/>
  <c r="Q133" i="4" s="1"/>
  <c r="O133" i="4"/>
  <c r="P133" i="4"/>
  <c r="I134" i="4"/>
  <c r="L134" i="4" s="1"/>
  <c r="M134" i="4" s="1"/>
  <c r="J134" i="4"/>
  <c r="K134" i="4" s="1"/>
  <c r="O134" i="4" s="1"/>
  <c r="P134" i="4" s="1"/>
  <c r="O131" i="4" l="1"/>
  <c r="P131" i="4" s="1"/>
  <c r="O130" i="4"/>
  <c r="P130" i="4" s="1"/>
  <c r="L129" i="4"/>
  <c r="M129" i="4" s="1"/>
  <c r="N129" i="4"/>
  <c r="Q129" i="4" s="1"/>
  <c r="N134" i="4"/>
  <c r="Q134" i="4" s="1"/>
  <c r="N131" i="4"/>
  <c r="Q131" i="4" s="1"/>
  <c r="O15" i="1" l="1"/>
  <c r="L15" i="1"/>
  <c r="N15" i="1"/>
  <c r="M125" i="4"/>
  <c r="J16" i="4"/>
  <c r="J15" i="4"/>
  <c r="J87" i="4"/>
  <c r="K87" i="4" s="1"/>
  <c r="J122" i="4"/>
  <c r="K122" i="4" s="1"/>
  <c r="O122" i="4" s="1"/>
  <c r="P122" i="4" s="1"/>
  <c r="J117" i="4"/>
  <c r="K117" i="4"/>
  <c r="J120" i="4"/>
  <c r="L120" i="4" s="1"/>
  <c r="K120" i="4"/>
  <c r="J101" i="4"/>
  <c r="K101" i="4"/>
  <c r="O101" i="4" s="1"/>
  <c r="P101" i="4" s="1"/>
  <c r="J86" i="4"/>
  <c r="K86" i="4" s="1"/>
  <c r="J85" i="4"/>
  <c r="K85" i="4" s="1"/>
  <c r="J88" i="4"/>
  <c r="K88" i="4" s="1"/>
  <c r="J119" i="4"/>
  <c r="K119" i="4"/>
  <c r="J72" i="4"/>
  <c r="K72" i="4" s="1"/>
  <c r="J103" i="4"/>
  <c r="K103" i="4"/>
  <c r="J118" i="4"/>
  <c r="L118" i="4" s="1"/>
  <c r="M118" i="4" s="1"/>
  <c r="K118" i="4"/>
  <c r="O118" i="4" s="1"/>
  <c r="P118" i="4" s="1"/>
  <c r="J104" i="4"/>
  <c r="K104" i="4"/>
  <c r="O104" i="4" s="1"/>
  <c r="P104" i="4" s="1"/>
  <c r="J90" i="4"/>
  <c r="K90" i="4" s="1"/>
  <c r="J71" i="4"/>
  <c r="K71" i="4"/>
  <c r="J110" i="4"/>
  <c r="K110" i="4" s="1"/>
  <c r="O110" i="4" s="1"/>
  <c r="P110" i="4" s="1"/>
  <c r="J82" i="4"/>
  <c r="K82" i="4"/>
  <c r="J113" i="4"/>
  <c r="K113" i="4"/>
  <c r="J97" i="4"/>
  <c r="K97" i="4" s="1"/>
  <c r="J81" i="4"/>
  <c r="K81" i="4" s="1"/>
  <c r="J116" i="4"/>
  <c r="K116" i="4"/>
  <c r="J100" i="4"/>
  <c r="K100" i="4" s="1"/>
  <c r="O100" i="4" s="1"/>
  <c r="P100" i="4" s="1"/>
  <c r="J84" i="4"/>
  <c r="K84" i="4" s="1"/>
  <c r="J114" i="4"/>
  <c r="K114" i="4"/>
  <c r="J78" i="4"/>
  <c r="K78" i="4"/>
  <c r="J115" i="4"/>
  <c r="K115" i="4" s="1"/>
  <c r="J99" i="4"/>
  <c r="K99" i="4"/>
  <c r="J83" i="4"/>
  <c r="K83" i="4" s="1"/>
  <c r="J102" i="4"/>
  <c r="K102" i="4"/>
  <c r="J74" i="4"/>
  <c r="K74" i="4" s="1"/>
  <c r="J125" i="4"/>
  <c r="K125" i="4"/>
  <c r="J109" i="4"/>
  <c r="K109" i="4"/>
  <c r="O109" i="4" s="1"/>
  <c r="P109" i="4" s="1"/>
  <c r="J93" i="4"/>
  <c r="K93" i="4" s="1"/>
  <c r="J77" i="4"/>
  <c r="L77" i="4" s="1"/>
  <c r="K77" i="4"/>
  <c r="J112" i="4"/>
  <c r="K112" i="4" s="1"/>
  <c r="O112" i="4" s="1"/>
  <c r="P112" i="4" s="1"/>
  <c r="J96" i="4"/>
  <c r="K96" i="4" s="1"/>
  <c r="O96" i="4" s="1"/>
  <c r="P96" i="4" s="1"/>
  <c r="J80" i="4"/>
  <c r="K80" i="4" s="1"/>
  <c r="J106" i="4"/>
  <c r="K106" i="4"/>
  <c r="O106" i="4" s="1"/>
  <c r="P106" i="4" s="1"/>
  <c r="J127" i="4"/>
  <c r="K127" i="4"/>
  <c r="O127" i="4" s="1"/>
  <c r="P127" i="4" s="1"/>
  <c r="J111" i="4"/>
  <c r="K111" i="4"/>
  <c r="O111" i="4" s="1"/>
  <c r="P111" i="4" s="1"/>
  <c r="J95" i="4"/>
  <c r="K95" i="4" s="1"/>
  <c r="J79" i="4"/>
  <c r="K79" i="4" s="1"/>
  <c r="J126" i="4"/>
  <c r="K126" i="4" s="1"/>
  <c r="J94" i="4"/>
  <c r="K94" i="4"/>
  <c r="J121" i="4"/>
  <c r="L121" i="4" s="1"/>
  <c r="K121" i="4"/>
  <c r="J105" i="4"/>
  <c r="K105" i="4"/>
  <c r="J89" i="4"/>
  <c r="K89" i="4" s="1"/>
  <c r="J73" i="4"/>
  <c r="K73" i="4" s="1"/>
  <c r="J124" i="4"/>
  <c r="K124" i="4"/>
  <c r="J108" i="4"/>
  <c r="K108" i="4" s="1"/>
  <c r="J92" i="4"/>
  <c r="K92" i="4" s="1"/>
  <c r="J76" i="4"/>
  <c r="K76" i="4"/>
  <c r="J98" i="4"/>
  <c r="L98" i="4" s="1"/>
  <c r="M98" i="4" s="1"/>
  <c r="K98" i="4"/>
  <c r="O98" i="4" s="1"/>
  <c r="P98" i="4" s="1"/>
  <c r="J123" i="4"/>
  <c r="L123" i="4" s="1"/>
  <c r="M123" i="4" s="1"/>
  <c r="K123" i="4"/>
  <c r="O123" i="4" s="1"/>
  <c r="P123" i="4" s="1"/>
  <c r="J107" i="4"/>
  <c r="K107" i="4" s="1"/>
  <c r="J91" i="4"/>
  <c r="L91" i="4" s="1"/>
  <c r="J75" i="4"/>
  <c r="K75" i="4" s="1"/>
  <c r="O105" i="4"/>
  <c r="P105" i="4"/>
  <c r="O102" i="4"/>
  <c r="P102" i="4"/>
  <c r="O117" i="4"/>
  <c r="P117" i="4" s="1"/>
  <c r="O113" i="4"/>
  <c r="P113" i="4"/>
  <c r="O71" i="4"/>
  <c r="P71" i="4" s="1"/>
  <c r="O103" i="4"/>
  <c r="P103" i="4"/>
  <c r="O94" i="4"/>
  <c r="P94" i="4"/>
  <c r="O125" i="4"/>
  <c r="P125" i="4"/>
  <c r="O99" i="4"/>
  <c r="P99" i="4" s="1"/>
  <c r="I76" i="4"/>
  <c r="I77" i="4"/>
  <c r="I81" i="4"/>
  <c r="N81" i="4" s="1"/>
  <c r="Q81" i="4" s="1"/>
  <c r="I89" i="4"/>
  <c r="N89" i="4" s="1"/>
  <c r="Q89" i="4" s="1"/>
  <c r="I90" i="4"/>
  <c r="N90" i="4" s="1"/>
  <c r="Q90" i="4" s="1"/>
  <c r="I96" i="4"/>
  <c r="I99" i="4"/>
  <c r="N99" i="4" s="1"/>
  <c r="Q99" i="4" s="1"/>
  <c r="I102" i="4"/>
  <c r="L102" i="4" s="1"/>
  <c r="M102" i="4" s="1"/>
  <c r="I104" i="4"/>
  <c r="L104" i="4" s="1"/>
  <c r="M104" i="4" s="1"/>
  <c r="I108" i="4"/>
  <c r="N108" i="4" s="1"/>
  <c r="Q108" i="4" s="1"/>
  <c r="I111" i="4"/>
  <c r="N111" i="4" s="1"/>
  <c r="Q111" i="4" s="1"/>
  <c r="I113" i="4"/>
  <c r="N113" i="4" s="1"/>
  <c r="Q113" i="4" s="1"/>
  <c r="I115" i="4"/>
  <c r="I119" i="4"/>
  <c r="I120" i="4"/>
  <c r="I123" i="4"/>
  <c r="I125" i="4"/>
  <c r="I79" i="4"/>
  <c r="N79" i="4" s="1"/>
  <c r="Q79" i="4" s="1"/>
  <c r="I92" i="4"/>
  <c r="L92" i="4" s="1"/>
  <c r="I100" i="4"/>
  <c r="I103" i="4"/>
  <c r="N103" i="4" s="1"/>
  <c r="Q103" i="4" s="1"/>
  <c r="I107" i="4"/>
  <c r="N107" i="4" s="1"/>
  <c r="Q107" i="4" s="1"/>
  <c r="I109" i="4"/>
  <c r="I110" i="4"/>
  <c r="N110" i="4" s="1"/>
  <c r="Q110" i="4" s="1"/>
  <c r="I117" i="4"/>
  <c r="I124" i="4"/>
  <c r="I72" i="4"/>
  <c r="N72" i="4" s="1"/>
  <c r="Q72" i="4" s="1"/>
  <c r="I106" i="4"/>
  <c r="I71" i="4"/>
  <c r="N71" i="4" s="1"/>
  <c r="Q71" i="4" s="1"/>
  <c r="I75" i="4"/>
  <c r="N75" i="4" s="1"/>
  <c r="Q75" i="4" s="1"/>
  <c r="I80" i="4"/>
  <c r="L80" i="4" s="1"/>
  <c r="I83" i="4"/>
  <c r="N83" i="4" s="1"/>
  <c r="Q83" i="4" s="1"/>
  <c r="I86" i="4"/>
  <c r="L86" i="4" s="1"/>
  <c r="I88" i="4"/>
  <c r="N88" i="4" s="1"/>
  <c r="Q88" i="4" s="1"/>
  <c r="I94" i="4"/>
  <c r="I95" i="4"/>
  <c r="N95" i="4" s="1"/>
  <c r="Q95" i="4" s="1"/>
  <c r="I98" i="4"/>
  <c r="I101" i="4"/>
  <c r="I118" i="4"/>
  <c r="N118" i="4" s="1"/>
  <c r="Q118" i="4" s="1"/>
  <c r="I127" i="4"/>
  <c r="I73" i="4"/>
  <c r="N73" i="4" s="1"/>
  <c r="Q73" i="4" s="1"/>
  <c r="I74" i="4"/>
  <c r="L74" i="4" s="1"/>
  <c r="I78" i="4"/>
  <c r="L78" i="4" s="1"/>
  <c r="I82" i="4"/>
  <c r="L82" i="4" s="1"/>
  <c r="I85" i="4"/>
  <c r="N85" i="4" s="1"/>
  <c r="Q85" i="4" s="1"/>
  <c r="I93" i="4"/>
  <c r="N93" i="4" s="1"/>
  <c r="Q93" i="4" s="1"/>
  <c r="I112" i="4"/>
  <c r="I114" i="4"/>
  <c r="I121" i="4"/>
  <c r="I122" i="4"/>
  <c r="I84" i="4"/>
  <c r="I87" i="4"/>
  <c r="I91" i="4"/>
  <c r="I97" i="4"/>
  <c r="L97" i="4" s="1"/>
  <c r="I105" i="4"/>
  <c r="L105" i="4" s="1"/>
  <c r="M105" i="4" s="1"/>
  <c r="I116" i="4"/>
  <c r="N116" i="4" s="1"/>
  <c r="Q116" i="4" s="1"/>
  <c r="I126" i="4"/>
  <c r="N126" i="4" s="1"/>
  <c r="Q126" i="4" s="1"/>
  <c r="N121" i="4"/>
  <c r="Q121" i="4" s="1"/>
  <c r="N101" i="4"/>
  <c r="Q101" i="4"/>
  <c r="L101" i="4"/>
  <c r="M101" i="4" s="1"/>
  <c r="L75" i="4"/>
  <c r="L106" i="4"/>
  <c r="M106" i="4" s="1"/>
  <c r="N106" i="4"/>
  <c r="Q106" i="4" s="1"/>
  <c r="N124" i="4"/>
  <c r="Q124" i="4" s="1"/>
  <c r="N119" i="4"/>
  <c r="Q119" i="4" s="1"/>
  <c r="N77" i="4"/>
  <c r="Q77" i="4"/>
  <c r="N114" i="4"/>
  <c r="Q114" i="4"/>
  <c r="L114" i="4"/>
  <c r="N98" i="4"/>
  <c r="Q98" i="4"/>
  <c r="N117" i="4"/>
  <c r="Q117" i="4"/>
  <c r="L117" i="4"/>
  <c r="M117" i="4" s="1"/>
  <c r="L103" i="4"/>
  <c r="M103" i="4" s="1"/>
  <c r="L125" i="4"/>
  <c r="N125" i="4"/>
  <c r="Q125" i="4"/>
  <c r="N115" i="4"/>
  <c r="Q115" i="4" s="1"/>
  <c r="N76" i="4"/>
  <c r="Q76" i="4" s="1"/>
  <c r="N91" i="4"/>
  <c r="Q91" i="4"/>
  <c r="L112" i="4"/>
  <c r="M112" i="4" s="1"/>
  <c r="N112" i="4"/>
  <c r="Q112" i="4"/>
  <c r="L110" i="4"/>
  <c r="M110" i="4" s="1"/>
  <c r="L100" i="4"/>
  <c r="M100" i="4" s="1"/>
  <c r="N100" i="4"/>
  <c r="Q100" i="4" s="1"/>
  <c r="N123" i="4"/>
  <c r="Q123" i="4" s="1"/>
  <c r="N87" i="4"/>
  <c r="Q87" i="4" s="1"/>
  <c r="L87" i="4"/>
  <c r="N122" i="4"/>
  <c r="Q122" i="4" s="1"/>
  <c r="L122" i="4"/>
  <c r="M122" i="4" s="1"/>
  <c r="L94" i="4"/>
  <c r="N94" i="4"/>
  <c r="Q94" i="4" s="1"/>
  <c r="N80" i="4"/>
  <c r="Q80" i="4"/>
  <c r="N109" i="4"/>
  <c r="Q109" i="4" s="1"/>
  <c r="L109" i="4"/>
  <c r="M109" i="4" s="1"/>
  <c r="N120" i="4"/>
  <c r="Q120" i="4" s="1"/>
  <c r="L81" i="4"/>
  <c r="O126" i="4" l="1"/>
  <c r="P126" i="4" s="1"/>
  <c r="O107" i="4"/>
  <c r="P107" i="4" s="1"/>
  <c r="O108" i="4"/>
  <c r="P108" i="4" s="1"/>
  <c r="O74" i="4"/>
  <c r="P74" i="4" s="1"/>
  <c r="M121" i="4"/>
  <c r="L99" i="4"/>
  <c r="M99" i="4" s="1"/>
  <c r="N102" i="4"/>
  <c r="Q102" i="4" s="1"/>
  <c r="N104" i="4"/>
  <c r="Q104" i="4" s="1"/>
  <c r="O120" i="4"/>
  <c r="P120" i="4" s="1"/>
  <c r="L113" i="4"/>
  <c r="M113" i="4" s="1"/>
  <c r="L73" i="4"/>
  <c r="L127" i="4"/>
  <c r="M120" i="4"/>
  <c r="L111" i="4"/>
  <c r="M111" i="4" s="1"/>
  <c r="L95" i="4"/>
  <c r="M95" i="4" s="1"/>
  <c r="L115" i="4"/>
  <c r="L79" i="4"/>
  <c r="O114" i="4"/>
  <c r="P114" i="4" s="1"/>
  <c r="L124" i="4"/>
  <c r="L119" i="4"/>
  <c r="O121" i="4"/>
  <c r="P121" i="4" s="1"/>
  <c r="L83" i="4"/>
  <c r="L96" i="4"/>
  <c r="O115" i="4"/>
  <c r="P115" i="4" s="1"/>
  <c r="N74" i="4"/>
  <c r="Q74" i="4" s="1"/>
  <c r="K91" i="4"/>
  <c r="L72" i="4"/>
  <c r="M91" i="4"/>
  <c r="O124" i="4"/>
  <c r="P124" i="4" s="1"/>
  <c r="O119" i="4"/>
  <c r="P119" i="4" s="1"/>
  <c r="N105" i="4"/>
  <c r="Q105" i="4" s="1"/>
  <c r="O116" i="4"/>
  <c r="P116" i="4" s="1"/>
  <c r="M114" i="4"/>
  <c r="M78" i="4"/>
  <c r="O93" i="4"/>
  <c r="P93" i="4" s="1"/>
  <c r="M74" i="4"/>
  <c r="M92" i="4"/>
  <c r="M80" i="4"/>
  <c r="O92" i="4"/>
  <c r="P92" i="4" s="1"/>
  <c r="O75" i="4"/>
  <c r="P75" i="4" s="1"/>
  <c r="M82" i="4"/>
  <c r="M87" i="4"/>
  <c r="L107" i="4"/>
  <c r="O73" i="4"/>
  <c r="P73" i="4" s="1"/>
  <c r="O95" i="4"/>
  <c r="P95" i="4" s="1"/>
  <c r="M94" i="4"/>
  <c r="L85" i="4"/>
  <c r="O89" i="4"/>
  <c r="P89" i="4" s="1"/>
  <c r="O87" i="4"/>
  <c r="P87" i="4" s="1"/>
  <c r="M79" i="4"/>
  <c r="N127" i="4"/>
  <c r="Q127" i="4" s="1"/>
  <c r="L108" i="4"/>
  <c r="L84" i="4"/>
  <c r="O88" i="4"/>
  <c r="P88" i="4" s="1"/>
  <c r="M75" i="4"/>
  <c r="M86" i="4"/>
  <c r="O82" i="4"/>
  <c r="P82" i="4" s="1"/>
  <c r="O72" i="4"/>
  <c r="P72" i="4" s="1"/>
  <c r="M77" i="4"/>
  <c r="M96" i="4"/>
  <c r="O84" i="4"/>
  <c r="P84" i="4" s="1"/>
  <c r="O79" i="4"/>
  <c r="P79" i="4" s="1"/>
  <c r="O83" i="4"/>
  <c r="P83" i="4" s="1"/>
  <c r="L116" i="4"/>
  <c r="L126" i="4"/>
  <c r="L71" i="4"/>
  <c r="O76" i="4"/>
  <c r="P76" i="4" s="1"/>
  <c r="O90" i="4"/>
  <c r="P90" i="4" s="1"/>
  <c r="O85" i="4"/>
  <c r="P85" i="4" s="1"/>
  <c r="N92" i="4"/>
  <c r="Q92" i="4" s="1"/>
  <c r="L89" i="4"/>
  <c r="N86" i="4"/>
  <c r="Q86" i="4" s="1"/>
  <c r="O78" i="4"/>
  <c r="P78" i="4" s="1"/>
  <c r="L76" i="4"/>
  <c r="O86" i="4"/>
  <c r="P86" i="4" s="1"/>
  <c r="N78" i="4"/>
  <c r="Q78" i="4" s="1"/>
  <c r="L90" i="4"/>
  <c r="O81" i="4"/>
  <c r="P81" i="4" s="1"/>
  <c r="O80" i="4"/>
  <c r="P80" i="4" s="1"/>
  <c r="M97" i="4"/>
  <c r="O77" i="4"/>
  <c r="P77" i="4" s="1"/>
  <c r="M81" i="4"/>
  <c r="O97" i="4"/>
  <c r="P97" i="4" s="1"/>
  <c r="N97" i="4"/>
  <c r="Q97" i="4" s="1"/>
  <c r="L88" i="4"/>
  <c r="L93" i="4"/>
  <c r="N82" i="4"/>
  <c r="Q82" i="4" s="1"/>
  <c r="N96" i="4"/>
  <c r="Q96" i="4" s="1"/>
  <c r="N84" i="4"/>
  <c r="Q84" i="4" s="1"/>
  <c r="J14" i="4"/>
  <c r="J13" i="4" s="1"/>
  <c r="K16" i="4" s="1"/>
  <c r="M127" i="4" l="1"/>
  <c r="M83" i="4"/>
  <c r="M126" i="4"/>
  <c r="M71" i="4"/>
  <c r="M116" i="4"/>
  <c r="M107" i="4"/>
  <c r="O91" i="4"/>
  <c r="P91" i="4" s="1"/>
  <c r="M115" i="4"/>
  <c r="M119" i="4"/>
  <c r="M73" i="4"/>
  <c r="M108" i="4"/>
  <c r="M72" i="4"/>
  <c r="M124" i="4"/>
  <c r="M84" i="4"/>
  <c r="M90" i="4"/>
  <c r="M89" i="4"/>
  <c r="M85" i="4"/>
  <c r="M88" i="4"/>
  <c r="M76" i="4"/>
  <c r="M93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62" i="4" l="1"/>
  <c r="P62" i="4" s="1"/>
  <c r="O61" i="4"/>
  <c r="P61" i="4" s="1"/>
  <c r="O60" i="4"/>
  <c r="P60" i="4" s="1"/>
  <c r="O58" i="4"/>
  <c r="P58" i="4" s="1"/>
  <c r="O57" i="4"/>
  <c r="P57" i="4" s="1"/>
  <c r="L66" i="4"/>
  <c r="K66" i="4"/>
  <c r="K70" i="4"/>
  <c r="L70" i="4"/>
  <c r="K64" i="4"/>
  <c r="L64" i="4"/>
  <c r="O63" i="4"/>
  <c r="P63" i="4" s="1"/>
  <c r="L63" i="4"/>
  <c r="K68" i="4"/>
  <c r="L68" i="4"/>
  <c r="L67" i="4"/>
  <c r="K67" i="4"/>
  <c r="L65" i="4"/>
  <c r="K65" i="4"/>
  <c r="K69" i="4"/>
  <c r="L69" i="4"/>
  <c r="N62" i="4"/>
  <c r="Q62" i="4" s="1"/>
  <c r="L62" i="4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L60" i="4"/>
  <c r="N60" i="4"/>
  <c r="Q60" i="4" s="1"/>
  <c r="M60" i="4" l="1"/>
  <c r="M62" i="4"/>
  <c r="M61" i="4"/>
  <c r="M70" i="4"/>
  <c r="M63" i="4"/>
  <c r="M64" i="4"/>
  <c r="O64" i="4"/>
  <c r="P64" i="4" s="1"/>
  <c r="O67" i="4"/>
  <c r="P67" i="4" s="1"/>
  <c r="M69" i="4"/>
  <c r="M58" i="4"/>
  <c r="O69" i="4"/>
  <c r="P69" i="4" s="1"/>
  <c r="M57" i="4"/>
  <c r="O65" i="4"/>
  <c r="P65" i="4" s="1"/>
  <c r="O66" i="4"/>
  <c r="P66" i="4" s="1"/>
  <c r="M65" i="4"/>
  <c r="M66" i="4"/>
  <c r="M67" i="4"/>
  <c r="M68" i="4"/>
  <c r="O68" i="4"/>
  <c r="P68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39" i="4"/>
  <c r="J53" i="4"/>
  <c r="J54" i="4"/>
  <c r="J50" i="4"/>
  <c r="J48" i="4"/>
  <c r="J51" i="4"/>
  <c r="Q54" i="4"/>
  <c r="Q51" i="4"/>
  <c r="Q49" i="4"/>
  <c r="J45" i="4" l="1"/>
  <c r="K45" i="4" s="1"/>
  <c r="J30" i="4"/>
  <c r="K30" i="4" s="1"/>
  <c r="J43" i="4"/>
  <c r="K43" i="4" s="1"/>
  <c r="J31" i="4"/>
  <c r="K31" i="4" s="1"/>
  <c r="J44" i="4"/>
  <c r="L44" i="4" s="1"/>
  <c r="J36" i="4"/>
  <c r="L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44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O49" i="4" l="1"/>
  <c r="P49" i="4" s="1"/>
  <c r="M49" i="4"/>
  <c r="M48" i="4"/>
  <c r="O48" i="4"/>
  <c r="P48" i="4" s="1"/>
  <c r="L47" i="4"/>
  <c r="O31" i="4"/>
  <c r="P31" i="4" s="1"/>
  <c r="O30" i="4"/>
  <c r="P30" i="4" s="1"/>
  <c r="O39" i="4"/>
  <c r="P39" i="4" s="1"/>
  <c r="M39" i="4"/>
  <c r="L31" i="4"/>
  <c r="O47" i="4"/>
  <c r="P47" i="4" s="1"/>
  <c r="O33" i="4"/>
  <c r="P33" i="4" s="1"/>
  <c r="M35" i="4"/>
  <c r="O46" i="4"/>
  <c r="P46" i="4" s="1"/>
  <c r="L30" i="4"/>
  <c r="O44" i="4"/>
  <c r="P44" i="4" s="1"/>
  <c r="O28" i="4"/>
  <c r="P28" i="4" s="1"/>
  <c r="M44" i="4"/>
  <c r="O43" i="4"/>
  <c r="P43" i="4" s="1"/>
  <c r="L43" i="4"/>
  <c r="O41" i="4"/>
  <c r="P41" i="4" s="1"/>
  <c r="O45" i="4"/>
  <c r="P45" i="4" s="1"/>
  <c r="L45" i="4"/>
  <c r="K35" i="4"/>
  <c r="K36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6" i="4"/>
  <c r="K40" i="4"/>
  <c r="K32" i="4"/>
  <c r="L28" i="4"/>
  <c r="M47" i="4" l="1"/>
  <c r="M30" i="4"/>
  <c r="M46" i="4"/>
  <c r="O36" i="4"/>
  <c r="P36" i="4" s="1"/>
  <c r="O35" i="4"/>
  <c r="P35" i="4" s="1"/>
  <c r="M45" i="4"/>
  <c r="O29" i="4"/>
  <c r="P29" i="4" s="1"/>
  <c r="O32" i="4"/>
  <c r="P32" i="4" s="1"/>
  <c r="O38" i="4"/>
  <c r="P38" i="4" s="1"/>
  <c r="O34" i="4"/>
  <c r="P34" i="4" s="1"/>
  <c r="O40" i="4"/>
  <c r="P40" i="4" s="1"/>
  <c r="M33" i="4"/>
  <c r="O42" i="4"/>
  <c r="P42" i="4" s="1"/>
  <c r="M41" i="4"/>
  <c r="M43" i="4"/>
  <c r="M31" i="4"/>
  <c r="O37" i="4"/>
  <c r="P37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<sst xmlns="http://schemas.openxmlformats.org/spreadsheetml/2006/main" count="340" uniqueCount="315">
  <si>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</si>
  <si>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</si>
  <si>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</si>
  <si>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</si>
  <si>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</si>
  <si>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</si>
  <si>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</si>
  <si>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</si>
  <si>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</si>
  <si>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</si>
  <si>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</si>
  <si>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</si>
  <si>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</si>
  <si>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</si>
  <si>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</si>
  <si>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</si>
  <si>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</si>
  <si>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</si>
  <si>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</si>
  <si>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</si>
  <si>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</si>
  <si>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</si>
  <si>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</si>
  <si>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</si>
  <si>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</si>
  <si>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</si>
  <si>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</si>
  <si>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</si>
  <si>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</si>
  <si>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</si>
  <si>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</si>
  <si>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</si>
  <si>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</si>
  <si>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</si>
  <si>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</si>
  <si>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</si>
  <si>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</si>
  <si>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</si>
  <si>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</si>
  <si>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</si>
  <si>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</si>
  <si>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</si>
  <si>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</si>
  <si>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</si>
  <si>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</si>
  <si>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</si>
  <si>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</si>
  <si>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</si>
  <si>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</si>
  <si>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</si>
  <si>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</si>
  <si>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</si>
  <si>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</si>
  <si>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</si>
  <si>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</si>
  <si>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</si>
  <si>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</si>
  <si>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</si>
  <si>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</si>
  <si>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</si>
  <si>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</si>
  <si>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</si>
  <si>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</si>
  <si>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</si>
  <si>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</si>
  <si>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</si>
  <si>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</si>
  <si>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</si>
  <si>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</si>
  <si>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</si>
  <si>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</si>
  <si>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</si>
  <si>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</si>
  <si>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</si>
  <si>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</si>
  <si>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</si>
  <si>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</si>
  <si>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</si>
  <si>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</si>
  <si>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</si>
  <si>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</si>
  <si>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</si>
  <si>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</si>
  <si>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</si>
  <si>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</si>
  <si>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</si>
  <si>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</si>
  <si>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</si>
  <si>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</si>
  <si>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</si>
  <si>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</si>
  <si>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</si>
  <si>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</si>
  <si>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</si>
  <si>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</si>
  <si>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</si>
  <si>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</si>
  <si>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</si>
  <si>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</si>
  <si>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</si>
  <si>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</si>
  <si>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</si>
  <si>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</si>
  <si>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</si>
  <si>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</si>
  <si>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</si>
  <si>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</si>
  <si>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</si>
  <si>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</si>
  <si>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</si>
  <si>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</si>
  <si>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</si>
  <si>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Default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</si>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</sst>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112</v>
      </c>
      <c r="K17" s="31" t="s">
        <v>80</v>
      </c>
      <c r="L17" s="80">
        <v>4.3499999999999997E-3</v>
      </c>
      <c r="M17" s="80">
        <v>5.0000000000000001E-4</v>
      </c>
      <c r="N17" s="80">
        <v>1.4999999999999999E-4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D104" zoomScale="70" zoomScaleNormal="70" workbookViewId="0">
      <selection activeCell="S28" sqref="S28:V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38"/>
      <c r="H1" s="13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38"/>
      <c r="H2" s="138"/>
      <c r="I2" s="151" t="s">
        <v>19</v>
      </c>
      <c r="J2" s="152"/>
      <c r="K2" s="152"/>
      <c r="L2" s="152"/>
      <c r="M2" s="152"/>
      <c r="N2" s="152"/>
      <c r="O2" s="152"/>
      <c r="P2" s="152"/>
      <c r="Q2" s="153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38"/>
      <c r="H3" s="138"/>
      <c r="I3" s="154"/>
      <c r="J3" s="155"/>
      <c r="K3" s="155"/>
      <c r="L3" s="155"/>
      <c r="M3" s="155"/>
      <c r="N3" s="155"/>
      <c r="O3" s="155"/>
      <c r="P3" s="155"/>
      <c r="Q3" s="156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38"/>
      <c r="H4" s="138"/>
      <c r="I4" s="157"/>
      <c r="J4" s="158"/>
      <c r="K4" s="158"/>
      <c r="L4" s="158"/>
      <c r="M4" s="158"/>
      <c r="N4" s="158"/>
      <c r="O4" s="158"/>
      <c r="P4" s="158"/>
      <c r="Q4" s="159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38"/>
      <c r="H5" s="138"/>
      <c r="I5" s="160" t="s">
        <v>38</v>
      </c>
      <c r="J5" s="161"/>
      <c r="K5" s="161"/>
      <c r="L5" s="161"/>
      <c r="M5" s="161"/>
      <c r="N5" s="161"/>
      <c r="O5" s="161"/>
      <c r="P5" s="161"/>
      <c r="Q5" s="162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38"/>
      <c r="H6" s="138"/>
      <c r="I6" s="49" t="s">
        <v>49</v>
      </c>
      <c r="J6" s="49" t="s">
        <v>50</v>
      </c>
      <c r="K6" s="49" t="s">
        <v>46</v>
      </c>
      <c r="L6" s="130" t="s">
        <v>39</v>
      </c>
      <c r="M6" s="131"/>
      <c r="N6" s="131"/>
      <c r="O6" s="131"/>
      <c r="P6" s="131"/>
      <c r="Q6" s="13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38"/>
      <c r="H7" s="138"/>
      <c r="I7" s="50" t="s">
        <v>20</v>
      </c>
      <c r="J7" s="37">
        <f>SUM(J13,J19)</f>
        <v>40.027999999999999</v>
      </c>
      <c r="K7" s="38">
        <f>J7/J7</f>
        <v>1</v>
      </c>
      <c r="L7" s="113" t="s">
        <v>68</v>
      </c>
      <c r="M7" s="114"/>
      <c r="N7" s="114"/>
      <c r="O7" s="114"/>
      <c r="P7" s="114"/>
      <c r="Q7" s="115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76" t="s">
        <v>3</v>
      </c>
      <c r="C8" s="177"/>
      <c r="D8" s="177"/>
      <c r="E8" s="177"/>
      <c r="F8" s="178"/>
      <c r="G8" s="138"/>
      <c r="H8" s="138"/>
      <c r="I8" s="51" t="s">
        <v>6</v>
      </c>
      <c r="J8" s="37">
        <f>SUM(J14,J20)</f>
        <v>39.817160000000001</v>
      </c>
      <c r="K8" s="39">
        <f>J8/J7</f>
        <v>0.99473268711901675</v>
      </c>
      <c r="L8" s="113" t="s">
        <v>69</v>
      </c>
      <c r="M8" s="114"/>
      <c r="N8" s="114"/>
      <c r="O8" s="114"/>
      <c r="P8" s="114"/>
      <c r="Q8" s="115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79"/>
      <c r="C9" s="180"/>
      <c r="D9" s="180"/>
      <c r="E9" s="180"/>
      <c r="F9" s="181"/>
      <c r="G9" s="138"/>
      <c r="H9" s="138"/>
      <c r="I9" s="50" t="s">
        <v>8</v>
      </c>
      <c r="J9" s="40">
        <f t="shared" ref="J9:J10" si="0">SUM(J15,J21)</f>
        <v>0.19480000000000003</v>
      </c>
      <c r="K9" s="39">
        <f>J9/J7</f>
        <v>4.8665933846307593E-3</v>
      </c>
      <c r="L9" s="113" t="s">
        <v>69</v>
      </c>
      <c r="M9" s="114"/>
      <c r="N9" s="114"/>
      <c r="O9" s="114"/>
      <c r="P9" s="114"/>
      <c r="Q9" s="115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2"/>
      <c r="C10" s="183"/>
      <c r="D10" s="183"/>
      <c r="E10" s="183"/>
      <c r="F10" s="184"/>
      <c r="G10" s="138"/>
      <c r="H10" s="138"/>
      <c r="I10" s="51" t="s">
        <v>9</v>
      </c>
      <c r="J10" s="40">
        <f t="shared" si="0"/>
        <v>1.6039999999999999E-2</v>
      </c>
      <c r="K10" s="39">
        <f>J10/J7</f>
        <v>4.007194963525532E-4</v>
      </c>
      <c r="L10" s="113" t="s">
        <v>69</v>
      </c>
      <c r="M10" s="114"/>
      <c r="N10" s="114"/>
      <c r="O10" s="114"/>
      <c r="P10" s="114"/>
      <c r="Q10" s="115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1" t="s">
        <v>36</v>
      </c>
      <c r="C11" s="142"/>
      <c r="D11" s="142"/>
      <c r="E11" s="142"/>
      <c r="F11" s="143"/>
      <c r="G11" s="138"/>
      <c r="H11" s="138"/>
      <c r="I11" s="129"/>
      <c r="J11" s="129"/>
      <c r="K11" s="129"/>
      <c r="L11" s="129"/>
      <c r="M11" s="129"/>
      <c r="N11" s="129"/>
      <c r="O11" s="129"/>
      <c r="P11" s="129"/>
      <c r="Q11" s="12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4"/>
      <c r="C12" s="145"/>
      <c r="D12" s="145"/>
      <c r="E12" s="145"/>
      <c r="F12" s="146"/>
      <c r="G12" s="138"/>
      <c r="H12" s="138"/>
      <c r="I12" s="49" t="s">
        <v>51</v>
      </c>
      <c r="J12" s="49" t="s">
        <v>50</v>
      </c>
      <c r="K12" s="49" t="s">
        <v>46</v>
      </c>
      <c r="L12" s="130" t="s">
        <v>39</v>
      </c>
      <c r="M12" s="131"/>
      <c r="N12" s="131"/>
      <c r="O12" s="131"/>
      <c r="P12" s="131"/>
      <c r="Q12" s="13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3" t="s">
        <v>4</v>
      </c>
      <c r="C13" s="134"/>
      <c r="D13" s="166" t="s">
        <v>39</v>
      </c>
      <c r="E13" s="166"/>
      <c r="F13" s="166"/>
      <c r="G13" s="138"/>
      <c r="H13" s="138"/>
      <c r="I13" s="50" t="s">
        <v>5</v>
      </c>
      <c r="J13" s="41">
        <f>SUM(J14:J16)</f>
        <v>40</v>
      </c>
      <c r="K13" s="38">
        <f>J13/J13</f>
        <v>1</v>
      </c>
      <c r="L13" s="113" t="s">
        <v>71</v>
      </c>
      <c r="M13" s="114"/>
      <c r="N13" s="114"/>
      <c r="O13" s="114"/>
      <c r="P13" s="114"/>
      <c r="Q13" s="115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67" t="s">
        <v>17</v>
      </c>
      <c r="E14" s="167"/>
      <c r="F14" s="167"/>
      <c r="G14" s="138"/>
      <c r="H14" s="138"/>
      <c r="I14" s="51" t="s">
        <v>43</v>
      </c>
      <c r="J14" s="41">
        <f>C14-SUM(J15:J16)</f>
        <v>39.7928</v>
      </c>
      <c r="K14" s="39">
        <f>J14/J13</f>
        <v>0.99482000000000004</v>
      </c>
      <c r="L14" s="135" t="s">
        <v>70</v>
      </c>
      <c r="M14" s="136"/>
      <c r="N14" s="136"/>
      <c r="O14" s="136"/>
      <c r="P14" s="136"/>
      <c r="Q14" s="13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68" t="s">
        <v>60</v>
      </c>
      <c r="E15" s="168"/>
      <c r="F15" s="168"/>
      <c r="G15" s="138"/>
      <c r="H15" s="13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0.19200000000000003</v>
      </c>
      <c r="K15" s="39">
        <f>J15/J13</f>
        <v>4.8000000000000004E-3</v>
      </c>
      <c r="L15" s="113" t="s">
        <v>69</v>
      </c>
      <c r="M15" s="114"/>
      <c r="N15" s="114"/>
      <c r="O15" s="114"/>
      <c r="P15" s="114"/>
      <c r="Q15" s="115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69" t="s">
        <v>40</v>
      </c>
      <c r="E16" s="170"/>
      <c r="F16" s="171"/>
      <c r="G16" s="138"/>
      <c r="H16" s="13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1.52E-2</v>
      </c>
      <c r="K16" s="39">
        <f>J16/J13</f>
        <v>3.8000000000000002E-4</v>
      </c>
      <c r="L16" s="113" t="s">
        <v>69</v>
      </c>
      <c r="M16" s="114"/>
      <c r="N16" s="114"/>
      <c r="O16" s="114"/>
      <c r="P16" s="114"/>
      <c r="Q16" s="115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72" t="s">
        <v>61</v>
      </c>
      <c r="E17" s="173"/>
      <c r="F17" s="174"/>
      <c r="G17" s="138"/>
      <c r="H17" s="138"/>
      <c r="I17" s="135"/>
      <c r="J17" s="136"/>
      <c r="K17" s="136"/>
      <c r="L17" s="136"/>
      <c r="M17" s="136"/>
      <c r="N17" s="136"/>
      <c r="O17" s="136"/>
      <c r="P17" s="136"/>
      <c r="Q17" s="13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69" t="s">
        <v>41</v>
      </c>
      <c r="E18" s="170"/>
      <c r="F18" s="171"/>
      <c r="G18" s="138"/>
      <c r="H18" s="138"/>
      <c r="I18" s="49" t="s">
        <v>29</v>
      </c>
      <c r="J18" s="49" t="s">
        <v>50</v>
      </c>
      <c r="K18" s="49" t="s">
        <v>46</v>
      </c>
      <c r="L18" s="130" t="s">
        <v>39</v>
      </c>
      <c r="M18" s="131"/>
      <c r="N18" s="131"/>
      <c r="O18" s="131"/>
      <c r="P18" s="131"/>
      <c r="Q18" s="13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68"/>
      <c r="C19" s="168"/>
      <c r="D19" s="168"/>
      <c r="E19" s="168"/>
      <c r="F19" s="168"/>
      <c r="G19" s="138"/>
      <c r="H19" s="138"/>
      <c r="I19" s="50" t="s">
        <v>5</v>
      </c>
      <c r="J19" s="41">
        <f>SUM(J20:J22)</f>
        <v>2.7999999999999997E-2</v>
      </c>
      <c r="K19" s="38">
        <f>J19/J19</f>
        <v>1</v>
      </c>
      <c r="L19" s="113" t="s">
        <v>55</v>
      </c>
      <c r="M19" s="114"/>
      <c r="N19" s="114"/>
      <c r="O19" s="114"/>
      <c r="P19" s="114"/>
      <c r="Q19" s="11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3" t="s">
        <v>7</v>
      </c>
      <c r="C20" s="134"/>
      <c r="D20" s="166" t="s">
        <v>39</v>
      </c>
      <c r="E20" s="166"/>
      <c r="F20" s="166"/>
      <c r="G20" s="138"/>
      <c r="H20" s="13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2.4359999999999996E-2</v>
      </c>
      <c r="K20" s="39">
        <f>J20/J19</f>
        <v>0.87</v>
      </c>
      <c r="L20" s="113" t="s">
        <v>69</v>
      </c>
      <c r="M20" s="114"/>
      <c r="N20" s="114"/>
      <c r="O20" s="114"/>
      <c r="P20" s="114"/>
      <c r="Q20" s="115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72" t="s">
        <v>61</v>
      </c>
      <c r="E21" s="173"/>
      <c r="F21" s="174"/>
      <c r="G21" s="138"/>
      <c r="H21" s="13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2.8E-3</v>
      </c>
      <c r="K21" s="39">
        <f>J21/J19</f>
        <v>0.1</v>
      </c>
      <c r="L21" s="113" t="s">
        <v>69</v>
      </c>
      <c r="M21" s="114"/>
      <c r="N21" s="114"/>
      <c r="O21" s="114"/>
      <c r="P21" s="114"/>
      <c r="Q21" s="115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75" t="s">
        <v>67</v>
      </c>
      <c r="E22" s="175"/>
      <c r="F22" s="175"/>
      <c r="G22" s="138"/>
      <c r="H22" s="13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8.3999999999999993E-4</v>
      </c>
      <c r="K22" s="39">
        <f>J22/J19</f>
        <v>0.03</v>
      </c>
      <c r="L22" s="113" t="s">
        <v>69</v>
      </c>
      <c r="M22" s="114"/>
      <c r="N22" s="114"/>
      <c r="O22" s="114"/>
      <c r="P22" s="114"/>
      <c r="Q22" s="115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3"/>
      <c r="C23" s="164"/>
      <c r="D23" s="164"/>
      <c r="E23" s="164"/>
      <c r="F23" s="165"/>
      <c r="G23" s="138"/>
      <c r="H23" s="138"/>
      <c r="I23" s="124"/>
      <c r="J23" s="125"/>
      <c r="K23" s="125"/>
      <c r="L23" s="125"/>
      <c r="M23" s="125"/>
      <c r="N23" s="125"/>
      <c r="O23" s="125"/>
      <c r="P23" s="125"/>
      <c r="Q23" s="12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1" t="s">
        <v>37</v>
      </c>
      <c r="C24" s="142"/>
      <c r="D24" s="142"/>
      <c r="E24" s="142"/>
      <c r="F24" s="143"/>
      <c r="G24" s="138"/>
      <c r="H24" s="138"/>
      <c r="I24" s="118" t="s">
        <v>42</v>
      </c>
      <c r="J24" s="119"/>
      <c r="K24" s="119"/>
      <c r="L24" s="119"/>
      <c r="M24" s="119"/>
      <c r="N24" s="119"/>
      <c r="O24" s="119"/>
      <c r="P24" s="119"/>
      <c r="Q24" s="12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4"/>
      <c r="C25" s="145"/>
      <c r="D25" s="145"/>
      <c r="E25" s="145"/>
      <c r="F25" s="146"/>
      <c r="G25" s="138"/>
      <c r="H25" s="138"/>
      <c r="I25" s="121"/>
      <c r="J25" s="122"/>
      <c r="K25" s="122"/>
      <c r="L25" s="122"/>
      <c r="M25" s="122"/>
      <c r="N25" s="122"/>
      <c r="O25" s="122"/>
      <c r="P25" s="122"/>
      <c r="Q25" s="12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39" t="s">
        <v>11</v>
      </c>
      <c r="C26" s="139" t="s">
        <v>12</v>
      </c>
      <c r="D26" s="147" t="s">
        <v>47</v>
      </c>
      <c r="E26" s="147" t="s">
        <v>48</v>
      </c>
      <c r="F26" s="149" t="s">
        <v>66</v>
      </c>
      <c r="G26" s="138"/>
      <c r="H26" s="138"/>
      <c r="I26" s="127" t="s">
        <v>53</v>
      </c>
      <c r="J26" s="127" t="s">
        <v>54</v>
      </c>
      <c r="K26" s="116" t="s">
        <v>73</v>
      </c>
      <c r="L26" s="116" t="s">
        <v>52</v>
      </c>
      <c r="M26" s="116" t="s">
        <v>59</v>
      </c>
      <c r="N26" s="116" t="s">
        <v>62</v>
      </c>
      <c r="O26" s="116" t="s">
        <v>72</v>
      </c>
      <c r="P26" s="116" t="s">
        <v>64</v>
      </c>
      <c r="Q26" s="116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0"/>
      <c r="C27" s="140"/>
      <c r="D27" s="148"/>
      <c r="E27" s="148"/>
      <c r="F27" s="150"/>
      <c r="G27" s="138"/>
      <c r="H27" s="138"/>
      <c r="I27" s="128"/>
      <c r="J27" s="128"/>
      <c r="K27" s="117"/>
      <c r="L27" s="117"/>
      <c r="M27" s="117"/>
      <c r="N27" s="117"/>
      <c r="O27" s="117"/>
      <c r="P27" s="117"/>
      <c r="Q27" s="117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89</v>
      </c>
      <c r="C28" s="46" t="s">
        <v>90</v>
      </c>
      <c r="D28" s="47">
        <v>6.5247999999999973E-2</v>
      </c>
      <c r="E28" s="47">
        <v>8.2216000000000289E-2</v>
      </c>
      <c r="F28" s="96">
        <v>9.9999999999999995E-7</v>
      </c>
      <c r="G28" s="138"/>
      <c r="H28" s="138"/>
      <c r="I28" s="92">
        <f t="shared" ref="I28:I47" si="1">IF(D28=0,"",LOG($K$15*10^D28+$K$16*10^E28+$K$14))</f>
        <v>3.7217650281818146E-4</v>
      </c>
      <c r="J28" s="92">
        <f t="shared" ref="J28:J47" si="2">IF(D28=0,"",LOG($K$21*10^D28+$K$22*10^E28+$K$20))</f>
        <v>9.6478749911243222E-3</v>
      </c>
      <c r="K28" s="93">
        <f t="shared" ref="K28:K47" si="3">IF(D28=0,"",1/(1+10^D28*$J$15/$J$14+10^E28*$J$16/$J$14+10^J28*$J$19/$J$14))</f>
        <v>0.99325754636279617</v>
      </c>
      <c r="L28" s="93">
        <f t="shared" ref="L28:L47" si="4">IF(D28=0,"",1/(1+10^I28/10^J28*$J$13/$J$19))</f>
        <v>7.1460044207292354E-4</v>
      </c>
      <c r="M28" s="93">
        <f t="shared" ref="M28:M47" si="5">IF(D28=0,"",1-L28)</f>
        <v>0.99928539955792706</v>
      </c>
      <c r="N28" s="93">
        <f t="shared" ref="N28:N47" si="6">IF(D28=0,"",1/(1/10^E28*$J$20/$J$22+10^D28/10^E28*$J$21/$J$22+10^I28/10^E28*$J$13/$J$22+1))</f>
        <v>2.5336852330922491E-5</v>
      </c>
      <c r="O28" s="40">
        <f t="shared" ref="O28:O47" si="7">IF(D28=0,"",F28*K28*$J$7/$J$14)</f>
        <v>9.9912831129777252E-7</v>
      </c>
      <c r="P28" s="40">
        <f t="shared" ref="P28:P47" si="8">IF(D28=0,"",O28*10^J28)</f>
        <v>1.0215723748319636E-6</v>
      </c>
      <c r="Q28" s="40">
        <f t="shared" ref="Q28:Q47" si="9">IF(D28=0,"",F28*N28*$J$7/$J$22)</f>
        <v>1.2073613394073398E-6</v>
      </c>
      <c r="R28" s="9">
        <f>F28*$C$14</f>
        <v>3.9999999999999996E-5</v>
      </c>
      <c r="S28" s="9">
        <f>$R28*L28</f>
        <v>2.8584017682916937E-8</v>
      </c>
      <c r="T28" s="9">
        <f t="shared" ref="T28:T91" si="10">R28*K28</f>
        <v>3.9730301854511846E-5</v>
      </c>
      <c r="U28" s="9">
        <f t="shared" ref="U28:U91" si="11">$R28*M28</f>
        <v>3.9971415982317081E-5</v>
      </c>
      <c r="V28" s="100">
        <f>K28/M28</f>
        <v>0.99396783621796381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163</v>
      </c>
      <c r="C29" s="46" t="s">
        <v>164</v>
      </c>
      <c r="D29" s="47">
        <v>2.31</v>
      </c>
      <c r="E29" s="47">
        <v>2.58</v>
      </c>
      <c r="F29" s="96">
        <v>9.9999999999999995E-7</v>
      </c>
      <c r="G29" s="138"/>
      <c r="H29" s="138"/>
      <c r="I29" s="92">
        <f t="shared" si="1"/>
        <v>0.32619780382173885</v>
      </c>
      <c r="J29" s="92">
        <f t="shared" si="2"/>
        <v>1.514455589262484</v>
      </c>
      <c r="K29" s="93">
        <f t="shared" si="3"/>
        <v>0.46438929132314055</v>
      </c>
      <c r="L29" s="93">
        <f t="shared" si="4"/>
        <v>1.0682953006179796E-2</v>
      </c>
      <c r="M29" s="93">
        <f t="shared" si="5"/>
        <v>0.98931704699382017</v>
      </c>
      <c r="N29" s="93">
        <f t="shared" si="6"/>
        <v>3.7269793237404186E-3</v>
      </c>
      <c r="O29" s="40">
        <f t="shared" si="7"/>
        <v>4.6713411856121379E-7</v>
      </c>
      <c r="P29" s="40">
        <f t="shared" si="8"/>
        <v>1.5272044390405887E-5</v>
      </c>
      <c r="Q29" s="40">
        <f t="shared" si="9"/>
        <v>1.7759943853652558E-4</v>
      </c>
      <c r="R29" s="9">
        <f t="shared" ref="R29:R92" si="12">F29*$C$14</f>
        <v>3.9999999999999996E-5</v>
      </c>
      <c r="S29" s="9">
        <f t="shared" ref="S29:S92" si="13">$R29*L29</f>
        <v>4.2731812024719185E-7</v>
      </c>
      <c r="T29" s="9">
        <f t="shared" si="10"/>
        <v>1.857557165292562E-5</v>
      </c>
      <c r="U29" s="9">
        <f t="shared" si="11"/>
        <v>3.9572681879752803E-5</v>
      </c>
      <c r="V29" s="100">
        <f t="shared" ref="V29:V92" si="14">K29/M29</f>
        <v>0.46940391124791908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165</v>
      </c>
      <c r="C30" s="46" t="s">
        <v>166</v>
      </c>
      <c r="D30" s="90">
        <v>4.4000000000000004</v>
      </c>
      <c r="E30" s="90">
        <v>2.64</v>
      </c>
      <c r="F30" s="96">
        <v>9.9999999999999995E-7</v>
      </c>
      <c r="G30" s="138"/>
      <c r="H30" s="138"/>
      <c r="I30" s="92">
        <f t="shared" si="1"/>
        <v>2.0854020627961285</v>
      </c>
      <c r="J30" s="92">
        <f t="shared" si="2"/>
        <v>3.4024078837943859</v>
      </c>
      <c r="K30" s="93">
        <f t="shared" si="3"/>
        <v>8.0552656510980356E-3</v>
      </c>
      <c r="L30" s="93">
        <f t="shared" si="4"/>
        <v>1.4316645897149332E-2</v>
      </c>
      <c r="M30" s="93">
        <f t="shared" si="5"/>
        <v>0.98568335410285068</v>
      </c>
      <c r="N30" s="93">
        <f t="shared" si="6"/>
        <v>7.4225760219636023E-5</v>
      </c>
      <c r="O30" s="40">
        <f t="shared" si="7"/>
        <v>8.1028772411630273E-9</v>
      </c>
      <c r="P30" s="40">
        <f t="shared" si="8"/>
        <v>2.046666792753906E-5</v>
      </c>
      <c r="Q30" s="40">
        <f t="shared" si="9"/>
        <v>3.5370342024661794E-6</v>
      </c>
      <c r="R30" s="9">
        <f t="shared" si="12"/>
        <v>3.9999999999999996E-5</v>
      </c>
      <c r="S30" s="9">
        <f t="shared" si="13"/>
        <v>5.7266583588597326E-7</v>
      </c>
      <c r="T30" s="9">
        <f t="shared" si="10"/>
        <v>3.2221062604392138E-7</v>
      </c>
      <c r="U30" s="9">
        <f t="shared" si="11"/>
        <v>3.9427334164114023E-5</v>
      </c>
      <c r="V30" s="100">
        <f t="shared" si="14"/>
        <v>8.1722650763741238E-3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91</v>
      </c>
      <c r="C31" s="46" t="s">
        <v>92</v>
      </c>
      <c r="D31" s="47">
        <v>-0.92190615231165807</v>
      </c>
      <c r="E31" s="47">
        <v>-1.7889087518799642</v>
      </c>
      <c r="F31" s="96">
        <v>9.9999999999999995E-7</v>
      </c>
      <c r="G31" s="138"/>
      <c r="H31" s="138"/>
      <c r="I31" s="92">
        <f t="shared" si="1"/>
        <v>-2.0020416091501053E-3</v>
      </c>
      <c r="J31" s="92">
        <f t="shared" si="2"/>
        <v>-5.4306074131011448E-2</v>
      </c>
      <c r="K31" s="93">
        <f t="shared" si="3"/>
        <v>0.99879675079937391</v>
      </c>
      <c r="L31" s="93">
        <f t="shared" si="4"/>
        <v>6.2018974237943163E-4</v>
      </c>
      <c r="M31" s="93">
        <f t="shared" si="5"/>
        <v>0.99937981025762057</v>
      </c>
      <c r="N31" s="93">
        <f t="shared" si="6"/>
        <v>3.4280184913734291E-7</v>
      </c>
      <c r="O31" s="40">
        <f t="shared" si="7"/>
        <v>1.0047002558502376E-6</v>
      </c>
      <c r="P31" s="40">
        <f t="shared" si="8"/>
        <v>8.8660553599871026E-7</v>
      </c>
      <c r="Q31" s="40">
        <f t="shared" si="9"/>
        <v>1.6335324306273288E-8</v>
      </c>
      <c r="R31" s="9">
        <f t="shared" si="12"/>
        <v>3.9999999999999996E-5</v>
      </c>
      <c r="S31" s="9">
        <f t="shared" si="13"/>
        <v>2.4807589695177262E-8</v>
      </c>
      <c r="T31" s="9">
        <f t="shared" si="10"/>
        <v>3.9951870031974956E-5</v>
      </c>
      <c r="U31" s="9">
        <f t="shared" si="11"/>
        <v>3.9975192410304821E-5</v>
      </c>
      <c r="V31" s="100">
        <f t="shared" si="14"/>
        <v>0.99941657870985368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93</v>
      </c>
      <c r="C32" s="46" t="s">
        <v>94</v>
      </c>
      <c r="D32" s="47">
        <v>0.54749180498968375</v>
      </c>
      <c r="E32" s="47">
        <v>0.30136158174588817</v>
      </c>
      <c r="F32" s="96">
        <v>9.9999999999999995E-7</v>
      </c>
      <c r="G32" s="138"/>
      <c r="H32" s="138"/>
      <c r="I32" s="92">
        <f t="shared" si="1"/>
        <v>5.4008424806920542E-3</v>
      </c>
      <c r="J32" s="92">
        <f t="shared" si="2"/>
        <v>0.1081643537301431</v>
      </c>
      <c r="K32" s="93">
        <f t="shared" si="3"/>
        <v>0.98165452280516952</v>
      </c>
      <c r="L32" s="93">
        <f t="shared" si="4"/>
        <v>8.8608739345274719E-4</v>
      </c>
      <c r="M32" s="93">
        <f t="shared" si="5"/>
        <v>0.99911391260654725</v>
      </c>
      <c r="N32" s="93">
        <f t="shared" si="6"/>
        <v>4.1475825683788558E-5</v>
      </c>
      <c r="O32" s="40">
        <f t="shared" si="7"/>
        <v>9.8745670671190064E-7</v>
      </c>
      <c r="P32" s="40">
        <f t="shared" si="8"/>
        <v>1.2667252208973775E-6</v>
      </c>
      <c r="Q32" s="40">
        <f t="shared" si="9"/>
        <v>1.9764218457984384E-6</v>
      </c>
      <c r="R32" s="9">
        <f t="shared" si="12"/>
        <v>3.9999999999999996E-5</v>
      </c>
      <c r="S32" s="9">
        <f t="shared" si="13"/>
        <v>3.5443495738109888E-8</v>
      </c>
      <c r="T32" s="9">
        <f t="shared" si="10"/>
        <v>3.9266180912206778E-5</v>
      </c>
      <c r="U32" s="9">
        <f t="shared" si="11"/>
        <v>3.9964556504261888E-5</v>
      </c>
      <c r="V32" s="100">
        <f t="shared" si="14"/>
        <v>0.98252512593300934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167</v>
      </c>
      <c r="C33" s="94" t="s">
        <v>111</v>
      </c>
      <c r="D33" s="95">
        <v>1.6452318246143236</v>
      </c>
      <c r="E33" s="95">
        <v>1.8629354124795308</v>
      </c>
      <c r="F33" s="96">
        <v>9.9999999999999995E-7</v>
      </c>
      <c r="G33" s="138"/>
      <c r="H33" s="138"/>
      <c r="I33" s="92">
        <f t="shared" si="1"/>
        <v>9.1527063522880606E-2</v>
      </c>
      <c r="J33" s="92">
        <f t="shared" si="2"/>
        <v>0.87367564161458711</v>
      </c>
      <c r="K33" s="93">
        <f t="shared" si="3"/>
        <v>0.80238062232945495</v>
      </c>
      <c r="L33" s="93">
        <f t="shared" si="4"/>
        <v>4.2209441489448069E-3</v>
      </c>
      <c r="M33" s="93">
        <f t="shared" si="5"/>
        <v>0.99577905585105519</v>
      </c>
      <c r="N33" s="93">
        <f t="shared" si="6"/>
        <v>1.2353517399104215E-3</v>
      </c>
      <c r="O33" s="40">
        <f t="shared" si="7"/>
        <v>8.0712318687308811E-7</v>
      </c>
      <c r="P33" s="40">
        <f t="shared" si="8"/>
        <v>6.0341411569272404E-6</v>
      </c>
      <c r="Q33" s="40">
        <f t="shared" si="9"/>
        <v>5.8867451720398043E-5</v>
      </c>
      <c r="R33" s="9">
        <f t="shared" si="12"/>
        <v>3.9999999999999996E-5</v>
      </c>
      <c r="S33" s="9">
        <f t="shared" si="13"/>
        <v>1.6883776595779226E-7</v>
      </c>
      <c r="T33" s="9">
        <f t="shared" si="10"/>
        <v>3.2095224893178194E-5</v>
      </c>
      <c r="U33" s="9">
        <f t="shared" si="11"/>
        <v>3.9831162234042205E-5</v>
      </c>
      <c r="V33" s="100">
        <f t="shared" si="14"/>
        <v>0.80578178222847852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95</v>
      </c>
      <c r="C34" s="46" t="s">
        <v>96</v>
      </c>
      <c r="D34" s="90">
        <v>0.39857726844789648</v>
      </c>
      <c r="E34" s="90">
        <v>8.9525410045599246E-2</v>
      </c>
      <c r="F34" s="96">
        <v>9.9999999999999995E-7</v>
      </c>
      <c r="G34" s="138"/>
      <c r="H34" s="138"/>
      <c r="I34" s="92">
        <f t="shared" si="1"/>
        <v>3.1608226539332684E-3</v>
      </c>
      <c r="J34" s="92">
        <f t="shared" si="2"/>
        <v>6.3421506945535652E-2</v>
      </c>
      <c r="K34" s="93">
        <f t="shared" si="3"/>
        <v>0.98681233663144752</v>
      </c>
      <c r="L34" s="93">
        <f t="shared" si="4"/>
        <v>8.0354390146103504E-4</v>
      </c>
      <c r="M34" s="93">
        <f t="shared" si="5"/>
        <v>0.99919645609853891</v>
      </c>
      <c r="N34" s="93">
        <f t="shared" si="6"/>
        <v>2.5599693590636988E-5</v>
      </c>
      <c r="O34" s="40">
        <f t="shared" si="7"/>
        <v>9.9264500640024279E-7</v>
      </c>
      <c r="P34" s="40">
        <f t="shared" si="8"/>
        <v>1.148723403131511E-6</v>
      </c>
      <c r="Q34" s="40">
        <f t="shared" si="9"/>
        <v>1.2198863512452589E-6</v>
      </c>
      <c r="R34" s="9">
        <f t="shared" si="12"/>
        <v>3.9999999999999996E-5</v>
      </c>
      <c r="S34" s="9">
        <f t="shared" si="13"/>
        <v>3.2141756058441401E-8</v>
      </c>
      <c r="T34" s="9">
        <f t="shared" si="10"/>
        <v>3.9472493465257898E-5</v>
      </c>
      <c r="U34" s="9">
        <f t="shared" si="11"/>
        <v>3.9967858243941551E-5</v>
      </c>
      <c r="V34" s="100">
        <f t="shared" si="14"/>
        <v>0.98760592134659242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97</v>
      </c>
      <c r="C35" s="46" t="s">
        <v>98</v>
      </c>
      <c r="D35" s="90">
        <v>0.27761205565007074</v>
      </c>
      <c r="E35" s="90">
        <v>-8.2551864497786676E-2</v>
      </c>
      <c r="F35" s="96">
        <v>9.9999999999999995E-7</v>
      </c>
      <c r="G35" s="138"/>
      <c r="H35" s="138"/>
      <c r="I35" s="92">
        <f t="shared" si="1"/>
        <v>1.8333114105419375E-3</v>
      </c>
      <c r="J35" s="92">
        <f t="shared" si="2"/>
        <v>3.5152646939541399E-2</v>
      </c>
      <c r="K35" s="93">
        <f t="shared" si="3"/>
        <v>0.9898811921328311</v>
      </c>
      <c r="L35" s="93">
        <f t="shared" si="4"/>
        <v>7.5524742256920436E-4</v>
      </c>
      <c r="M35" s="93">
        <f t="shared" si="5"/>
        <v>0.99924475257743084</v>
      </c>
      <c r="N35" s="93">
        <f t="shared" si="6"/>
        <v>1.7278498320341703E-5</v>
      </c>
      <c r="O35" s="40">
        <f t="shared" si="7"/>
        <v>9.9573200073111107E-7</v>
      </c>
      <c r="P35" s="40">
        <f t="shared" si="8"/>
        <v>1.0796801368071468E-6</v>
      </c>
      <c r="Q35" s="40">
        <f t="shared" si="9"/>
        <v>8.2336158424599723E-7</v>
      </c>
      <c r="R35" s="9">
        <f t="shared" si="12"/>
        <v>3.9999999999999996E-5</v>
      </c>
      <c r="S35" s="9">
        <f t="shared" si="13"/>
        <v>3.0209896902768169E-8</v>
      </c>
      <c r="T35" s="9">
        <f t="shared" si="10"/>
        <v>3.9595247685313241E-5</v>
      </c>
      <c r="U35" s="9">
        <f t="shared" si="11"/>
        <v>3.9969790103097229E-5</v>
      </c>
      <c r="V35" s="100">
        <f t="shared" si="14"/>
        <v>0.99062936240550914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168</v>
      </c>
      <c r="C36" s="46" t="s">
        <v>169</v>
      </c>
      <c r="D36" s="47">
        <v>3.4409280000000009</v>
      </c>
      <c r="E36" s="47">
        <v>4.1160660000000009</v>
      </c>
      <c r="F36" s="96">
        <v>9.9999999999999995E-7</v>
      </c>
      <c r="G36" s="138"/>
      <c r="H36" s="138"/>
      <c r="I36" s="92">
        <f t="shared" si="1"/>
        <v>1.2834731216469764</v>
      </c>
      <c r="J36" s="92">
        <f t="shared" si="2"/>
        <v>2.8252916173691829</v>
      </c>
      <c r="K36" s="93">
        <f t="shared" si="3"/>
        <v>5.0560700649215681E-2</v>
      </c>
      <c r="L36" s="93">
        <f t="shared" si="4"/>
        <v>2.3793494639158141E-2</v>
      </c>
      <c r="M36" s="93">
        <f t="shared" si="5"/>
        <v>0.97620650536084186</v>
      </c>
      <c r="N36" s="93">
        <f t="shared" si="6"/>
        <v>1.3942924333733966E-2</v>
      </c>
      <c r="O36" s="40">
        <f t="shared" si="7"/>
        <v>5.0859545585804596E-8</v>
      </c>
      <c r="P36" s="40">
        <f t="shared" si="8"/>
        <v>3.4014500122007952E-5</v>
      </c>
      <c r="Q36" s="40">
        <f t="shared" si="9"/>
        <v>6.6441354194131331E-4</v>
      </c>
      <c r="R36" s="9">
        <f t="shared" si="12"/>
        <v>3.9999999999999996E-5</v>
      </c>
      <c r="S36" s="9">
        <f t="shared" si="13"/>
        <v>9.5173978556632553E-7</v>
      </c>
      <c r="T36" s="9">
        <f t="shared" si="10"/>
        <v>2.0224280259686269E-6</v>
      </c>
      <c r="U36" s="9">
        <f t="shared" si="11"/>
        <v>3.9048260214433669E-5</v>
      </c>
      <c r="V36" s="100">
        <f t="shared" si="14"/>
        <v>5.1793038021731463E-2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170</v>
      </c>
      <c r="C37" s="94" t="s">
        <v>171</v>
      </c>
      <c r="D37" s="95">
        <v>4.9025336133267672</v>
      </c>
      <c r="E37" s="95">
        <v>6.4965619006479365</v>
      </c>
      <c r="F37" s="96">
        <v>9.9999999999999995E-7</v>
      </c>
      <c r="G37" s="138"/>
      <c r="H37" s="138"/>
      <c r="I37" s="92">
        <f t="shared" si="1"/>
        <v>3.1977472098667894</v>
      </c>
      <c r="J37" s="92">
        <f t="shared" si="2"/>
        <v>5.0090720863344043</v>
      </c>
      <c r="K37" s="93">
        <f t="shared" si="3"/>
        <v>6.0359032581996301E-4</v>
      </c>
      <c r="L37" s="93">
        <f t="shared" si="4"/>
        <v>4.3367849681271817E-2</v>
      </c>
      <c r="M37" s="93">
        <f t="shared" si="5"/>
        <v>0.95663215031872817</v>
      </c>
      <c r="N37" s="93">
        <f t="shared" si="6"/>
        <v>3.9974124245688525E-2</v>
      </c>
      <c r="O37" s="40">
        <f t="shared" si="7"/>
        <v>6.0715791705839947E-10</v>
      </c>
      <c r="P37" s="40">
        <f t="shared" si="8"/>
        <v>6.199743882292679E-5</v>
      </c>
      <c r="Q37" s="40">
        <f t="shared" si="9"/>
        <v>1.9048621967933574E-3</v>
      </c>
      <c r="R37" s="9">
        <f t="shared" si="12"/>
        <v>3.9999999999999996E-5</v>
      </c>
      <c r="S37" s="9">
        <f t="shared" si="13"/>
        <v>1.7347139872508724E-6</v>
      </c>
      <c r="T37" s="9">
        <f t="shared" si="10"/>
        <v>2.4143613032798519E-8</v>
      </c>
      <c r="U37" s="9">
        <f t="shared" si="11"/>
        <v>3.8265286012749123E-5</v>
      </c>
      <c r="V37" s="100">
        <f t="shared" si="14"/>
        <v>6.3095341884428658E-4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172</v>
      </c>
      <c r="C38" s="46" t="s">
        <v>173</v>
      </c>
      <c r="D38" s="90">
        <v>-0.51108880646233978</v>
      </c>
      <c r="E38" s="90">
        <v>-1.2045066120098076</v>
      </c>
      <c r="F38" s="96">
        <v>9.9999999999999995E-7</v>
      </c>
      <c r="G38" s="138"/>
      <c r="H38" s="138"/>
      <c r="I38" s="92">
        <f t="shared" si="1"/>
        <v>-1.5996885357091404E-3</v>
      </c>
      <c r="J38" s="92">
        <f t="shared" si="2"/>
        <v>-4.4457083371635821E-2</v>
      </c>
      <c r="K38" s="93">
        <f t="shared" si="3"/>
        <v>0.99785823312080812</v>
      </c>
      <c r="L38" s="93">
        <f t="shared" si="4"/>
        <v>6.3381905821292394E-4</v>
      </c>
      <c r="M38" s="93">
        <f t="shared" si="5"/>
        <v>0.99936618094178709</v>
      </c>
      <c r="N38" s="93">
        <f t="shared" si="6"/>
        <v>1.31533694857655E-6</v>
      </c>
      <c r="O38" s="40">
        <f t="shared" si="7"/>
        <v>1.0037561909531299E-6</v>
      </c>
      <c r="P38" s="40">
        <f t="shared" si="8"/>
        <v>9.0608961650524723E-7</v>
      </c>
      <c r="Q38" s="40">
        <f t="shared" si="9"/>
        <v>6.267893735431208E-8</v>
      </c>
      <c r="R38" s="9">
        <f t="shared" si="12"/>
        <v>3.9999999999999996E-5</v>
      </c>
      <c r="S38" s="9">
        <f t="shared" si="13"/>
        <v>2.5352762328516956E-8</v>
      </c>
      <c r="T38" s="9">
        <f t="shared" si="10"/>
        <v>3.9914329324832322E-5</v>
      </c>
      <c r="U38" s="9">
        <f t="shared" si="11"/>
        <v>3.9974647237671479E-5</v>
      </c>
      <c r="V38" s="100">
        <f t="shared" si="14"/>
        <v>0.99849109580678641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99</v>
      </c>
      <c r="C39" s="46" t="s">
        <v>100</v>
      </c>
      <c r="D39" s="90">
        <v>2.3414159999999997</v>
      </c>
      <c r="E39" s="90">
        <v>2.4767320000000002</v>
      </c>
      <c r="F39" s="96">
        <v>9.9999999999999995E-7</v>
      </c>
      <c r="G39" s="138"/>
      <c r="H39" s="138"/>
      <c r="I39" s="92">
        <f t="shared" si="1"/>
        <v>0.33491051106253611</v>
      </c>
      <c r="J39" s="92">
        <f t="shared" si="2"/>
        <v>1.5025773317670659</v>
      </c>
      <c r="K39" s="93">
        <f t="shared" si="3"/>
        <v>0.45539093513580969</v>
      </c>
      <c r="L39" s="93">
        <f t="shared" si="4"/>
        <v>1.0193310309754048E-2</v>
      </c>
      <c r="M39" s="93">
        <f t="shared" si="5"/>
        <v>0.98980668969024599</v>
      </c>
      <c r="N39" s="93">
        <f t="shared" si="6"/>
        <v>2.8813178409860039E-3</v>
      </c>
      <c r="O39" s="40">
        <f t="shared" si="7"/>
        <v>4.5808257653686564E-7</v>
      </c>
      <c r="P39" s="40">
        <f t="shared" si="8"/>
        <v>1.4572065181386962E-5</v>
      </c>
      <c r="Q39" s="40">
        <f t="shared" si="9"/>
        <v>1.3730165540355686E-4</v>
      </c>
      <c r="R39" s="9">
        <f t="shared" si="12"/>
        <v>3.9999999999999996E-5</v>
      </c>
      <c r="S39" s="9">
        <f t="shared" si="13"/>
        <v>4.0773241239016188E-7</v>
      </c>
      <c r="T39" s="9">
        <f t="shared" si="10"/>
        <v>1.8215637405432385E-5</v>
      </c>
      <c r="U39" s="9">
        <f t="shared" si="11"/>
        <v>3.9592267587609836E-5</v>
      </c>
      <c r="V39" s="100">
        <f t="shared" si="14"/>
        <v>0.46008068027739996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174</v>
      </c>
      <c r="C40" s="46" t="s">
        <v>175</v>
      </c>
      <c r="D40" s="47">
        <v>2.349974877229557</v>
      </c>
      <c r="E40" s="47">
        <v>2.8654572197209189</v>
      </c>
      <c r="F40" s="96">
        <v>9.9999999999999995E-7</v>
      </c>
      <c r="G40" s="138"/>
      <c r="H40" s="138"/>
      <c r="I40" s="92">
        <f t="shared" si="1"/>
        <v>0.37071855582347524</v>
      </c>
      <c r="J40" s="92">
        <f t="shared" si="2"/>
        <v>1.6557511053520559</v>
      </c>
      <c r="K40" s="93">
        <f t="shared" si="3"/>
        <v>0.41802754992193075</v>
      </c>
      <c r="L40" s="93">
        <f t="shared" si="4"/>
        <v>1.3314030339458945E-2</v>
      </c>
      <c r="M40" s="93">
        <f t="shared" si="5"/>
        <v>0.98668596966054101</v>
      </c>
      <c r="N40" s="93">
        <f t="shared" si="6"/>
        <v>6.473466596518632E-3</v>
      </c>
      <c r="O40" s="40">
        <f t="shared" si="7"/>
        <v>4.2049835066331196E-7</v>
      </c>
      <c r="P40" s="40">
        <f t="shared" si="8"/>
        <v>1.9033357372423658E-5</v>
      </c>
      <c r="Q40" s="40">
        <f t="shared" si="9"/>
        <v>3.0847609633981885E-4</v>
      </c>
      <c r="R40" s="9">
        <f t="shared" si="12"/>
        <v>3.9999999999999996E-5</v>
      </c>
      <c r="S40" s="9">
        <f t="shared" si="13"/>
        <v>5.325612135783577E-7</v>
      </c>
      <c r="T40" s="9">
        <f t="shared" si="10"/>
        <v>1.6721101996877227E-5</v>
      </c>
      <c r="U40" s="9">
        <f t="shared" si="11"/>
        <v>3.9467438786421639E-5</v>
      </c>
      <c r="V40" s="100">
        <f t="shared" si="14"/>
        <v>0.42366828228615511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176</v>
      </c>
      <c r="C41" s="94" t="s">
        <v>177</v>
      </c>
      <c r="D41" s="95">
        <v>1.4854320000000003</v>
      </c>
      <c r="E41" s="95">
        <v>1.5057189999999996</v>
      </c>
      <c r="F41" s="96">
        <v>9.9999999999999995E-7</v>
      </c>
      <c r="G41" s="138"/>
      <c r="H41" s="138"/>
      <c r="I41" s="92">
        <f t="shared" si="1"/>
        <v>6.2122287627494992E-2</v>
      </c>
      <c r="J41" s="92">
        <f t="shared" si="2"/>
        <v>0.68923958342305858</v>
      </c>
      <c r="K41" s="93">
        <f t="shared" si="3"/>
        <v>0.8596781300651416</v>
      </c>
      <c r="L41" s="93">
        <f t="shared" si="4"/>
        <v>2.9575288802390263E-3</v>
      </c>
      <c r="M41" s="93">
        <f t="shared" si="5"/>
        <v>0.99704247111976096</v>
      </c>
      <c r="N41" s="93">
        <f t="shared" si="6"/>
        <v>5.8147314983284003E-4</v>
      </c>
      <c r="O41" s="40">
        <f t="shared" si="7"/>
        <v>8.6475935823182796E-7</v>
      </c>
      <c r="P41" s="40">
        <f t="shared" si="8"/>
        <v>4.2279987863645618E-6</v>
      </c>
      <c r="Q41" s="40">
        <f t="shared" si="9"/>
        <v>2.770858004941538E-5</v>
      </c>
      <c r="R41" s="9">
        <f t="shared" si="12"/>
        <v>3.9999999999999996E-5</v>
      </c>
      <c r="S41" s="9">
        <f t="shared" si="13"/>
        <v>1.1830115520956103E-7</v>
      </c>
      <c r="T41" s="9">
        <f t="shared" si="10"/>
        <v>3.4387125202605663E-5</v>
      </c>
      <c r="U41" s="9">
        <f t="shared" si="11"/>
        <v>3.9881698844790434E-5</v>
      </c>
      <c r="V41" s="100">
        <f t="shared" si="14"/>
        <v>0.86222819485277502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178</v>
      </c>
      <c r="C42" s="46" t="s">
        <v>179</v>
      </c>
      <c r="D42" s="90">
        <v>2.0758240000000003</v>
      </c>
      <c r="E42" s="90">
        <v>2.477398</v>
      </c>
      <c r="F42" s="96">
        <v>9.9999999999999995E-7</v>
      </c>
      <c r="G42" s="138"/>
      <c r="H42" s="138"/>
      <c r="I42" s="92">
        <f t="shared" si="1"/>
        <v>0.22542744412672311</v>
      </c>
      <c r="J42" s="92">
        <f t="shared" si="2"/>
        <v>1.3381242784059832</v>
      </c>
      <c r="K42" s="93">
        <f t="shared" si="3"/>
        <v>0.58667027271319205</v>
      </c>
      <c r="L42" s="93">
        <f t="shared" si="4"/>
        <v>8.992322896698204E-3</v>
      </c>
      <c r="M42" s="93">
        <f t="shared" si="5"/>
        <v>0.99100767710330184</v>
      </c>
      <c r="N42" s="93">
        <f t="shared" si="6"/>
        <v>3.7176360382565206E-3</v>
      </c>
      <c r="O42" s="40">
        <f t="shared" si="7"/>
        <v>5.9013785599816169E-7</v>
      </c>
      <c r="P42" s="40">
        <f t="shared" si="8"/>
        <v>1.2855167889608416E-5</v>
      </c>
      <c r="Q42" s="40">
        <f t="shared" si="9"/>
        <v>1.7715420873729999E-4</v>
      </c>
      <c r="R42" s="9">
        <f t="shared" si="12"/>
        <v>3.9999999999999996E-5</v>
      </c>
      <c r="S42" s="9">
        <f t="shared" si="13"/>
        <v>3.5969291586792814E-7</v>
      </c>
      <c r="T42" s="9">
        <f t="shared" si="10"/>
        <v>2.3466810908527679E-5</v>
      </c>
      <c r="U42" s="9">
        <f t="shared" si="11"/>
        <v>3.9640307084132069E-5</v>
      </c>
      <c r="V42" s="100">
        <f t="shared" si="14"/>
        <v>0.59199367095522315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180</v>
      </c>
      <c r="C43" s="46" t="s">
        <v>181</v>
      </c>
      <c r="D43" s="90">
        <v>2.3078000000000003</v>
      </c>
      <c r="E43" s="90">
        <v>2.5099249999999995</v>
      </c>
      <c r="F43" s="96">
        <v>9.9999999999999995E-7</v>
      </c>
      <c r="G43" s="138"/>
      <c r="H43" s="138"/>
      <c r="I43" s="92">
        <f t="shared" si="1"/>
        <v>0.32073739190116707</v>
      </c>
      <c r="J43" s="92">
        <f t="shared" si="2"/>
        <v>1.4898227768640917</v>
      </c>
      <c r="K43" s="93">
        <f t="shared" si="3"/>
        <v>0.47048200516720079</v>
      </c>
      <c r="L43" s="93">
        <f t="shared" si="4"/>
        <v>1.0226318774402285E-2</v>
      </c>
      <c r="M43" s="93">
        <f t="shared" si="5"/>
        <v>0.98977368122559772</v>
      </c>
      <c r="N43" s="93">
        <f t="shared" si="6"/>
        <v>3.2132373337104493E-3</v>
      </c>
      <c r="O43" s="40">
        <f t="shared" si="7"/>
        <v>4.7326284410327284E-7</v>
      </c>
      <c r="P43" s="40">
        <f t="shared" si="8"/>
        <v>1.4619253139349104E-5</v>
      </c>
      <c r="Q43" s="40">
        <f t="shared" si="9"/>
        <v>1.5311840951638317E-4</v>
      </c>
      <c r="R43" s="9">
        <f t="shared" si="12"/>
        <v>3.9999999999999996E-5</v>
      </c>
      <c r="S43" s="9">
        <f t="shared" si="13"/>
        <v>4.0905275097609138E-7</v>
      </c>
      <c r="T43" s="9">
        <f t="shared" si="10"/>
        <v>1.881928020668803E-5</v>
      </c>
      <c r="U43" s="9">
        <f t="shared" si="11"/>
        <v>3.9590947249023908E-5</v>
      </c>
      <c r="V43" s="100">
        <f t="shared" si="14"/>
        <v>0.47534301435922349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182</v>
      </c>
      <c r="C44" s="46" t="s">
        <v>183</v>
      </c>
      <c r="D44" s="90">
        <v>5.676184000000001</v>
      </c>
      <c r="E44" s="90">
        <v>7.0708080000000004</v>
      </c>
      <c r="F44" s="96">
        <v>9.9999999999999995E-7</v>
      </c>
      <c r="G44" s="138"/>
      <c r="H44" s="138"/>
      <c r="I44" s="92">
        <f t="shared" si="1"/>
        <v>3.8293839195374848</v>
      </c>
      <c r="J44" s="92">
        <f t="shared" si="2"/>
        <v>5.6026792956514546</v>
      </c>
      <c r="K44" s="93">
        <f t="shared" si="3"/>
        <v>1.4147755605018814E-4</v>
      </c>
      <c r="L44" s="93">
        <f t="shared" si="4"/>
        <v>3.9876807044880849E-2</v>
      </c>
      <c r="M44" s="93">
        <f t="shared" si="5"/>
        <v>0.96012319295511916</v>
      </c>
      <c r="N44" s="93">
        <f t="shared" si="6"/>
        <v>3.515364283496273E-2</v>
      </c>
      <c r="O44" s="40">
        <f t="shared" si="7"/>
        <v>1.423137756975365E-10</v>
      </c>
      <c r="P44" s="40">
        <f t="shared" si="8"/>
        <v>5.7006744014017526E-5</v>
      </c>
      <c r="Q44" s="40">
        <f t="shared" si="9"/>
        <v>1.6751547802355813E-3</v>
      </c>
      <c r="R44" s="9">
        <f t="shared" si="12"/>
        <v>3.9999999999999996E-5</v>
      </c>
      <c r="S44" s="9">
        <f t="shared" si="13"/>
        <v>1.5950722817952338E-6</v>
      </c>
      <c r="T44" s="9">
        <f t="shared" si="10"/>
        <v>5.6591022420075252E-9</v>
      </c>
      <c r="U44" s="9">
        <f t="shared" si="11"/>
        <v>3.8404927718204761E-5</v>
      </c>
      <c r="V44" s="100">
        <f t="shared" si="14"/>
        <v>1.4735354492868865E-4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184</v>
      </c>
      <c r="C45" s="46" t="s">
        <v>185</v>
      </c>
      <c r="D45" s="90">
        <v>1.2599279999999999</v>
      </c>
      <c r="E45" s="90">
        <v>1.3925860000000003</v>
      </c>
      <c r="F45" s="96">
        <v>9.9999999999999995E-7</v>
      </c>
      <c r="G45" s="138"/>
      <c r="H45" s="138"/>
      <c r="I45" s="92">
        <f t="shared" si="1"/>
        <v>3.8037572032670899E-2</v>
      </c>
      <c r="J45" s="92">
        <f t="shared" si="2"/>
        <v>0.53532069811024507</v>
      </c>
      <c r="K45" s="93">
        <f t="shared" si="3"/>
        <v>0.90939513911471648</v>
      </c>
      <c r="L45" s="93">
        <f t="shared" si="4"/>
        <v>2.1949612562286499E-3</v>
      </c>
      <c r="M45" s="93">
        <f t="shared" si="5"/>
        <v>0.99780503874377136</v>
      </c>
      <c r="N45" s="93">
        <f t="shared" si="6"/>
        <v>4.7403828192323907E-4</v>
      </c>
      <c r="O45" s="40">
        <f t="shared" si="7"/>
        <v>9.1477022548008356E-7</v>
      </c>
      <c r="P45" s="40">
        <f t="shared" si="8"/>
        <v>3.1378538987257288E-6</v>
      </c>
      <c r="Q45" s="40">
        <f t="shared" si="9"/>
        <v>2.2589052796218349E-5</v>
      </c>
      <c r="R45" s="9">
        <f t="shared" si="12"/>
        <v>3.9999999999999996E-5</v>
      </c>
      <c r="S45" s="9">
        <f t="shared" si="13"/>
        <v>8.7798450249145987E-8</v>
      </c>
      <c r="T45" s="9">
        <f t="shared" si="10"/>
        <v>3.6375805564588658E-5</v>
      </c>
      <c r="U45" s="9">
        <f t="shared" si="11"/>
        <v>3.9912201549750847E-5</v>
      </c>
      <c r="V45" s="100">
        <f t="shared" si="14"/>
        <v>0.9113956171835309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186</v>
      </c>
      <c r="C46" s="46" t="s">
        <v>187</v>
      </c>
      <c r="D46" s="91">
        <v>1.2889359999999999</v>
      </c>
      <c r="E46" s="91">
        <v>1.371977</v>
      </c>
      <c r="F46" s="96">
        <v>9.9999999999999995E-7</v>
      </c>
      <c r="G46" s="138"/>
      <c r="H46" s="138"/>
      <c r="I46" s="92">
        <f t="shared" si="1"/>
        <v>4.0258976380178252E-2</v>
      </c>
      <c r="J46" s="92">
        <f t="shared" si="2"/>
        <v>0.54673395685959203</v>
      </c>
      <c r="K46" s="93">
        <f t="shared" si="3"/>
        <v>0.90471300626697337</v>
      </c>
      <c r="L46" s="93">
        <f t="shared" si="4"/>
        <v>2.2418075265061487E-3</v>
      </c>
      <c r="M46" s="93">
        <f t="shared" si="5"/>
        <v>0.99775819247349384</v>
      </c>
      <c r="N46" s="93">
        <f t="shared" si="6"/>
        <v>4.4974114451525862E-4</v>
      </c>
      <c r="O46" s="40">
        <f t="shared" si="7"/>
        <v>9.1006041833835278E-7</v>
      </c>
      <c r="P46" s="40">
        <f t="shared" si="8"/>
        <v>3.2048239882495753E-6</v>
      </c>
      <c r="Q46" s="40">
        <f t="shared" si="9"/>
        <v>2.1431236348400919E-5</v>
      </c>
      <c r="R46" s="9">
        <f t="shared" si="12"/>
        <v>3.9999999999999996E-5</v>
      </c>
      <c r="S46" s="9">
        <f t="shared" si="13"/>
        <v>8.9672301060245937E-8</v>
      </c>
      <c r="T46" s="9">
        <f t="shared" si="10"/>
        <v>3.6188520250678929E-5</v>
      </c>
      <c r="U46" s="9">
        <f t="shared" si="11"/>
        <v>3.991032769893975E-5</v>
      </c>
      <c r="V46" s="100">
        <f t="shared" si="14"/>
        <v>0.90674575572678917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188</v>
      </c>
      <c r="C47" s="46" t="s">
        <v>189</v>
      </c>
      <c r="D47" s="90">
        <v>2.5448008164668257</v>
      </c>
      <c r="E47" s="90">
        <v>3.1426039783542175</v>
      </c>
      <c r="F47" s="96">
        <v>9.9999999999999995E-7</v>
      </c>
      <c r="G47" s="138"/>
      <c r="H47" s="138"/>
      <c r="I47" s="92">
        <f t="shared" si="1"/>
        <v>0.50587648659747519</v>
      </c>
      <c r="J47" s="92">
        <f t="shared" si="2"/>
        <v>1.8898039424848809</v>
      </c>
      <c r="K47" s="93">
        <f t="shared" si="3"/>
        <v>0.30519036858276039</v>
      </c>
      <c r="L47" s="93">
        <f t="shared" si="4"/>
        <v>1.6662044822066409E-2</v>
      </c>
      <c r="M47" s="93">
        <f t="shared" si="5"/>
        <v>0.98333795517793354</v>
      </c>
      <c r="N47" s="93">
        <f t="shared" si="6"/>
        <v>8.9464263084453981E-3</v>
      </c>
      <c r="O47" s="40">
        <f t="shared" si="7"/>
        <v>3.0699423196233316E-7</v>
      </c>
      <c r="P47" s="40">
        <f t="shared" si="8"/>
        <v>2.3819583219202648E-5</v>
      </c>
      <c r="Q47" s="40">
        <f t="shared" si="9"/>
        <v>4.2631851461244334E-4</v>
      </c>
      <c r="R47" s="9">
        <f t="shared" si="12"/>
        <v>3.9999999999999996E-5</v>
      </c>
      <c r="S47" s="9">
        <f t="shared" si="13"/>
        <v>6.6648179288265631E-7</v>
      </c>
      <c r="T47" s="9">
        <f t="shared" si="10"/>
        <v>1.2207614743310415E-5</v>
      </c>
      <c r="U47" s="9">
        <f t="shared" si="11"/>
        <v>3.9333518207117338E-5</v>
      </c>
      <c r="V47" s="100">
        <f t="shared" si="14"/>
        <v>0.31036162793852157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101</v>
      </c>
      <c r="C48" s="46" t="s">
        <v>102</v>
      </c>
      <c r="D48" s="90">
        <v>0.29376000000000013</v>
      </c>
      <c r="E48" s="90">
        <v>0.18140000000000034</v>
      </c>
      <c r="F48" s="96">
        <v>9.9999999999999995E-7</v>
      </c>
      <c r="G48" s="138"/>
      <c r="H48" s="138"/>
      <c r="I48" s="92">
        <f t="shared" ref="I48:I50" si="15">IF(D48=0,"",LOG($K$15*10^D48+$K$16*10^E48+$K$14))</f>
        <v>2.0958974367173925E-3</v>
      </c>
      <c r="J48" s="92">
        <f t="shared" ref="J48:J50" si="16">IF(D48=0,"",LOG($K$21*10^D48+$K$22*10^E48+$K$20))</f>
        <v>4.6195916093205912E-2</v>
      </c>
      <c r="K48" s="93">
        <f t="shared" ref="K48:K50" si="17">IF(D48=0,"",1/(1+10^D48*$J$15/$J$14+10^E48*$J$16/$J$14+10^J48*$J$19/$J$14))</f>
        <v>0.98926408578962399</v>
      </c>
      <c r="L48" s="93">
        <f t="shared" ref="L48:L50" si="18">IF(D48=0,"",1/(1+10^I48/10^J48*$J$13/$J$19))</f>
        <v>7.7421519568529932E-4</v>
      </c>
      <c r="M48" s="93">
        <f t="shared" ref="M48:M92" si="19">IF(D48=0,"",1-L48)</f>
        <v>0.99922578480431468</v>
      </c>
      <c r="N48" s="93">
        <f t="shared" ref="N48:N50" si="20">IF(D48=0,"",1/(1/10^E48*$J$20/$J$22+10^D48/10^E48*$J$21/$J$22+10^I48/10^E48*$J$13/$J$22+1))</f>
        <v>3.1709327368050295E-5</v>
      </c>
      <c r="O48" s="40">
        <f t="shared" ref="O48:O92" si="21">IF(D48=0,"",F48*K48*$J$7/$J$14)</f>
        <v>9.9511124690866342E-7</v>
      </c>
      <c r="P48" s="40">
        <f t="shared" ref="P48:P50" si="22">IF(D48=0,"",O48*10^J48)</f>
        <v>1.1067959233175413E-6</v>
      </c>
      <c r="Q48" s="40">
        <f t="shared" ref="Q48:Q50" si="23">IF(D48=0,"",F48*N48*$J$7/$J$22)</f>
        <v>1.5110249474860921E-6</v>
      </c>
      <c r="R48" s="9">
        <f t="shared" si="12"/>
        <v>3.9999999999999996E-5</v>
      </c>
      <c r="S48" s="9">
        <f t="shared" si="13"/>
        <v>3.0968607827411973E-8</v>
      </c>
      <c r="T48" s="9">
        <f t="shared" si="10"/>
        <v>3.957056343158496E-5</v>
      </c>
      <c r="U48" s="9">
        <f t="shared" si="11"/>
        <v>3.9969031392172583E-5</v>
      </c>
      <c r="V48" s="100">
        <f t="shared" si="14"/>
        <v>0.99003058251079701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190</v>
      </c>
      <c r="C49" s="46" t="s">
        <v>191</v>
      </c>
      <c r="D49" s="90">
        <v>1.6175039999999998</v>
      </c>
      <c r="E49" s="90">
        <v>1.8999029999999997</v>
      </c>
      <c r="F49" s="96">
        <v>9.9999999999999995E-7</v>
      </c>
      <c r="G49" s="138"/>
      <c r="H49" s="138"/>
      <c r="I49" s="92">
        <f t="shared" si="15"/>
        <v>8.7763082204907472E-2</v>
      </c>
      <c r="J49" s="92">
        <f t="shared" si="16"/>
        <v>0.86907068032969315</v>
      </c>
      <c r="K49" s="93">
        <f t="shared" si="17"/>
        <v>0.80937159640793466</v>
      </c>
      <c r="L49" s="93">
        <f t="shared" si="18"/>
        <v>4.2128129037617432E-3</v>
      </c>
      <c r="M49" s="93">
        <f t="shared" si="19"/>
        <v>0.99578718709623826</v>
      </c>
      <c r="N49" s="93">
        <f t="shared" si="20"/>
        <v>1.3568309652679824E-3</v>
      </c>
      <c r="O49" s="40">
        <f t="shared" si="21"/>
        <v>8.1415548192177487E-7</v>
      </c>
      <c r="P49" s="40">
        <f t="shared" si="22"/>
        <v>6.0225169611348226E-6</v>
      </c>
      <c r="Q49" s="40">
        <f t="shared" si="23"/>
        <v>6.4656226044936674E-5</v>
      </c>
      <c r="R49" s="9">
        <f t="shared" si="12"/>
        <v>3.9999999999999996E-5</v>
      </c>
      <c r="S49" s="9">
        <f t="shared" si="13"/>
        <v>1.6851251615046972E-7</v>
      </c>
      <c r="T49" s="9">
        <f t="shared" si="10"/>
        <v>3.2374863856317383E-5</v>
      </c>
      <c r="U49" s="9">
        <f t="shared" si="11"/>
        <v>3.983148748384953E-5</v>
      </c>
      <c r="V49" s="100">
        <f t="shared" si="14"/>
        <v>0.81279575284363703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192</v>
      </c>
      <c r="C50" s="46" t="s">
        <v>193</v>
      </c>
      <c r="D50" s="90">
        <v>2.5898400000000001</v>
      </c>
      <c r="E50" s="90">
        <v>2.96393</v>
      </c>
      <c r="F50" s="96">
        <v>9.9999999999999995E-7</v>
      </c>
      <c r="G50" s="138"/>
      <c r="H50" s="138"/>
      <c r="I50" s="92">
        <f t="shared" si="15"/>
        <v>0.50667591684415281</v>
      </c>
      <c r="J50" s="92">
        <f t="shared" si="16"/>
        <v>1.8284615251176457</v>
      </c>
      <c r="K50" s="93">
        <f t="shared" si="17"/>
        <v>0.30530731530908622</v>
      </c>
      <c r="L50" s="93">
        <f t="shared" si="18"/>
        <v>1.4472790236943291E-2</v>
      </c>
      <c r="M50" s="93">
        <f t="shared" si="19"/>
        <v>0.98552720976305674</v>
      </c>
      <c r="N50" s="93">
        <f t="shared" si="20"/>
        <v>5.9311921959664124E-3</v>
      </c>
      <c r="O50" s="40">
        <f t="shared" si="21"/>
        <v>3.071118699159673E-7</v>
      </c>
      <c r="P50" s="40">
        <f t="shared" si="22"/>
        <v>2.0689887414441638E-5</v>
      </c>
      <c r="Q50" s="40">
        <f t="shared" si="23"/>
        <v>2.8263543002398045E-4</v>
      </c>
      <c r="R50" s="9">
        <f t="shared" si="12"/>
        <v>3.9999999999999996E-5</v>
      </c>
      <c r="S50" s="9">
        <f t="shared" si="13"/>
        <v>5.7891160947773161E-7</v>
      </c>
      <c r="T50" s="9">
        <f t="shared" si="10"/>
        <v>1.2212292612363448E-5</v>
      </c>
      <c r="U50" s="9">
        <f t="shared" si="11"/>
        <v>3.9421088390522265E-5</v>
      </c>
      <c r="V50" s="100">
        <f t="shared" si="14"/>
        <v>0.30979085334689954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194</v>
      </c>
      <c r="C51" s="46" t="s">
        <v>195</v>
      </c>
      <c r="D51" s="90">
        <v>5.0487680000000008</v>
      </c>
      <c r="E51" s="90">
        <v>6.0352960000000007</v>
      </c>
      <c r="F51" s="96">
        <v>9.9999999999999995E-7</v>
      </c>
      <c r="G51" s="138"/>
      <c r="H51" s="138"/>
      <c r="I51" s="92">
        <f t="shared" ref="I51:I70" si="24">IF(D51=0,"",LOG($K$15*10^D51+$K$16*10^E51+$K$14))</f>
        <v>2.9778200964006376</v>
      </c>
      <c r="J51" s="92">
        <f t="shared" ref="J51:J70" si="25">IF(D51=0,"",LOG($K$21*10^D51+$K$22*10^E51+$K$20))</f>
        <v>4.6407720127189611</v>
      </c>
      <c r="K51" s="93">
        <f t="shared" ref="K51:K70" si="26">IF(D51=0,"",1/(1+10^D51*$J$15/$J$14+10^E51*$J$16/$J$14+10^J51*$J$19/$J$14))</f>
        <v>1.0142721501096698E-3</v>
      </c>
      <c r="L51" s="93">
        <f t="shared" ref="L51:L70" si="27">IF(D51=0,"",1/(1+10^I51/10^J51*$J$13/$J$19))</f>
        <v>3.1209013834188025E-2</v>
      </c>
      <c r="M51" s="93">
        <f t="shared" ref="M51:M70" si="28">IF(D51=0,"",1-L51)</f>
        <v>0.96879098616581194</v>
      </c>
      <c r="N51" s="93">
        <f t="shared" ref="N51:N70" si="29">IF(D51=0,"",1/(1/10^E51*$J$20/$J$22+10^D51/10^E51*$J$21/$J$22+10^I51/10^E51*$J$13/$J$22+1))</f>
        <v>2.3223372471055572E-2</v>
      </c>
      <c r="O51" s="40">
        <f t="shared" ref="O51:O70" si="30">IF(D51=0,"",F51*K51*$J$7/$J$14)</f>
        <v>1.0202671243187174E-9</v>
      </c>
      <c r="P51" s="40">
        <f t="shared" ref="P51:P70" si="31">IF(D51=0,"",O51*10^J51)</f>
        <v>4.4615514491245633E-5</v>
      </c>
      <c r="Q51" s="40">
        <f t="shared" ref="Q51:Q70" si="32">IF(D51=0,"",F51*N51*$J$7/$J$22)</f>
        <v>1.1066489919897766E-3</v>
      </c>
      <c r="R51" s="9">
        <f t="shared" si="12"/>
        <v>3.9999999999999996E-5</v>
      </c>
      <c r="S51" s="9">
        <f t="shared" si="13"/>
        <v>1.248360553367521E-6</v>
      </c>
      <c r="T51" s="9">
        <f t="shared" si="10"/>
        <v>4.0570886004386787E-8</v>
      </c>
      <c r="U51" s="9">
        <f t="shared" si="11"/>
        <v>3.8751639446632474E-5</v>
      </c>
      <c r="V51" s="100">
        <f t="shared" si="14"/>
        <v>1.0469463120459644E-3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196</v>
      </c>
      <c r="C52" s="46" t="s">
        <v>197</v>
      </c>
      <c r="D52" s="47">
        <v>2.7330160000000001</v>
      </c>
      <c r="E52" s="47">
        <v>3.3310319999999995</v>
      </c>
      <c r="F52" s="96">
        <v>9.9999999999999995E-7</v>
      </c>
      <c r="G52" s="138"/>
      <c r="H52" s="138"/>
      <c r="I52" s="92">
        <f t="shared" si="24"/>
        <v>0.64393554165863076</v>
      </c>
      <c r="J52" s="92">
        <f t="shared" si="25"/>
        <v>2.0764178865334513</v>
      </c>
      <c r="K52" s="93">
        <f t="shared" si="26"/>
        <v>0.22164433141622061</v>
      </c>
      <c r="L52" s="93">
        <f t="shared" si="27"/>
        <v>1.8596364386667119E-2</v>
      </c>
      <c r="M52" s="93">
        <f t="shared" si="28"/>
        <v>0.98140363561333288</v>
      </c>
      <c r="N52" s="93">
        <f t="shared" si="29"/>
        <v>1.002682454705949E-2</v>
      </c>
      <c r="O52" s="40">
        <f t="shared" si="30"/>
        <v>2.2295438616856514E-7</v>
      </c>
      <c r="P52" s="40">
        <f t="shared" si="31"/>
        <v>2.658483120248256E-5</v>
      </c>
      <c r="Q52" s="40">
        <f t="shared" si="32"/>
        <v>4.778020630591634E-4</v>
      </c>
      <c r="R52" s="9">
        <f t="shared" si="12"/>
        <v>3.9999999999999996E-5</v>
      </c>
      <c r="S52" s="9">
        <f t="shared" si="13"/>
        <v>7.4385457546668472E-7</v>
      </c>
      <c r="T52" s="9">
        <f t="shared" si="10"/>
        <v>8.8657732566488233E-6</v>
      </c>
      <c r="U52" s="9">
        <f t="shared" si="11"/>
        <v>3.9256145424533315E-5</v>
      </c>
      <c r="V52" s="100">
        <f t="shared" si="14"/>
        <v>0.22584421269002425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198</v>
      </c>
      <c r="C53" s="46" t="s">
        <v>199</v>
      </c>
      <c r="D53" s="47">
        <v>3.4406639999999999</v>
      </c>
      <c r="E53" s="47">
        <v>4.222847999999999</v>
      </c>
      <c r="F53" s="96">
        <v>9.9999999999999995E-7</v>
      </c>
      <c r="G53" s="138"/>
      <c r="H53" s="138"/>
      <c r="I53" s="92">
        <f t="shared" si="24"/>
        <v>1.3135143326183101</v>
      </c>
      <c r="J53" s="92">
        <f t="shared" si="25"/>
        <v>2.8909048143104648</v>
      </c>
      <c r="K53" s="93">
        <f t="shared" si="26"/>
        <v>4.7085887060369327E-2</v>
      </c>
      <c r="L53" s="93">
        <f t="shared" si="27"/>
        <v>2.5772058181592637E-2</v>
      </c>
      <c r="M53" s="93">
        <f t="shared" si="28"/>
        <v>0.97422794181840733</v>
      </c>
      <c r="N53" s="93">
        <f t="shared" si="29"/>
        <v>1.6604031305166956E-2</v>
      </c>
      <c r="O53" s="40">
        <f t="shared" si="30"/>
        <v>4.7364193704701936E-8</v>
      </c>
      <c r="P53" s="40">
        <f t="shared" si="31"/>
        <v>3.6842998031885363E-5</v>
      </c>
      <c r="Q53" s="40">
        <f t="shared" si="32"/>
        <v>7.9122162509907498E-4</v>
      </c>
      <c r="R53" s="9">
        <f t="shared" si="12"/>
        <v>3.9999999999999996E-5</v>
      </c>
      <c r="S53" s="9">
        <f t="shared" si="13"/>
        <v>1.0308823272637054E-6</v>
      </c>
      <c r="T53" s="9">
        <f t="shared" si="10"/>
        <v>1.883435482414773E-6</v>
      </c>
      <c r="U53" s="9">
        <f t="shared" si="11"/>
        <v>3.8969117672736287E-5</v>
      </c>
      <c r="V53" s="100">
        <f t="shared" si="14"/>
        <v>4.8331489007062342E-2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200</v>
      </c>
      <c r="C54" s="46" t="s">
        <v>201</v>
      </c>
      <c r="D54" s="47">
        <v>2.8976480000000002</v>
      </c>
      <c r="E54" s="47">
        <v>3.5312959999999993</v>
      </c>
      <c r="F54" s="96">
        <v>9.9999999999999995E-7</v>
      </c>
      <c r="G54" s="138"/>
      <c r="H54" s="138"/>
      <c r="I54" s="92">
        <f t="shared" si="24"/>
        <v>0.78379345695532832</v>
      </c>
      <c r="J54" s="92">
        <f t="shared" si="25"/>
        <v>2.2596675735780232</v>
      </c>
      <c r="K54" s="93">
        <f t="shared" si="26"/>
        <v>0.16030642313213228</v>
      </c>
      <c r="L54" s="93">
        <f t="shared" si="27"/>
        <v>2.0510300802016379E-2</v>
      </c>
      <c r="M54" s="93">
        <f t="shared" si="28"/>
        <v>0.97948969919798357</v>
      </c>
      <c r="N54" s="93">
        <f t="shared" si="29"/>
        <v>1.1500632102326637E-2</v>
      </c>
      <c r="O54" s="40">
        <f t="shared" si="30"/>
        <v>1.6125393300127133E-7</v>
      </c>
      <c r="P54" s="40">
        <f t="shared" si="31"/>
        <v>2.9320940017968278E-5</v>
      </c>
      <c r="Q54" s="40">
        <f t="shared" si="32"/>
        <v>5.4803250213325072E-4</v>
      </c>
      <c r="R54" s="9">
        <f t="shared" si="12"/>
        <v>3.9999999999999996E-5</v>
      </c>
      <c r="S54" s="9">
        <f t="shared" si="13"/>
        <v>8.2041203208065504E-7</v>
      </c>
      <c r="T54" s="9">
        <f t="shared" si="10"/>
        <v>6.4122569252852908E-6</v>
      </c>
      <c r="U54" s="9">
        <f t="shared" si="11"/>
        <v>3.9179587967919339E-5</v>
      </c>
      <c r="V54" s="100">
        <f t="shared" si="14"/>
        <v>0.16366320469055762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103</v>
      </c>
      <c r="C55" s="46" t="s">
        <v>104</v>
      </c>
      <c r="D55" s="47">
        <v>1.423632</v>
      </c>
      <c r="E55" s="47">
        <v>1.638849</v>
      </c>
      <c r="F55" s="96">
        <v>9.9999999999999995E-7</v>
      </c>
      <c r="G55" s="138"/>
      <c r="H55" s="138"/>
      <c r="I55" s="54">
        <f t="shared" si="24"/>
        <v>5.6400487609719711E-2</v>
      </c>
      <c r="J55" s="54">
        <f t="shared" si="25"/>
        <v>0.6838067096740571</v>
      </c>
      <c r="K55" s="55">
        <f t="shared" si="26"/>
        <v>0.87107755569860723</v>
      </c>
      <c r="L55" s="55">
        <f t="shared" si="27"/>
        <v>2.959491286797936E-3</v>
      </c>
      <c r="M55" s="55">
        <f t="shared" si="28"/>
        <v>0.99704050871320204</v>
      </c>
      <c r="N55" s="55">
        <f t="shared" si="29"/>
        <v>8.0053552786407776E-4</v>
      </c>
      <c r="O55" s="56">
        <f t="shared" si="30"/>
        <v>8.7622616150418779E-7</v>
      </c>
      <c r="P55" s="56">
        <f t="shared" si="31"/>
        <v>4.2308041867124207E-6</v>
      </c>
      <c r="Q55" s="56">
        <f t="shared" si="32"/>
        <v>3.8147423939694411E-5</v>
      </c>
      <c r="R55" s="9">
        <f t="shared" si="12"/>
        <v>3.9999999999999996E-5</v>
      </c>
      <c r="S55" s="9">
        <f t="shared" si="13"/>
        <v>1.1837965147191743E-7</v>
      </c>
      <c r="T55" s="9">
        <f t="shared" si="10"/>
        <v>3.4843102227944288E-5</v>
      </c>
      <c r="U55" s="9">
        <f t="shared" si="11"/>
        <v>3.988162034852808E-5</v>
      </c>
      <c r="V55" s="100">
        <f t="shared" si="14"/>
        <v>0.87366315419103202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202</v>
      </c>
      <c r="C56" s="46" t="s">
        <v>203</v>
      </c>
      <c r="D56" s="47">
        <v>2.6912000000000003</v>
      </c>
      <c r="E56" s="47">
        <v>3.3249699999999995</v>
      </c>
      <c r="F56" s="96">
        <v>9.9999999999999995E-7</v>
      </c>
      <c r="G56" s="138"/>
      <c r="H56" s="138"/>
      <c r="I56" s="54">
        <f t="shared" si="24"/>
        <v>0.61860589125383425</v>
      </c>
      <c r="J56" s="54">
        <f t="shared" si="25"/>
        <v>2.0545505923588281</v>
      </c>
      <c r="K56" s="55">
        <f t="shared" si="26"/>
        <v>0.23492089095688853</v>
      </c>
      <c r="L56" s="55">
        <f t="shared" si="27"/>
        <v>1.8742424231854991E-2</v>
      </c>
      <c r="M56" s="55">
        <f t="shared" si="28"/>
        <v>0.98125757576814499</v>
      </c>
      <c r="N56" s="55">
        <f t="shared" si="29"/>
        <v>1.0480124120344105E-2</v>
      </c>
      <c r="O56" s="56">
        <f t="shared" si="30"/>
        <v>2.3630941836770305E-7</v>
      </c>
      <c r="P56" s="56">
        <f t="shared" si="31"/>
        <v>2.6793634184024704E-5</v>
      </c>
      <c r="Q56" s="56">
        <f t="shared" si="32"/>
        <v>4.994028670108736E-4</v>
      </c>
      <c r="R56" s="9">
        <f t="shared" si="12"/>
        <v>3.9999999999999996E-5</v>
      </c>
      <c r="S56" s="9">
        <f t="shared" si="13"/>
        <v>7.4969696927419961E-7</v>
      </c>
      <c r="T56" s="9">
        <f t="shared" si="10"/>
        <v>9.3968356382755401E-6</v>
      </c>
      <c r="U56" s="9">
        <f t="shared" si="11"/>
        <v>3.9250303030725796E-5</v>
      </c>
      <c r="V56" s="100">
        <f t="shared" si="14"/>
        <v>0.23940797682299522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105</v>
      </c>
      <c r="C57" s="87" t="s">
        <v>106</v>
      </c>
      <c r="D57" s="90">
        <v>2.1493200000000003</v>
      </c>
      <c r="E57" s="90">
        <v>2.6108399999999996</v>
      </c>
      <c r="F57" s="96">
        <v>9.9999999999999995E-7</v>
      </c>
      <c r="G57" s="138"/>
      <c r="H57" s="138"/>
      <c r="I57" s="54">
        <f t="shared" si="24"/>
        <v>0.26171036693668792</v>
      </c>
      <c r="J57" s="54">
        <f t="shared" si="25"/>
        <v>1.4348617200490665</v>
      </c>
      <c r="K57" s="55">
        <f t="shared" si="26"/>
        <v>0.53892492402887016</v>
      </c>
      <c r="L57" s="55">
        <f t="shared" si="27"/>
        <v>1.032151674402911E-2</v>
      </c>
      <c r="M57" s="55">
        <f t="shared" si="28"/>
        <v>0.98967848325597085</v>
      </c>
      <c r="N57" s="55">
        <f t="shared" si="29"/>
        <v>4.6434744056591485E-3</v>
      </c>
      <c r="O57" s="56">
        <f t="shared" si="30"/>
        <v>5.4211030284442447E-7</v>
      </c>
      <c r="P57" s="56">
        <f t="shared" si="31"/>
        <v>1.4755345436785618E-5</v>
      </c>
      <c r="Q57" s="56">
        <f t="shared" si="32"/>
        <v>2.2127261132110046E-4</v>
      </c>
      <c r="R57" s="9">
        <f t="shared" si="12"/>
        <v>3.9999999999999996E-5</v>
      </c>
      <c r="S57" s="9">
        <f t="shared" si="13"/>
        <v>4.128606697611644E-7</v>
      </c>
      <c r="T57" s="9">
        <f t="shared" si="10"/>
        <v>2.1556996961154804E-5</v>
      </c>
      <c r="U57" s="9">
        <f t="shared" si="11"/>
        <v>3.9587139330238833E-5</v>
      </c>
      <c r="V57" s="100">
        <f t="shared" si="14"/>
        <v>0.54454545910288565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145</v>
      </c>
      <c r="C58" s="46" t="s">
        <v>146</v>
      </c>
      <c r="D58" s="47">
        <v>2.0184960000000003</v>
      </c>
      <c r="E58" s="47">
        <v>2.3512620000000002</v>
      </c>
      <c r="F58" s="96">
        <v>9.9999999999999995E-7</v>
      </c>
      <c r="G58" s="138"/>
      <c r="H58" s="138"/>
      <c r="I58" s="54">
        <f t="shared" si="24"/>
        <v>0.19893820408979257</v>
      </c>
      <c r="J58" s="54">
        <f t="shared" si="25"/>
        <v>1.2562556297488592</v>
      </c>
      <c r="K58" s="55">
        <f t="shared" si="26"/>
        <v>0.62423932000758786</v>
      </c>
      <c r="L58" s="55">
        <f t="shared" si="27"/>
        <v>7.9242885775182639E-3</v>
      </c>
      <c r="M58" s="55">
        <f t="shared" si="28"/>
        <v>0.99207571142248174</v>
      </c>
      <c r="N58" s="55">
        <f t="shared" si="29"/>
        <v>2.9586112735103288E-3</v>
      </c>
      <c r="O58" s="56">
        <f t="shared" si="30"/>
        <v>6.279289595420208E-7</v>
      </c>
      <c r="P58" s="56">
        <f t="shared" si="31"/>
        <v>1.132833654217504E-5</v>
      </c>
      <c r="Q58" s="56">
        <f t="shared" si="32"/>
        <v>1.4098487149532315E-4</v>
      </c>
      <c r="R58" s="9">
        <f t="shared" si="12"/>
        <v>3.9999999999999996E-5</v>
      </c>
      <c r="S58" s="9">
        <f t="shared" si="13"/>
        <v>3.1697154310073053E-7</v>
      </c>
      <c r="T58" s="9">
        <f t="shared" si="10"/>
        <v>2.4969572800303511E-5</v>
      </c>
      <c r="U58" s="9">
        <f t="shared" si="11"/>
        <v>3.9683028456899264E-5</v>
      </c>
      <c r="V58" s="100">
        <f t="shared" si="14"/>
        <v>0.62922548432571346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147</v>
      </c>
      <c r="C59" s="46" t="s">
        <v>148</v>
      </c>
      <c r="D59" s="47">
        <v>1.4665360000000003</v>
      </c>
      <c r="E59" s="47">
        <v>1.8522119999999997</v>
      </c>
      <c r="F59" s="96">
        <v>9.9999999999999995E-7</v>
      </c>
      <c r="G59" s="138"/>
      <c r="H59" s="138"/>
      <c r="I59" s="54">
        <f t="shared" si="24"/>
        <v>6.5352597387686409E-2</v>
      </c>
      <c r="J59" s="54">
        <f t="shared" si="25"/>
        <v>0.77323378498268969</v>
      </c>
      <c r="K59" s="55">
        <f t="shared" si="26"/>
        <v>0.85279203083416277</v>
      </c>
      <c r="L59" s="55">
        <f t="shared" si="27"/>
        <v>3.5598397690323894E-3</v>
      </c>
      <c r="M59" s="55">
        <f t="shared" si="28"/>
        <v>0.9964401602309676</v>
      </c>
      <c r="N59" s="55">
        <f t="shared" si="29"/>
        <v>1.2809433406783277E-3</v>
      </c>
      <c r="O59" s="56">
        <f t="shared" si="30"/>
        <v>8.5783255790569804E-7</v>
      </c>
      <c r="P59" s="56">
        <f t="shared" si="31"/>
        <v>5.0890452241010159E-6</v>
      </c>
      <c r="Q59" s="56">
        <f t="shared" si="32"/>
        <v>6.1040000048419166E-5</v>
      </c>
      <c r="R59" s="9">
        <f t="shared" si="12"/>
        <v>3.9999999999999996E-5</v>
      </c>
      <c r="S59" s="9">
        <f t="shared" si="13"/>
        <v>1.4239359076129555E-7</v>
      </c>
      <c r="T59" s="9">
        <f t="shared" si="10"/>
        <v>3.411168123336651E-5</v>
      </c>
      <c r="U59" s="9">
        <f t="shared" si="11"/>
        <v>3.9857606409238702E-5</v>
      </c>
      <c r="V59" s="100">
        <f t="shared" si="14"/>
        <v>0.85583867940097047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149</v>
      </c>
      <c r="C60" s="46" t="s">
        <v>150</v>
      </c>
      <c r="D60" s="47">
        <v>2.7203999877244023</v>
      </c>
      <c r="E60" s="47">
        <v>3.3923999825375306</v>
      </c>
      <c r="F60" s="96">
        <v>9.9999999999999995E-7</v>
      </c>
      <c r="G60" s="138"/>
      <c r="H60" s="138"/>
      <c r="I60" s="54">
        <f t="shared" si="24"/>
        <v>0.6487673116742505</v>
      </c>
      <c r="J60" s="54">
        <f t="shared" si="25"/>
        <v>2.1053345617023167</v>
      </c>
      <c r="K60" s="55">
        <f t="shared" si="26"/>
        <v>0.2189598861954512</v>
      </c>
      <c r="L60" s="55">
        <f t="shared" si="27"/>
        <v>1.9635983233169788E-2</v>
      </c>
      <c r="M60" s="55">
        <f t="shared" si="28"/>
        <v>0.98036401676683016</v>
      </c>
      <c r="N60" s="55">
        <f t="shared" si="29"/>
        <v>1.1408783220818026E-2</v>
      </c>
      <c r="O60" s="56">
        <f t="shared" si="30"/>
        <v>2.2025407422024888E-7</v>
      </c>
      <c r="P60" s="56">
        <f t="shared" si="31"/>
        <v>2.8071040602047162E-5</v>
      </c>
      <c r="Q60" s="56">
        <f t="shared" si="32"/>
        <v>5.4365568424155229E-4</v>
      </c>
      <c r="R60" s="9">
        <f t="shared" si="12"/>
        <v>3.9999999999999996E-5</v>
      </c>
      <c r="S60" s="9">
        <f t="shared" si="13"/>
        <v>7.8543932932679142E-7</v>
      </c>
      <c r="T60" s="9">
        <f t="shared" si="10"/>
        <v>8.7583954478180475E-6</v>
      </c>
      <c r="U60" s="9">
        <f t="shared" si="11"/>
        <v>3.9214560670673206E-5</v>
      </c>
      <c r="V60" s="100">
        <f t="shared" si="14"/>
        <v>0.22334549458227274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151</v>
      </c>
      <c r="C61" s="46" t="s">
        <v>152</v>
      </c>
      <c r="D61" s="47">
        <v>3.4658999877244021</v>
      </c>
      <c r="E61" s="47">
        <v>4.4528999825375299</v>
      </c>
      <c r="F61" s="96">
        <v>9.9999999999999995E-7</v>
      </c>
      <c r="G61" s="138"/>
      <c r="H61" s="138"/>
      <c r="I61" s="54">
        <f t="shared" si="24"/>
        <v>1.4117733403846819</v>
      </c>
      <c r="J61" s="54">
        <f t="shared" si="25"/>
        <v>3.0585769256489788</v>
      </c>
      <c r="K61" s="55">
        <f t="shared" si="26"/>
        <v>3.7384902964663902E-2</v>
      </c>
      <c r="L61" s="55">
        <f t="shared" si="27"/>
        <v>3.0104174006260365E-2</v>
      </c>
      <c r="M61" s="55">
        <f t="shared" si="28"/>
        <v>0.96989582599373958</v>
      </c>
      <c r="N61" s="55">
        <f t="shared" si="29"/>
        <v>2.2390873028286559E-2</v>
      </c>
      <c r="O61" s="56">
        <f t="shared" si="30"/>
        <v>3.7605870807522127E-8</v>
      </c>
      <c r="P61" s="56">
        <f t="shared" si="31"/>
        <v>4.3036067040092532E-5</v>
      </c>
      <c r="Q61" s="56">
        <f t="shared" si="32"/>
        <v>1.0669784114003028E-3</v>
      </c>
      <c r="R61" s="9">
        <f t="shared" si="12"/>
        <v>3.9999999999999996E-5</v>
      </c>
      <c r="S61" s="9">
        <f t="shared" si="13"/>
        <v>1.2041669602504145E-6</v>
      </c>
      <c r="T61" s="9">
        <f t="shared" si="10"/>
        <v>1.4953961185865559E-6</v>
      </c>
      <c r="U61" s="9">
        <f t="shared" si="11"/>
        <v>3.8795833039749578E-5</v>
      </c>
      <c r="V61" s="100">
        <f t="shared" si="14"/>
        <v>3.8545276680987811E-2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153</v>
      </c>
      <c r="C62" s="46" t="s">
        <v>154</v>
      </c>
      <c r="D62" s="47">
        <v>4.1687999877244026</v>
      </c>
      <c r="E62" s="47">
        <v>5.4527999825375302</v>
      </c>
      <c r="F62" s="96">
        <v>9.9999999999999995E-7</v>
      </c>
      <c r="G62" s="138"/>
      <c r="H62" s="138"/>
      <c r="I62" s="54">
        <f t="shared" si="24"/>
        <v>2.2542758302531842</v>
      </c>
      <c r="J62" s="54">
        <f t="shared" si="25"/>
        <v>3.9993799920849886</v>
      </c>
      <c r="K62" s="55">
        <f t="shared" si="26"/>
        <v>5.3319426606950378E-3</v>
      </c>
      <c r="L62" s="55">
        <f t="shared" si="27"/>
        <v>3.7464418376059794E-2</v>
      </c>
      <c r="M62" s="55">
        <f t="shared" si="28"/>
        <v>0.96253558162394026</v>
      </c>
      <c r="N62" s="55">
        <f t="shared" si="29"/>
        <v>3.192715641092355E-2</v>
      </c>
      <c r="O62" s="56">
        <f t="shared" si="30"/>
        <v>5.3634577316072496E-9</v>
      </c>
      <c r="P62" s="56">
        <f t="shared" si="31"/>
        <v>5.3558062098461503E-5</v>
      </c>
      <c r="Q62" s="56">
        <f t="shared" si="32"/>
        <v>1.5214050200195808E-3</v>
      </c>
      <c r="R62" s="9">
        <f t="shared" si="12"/>
        <v>3.9999999999999996E-5</v>
      </c>
      <c r="S62" s="9">
        <f t="shared" si="13"/>
        <v>1.4985767350423916E-6</v>
      </c>
      <c r="T62" s="9">
        <f t="shared" si="10"/>
        <v>2.1327770642780149E-7</v>
      </c>
      <c r="U62" s="9">
        <f t="shared" si="11"/>
        <v>3.8501423264957605E-5</v>
      </c>
      <c r="V62" s="100">
        <f t="shared" si="14"/>
        <v>5.5394759035289481E-3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155</v>
      </c>
      <c r="C63" s="46" t="s">
        <v>156</v>
      </c>
      <c r="D63" s="47">
        <v>4.999499987724402</v>
      </c>
      <c r="E63" s="47">
        <v>6.6344999825375304</v>
      </c>
      <c r="F63" s="96">
        <v>9.9999999999999995E-7</v>
      </c>
      <c r="G63" s="138"/>
      <c r="H63" s="138"/>
      <c r="I63" s="54">
        <f t="shared" si="24"/>
        <v>3.3259932392561606</v>
      </c>
      <c r="J63" s="54">
        <f t="shared" si="25"/>
        <v>5.1439390371305249</v>
      </c>
      <c r="K63" s="55">
        <f t="shared" si="26"/>
        <v>4.4895933114784132E-4</v>
      </c>
      <c r="L63" s="55">
        <f t="shared" si="27"/>
        <v>4.4004751384829621E-2</v>
      </c>
      <c r="M63" s="55">
        <f t="shared" si="28"/>
        <v>0.95599524861517038</v>
      </c>
      <c r="N63" s="55">
        <f t="shared" si="29"/>
        <v>4.0849032216725693E-2</v>
      </c>
      <c r="O63" s="56">
        <f t="shared" si="30"/>
        <v>4.5161295780105424E-10</v>
      </c>
      <c r="P63" s="56">
        <f t="shared" si="31"/>
        <v>6.2907935301141494E-5</v>
      </c>
      <c r="Q63" s="56">
        <f t="shared" si="32"/>
        <v>1.9465536447274951E-3</v>
      </c>
      <c r="R63" s="9">
        <f t="shared" si="12"/>
        <v>3.9999999999999996E-5</v>
      </c>
      <c r="S63" s="9">
        <f t="shared" si="13"/>
        <v>1.7601900553931848E-6</v>
      </c>
      <c r="T63" s="9">
        <f t="shared" si="10"/>
        <v>1.795837324591365E-8</v>
      </c>
      <c r="U63" s="9">
        <f t="shared" si="11"/>
        <v>3.823980994460681E-5</v>
      </c>
      <c r="V63" s="100">
        <f t="shared" si="14"/>
        <v>4.6962506539461577E-4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157</v>
      </c>
      <c r="C64" s="46" t="s">
        <v>158</v>
      </c>
      <c r="D64" s="47">
        <v>4.4669999877244022</v>
      </c>
      <c r="E64" s="47">
        <v>5.8769999825375301</v>
      </c>
      <c r="F64" s="96">
        <v>9.9999999999999995E-7</v>
      </c>
      <c r="G64" s="138"/>
      <c r="H64" s="138"/>
      <c r="I64" s="54">
        <f t="shared" si="24"/>
        <v>2.6313958666363746</v>
      </c>
      <c r="J64" s="54">
        <f t="shared" si="25"/>
        <v>4.4070921357231763</v>
      </c>
      <c r="K64" s="55">
        <f t="shared" si="26"/>
        <v>2.231411194147988E-3</v>
      </c>
      <c r="L64" s="55">
        <f t="shared" si="27"/>
        <v>4.0089004822832328E-2</v>
      </c>
      <c r="M64" s="55">
        <f t="shared" si="28"/>
        <v>0.95991099517716771</v>
      </c>
      <c r="N64" s="55">
        <f t="shared" si="29"/>
        <v>3.5485781729780577E-2</v>
      </c>
      <c r="O64" s="56">
        <f t="shared" si="30"/>
        <v>2.2446002110772718E-9</v>
      </c>
      <c r="P64" s="56">
        <f t="shared" si="31"/>
        <v>5.7310095894583369E-5</v>
      </c>
      <c r="Q64" s="56">
        <f t="shared" si="32"/>
        <v>1.6909819893805439E-3</v>
      </c>
      <c r="R64" s="9">
        <f t="shared" si="12"/>
        <v>3.9999999999999996E-5</v>
      </c>
      <c r="S64" s="9">
        <f t="shared" si="13"/>
        <v>1.6035601929132929E-6</v>
      </c>
      <c r="T64" s="9">
        <f t="shared" si="10"/>
        <v>8.9256447765919519E-8</v>
      </c>
      <c r="U64" s="9">
        <f t="shared" si="11"/>
        <v>3.8396439807086708E-5</v>
      </c>
      <c r="V64" s="100">
        <f t="shared" si="14"/>
        <v>2.324602182243098E-3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159</v>
      </c>
      <c r="C65" s="46" t="s">
        <v>160</v>
      </c>
      <c r="D65" s="47">
        <v>4.2539999877244021</v>
      </c>
      <c r="E65" s="47">
        <v>5.5739999825375302</v>
      </c>
      <c r="F65" s="96">
        <v>9.9999999999999995E-7</v>
      </c>
      <c r="G65" s="138"/>
      <c r="H65" s="138"/>
      <c r="I65" s="54">
        <f t="shared" si="24"/>
        <v>2.3610319672695166</v>
      </c>
      <c r="J65" s="54">
        <f t="shared" si="25"/>
        <v>4.1154371982960454</v>
      </c>
      <c r="K65" s="55">
        <f t="shared" si="26"/>
        <v>4.166556340955389E-3</v>
      </c>
      <c r="L65" s="55">
        <f t="shared" si="27"/>
        <v>3.8244412105636866E-2</v>
      </c>
      <c r="M65" s="55">
        <f t="shared" si="28"/>
        <v>0.96175558789436311</v>
      </c>
      <c r="N65" s="55">
        <f t="shared" si="29"/>
        <v>3.2980104566485306E-2</v>
      </c>
      <c r="O65" s="56">
        <f t="shared" si="30"/>
        <v>4.1911832596791958E-9</v>
      </c>
      <c r="P65" s="56">
        <f t="shared" si="31"/>
        <v>5.4673118848729811E-5</v>
      </c>
      <c r="Q65" s="56">
        <f t="shared" si="32"/>
        <v>1.5715805066515165E-3</v>
      </c>
      <c r="R65" s="9">
        <f t="shared" si="12"/>
        <v>3.9999999999999996E-5</v>
      </c>
      <c r="S65" s="9">
        <f t="shared" si="13"/>
        <v>1.5297764842254744E-6</v>
      </c>
      <c r="T65" s="9">
        <f t="shared" si="10"/>
        <v>1.6666225363821553E-7</v>
      </c>
      <c r="U65" s="9">
        <f t="shared" si="11"/>
        <v>3.8470223515774522E-5</v>
      </c>
      <c r="V65" s="100">
        <f t="shared" si="14"/>
        <v>4.3322403252966943E-3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161</v>
      </c>
      <c r="C66" s="46" t="s">
        <v>162</v>
      </c>
      <c r="D66" s="47">
        <v>4.4669999877244022</v>
      </c>
      <c r="E66" s="47">
        <v>5.8769999825375301</v>
      </c>
      <c r="F66" s="96">
        <v>9.9999999999999995E-7</v>
      </c>
      <c r="G66" s="138"/>
      <c r="H66" s="138"/>
      <c r="I66" s="54">
        <f t="shared" si="24"/>
        <v>2.6313958666363746</v>
      </c>
      <c r="J66" s="54">
        <f t="shared" si="25"/>
        <v>4.4070921357231763</v>
      </c>
      <c r="K66" s="55">
        <f t="shared" si="26"/>
        <v>2.231411194147988E-3</v>
      </c>
      <c r="L66" s="55">
        <f t="shared" si="27"/>
        <v>4.0089004822832328E-2</v>
      </c>
      <c r="M66" s="55">
        <f t="shared" si="28"/>
        <v>0.95991099517716771</v>
      </c>
      <c r="N66" s="55">
        <f t="shared" si="29"/>
        <v>3.5485781729780577E-2</v>
      </c>
      <c r="O66" s="56">
        <f t="shared" si="30"/>
        <v>2.2446002110772718E-9</v>
      </c>
      <c r="P66" s="56">
        <f t="shared" si="31"/>
        <v>5.7310095894583369E-5</v>
      </c>
      <c r="Q66" s="56">
        <f t="shared" si="32"/>
        <v>1.6909819893805439E-3</v>
      </c>
      <c r="R66" s="9">
        <f t="shared" si="12"/>
        <v>3.9999999999999996E-5</v>
      </c>
      <c r="S66" s="9">
        <f t="shared" si="13"/>
        <v>1.6035601929132929E-6</v>
      </c>
      <c r="T66" s="9">
        <f t="shared" si="10"/>
        <v>8.9256447765919519E-8</v>
      </c>
      <c r="U66" s="9">
        <f t="shared" si="11"/>
        <v>3.8396439807086708E-5</v>
      </c>
      <c r="V66" s="100">
        <f t="shared" si="14"/>
        <v>2.324602182243098E-3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115</v>
      </c>
      <c r="C67" s="46" t="s">
        <v>116</v>
      </c>
      <c r="D67" s="47">
        <v>-0.73745450190951667</v>
      </c>
      <c r="E67" s="47">
        <v>-1.5265197844064957</v>
      </c>
      <c r="F67" s="96">
        <v>9.9999999999999995E-7</v>
      </c>
      <c r="G67" s="138"/>
      <c r="H67" s="138"/>
      <c r="I67" s="54">
        <f t="shared" si="24"/>
        <v>-1.8671766444063711E-3</v>
      </c>
      <c r="J67" s="54">
        <f t="shared" si="25"/>
        <v>-5.1002272670301683E-2</v>
      </c>
      <c r="K67" s="55">
        <f t="shared" si="26"/>
        <v>0.99848209952733713</v>
      </c>
      <c r="L67" s="55">
        <f t="shared" si="27"/>
        <v>6.2472882235201988E-4</v>
      </c>
      <c r="M67" s="55">
        <f t="shared" si="28"/>
        <v>0.99937527117764802</v>
      </c>
      <c r="N67" s="55">
        <f t="shared" si="29"/>
        <v>6.2704005742434977E-7</v>
      </c>
      <c r="O67" s="56">
        <f t="shared" si="30"/>
        <v>1.0043837447950446E-6</v>
      </c>
      <c r="P67" s="56">
        <f t="shared" si="31"/>
        <v>8.9309447503952334E-7</v>
      </c>
      <c r="Q67" s="56">
        <f t="shared" si="32"/>
        <v>2.9879951688787944E-8</v>
      </c>
      <c r="R67" s="9">
        <f t="shared" si="12"/>
        <v>3.9999999999999996E-5</v>
      </c>
      <c r="S67" s="9">
        <f t="shared" si="13"/>
        <v>2.4989152894080792E-8</v>
      </c>
      <c r="T67" s="9">
        <f t="shared" si="10"/>
        <v>3.9939283981093481E-5</v>
      </c>
      <c r="U67" s="9">
        <f t="shared" si="11"/>
        <v>3.9975010847105917E-5</v>
      </c>
      <c r="V67" s="100">
        <f t="shared" si="14"/>
        <v>0.99910627001080543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117</v>
      </c>
      <c r="C68" s="46" t="s">
        <v>118</v>
      </c>
      <c r="D68" s="47">
        <v>4.7386560000000006</v>
      </c>
      <c r="E68" s="47">
        <v>5.8355820000000005</v>
      </c>
      <c r="F68" s="96">
        <v>9.9999999999999995E-7</v>
      </c>
      <c r="G68" s="138"/>
      <c r="H68" s="138"/>
      <c r="I68" s="54">
        <f t="shared" si="24"/>
        <v>2.7194923137791687</v>
      </c>
      <c r="J68" s="54">
        <f t="shared" si="25"/>
        <v>4.415376749895219</v>
      </c>
      <c r="K68" s="55">
        <f t="shared" si="26"/>
        <v>1.8340696732650006E-3</v>
      </c>
      <c r="L68" s="55">
        <f t="shared" si="27"/>
        <v>3.3585058714362306E-2</v>
      </c>
      <c r="M68" s="55">
        <f t="shared" si="28"/>
        <v>0.96641494128563765</v>
      </c>
      <c r="N68" s="55">
        <f t="shared" si="29"/>
        <v>2.6513839117129533E-2</v>
      </c>
      <c r="O68" s="56">
        <f t="shared" si="30"/>
        <v>1.8449101566477214E-9</v>
      </c>
      <c r="P68" s="56">
        <f t="shared" si="31"/>
        <v>4.801224036494627E-5</v>
      </c>
      <c r="Q68" s="56">
        <f t="shared" si="32"/>
        <v>1.2634475621195963E-3</v>
      </c>
      <c r="R68" s="9">
        <f t="shared" si="12"/>
        <v>3.9999999999999996E-5</v>
      </c>
      <c r="S68" s="9">
        <f t="shared" si="13"/>
        <v>1.3434023485744922E-6</v>
      </c>
      <c r="T68" s="9">
        <f t="shared" si="10"/>
        <v>7.3362786930600025E-8</v>
      </c>
      <c r="U68" s="9">
        <f t="shared" si="11"/>
        <v>3.8656597651425505E-5</v>
      </c>
      <c r="V68" s="100">
        <f t="shared" si="14"/>
        <v>1.8978076547793309E-3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119</v>
      </c>
      <c r="C69" s="46" t="s">
        <v>120</v>
      </c>
      <c r="D69" s="47">
        <v>2.3724999877244022</v>
      </c>
      <c r="E69" s="47">
        <v>2.8974999825375303</v>
      </c>
      <c r="F69" s="96">
        <v>9.9999999999999995E-7</v>
      </c>
      <c r="G69" s="138"/>
      <c r="H69" s="138"/>
      <c r="I69" s="54">
        <f t="shared" si="24"/>
        <v>0.38500856866688477</v>
      </c>
      <c r="J69" s="54">
        <f t="shared" si="25"/>
        <v>1.6825122730351272</v>
      </c>
      <c r="K69" s="55">
        <f t="shared" si="26"/>
        <v>0.40433978533736614</v>
      </c>
      <c r="L69" s="55">
        <f t="shared" si="27"/>
        <v>1.369658450777541E-2</v>
      </c>
      <c r="M69" s="55">
        <f t="shared" si="28"/>
        <v>0.98630341549222456</v>
      </c>
      <c r="N69" s="55">
        <f t="shared" si="29"/>
        <v>6.7409521702825837E-3</v>
      </c>
      <c r="O69" s="56">
        <f t="shared" si="30"/>
        <v>4.0672968294475609E-7</v>
      </c>
      <c r="P69" s="56">
        <f t="shared" si="31"/>
        <v>1.9580245881329788E-5</v>
      </c>
      <c r="Q69" s="56">
        <f t="shared" si="32"/>
        <v>3.2122242080008485E-4</v>
      </c>
      <c r="R69" s="9">
        <f t="shared" si="12"/>
        <v>3.9999999999999996E-5</v>
      </c>
      <c r="S69" s="9">
        <f t="shared" si="13"/>
        <v>5.4786338031101633E-7</v>
      </c>
      <c r="T69" s="9">
        <f t="shared" si="10"/>
        <v>1.6173591413494643E-5</v>
      </c>
      <c r="U69" s="9">
        <f t="shared" si="11"/>
        <v>3.9452136619688979E-5</v>
      </c>
      <c r="V69" s="100">
        <f t="shared" si="14"/>
        <v>0.40995476542639403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113</v>
      </c>
      <c r="C70" s="46" t="s">
        <v>114</v>
      </c>
      <c r="D70" s="47">
        <v>3.3511520000000004</v>
      </c>
      <c r="E70" s="47">
        <v>4.2962190000000007</v>
      </c>
      <c r="F70" s="96">
        <v>9.9999999999999995E-7</v>
      </c>
      <c r="G70" s="138"/>
      <c r="H70" s="138"/>
      <c r="I70" s="54">
        <f t="shared" si="24"/>
        <v>1.2852308448323728</v>
      </c>
      <c r="J70" s="54">
        <f t="shared" si="25"/>
        <v>2.913138997962994</v>
      </c>
      <c r="K70" s="55">
        <f t="shared" si="26"/>
        <v>5.0095157314808084E-2</v>
      </c>
      <c r="L70" s="55">
        <f t="shared" si="27"/>
        <v>2.8859464940842638E-2</v>
      </c>
      <c r="M70" s="55">
        <f t="shared" si="28"/>
        <v>0.97114053505915732</v>
      </c>
      <c r="N70" s="55">
        <f t="shared" si="29"/>
        <v>2.091652488980424E-2</v>
      </c>
      <c r="O70" s="56">
        <f t="shared" si="30"/>
        <v>5.0391250603052258E-8</v>
      </c>
      <c r="P70" s="56">
        <f t="shared" si="31"/>
        <v>4.1256666523287483E-5</v>
      </c>
      <c r="Q70" s="56">
        <f t="shared" si="32"/>
        <v>9.9672221224890965E-4</v>
      </c>
      <c r="R70" s="9">
        <f t="shared" si="12"/>
        <v>3.9999999999999996E-5</v>
      </c>
      <c r="S70" s="9">
        <f t="shared" si="13"/>
        <v>1.1543785976337055E-6</v>
      </c>
      <c r="T70" s="9">
        <f t="shared" si="10"/>
        <v>2.0038062925923231E-6</v>
      </c>
      <c r="U70" s="9">
        <f t="shared" si="11"/>
        <v>3.8845621402366288E-5</v>
      </c>
      <c r="V70" s="100">
        <f t="shared" si="14"/>
        <v>5.1583839317093816E-2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121</v>
      </c>
      <c r="C71" s="46" t="s">
        <v>122</v>
      </c>
      <c r="D71" s="47">
        <v>5.9183200000000005</v>
      </c>
      <c r="E71" s="47">
        <v>7.0401399999999992</v>
      </c>
      <c r="F71" s="96">
        <v>9.9999999999999995E-7</v>
      </c>
      <c r="G71" s="138"/>
      <c r="H71" s="138"/>
      <c r="I71" s="54">
        <f t="shared" ref="I71:I122" si="33">IF(D71=0,"",LOG($K$15*10^D71+$K$16*10^E71+$K$14))</f>
        <v>3.9109447814528924</v>
      </c>
      <c r="J71" s="54">
        <f t="shared" ref="J71:J122" si="34">IF(D71=0,"",LOG($K$21*10^D71+$K$22*10^E71+$K$20))</f>
        <v>5.6147977266030304</v>
      </c>
      <c r="K71" s="55">
        <f t="shared" ref="K71:K122" si="35">IF(D71=0,"",1/(1+10^D71*$J$15/$J$14+10^E71*$J$16/$J$14+10^J71*$J$19/$J$14))</f>
        <v>1.1794875278632986E-4</v>
      </c>
      <c r="L71" s="55">
        <f t="shared" ref="L71:L122" si="36">IF(D71=0,"",1/(1+10^I71/10^J71*$J$13/$J$19))</f>
        <v>3.4185710597492584E-2</v>
      </c>
      <c r="M71" s="55">
        <f t="shared" si="19"/>
        <v>0.96581428940250746</v>
      </c>
      <c r="N71" s="55">
        <f t="shared" ref="N71:N122" si="37">IF(D71=0,"",1/(1/10^E71*$J$20/$J$22+10^D71/10^E71*$J$21/$J$22+10^I71/10^E71*$J$13/$J$22+1))</f>
        <v>2.7309147294166704E-2</v>
      </c>
      <c r="O71" s="56">
        <f t="shared" si="21"/>
        <v>1.1864590268921037E-10</v>
      </c>
      <c r="P71" s="56">
        <f t="shared" ref="P71:P122" si="38">IF(D71=0,"",O71*10^J71)</f>
        <v>4.8870915135586889E-5</v>
      </c>
      <c r="Q71" s="56">
        <f t="shared" ref="Q71:Q122" si="39">IF(D71=0,"",F71*N71*$J$7/$J$22)</f>
        <v>1.3013458903463153E-3</v>
      </c>
      <c r="R71" s="9">
        <f t="shared" si="12"/>
        <v>3.9999999999999996E-5</v>
      </c>
      <c r="S71" s="9">
        <f t="shared" si="13"/>
        <v>1.3674284238997033E-6</v>
      </c>
      <c r="T71" s="9">
        <f t="shared" si="10"/>
        <v>4.7179501114531935E-9</v>
      </c>
      <c r="U71" s="9">
        <f t="shared" si="11"/>
        <v>3.8632571576100298E-5</v>
      </c>
      <c r="V71" s="100">
        <f t="shared" si="14"/>
        <v>1.2212363606599547E-4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123</v>
      </c>
      <c r="C72" s="46" t="s">
        <v>124</v>
      </c>
      <c r="D72" s="47">
        <v>5.5295200000000007</v>
      </c>
      <c r="E72" s="47">
        <v>6.5305900000000001</v>
      </c>
      <c r="F72" s="96">
        <v>9.9999999999999995E-7</v>
      </c>
      <c r="G72" s="138"/>
      <c r="H72" s="138"/>
      <c r="I72" s="54">
        <f t="shared" si="33"/>
        <v>3.4646398062685493</v>
      </c>
      <c r="J72" s="54">
        <f t="shared" si="34"/>
        <v>5.1323855239773488</v>
      </c>
      <c r="K72" s="55">
        <f t="shared" si="35"/>
        <v>3.3050982819945752E-4</v>
      </c>
      <c r="L72" s="55">
        <f t="shared" si="36"/>
        <v>3.1544484502441197E-2</v>
      </c>
      <c r="M72" s="55">
        <f t="shared" si="19"/>
        <v>0.96845551549755882</v>
      </c>
      <c r="N72" s="55">
        <f t="shared" si="37"/>
        <v>2.3672774727689343E-2</v>
      </c>
      <c r="O72" s="56">
        <f t="shared" si="21"/>
        <v>3.324633452073713E-10</v>
      </c>
      <c r="P72" s="56">
        <f t="shared" si="38"/>
        <v>4.5095093773704203E-5</v>
      </c>
      <c r="Q72" s="56">
        <f t="shared" si="39"/>
        <v>1.1280640795237489E-3</v>
      </c>
      <c r="R72" s="9">
        <f t="shared" si="12"/>
        <v>3.9999999999999996E-5</v>
      </c>
      <c r="S72" s="9">
        <f t="shared" si="13"/>
        <v>1.2617793800976477E-6</v>
      </c>
      <c r="T72" s="9">
        <f t="shared" si="10"/>
        <v>1.3220393127978299E-8</v>
      </c>
      <c r="U72" s="9">
        <f t="shared" si="11"/>
        <v>3.8738220619902353E-5</v>
      </c>
      <c r="V72" s="100">
        <f t="shared" si="14"/>
        <v>3.4127517775522508E-4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125</v>
      </c>
      <c r="C73" s="46" t="s">
        <v>126</v>
      </c>
      <c r="D73" s="47">
        <v>5.4845040000000003</v>
      </c>
      <c r="E73" s="47">
        <v>6.5678879999999999</v>
      </c>
      <c r="F73" s="96">
        <v>9.9999999999999995E-7</v>
      </c>
      <c r="G73" s="138"/>
      <c r="H73" s="138"/>
      <c r="I73" s="54">
        <f t="shared" si="33"/>
        <v>3.4579829545014036</v>
      </c>
      <c r="J73" s="54">
        <f t="shared" si="34"/>
        <v>5.1505570683328576</v>
      </c>
      <c r="K73" s="55">
        <f t="shared" si="35"/>
        <v>3.3499317415106673E-4</v>
      </c>
      <c r="L73" s="55">
        <f t="shared" si="36"/>
        <v>3.3338538592903311E-2</v>
      </c>
      <c r="M73" s="55">
        <f t="shared" si="19"/>
        <v>0.96666146140709674</v>
      </c>
      <c r="N73" s="55">
        <f t="shared" si="37"/>
        <v>2.6145607958106994E-2</v>
      </c>
      <c r="O73" s="56">
        <f t="shared" si="21"/>
        <v>3.3697319049976125E-10</v>
      </c>
      <c r="P73" s="56">
        <f t="shared" si="38"/>
        <v>4.7659822242740541E-5</v>
      </c>
      <c r="Q73" s="56">
        <f t="shared" si="39"/>
        <v>1.2459004706513175E-3</v>
      </c>
      <c r="R73" s="9">
        <f t="shared" si="12"/>
        <v>3.9999999999999996E-5</v>
      </c>
      <c r="S73" s="9">
        <f t="shared" si="13"/>
        <v>1.3335415437161323E-6</v>
      </c>
      <c r="T73" s="9">
        <f t="shared" si="10"/>
        <v>1.3399726966042667E-8</v>
      </c>
      <c r="U73" s="9">
        <f t="shared" si="11"/>
        <v>3.8666458456283867E-5</v>
      </c>
      <c r="V73" s="100">
        <f t="shared" si="14"/>
        <v>3.4654652898176186E-4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127</v>
      </c>
      <c r="C74" s="46" t="s">
        <v>128</v>
      </c>
      <c r="D74" s="47">
        <v>2.7195840000000011</v>
      </c>
      <c r="E74" s="47">
        <v>3.2500779999999994</v>
      </c>
      <c r="F74" s="96">
        <v>9.9999999999999995E-7</v>
      </c>
      <c r="G74" s="138"/>
      <c r="H74" s="138"/>
      <c r="I74" s="54">
        <f t="shared" si="33"/>
        <v>0.62193942428688143</v>
      </c>
      <c r="J74" s="54">
        <f t="shared" si="34"/>
        <v>2.0279953279061091</v>
      </c>
      <c r="K74" s="55">
        <f t="shared" si="35"/>
        <v>0.23341555297330566</v>
      </c>
      <c r="L74" s="55">
        <f t="shared" si="36"/>
        <v>1.7517763174724723E-2</v>
      </c>
      <c r="M74" s="55">
        <f t="shared" si="19"/>
        <v>0.98248223682527525</v>
      </c>
      <c r="N74" s="55">
        <f t="shared" si="37"/>
        <v>8.7636006230891756E-3</v>
      </c>
      <c r="O74" s="56">
        <f t="shared" si="21"/>
        <v>2.347951829078496E-7</v>
      </c>
      <c r="P74" s="56">
        <f t="shared" si="38"/>
        <v>2.5042893727067184E-5</v>
      </c>
      <c r="Q74" s="56">
        <f t="shared" si="39"/>
        <v>4.1760643540596844E-4</v>
      </c>
      <c r="R74" s="9">
        <f t="shared" si="12"/>
        <v>3.9999999999999996E-5</v>
      </c>
      <c r="S74" s="9">
        <f t="shared" si="13"/>
        <v>7.0071052698898887E-7</v>
      </c>
      <c r="T74" s="9">
        <f t="shared" si="10"/>
        <v>9.3366221189322246E-6</v>
      </c>
      <c r="U74" s="9">
        <f t="shared" si="11"/>
        <v>3.9299289473011009E-5</v>
      </c>
      <c r="V74" s="100">
        <f t="shared" si="14"/>
        <v>0.23757737720281685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81</v>
      </c>
      <c r="C75" s="46" t="s">
        <v>82</v>
      </c>
      <c r="D75" s="47">
        <v>3.9841999877244016</v>
      </c>
      <c r="E75" s="47">
        <v>5.1901999825375293</v>
      </c>
      <c r="F75" s="96">
        <v>9.9999999999999995E-7</v>
      </c>
      <c r="G75" s="138"/>
      <c r="H75" s="138"/>
      <c r="I75" s="54">
        <f t="shared" si="33"/>
        <v>2.0259693417507676</v>
      </c>
      <c r="J75" s="54">
        <f t="shared" si="34"/>
        <v>3.7492517444009614</v>
      </c>
      <c r="K75" s="55">
        <f t="shared" si="35"/>
        <v>9.0362873271566477E-3</v>
      </c>
      <c r="L75" s="55">
        <f t="shared" si="36"/>
        <v>3.5694007318837172E-2</v>
      </c>
      <c r="M75" s="55">
        <f t="shared" si="19"/>
        <v>0.96430599268116279</v>
      </c>
      <c r="N75" s="55">
        <f t="shared" si="37"/>
        <v>2.9557302831793857E-2</v>
      </c>
      <c r="O75" s="56">
        <f t="shared" si="21"/>
        <v>9.0896973606136348E-9</v>
      </c>
      <c r="P75" s="56">
        <f t="shared" si="38"/>
        <v>5.1027133034229132E-5</v>
      </c>
      <c r="Q75" s="56">
        <f t="shared" si="39"/>
        <v>1.4084758544655291E-3</v>
      </c>
      <c r="R75" s="9">
        <f t="shared" si="12"/>
        <v>3.9999999999999996E-5</v>
      </c>
      <c r="S75" s="9">
        <f t="shared" si="13"/>
        <v>1.4277602927534867E-6</v>
      </c>
      <c r="T75" s="9">
        <f t="shared" si="10"/>
        <v>3.6145149308626587E-7</v>
      </c>
      <c r="U75" s="9">
        <f t="shared" si="11"/>
        <v>3.8572239707246507E-5</v>
      </c>
      <c r="V75" s="100">
        <f t="shared" si="14"/>
        <v>9.3707675735085847E-3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129</v>
      </c>
      <c r="C76" s="46" t="s">
        <v>130</v>
      </c>
      <c r="D76" s="47">
        <v>4.10616</v>
      </c>
      <c r="E76" s="47">
        <v>5.1108449999999994</v>
      </c>
      <c r="F76" s="96">
        <v>9.9999999999999995E-7</v>
      </c>
      <c r="G76" s="138"/>
      <c r="H76" s="138"/>
      <c r="I76" s="54">
        <f t="shared" si="33"/>
        <v>2.0466328175843658</v>
      </c>
      <c r="J76" s="54">
        <f t="shared" si="34"/>
        <v>3.7118118425949667</v>
      </c>
      <c r="K76" s="55">
        <f t="shared" si="35"/>
        <v>8.6551002148342257E-3</v>
      </c>
      <c r="L76" s="55">
        <f t="shared" si="36"/>
        <v>3.1364435510288224E-2</v>
      </c>
      <c r="M76" s="55">
        <f t="shared" si="19"/>
        <v>0.96863556448971178</v>
      </c>
      <c r="N76" s="55">
        <f t="shared" si="37"/>
        <v>2.3582611025018706E-2</v>
      </c>
      <c r="O76" s="56">
        <f t="shared" si="21"/>
        <v>8.7062571972664489E-9</v>
      </c>
      <c r="P76" s="56">
        <f t="shared" si="38"/>
        <v>4.4837700878779226E-5</v>
      </c>
      <c r="Q76" s="56">
        <f t="shared" si="39"/>
        <v>1.1237675644160104E-3</v>
      </c>
      <c r="R76" s="9">
        <f t="shared" si="12"/>
        <v>3.9999999999999996E-5</v>
      </c>
      <c r="S76" s="9">
        <f t="shared" si="13"/>
        <v>1.2545774204115289E-6</v>
      </c>
      <c r="T76" s="9">
        <f t="shared" si="10"/>
        <v>3.4620400859336902E-7</v>
      </c>
      <c r="U76" s="9">
        <f t="shared" si="11"/>
        <v>3.8745422579588471E-5</v>
      </c>
      <c r="V76" s="100">
        <f t="shared" si="14"/>
        <v>8.9353525021495898E-3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131</v>
      </c>
      <c r="C77" s="46" t="s">
        <v>132</v>
      </c>
      <c r="D77" s="47">
        <v>2.8295519999999996</v>
      </c>
      <c r="E77" s="47">
        <v>3.5791989999999991</v>
      </c>
      <c r="F77" s="96">
        <v>9.9999999999999995E-7</v>
      </c>
      <c r="G77" s="138"/>
      <c r="H77" s="138"/>
      <c r="I77" s="54">
        <f t="shared" si="33"/>
        <v>0.75425121724867172</v>
      </c>
      <c r="J77" s="54">
        <f t="shared" si="34"/>
        <v>2.2606800266912841</v>
      </c>
      <c r="K77" s="55">
        <f t="shared" si="35"/>
        <v>0.1713343302102823</v>
      </c>
      <c r="L77" s="55">
        <f t="shared" si="36"/>
        <v>2.1972422941273211E-2</v>
      </c>
      <c r="M77" s="55">
        <f t="shared" si="19"/>
        <v>0.97802757705872678</v>
      </c>
      <c r="N77" s="55">
        <f t="shared" si="37"/>
        <v>1.3725184087140735E-2</v>
      </c>
      <c r="O77" s="56">
        <f t="shared" si="21"/>
        <v>1.7234702181442821E-7</v>
      </c>
      <c r="P77" s="56">
        <f t="shared" si="38"/>
        <v>3.1411148053331579E-5</v>
      </c>
      <c r="Q77" s="56">
        <f t="shared" si="39"/>
        <v>6.5403770076198728E-4</v>
      </c>
      <c r="R77" s="9">
        <f t="shared" si="12"/>
        <v>3.9999999999999996E-5</v>
      </c>
      <c r="S77" s="9">
        <f t="shared" si="13"/>
        <v>8.788969176509283E-7</v>
      </c>
      <c r="T77" s="9">
        <f t="shared" si="10"/>
        <v>6.8533732084112909E-6</v>
      </c>
      <c r="U77" s="9">
        <f t="shared" si="11"/>
        <v>3.9121103082349067E-5</v>
      </c>
      <c r="V77" s="100">
        <f t="shared" si="14"/>
        <v>0.17518353697709113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83</v>
      </c>
      <c r="C78" s="46" t="s">
        <v>84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0.98244102051051041</v>
      </c>
      <c r="J78" s="54">
        <f t="shared" si="34"/>
        <v>2.5816370248013158</v>
      </c>
      <c r="K78" s="55">
        <f t="shared" si="35"/>
        <v>0.10078319691604437</v>
      </c>
      <c r="L78" s="55">
        <f t="shared" si="36"/>
        <v>2.7063171356886354E-2</v>
      </c>
      <c r="M78" s="55">
        <f t="shared" si="19"/>
        <v>0.97293682864311359</v>
      </c>
      <c r="N78" s="55">
        <f t="shared" si="37"/>
        <v>1.9402733441827132E-2</v>
      </c>
      <c r="O78" s="56">
        <f t="shared" si="21"/>
        <v>1.0137888779265152E-7</v>
      </c>
      <c r="P78" s="56">
        <f t="shared" si="38"/>
        <v>3.86887365383374E-5</v>
      </c>
      <c r="Q78" s="56">
        <f t="shared" si="39"/>
        <v>9.2458644548744817E-4</v>
      </c>
      <c r="R78" s="9">
        <f t="shared" si="12"/>
        <v>3.9999999999999996E-5</v>
      </c>
      <c r="S78" s="9">
        <f t="shared" si="13"/>
        <v>1.0825268542754541E-6</v>
      </c>
      <c r="T78" s="9">
        <f t="shared" si="10"/>
        <v>4.0313278766417746E-6</v>
      </c>
      <c r="U78" s="9">
        <f t="shared" si="11"/>
        <v>3.8917473145724538E-5</v>
      </c>
      <c r="V78" s="100">
        <f t="shared" si="14"/>
        <v>0.10358657823303861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133</v>
      </c>
      <c r="C79" s="46" t="s">
        <v>134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1.0570731161685156</v>
      </c>
      <c r="J79" s="54">
        <f t="shared" si="34"/>
        <v>2.5355592122209871</v>
      </c>
      <c r="K79" s="55">
        <f t="shared" si="35"/>
        <v>8.5431402116886865E-2</v>
      </c>
      <c r="L79" s="55">
        <f t="shared" si="36"/>
        <v>2.0631475028927367E-2</v>
      </c>
      <c r="M79" s="55">
        <f t="shared" si="19"/>
        <v>0.97936852497107263</v>
      </c>
      <c r="N79" s="55">
        <f t="shared" si="37"/>
        <v>1.02465419182738E-2</v>
      </c>
      <c r="O79" s="56">
        <f t="shared" si="21"/>
        <v>8.5936354414234418E-8</v>
      </c>
      <c r="P79" s="56">
        <f t="shared" si="38"/>
        <v>2.9494167230639458E-5</v>
      </c>
      <c r="Q79" s="56">
        <f t="shared" si="39"/>
        <v>4.8827211893412339E-4</v>
      </c>
      <c r="R79" s="9">
        <f t="shared" si="12"/>
        <v>3.9999999999999996E-5</v>
      </c>
      <c r="S79" s="9">
        <f t="shared" si="13"/>
        <v>8.2525900115709464E-7</v>
      </c>
      <c r="T79" s="9">
        <f t="shared" si="10"/>
        <v>3.4172560846754743E-6</v>
      </c>
      <c r="U79" s="9">
        <f t="shared" si="11"/>
        <v>3.91747409988429E-5</v>
      </c>
      <c r="V79" s="100">
        <f t="shared" si="14"/>
        <v>8.7231108554780473E-2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135</v>
      </c>
      <c r="C80" s="46" t="s">
        <v>136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1.1393826628828596</v>
      </c>
      <c r="J80" s="54">
        <f t="shared" si="34"/>
        <v>2.6167182318767161</v>
      </c>
      <c r="K80" s="55">
        <f t="shared" si="35"/>
        <v>7.0685721250756312E-2</v>
      </c>
      <c r="L80" s="55">
        <f t="shared" si="36"/>
        <v>2.0578013974942286E-2</v>
      </c>
      <c r="M80" s="55">
        <f t="shared" si="19"/>
        <v>0.9794219860250577</v>
      </c>
      <c r="N80" s="55">
        <f t="shared" si="37"/>
        <v>9.8929879631100039E-3</v>
      </c>
      <c r="O80" s="56">
        <f t="shared" si="21"/>
        <v>7.1103517476158335E-8</v>
      </c>
      <c r="P80" s="56">
        <f t="shared" si="38"/>
        <v>2.9417740835321071E-5</v>
      </c>
      <c r="Q80" s="56">
        <f t="shared" si="39"/>
        <v>4.7142443117543722E-4</v>
      </c>
      <c r="R80" s="9">
        <f t="shared" si="12"/>
        <v>3.9999999999999996E-5</v>
      </c>
      <c r="S80" s="9">
        <f t="shared" si="13"/>
        <v>8.2312055899769135E-7</v>
      </c>
      <c r="T80" s="9">
        <f t="shared" si="10"/>
        <v>2.8274288500302523E-6</v>
      </c>
      <c r="U80" s="9">
        <f t="shared" si="11"/>
        <v>3.9176879441002307E-5</v>
      </c>
      <c r="V80" s="100">
        <f t="shared" si="14"/>
        <v>7.2170854094904785E-2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137</v>
      </c>
      <c r="C81" s="46" t="s">
        <v>138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2.466507651261447</v>
      </c>
      <c r="J81" s="54">
        <f t="shared" si="34"/>
        <v>4.195712087091966</v>
      </c>
      <c r="K81" s="55">
        <f t="shared" si="35"/>
        <v>3.2752084478018572E-3</v>
      </c>
      <c r="L81" s="55">
        <f t="shared" si="36"/>
        <v>3.6166340334732539E-2</v>
      </c>
      <c r="M81" s="55">
        <f t="shared" si="19"/>
        <v>0.96383365966526746</v>
      </c>
      <c r="N81" s="55">
        <f t="shared" si="37"/>
        <v>3.009897681513473E-2</v>
      </c>
      <c r="O81" s="56">
        <f t="shared" si="21"/>
        <v>3.2945669505190066E-9</v>
      </c>
      <c r="P81" s="56">
        <f t="shared" si="38"/>
        <v>5.1702366818524104E-5</v>
      </c>
      <c r="Q81" s="56">
        <f t="shared" si="39"/>
        <v>1.434287909471682E-3</v>
      </c>
      <c r="R81" s="9">
        <f t="shared" si="12"/>
        <v>3.9999999999999996E-5</v>
      </c>
      <c r="S81" s="9">
        <f t="shared" si="13"/>
        <v>1.4466536133893015E-6</v>
      </c>
      <c r="T81" s="9">
        <f t="shared" si="10"/>
        <v>1.3100833791207429E-7</v>
      </c>
      <c r="U81" s="9">
        <f t="shared" si="11"/>
        <v>3.8553346386610694E-5</v>
      </c>
      <c r="V81" s="100">
        <f t="shared" si="14"/>
        <v>3.3981054873507047E-3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139</v>
      </c>
      <c r="C82" s="46" t="s">
        <v>140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2.2273249528367836</v>
      </c>
      <c r="J82" s="54">
        <f t="shared" si="34"/>
        <v>3.9025095498636322</v>
      </c>
      <c r="K82" s="55">
        <f t="shared" si="35"/>
        <v>5.7050915701590266E-3</v>
      </c>
      <c r="L82" s="55">
        <f t="shared" si="36"/>
        <v>3.2071974768290323E-2</v>
      </c>
      <c r="M82" s="55">
        <f t="shared" si="19"/>
        <v>0.96792802523170973</v>
      </c>
      <c r="N82" s="55">
        <f t="shared" si="37"/>
        <v>2.4501823463345965E-2</v>
      </c>
      <c r="O82" s="56">
        <f t="shared" si="21"/>
        <v>5.7388121813575698E-9</v>
      </c>
      <c r="P82" s="56">
        <f t="shared" si="38"/>
        <v>4.5849178786611676E-5</v>
      </c>
      <c r="Q82" s="56">
        <f t="shared" si="39"/>
        <v>1.1675702257033481E-3</v>
      </c>
      <c r="R82" s="9">
        <f t="shared" si="12"/>
        <v>3.9999999999999996E-5</v>
      </c>
      <c r="S82" s="9">
        <f t="shared" si="13"/>
        <v>1.2828789907316129E-6</v>
      </c>
      <c r="T82" s="9">
        <f t="shared" si="10"/>
        <v>2.2820366280636103E-7</v>
      </c>
      <c r="U82" s="9">
        <f t="shared" si="11"/>
        <v>3.8717121009268383E-5</v>
      </c>
      <c r="V82" s="100">
        <f t="shared" si="14"/>
        <v>5.8941278911655648E-3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85</v>
      </c>
      <c r="C83" s="46" t="s">
        <v>86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0.70532975413914478</v>
      </c>
      <c r="J83" s="54">
        <f t="shared" si="34"/>
        <v>2.2038999237977572</v>
      </c>
      <c r="K83" s="55">
        <f t="shared" si="35"/>
        <v>0.19183904705396482</v>
      </c>
      <c r="L83" s="55">
        <f t="shared" si="36"/>
        <v>2.1586909183508054E-2</v>
      </c>
      <c r="M83" s="55">
        <f t="shared" si="19"/>
        <v>0.97841309081649197</v>
      </c>
      <c r="N83" s="55">
        <f t="shared" si="37"/>
        <v>1.3583002961029576E-2</v>
      </c>
      <c r="O83" s="56">
        <f t="shared" si="21"/>
        <v>1.9297293418598598E-7</v>
      </c>
      <c r="P83" s="56">
        <f t="shared" si="38"/>
        <v>3.0860028599909305E-5</v>
      </c>
      <c r="Q83" s="56">
        <f t="shared" si="39"/>
        <v>6.4726243157629977E-4</v>
      </c>
      <c r="R83" s="9">
        <f t="shared" si="12"/>
        <v>3.9999999999999996E-5</v>
      </c>
      <c r="S83" s="9">
        <f t="shared" si="13"/>
        <v>8.6347636734032207E-7</v>
      </c>
      <c r="T83" s="9">
        <f t="shared" si="10"/>
        <v>7.6735618821585926E-6</v>
      </c>
      <c r="U83" s="9">
        <f t="shared" si="11"/>
        <v>3.9136523632659672E-5</v>
      </c>
      <c r="V83" s="100">
        <f t="shared" si="14"/>
        <v>0.19607162746961398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141</v>
      </c>
      <c r="C84" s="46" t="s">
        <v>142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2.3272580136650043</v>
      </c>
      <c r="J84" s="54">
        <f t="shared" si="34"/>
        <v>3.9287211418950596</v>
      </c>
      <c r="K84" s="55">
        <f t="shared" si="35"/>
        <v>4.5552228212872121E-3</v>
      </c>
      <c r="L84" s="55">
        <f t="shared" si="36"/>
        <v>2.7200964252129919E-2</v>
      </c>
      <c r="M84" s="55">
        <f t="shared" si="19"/>
        <v>0.97279903574787008</v>
      </c>
      <c r="N84" s="55">
        <f t="shared" si="37"/>
        <v>1.7766276323453734E-2</v>
      </c>
      <c r="O84" s="56">
        <f t="shared" si="21"/>
        <v>4.5821469987154586E-9</v>
      </c>
      <c r="P84" s="56">
        <f t="shared" si="38"/>
        <v>3.8885721324437705E-5</v>
      </c>
      <c r="Q84" s="56">
        <f t="shared" si="39"/>
        <v>8.4660536747048346E-4</v>
      </c>
      <c r="R84" s="9">
        <f t="shared" si="12"/>
        <v>3.9999999999999996E-5</v>
      </c>
      <c r="S84" s="9">
        <f t="shared" si="13"/>
        <v>1.0880385700851966E-6</v>
      </c>
      <c r="T84" s="9">
        <f t="shared" si="10"/>
        <v>1.8220891285148846E-7</v>
      </c>
      <c r="U84" s="9">
        <f t="shared" si="11"/>
        <v>3.8911961429914801E-5</v>
      </c>
      <c r="V84" s="100">
        <f t="shared" si="14"/>
        <v>4.68259389030463E-3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87</v>
      </c>
      <c r="C85" s="46" t="s">
        <v>88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0.64458903464573347</v>
      </c>
      <c r="J85" s="54">
        <f t="shared" si="34"/>
        <v>2.1195388952426257</v>
      </c>
      <c r="K85" s="55">
        <f t="shared" si="35"/>
        <v>0.22088909877263763</v>
      </c>
      <c r="L85" s="55">
        <f t="shared" si="36"/>
        <v>2.0467590093764355E-2</v>
      </c>
      <c r="M85" s="55">
        <f t="shared" si="19"/>
        <v>0.97953240990623569</v>
      </c>
      <c r="N85" s="55">
        <f t="shared" si="37"/>
        <v>1.2591604386678803E-2</v>
      </c>
      <c r="O85" s="56">
        <f t="shared" si="21"/>
        <v>2.2219468963408301E-7</v>
      </c>
      <c r="P85" s="56">
        <f t="shared" si="38"/>
        <v>2.9259882009757133E-5</v>
      </c>
      <c r="Q85" s="56">
        <f t="shared" si="39"/>
        <v>6.0001992903568945E-4</v>
      </c>
      <c r="R85" s="9">
        <f t="shared" si="12"/>
        <v>3.9999999999999996E-5</v>
      </c>
      <c r="S85" s="9">
        <f t="shared" si="13"/>
        <v>8.1870360375057414E-7</v>
      </c>
      <c r="T85" s="9">
        <f t="shared" si="10"/>
        <v>8.8355639509055049E-6</v>
      </c>
      <c r="U85" s="9">
        <f t="shared" si="11"/>
        <v>3.9181296396249425E-5</v>
      </c>
      <c r="V85" s="100">
        <f t="shared" si="14"/>
        <v>0.22550463521036726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143</v>
      </c>
      <c r="C86" s="46" t="s">
        <v>144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1.6299602750984028</v>
      </c>
      <c r="J86" s="54">
        <f t="shared" si="34"/>
        <v>3.1044657046165054</v>
      </c>
      <c r="K86" s="55">
        <f t="shared" si="35"/>
        <v>2.2846103223755028E-2</v>
      </c>
      <c r="L86" s="55">
        <f t="shared" si="36"/>
        <v>2.0447083547313262E-2</v>
      </c>
      <c r="M86" s="55">
        <f t="shared" si="19"/>
        <v>0.97955291645268672</v>
      </c>
      <c r="N86" s="55">
        <f t="shared" si="37"/>
        <v>8.8045450842793496E-3</v>
      </c>
      <c r="O86" s="56">
        <f t="shared" si="21"/>
        <v>2.2981137789762624E-8</v>
      </c>
      <c r="P86" s="56">
        <f t="shared" si="38"/>
        <v>2.9230566436851989E-5</v>
      </c>
      <c r="Q86" s="56">
        <f t="shared" si="39"/>
        <v>4.195575364684926E-4</v>
      </c>
      <c r="R86" s="9">
        <f t="shared" si="12"/>
        <v>3.9999999999999996E-5</v>
      </c>
      <c r="S86" s="9">
        <f t="shared" si="13"/>
        <v>8.1788334189253043E-7</v>
      </c>
      <c r="T86" s="9">
        <f t="shared" si="10"/>
        <v>9.1384412895020106E-7</v>
      </c>
      <c r="U86" s="9">
        <f t="shared" si="11"/>
        <v>3.9182116658107462E-5</v>
      </c>
      <c r="V86" s="100">
        <f t="shared" si="14"/>
        <v>2.3322990356140209E-2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281</v>
      </c>
      <c r="C87" s="46" t="s">
        <v>282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0.48026857292599601</v>
      </c>
      <c r="J87" s="54">
        <f t="shared" si="34"/>
        <v>1.8482687840458425</v>
      </c>
      <c r="K87" s="55">
        <f t="shared" si="35"/>
        <v>0.32392121200478607</v>
      </c>
      <c r="L87" s="55">
        <f t="shared" si="36"/>
        <v>1.6071695850955022E-2</v>
      </c>
      <c r="M87" s="55">
        <f t="shared" si="19"/>
        <v>0.98392830414904497</v>
      </c>
      <c r="N87" s="55">
        <f t="shared" si="37"/>
        <v>8.4882528498168418E-3</v>
      </c>
      <c r="O87" s="56">
        <f t="shared" si="21"/>
        <v>3.2583578622583928E-7</v>
      </c>
      <c r="P87" s="56">
        <f t="shared" si="38"/>
        <v>2.2975637197215273E-5</v>
      </c>
      <c r="Q87" s="56">
        <f t="shared" si="39"/>
        <v>4.0448545841960539E-4</v>
      </c>
      <c r="R87" s="9">
        <f t="shared" si="12"/>
        <v>3.9999999999999996E-5</v>
      </c>
      <c r="S87" s="9">
        <f t="shared" si="13"/>
        <v>6.4286783403820078E-7</v>
      </c>
      <c r="T87" s="9">
        <f t="shared" si="10"/>
        <v>1.2956848480191442E-5</v>
      </c>
      <c r="U87" s="9">
        <f t="shared" si="11"/>
        <v>3.9357132165961798E-5</v>
      </c>
      <c r="V87" s="100">
        <f t="shared" si="14"/>
        <v>0.32921221052272792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283</v>
      </c>
      <c r="C88" s="46" t="s">
        <v>284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0.14925721804369038</v>
      </c>
      <c r="J88" s="54">
        <f t="shared" si="34"/>
        <v>0.99628677044171088</v>
      </c>
      <c r="K88" s="55">
        <f t="shared" si="35"/>
        <v>0.70202892192528799</v>
      </c>
      <c r="L88" s="55">
        <f t="shared" si="36"/>
        <v>4.8977352689206733E-3</v>
      </c>
      <c r="M88" s="55">
        <f t="shared" si="19"/>
        <v>0.99510226473107932</v>
      </c>
      <c r="N88" s="55">
        <f t="shared" si="37"/>
        <v>2.6352983574257468E-4</v>
      </c>
      <c r="O88" s="56">
        <f t="shared" si="21"/>
        <v>7.0617834600293086E-7</v>
      </c>
      <c r="P88" s="56">
        <f t="shared" si="38"/>
        <v>7.001662405155595E-6</v>
      </c>
      <c r="Q88" s="56">
        <f t="shared" si="39"/>
        <v>1.2557824125123549E-5</v>
      </c>
      <c r="R88" s="9">
        <f t="shared" si="12"/>
        <v>3.9999999999999996E-5</v>
      </c>
      <c r="S88" s="9">
        <f t="shared" si="13"/>
        <v>1.9590941075682692E-7</v>
      </c>
      <c r="T88" s="9">
        <f t="shared" si="10"/>
        <v>2.8081156877011518E-5</v>
      </c>
      <c r="U88" s="9">
        <f t="shared" si="11"/>
        <v>3.9804090589243172E-5</v>
      </c>
      <c r="V88" s="100">
        <f t="shared" si="14"/>
        <v>0.70548419675741292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285</v>
      </c>
      <c r="C89" s="46" t="s">
        <v>286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3.7336026484154294E-2</v>
      </c>
      <c r="J89" s="54">
        <f t="shared" si="34"/>
        <v>0.51886105197848853</v>
      </c>
      <c r="K89" s="55">
        <f t="shared" si="35"/>
        <v>0.91093658344019846</v>
      </c>
      <c r="L89" s="55">
        <f t="shared" si="36"/>
        <v>2.1169116257003444E-3</v>
      </c>
      <c r="M89" s="55">
        <f t="shared" si="19"/>
        <v>0.99788308837429962</v>
      </c>
      <c r="N89" s="55">
        <f t="shared" si="37"/>
        <v>3.9571846768806111E-4</v>
      </c>
      <c r="O89" s="56">
        <f t="shared" si="21"/>
        <v>9.1632078069259429E-7</v>
      </c>
      <c r="P89" s="56">
        <f t="shared" si="38"/>
        <v>3.0262763769119076E-6</v>
      </c>
      <c r="Q89" s="56">
        <f t="shared" si="39"/>
        <v>1.8856927172163942E-5</v>
      </c>
      <c r="R89" s="9">
        <f t="shared" si="12"/>
        <v>3.9999999999999996E-5</v>
      </c>
      <c r="S89" s="9">
        <f t="shared" si="13"/>
        <v>8.4676465028013764E-8</v>
      </c>
      <c r="T89" s="9">
        <f t="shared" si="10"/>
        <v>3.6437463337607936E-5</v>
      </c>
      <c r="U89" s="9">
        <f t="shared" si="11"/>
        <v>3.9915323534971979E-5</v>
      </c>
      <c r="V89" s="100">
        <f t="shared" si="14"/>
        <v>0.91286904653755585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287</v>
      </c>
      <c r="C90" s="46" t="s">
        <v>288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1.290009012521746E-3</v>
      </c>
      <c r="J90" s="54">
        <f t="shared" si="34"/>
        <v>2.318135879654076E-2</v>
      </c>
      <c r="K90" s="55">
        <f t="shared" si="35"/>
        <v>0.99113974894068069</v>
      </c>
      <c r="L90" s="55">
        <f t="shared" si="36"/>
        <v>7.3564753581233675E-4</v>
      </c>
      <c r="M90" s="55">
        <f t="shared" si="19"/>
        <v>0.99926435246418766</v>
      </c>
      <c r="N90" s="55">
        <f t="shared" si="37"/>
        <v>1.4150958206197766E-5</v>
      </c>
      <c r="O90" s="56">
        <f t="shared" si="21"/>
        <v>9.9699799638621979E-7</v>
      </c>
      <c r="P90" s="56">
        <f t="shared" si="38"/>
        <v>1.0516606986962935E-6</v>
      </c>
      <c r="Q90" s="56">
        <f t="shared" si="39"/>
        <v>6.7432685128295743E-7</v>
      </c>
      <c r="R90" s="9">
        <f t="shared" si="12"/>
        <v>3.9999999999999996E-5</v>
      </c>
      <c r="S90" s="9">
        <f t="shared" si="13"/>
        <v>2.9425901432493468E-8</v>
      </c>
      <c r="T90" s="9">
        <f t="shared" si="10"/>
        <v>3.9645589957627222E-5</v>
      </c>
      <c r="U90" s="9">
        <f t="shared" si="11"/>
        <v>3.9970574098567505E-5</v>
      </c>
      <c r="V90" s="100">
        <f t="shared" si="14"/>
        <v>0.99186941523184358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289</v>
      </c>
      <c r="C91" s="46" t="s">
        <v>290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-2.2961926676165657E-4</v>
      </c>
      <c r="J91" s="54">
        <f t="shared" si="34"/>
        <v>-1.1579999958037488E-2</v>
      </c>
      <c r="K91" s="55">
        <f t="shared" si="35"/>
        <v>0.9946678121124698</v>
      </c>
      <c r="L91" s="55">
        <f t="shared" si="36"/>
        <v>6.8147761758927887E-4</v>
      </c>
      <c r="M91" s="55">
        <f t="shared" si="19"/>
        <v>0.9993185223824107</v>
      </c>
      <c r="N91" s="55">
        <f t="shared" si="37"/>
        <v>6.4500106473135092E-6</v>
      </c>
      <c r="O91" s="56">
        <f t="shared" si="21"/>
        <v>1.0005469125881552E-6</v>
      </c>
      <c r="P91" s="56">
        <f t="shared" si="38"/>
        <v>9.7422093131655944E-7</v>
      </c>
      <c r="Q91" s="56">
        <f t="shared" si="39"/>
        <v>3.0735836451269662E-7</v>
      </c>
      <c r="R91" s="9">
        <f t="shared" si="12"/>
        <v>3.9999999999999996E-5</v>
      </c>
      <c r="S91" s="9">
        <f t="shared" si="13"/>
        <v>2.7259104703571152E-8</v>
      </c>
      <c r="T91" s="9">
        <f t="shared" si="10"/>
        <v>3.9786712484498789E-5</v>
      </c>
      <c r="U91" s="9">
        <f t="shared" si="11"/>
        <v>3.9972740895296424E-5</v>
      </c>
      <c r="V91" s="100">
        <f t="shared" si="14"/>
        <v>0.99534611821378693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291</v>
      </c>
      <c r="C92" s="46" t="s">
        <v>292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4.7346378220411142E-2</v>
      </c>
      <c r="J92" s="54">
        <f t="shared" si="34"/>
        <v>0.60280413004727795</v>
      </c>
      <c r="K92" s="55">
        <f t="shared" si="35"/>
        <v>0.88983033173784998</v>
      </c>
      <c r="L92" s="55">
        <f t="shared" si="36"/>
        <v>2.508793222521578E-3</v>
      </c>
      <c r="M92" s="55">
        <f t="shared" si="19"/>
        <v>0.99749120677747838</v>
      </c>
      <c r="N92" s="55">
        <f t="shared" si="37"/>
        <v>5.3525945194165202E-4</v>
      </c>
      <c r="O92" s="56">
        <f t="shared" si="21"/>
        <v>8.9508977802021105E-7</v>
      </c>
      <c r="P92" s="56">
        <f t="shared" si="38"/>
        <v>3.5864991111104892E-6</v>
      </c>
      <c r="Q92" s="56">
        <f t="shared" si="39"/>
        <v>2.550638731228625E-5</v>
      </c>
      <c r="R92" s="9">
        <f t="shared" si="12"/>
        <v>3.9999999999999996E-5</v>
      </c>
      <c r="S92" s="9">
        <f t="shared" si="13"/>
        <v>1.0035172890086311E-7</v>
      </c>
      <c r="T92" s="9">
        <f t="shared" ref="T92:T143" si="40">R92*K92</f>
        <v>3.5593213269513997E-5</v>
      </c>
      <c r="U92" s="9">
        <f t="shared" ref="U92:U143" si="41">$R92*M92</f>
        <v>3.9899648271099134E-5</v>
      </c>
      <c r="V92" s="100">
        <f t="shared" si="14"/>
        <v>0.89206834676022806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293</v>
      </c>
      <c r="C93" s="46" t="s">
        <v>294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-1.6947243885858597E-4</v>
      </c>
      <c r="J93" s="54">
        <f t="shared" si="34"/>
        <v>-1.0168457529068075E-2</v>
      </c>
      <c r="K93" s="55">
        <f t="shared" si="35"/>
        <v>0.9945279546964203</v>
      </c>
      <c r="L93" s="55">
        <f t="shared" si="36"/>
        <v>6.8360002461133383E-4</v>
      </c>
      <c r="M93" s="55">
        <f t="shared" ref="M93:M127" si="42">IF(D93=0,"",1-L93)</f>
        <v>0.99931639997538868</v>
      </c>
      <c r="N93" s="55">
        <f t="shared" si="37"/>
        <v>6.7208775469016479E-6</v>
      </c>
      <c r="O93" s="56">
        <f t="shared" ref="O93:O127" si="43">IF(D93=0,"",F93*K93*$J$7/$J$14)</f>
        <v>1.0004062285284852E-6</v>
      </c>
      <c r="P93" s="56">
        <f t="shared" si="38"/>
        <v>9.7725506375508783E-7</v>
      </c>
      <c r="Q93" s="56">
        <f t="shared" si="39"/>
        <v>3.2026581719926092E-7</v>
      </c>
      <c r="R93" s="9">
        <f t="shared" ref="R93:R143" si="44">F93*$C$14</f>
        <v>3.9999999999999996E-5</v>
      </c>
      <c r="S93" s="9">
        <f t="shared" ref="S93:S143" si="45">$R93*L93</f>
        <v>2.7344000984453352E-8</v>
      </c>
      <c r="T93" s="9">
        <f t="shared" si="40"/>
        <v>3.978111818785681E-5</v>
      </c>
      <c r="U93" s="9">
        <f t="shared" si="41"/>
        <v>3.9972655999015542E-5</v>
      </c>
      <c r="V93" s="100">
        <f t="shared" ref="V93:V143" si="46">K93/M93</f>
        <v>0.9952082791005068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295</v>
      </c>
      <c r="C94" s="46" t="s">
        <v>296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-1.6675027667828724E-3</v>
      </c>
      <c r="J94" s="54">
        <f t="shared" si="34"/>
        <v>-4.6114351669366088E-2</v>
      </c>
      <c r="K94" s="55">
        <f t="shared" si="35"/>
        <v>0.9980163697433716</v>
      </c>
      <c r="L94" s="55">
        <f t="shared" si="36"/>
        <v>6.3150507537359406E-4</v>
      </c>
      <c r="M94" s="55">
        <f t="shared" si="42"/>
        <v>0.99936849492462643</v>
      </c>
      <c r="N94" s="55">
        <f t="shared" si="37"/>
        <v>1.1273544512149272E-6</v>
      </c>
      <c r="O94" s="56">
        <f t="shared" si="43"/>
        <v>1.0039152622607023E-6</v>
      </c>
      <c r="P94" s="56">
        <f t="shared" si="38"/>
        <v>9.0278161275193662E-7</v>
      </c>
      <c r="Q94" s="56">
        <f t="shared" si="39"/>
        <v>5.3721123777656076E-8</v>
      </c>
      <c r="R94" s="9">
        <f t="shared" si="44"/>
        <v>3.9999999999999996E-5</v>
      </c>
      <c r="S94" s="9">
        <f t="shared" si="45"/>
        <v>2.526020301494376E-8</v>
      </c>
      <c r="T94" s="9">
        <f t="shared" si="40"/>
        <v>3.9920654789734861E-5</v>
      </c>
      <c r="U94" s="9">
        <f t="shared" si="41"/>
        <v>3.9974739796985052E-5</v>
      </c>
      <c r="V94" s="100">
        <f t="shared" si="46"/>
        <v>0.99864702040526421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297</v>
      </c>
      <c r="C95" s="46" t="s">
        <v>298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1.9022995281384409</v>
      </c>
      <c r="J95" s="54">
        <f t="shared" si="34"/>
        <v>3.6125247697901655</v>
      </c>
      <c r="K95" s="55">
        <f t="shared" si="35"/>
        <v>1.2025945024351951E-2</v>
      </c>
      <c r="L95" s="55">
        <f t="shared" si="36"/>
        <v>3.4673486739313031E-2</v>
      </c>
      <c r="M95" s="55">
        <f t="shared" si="42"/>
        <v>0.96532651326068697</v>
      </c>
      <c r="N95" s="55">
        <f t="shared" si="37"/>
        <v>2.8207460174293403E-2</v>
      </c>
      <c r="O95" s="56">
        <f t="shared" si="43"/>
        <v>1.2097025779406319E-8</v>
      </c>
      <c r="P95" s="56">
        <f t="shared" si="38"/>
        <v>4.9568225971472217E-5</v>
      </c>
      <c r="Q95" s="56">
        <f t="shared" si="39"/>
        <v>1.3441526379245432E-3</v>
      </c>
      <c r="R95" s="9">
        <f t="shared" si="44"/>
        <v>3.9999999999999996E-5</v>
      </c>
      <c r="S95" s="9">
        <f t="shared" si="45"/>
        <v>1.3869394695725211E-6</v>
      </c>
      <c r="T95" s="9">
        <f t="shared" si="40"/>
        <v>4.8103780097407797E-7</v>
      </c>
      <c r="U95" s="9">
        <f t="shared" si="41"/>
        <v>3.8613060530427477E-5</v>
      </c>
      <c r="V95" s="100">
        <f t="shared" si="46"/>
        <v>1.2457903993261955E-2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299</v>
      </c>
      <c r="C96" s="46" t="s">
        <v>212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-2.2554890834977572E-3</v>
      </c>
      <c r="J96" s="54">
        <f t="shared" si="34"/>
        <v>-6.0480673179556473E-2</v>
      </c>
      <c r="K96" s="55">
        <f t="shared" si="35"/>
        <v>0.9993881962121226</v>
      </c>
      <c r="L96" s="55">
        <f t="shared" si="36"/>
        <v>6.117966219827168E-4</v>
      </c>
      <c r="M96" s="55">
        <f t="shared" si="42"/>
        <v>0.99938820337801726</v>
      </c>
      <c r="N96" s="55">
        <f t="shared" si="37"/>
        <v>3.5992250483729985E-14</v>
      </c>
      <c r="O96" s="56">
        <f t="shared" si="43"/>
        <v>1.0052951970702952E-6</v>
      </c>
      <c r="P96" s="56">
        <f t="shared" si="38"/>
        <v>8.746069708830068E-7</v>
      </c>
      <c r="Q96" s="56">
        <f t="shared" si="39"/>
        <v>1.7151164313842188E-15</v>
      </c>
      <c r="R96" s="9">
        <f t="shared" si="44"/>
        <v>3.9999999999999996E-5</v>
      </c>
      <c r="S96" s="9">
        <f t="shared" si="45"/>
        <v>2.447186487930867E-8</v>
      </c>
      <c r="T96" s="9">
        <f t="shared" si="40"/>
        <v>3.9975527848484902E-5</v>
      </c>
      <c r="U96" s="9">
        <f t="shared" si="41"/>
        <v>3.9975528135120688E-5</v>
      </c>
      <c r="V96" s="100">
        <f t="shared" si="46"/>
        <v>0.99999999282971863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300</v>
      </c>
      <c r="C97" s="46" t="s">
        <v>213</v>
      </c>
      <c r="D97" s="47" t="s">
        <v>301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3.9999999999999996E-5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302</v>
      </c>
      <c r="C98" s="46" t="s">
        <v>214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2.2410131712935462</v>
      </c>
      <c r="J98" s="54">
        <f t="shared" si="34"/>
        <v>3.602246950416589</v>
      </c>
      <c r="K98" s="55">
        <f t="shared" si="35"/>
        <v>5.6208592323223885E-3</v>
      </c>
      <c r="L98" s="55">
        <f t="shared" si="36"/>
        <v>1.5827167249300257E-2</v>
      </c>
      <c r="M98" s="55">
        <f t="shared" si="42"/>
        <v>0.98417283275069978</v>
      </c>
      <c r="N98" s="55">
        <f t="shared" si="37"/>
        <v>2.1099759054993639E-3</v>
      </c>
      <c r="O98" s="56">
        <f t="shared" si="43"/>
        <v>5.6540819784332989E-9</v>
      </c>
      <c r="P98" s="56">
        <f t="shared" si="38"/>
        <v>2.2626066094821124E-5</v>
      </c>
      <c r="Q98" s="56">
        <f t="shared" si="39"/>
        <v>1.0054537564920064E-4</v>
      </c>
      <c r="R98" s="9">
        <f t="shared" si="44"/>
        <v>3.9999999999999996E-5</v>
      </c>
      <c r="S98" s="9">
        <f t="shared" si="45"/>
        <v>6.3308668997201024E-7</v>
      </c>
      <c r="T98" s="9">
        <f t="shared" si="40"/>
        <v>2.2483436929289552E-7</v>
      </c>
      <c r="U98" s="9">
        <f t="shared" si="41"/>
        <v>3.936691331002799E-5</v>
      </c>
      <c r="V98" s="100">
        <f t="shared" si="46"/>
        <v>5.7112521757102849E-3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303</v>
      </c>
      <c r="C99" s="46" t="s">
        <v>215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0.63542458371912058</v>
      </c>
      <c r="J99" s="54">
        <f t="shared" si="34"/>
        <v>1.873589036848633</v>
      </c>
      <c r="K99" s="55">
        <f t="shared" si="35"/>
        <v>0.22755731037588883</v>
      </c>
      <c r="L99" s="55">
        <f t="shared" si="36"/>
        <v>1.1968324643695585E-2</v>
      </c>
      <c r="M99" s="55">
        <f t="shared" si="42"/>
        <v>0.98803167535630443</v>
      </c>
      <c r="N99" s="55">
        <f t="shared" si="37"/>
        <v>1.0036113840125671E-3</v>
      </c>
      <c r="O99" s="56">
        <f t="shared" si="43"/>
        <v>2.2890231448216958E-7</v>
      </c>
      <c r="P99" s="56">
        <f t="shared" si="38"/>
        <v>1.7109574958494533E-5</v>
      </c>
      <c r="Q99" s="56">
        <f t="shared" si="39"/>
        <v>4.7824471999113142E-5</v>
      </c>
      <c r="R99" s="9">
        <f t="shared" si="44"/>
        <v>3.9999999999999996E-5</v>
      </c>
      <c r="S99" s="9">
        <f t="shared" si="45"/>
        <v>4.7873298574782334E-7</v>
      </c>
      <c r="T99" s="9">
        <f t="shared" si="40"/>
        <v>9.1022924150355519E-6</v>
      </c>
      <c r="U99" s="9">
        <f t="shared" si="41"/>
        <v>3.9521267014252177E-5</v>
      </c>
      <c r="V99" s="100">
        <f t="shared" si="46"/>
        <v>0.23031378047047632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304</v>
      </c>
      <c r="C100" s="46" t="s">
        <v>216</v>
      </c>
      <c r="D100" s="47" t="s">
        <v>301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3.9999999999999996E-5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305</v>
      </c>
      <c r="C101" s="46" t="s">
        <v>217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1.8939169904293498</v>
      </c>
      <c r="J101" s="54">
        <f t="shared" si="34"/>
        <v>3.2266263303607148</v>
      </c>
      <c r="K101" s="55">
        <f t="shared" si="35"/>
        <v>1.2512268758906226E-2</v>
      </c>
      <c r="L101" s="55">
        <f t="shared" si="36"/>
        <v>1.4835969330721288E-2</v>
      </c>
      <c r="M101" s="55">
        <f t="shared" si="42"/>
        <v>0.98516403066927871</v>
      </c>
      <c r="N101" s="55">
        <f t="shared" si="37"/>
        <v>8.7460277552715404E-4</v>
      </c>
      <c r="O101" s="56">
        <f t="shared" si="43"/>
        <v>1.2586223987291632E-8</v>
      </c>
      <c r="P101" s="56">
        <f t="shared" si="38"/>
        <v>2.1209077870361136E-5</v>
      </c>
      <c r="Q101" s="56">
        <f t="shared" si="39"/>
        <v>4.1676904641429663E-5</v>
      </c>
      <c r="R101" s="9">
        <f t="shared" si="44"/>
        <v>3.9999999999999996E-5</v>
      </c>
      <c r="S101" s="9">
        <f t="shared" si="45"/>
        <v>5.9343877322885152E-7</v>
      </c>
      <c r="T101" s="9">
        <f t="shared" si="40"/>
        <v>5.0049075035624895E-7</v>
      </c>
      <c r="U101" s="9">
        <f t="shared" si="41"/>
        <v>3.9406561226771147E-5</v>
      </c>
      <c r="V101" s="100">
        <f t="shared" si="46"/>
        <v>1.2700695893663435E-2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306</v>
      </c>
      <c r="C102" s="46" t="s">
        <v>218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1.1527504756067957</v>
      </c>
      <c r="J102" s="54">
        <f t="shared" si="34"/>
        <v>2.4413697323088819</v>
      </c>
      <c r="K102" s="55">
        <f t="shared" si="35"/>
        <v>6.9043855713748145E-2</v>
      </c>
      <c r="L102" s="55">
        <f t="shared" si="36"/>
        <v>1.342296014899835E-2</v>
      </c>
      <c r="M102" s="55">
        <f t="shared" si="42"/>
        <v>0.98657703985100165</v>
      </c>
      <c r="N102" s="55">
        <f t="shared" si="37"/>
        <v>1.6722429920133939E-9</v>
      </c>
      <c r="O102" s="56">
        <f t="shared" si="43"/>
        <v>6.9451947500801915E-8</v>
      </c>
      <c r="P102" s="56">
        <f t="shared" si="38"/>
        <v>1.9189080315860925E-5</v>
      </c>
      <c r="Q102" s="56">
        <f t="shared" si="39"/>
        <v>7.9686360100371586E-11</v>
      </c>
      <c r="R102" s="9">
        <f t="shared" si="44"/>
        <v>3.9999999999999996E-5</v>
      </c>
      <c r="S102" s="9">
        <f t="shared" si="45"/>
        <v>5.3691840595993392E-7</v>
      </c>
      <c r="T102" s="9">
        <f t="shared" si="40"/>
        <v>2.7617542285499255E-6</v>
      </c>
      <c r="U102" s="9">
        <f t="shared" si="41"/>
        <v>3.9463081594040062E-5</v>
      </c>
      <c r="V102" s="100">
        <f t="shared" si="46"/>
        <v>6.9983237927547487E-2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307</v>
      </c>
      <c r="C103" s="46" t="s">
        <v>219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2.1741441801583692</v>
      </c>
      <c r="J103" s="54">
        <f t="shared" si="34"/>
        <v>3.4901223288361956</v>
      </c>
      <c r="K103" s="55">
        <f t="shared" si="35"/>
        <v>6.5667796809306322E-3</v>
      </c>
      <c r="L103" s="55">
        <f t="shared" si="36"/>
        <v>1.428329173661979E-2</v>
      </c>
      <c r="M103" s="55">
        <f t="shared" si="42"/>
        <v>0.9857167082633802</v>
      </c>
      <c r="N103" s="55">
        <f t="shared" si="37"/>
        <v>2.6523253369512546E-9</v>
      </c>
      <c r="O103" s="56">
        <f t="shared" si="43"/>
        <v>6.6055934005219865E-9</v>
      </c>
      <c r="P103" s="56">
        <f t="shared" si="38"/>
        <v>2.0418985772622029E-5</v>
      </c>
      <c r="Q103" s="56">
        <f t="shared" si="39"/>
        <v>1.2638961736605337E-10</v>
      </c>
      <c r="R103" s="9">
        <f t="shared" si="44"/>
        <v>3.9999999999999996E-5</v>
      </c>
      <c r="S103" s="9">
        <f t="shared" si="45"/>
        <v>5.7133166946479158E-7</v>
      </c>
      <c r="T103" s="9">
        <f t="shared" si="40"/>
        <v>2.6267118723722526E-7</v>
      </c>
      <c r="U103" s="9">
        <f t="shared" si="41"/>
        <v>3.9428668330535204E-5</v>
      </c>
      <c r="V103" s="100">
        <f t="shared" si="46"/>
        <v>6.6619340281853182E-3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308</v>
      </c>
      <c r="C104" s="46" t="s">
        <v>220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2.8598242449089666</v>
      </c>
      <c r="J104" s="54">
        <f t="shared" si="34"/>
        <v>4.1995402918091864</v>
      </c>
      <c r="K104" s="55">
        <f t="shared" si="35"/>
        <v>1.3530817240093543E-3</v>
      </c>
      <c r="L104" s="55">
        <f t="shared" si="36"/>
        <v>1.507363004573674E-2</v>
      </c>
      <c r="M104" s="55">
        <f t="shared" si="42"/>
        <v>0.9849263699542633</v>
      </c>
      <c r="N104" s="55">
        <f t="shared" si="37"/>
        <v>9.9037305272768822E-4</v>
      </c>
      <c r="O104" s="56">
        <f t="shared" si="43"/>
        <v>1.3610792718443142E-9</v>
      </c>
      <c r="P104" s="56">
        <f t="shared" si="38"/>
        <v>2.1548830838241099E-5</v>
      </c>
      <c r="Q104" s="56">
        <f t="shared" si="39"/>
        <v>4.7193633993552265E-5</v>
      </c>
      <c r="R104" s="9">
        <f t="shared" si="44"/>
        <v>3.9999999999999996E-5</v>
      </c>
      <c r="S104" s="9">
        <f t="shared" si="45"/>
        <v>6.0294520182946955E-7</v>
      </c>
      <c r="T104" s="9">
        <f t="shared" si="40"/>
        <v>5.4123268960374168E-8</v>
      </c>
      <c r="U104" s="9">
        <f t="shared" si="41"/>
        <v>3.9397054798170527E-5</v>
      </c>
      <c r="V104" s="100">
        <f t="shared" si="46"/>
        <v>1.3737897220400211E-3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309</v>
      </c>
      <c r="C105" s="46" t="s">
        <v>221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2.4867185626172419</v>
      </c>
      <c r="J105" s="54">
        <f t="shared" si="34"/>
        <v>3.9076268809254704</v>
      </c>
      <c r="K105" s="55">
        <f t="shared" si="35"/>
        <v>3.1848285057020291E-3</v>
      </c>
      <c r="L105" s="55">
        <f t="shared" si="36"/>
        <v>1.8116173231622103E-2</v>
      </c>
      <c r="M105" s="55">
        <f t="shared" si="42"/>
        <v>0.98188382676837793</v>
      </c>
      <c r="N105" s="55">
        <f t="shared" si="37"/>
        <v>5.2186820565197026E-3</v>
      </c>
      <c r="O105" s="56">
        <f t="shared" si="43"/>
        <v>3.2036528071973021E-9</v>
      </c>
      <c r="P105" s="56">
        <f t="shared" si="38"/>
        <v>2.5898363646977499E-5</v>
      </c>
      <c r="Q105" s="56">
        <f t="shared" si="39"/>
        <v>2.4868262542663172E-4</v>
      </c>
      <c r="R105" s="9">
        <f t="shared" si="44"/>
        <v>3.9999999999999996E-5</v>
      </c>
      <c r="S105" s="9">
        <f t="shared" si="45"/>
        <v>7.2464692926488403E-7</v>
      </c>
      <c r="T105" s="9">
        <f t="shared" si="40"/>
        <v>1.2739314022808116E-7</v>
      </c>
      <c r="U105" s="9">
        <f t="shared" si="41"/>
        <v>3.9275353070735116E-5</v>
      </c>
      <c r="V105" s="100">
        <f t="shared" si="46"/>
        <v>3.2435899430017967E-3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310</v>
      </c>
      <c r="C106" s="46" t="s">
        <v>222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1.6248833107371423</v>
      </c>
      <c r="J106" s="54">
        <f t="shared" si="34"/>
        <v>2.9426988771188993</v>
      </c>
      <c r="K106" s="55">
        <f t="shared" si="35"/>
        <v>2.3258784560512866E-2</v>
      </c>
      <c r="L106" s="55">
        <f t="shared" si="36"/>
        <v>1.4342981072068453E-2</v>
      </c>
      <c r="M106" s="55">
        <f t="shared" si="42"/>
        <v>0.98565701892793156</v>
      </c>
      <c r="N106" s="55">
        <f t="shared" si="37"/>
        <v>3.9908169020837599E-4</v>
      </c>
      <c r="O106" s="56">
        <f t="shared" si="43"/>
        <v>2.3396258327843456E-8</v>
      </c>
      <c r="P106" s="56">
        <f t="shared" si="38"/>
        <v>2.0504315941169862E-5</v>
      </c>
      <c r="Q106" s="56">
        <f t="shared" si="39"/>
        <v>1.9017192732929613E-5</v>
      </c>
      <c r="R106" s="9">
        <f t="shared" si="44"/>
        <v>3.9999999999999996E-5</v>
      </c>
      <c r="S106" s="9">
        <f t="shared" si="45"/>
        <v>5.7371924288273807E-7</v>
      </c>
      <c r="T106" s="9">
        <f t="shared" si="40"/>
        <v>9.3035138242051454E-7</v>
      </c>
      <c r="U106" s="9">
        <f t="shared" si="41"/>
        <v>3.942628075711726E-5</v>
      </c>
      <c r="V106" s="100">
        <f t="shared" si="46"/>
        <v>2.3597239317395338E-2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311</v>
      </c>
      <c r="C107" s="46" t="s">
        <v>223</v>
      </c>
      <c r="D107" s="47" t="s">
        <v>301</v>
      </c>
      <c r="E107" s="47" t="s">
        <v>312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3.9999999999999996E-5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313</v>
      </c>
      <c r="C108" s="46" t="s">
        <v>224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2.3046271115114854</v>
      </c>
      <c r="J108" s="54">
        <f t="shared" si="34"/>
        <v>3.651216126776069</v>
      </c>
      <c r="K108" s="55">
        <f t="shared" si="35"/>
        <v>4.8575440692051183E-3</v>
      </c>
      <c r="L108" s="55">
        <f t="shared" si="36"/>
        <v>1.5310395455790004E-2</v>
      </c>
      <c r="M108" s="55">
        <f t="shared" si="42"/>
        <v>0.98468960454420995</v>
      </c>
      <c r="N108" s="55">
        <f t="shared" si="37"/>
        <v>1.3832208806430276E-3</v>
      </c>
      <c r="O108" s="56">
        <f t="shared" si="43"/>
        <v>4.8862551517395726E-9</v>
      </c>
      <c r="P108" s="56">
        <f t="shared" si="38"/>
        <v>2.1887303903727222E-5</v>
      </c>
      <c r="Q108" s="56">
        <f t="shared" si="39"/>
        <v>6.5913768345689418E-5</v>
      </c>
      <c r="R108" s="9">
        <f t="shared" si="44"/>
        <v>3.9999999999999996E-5</v>
      </c>
      <c r="S108" s="9">
        <f t="shared" si="45"/>
        <v>6.1241581823160014E-7</v>
      </c>
      <c r="T108" s="9">
        <f t="shared" si="40"/>
        <v>1.9430176276820472E-7</v>
      </c>
      <c r="U108" s="9">
        <f t="shared" si="41"/>
        <v>3.9387584181768397E-5</v>
      </c>
      <c r="V108" s="100">
        <f t="shared" si="46"/>
        <v>4.9330713422668484E-3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314</v>
      </c>
      <c r="C109" s="46" t="s">
        <v>225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2.5263589248425813</v>
      </c>
      <c r="J109" s="54">
        <f t="shared" si="34"/>
        <v>3.926316338483836</v>
      </c>
      <c r="K109" s="55">
        <f t="shared" si="35"/>
        <v>2.90948678102487E-3</v>
      </c>
      <c r="L109" s="55">
        <f t="shared" si="36"/>
        <v>1.7277713134816422E-2</v>
      </c>
      <c r="M109" s="55">
        <f t="shared" si="42"/>
        <v>0.98272228686518359</v>
      </c>
      <c r="N109" s="55">
        <f t="shared" si="37"/>
        <v>4.0578050219180128E-3</v>
      </c>
      <c r="O109" s="56">
        <f t="shared" si="43"/>
        <v>2.9266836430425475E-9</v>
      </c>
      <c r="P109" s="56">
        <f t="shared" si="38"/>
        <v>2.4699725048586845E-5</v>
      </c>
      <c r="Q109" s="56">
        <f t="shared" si="39"/>
        <v>1.933640707349217E-4</v>
      </c>
      <c r="R109" s="9">
        <f t="shared" si="44"/>
        <v>3.9999999999999996E-5</v>
      </c>
      <c r="S109" s="9">
        <f t="shared" si="45"/>
        <v>6.9110852539265678E-7</v>
      </c>
      <c r="T109" s="9">
        <f t="shared" si="40"/>
        <v>1.1637947124099478E-7</v>
      </c>
      <c r="U109" s="9">
        <f t="shared" si="41"/>
        <v>3.930889147460734E-5</v>
      </c>
      <c r="V109" s="100">
        <f t="shared" si="46"/>
        <v>2.9606398673484168E-3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204</v>
      </c>
      <c r="C110" s="46" t="s">
        <v>205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0.92627477267552383</v>
      </c>
      <c r="J110" s="54">
        <f t="shared" si="34"/>
        <v>2.1945288490758386</v>
      </c>
      <c r="K110" s="55">
        <f t="shared" si="35"/>
        <v>0.11637719145461989</v>
      </c>
      <c r="L110" s="55">
        <f t="shared" si="36"/>
        <v>1.2815933739990203E-2</v>
      </c>
      <c r="M110" s="55">
        <f t="shared" si="42"/>
        <v>0.98718406626000976</v>
      </c>
      <c r="N110" s="55">
        <f t="shared" si="37"/>
        <v>6.1708168826452017E-5</v>
      </c>
      <c r="O110" s="56">
        <f t="shared" si="43"/>
        <v>1.1706505246038291E-7</v>
      </c>
      <c r="P110" s="56">
        <f t="shared" si="38"/>
        <v>1.8321292705154564E-5</v>
      </c>
      <c r="Q110" s="56">
        <f t="shared" si="39"/>
        <v>2.94054116879193E-6</v>
      </c>
      <c r="R110" s="9">
        <f t="shared" si="44"/>
        <v>3.9999999999999996E-5</v>
      </c>
      <c r="S110" s="9">
        <f t="shared" si="45"/>
        <v>5.1263734959960809E-7</v>
      </c>
      <c r="T110" s="9">
        <f t="shared" si="40"/>
        <v>4.6550876581847951E-6</v>
      </c>
      <c r="U110" s="9">
        <f t="shared" si="41"/>
        <v>3.9487362650400388E-5</v>
      </c>
      <c r="V110" s="100">
        <f t="shared" si="46"/>
        <v>0.1178880367219864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206</v>
      </c>
      <c r="C111" s="46" t="s">
        <v>207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0.75430624695958448</v>
      </c>
      <c r="J111" s="54">
        <f t="shared" si="34"/>
        <v>2.2518750175106685</v>
      </c>
      <c r="K111" s="55">
        <f t="shared" si="35"/>
        <v>0.17138866990217011</v>
      </c>
      <c r="L111" s="55">
        <f t="shared" si="36"/>
        <v>2.1538262123659443E-2</v>
      </c>
      <c r="M111" s="55">
        <f t="shared" si="42"/>
        <v>0.97846173787634061</v>
      </c>
      <c r="N111" s="55">
        <f t="shared" si="37"/>
        <v>1.3127810763676615E-2</v>
      </c>
      <c r="O111" s="56">
        <f t="shared" si="43"/>
        <v>1.7240168268742245E-7</v>
      </c>
      <c r="P111" s="56">
        <f t="shared" si="38"/>
        <v>3.0790484153065717E-5</v>
      </c>
      <c r="Q111" s="56">
        <f t="shared" si="39"/>
        <v>6.2557143958148515E-4</v>
      </c>
      <c r="R111" s="9">
        <f t="shared" si="44"/>
        <v>3.9999999999999996E-5</v>
      </c>
      <c r="S111" s="9">
        <f t="shared" si="45"/>
        <v>8.615304849463776E-7</v>
      </c>
      <c r="T111" s="9">
        <f t="shared" si="40"/>
        <v>6.8555467960868037E-6</v>
      </c>
      <c r="U111" s="9">
        <f t="shared" si="41"/>
        <v>3.9138469515053623E-5</v>
      </c>
      <c r="V111" s="100">
        <f t="shared" si="46"/>
        <v>0.17516134077368536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208</v>
      </c>
      <c r="C112" s="46" t="s">
        <v>209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3.5207953657582807</v>
      </c>
      <c r="J112" s="54">
        <f t="shared" si="34"/>
        <v>5.2755325389810421</v>
      </c>
      <c r="K112" s="55">
        <f t="shared" si="35"/>
        <v>2.8840392111807565E-4</v>
      </c>
      <c r="L112" s="55">
        <f t="shared" si="36"/>
        <v>3.8272535267176826E-2</v>
      </c>
      <c r="M112" s="55">
        <f t="shared" si="42"/>
        <v>0.96172746473282322</v>
      </c>
      <c r="N112" s="55">
        <f t="shared" si="37"/>
        <v>3.2945260634005165E-2</v>
      </c>
      <c r="O112" s="56">
        <f t="shared" si="43"/>
        <v>2.9010856623596057E-10</v>
      </c>
      <c r="P112" s="56">
        <f t="shared" si="38"/>
        <v>5.4713322916948392E-5</v>
      </c>
      <c r="Q112" s="56">
        <f t="shared" si="39"/>
        <v>1.5699201103070938E-3</v>
      </c>
      <c r="R112" s="9">
        <f t="shared" si="44"/>
        <v>3.9999999999999996E-5</v>
      </c>
      <c r="S112" s="9">
        <f t="shared" si="45"/>
        <v>1.530901410687073E-6</v>
      </c>
      <c r="T112" s="9">
        <f t="shared" si="40"/>
        <v>1.1536156844723026E-8</v>
      </c>
      <c r="U112" s="9">
        <f t="shared" si="41"/>
        <v>3.8469098589312922E-5</v>
      </c>
      <c r="V112" s="100">
        <f t="shared" si="46"/>
        <v>2.9988113233118171E-4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210</v>
      </c>
      <c r="C113" s="46" t="s">
        <v>211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3.8666483056990257</v>
      </c>
      <c r="J113" s="54">
        <f t="shared" si="34"/>
        <v>5.6475701029544298</v>
      </c>
      <c r="K113" s="55">
        <f t="shared" si="35"/>
        <v>1.2975271916343577E-4</v>
      </c>
      <c r="L113" s="55">
        <f t="shared" si="36"/>
        <v>4.0554598213782489E-2</v>
      </c>
      <c r="M113" s="55">
        <f t="shared" si="42"/>
        <v>0.95944540178621751</v>
      </c>
      <c r="N113" s="55">
        <f t="shared" si="37"/>
        <v>3.6087621148116387E-2</v>
      </c>
      <c r="O113" s="56">
        <f t="shared" si="43"/>
        <v>1.305196377906055E-10</v>
      </c>
      <c r="P113" s="56">
        <f t="shared" si="38"/>
        <v>5.7975694903617369E-5</v>
      </c>
      <c r="Q113" s="56">
        <f t="shared" si="39"/>
        <v>1.7196610706152415E-3</v>
      </c>
      <c r="R113" s="9">
        <f t="shared" si="44"/>
        <v>3.9999999999999996E-5</v>
      </c>
      <c r="S113" s="9">
        <f t="shared" si="45"/>
        <v>1.6221839285512995E-6</v>
      </c>
      <c r="T113" s="9">
        <f t="shared" si="40"/>
        <v>5.1901087665374303E-9</v>
      </c>
      <c r="U113" s="9">
        <f t="shared" si="41"/>
        <v>3.83778160714487E-5</v>
      </c>
      <c r="V113" s="100">
        <f t="shared" si="46"/>
        <v>1.3523720987340467E-4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107</v>
      </c>
      <c r="C114" s="46" t="s">
        <v>108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4.2676323009395754</v>
      </c>
      <c r="J114" s="54">
        <f t="shared" si="34"/>
        <v>6.0714479293479418</v>
      </c>
      <c r="K114" s="55">
        <f t="shared" si="35"/>
        <v>5.142569385348981E-5</v>
      </c>
      <c r="L114" s="55">
        <f t="shared" si="36"/>
        <v>4.2656146728310064E-2</v>
      </c>
      <c r="M114" s="55">
        <f t="shared" si="42"/>
        <v>0.95734385327168992</v>
      </c>
      <c r="N114" s="55">
        <f t="shared" si="37"/>
        <v>3.8982702808046978E-2</v>
      </c>
      <c r="O114" s="56">
        <f t="shared" si="43"/>
        <v>5.1729651433613374E-11</v>
      </c>
      <c r="P114" s="56">
        <f t="shared" si="38"/>
        <v>6.0980008615742704E-5</v>
      </c>
      <c r="Q114" s="56">
        <f t="shared" si="39"/>
        <v>1.8576186047625052E-3</v>
      </c>
      <c r="R114" s="9">
        <f t="shared" si="44"/>
        <v>3.9999999999999996E-5</v>
      </c>
      <c r="S114" s="9">
        <f t="shared" si="45"/>
        <v>1.7062458691324024E-6</v>
      </c>
      <c r="T114" s="9">
        <f t="shared" si="40"/>
        <v>2.0570277541395923E-9</v>
      </c>
      <c r="U114" s="9">
        <f t="shared" si="41"/>
        <v>3.829375413086759E-5</v>
      </c>
      <c r="V114" s="100">
        <f t="shared" si="46"/>
        <v>5.3717056497249405E-5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109</v>
      </c>
      <c r="C115" s="46" t="s">
        <v>110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2.8686693929579801</v>
      </c>
      <c r="J115" s="54">
        <f t="shared" si="34"/>
        <v>4.6606520517271175</v>
      </c>
      <c r="K115" s="55">
        <f t="shared" si="35"/>
        <v>1.2901532131083789E-3</v>
      </c>
      <c r="L115" s="55">
        <f t="shared" si="36"/>
        <v>4.1557256825937999E-2</v>
      </c>
      <c r="M115" s="55">
        <f t="shared" si="42"/>
        <v>0.95844274317406197</v>
      </c>
      <c r="N115" s="55">
        <f t="shared" si="37"/>
        <v>3.7491611449220912E-2</v>
      </c>
      <c r="O115" s="56">
        <f t="shared" si="43"/>
        <v>1.297778814617272E-9</v>
      </c>
      <c r="P115" s="56">
        <f t="shared" si="38"/>
        <v>5.9409067008165923E-5</v>
      </c>
      <c r="Q115" s="56">
        <f t="shared" si="39"/>
        <v>1.786564551296922E-3</v>
      </c>
      <c r="R115" s="9">
        <f t="shared" si="44"/>
        <v>3.9999999999999996E-5</v>
      </c>
      <c r="S115" s="9">
        <f t="shared" si="45"/>
        <v>1.6622902730375199E-6</v>
      </c>
      <c r="T115" s="9">
        <f t="shared" si="40"/>
        <v>5.1606128524335153E-8</v>
      </c>
      <c r="U115" s="9">
        <f t="shared" si="41"/>
        <v>3.8337709726962478E-5</v>
      </c>
      <c r="V115" s="100">
        <f t="shared" si="46"/>
        <v>1.3460931519349772E-3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226</v>
      </c>
      <c r="C116" s="46" t="s">
        <v>227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-6.405424315775722E-4</v>
      </c>
      <c r="J116" s="54">
        <f t="shared" si="34"/>
        <v>-2.1299825578506845E-2</v>
      </c>
      <c r="K116" s="55">
        <f t="shared" si="35"/>
        <v>0.99562378629326165</v>
      </c>
      <c r="L116" s="55">
        <f t="shared" si="36"/>
        <v>6.6703553445111342E-4</v>
      </c>
      <c r="M116" s="55">
        <f t="shared" si="42"/>
        <v>0.99933296446554887</v>
      </c>
      <c r="N116" s="55">
        <f t="shared" si="37"/>
        <v>4.6885558768337887E-6</v>
      </c>
      <c r="O116" s="56">
        <f t="shared" si="43"/>
        <v>1.0015085371661877E-6</v>
      </c>
      <c r="P116" s="56">
        <f t="shared" si="38"/>
        <v>9.5357494189318482E-7</v>
      </c>
      <c r="Q116" s="56">
        <f t="shared" si="39"/>
        <v>2.2342085075940822E-7</v>
      </c>
      <c r="R116" s="9">
        <f t="shared" si="44"/>
        <v>3.9999999999999996E-5</v>
      </c>
      <c r="S116" s="9">
        <f t="shared" si="45"/>
        <v>2.6681421378044533E-8</v>
      </c>
      <c r="T116" s="9">
        <f t="shared" si="40"/>
        <v>3.9824951451730462E-5</v>
      </c>
      <c r="U116" s="9">
        <f t="shared" si="41"/>
        <v>3.997331857862195E-5</v>
      </c>
      <c r="V116" s="100">
        <f t="shared" si="46"/>
        <v>0.99628834602261829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228</v>
      </c>
      <c r="C117" s="46" t="s">
        <v>229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0.13401854480859055</v>
      </c>
      <c r="J117" s="54">
        <f t="shared" si="34"/>
        <v>1.0476738921027908</v>
      </c>
      <c r="K117" s="55">
        <f t="shared" si="35"/>
        <v>0.72650924363200087</v>
      </c>
      <c r="L117" s="55">
        <f t="shared" si="36"/>
        <v>5.7051697216735147E-3</v>
      </c>
      <c r="M117" s="55">
        <f t="shared" si="42"/>
        <v>0.99429483027832644</v>
      </c>
      <c r="N117" s="55">
        <f t="shared" si="37"/>
        <v>1.8410472354996852E-3</v>
      </c>
      <c r="O117" s="56">
        <f t="shared" si="43"/>
        <v>7.3080336151519198E-7</v>
      </c>
      <c r="P117" s="56">
        <f t="shared" si="38"/>
        <v>8.1559476292552686E-6</v>
      </c>
      <c r="Q117" s="56">
        <f t="shared" si="39"/>
        <v>8.7730284217358811E-5</v>
      </c>
      <c r="R117" s="9">
        <f t="shared" si="44"/>
        <v>3.9999999999999996E-5</v>
      </c>
      <c r="S117" s="9">
        <f t="shared" si="45"/>
        <v>2.2820678886694058E-7</v>
      </c>
      <c r="T117" s="9">
        <f t="shared" si="40"/>
        <v>2.9060369745280034E-5</v>
      </c>
      <c r="U117" s="9">
        <f t="shared" si="41"/>
        <v>3.9771793211133057E-5</v>
      </c>
      <c r="V117" s="100">
        <f t="shared" si="46"/>
        <v>0.73067788497767194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230</v>
      </c>
      <c r="C118" s="46" t="s">
        <v>231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0.76376170277705713</v>
      </c>
      <c r="J118" s="54">
        <f t="shared" si="34"/>
        <v>2.2646182783534416</v>
      </c>
      <c r="K118" s="55">
        <f t="shared" si="35"/>
        <v>0.16767008172945197</v>
      </c>
      <c r="L118" s="55">
        <f t="shared" si="36"/>
        <v>2.1698383794159743E-2</v>
      </c>
      <c r="M118" s="55">
        <f t="shared" si="42"/>
        <v>0.97830161620584022</v>
      </c>
      <c r="N118" s="55">
        <f t="shared" si="37"/>
        <v>1.3277929105441049E-2</v>
      </c>
      <c r="O118" s="56">
        <f t="shared" si="43"/>
        <v>1.6866111536424939E-7</v>
      </c>
      <c r="P118" s="56">
        <f t="shared" si="38"/>
        <v>3.101938951830808E-5</v>
      </c>
      <c r="Q118" s="56">
        <f t="shared" si="39"/>
        <v>6.3272493599118374E-4</v>
      </c>
      <c r="R118" s="9">
        <f t="shared" si="44"/>
        <v>3.9999999999999996E-5</v>
      </c>
      <c r="S118" s="9">
        <f t="shared" si="45"/>
        <v>8.6793535176638969E-7</v>
      </c>
      <c r="T118" s="9">
        <f t="shared" si="40"/>
        <v>6.7068032691780783E-6</v>
      </c>
      <c r="U118" s="9">
        <f t="shared" si="41"/>
        <v>3.9132064648233602E-5</v>
      </c>
      <c r="V118" s="100">
        <f t="shared" si="46"/>
        <v>0.17138894483250372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232</v>
      </c>
      <c r="C119" s="46" t="s">
        <v>233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-2.0389427152517209E-3</v>
      </c>
      <c r="J119" s="54">
        <f t="shared" si="34"/>
        <v>-5.5209452123000199E-2</v>
      </c>
      <c r="K119" s="55">
        <f t="shared" si="35"/>
        <v>0.99888285485301331</v>
      </c>
      <c r="L119" s="55">
        <f t="shared" si="36"/>
        <v>6.1895437766772469E-4</v>
      </c>
      <c r="M119" s="55">
        <f t="shared" si="42"/>
        <v>0.99938104562233232</v>
      </c>
      <c r="N119" s="55">
        <f t="shared" si="37"/>
        <v>2.7432476825700914E-7</v>
      </c>
      <c r="O119" s="56">
        <f t="shared" si="43"/>
        <v>1.0047868688319601E-6</v>
      </c>
      <c r="P119" s="56">
        <f t="shared" si="38"/>
        <v>8.8483949390298867E-7</v>
      </c>
      <c r="Q119" s="56">
        <f t="shared" si="39"/>
        <v>1.3072228361656621E-8</v>
      </c>
      <c r="R119" s="9">
        <f t="shared" si="44"/>
        <v>3.9999999999999996E-5</v>
      </c>
      <c r="S119" s="9">
        <f t="shared" si="45"/>
        <v>2.4758175106708984E-8</v>
      </c>
      <c r="T119" s="9">
        <f t="shared" si="40"/>
        <v>3.9955314194120529E-5</v>
      </c>
      <c r="U119" s="9">
        <f t="shared" si="41"/>
        <v>3.997524182489329E-5</v>
      </c>
      <c r="V119" s="100">
        <f t="shared" si="46"/>
        <v>0.99950150068234611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234</v>
      </c>
      <c r="C120" s="46" t="s">
        <v>235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-2.255492076189E-3</v>
      </c>
      <c r="J120" s="54">
        <f t="shared" si="34"/>
        <v>-6.0480744491014246E-2</v>
      </c>
      <c r="K120" s="55">
        <f t="shared" si="35"/>
        <v>0.99938820319501565</v>
      </c>
      <c r="L120" s="55">
        <f t="shared" si="36"/>
        <v>6.1179652580001665E-4</v>
      </c>
      <c r="M120" s="55">
        <f t="shared" si="42"/>
        <v>0.99938820347419999</v>
      </c>
      <c r="N120" s="55">
        <f t="shared" si="37"/>
        <v>3.5592541953255227E-16</v>
      </c>
      <c r="O120" s="56">
        <f t="shared" si="43"/>
        <v>1.0052952040944612E-6</v>
      </c>
      <c r="P120" s="56">
        <f t="shared" si="38"/>
        <v>8.7460683338296654E-7</v>
      </c>
      <c r="Q120" s="56">
        <f t="shared" si="39"/>
        <v>1.696069368220119E-17</v>
      </c>
      <c r="R120" s="9">
        <f t="shared" si="44"/>
        <v>3.9999999999999996E-5</v>
      </c>
      <c r="S120" s="9">
        <f t="shared" si="45"/>
        <v>2.4471861032000664E-8</v>
      </c>
      <c r="T120" s="9">
        <f t="shared" si="40"/>
        <v>3.9975528127800623E-5</v>
      </c>
      <c r="U120" s="9">
        <f t="shared" si="41"/>
        <v>3.9975528138967993E-5</v>
      </c>
      <c r="V120" s="100">
        <f t="shared" si="46"/>
        <v>0.99999999972064479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236</v>
      </c>
      <c r="C121" s="46" t="s">
        <v>237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1.502652106892244E-2</v>
      </c>
      <c r="J121" s="54">
        <f t="shared" si="34"/>
        <v>0.26737328541626304</v>
      </c>
      <c r="K121" s="55">
        <f t="shared" si="35"/>
        <v>0.95978683715888535</v>
      </c>
      <c r="L121" s="55">
        <f t="shared" si="36"/>
        <v>1.2499758063850949E-3</v>
      </c>
      <c r="M121" s="55">
        <f t="shared" si="42"/>
        <v>0.99875002419361492</v>
      </c>
      <c r="N121" s="55">
        <f t="shared" si="37"/>
        <v>1.2798196990695802E-4</v>
      </c>
      <c r="O121" s="56">
        <f t="shared" si="43"/>
        <v>9.6545976955117172E-7</v>
      </c>
      <c r="P121" s="56">
        <f t="shared" si="38"/>
        <v>1.7869296992136639E-6</v>
      </c>
      <c r="Q121" s="56">
        <f t="shared" si="39"/>
        <v>6.0986455850425194E-6</v>
      </c>
      <c r="R121" s="9">
        <f t="shared" si="44"/>
        <v>3.9999999999999996E-5</v>
      </c>
      <c r="S121" s="9">
        <f t="shared" si="45"/>
        <v>4.9999032255403793E-8</v>
      </c>
      <c r="T121" s="9">
        <f t="shared" si="40"/>
        <v>3.8391473486355408E-5</v>
      </c>
      <c r="U121" s="9">
        <f t="shared" si="41"/>
        <v>3.995000096774459E-5</v>
      </c>
      <c r="V121" s="100">
        <f t="shared" si="46"/>
        <v>0.96098804897032342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238</v>
      </c>
      <c r="C122" s="46" t="s">
        <v>239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3.4865950332654698</v>
      </c>
      <c r="J122" s="54">
        <f t="shared" si="34"/>
        <v>5.3121738751270531</v>
      </c>
      <c r="K122" s="55">
        <f t="shared" si="35"/>
        <v>3.0993204449214365E-4</v>
      </c>
      <c r="L122" s="55">
        <f t="shared" si="36"/>
        <v>4.4750087463095112E-2</v>
      </c>
      <c r="M122" s="55">
        <f t="shared" si="42"/>
        <v>0.95524991253690494</v>
      </c>
      <c r="N122" s="55">
        <f t="shared" si="37"/>
        <v>4.1873691644590531E-2</v>
      </c>
      <c r="O122" s="56">
        <f t="shared" si="43"/>
        <v>3.1176393410193618E-10</v>
      </c>
      <c r="P122" s="56">
        <f t="shared" si="38"/>
        <v>6.3973446463313347E-5</v>
      </c>
      <c r="Q122" s="56">
        <f t="shared" si="39"/>
        <v>1.9953811061305593E-3</v>
      </c>
      <c r="R122" s="9">
        <f t="shared" si="44"/>
        <v>3.9999999999999996E-5</v>
      </c>
      <c r="S122" s="9">
        <f t="shared" si="45"/>
        <v>1.7900034985238043E-6</v>
      </c>
      <c r="T122" s="9">
        <f t="shared" si="40"/>
        <v>1.2397281779685745E-8</v>
      </c>
      <c r="U122" s="9">
        <f t="shared" si="41"/>
        <v>3.8209996501476198E-5</v>
      </c>
      <c r="V122" s="100">
        <f t="shared" si="46"/>
        <v>3.2445126707108678E-4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240</v>
      </c>
      <c r="C123" s="46" t="s">
        <v>241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9.3867444440884892E-2</v>
      </c>
      <c r="J123" s="54">
        <f t="shared" ref="J123:J127" si="48">IF(D123=0,"",LOG($K$21*10^D123+$K$22*10^E123+$K$20))</f>
        <v>0.90660680878543065</v>
      </c>
      <c r="K123" s="55">
        <f t="shared" ref="K123:K127" si="49">IF(D123=0,"",1/(1+10^D123*$J$15/$J$14+10^E123*$J$16/$J$14+10^J123*$J$19/$J$14))</f>
        <v>0.79782252438837886</v>
      </c>
      <c r="L123" s="55">
        <f t="shared" ref="L123:L127" si="50">IF(D123=0,"",1/(1+10^I123/10^J123*$J$13/$J$19))</f>
        <v>4.5275852279590594E-3</v>
      </c>
      <c r="M123" s="55">
        <f t="shared" si="42"/>
        <v>0.99547241477204096</v>
      </c>
      <c r="N123" s="55">
        <f t="shared" ref="N123:N127" si="51">IF(D123=0,"",1/(1/10^E123*$J$20/$J$22+10^D123/10^E123*$J$21/$J$22+10^I123/10^E123*$J$13/$J$22+1))</f>
        <v>1.5714844219093132E-3</v>
      </c>
      <c r="O123" s="56">
        <f t="shared" si="43"/>
        <v>8.0253814776085194E-7</v>
      </c>
      <c r="P123" s="56">
        <f t="shared" ref="P123:P127" si="52">IF(D123=0,"",O123*10^J123)</f>
        <v>6.4725064823123306E-6</v>
      </c>
      <c r="Q123" s="56">
        <f t="shared" ref="Q123:Q127" si="53">IF(D123=0,"",F123*N123*$J$7/$J$22)</f>
        <v>7.4884974333554738E-5</v>
      </c>
      <c r="R123" s="9">
        <f t="shared" si="44"/>
        <v>3.9999999999999996E-5</v>
      </c>
      <c r="S123" s="9">
        <f t="shared" si="45"/>
        <v>1.8110340911836235E-7</v>
      </c>
      <c r="T123" s="9">
        <f t="shared" si="40"/>
        <v>3.1912900975535154E-5</v>
      </c>
      <c r="U123" s="9">
        <f t="shared" si="41"/>
        <v>3.9818896590881634E-5</v>
      </c>
      <c r="V123" s="100">
        <f t="shared" si="46"/>
        <v>0.8014511628341574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242</v>
      </c>
      <c r="C124" s="46" t="s">
        <v>243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0.17110445915344102</v>
      </c>
      <c r="J124" s="54">
        <f t="shared" si="48"/>
        <v>1.0869139815525992</v>
      </c>
      <c r="K124" s="55">
        <f t="shared" si="49"/>
        <v>0.66702622594109306</v>
      </c>
      <c r="L124" s="55">
        <f t="shared" si="50"/>
        <v>5.7333759913476964E-3</v>
      </c>
      <c r="M124" s="55">
        <f t="shared" si="42"/>
        <v>0.99426662400865229</v>
      </c>
      <c r="N124" s="55">
        <f t="shared" si="51"/>
        <v>7.5095462545776714E-4</v>
      </c>
      <c r="O124" s="56">
        <f t="shared" si="43"/>
        <v>6.7096876248894457E-7</v>
      </c>
      <c r="P124" s="56">
        <f t="shared" si="52"/>
        <v>8.1962705064880597E-6</v>
      </c>
      <c r="Q124" s="56">
        <f t="shared" si="53"/>
        <v>3.5784775890266073E-5</v>
      </c>
      <c r="R124" s="9">
        <f t="shared" si="44"/>
        <v>3.9999999999999996E-5</v>
      </c>
      <c r="S124" s="9">
        <f t="shared" si="45"/>
        <v>2.2933503965390784E-7</v>
      </c>
      <c r="T124" s="9">
        <f t="shared" si="40"/>
        <v>2.6681049037643721E-5</v>
      </c>
      <c r="U124" s="9">
        <f t="shared" si="41"/>
        <v>3.9770664960346091E-5</v>
      </c>
      <c r="V124" s="100">
        <f t="shared" si="46"/>
        <v>0.67087259074613015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244</v>
      </c>
      <c r="C125" s="46" t="s">
        <v>245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5.8063156695311677E-3</v>
      </c>
      <c r="J125" s="54">
        <f t="shared" si="48"/>
        <v>0.11008125501635208</v>
      </c>
      <c r="K125" s="55">
        <f t="shared" si="49"/>
        <v>0.98073541238662076</v>
      </c>
      <c r="L125" s="55">
        <f t="shared" si="50"/>
        <v>8.8917377302704151E-4</v>
      </c>
      <c r="M125" s="55">
        <f t="shared" si="42"/>
        <v>0.999110826226973</v>
      </c>
      <c r="N125" s="55">
        <f t="shared" si="51"/>
        <v>2.8285355665713299E-5</v>
      </c>
      <c r="O125" s="56">
        <f t="shared" si="43"/>
        <v>9.8653216378369086E-7</v>
      </c>
      <c r="P125" s="56">
        <f t="shared" si="52"/>
        <v>1.2711374209545149E-6</v>
      </c>
      <c r="Q125" s="56">
        <f t="shared" si="53"/>
        <v>1.347864543556157E-6</v>
      </c>
      <c r="R125" s="9">
        <f t="shared" si="44"/>
        <v>3.9999999999999996E-5</v>
      </c>
      <c r="S125" s="9">
        <f t="shared" si="45"/>
        <v>3.556695092108166E-8</v>
      </c>
      <c r="T125" s="9">
        <f t="shared" si="40"/>
        <v>3.9229416495464826E-5</v>
      </c>
      <c r="U125" s="9">
        <f t="shared" si="41"/>
        <v>3.9964433049078915E-5</v>
      </c>
      <c r="V125" s="100">
        <f t="shared" si="46"/>
        <v>0.98160823268250941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246</v>
      </c>
      <c r="C126" s="46" t="s">
        <v>247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2.4596069923312118</v>
      </c>
      <c r="J126" s="54">
        <f t="shared" si="48"/>
        <v>4.2221364282428242</v>
      </c>
      <c r="K126" s="55">
        <f t="shared" si="49"/>
        <v>3.3180942440871131E-3</v>
      </c>
      <c r="L126" s="55">
        <f t="shared" si="50"/>
        <v>3.8938451595484633E-2</v>
      </c>
      <c r="M126" s="55">
        <f t="shared" si="42"/>
        <v>0.96106154840451541</v>
      </c>
      <c r="N126" s="55">
        <f t="shared" si="51"/>
        <v>3.3920596955439558E-2</v>
      </c>
      <c r="O126" s="56">
        <f t="shared" si="43"/>
        <v>3.3377062283206749E-9</v>
      </c>
      <c r="P126" s="56">
        <f t="shared" si="52"/>
        <v>5.5665297873716405E-5</v>
      </c>
      <c r="Q126" s="56">
        <f t="shared" si="53"/>
        <v>1.6163972082527793E-3</v>
      </c>
      <c r="R126" s="9">
        <f t="shared" si="44"/>
        <v>3.9999999999999996E-5</v>
      </c>
      <c r="S126" s="9">
        <f t="shared" si="45"/>
        <v>1.5575380638193852E-6</v>
      </c>
      <c r="T126" s="9">
        <f t="shared" si="40"/>
        <v>1.327237697634845E-7</v>
      </c>
      <c r="U126" s="9">
        <f t="shared" si="41"/>
        <v>3.8442461936180614E-5</v>
      </c>
      <c r="V126" s="100">
        <f t="shared" si="46"/>
        <v>3.4525304332439187E-3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248</v>
      </c>
      <c r="C127" s="46" t="s">
        <v>249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0.64263545610035988</v>
      </c>
      <c r="J127" s="54">
        <f t="shared" si="48"/>
        <v>2.0965431011809783</v>
      </c>
      <c r="K127" s="55">
        <f t="shared" si="49"/>
        <v>0.22209996072362281</v>
      </c>
      <c r="L127" s="55">
        <f t="shared" si="50"/>
        <v>1.9518440501432158E-2</v>
      </c>
      <c r="M127" s="55">
        <f t="shared" si="42"/>
        <v>0.98048155949856786</v>
      </c>
      <c r="N127" s="55">
        <f t="shared" si="51"/>
        <v>1.1306371499801732E-2</v>
      </c>
      <c r="O127" s="56">
        <f t="shared" si="43"/>
        <v>2.2341270852629552E-7</v>
      </c>
      <c r="P127" s="56">
        <f t="shared" si="52"/>
        <v>2.7903004871118801E-5</v>
      </c>
      <c r="Q127" s="56">
        <f t="shared" si="53"/>
        <v>5.3877552189769489E-4</v>
      </c>
      <c r="R127" s="9">
        <f t="shared" si="44"/>
        <v>3.9999999999999996E-5</v>
      </c>
      <c r="S127" s="9">
        <f t="shared" si="45"/>
        <v>7.807376200572862E-7</v>
      </c>
      <c r="T127" s="9">
        <f t="shared" si="40"/>
        <v>8.8839984289449125E-6</v>
      </c>
      <c r="U127" s="9">
        <f t="shared" si="41"/>
        <v>3.9219262379942709E-5</v>
      </c>
      <c r="V127" s="100">
        <f t="shared" si="46"/>
        <v>0.22652130330447814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250</v>
      </c>
      <c r="C128" s="46" t="s">
        <v>251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1.4450204174697026</v>
      </c>
      <c r="J128" s="54">
        <f t="shared" ref="J128:J134" si="55">IF(D128=0,"",LOG($K$21*10^D128+$K$22*10^E128+$K$20))</f>
        <v>3.0063821040542344</v>
      </c>
      <c r="K128" s="55">
        <f t="shared" ref="K128:K134" si="56">IF(D128=0,"",1/(1+10^D128*$J$15/$J$14+10^E128*$J$16/$J$14+10^J128*$J$19/$J$14))</f>
        <v>3.4816926125211381E-2</v>
      </c>
      <c r="L128" s="55">
        <f t="shared" ref="L128:L134" si="57">IF(D128=0,"",1/(1+10^I128/10^J128*$J$13/$J$19))</f>
        <v>2.4861427546691354E-2</v>
      </c>
      <c r="M128" s="55">
        <f t="shared" ref="M128:M134" si="58">IF(D128=0,"",1-L128)</f>
        <v>0.97513857245330859</v>
      </c>
      <c r="N128" s="55">
        <f t="shared" ref="N128:N134" si="59">IF(D128=0,"",1/(1/10^E128*$J$20/$J$22+10^D128/10^E128*$J$21/$J$22+10^I128/10^E128*$J$13/$J$22+1))</f>
        <v>1.5116046281191292E-2</v>
      </c>
      <c r="O128" s="56">
        <f t="shared" ref="O128:O134" si="60">IF(D128=0,"",F128*K128*$J$7/$J$14)</f>
        <v>3.5022715640516899E-8</v>
      </c>
      <c r="P128" s="56">
        <f t="shared" ref="P128:P134" si="61">IF(D128=0,"",O128*10^J128)</f>
        <v>3.5541186494248637E-5</v>
      </c>
      <c r="Q128" s="56">
        <f t="shared" ref="Q128:Q134" si="62">IF(D128=0,"",F128*N128*$J$7/$J$22)</f>
        <v>7.2031559588514875E-4</v>
      </c>
      <c r="R128" s="9">
        <f t="shared" si="44"/>
        <v>3.9999999999999996E-5</v>
      </c>
      <c r="S128" s="9">
        <f t="shared" si="45"/>
        <v>9.9445710186765406E-7</v>
      </c>
      <c r="T128" s="9">
        <f t="shared" si="40"/>
        <v>1.3926770450084552E-6</v>
      </c>
      <c r="U128" s="9">
        <f t="shared" si="41"/>
        <v>3.9005542898132344E-5</v>
      </c>
      <c r="V128" s="100">
        <f t="shared" si="46"/>
        <v>3.5704593284231381E-2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252</v>
      </c>
      <c r="C129" s="46" t="s">
        <v>253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-2.1401866039787642E-3</v>
      </c>
      <c r="J129" s="54">
        <f t="shared" si="55"/>
        <v>-5.7683865092640584E-2</v>
      </c>
      <c r="K129" s="55">
        <f t="shared" si="56"/>
        <v>0.99911911426854905</v>
      </c>
      <c r="L129" s="55">
        <f t="shared" si="57"/>
        <v>6.1558344918991113E-4</v>
      </c>
      <c r="M129" s="55">
        <f t="shared" si="58"/>
        <v>0.99938441655081012</v>
      </c>
      <c r="N129" s="55">
        <f t="shared" si="59"/>
        <v>1.12298664734974E-7</v>
      </c>
      <c r="O129" s="56">
        <f t="shared" si="60"/>
        <v>1.0050245246864126E-6</v>
      </c>
      <c r="P129" s="56">
        <f t="shared" si="61"/>
        <v>8.8002051086334851E-7</v>
      </c>
      <c r="Q129" s="56">
        <f t="shared" si="62"/>
        <v>5.3512987523946899E-9</v>
      </c>
      <c r="R129" s="9">
        <f t="shared" si="44"/>
        <v>3.9999999999999996E-5</v>
      </c>
      <c r="S129" s="9">
        <f t="shared" si="45"/>
        <v>2.4623337967596444E-8</v>
      </c>
      <c r="T129" s="9">
        <f t="shared" si="40"/>
        <v>3.9964764570741956E-5</v>
      </c>
      <c r="U129" s="9">
        <f t="shared" si="41"/>
        <v>3.9975376662032405E-5</v>
      </c>
      <c r="V129" s="100">
        <f t="shared" si="46"/>
        <v>0.99973453430144854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254</v>
      </c>
      <c r="C130" s="46" t="s">
        <v>255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0.26355542441139918</v>
      </c>
      <c r="J130" s="54">
        <f t="shared" si="55"/>
        <v>1.4315693395149125</v>
      </c>
      <c r="K130" s="55">
        <f t="shared" si="56"/>
        <v>0.53670535518618756</v>
      </c>
      <c r="L130" s="55">
        <f t="shared" si="57"/>
        <v>1.0201377066180049E-2</v>
      </c>
      <c r="M130" s="55">
        <f t="shared" si="58"/>
        <v>0.98979862293381993</v>
      </c>
      <c r="N130" s="55">
        <f t="shared" si="59"/>
        <v>4.4357589276304548E-3</v>
      </c>
      <c r="O130" s="56">
        <f t="shared" si="60"/>
        <v>5.398776149804164E-7</v>
      </c>
      <c r="P130" s="56">
        <f t="shared" si="61"/>
        <v>1.4583597185894822E-5</v>
      </c>
      <c r="Q130" s="56">
        <f t="shared" si="62"/>
        <v>2.1137447423237127E-4</v>
      </c>
      <c r="R130" s="9">
        <f t="shared" si="44"/>
        <v>3.9999999999999996E-5</v>
      </c>
      <c r="S130" s="9">
        <f t="shared" si="45"/>
        <v>4.080550826472019E-7</v>
      </c>
      <c r="T130" s="9">
        <f t="shared" si="40"/>
        <v>2.14682142074475E-5</v>
      </c>
      <c r="U130" s="9">
        <f t="shared" si="41"/>
        <v>3.9591944917352792E-5</v>
      </c>
      <c r="V130" s="100">
        <f t="shared" si="46"/>
        <v>0.5422369184505047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256</v>
      </c>
      <c r="C131" s="46" t="s">
        <v>257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4.79958444939446E-3</v>
      </c>
      <c r="J131" s="54">
        <f t="shared" si="55"/>
        <v>9.6499928315346095E-2</v>
      </c>
      <c r="K131" s="55">
        <f t="shared" si="56"/>
        <v>0.98303642237732447</v>
      </c>
      <c r="L131" s="55">
        <f t="shared" si="57"/>
        <v>8.6381963127575188E-4</v>
      </c>
      <c r="M131" s="55">
        <f t="shared" si="58"/>
        <v>0.9991361803687242</v>
      </c>
      <c r="N131" s="55">
        <f t="shared" si="59"/>
        <v>3.7012155541518329E-5</v>
      </c>
      <c r="O131" s="56">
        <f t="shared" si="60"/>
        <v>9.8884677416315359E-7</v>
      </c>
      <c r="P131" s="56">
        <f t="shared" si="61"/>
        <v>1.234891864310921E-6</v>
      </c>
      <c r="Q131" s="56">
        <f t="shared" si="62"/>
        <v>1.7637173357332091E-6</v>
      </c>
      <c r="R131" s="9">
        <f t="shared" si="44"/>
        <v>3.9999999999999996E-5</v>
      </c>
      <c r="S131" s="9">
        <f t="shared" si="45"/>
        <v>3.4552785251030072E-8</v>
      </c>
      <c r="T131" s="9">
        <f t="shared" si="40"/>
        <v>3.9321456895092972E-5</v>
      </c>
      <c r="U131" s="9">
        <f t="shared" si="41"/>
        <v>3.9965447214748965E-5</v>
      </c>
      <c r="V131" s="100">
        <f t="shared" si="46"/>
        <v>0.98388632269781462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258</v>
      </c>
      <c r="C132" s="46" t="s">
        <v>259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1.6027626042906213E-2</v>
      </c>
      <c r="J132" s="54">
        <f t="shared" si="55"/>
        <v>0.28153514162131194</v>
      </c>
      <c r="K132" s="55">
        <f t="shared" si="56"/>
        <v>0.95754012654680631</v>
      </c>
      <c r="L132" s="55">
        <f t="shared" si="57"/>
        <v>1.2883849894082321E-3</v>
      </c>
      <c r="M132" s="55">
        <f t="shared" si="58"/>
        <v>0.9987116150105918</v>
      </c>
      <c r="N132" s="55">
        <f t="shared" si="59"/>
        <v>1.3827954353928145E-4</v>
      </c>
      <c r="O132" s="56">
        <f t="shared" si="60"/>
        <v>9.6319977949316385E-7</v>
      </c>
      <c r="P132" s="56">
        <f t="shared" si="61"/>
        <v>1.8418383698583117E-6</v>
      </c>
      <c r="Q132" s="56">
        <f t="shared" si="62"/>
        <v>6.5893494866551875E-6</v>
      </c>
      <c r="R132" s="9">
        <f t="shared" si="44"/>
        <v>3.9999999999999996E-5</v>
      </c>
      <c r="S132" s="9">
        <f t="shared" si="45"/>
        <v>5.153539957632928E-8</v>
      </c>
      <c r="T132" s="9">
        <f t="shared" si="40"/>
        <v>3.8301605061872246E-5</v>
      </c>
      <c r="U132" s="9">
        <f t="shared" si="41"/>
        <v>3.9948464600423669E-5</v>
      </c>
      <c r="V132" s="100">
        <f t="shared" si="46"/>
        <v>0.95877539837829073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260</v>
      </c>
      <c r="C133" s="46" t="s">
        <v>261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0.80804902693102654</v>
      </c>
      <c r="J133" s="54">
        <f t="shared" si="55"/>
        <v>2.3235935260819955</v>
      </c>
      <c r="K133" s="55">
        <f t="shared" si="56"/>
        <v>0.15130184293704307</v>
      </c>
      <c r="L133" s="55">
        <f t="shared" si="57"/>
        <v>2.2428037640139054E-2</v>
      </c>
      <c r="M133" s="55">
        <f t="shared" si="58"/>
        <v>0.97757196235986099</v>
      </c>
      <c r="N133" s="55">
        <f t="shared" si="59"/>
        <v>1.397294824451459E-2</v>
      </c>
      <c r="O133" s="56">
        <f t="shared" si="60"/>
        <v>1.5219613018143884E-7</v>
      </c>
      <c r="P133" s="56">
        <f t="shared" si="61"/>
        <v>3.2062481809267368E-5</v>
      </c>
      <c r="Q133" s="56">
        <f t="shared" si="62"/>
        <v>6.6584425277551186E-4</v>
      </c>
      <c r="R133" s="9">
        <f t="shared" si="44"/>
        <v>3.9999999999999996E-5</v>
      </c>
      <c r="S133" s="9">
        <f t="shared" si="45"/>
        <v>8.971215056055621E-7</v>
      </c>
      <c r="T133" s="9">
        <f t="shared" si="40"/>
        <v>6.0520737174817223E-6</v>
      </c>
      <c r="U133" s="9">
        <f t="shared" si="41"/>
        <v>3.9102878494394437E-5</v>
      </c>
      <c r="V133" s="100">
        <f t="shared" si="46"/>
        <v>0.15477309984607177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262</v>
      </c>
      <c r="C134" s="46" t="s">
        <v>263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-2.2190435405287081E-3</v>
      </c>
      <c r="J134" s="54">
        <f t="shared" si="55"/>
        <v>-5.9601857638287271E-2</v>
      </c>
      <c r="K134" s="55">
        <f t="shared" si="56"/>
        <v>0.99930314512698215</v>
      </c>
      <c r="L134" s="55">
        <f t="shared" si="57"/>
        <v>6.1298370368311958E-4</v>
      </c>
      <c r="M134" s="55">
        <f t="shared" si="58"/>
        <v>0.99938701629631688</v>
      </c>
      <c r="N134" s="55">
        <f t="shared" si="59"/>
        <v>2.1913569263116602E-8</v>
      </c>
      <c r="O134" s="56">
        <f t="shared" si="60"/>
        <v>1.0052096432807652E-6</v>
      </c>
      <c r="P134" s="56">
        <f t="shared" si="61"/>
        <v>8.7630398896528239E-7</v>
      </c>
      <c r="Q134" s="56">
        <f t="shared" si="62"/>
        <v>1.0442337505524183E-9</v>
      </c>
      <c r="R134" s="9">
        <f t="shared" si="44"/>
        <v>3.9999999999999996E-5</v>
      </c>
      <c r="S134" s="9">
        <f t="shared" si="45"/>
        <v>2.4519348147324782E-8</v>
      </c>
      <c r="T134" s="9">
        <f t="shared" si="40"/>
        <v>3.9972125805079281E-5</v>
      </c>
      <c r="U134" s="9">
        <f t="shared" si="41"/>
        <v>3.9975480651852672E-5</v>
      </c>
      <c r="V134" s="100">
        <f t="shared" si="46"/>
        <v>0.99991607738747146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264</v>
      </c>
      <c r="C135" s="46" t="s">
        <v>265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2.7672233265732864E-2</v>
      </c>
      <c r="J135" s="54">
        <f t="shared" ref="J135:J143" si="64">IF(D135=0,"",LOG($K$21*10^D135+$K$22*10^E135+$K$20))</f>
        <v>0.42372554518401218</v>
      </c>
      <c r="K135" s="55">
        <f t="shared" ref="K135:K143" si="65">IF(D135=0,"",1/(1+10^D135*$J$15/$J$14+10^E135*$J$16/$J$14+10^J135*$J$19/$J$14))</f>
        <v>0.93178606719946389</v>
      </c>
      <c r="L135" s="55">
        <f t="shared" ref="L135:L143" si="66">IF(D135=0,"",1/(1+10^I135/10^J135*$J$13/$J$19))</f>
        <v>1.7393832743297876E-3</v>
      </c>
      <c r="M135" s="55">
        <f t="shared" ref="M135:M143" si="67">IF(D135=0,"",1-L135)</f>
        <v>0.99826061672567024</v>
      </c>
      <c r="N135" s="55">
        <f t="shared" ref="N135:N143" si="68">IF(D135=0,"",1/(1/10^E135*$J$20/$J$22+10^D135/10^E135*$J$21/$J$22+10^I135/10^E135*$J$13/$J$22+1))</f>
        <v>2.710872122034583E-4</v>
      </c>
      <c r="O135" s="56">
        <f t="shared" ref="O135:O143" si="69">IF(D135=0,"",F135*K135*$J$7/$J$14)</f>
        <v>9.3729349776492584E-7</v>
      </c>
      <c r="P135" s="56">
        <f t="shared" ref="P135:P143" si="70">IF(D135=0,"",O135*10^J135)</f>
        <v>2.4865726323168846E-6</v>
      </c>
      <c r="Q135" s="56">
        <f t="shared" ref="Q135:Q143" si="71">IF(D135=0,"",F135*N135*$J$7/$J$22)</f>
        <v>1.2917951107238129E-5</v>
      </c>
      <c r="R135" s="9">
        <f t="shared" si="44"/>
        <v>3.9999999999999996E-5</v>
      </c>
      <c r="S135" s="9">
        <f t="shared" si="45"/>
        <v>6.9575330973191496E-8</v>
      </c>
      <c r="T135" s="9">
        <f t="shared" si="40"/>
        <v>3.7271442687978549E-5</v>
      </c>
      <c r="U135" s="9">
        <f t="shared" si="41"/>
        <v>3.9930424669026804E-5</v>
      </c>
      <c r="V135" s="100">
        <f t="shared" si="46"/>
        <v>0.93340962428804897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266</v>
      </c>
      <c r="C136" s="46" t="s">
        <v>267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-7.9255891896301502E-4</v>
      </c>
      <c r="J136" s="54">
        <f t="shared" si="64"/>
        <v>-2.4928366809962146E-2</v>
      </c>
      <c r="K136" s="55">
        <f t="shared" si="65"/>
        <v>0.99597764328933458</v>
      </c>
      <c r="L136" s="55">
        <f t="shared" si="66"/>
        <v>6.6172075307783585E-4</v>
      </c>
      <c r="M136" s="55">
        <f t="shared" si="67"/>
        <v>0.9993382792469222</v>
      </c>
      <c r="N136" s="55">
        <f t="shared" si="68"/>
        <v>4.0792795376609185E-6</v>
      </c>
      <c r="O136" s="56">
        <f t="shared" si="69"/>
        <v>1.0018644856754358E-6</v>
      </c>
      <c r="P136" s="56">
        <f t="shared" si="70"/>
        <v>9.4597708229284323E-7</v>
      </c>
      <c r="Q136" s="56">
        <f t="shared" si="71"/>
        <v>1.9438738253987055E-7</v>
      </c>
      <c r="R136" s="9">
        <f t="shared" si="44"/>
        <v>3.9999999999999996E-5</v>
      </c>
      <c r="S136" s="9">
        <f t="shared" si="45"/>
        <v>2.6468830123113432E-8</v>
      </c>
      <c r="T136" s="9">
        <f t="shared" si="40"/>
        <v>3.9839105731573381E-5</v>
      </c>
      <c r="U136" s="9">
        <f t="shared" si="41"/>
        <v>3.9973531169876887E-5</v>
      </c>
      <c r="V136" s="100">
        <f t="shared" si="46"/>
        <v>0.99663713876734505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268</v>
      </c>
      <c r="C137" s="46" t="s">
        <v>269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-2.2515440087297459E-3</v>
      </c>
      <c r="J137" s="54">
        <f t="shared" si="64"/>
        <v>-6.0386215291542894E-2</v>
      </c>
      <c r="K137" s="55">
        <f t="shared" si="65"/>
        <v>0.99937899049980605</v>
      </c>
      <c r="L137" s="55">
        <f t="shared" si="66"/>
        <v>6.119240638856147E-4</v>
      </c>
      <c r="M137" s="55">
        <f t="shared" si="67"/>
        <v>0.99938807593611434</v>
      </c>
      <c r="N137" s="55">
        <f t="shared" si="68"/>
        <v>9.318652946503723E-10</v>
      </c>
      <c r="O137" s="56">
        <f t="shared" si="69"/>
        <v>1.0052859369465389E-6</v>
      </c>
      <c r="P137" s="56">
        <f t="shared" si="70"/>
        <v>8.7478915818619238E-7</v>
      </c>
      <c r="Q137" s="56">
        <f t="shared" si="71"/>
        <v>4.4405600016982268E-11</v>
      </c>
      <c r="R137" s="9">
        <f t="shared" si="44"/>
        <v>3.9999999999999996E-5</v>
      </c>
      <c r="S137" s="9">
        <f t="shared" si="45"/>
        <v>2.4476962555424586E-8</v>
      </c>
      <c r="T137" s="9">
        <f t="shared" si="40"/>
        <v>3.9975159619992241E-5</v>
      </c>
      <c r="U137" s="9">
        <f t="shared" si="41"/>
        <v>3.9975523037444569E-5</v>
      </c>
      <c r="V137" s="100">
        <f t="shared" si="46"/>
        <v>0.99999090900069043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270</v>
      </c>
      <c r="C138" s="46" t="s">
        <v>271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-9.5421953907495261E-4</v>
      </c>
      <c r="J138" s="54">
        <f t="shared" si="64"/>
        <v>-2.8805707133247753E-2</v>
      </c>
      <c r="K138" s="55">
        <f t="shared" si="65"/>
        <v>0.99635406912259339</v>
      </c>
      <c r="L138" s="55">
        <f t="shared" si="66"/>
        <v>6.560871379962445E-4</v>
      </c>
      <c r="M138" s="55">
        <f t="shared" si="67"/>
        <v>0.99934391286200375</v>
      </c>
      <c r="N138" s="55">
        <f t="shared" si="68"/>
        <v>3.4589036790373609E-6</v>
      </c>
      <c r="O138" s="56">
        <f t="shared" si="69"/>
        <v>1.0022431364176225E-6</v>
      </c>
      <c r="P138" s="56">
        <f t="shared" si="70"/>
        <v>9.379234271326314E-7</v>
      </c>
      <c r="Q138" s="56">
        <f t="shared" si="71"/>
        <v>1.6482499579108031E-7</v>
      </c>
      <c r="R138" s="9">
        <f t="shared" si="44"/>
        <v>3.9999999999999996E-5</v>
      </c>
      <c r="S138" s="9">
        <f t="shared" si="45"/>
        <v>2.6243485519849777E-8</v>
      </c>
      <c r="T138" s="9">
        <f t="shared" si="40"/>
        <v>3.9854162764903729E-5</v>
      </c>
      <c r="U138" s="9">
        <f t="shared" si="41"/>
        <v>3.9973756514480148E-5</v>
      </c>
      <c r="V138" s="100">
        <f t="shared" si="46"/>
        <v>0.99700819337474345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272</v>
      </c>
      <c r="C139" s="46" t="s">
        <v>273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2.0637855846763784E-2</v>
      </c>
      <c r="J139" s="54">
        <f t="shared" si="64"/>
        <v>0.32738996440137741</v>
      </c>
      <c r="K139" s="55">
        <f t="shared" si="65"/>
        <v>0.94730757977140012</v>
      </c>
      <c r="L139" s="55">
        <f t="shared" si="66"/>
        <v>1.4165584820127009E-3</v>
      </c>
      <c r="M139" s="55">
        <f t="shared" si="67"/>
        <v>0.99858344151798728</v>
      </c>
      <c r="N139" s="55">
        <f t="shared" si="68"/>
        <v>1.2073072238288457E-4</v>
      </c>
      <c r="O139" s="56">
        <f t="shared" si="69"/>
        <v>9.5290675205287396E-7</v>
      </c>
      <c r="P139" s="56">
        <f t="shared" si="70"/>
        <v>2.0250715327858712E-6</v>
      </c>
      <c r="Q139" s="56">
        <f t="shared" si="71"/>
        <v>5.7531063756453611E-6</v>
      </c>
      <c r="R139" s="9">
        <f t="shared" si="44"/>
        <v>3.9999999999999996E-5</v>
      </c>
      <c r="S139" s="9">
        <f t="shared" si="45"/>
        <v>5.666233928050803E-8</v>
      </c>
      <c r="T139" s="9">
        <f t="shared" si="40"/>
        <v>3.7892303190856003E-5</v>
      </c>
      <c r="U139" s="9">
        <f t="shared" si="41"/>
        <v>3.9943337660719487E-5</v>
      </c>
      <c r="V139" s="100">
        <f t="shared" si="46"/>
        <v>0.94865139995848458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274</v>
      </c>
      <c r="C140" s="46" t="s">
        <v>275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-2.2257476801494347E-3</v>
      </c>
      <c r="J140" s="54">
        <f t="shared" si="64"/>
        <v>-5.9764150402354006E-2</v>
      </c>
      <c r="K140" s="55">
        <f t="shared" si="65"/>
        <v>0.99931879075697017</v>
      </c>
      <c r="L140" s="55">
        <f t="shared" si="66"/>
        <v>6.1276427243918841E-4</v>
      </c>
      <c r="M140" s="55">
        <f t="shared" si="67"/>
        <v>0.99938723572756083</v>
      </c>
      <c r="N140" s="55">
        <f t="shared" si="68"/>
        <v>1.6420312615507599E-8</v>
      </c>
      <c r="O140" s="56">
        <f t="shared" si="69"/>
        <v>1.0052253813860799E-6</v>
      </c>
      <c r="P140" s="56">
        <f t="shared" si="70"/>
        <v>8.7599029632842264E-7</v>
      </c>
      <c r="Q140" s="56">
        <f t="shared" si="71"/>
        <v>7.8246699211135496E-10</v>
      </c>
      <c r="R140" s="9">
        <f t="shared" si="44"/>
        <v>3.9999999999999996E-5</v>
      </c>
      <c r="S140" s="9">
        <f t="shared" si="45"/>
        <v>2.4510570897567534E-8</v>
      </c>
      <c r="T140" s="9">
        <f t="shared" si="40"/>
        <v>3.9972751630278806E-5</v>
      </c>
      <c r="U140" s="9">
        <f t="shared" si="41"/>
        <v>3.9975489429102433E-5</v>
      </c>
      <c r="V140" s="100">
        <f t="shared" si="46"/>
        <v>0.99993151306306127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276</v>
      </c>
      <c r="C141" s="46" t="s">
        <v>277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-2.1814307177209532E-3</v>
      </c>
      <c r="J141" s="54">
        <f t="shared" si="64"/>
        <v>-5.8688658104306464E-2</v>
      </c>
      <c r="K141" s="55">
        <f t="shared" si="65"/>
        <v>0.99921536638150565</v>
      </c>
      <c r="L141" s="55">
        <f t="shared" si="66"/>
        <v>6.1422003483343514E-4</v>
      </c>
      <c r="M141" s="55">
        <f t="shared" si="67"/>
        <v>0.99938577996516653</v>
      </c>
      <c r="N141" s="55">
        <f t="shared" si="68"/>
        <v>5.9937558762940153E-8</v>
      </c>
      <c r="O141" s="56">
        <f t="shared" si="69"/>
        <v>1.005121345708744E-6</v>
      </c>
      <c r="P141" s="56">
        <f t="shared" si="70"/>
        <v>8.7807141265402671E-7</v>
      </c>
      <c r="Q141" s="56">
        <f t="shared" si="71"/>
        <v>2.8561673835273438E-9</v>
      </c>
      <c r="R141" s="9">
        <f t="shared" si="44"/>
        <v>3.9999999999999996E-5</v>
      </c>
      <c r="S141" s="9">
        <f t="shared" si="45"/>
        <v>2.4568801393337404E-8</v>
      </c>
      <c r="T141" s="9">
        <f t="shared" si="40"/>
        <v>3.9968614655260223E-5</v>
      </c>
      <c r="U141" s="9">
        <f t="shared" si="41"/>
        <v>3.9975431198606656E-5</v>
      </c>
      <c r="V141" s="100">
        <f t="shared" si="46"/>
        <v>0.99982948168057106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278</v>
      </c>
      <c r="C142" s="46" t="s">
        <v>279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0.35101699191808489</v>
      </c>
      <c r="J142" s="54">
        <f t="shared" si="64"/>
        <v>1.6178491507428934</v>
      </c>
      <c r="K142" s="55">
        <f t="shared" si="65"/>
        <v>0.43766704485179225</v>
      </c>
      <c r="L142" s="55">
        <f t="shared" si="66"/>
        <v>1.2774577034962056E-2</v>
      </c>
      <c r="M142" s="55">
        <f t="shared" si="67"/>
        <v>0.9872254229650379</v>
      </c>
      <c r="N142" s="55">
        <f t="shared" si="68"/>
        <v>6.1026886571174041E-3</v>
      </c>
      <c r="O142" s="56">
        <f t="shared" si="69"/>
        <v>4.4025392712569958E-7</v>
      </c>
      <c r="P142" s="56">
        <f t="shared" si="70"/>
        <v>1.8262170341266465E-5</v>
      </c>
      <c r="Q142" s="56">
        <f t="shared" si="71"/>
        <v>2.9080764472273269E-4</v>
      </c>
      <c r="R142" s="9">
        <f t="shared" si="44"/>
        <v>3.9999999999999996E-5</v>
      </c>
      <c r="S142" s="9">
        <f t="shared" si="45"/>
        <v>5.109830813984822E-7</v>
      </c>
      <c r="T142" s="9">
        <f t="shared" si="40"/>
        <v>1.7506681794071688E-5</v>
      </c>
      <c r="U142" s="9">
        <f t="shared" si="41"/>
        <v>3.948901691860151E-5</v>
      </c>
      <c r="V142" s="100">
        <f t="shared" si="46"/>
        <v>0.44333040323992146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97</v>
      </c>
      <c r="C143" s="46" t="s">
        <v>280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1.1760432553236648</v>
      </c>
      <c r="J143" s="54">
        <f t="shared" si="64"/>
        <v>2.4798893228116805</v>
      </c>
      <c r="K143" s="55">
        <f t="shared" si="65"/>
        <v>6.5407009378582778E-2</v>
      </c>
      <c r="L143" s="55">
        <f t="shared" si="66"/>
        <v>1.3895275031180439E-2</v>
      </c>
      <c r="M143" s="55">
        <f t="shared" si="67"/>
        <v>0.98610472496881951</v>
      </c>
      <c r="N143" s="55">
        <f t="shared" si="68"/>
        <v>5.8196794162586904E-4</v>
      </c>
      <c r="O143" s="56">
        <f t="shared" si="69"/>
        <v>6.579360515987593E-8</v>
      </c>
      <c r="P143" s="56">
        <f t="shared" si="70"/>
        <v>1.986428817671752E-5</v>
      </c>
      <c r="Q143" s="56">
        <f t="shared" si="71"/>
        <v>2.7732158056428912E-5</v>
      </c>
      <c r="R143" s="9">
        <f t="shared" si="44"/>
        <v>3.9999999999999996E-5</v>
      </c>
      <c r="S143" s="9">
        <f t="shared" si="45"/>
        <v>5.558110012472175E-7</v>
      </c>
      <c r="T143" s="9">
        <f t="shared" si="40"/>
        <v>2.6162803751433111E-6</v>
      </c>
      <c r="U143" s="9">
        <f t="shared" si="41"/>
        <v>3.9444188998752775E-5</v>
      </c>
      <c r="V143" s="100">
        <f t="shared" si="46"/>
        <v>6.6328664413053018E-2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2025-02-02T17:32:28Z</dcterms:modified>
</cp:coreProperties>
</file>