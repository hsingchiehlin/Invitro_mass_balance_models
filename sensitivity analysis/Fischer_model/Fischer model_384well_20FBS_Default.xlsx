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390BD6CA-006B-4CAB-806C-1FF8DC547AB6}" xr6:coauthVersionLast="47" xr6:coauthVersionMax="47" xr10:uidLastSave="{00000000-0000-0000-0000-000000000000}"/>
  <bookViews>
    <workbookView xWindow="43080" yWindow="-120" windowWidth="29040" windowHeight="15720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T131" i="4"/>
  <c r="R131" i="4"/>
  <c r="U131" i="4" s="1"/>
  <c r="V130" i="4"/>
  <c r="R130" i="4"/>
  <c r="V127" i="4"/>
  <c r="U127" i="4"/>
  <c r="R127" i="4"/>
  <c r="T127" i="4" s="1"/>
  <c r="V126" i="4"/>
  <c r="R126" i="4"/>
  <c r="S126" i="4" s="1"/>
  <c r="V124" i="4"/>
  <c r="U124" i="4"/>
  <c r="T124" i="4"/>
  <c r="S124" i="4"/>
  <c r="R124" i="4"/>
  <c r="V121" i="4"/>
  <c r="U121" i="4"/>
  <c r="R121" i="4"/>
  <c r="T121" i="4" s="1"/>
  <c r="V120" i="4"/>
  <c r="R120" i="4"/>
  <c r="V119" i="4"/>
  <c r="U119" i="4"/>
  <c r="T119" i="4"/>
  <c r="S119" i="4"/>
  <c r="R119" i="4"/>
  <c r="V116" i="4"/>
  <c r="R116" i="4"/>
  <c r="U116" i="4" s="1"/>
  <c r="V115" i="4"/>
  <c r="U115" i="4"/>
  <c r="T115" i="4"/>
  <c r="R115" i="4"/>
  <c r="S115" i="4" s="1"/>
  <c r="V114" i="4"/>
  <c r="R114" i="4"/>
  <c r="U114" i="4" s="1"/>
  <c r="V108" i="4"/>
  <c r="T108" i="4"/>
  <c r="R108" i="4"/>
  <c r="U108" i="4" s="1"/>
  <c r="V107" i="4"/>
  <c r="T107" i="4"/>
  <c r="R107" i="4"/>
  <c r="U107" i="4" s="1"/>
  <c r="V93" i="4"/>
  <c r="R93" i="4"/>
  <c r="V92" i="4"/>
  <c r="U92" i="4"/>
  <c r="R92" i="4"/>
  <c r="T92" i="4" s="1"/>
  <c r="V91" i="4"/>
  <c r="R91" i="4"/>
  <c r="U91" i="4" s="1"/>
  <c r="V90" i="4"/>
  <c r="U90" i="4"/>
  <c r="T90" i="4"/>
  <c r="S90" i="4"/>
  <c r="R90" i="4"/>
  <c r="V89" i="4"/>
  <c r="U89" i="4"/>
  <c r="R89" i="4"/>
  <c r="T89" i="4" s="1"/>
  <c r="V88" i="4"/>
  <c r="R88" i="4"/>
  <c r="V86" i="4"/>
  <c r="U86" i="4"/>
  <c r="T86" i="4"/>
  <c r="S86" i="4"/>
  <c r="R86" i="4"/>
  <c r="V85" i="4"/>
  <c r="R85" i="4"/>
  <c r="U85" i="4" s="1"/>
  <c r="V84" i="4"/>
  <c r="U84" i="4"/>
  <c r="T84" i="4"/>
  <c r="R84" i="4"/>
  <c r="S84" i="4" s="1"/>
  <c r="V83" i="4"/>
  <c r="R83" i="4"/>
  <c r="U83" i="4" s="1"/>
  <c r="V82" i="4"/>
  <c r="T82" i="4"/>
  <c r="S82" i="4"/>
  <c r="R82" i="4"/>
  <c r="U82" i="4" s="1"/>
  <c r="V81" i="4"/>
  <c r="U81" i="4"/>
  <c r="T81" i="4"/>
  <c r="R81" i="4"/>
  <c r="S81" i="4" s="1"/>
  <c r="V80" i="4"/>
  <c r="R80" i="4"/>
  <c r="V79" i="4"/>
  <c r="U79" i="4"/>
  <c r="R79" i="4"/>
  <c r="T79" i="4" s="1"/>
  <c r="V78" i="4"/>
  <c r="R78" i="4"/>
  <c r="U78" i="4" s="1"/>
  <c r="V77" i="4"/>
  <c r="U77" i="4"/>
  <c r="T77" i="4"/>
  <c r="S77" i="4"/>
  <c r="R77" i="4"/>
  <c r="V76" i="4"/>
  <c r="U76" i="4"/>
  <c r="R76" i="4"/>
  <c r="T76" i="4" s="1"/>
  <c r="V75" i="4"/>
  <c r="R75" i="4"/>
  <c r="V74" i="4"/>
  <c r="U74" i="4"/>
  <c r="T74" i="4"/>
  <c r="S74" i="4"/>
  <c r="R74" i="4"/>
  <c r="V73" i="4"/>
  <c r="R73" i="4"/>
  <c r="S73" i="4" s="1"/>
  <c r="V72" i="4"/>
  <c r="U72" i="4"/>
  <c r="T72" i="4"/>
  <c r="R72" i="4"/>
  <c r="S72" i="4" s="1"/>
  <c r="V71" i="4"/>
  <c r="R71" i="4"/>
  <c r="U71" i="4" s="1"/>
  <c r="V70" i="4"/>
  <c r="R70" i="4"/>
  <c r="U70" i="4" s="1"/>
  <c r="V69" i="4"/>
  <c r="U69" i="4"/>
  <c r="T69" i="4"/>
  <c r="R69" i="4"/>
  <c r="S69" i="4" s="1"/>
  <c r="V68" i="4"/>
  <c r="R68" i="4"/>
  <c r="V65" i="4"/>
  <c r="U65" i="4"/>
  <c r="R65" i="4"/>
  <c r="T65" i="4" s="1"/>
  <c r="V64" i="4"/>
  <c r="R64" i="4"/>
  <c r="U64" i="4" s="1"/>
  <c r="V63" i="4"/>
  <c r="U63" i="4"/>
  <c r="T63" i="4"/>
  <c r="S63" i="4"/>
  <c r="R63" i="4"/>
  <c r="V62" i="4"/>
  <c r="U62" i="4"/>
  <c r="R62" i="4"/>
  <c r="T62" i="4" s="1"/>
  <c r="V61" i="4"/>
  <c r="S61" i="4"/>
  <c r="R61" i="4"/>
  <c r="V60" i="4"/>
  <c r="U60" i="4"/>
  <c r="T60" i="4"/>
  <c r="S60" i="4"/>
  <c r="R60" i="4"/>
  <c r="V58" i="4"/>
  <c r="R58" i="4"/>
  <c r="V57" i="4"/>
  <c r="U57" i="4"/>
  <c r="T57" i="4"/>
  <c r="R57" i="4"/>
  <c r="S57" i="4" s="1"/>
  <c r="V49" i="4"/>
  <c r="R49" i="4"/>
  <c r="U49" i="4" s="1"/>
  <c r="V48" i="4"/>
  <c r="R48" i="4"/>
  <c r="U48" i="4" s="1"/>
  <c r="V47" i="4"/>
  <c r="U47" i="4"/>
  <c r="T47" i="4"/>
  <c r="R47" i="4"/>
  <c r="S47" i="4" s="1"/>
  <c r="V46" i="4"/>
  <c r="S46" i="4"/>
  <c r="R46" i="4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U42" i="4"/>
  <c r="R42" i="4"/>
  <c r="T42" i="4" s="1"/>
  <c r="V41" i="4"/>
  <c r="R41" i="4"/>
  <c r="U41" i="4" s="1"/>
  <c r="V40" i="4"/>
  <c r="U40" i="4"/>
  <c r="T40" i="4"/>
  <c r="S40" i="4"/>
  <c r="R40" i="4"/>
  <c r="V39" i="4"/>
  <c r="R39" i="4"/>
  <c r="V38" i="4"/>
  <c r="U38" i="4"/>
  <c r="T38" i="4"/>
  <c r="R38" i="4"/>
  <c r="S38" i="4" s="1"/>
  <c r="V37" i="4"/>
  <c r="R37" i="4"/>
  <c r="U37" i="4" s="1"/>
  <c r="V36" i="4"/>
  <c r="T36" i="4"/>
  <c r="S36" i="4"/>
  <c r="R36" i="4"/>
  <c r="U36" i="4" s="1"/>
  <c r="V35" i="4"/>
  <c r="U35" i="4"/>
  <c r="T35" i="4"/>
  <c r="R35" i="4"/>
  <c r="S35" i="4" s="1"/>
  <c r="V34" i="4"/>
  <c r="R34" i="4"/>
  <c r="S34" i="4" s="1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U30" i="4"/>
  <c r="R30" i="4"/>
  <c r="T30" i="4" s="1"/>
  <c r="V29" i="4"/>
  <c r="T29" i="4"/>
  <c r="S29" i="4"/>
  <c r="R29" i="4"/>
  <c r="U29" i="4" s="1"/>
  <c r="V28" i="4"/>
  <c r="U28" i="4"/>
  <c r="T28" i="4"/>
  <c r="S28" i="4"/>
  <c r="R28" i="4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/>
  <c r="N130" i="4"/>
  <c r="Q130" i="4" s="1"/>
  <c r="O130" i="4"/>
  <c r="P130" i="4" s="1"/>
  <c r="I131" i="4"/>
  <c r="L131" i="4" s="1"/>
  <c r="M131" i="4" s="1"/>
  <c r="J131" i="4"/>
  <c r="K131" i="4"/>
  <c r="O131" i="4"/>
  <c r="P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58" i="4" l="1"/>
  <c r="U58" i="4"/>
  <c r="T58" i="4"/>
  <c r="T88" i="4"/>
  <c r="U88" i="4"/>
  <c r="T80" i="4"/>
  <c r="U80" i="4"/>
  <c r="S80" i="4"/>
  <c r="S88" i="4"/>
  <c r="S41" i="4"/>
  <c r="U120" i="4"/>
  <c r="T120" i="4"/>
  <c r="S120" i="4"/>
  <c r="U93" i="4"/>
  <c r="T93" i="4"/>
  <c r="S93" i="4"/>
  <c r="S70" i="4"/>
  <c r="U39" i="4"/>
  <c r="T39" i="4"/>
  <c r="S39" i="4"/>
  <c r="T46" i="4"/>
  <c r="U46" i="4"/>
  <c r="U61" i="4"/>
  <c r="T61" i="4"/>
  <c r="T70" i="4"/>
  <c r="S130" i="4"/>
  <c r="U130" i="4"/>
  <c r="T130" i="4"/>
  <c r="T41" i="4"/>
  <c r="U34" i="4"/>
  <c r="T34" i="4"/>
  <c r="S48" i="4"/>
  <c r="T48" i="4"/>
  <c r="U75" i="4"/>
  <c r="T75" i="4"/>
  <c r="T68" i="4"/>
  <c r="U68" i="4"/>
  <c r="S68" i="4"/>
  <c r="S75" i="4"/>
  <c r="S108" i="4"/>
  <c r="S85" i="4"/>
  <c r="S116" i="4"/>
  <c r="S32" i="4"/>
  <c r="S44" i="4"/>
  <c r="S64" i="4"/>
  <c r="T73" i="4"/>
  <c r="S78" i="4"/>
  <c r="T85" i="4"/>
  <c r="S91" i="4"/>
  <c r="T116" i="4"/>
  <c r="T32" i="4"/>
  <c r="S37" i="4"/>
  <c r="T44" i="4"/>
  <c r="S49" i="4"/>
  <c r="T64" i="4"/>
  <c r="S71" i="4"/>
  <c r="U73" i="4"/>
  <c r="T78" i="4"/>
  <c r="S83" i="4"/>
  <c r="T91" i="4"/>
  <c r="S114" i="4"/>
  <c r="T126" i="4"/>
  <c r="S30" i="4"/>
  <c r="T37" i="4"/>
  <c r="S42" i="4"/>
  <c r="T49" i="4"/>
  <c r="S62" i="4"/>
  <c r="T71" i="4"/>
  <c r="S76" i="4"/>
  <c r="T83" i="4"/>
  <c r="S89" i="4"/>
  <c r="T114" i="4"/>
  <c r="S121" i="4"/>
  <c r="U126" i="4"/>
  <c r="S107" i="4"/>
  <c r="S131" i="4"/>
  <c r="S33" i="4"/>
  <c r="S45" i="4"/>
  <c r="S65" i="4"/>
  <c r="S79" i="4"/>
  <c r="S92" i="4"/>
  <c r="S127" i="4"/>
  <c r="N131" i="4"/>
  <c r="Q131" i="4" s="1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1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L120" i="4" s="1"/>
  <c r="M120" i="4" s="1"/>
  <c r="K120" i="4"/>
  <c r="O120" i="4" s="1"/>
  <c r="P120" i="4" s="1"/>
  <c r="J101" i="4"/>
  <c r="K101" i="4"/>
  <c r="J86" i="4"/>
  <c r="K86" i="4" s="1"/>
  <c r="J85" i="4"/>
  <c r="K85" i="4" s="1"/>
  <c r="J88" i="4"/>
  <c r="K88" i="4" s="1"/>
  <c r="J119" i="4"/>
  <c r="K119" i="4"/>
  <c r="O119" i="4" s="1"/>
  <c r="P119" i="4" s="1"/>
  <c r="J72" i="4"/>
  <c r="L72" i="4" s="1"/>
  <c r="K72" i="4"/>
  <c r="J103" i="4"/>
  <c r="K103" i="4"/>
  <c r="J118" i="4"/>
  <c r="K118" i="4"/>
  <c r="J104" i="4"/>
  <c r="K104" i="4"/>
  <c r="J90" i="4"/>
  <c r="K90" i="4" s="1"/>
  <c r="J71" i="4"/>
  <c r="K71" i="4"/>
  <c r="J110" i="4"/>
  <c r="K110" i="4"/>
  <c r="J82" i="4"/>
  <c r="K82" i="4"/>
  <c r="J113" i="4"/>
  <c r="K113" i="4"/>
  <c r="J97" i="4"/>
  <c r="K97" i="4" s="1"/>
  <c r="J81" i="4"/>
  <c r="K81" i="4" s="1"/>
  <c r="J116" i="4"/>
  <c r="K116" i="4"/>
  <c r="O116" i="4" s="1"/>
  <c r="P116" i="4" s="1"/>
  <c r="J100" i="4"/>
  <c r="K100" i="4"/>
  <c r="O100" i="4"/>
  <c r="J84" i="4"/>
  <c r="K84" i="4" s="1"/>
  <c r="J114" i="4"/>
  <c r="K114" i="4"/>
  <c r="O114" i="4" s="1"/>
  <c r="P114" i="4" s="1"/>
  <c r="J78" i="4"/>
  <c r="K78" i="4"/>
  <c r="J115" i="4"/>
  <c r="K115" i="4" s="1"/>
  <c r="O115" i="4" s="1"/>
  <c r="P115" i="4" s="1"/>
  <c r="J99" i="4"/>
  <c r="K99" i="4"/>
  <c r="J83" i="4"/>
  <c r="K83" i="4"/>
  <c r="J102" i="4"/>
  <c r="K102" i="4"/>
  <c r="J74" i="4"/>
  <c r="K74" i="4"/>
  <c r="O74" i="4" s="1"/>
  <c r="P74" i="4" s="1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 s="1"/>
  <c r="J106" i="4"/>
  <c r="K106" i="4"/>
  <c r="J127" i="4"/>
  <c r="K127" i="4"/>
  <c r="J111" i="4"/>
  <c r="K111" i="4"/>
  <c r="J95" i="4"/>
  <c r="K95" i="4" s="1"/>
  <c r="J79" i="4"/>
  <c r="K79" i="4"/>
  <c r="J126" i="4"/>
  <c r="K126" i="4"/>
  <c r="O126" i="4" s="1"/>
  <c r="P126" i="4" s="1"/>
  <c r="J94" i="4"/>
  <c r="K94" i="4"/>
  <c r="J121" i="4"/>
  <c r="K121" i="4"/>
  <c r="J105" i="4"/>
  <c r="K105" i="4"/>
  <c r="J89" i="4"/>
  <c r="K89" i="4" s="1"/>
  <c r="J73" i="4"/>
  <c r="K73" i="4"/>
  <c r="J124" i="4"/>
  <c r="K124" i="4"/>
  <c r="O124" i="4" s="1"/>
  <c r="P124" i="4" s="1"/>
  <c r="J108" i="4"/>
  <c r="K108" i="4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O107" i="4" s="1"/>
  <c r="P107" i="4" s="1"/>
  <c r="J91" i="4"/>
  <c r="L91" i="4" s="1"/>
  <c r="M91" i="4" s="1"/>
  <c r="K91" i="4"/>
  <c r="O91" i="4" s="1"/>
  <c r="P91" i="4" s="1"/>
  <c r="J75" i="4"/>
  <c r="K75" i="4" s="1"/>
  <c r="P100" i="4"/>
  <c r="O112" i="4"/>
  <c r="P112" i="4"/>
  <c r="O98" i="4"/>
  <c r="P98" i="4"/>
  <c r="O105" i="4"/>
  <c r="P105" i="4"/>
  <c r="O111" i="4"/>
  <c r="P111" i="4"/>
  <c r="O104" i="4"/>
  <c r="P104" i="4"/>
  <c r="O121" i="4"/>
  <c r="P121" i="4"/>
  <c r="O127" i="4"/>
  <c r="P127" i="4"/>
  <c r="O96" i="4"/>
  <c r="P96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/>
  <c r="O103" i="4"/>
  <c r="P103" i="4"/>
  <c r="O122" i="4"/>
  <c r="P122" i="4"/>
  <c r="O123" i="4"/>
  <c r="P123" i="4"/>
  <c r="O94" i="4"/>
  <c r="P94" i="4"/>
  <c r="O125" i="4"/>
  <c r="P125" i="4"/>
  <c r="O99" i="4"/>
  <c r="P99" i="4"/>
  <c r="O101" i="4"/>
  <c r="P101" i="4"/>
  <c r="I76" i="4"/>
  <c r="I77" i="4"/>
  <c r="I81" i="4"/>
  <c r="N81" i="4" s="1"/>
  <c r="Q81" i="4" s="1"/>
  <c r="I89" i="4"/>
  <c r="N89" i="4" s="1"/>
  <c r="Q89" i="4" s="1"/>
  <c r="I90" i="4"/>
  <c r="N90" i="4" s="1"/>
  <c r="Q90" i="4" s="1"/>
  <c r="I96" i="4"/>
  <c r="L96" i="4" s="1"/>
  <c r="I99" i="4"/>
  <c r="I102" i="4"/>
  <c r="I104" i="4"/>
  <c r="I108" i="4"/>
  <c r="N108" i="4" s="1"/>
  <c r="Q108" i="4" s="1"/>
  <c r="I111" i="4"/>
  <c r="I113" i="4"/>
  <c r="I115" i="4"/>
  <c r="I119" i="4"/>
  <c r="L119" i="4" s="1"/>
  <c r="M119" i="4" s="1"/>
  <c r="I120" i="4"/>
  <c r="I123" i="4"/>
  <c r="I125" i="4"/>
  <c r="I79" i="4"/>
  <c r="I92" i="4"/>
  <c r="L92" i="4" s="1"/>
  <c r="I100" i="4"/>
  <c r="I103" i="4"/>
  <c r="I107" i="4"/>
  <c r="N107" i="4" s="1"/>
  <c r="Q107" i="4" s="1"/>
  <c r="I109" i="4"/>
  <c r="I110" i="4"/>
  <c r="I117" i="4"/>
  <c r="I124" i="4"/>
  <c r="L124" i="4" s="1"/>
  <c r="M124" i="4" s="1"/>
  <c r="I72" i="4"/>
  <c r="I106" i="4"/>
  <c r="I71" i="4"/>
  <c r="N71" i="4" s="1"/>
  <c r="Q71" i="4" s="1"/>
  <c r="I75" i="4"/>
  <c r="N75" i="4" s="1"/>
  <c r="Q75" i="4" s="1"/>
  <c r="I80" i="4"/>
  <c r="L80" i="4" s="1"/>
  <c r="I83" i="4"/>
  <c r="L83" i="4" s="1"/>
  <c r="I86" i="4"/>
  <c r="L86" i="4" s="1"/>
  <c r="I88" i="4"/>
  <c r="N88" i="4" s="1"/>
  <c r="Q88" i="4" s="1"/>
  <c r="I94" i="4"/>
  <c r="I95" i="4"/>
  <c r="I98" i="4"/>
  <c r="I101" i="4"/>
  <c r="I118" i="4"/>
  <c r="I127" i="4"/>
  <c r="L127" i="4" s="1"/>
  <c r="M127" i="4" s="1"/>
  <c r="I73" i="4"/>
  <c r="N73" i="4" s="1"/>
  <c r="Q73" i="4" s="1"/>
  <c r="I74" i="4"/>
  <c r="L74" i="4" s="1"/>
  <c r="I78" i="4"/>
  <c r="L78" i="4" s="1"/>
  <c r="I82" i="4"/>
  <c r="L82" i="4" s="1"/>
  <c r="I85" i="4"/>
  <c r="N85" i="4" s="1"/>
  <c r="Q85" i="4" s="1"/>
  <c r="I93" i="4"/>
  <c r="N93" i="4" s="1"/>
  <c r="Q93" i="4" s="1"/>
  <c r="I112" i="4"/>
  <c r="I114" i="4"/>
  <c r="I121" i="4"/>
  <c r="I122" i="4"/>
  <c r="I84" i="4"/>
  <c r="I87" i="4"/>
  <c r="I91" i="4"/>
  <c r="I97" i="4"/>
  <c r="L97" i="4" s="1"/>
  <c r="I105" i="4"/>
  <c r="I116" i="4"/>
  <c r="N116" i="4" s="1"/>
  <c r="Q116" i="4" s="1"/>
  <c r="I126" i="4"/>
  <c r="N126" i="4" s="1"/>
  <c r="Q126" i="4" s="1"/>
  <c r="L105" i="4"/>
  <c r="N105" i="4"/>
  <c r="Q105" i="4"/>
  <c r="N121" i="4"/>
  <c r="Q121" i="4"/>
  <c r="L121" i="4"/>
  <c r="L73" i="4"/>
  <c r="N101" i="4"/>
  <c r="Q101" i="4"/>
  <c r="L101" i="4"/>
  <c r="L75" i="4"/>
  <c r="L106" i="4"/>
  <c r="N106" i="4"/>
  <c r="Q106" i="4"/>
  <c r="N124" i="4"/>
  <c r="Q124" i="4" s="1"/>
  <c r="N79" i="4"/>
  <c r="Q79" i="4"/>
  <c r="L79" i="4"/>
  <c r="N119" i="4"/>
  <c r="Q119" i="4" s="1"/>
  <c r="N77" i="4"/>
  <c r="Q77" i="4"/>
  <c r="L77" i="4"/>
  <c r="N114" i="4"/>
  <c r="Q114" i="4"/>
  <c r="L114" i="4"/>
  <c r="M114" i="4" s="1"/>
  <c r="N98" i="4"/>
  <c r="Q98" i="4"/>
  <c r="L98" i="4"/>
  <c r="N72" i="4"/>
  <c r="Q72" i="4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76" i="4"/>
  <c r="Q76" i="4" s="1"/>
  <c r="N91" i="4"/>
  <c r="Q91" i="4"/>
  <c r="L112" i="4"/>
  <c r="N112" i="4"/>
  <c r="Q112" i="4"/>
  <c r="N95" i="4"/>
  <c r="Q95" i="4"/>
  <c r="L95" i="4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7" i="4"/>
  <c r="Q87" i="4" s="1"/>
  <c r="L87" i="4"/>
  <c r="N122" i="4"/>
  <c r="Q122" i="4"/>
  <c r="L122" i="4"/>
  <c r="N74" i="4"/>
  <c r="Q74" i="4" s="1"/>
  <c r="N118" i="4"/>
  <c r="Q118" i="4"/>
  <c r="L118" i="4"/>
  <c r="L94" i="4"/>
  <c r="N94" i="4"/>
  <c r="Q94" i="4" s="1"/>
  <c r="N80" i="4"/>
  <c r="Q80" i="4"/>
  <c r="N109" i="4"/>
  <c r="Q109" i="4"/>
  <c r="L109" i="4"/>
  <c r="N120" i="4"/>
  <c r="Q120" i="4" s="1"/>
  <c r="N111" i="4"/>
  <c r="Q111" i="4"/>
  <c r="L111" i="4"/>
  <c r="N99" i="4"/>
  <c r="Q99" i="4"/>
  <c r="L99" i="4"/>
  <c r="L81" i="4"/>
  <c r="M78" i="4" l="1"/>
  <c r="O93" i="4"/>
  <c r="P93" i="4" s="1"/>
  <c r="M74" i="4"/>
  <c r="M92" i="4"/>
  <c r="M80" i="4"/>
  <c r="O92" i="4"/>
  <c r="P92" i="4" s="1"/>
  <c r="O75" i="4"/>
  <c r="P75" i="4" s="1"/>
  <c r="M72" i="4"/>
  <c r="M82" i="4"/>
  <c r="M87" i="4"/>
  <c r="L107" i="4"/>
  <c r="M107" i="4" s="1"/>
  <c r="O73" i="4"/>
  <c r="P73" i="4" s="1"/>
  <c r="O95" i="4"/>
  <c r="P95" i="4" s="1"/>
  <c r="M94" i="4"/>
  <c r="L85" i="4"/>
  <c r="O89" i="4"/>
  <c r="P89" i="4" s="1"/>
  <c r="O87" i="4"/>
  <c r="P87" i="4" s="1"/>
  <c r="M79" i="4"/>
  <c r="N127" i="4"/>
  <c r="Q127" i="4" s="1"/>
  <c r="L108" i="4"/>
  <c r="M108" i="4" s="1"/>
  <c r="L84" i="4"/>
  <c r="O88" i="4"/>
  <c r="P88" i="4" s="1"/>
  <c r="M75" i="4"/>
  <c r="M86" i="4"/>
  <c r="M83" i="4"/>
  <c r="O82" i="4"/>
  <c r="P82" i="4" s="1"/>
  <c r="M95" i="4"/>
  <c r="O72" i="4"/>
  <c r="P72" i="4" s="1"/>
  <c r="M77" i="4"/>
  <c r="M96" i="4"/>
  <c r="O84" i="4"/>
  <c r="P84" i="4" s="1"/>
  <c r="M73" i="4"/>
  <c r="O79" i="4"/>
  <c r="P79" i="4" s="1"/>
  <c r="O83" i="4"/>
  <c r="P83" i="4" s="1"/>
  <c r="L116" i="4"/>
  <c r="M116" i="4" s="1"/>
  <c r="L126" i="4"/>
  <c r="M126" i="4" s="1"/>
  <c r="L71" i="4"/>
  <c r="M71" i="4" s="1"/>
  <c r="O76" i="4"/>
  <c r="P76" i="4" s="1"/>
  <c r="O90" i="4"/>
  <c r="P90" i="4" s="1"/>
  <c r="O85" i="4"/>
  <c r="P85" i="4" s="1"/>
  <c r="N92" i="4"/>
  <c r="Q92" i="4" s="1"/>
  <c r="L89" i="4"/>
  <c r="N86" i="4"/>
  <c r="Q86" i="4" s="1"/>
  <c r="O78" i="4"/>
  <c r="P78" i="4" s="1"/>
  <c r="L76" i="4"/>
  <c r="O86" i="4"/>
  <c r="P86" i="4" s="1"/>
  <c r="N78" i="4"/>
  <c r="Q78" i="4" s="1"/>
  <c r="L90" i="4"/>
  <c r="O81" i="4"/>
  <c r="P81" i="4" s="1"/>
  <c r="O80" i="4"/>
  <c r="P80" i="4" s="1"/>
  <c r="M97" i="4"/>
  <c r="O77" i="4"/>
  <c r="P77" i="4" s="1"/>
  <c r="M81" i="4"/>
  <c r="O97" i="4"/>
  <c r="P97" i="4" s="1"/>
  <c r="N97" i="4"/>
  <c r="Q97" i="4" s="1"/>
  <c r="L88" i="4"/>
  <c r="L93" i="4"/>
  <c r="N82" i="4"/>
  <c r="Q82" i="4" s="1"/>
  <c r="N96" i="4"/>
  <c r="Q96" i="4" s="1"/>
  <c r="N84" i="4"/>
  <c r="Q84" i="4" s="1"/>
  <c r="J14" i="4"/>
  <c r="J13" i="4" s="1"/>
  <c r="K16" i="4" s="1"/>
  <c r="M84" i="4" l="1"/>
  <c r="M90" i="4"/>
  <c r="M89" i="4"/>
  <c r="M85" i="4"/>
  <c r="M88" i="4"/>
  <c r="M76" i="4"/>
  <c r="M93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8" i="4" l="1"/>
  <c r="P58" i="4" s="1"/>
  <c r="O57" i="4"/>
  <c r="P57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M64" i="4" l="1"/>
  <c r="O64" i="4"/>
  <c r="P64" i="4" s="1"/>
  <c r="O67" i="4"/>
  <c r="P67" i="4" s="1"/>
  <c r="M69" i="4"/>
  <c r="M58" i="4"/>
  <c r="O69" i="4"/>
  <c r="P69" i="4" s="1"/>
  <c r="M57" i="4"/>
  <c r="O65" i="4"/>
  <c r="P65" i="4" s="1"/>
  <c r="O66" i="4"/>
  <c r="P66" i="4" s="1"/>
  <c r="M65" i="4"/>
  <c r="M66" i="4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K45" i="4" s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44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O49" i="4" l="1"/>
  <c r="P49" i="4" s="1"/>
  <c r="M49" i="4"/>
  <c r="M48" i="4"/>
  <c r="O48" i="4"/>
  <c r="P48" i="4" s="1"/>
  <c r="L47" i="4"/>
  <c r="O31" i="4"/>
  <c r="P31" i="4" s="1"/>
  <c r="O30" i="4"/>
  <c r="P30" i="4" s="1"/>
  <c r="O39" i="4"/>
  <c r="P39" i="4" s="1"/>
  <c r="M39" i="4"/>
  <c r="L31" i="4"/>
  <c r="O47" i="4"/>
  <c r="P47" i="4" s="1"/>
  <c r="O33" i="4"/>
  <c r="P33" i="4" s="1"/>
  <c r="M35" i="4"/>
  <c r="O46" i="4"/>
  <c r="P46" i="4" s="1"/>
  <c r="L30" i="4"/>
  <c r="O44" i="4"/>
  <c r="P44" i="4" s="1"/>
  <c r="O28" i="4"/>
  <c r="P28" i="4" s="1"/>
  <c r="M44" i="4"/>
  <c r="O43" i="4"/>
  <c r="P43" i="4" s="1"/>
  <c r="L43" i="4"/>
  <c r="O41" i="4"/>
  <c r="P41" i="4" s="1"/>
  <c r="O45" i="4"/>
  <c r="P45" i="4" s="1"/>
  <c r="L45" i="4"/>
  <c r="K3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M47" i="4" l="1"/>
  <c r="M30" i="4"/>
  <c r="M46" i="4"/>
  <c r="O36" i="4"/>
  <c r="P36" i="4" s="1"/>
  <c r="O35" i="4"/>
  <c r="P35" i="4" s="1"/>
  <c r="M45" i="4"/>
  <c r="O29" i="4"/>
  <c r="P29" i="4" s="1"/>
  <c r="O32" i="4"/>
  <c r="P32" i="4" s="1"/>
  <c r="O38" i="4"/>
  <c r="P38" i="4" s="1"/>
  <c r="O34" i="4"/>
  <c r="P34" i="4" s="1"/>
  <c r="O40" i="4"/>
  <c r="P40" i="4" s="1"/>
  <c r="M33" i="4"/>
  <c r="O42" i="4"/>
  <c r="P42" i="4" s="1"/>
  <c r="M41" i="4"/>
  <c r="M43" i="4"/>
  <c r="M31" i="4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<sst xmlns="http://schemas.openxmlformats.org/spreadsheetml/2006/main" count="318" uniqueCount="295">
  <si>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</si>
  <si>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</si>
  <si>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</si>
  <si>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</si>
  <si>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</si>
  <si>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</si>
  <si>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</si>
  <si>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</si>
  <si>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</si>
  <si>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</si>
  <si>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</si>
  <si>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</si>
  <si>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</si>
  <si>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</si>
  <si>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</si>
  <si>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</si>
  <si>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</si>
  <si>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</si>
  <si>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</si>
  <si>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</si>
  <si>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</si>
  <si>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</si>
  <si>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</si>
  <si>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</si>
  <si>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</si>
  <si>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</si>
  <si>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</si>
  <si>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</si>
  <si>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</si>
  <si>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</si>
  <si>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</si>
  <si>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</si>
  <si>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</si>
  <si>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</si>
  <si>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</si>
  <si>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</si>
  <si>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</si>
  <si>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</si>
  <si>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</si>
  <si>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</si>
  <si>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</si>
  <si>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</si>
  <si>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</si>
  <si>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</si>
  <si>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</si>
  <si>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</si>
  <si>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</si>
  <si>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</si>
  <si>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</si>
  <si>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</si>
  <si>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</si>
  <si>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</si>
  <si>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</si>
  <si>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</si>
  <si>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</si>
  <si>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</si>
  <si>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</si>
  <si>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</si>
  <si>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</si>
  <si>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</si>
  <si>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</si>
  <si>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</si>
  <si>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</si>
  <si>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</si>
  <si>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</si>
  <si>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</si>
  <si>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</si>
  <si>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</si>
  <si>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</si>
  <si>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</si>
  <si>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</si>
  <si>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</si>
  <si>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</si>
  <si>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</si>
  <si>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</si>
  <si>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</si>
  <si>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</si>
  <si>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FBS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</si>
  <si>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</si>
  <si>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</si>
  <si>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</si>
  <si>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</si>
  <si>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</si>
  <si>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</si>
  <si>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</si>
  <si>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</si>
  <si>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</si>
  <si>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</si>
  <si>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</si>
  <si>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</si>
  <si>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</si>
  <si>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</si>
  <si>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</si>
  <si>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</si>
  <si>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</si>
  <si>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</si>
  <si>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</si>
  <si>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</si>
  <si>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</si>
  <si>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</si>
  <si>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</si>
  <si>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</si>
  <si>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</si>
  <si>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</si>
  <si>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</si>
  <si>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</si>
  <si>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</si>
  <si>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</si>
  <si>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</si>
  <si>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</si>
  <si>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</si>
  <si>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</si>
  <si>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Default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</si>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</sst>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112</v>
      </c>
      <c r="K17" s="31" t="s">
        <v>80</v>
      </c>
      <c r="L17" s="81">
        <v>4.3499999999999997E-3</v>
      </c>
      <c r="M17" s="81">
        <v>5.0000000000000001E-4</v>
      </c>
      <c r="N17" s="81">
        <v>1.4999999999999999E-4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3" zoomScale="70" zoomScaleNormal="70" workbookViewId="0">
      <selection activeCell="R28" sqref="R28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40.027999999999999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39.817160000000001</v>
      </c>
      <c r="K8" s="39">
        <f>J8/J7</f>
        <v>0.99473268711901675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0.19480000000000003</v>
      </c>
      <c r="K9" s="39">
        <f>J9/J7</f>
        <v>4.8665933846307593E-3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1.6039999999999999E-2</v>
      </c>
      <c r="K10" s="39">
        <f>J10/J7</f>
        <v>4.007194963525532E-4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39.7928</v>
      </c>
      <c r="K14" s="39">
        <f>J14/J13</f>
        <v>0.99482000000000004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0.19200000000000003</v>
      </c>
      <c r="K15" s="39">
        <f>J15/J13</f>
        <v>4.8000000000000004E-3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1.52E-2</v>
      </c>
      <c r="K16" s="39">
        <f>J16/J13</f>
        <v>3.8000000000000002E-4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77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2.7999999999999997E-2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2.4359999999999996E-2</v>
      </c>
      <c r="K20" s="39">
        <f>J20/J19</f>
        <v>0.87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80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2.8E-3</v>
      </c>
      <c r="K21" s="39">
        <f>J21/J19</f>
        <v>0.1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8.3999999999999993E-4</v>
      </c>
      <c r="K22" s="39">
        <f>J22/J19</f>
        <v>0.03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79</v>
      </c>
      <c r="S27" s="7" t="s">
        <v>78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115</v>
      </c>
      <c r="C28" s="46" t="s">
        <v>116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0.88474709081801395</v>
      </c>
      <c r="K28" s="95">
        <f t="shared" ref="K28:K47" si="3">IF(D28=0,"",1/(1+10^D28*$J$15/$J$14+10^E28*$J$16/$J$14+10^J28*$J$19/$J$14))</f>
        <v>0.80106398637435039</v>
      </c>
      <c r="L28" s="95">
        <f t="shared" ref="L28:L47" si="4">IF(D28=0,"",1/(1+10^I28/10^J28*$J$13/$J$19))</f>
        <v>4.3228267526942985E-3</v>
      </c>
      <c r="M28" s="95">
        <f t="shared" ref="M28:M47" si="5">IF(D28=0,"",1-L28)</f>
        <v>0.99567717324730565</v>
      </c>
      <c r="N28" s="95">
        <f t="shared" ref="N28:N47" si="6">IF(D28=0,"",1/(1/10^E28*$J$20/$J$22+10^D28/10^E28*$J$21/$J$22+10^I28/10^E28*$J$13/$J$22+1))</f>
        <v>1.3507873797698668E-3</v>
      </c>
      <c r="O28" s="40">
        <f t="shared" ref="O28:O47" si="7">IF(D28=0,"",F28*K28*$J$7/$J$14)</f>
        <v>8.0579876878712978E-7</v>
      </c>
      <c r="P28" s="40">
        <f t="shared" ref="P28:P47" si="8">IF(D28=0,"",O28*10^J28)</f>
        <v>6.1797896163159782E-6</v>
      </c>
      <c r="Q28" s="40">
        <f t="shared" ref="Q28:Q47" si="9">IF(D28=0,"",F28*N28*$J$7/$J$22)</f>
        <v>6.4368234806462174E-5</v>
      </c>
      <c r="R28" s="9">
        <f>F28*$C$14</f>
        <v>3.9999999999999996E-5</v>
      </c>
      <c r="S28" s="9">
        <f>$R28*L28</f>
        <v>1.7291307010777192E-7</v>
      </c>
      <c r="T28" s="9">
        <f>R28*K28</f>
        <v>3.2042559454974015E-5</v>
      </c>
      <c r="U28" s="9">
        <f>$R28*M28</f>
        <v>3.9827086929892223E-5</v>
      </c>
      <c r="V28" s="102">
        <f>K28/M28</f>
        <v>0.80454188154354989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117</v>
      </c>
      <c r="C29" s="46" t="s">
        <v>118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2.7194923137791687</v>
      </c>
      <c r="J29" s="94">
        <f t="shared" si="2"/>
        <v>4.415376749895219</v>
      </c>
      <c r="K29" s="95">
        <f t="shared" si="3"/>
        <v>1.8340696732650006E-3</v>
      </c>
      <c r="L29" s="95">
        <f t="shared" si="4"/>
        <v>3.3585058714362306E-2</v>
      </c>
      <c r="M29" s="95">
        <f t="shared" si="5"/>
        <v>0.96641494128563765</v>
      </c>
      <c r="N29" s="95">
        <f t="shared" si="6"/>
        <v>2.6513839117129533E-2</v>
      </c>
      <c r="O29" s="40">
        <f t="shared" si="7"/>
        <v>1.8449101566477214E-9</v>
      </c>
      <c r="P29" s="40">
        <f t="shared" si="8"/>
        <v>4.801224036494627E-5</v>
      </c>
      <c r="Q29" s="40">
        <f t="shared" si="9"/>
        <v>1.2634475621195963E-3</v>
      </c>
      <c r="R29" s="9">
        <f>F29*$C$14</f>
        <v>3.9999999999999996E-5</v>
      </c>
      <c r="S29" s="9">
        <f t="shared" ref="S29:S49" si="10">$R29*L29</f>
        <v>1.3434023485744922E-6</v>
      </c>
      <c r="T29" s="9">
        <f t="shared" ref="T29:T49" si="11">R29*K29</f>
        <v>7.3362786930600025E-8</v>
      </c>
      <c r="U29" s="9">
        <f t="shared" ref="U29:U49" si="12">$R29*M29</f>
        <v>3.8656597651425505E-5</v>
      </c>
      <c r="V29" s="102">
        <f t="shared" ref="V29:V49" si="13">K29/M29</f>
        <v>1.8978076547793309E-3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119</v>
      </c>
      <c r="C30" s="46" t="s">
        <v>120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5.9163420575972845</v>
      </c>
      <c r="J30" s="94">
        <f t="shared" si="2"/>
        <v>7.7870173585309752</v>
      </c>
      <c r="K30" s="95">
        <f t="shared" si="3"/>
        <v>1.1465634056571238E-6</v>
      </c>
      <c r="L30" s="95">
        <f t="shared" si="4"/>
        <v>4.9404779716287393E-2</v>
      </c>
      <c r="M30" s="95">
        <f t="shared" si="5"/>
        <v>0.95059522028371257</v>
      </c>
      <c r="N30" s="95">
        <f t="shared" si="6"/>
        <v>4.8283402106227807E-2</v>
      </c>
      <c r="O30" s="40">
        <f t="shared" si="7"/>
        <v>1.1533403028096377E-12</v>
      </c>
      <c r="P30" s="40">
        <f t="shared" si="8"/>
        <v>7.0627661517269903E-5</v>
      </c>
      <c r="Q30" s="40">
        <f t="shared" si="9"/>
        <v>2.3008190708429604E-3</v>
      </c>
      <c r="R30" s="9">
        <f t="shared" ref="R30:R49" si="14">F30*$C$14</f>
        <v>3.9999999999999996E-5</v>
      </c>
      <c r="S30" s="9">
        <f t="shared" si="10"/>
        <v>1.9761911886514954E-6</v>
      </c>
      <c r="T30" s="9">
        <f t="shared" si="11"/>
        <v>4.5862536226284951E-11</v>
      </c>
      <c r="U30" s="9">
        <f t="shared" si="12"/>
        <v>3.8023808811348501E-5</v>
      </c>
      <c r="V30" s="102">
        <f t="shared" si="13"/>
        <v>1.2061531356268791E-6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113</v>
      </c>
      <c r="C31" s="46" t="s">
        <v>114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1.2852308448323728</v>
      </c>
      <c r="J31" s="94">
        <f t="shared" si="2"/>
        <v>2.913138997962994</v>
      </c>
      <c r="K31" s="95">
        <f t="shared" si="3"/>
        <v>5.0095157314808084E-2</v>
      </c>
      <c r="L31" s="95">
        <f t="shared" si="4"/>
        <v>2.8859464940842638E-2</v>
      </c>
      <c r="M31" s="95">
        <f t="shared" si="5"/>
        <v>0.97114053505915732</v>
      </c>
      <c r="N31" s="95">
        <f t="shared" si="6"/>
        <v>2.091652488980424E-2</v>
      </c>
      <c r="O31" s="40">
        <f t="shared" si="7"/>
        <v>5.0391250603052258E-8</v>
      </c>
      <c r="P31" s="40">
        <f t="shared" si="8"/>
        <v>4.1256666523287483E-5</v>
      </c>
      <c r="Q31" s="40">
        <f t="shared" si="9"/>
        <v>9.9672221224890965E-4</v>
      </c>
      <c r="R31" s="9">
        <f t="shared" si="14"/>
        <v>3.9999999999999996E-5</v>
      </c>
      <c r="S31" s="9">
        <f t="shared" si="10"/>
        <v>1.1543785976337055E-6</v>
      </c>
      <c r="T31" s="9">
        <f t="shared" si="11"/>
        <v>2.0038062925923231E-6</v>
      </c>
      <c r="U31" s="9">
        <f t="shared" si="12"/>
        <v>3.8845621402366288E-5</v>
      </c>
      <c r="V31" s="102">
        <f t="shared" si="13"/>
        <v>5.1583839317093816E-2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121</v>
      </c>
      <c r="C32" s="46" t="s">
        <v>122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3.9109447814528924</v>
      </c>
      <c r="J32" s="94">
        <f t="shared" si="2"/>
        <v>5.6147977266030304</v>
      </c>
      <c r="K32" s="95">
        <f t="shared" si="3"/>
        <v>1.1794875278632986E-4</v>
      </c>
      <c r="L32" s="95">
        <f t="shared" si="4"/>
        <v>3.4185710597492584E-2</v>
      </c>
      <c r="M32" s="95">
        <f t="shared" si="5"/>
        <v>0.96581428940250746</v>
      </c>
      <c r="N32" s="95">
        <f t="shared" si="6"/>
        <v>2.7309147294166704E-2</v>
      </c>
      <c r="O32" s="40">
        <f t="shared" si="7"/>
        <v>1.1864590268921037E-10</v>
      </c>
      <c r="P32" s="40">
        <f t="shared" si="8"/>
        <v>4.8870915135586889E-5</v>
      </c>
      <c r="Q32" s="40">
        <f t="shared" si="9"/>
        <v>1.3013458903463153E-3</v>
      </c>
      <c r="R32" s="9">
        <f t="shared" si="14"/>
        <v>3.9999999999999996E-5</v>
      </c>
      <c r="S32" s="9">
        <f t="shared" si="10"/>
        <v>1.3674284238997033E-6</v>
      </c>
      <c r="T32" s="9">
        <f t="shared" si="11"/>
        <v>4.7179501114531935E-9</v>
      </c>
      <c r="U32" s="9">
        <f t="shared" si="12"/>
        <v>3.8632571576100298E-5</v>
      </c>
      <c r="V32" s="102">
        <f t="shared" si="13"/>
        <v>1.2212363606599547E-4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123</v>
      </c>
      <c r="C33" s="96" t="s">
        <v>124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3.4646398062685493</v>
      </c>
      <c r="J33" s="94">
        <f t="shared" si="2"/>
        <v>5.1323855239773488</v>
      </c>
      <c r="K33" s="95">
        <f t="shared" si="3"/>
        <v>3.3050982819945752E-4</v>
      </c>
      <c r="L33" s="95">
        <f t="shared" si="4"/>
        <v>3.1544484502441197E-2</v>
      </c>
      <c r="M33" s="95">
        <f t="shared" si="5"/>
        <v>0.96845551549755882</v>
      </c>
      <c r="N33" s="95">
        <f t="shared" si="6"/>
        <v>2.3672774727689343E-2</v>
      </c>
      <c r="O33" s="40">
        <f t="shared" si="7"/>
        <v>3.324633452073713E-10</v>
      </c>
      <c r="P33" s="40">
        <f t="shared" si="8"/>
        <v>4.5095093773704203E-5</v>
      </c>
      <c r="Q33" s="40">
        <f t="shared" si="9"/>
        <v>1.1280640795237489E-3</v>
      </c>
      <c r="R33" s="9">
        <f t="shared" si="14"/>
        <v>3.9999999999999996E-5</v>
      </c>
      <c r="S33" s="9">
        <f t="shared" si="10"/>
        <v>1.2617793800976477E-6</v>
      </c>
      <c r="T33" s="9">
        <f t="shared" si="11"/>
        <v>1.3220393127978299E-8</v>
      </c>
      <c r="U33" s="9">
        <f t="shared" si="12"/>
        <v>3.8738220619902353E-5</v>
      </c>
      <c r="V33" s="102">
        <f t="shared" si="13"/>
        <v>3.4127517775522508E-4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125</v>
      </c>
      <c r="C34" s="46" t="s">
        <v>126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3.4579829545014036</v>
      </c>
      <c r="J34" s="94">
        <f t="shared" si="2"/>
        <v>5.1505570683328576</v>
      </c>
      <c r="K34" s="95">
        <f t="shared" si="3"/>
        <v>3.3499317415106673E-4</v>
      </c>
      <c r="L34" s="95">
        <f t="shared" si="4"/>
        <v>3.3338538592903311E-2</v>
      </c>
      <c r="M34" s="95">
        <f t="shared" si="5"/>
        <v>0.96666146140709674</v>
      </c>
      <c r="N34" s="95">
        <f t="shared" si="6"/>
        <v>2.6145607958106994E-2</v>
      </c>
      <c r="O34" s="40">
        <f t="shared" si="7"/>
        <v>3.3697319049976125E-10</v>
      </c>
      <c r="P34" s="40">
        <f t="shared" si="8"/>
        <v>4.7659822242740541E-5</v>
      </c>
      <c r="Q34" s="40">
        <f t="shared" si="9"/>
        <v>1.2459004706513175E-3</v>
      </c>
      <c r="R34" s="9">
        <f t="shared" si="14"/>
        <v>3.9999999999999996E-5</v>
      </c>
      <c r="S34" s="9">
        <f t="shared" si="10"/>
        <v>1.3335415437161323E-6</v>
      </c>
      <c r="T34" s="9">
        <f t="shared" si="11"/>
        <v>1.3399726966042667E-8</v>
      </c>
      <c r="U34" s="9">
        <f t="shared" si="12"/>
        <v>3.8666458456283867E-5</v>
      </c>
      <c r="V34" s="102">
        <f t="shared" si="13"/>
        <v>3.4654652898176186E-4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127</v>
      </c>
      <c r="C35" s="46" t="s">
        <v>128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0.62193942428688143</v>
      </c>
      <c r="J35" s="94">
        <f t="shared" si="2"/>
        <v>2.0279953279061091</v>
      </c>
      <c r="K35" s="95">
        <f t="shared" si="3"/>
        <v>0.23341555297330566</v>
      </c>
      <c r="L35" s="95">
        <f t="shared" si="4"/>
        <v>1.7517763174724723E-2</v>
      </c>
      <c r="M35" s="95">
        <f t="shared" si="5"/>
        <v>0.98248223682527525</v>
      </c>
      <c r="N35" s="95">
        <f t="shared" si="6"/>
        <v>8.7636006230891756E-3</v>
      </c>
      <c r="O35" s="40">
        <f t="shared" si="7"/>
        <v>2.347951829078496E-7</v>
      </c>
      <c r="P35" s="40">
        <f t="shared" si="8"/>
        <v>2.5042893727067184E-5</v>
      </c>
      <c r="Q35" s="40">
        <f t="shared" si="9"/>
        <v>4.1760643540596844E-4</v>
      </c>
      <c r="R35" s="9">
        <f t="shared" si="14"/>
        <v>3.9999999999999996E-5</v>
      </c>
      <c r="S35" s="9">
        <f t="shared" si="10"/>
        <v>7.0071052698898887E-7</v>
      </c>
      <c r="T35" s="9">
        <f t="shared" si="11"/>
        <v>9.3366221189322246E-6</v>
      </c>
      <c r="U35" s="9">
        <f t="shared" si="12"/>
        <v>3.9299289473011009E-5</v>
      </c>
      <c r="V35" s="102">
        <f t="shared" si="13"/>
        <v>0.23757737720281685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81</v>
      </c>
      <c r="C36" s="46" t="s">
        <v>82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6.3597288158186656</v>
      </c>
      <c r="J36" s="94">
        <f t="shared" si="2"/>
        <v>8.2323333278785089</v>
      </c>
      <c r="K36" s="95">
        <f t="shared" si="3"/>
        <v>4.129674333479456E-7</v>
      </c>
      <c r="L36" s="95">
        <f t="shared" si="4"/>
        <v>4.9613819760706855E-2</v>
      </c>
      <c r="M36" s="95">
        <f t="shared" si="5"/>
        <v>0.95038618023929311</v>
      </c>
      <c r="N36" s="95">
        <f t="shared" si="6"/>
        <v>4.8571508470440526E-2</v>
      </c>
      <c r="O36" s="40">
        <f t="shared" si="7"/>
        <v>4.1540832567830278E-13</v>
      </c>
      <c r="P36" s="40">
        <f t="shared" si="8"/>
        <v>7.0926499192199179E-5</v>
      </c>
      <c r="Q36" s="40">
        <f t="shared" si="9"/>
        <v>2.3145480250652303E-3</v>
      </c>
      <c r="R36" s="9">
        <f t="shared" si="14"/>
        <v>3.9999999999999996E-5</v>
      </c>
      <c r="S36" s="9">
        <f t="shared" si="10"/>
        <v>1.9845527904282739E-6</v>
      </c>
      <c r="T36" s="9">
        <f t="shared" si="11"/>
        <v>1.6518697333917823E-11</v>
      </c>
      <c r="U36" s="9">
        <f t="shared" si="12"/>
        <v>3.8015447209571723E-5</v>
      </c>
      <c r="V36" s="102">
        <f t="shared" si="13"/>
        <v>4.3452592423425871E-7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129</v>
      </c>
      <c r="C37" s="96" t="s">
        <v>130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2.0466328175843658</v>
      </c>
      <c r="J37" s="94">
        <f t="shared" si="2"/>
        <v>3.7118118425949667</v>
      </c>
      <c r="K37" s="95">
        <f t="shared" si="3"/>
        <v>8.6551002148342257E-3</v>
      </c>
      <c r="L37" s="95">
        <f t="shared" si="4"/>
        <v>3.1364435510288224E-2</v>
      </c>
      <c r="M37" s="95">
        <f t="shared" si="5"/>
        <v>0.96863556448971178</v>
      </c>
      <c r="N37" s="95">
        <f t="shared" si="6"/>
        <v>2.3582611025018706E-2</v>
      </c>
      <c r="O37" s="40">
        <f t="shared" si="7"/>
        <v>8.7062571972664489E-9</v>
      </c>
      <c r="P37" s="40">
        <f t="shared" si="8"/>
        <v>4.4837700878779226E-5</v>
      </c>
      <c r="Q37" s="40">
        <f t="shared" si="9"/>
        <v>1.1237675644160104E-3</v>
      </c>
      <c r="R37" s="9">
        <f t="shared" si="14"/>
        <v>3.9999999999999996E-5</v>
      </c>
      <c r="S37" s="9">
        <f t="shared" si="10"/>
        <v>1.2545774204115289E-6</v>
      </c>
      <c r="T37" s="9">
        <f t="shared" si="11"/>
        <v>3.4620400859336902E-7</v>
      </c>
      <c r="U37" s="9">
        <f t="shared" si="12"/>
        <v>3.8745422579588471E-5</v>
      </c>
      <c r="V37" s="102">
        <f t="shared" si="13"/>
        <v>8.9353525021495898E-3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131</v>
      </c>
      <c r="C38" s="46" t="s">
        <v>132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0.75425121724867172</v>
      </c>
      <c r="J38" s="94">
        <f t="shared" si="2"/>
        <v>2.2606800266912841</v>
      </c>
      <c r="K38" s="95">
        <f t="shared" si="3"/>
        <v>0.1713343302102823</v>
      </c>
      <c r="L38" s="95">
        <f t="shared" si="4"/>
        <v>2.1972422941273211E-2</v>
      </c>
      <c r="M38" s="95">
        <f t="shared" si="5"/>
        <v>0.97802757705872678</v>
      </c>
      <c r="N38" s="95">
        <f t="shared" si="6"/>
        <v>1.3725184087140735E-2</v>
      </c>
      <c r="O38" s="40">
        <f t="shared" si="7"/>
        <v>1.7234702181442821E-7</v>
      </c>
      <c r="P38" s="40">
        <f t="shared" si="8"/>
        <v>3.1411148053331579E-5</v>
      </c>
      <c r="Q38" s="40">
        <f t="shared" si="9"/>
        <v>6.5403770076198728E-4</v>
      </c>
      <c r="R38" s="9">
        <f t="shared" si="14"/>
        <v>3.9999999999999996E-5</v>
      </c>
      <c r="S38" s="9">
        <f t="shared" si="10"/>
        <v>8.788969176509283E-7</v>
      </c>
      <c r="T38" s="9">
        <f t="shared" si="11"/>
        <v>6.8533732084112909E-6</v>
      </c>
      <c r="U38" s="9">
        <f t="shared" si="12"/>
        <v>3.9121103082349067E-5</v>
      </c>
      <c r="V38" s="102">
        <f t="shared" si="13"/>
        <v>0.17518353697709113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83</v>
      </c>
      <c r="C39" s="46" t="s">
        <v>84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-1.6810051832329899E-4</v>
      </c>
      <c r="J39" s="94">
        <f t="shared" si="2"/>
        <v>-1.2814749346534773E-2</v>
      </c>
      <c r="K39" s="95">
        <f t="shared" si="3"/>
        <v>0.99452894516195345</v>
      </c>
      <c r="L39" s="95">
        <f t="shared" si="4"/>
        <v>6.7944797775705101E-4</v>
      </c>
      <c r="M39" s="95">
        <f t="shared" si="5"/>
        <v>0.9993205520222429</v>
      </c>
      <c r="N39" s="95">
        <f t="shared" si="6"/>
        <v>1.0169022645108552E-6</v>
      </c>
      <c r="O39" s="40">
        <f t="shared" si="7"/>
        <v>1.0004072248482808E-6</v>
      </c>
      <c r="P39" s="40">
        <f t="shared" si="8"/>
        <v>9.7131941620211545E-7</v>
      </c>
      <c r="Q39" s="40">
        <f t="shared" si="9"/>
        <v>4.8457814099810137E-8</v>
      </c>
      <c r="R39" s="9">
        <f t="shared" si="14"/>
        <v>3.9999999999999996E-5</v>
      </c>
      <c r="S39" s="9">
        <f t="shared" si="10"/>
        <v>2.717791911028204E-8</v>
      </c>
      <c r="T39" s="9">
        <f t="shared" si="11"/>
        <v>3.9781157806478135E-5</v>
      </c>
      <c r="U39" s="9">
        <f t="shared" si="12"/>
        <v>3.9972822080889713E-5</v>
      </c>
      <c r="V39" s="102">
        <f t="shared" si="13"/>
        <v>0.99520513527857191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133</v>
      </c>
      <c r="C40" s="46" t="s">
        <v>134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1.0570731161685156</v>
      </c>
      <c r="J40" s="94">
        <f t="shared" si="2"/>
        <v>2.5355592122209871</v>
      </c>
      <c r="K40" s="95">
        <f t="shared" si="3"/>
        <v>8.5431402116886865E-2</v>
      </c>
      <c r="L40" s="95">
        <f t="shared" si="4"/>
        <v>2.0631475028927367E-2</v>
      </c>
      <c r="M40" s="95">
        <f t="shared" si="5"/>
        <v>0.97936852497107263</v>
      </c>
      <c r="N40" s="95">
        <f t="shared" si="6"/>
        <v>1.02465419182738E-2</v>
      </c>
      <c r="O40" s="40">
        <f t="shared" si="7"/>
        <v>8.5936354414234418E-8</v>
      </c>
      <c r="P40" s="40">
        <f t="shared" si="8"/>
        <v>2.9494167230639458E-5</v>
      </c>
      <c r="Q40" s="40">
        <f t="shared" si="9"/>
        <v>4.8827211893412339E-4</v>
      </c>
      <c r="R40" s="9">
        <f t="shared" si="14"/>
        <v>3.9999999999999996E-5</v>
      </c>
      <c r="S40" s="9">
        <f t="shared" si="10"/>
        <v>8.2525900115709464E-7</v>
      </c>
      <c r="T40" s="9">
        <f t="shared" si="11"/>
        <v>3.4172560846754743E-6</v>
      </c>
      <c r="U40" s="9">
        <f t="shared" si="12"/>
        <v>3.91747409988429E-5</v>
      </c>
      <c r="V40" s="102">
        <f t="shared" si="13"/>
        <v>8.7231108554780473E-2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135</v>
      </c>
      <c r="C41" s="96" t="s">
        <v>136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1.1393826628828596</v>
      </c>
      <c r="J41" s="94">
        <f t="shared" si="2"/>
        <v>2.6167182318767161</v>
      </c>
      <c r="K41" s="95">
        <f t="shared" si="3"/>
        <v>7.0685721250756312E-2</v>
      </c>
      <c r="L41" s="95">
        <f t="shared" si="4"/>
        <v>2.0578013974942286E-2</v>
      </c>
      <c r="M41" s="95">
        <f t="shared" si="5"/>
        <v>0.9794219860250577</v>
      </c>
      <c r="N41" s="95">
        <f t="shared" si="6"/>
        <v>9.8929879631100039E-3</v>
      </c>
      <c r="O41" s="40">
        <f t="shared" si="7"/>
        <v>7.1103517476158335E-8</v>
      </c>
      <c r="P41" s="40">
        <f t="shared" si="8"/>
        <v>2.9417740835321071E-5</v>
      </c>
      <c r="Q41" s="40">
        <f t="shared" si="9"/>
        <v>4.7142443117543722E-4</v>
      </c>
      <c r="R41" s="9">
        <f t="shared" si="14"/>
        <v>3.9999999999999996E-5</v>
      </c>
      <c r="S41" s="9">
        <f t="shared" si="10"/>
        <v>8.2312055899769135E-7</v>
      </c>
      <c r="T41" s="9">
        <f t="shared" si="11"/>
        <v>2.8274288500302523E-6</v>
      </c>
      <c r="U41" s="9">
        <f t="shared" si="12"/>
        <v>3.9176879441002307E-5</v>
      </c>
      <c r="V41" s="102">
        <f t="shared" si="13"/>
        <v>7.2170854094904785E-2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137</v>
      </c>
      <c r="C42" s="46" t="s">
        <v>138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2.466507651261447</v>
      </c>
      <c r="J42" s="94">
        <f t="shared" si="2"/>
        <v>4.195712087091966</v>
      </c>
      <c r="K42" s="95">
        <f t="shared" si="3"/>
        <v>3.2752084478018572E-3</v>
      </c>
      <c r="L42" s="95">
        <f t="shared" si="4"/>
        <v>3.6166340334732539E-2</v>
      </c>
      <c r="M42" s="95">
        <f t="shared" si="5"/>
        <v>0.96383365966526746</v>
      </c>
      <c r="N42" s="95">
        <f t="shared" si="6"/>
        <v>3.009897681513473E-2</v>
      </c>
      <c r="O42" s="40">
        <f t="shared" si="7"/>
        <v>3.2945669505190066E-9</v>
      </c>
      <c r="P42" s="40">
        <f t="shared" si="8"/>
        <v>5.1702366818524104E-5</v>
      </c>
      <c r="Q42" s="40">
        <f t="shared" si="9"/>
        <v>1.434287909471682E-3</v>
      </c>
      <c r="R42" s="9">
        <f t="shared" si="14"/>
        <v>3.9999999999999996E-5</v>
      </c>
      <c r="S42" s="9">
        <f t="shared" si="10"/>
        <v>1.4466536133893015E-6</v>
      </c>
      <c r="T42" s="9">
        <f t="shared" si="11"/>
        <v>1.3100833791207429E-7</v>
      </c>
      <c r="U42" s="9">
        <f t="shared" si="12"/>
        <v>3.8553346386610694E-5</v>
      </c>
      <c r="V42" s="102">
        <f t="shared" si="13"/>
        <v>3.3981054873507047E-3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139</v>
      </c>
      <c r="C43" s="46" t="s">
        <v>140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2.2273249528367836</v>
      </c>
      <c r="J43" s="94">
        <f t="shared" si="2"/>
        <v>3.9025095498636322</v>
      </c>
      <c r="K43" s="95">
        <f t="shared" si="3"/>
        <v>5.7050915701590266E-3</v>
      </c>
      <c r="L43" s="95">
        <f t="shared" si="4"/>
        <v>3.2071974768290323E-2</v>
      </c>
      <c r="M43" s="95">
        <f t="shared" si="5"/>
        <v>0.96792802523170973</v>
      </c>
      <c r="N43" s="95">
        <f t="shared" si="6"/>
        <v>2.4501823463345965E-2</v>
      </c>
      <c r="O43" s="40">
        <f t="shared" si="7"/>
        <v>5.7388121813575698E-9</v>
      </c>
      <c r="P43" s="40">
        <f t="shared" si="8"/>
        <v>4.5849178786611676E-5</v>
      </c>
      <c r="Q43" s="40">
        <f t="shared" si="9"/>
        <v>1.1675702257033481E-3</v>
      </c>
      <c r="R43" s="9">
        <f t="shared" si="14"/>
        <v>3.9999999999999996E-5</v>
      </c>
      <c r="S43" s="9">
        <f t="shared" si="10"/>
        <v>1.2828789907316129E-6</v>
      </c>
      <c r="T43" s="9">
        <f t="shared" si="11"/>
        <v>2.2820366280636103E-7</v>
      </c>
      <c r="U43" s="9">
        <f t="shared" si="12"/>
        <v>3.8717121009268383E-5</v>
      </c>
      <c r="V43" s="102">
        <f t="shared" si="13"/>
        <v>5.8941278911655648E-3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85</v>
      </c>
      <c r="C44" s="46" t="s">
        <v>86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0.70532975413914478</v>
      </c>
      <c r="J44" s="94">
        <f t="shared" si="2"/>
        <v>2.2038999237977572</v>
      </c>
      <c r="K44" s="95">
        <f t="shared" si="3"/>
        <v>0.19183904705396482</v>
      </c>
      <c r="L44" s="95">
        <f t="shared" si="4"/>
        <v>2.1586909183508054E-2</v>
      </c>
      <c r="M44" s="95">
        <f t="shared" si="5"/>
        <v>0.97841309081649197</v>
      </c>
      <c r="N44" s="95">
        <f t="shared" si="6"/>
        <v>1.3583002961029576E-2</v>
      </c>
      <c r="O44" s="40">
        <f t="shared" si="7"/>
        <v>1.9297293418598598E-7</v>
      </c>
      <c r="P44" s="40">
        <f t="shared" si="8"/>
        <v>3.0860028599909305E-5</v>
      </c>
      <c r="Q44" s="40">
        <f t="shared" si="9"/>
        <v>6.4726243157629977E-4</v>
      </c>
      <c r="R44" s="9">
        <f t="shared" si="14"/>
        <v>3.9999999999999996E-5</v>
      </c>
      <c r="S44" s="9">
        <f t="shared" si="10"/>
        <v>8.6347636734032207E-7</v>
      </c>
      <c r="T44" s="9">
        <f t="shared" si="11"/>
        <v>7.6735618821585926E-6</v>
      </c>
      <c r="U44" s="9">
        <f t="shared" si="12"/>
        <v>3.9136523632659672E-5</v>
      </c>
      <c r="V44" s="102">
        <f t="shared" si="13"/>
        <v>0.19607162746961398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141</v>
      </c>
      <c r="C45" s="46" t="s">
        <v>142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2.3272580136650043</v>
      </c>
      <c r="J45" s="94">
        <f t="shared" si="2"/>
        <v>3.9287211418950596</v>
      </c>
      <c r="K45" s="95">
        <f t="shared" si="3"/>
        <v>4.5552228212872121E-3</v>
      </c>
      <c r="L45" s="95">
        <f t="shared" si="4"/>
        <v>2.7200964252129919E-2</v>
      </c>
      <c r="M45" s="95">
        <f t="shared" si="5"/>
        <v>0.97279903574787008</v>
      </c>
      <c r="N45" s="95">
        <f t="shared" si="6"/>
        <v>1.7766276323453734E-2</v>
      </c>
      <c r="O45" s="40">
        <f t="shared" si="7"/>
        <v>4.5821469987154586E-9</v>
      </c>
      <c r="P45" s="40">
        <f t="shared" si="8"/>
        <v>3.8885721324437705E-5</v>
      </c>
      <c r="Q45" s="40">
        <f t="shared" si="9"/>
        <v>8.4660536747048346E-4</v>
      </c>
      <c r="R45" s="9">
        <f t="shared" si="14"/>
        <v>3.9999999999999996E-5</v>
      </c>
      <c r="S45" s="9">
        <f t="shared" si="10"/>
        <v>1.0880385700851966E-6</v>
      </c>
      <c r="T45" s="9">
        <f t="shared" si="11"/>
        <v>1.8220891285148846E-7</v>
      </c>
      <c r="U45" s="9">
        <f t="shared" si="12"/>
        <v>3.8911961429914801E-5</v>
      </c>
      <c r="V45" s="102">
        <f t="shared" si="13"/>
        <v>4.68259389030463E-3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87</v>
      </c>
      <c r="C46" s="46" t="s">
        <v>88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0.64458903464573347</v>
      </c>
      <c r="J46" s="94">
        <f t="shared" si="2"/>
        <v>2.1195388952426257</v>
      </c>
      <c r="K46" s="95">
        <f t="shared" si="3"/>
        <v>0.22088909877263763</v>
      </c>
      <c r="L46" s="95">
        <f t="shared" si="4"/>
        <v>2.0467590093764355E-2</v>
      </c>
      <c r="M46" s="95">
        <f t="shared" si="5"/>
        <v>0.97953240990623569</v>
      </c>
      <c r="N46" s="95">
        <f t="shared" si="6"/>
        <v>1.2591604386678803E-2</v>
      </c>
      <c r="O46" s="40">
        <f t="shared" si="7"/>
        <v>2.2219468963408301E-7</v>
      </c>
      <c r="P46" s="40">
        <f t="shared" si="8"/>
        <v>2.9259882009757133E-5</v>
      </c>
      <c r="Q46" s="40">
        <f t="shared" si="9"/>
        <v>6.0001992903568945E-4</v>
      </c>
      <c r="R46" s="9">
        <f t="shared" si="14"/>
        <v>3.9999999999999996E-5</v>
      </c>
      <c r="S46" s="9">
        <f t="shared" si="10"/>
        <v>8.1870360375057414E-7</v>
      </c>
      <c r="T46" s="9">
        <f t="shared" si="11"/>
        <v>8.8355639509055049E-6</v>
      </c>
      <c r="U46" s="9">
        <f t="shared" si="12"/>
        <v>3.9181296396249425E-5</v>
      </c>
      <c r="V46" s="102">
        <f t="shared" si="13"/>
        <v>0.22550463521036726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143</v>
      </c>
      <c r="C47" s="46" t="s">
        <v>144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1.6299602750984028</v>
      </c>
      <c r="J47" s="94">
        <f t="shared" si="2"/>
        <v>3.1044657046165054</v>
      </c>
      <c r="K47" s="95">
        <f t="shared" si="3"/>
        <v>2.2846103223755028E-2</v>
      </c>
      <c r="L47" s="95">
        <f t="shared" si="4"/>
        <v>2.0447083547313262E-2</v>
      </c>
      <c r="M47" s="95">
        <f t="shared" si="5"/>
        <v>0.97955291645268672</v>
      </c>
      <c r="N47" s="95">
        <f t="shared" si="6"/>
        <v>8.8045450842793496E-3</v>
      </c>
      <c r="O47" s="40">
        <f t="shared" si="7"/>
        <v>2.2981137789762624E-8</v>
      </c>
      <c r="P47" s="40">
        <f t="shared" si="8"/>
        <v>2.9230566436851989E-5</v>
      </c>
      <c r="Q47" s="40">
        <f t="shared" si="9"/>
        <v>4.195575364684926E-4</v>
      </c>
      <c r="R47" s="9">
        <f t="shared" si="14"/>
        <v>3.9999999999999996E-5</v>
      </c>
      <c r="S47" s="9">
        <f t="shared" si="10"/>
        <v>8.1788334189253043E-7</v>
      </c>
      <c r="T47" s="9">
        <f t="shared" si="11"/>
        <v>9.1384412895020106E-7</v>
      </c>
      <c r="U47" s="9">
        <f t="shared" si="12"/>
        <v>3.9182116658107462E-5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145</v>
      </c>
      <c r="C48" s="46" t="s">
        <v>146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1.2562556297488592</v>
      </c>
      <c r="K48" s="95">
        <f t="shared" ref="K48:K50" si="17">IF(D48=0,"",1/(1+10^D48*$J$15/$J$14+10^E48*$J$16/$J$14+10^J48*$J$19/$J$14))</f>
        <v>0.62423932000758786</v>
      </c>
      <c r="L48" s="95">
        <f t="shared" ref="L48:L50" si="18">IF(D48=0,"",1/(1+10^I48/10^J48*$J$13/$J$19))</f>
        <v>7.9242885775182639E-3</v>
      </c>
      <c r="M48" s="95">
        <f t="shared" ref="M48:M92" si="19">IF(D48=0,"",1-L48)</f>
        <v>0.99207571142248174</v>
      </c>
      <c r="N48" s="95">
        <f t="shared" ref="N48:N50" si="20">IF(D48=0,"",1/(1/10^E48*$J$20/$J$22+10^D48/10^E48*$J$21/$J$22+10^I48/10^E48*$J$13/$J$22+1))</f>
        <v>2.9586112735103288E-3</v>
      </c>
      <c r="O48" s="40">
        <f t="shared" ref="O48:O92" si="21">IF(D48=0,"",F48*K48*$J$7/$J$14)</f>
        <v>6.279289595420208E-7</v>
      </c>
      <c r="P48" s="40">
        <f t="shared" ref="P48:P50" si="22">IF(D48=0,"",O48*10^J48)</f>
        <v>1.132833654217504E-5</v>
      </c>
      <c r="Q48" s="40">
        <f t="shared" ref="Q48:Q50" si="23">IF(D48=0,"",F48*N48*$J$7/$J$22)</f>
        <v>1.4098487149532315E-4</v>
      </c>
      <c r="R48" s="9">
        <f t="shared" si="14"/>
        <v>3.9999999999999996E-5</v>
      </c>
      <c r="S48" s="9">
        <f t="shared" si="10"/>
        <v>3.1697154310073053E-7</v>
      </c>
      <c r="T48" s="9">
        <f t="shared" si="11"/>
        <v>2.4969572800303511E-5</v>
      </c>
      <c r="U48" s="9">
        <f t="shared" si="12"/>
        <v>3.9683028456899264E-5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147</v>
      </c>
      <c r="C49" s="46" t="s">
        <v>148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6.5352597387686409E-2</v>
      </c>
      <c r="J49" s="94">
        <f t="shared" si="16"/>
        <v>0.77323378498268969</v>
      </c>
      <c r="K49" s="95">
        <f t="shared" si="17"/>
        <v>0.85279203083416277</v>
      </c>
      <c r="L49" s="95">
        <f t="shared" si="18"/>
        <v>3.5598397690323894E-3</v>
      </c>
      <c r="M49" s="95">
        <f t="shared" si="19"/>
        <v>0.9964401602309676</v>
      </c>
      <c r="N49" s="95">
        <f t="shared" si="20"/>
        <v>1.2809433406783277E-3</v>
      </c>
      <c r="O49" s="40">
        <f t="shared" si="21"/>
        <v>8.5783255790569804E-7</v>
      </c>
      <c r="P49" s="40">
        <f t="shared" si="22"/>
        <v>5.0890452241010159E-6</v>
      </c>
      <c r="Q49" s="40">
        <f t="shared" si="23"/>
        <v>6.1040000048419166E-5</v>
      </c>
      <c r="R49" s="9">
        <f t="shared" si="14"/>
        <v>3.9999999999999996E-5</v>
      </c>
      <c r="S49" s="9">
        <f t="shared" si="10"/>
        <v>1.4239359076129555E-7</v>
      </c>
      <c r="T49" s="9">
        <f t="shared" si="11"/>
        <v>3.411168123336651E-5</v>
      </c>
      <c r="U49" s="9">
        <f t="shared" si="12"/>
        <v>3.9857606409238702E-5</v>
      </c>
      <c r="V49" s="102">
        <f t="shared" si="13"/>
        <v>0.85583867940097047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149</v>
      </c>
      <c r="C50" s="46" t="s">
        <v>150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151</v>
      </c>
      <c r="C51" s="46" t="s">
        <v>152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153</v>
      </c>
      <c r="C52" s="46" t="s">
        <v>154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155</v>
      </c>
      <c r="C53" s="46" t="s">
        <v>156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157</v>
      </c>
      <c r="C54" s="46" t="s">
        <v>158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159</v>
      </c>
      <c r="C55" s="46" t="s">
        <v>160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161</v>
      </c>
      <c r="C56" s="46" t="s">
        <v>162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89</v>
      </c>
      <c r="C57" s="88" t="s">
        <v>90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3.7217650281818146E-4</v>
      </c>
      <c r="J57" s="54">
        <f t="shared" si="25"/>
        <v>9.6478749911243222E-3</v>
      </c>
      <c r="K57" s="55">
        <f t="shared" si="26"/>
        <v>0.99325754636279617</v>
      </c>
      <c r="L57" s="55">
        <f t="shared" si="27"/>
        <v>7.1460044207292354E-4</v>
      </c>
      <c r="M57" s="55">
        <f t="shared" si="28"/>
        <v>0.99928539955792706</v>
      </c>
      <c r="N57" s="55">
        <f t="shared" si="29"/>
        <v>2.5336852330922491E-5</v>
      </c>
      <c r="O57" s="56">
        <f t="shared" si="30"/>
        <v>9.9912831129777252E-7</v>
      </c>
      <c r="P57" s="56">
        <f t="shared" si="31"/>
        <v>1.0215723748319636E-6</v>
      </c>
      <c r="Q57" s="56">
        <f t="shared" si="32"/>
        <v>1.2073613394073398E-6</v>
      </c>
      <c r="R57" s="9">
        <f t="shared" ref="R57:R58" si="33">F57*$C$14</f>
        <v>3.9999999999999996E-5</v>
      </c>
      <c r="S57" s="9">
        <f t="shared" ref="S57:S58" si="34">$R57*L57</f>
        <v>2.8584017682916937E-8</v>
      </c>
      <c r="T57" s="9">
        <f t="shared" ref="T57:T58" si="35">R57*K57</f>
        <v>3.9730301854511846E-5</v>
      </c>
      <c r="U57" s="9">
        <f t="shared" ref="U57:U58" si="36">$R57*M57</f>
        <v>3.9971415982317081E-5</v>
      </c>
      <c r="V57" s="102">
        <f t="shared" ref="V57:V58" si="37">K57/M57</f>
        <v>0.99396783621796381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163</v>
      </c>
      <c r="C58" s="46" t="s">
        <v>164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0.27242732253974722</v>
      </c>
      <c r="J58" s="54">
        <f t="shared" si="25"/>
        <v>1.4426793422998627</v>
      </c>
      <c r="K58" s="55">
        <f t="shared" si="26"/>
        <v>0.52582489095960527</v>
      </c>
      <c r="L58" s="55">
        <f t="shared" si="27"/>
        <v>1.0253544367174154E-2</v>
      </c>
      <c r="M58" s="55">
        <f t="shared" si="28"/>
        <v>0.98974645563282582</v>
      </c>
      <c r="N58" s="55">
        <f t="shared" si="29"/>
        <v>4.3011533553986405E-3</v>
      </c>
      <c r="O58" s="56">
        <f t="shared" si="30"/>
        <v>5.2893284049705158E-7</v>
      </c>
      <c r="P58" s="56">
        <f t="shared" si="31"/>
        <v>1.4658174068901678E-5</v>
      </c>
      <c r="Q58" s="56">
        <f t="shared" si="32"/>
        <v>2.0496019822606763E-4</v>
      </c>
      <c r="R58" s="9">
        <f t="shared" si="33"/>
        <v>3.9999999999999996E-5</v>
      </c>
      <c r="S58" s="9">
        <f t="shared" si="34"/>
        <v>4.1014177468696614E-7</v>
      </c>
      <c r="T58" s="9">
        <f t="shared" si="35"/>
        <v>2.1032995638384209E-5</v>
      </c>
      <c r="U58" s="9">
        <f t="shared" si="36"/>
        <v>3.9589858225313031E-5</v>
      </c>
      <c r="V58" s="102">
        <f t="shared" si="37"/>
        <v>0.53127231521471063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165</v>
      </c>
      <c r="C59" s="46" t="s">
        <v>166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91</v>
      </c>
      <c r="C60" s="46" t="s">
        <v>92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0.35062624883359406</v>
      </c>
      <c r="J60" s="54">
        <f t="shared" si="25"/>
        <v>1.5441639506710698</v>
      </c>
      <c r="K60" s="55">
        <f t="shared" si="26"/>
        <v>0.43893175936736811</v>
      </c>
      <c r="L60" s="55">
        <f t="shared" si="27"/>
        <v>1.0812210411028833E-2</v>
      </c>
      <c r="M60" s="55">
        <f t="shared" si="28"/>
        <v>0.98918778958897113</v>
      </c>
      <c r="N60" s="55">
        <f t="shared" si="29"/>
        <v>3.4219589289525561E-3</v>
      </c>
      <c r="O60" s="56">
        <f t="shared" si="30"/>
        <v>4.4152611688438642E-7</v>
      </c>
      <c r="P60" s="56">
        <f t="shared" si="31"/>
        <v>1.5456827083309364E-5</v>
      </c>
      <c r="Q60" s="56">
        <f t="shared" si="32"/>
        <v>1.630644904858487E-4</v>
      </c>
      <c r="R60" s="9">
        <f t="shared" ref="R60:R65" si="38">F60*$C$14</f>
        <v>3.9999999999999996E-5</v>
      </c>
      <c r="S60" s="9">
        <f t="shared" ref="S60:S93" si="39">$R60*L60</f>
        <v>4.3248841644115329E-7</v>
      </c>
      <c r="T60" s="9">
        <f t="shared" ref="T60:T93" si="40">R60*K60</f>
        <v>1.7557270374694724E-5</v>
      </c>
      <c r="U60" s="9">
        <f t="shared" ref="U60:U93" si="41">$R60*M60</f>
        <v>3.9567511583558843E-5</v>
      </c>
      <c r="V60" s="102">
        <f t="shared" ref="V60:V93" si="42">K60/M60</f>
        <v>0.44372945560696186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93</v>
      </c>
      <c r="C61" s="46" t="s">
        <v>94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1.0599296125914559</v>
      </c>
      <c r="J61" s="54">
        <f t="shared" si="25"/>
        <v>2.4948597555667229</v>
      </c>
      <c r="K61" s="55">
        <f t="shared" si="26"/>
        <v>8.5038758546259641E-2</v>
      </c>
      <c r="L61" s="55">
        <f t="shared" si="27"/>
        <v>1.8699508826033481E-2</v>
      </c>
      <c r="M61" s="55">
        <f t="shared" si="28"/>
        <v>0.98130049117396656</v>
      </c>
      <c r="N61" s="55">
        <f t="shared" si="29"/>
        <v>7.576257001505265E-3</v>
      </c>
      <c r="O61" s="56">
        <f t="shared" si="30"/>
        <v>8.5541390077845263E-8</v>
      </c>
      <c r="P61" s="56">
        <f t="shared" si="31"/>
        <v>2.6732283546016725E-5</v>
      </c>
      <c r="Q61" s="56">
        <f t="shared" si="32"/>
        <v>3.6102668482887224E-4</v>
      </c>
      <c r="R61" s="9">
        <f t="shared" si="38"/>
        <v>3.9999999999999996E-5</v>
      </c>
      <c r="S61" s="9">
        <f t="shared" si="39"/>
        <v>7.4798035304133919E-7</v>
      </c>
      <c r="T61" s="9">
        <f t="shared" si="40"/>
        <v>3.4015503418503854E-6</v>
      </c>
      <c r="U61" s="9">
        <f t="shared" si="41"/>
        <v>3.9252019646958657E-5</v>
      </c>
      <c r="V61" s="102">
        <f t="shared" si="42"/>
        <v>8.6659243841327935E-2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167</v>
      </c>
      <c r="C62" s="46" t="s">
        <v>111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0.76837016932652724</v>
      </c>
      <c r="J62" s="54">
        <f t="shared" si="25"/>
        <v>2.201821660398279</v>
      </c>
      <c r="K62" s="55">
        <f t="shared" si="26"/>
        <v>0.16641940257910601</v>
      </c>
      <c r="L62" s="55">
        <f t="shared" si="27"/>
        <v>1.863713500661782E-2</v>
      </c>
      <c r="M62" s="55">
        <f t="shared" si="28"/>
        <v>0.98136286499338221</v>
      </c>
      <c r="N62" s="55">
        <f t="shared" si="29"/>
        <v>9.0348666203615355E-3</v>
      </c>
      <c r="O62" s="56">
        <f t="shared" si="30"/>
        <v>1.674030439284608E-7</v>
      </c>
      <c r="P62" s="56">
        <f t="shared" si="31"/>
        <v>2.6643115715889228E-5</v>
      </c>
      <c r="Q62" s="56">
        <f t="shared" si="32"/>
        <v>4.3053290604741848E-4</v>
      </c>
      <c r="R62" s="9">
        <f t="shared" si="38"/>
        <v>3.9999999999999996E-5</v>
      </c>
      <c r="S62" s="9">
        <f t="shared" si="39"/>
        <v>7.454854002647127E-7</v>
      </c>
      <c r="T62" s="9">
        <f t="shared" si="40"/>
        <v>6.6567761031642395E-6</v>
      </c>
      <c r="U62" s="9">
        <f t="shared" si="41"/>
        <v>3.9254514599735288E-5</v>
      </c>
      <c r="V62" s="102">
        <f t="shared" si="42"/>
        <v>0.16957988580526556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95</v>
      </c>
      <c r="C63" s="46" t="s">
        <v>96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0.7211484450377651</v>
      </c>
      <c r="J63" s="54">
        <f t="shared" si="25"/>
        <v>2.1362952925392569</v>
      </c>
      <c r="K63" s="55">
        <f t="shared" si="26"/>
        <v>0.18567775145639626</v>
      </c>
      <c r="L63" s="55">
        <f t="shared" si="27"/>
        <v>1.7881695408229793E-2</v>
      </c>
      <c r="M63" s="55">
        <f t="shared" si="28"/>
        <v>0.98211830459177019</v>
      </c>
      <c r="N63" s="55">
        <f t="shared" si="29"/>
        <v>8.3591603298215338E-3</v>
      </c>
      <c r="O63" s="56">
        <f t="shared" si="30"/>
        <v>1.8677522152994083E-7</v>
      </c>
      <c r="P63" s="56">
        <f t="shared" si="31"/>
        <v>2.5563160850022225E-5</v>
      </c>
      <c r="Q63" s="56">
        <f t="shared" si="32"/>
        <v>3.9833389247868618E-4</v>
      </c>
      <c r="R63" s="9">
        <f t="shared" si="38"/>
        <v>3.9999999999999996E-5</v>
      </c>
      <c r="S63" s="9">
        <f t="shared" si="39"/>
        <v>7.1526781632919162E-7</v>
      </c>
      <c r="T63" s="9">
        <f t="shared" si="40"/>
        <v>7.42711005825585E-6</v>
      </c>
      <c r="U63" s="9">
        <f t="shared" si="41"/>
        <v>3.9284732183670801E-5</v>
      </c>
      <c r="V63" s="102">
        <f t="shared" si="42"/>
        <v>0.18905843683829471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97</v>
      </c>
      <c r="C64" s="46" t="s">
        <v>98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0.2338148544799136</v>
      </c>
      <c r="J64" s="54">
        <f t="shared" si="25"/>
        <v>1.3833712193731031</v>
      </c>
      <c r="K64" s="55">
        <f t="shared" si="26"/>
        <v>0.57499078555672078</v>
      </c>
      <c r="L64" s="55">
        <f t="shared" si="27"/>
        <v>9.7810535495354237E-3</v>
      </c>
      <c r="M64" s="55">
        <f t="shared" si="28"/>
        <v>0.9902189464504646</v>
      </c>
      <c r="N64" s="55">
        <f t="shared" si="29"/>
        <v>4.5830719143710652E-3</v>
      </c>
      <c r="O64" s="56">
        <f t="shared" si="30"/>
        <v>5.7838933586639845E-7</v>
      </c>
      <c r="P64" s="56">
        <f t="shared" si="31"/>
        <v>1.3982714695743004E-5</v>
      </c>
      <c r="Q64" s="56">
        <f t="shared" si="32"/>
        <v>2.1839428879576783E-4</v>
      </c>
      <c r="R64" s="9">
        <f t="shared" si="38"/>
        <v>3.9999999999999996E-5</v>
      </c>
      <c r="S64" s="9">
        <f t="shared" si="39"/>
        <v>3.9124214198141693E-7</v>
      </c>
      <c r="T64" s="9">
        <f t="shared" si="40"/>
        <v>2.2999631422268829E-5</v>
      </c>
      <c r="U64" s="9">
        <f t="shared" si="41"/>
        <v>3.960875785801858E-5</v>
      </c>
      <c r="V64" s="102">
        <f t="shared" si="42"/>
        <v>0.58067035337773609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168</v>
      </c>
      <c r="C65" s="46" t="s">
        <v>169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1.2834731216469764</v>
      </c>
      <c r="J65" s="54">
        <f t="shared" si="25"/>
        <v>2.8252916173691829</v>
      </c>
      <c r="K65" s="55">
        <f t="shared" si="26"/>
        <v>5.0560700649215681E-2</v>
      </c>
      <c r="L65" s="55">
        <f t="shared" si="27"/>
        <v>2.3793494639158141E-2</v>
      </c>
      <c r="M65" s="55">
        <f t="shared" si="28"/>
        <v>0.97620650536084186</v>
      </c>
      <c r="N65" s="55">
        <f t="shared" si="29"/>
        <v>1.3942924333733966E-2</v>
      </c>
      <c r="O65" s="56">
        <f t="shared" si="30"/>
        <v>5.0859545585804596E-8</v>
      </c>
      <c r="P65" s="56">
        <f t="shared" si="31"/>
        <v>3.4014500122007952E-5</v>
      </c>
      <c r="Q65" s="56">
        <f t="shared" si="32"/>
        <v>6.6441354194131331E-4</v>
      </c>
      <c r="R65" s="9">
        <f t="shared" si="38"/>
        <v>3.9999999999999996E-5</v>
      </c>
      <c r="S65" s="9">
        <f t="shared" si="39"/>
        <v>9.5173978556632553E-7</v>
      </c>
      <c r="T65" s="9">
        <f t="shared" si="40"/>
        <v>2.0224280259686269E-6</v>
      </c>
      <c r="U65" s="9">
        <f t="shared" si="41"/>
        <v>3.9048260214433669E-5</v>
      </c>
      <c r="V65" s="102">
        <f t="shared" si="42"/>
        <v>5.1793038021731463E-2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170</v>
      </c>
      <c r="C66" s="46" t="s">
        <v>171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172</v>
      </c>
      <c r="C67" s="46" t="s">
        <v>173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99</v>
      </c>
      <c r="C68" s="46" t="s">
        <v>100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0.33491051106253611</v>
      </c>
      <c r="J68" s="54">
        <f t="shared" si="25"/>
        <v>1.5025773317670659</v>
      </c>
      <c r="K68" s="55">
        <f t="shared" si="26"/>
        <v>0.45539093513580969</v>
      </c>
      <c r="L68" s="55">
        <f t="shared" si="27"/>
        <v>1.0193310309754048E-2</v>
      </c>
      <c r="M68" s="55">
        <f t="shared" si="28"/>
        <v>0.98980668969024599</v>
      </c>
      <c r="N68" s="55">
        <f t="shared" si="29"/>
        <v>2.8813178409860039E-3</v>
      </c>
      <c r="O68" s="56">
        <f t="shared" si="30"/>
        <v>4.5808257653686564E-7</v>
      </c>
      <c r="P68" s="56">
        <f t="shared" si="31"/>
        <v>1.4572065181386962E-5</v>
      </c>
      <c r="Q68" s="56">
        <f t="shared" si="32"/>
        <v>1.3730165540355686E-4</v>
      </c>
      <c r="R68" s="9">
        <f>F68*$C$14</f>
        <v>3.9999999999999996E-5</v>
      </c>
      <c r="S68" s="9">
        <f t="shared" si="39"/>
        <v>4.0773241239016188E-7</v>
      </c>
      <c r="T68" s="9">
        <f t="shared" si="40"/>
        <v>1.8215637405432385E-5</v>
      </c>
      <c r="U68" s="9">
        <f t="shared" si="41"/>
        <v>3.9592267587609836E-5</v>
      </c>
      <c r="V68" s="102">
        <f t="shared" si="42"/>
        <v>0.46008068027739996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174</v>
      </c>
      <c r="C69" s="46" t="s">
        <v>175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2.1724337273682748</v>
      </c>
      <c r="J69" s="54">
        <f t="shared" si="25"/>
        <v>3.755700239680543</v>
      </c>
      <c r="K69" s="55">
        <f t="shared" si="26"/>
        <v>6.5135675598473651E-3</v>
      </c>
      <c r="L69" s="55">
        <f t="shared" si="27"/>
        <v>2.6113957560322996E-2</v>
      </c>
      <c r="M69" s="55">
        <f t="shared" si="28"/>
        <v>0.97388604243967702</v>
      </c>
      <c r="N69" s="55">
        <f t="shared" si="29"/>
        <v>1.6305221729468942E-2</v>
      </c>
      <c r="O69" s="56">
        <f t="shared" si="30"/>
        <v>6.5520667629714496E-9</v>
      </c>
      <c r="P69" s="56">
        <f t="shared" si="31"/>
        <v>3.7331767615164634E-5</v>
      </c>
      <c r="Q69" s="56">
        <f t="shared" si="32"/>
        <v>7.7698263736569381E-4</v>
      </c>
      <c r="R69" s="9">
        <f>F69*$C$14</f>
        <v>3.9999999999999996E-5</v>
      </c>
      <c r="S69" s="9">
        <f t="shared" si="39"/>
        <v>1.0445583024129197E-6</v>
      </c>
      <c r="T69" s="9">
        <f t="shared" si="40"/>
        <v>2.605427023938946E-7</v>
      </c>
      <c r="U69" s="9">
        <f t="shared" si="41"/>
        <v>3.8955441697587077E-5</v>
      </c>
      <c r="V69" s="102">
        <f t="shared" si="42"/>
        <v>6.6882235456730233E-3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176</v>
      </c>
      <c r="C70" s="46" t="s">
        <v>177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6.2122287627494992E-2</v>
      </c>
      <c r="J70" s="54">
        <f t="shared" si="25"/>
        <v>0.68923958342305858</v>
      </c>
      <c r="K70" s="55">
        <f t="shared" si="26"/>
        <v>0.8596781300651416</v>
      </c>
      <c r="L70" s="55">
        <f t="shared" si="27"/>
        <v>2.9575288802390263E-3</v>
      </c>
      <c r="M70" s="55">
        <f t="shared" si="28"/>
        <v>0.99704247111976096</v>
      </c>
      <c r="N70" s="55">
        <f t="shared" si="29"/>
        <v>5.8147314983284003E-4</v>
      </c>
      <c r="O70" s="56">
        <f t="shared" si="30"/>
        <v>8.6475935823182796E-7</v>
      </c>
      <c r="P70" s="56">
        <f t="shared" si="31"/>
        <v>4.2279987863645618E-6</v>
      </c>
      <c r="Q70" s="56">
        <f t="shared" si="32"/>
        <v>2.770858004941538E-5</v>
      </c>
      <c r="R70" s="9">
        <f t="shared" ref="R70:R86" si="43">F70*$C$14</f>
        <v>3.9999999999999996E-5</v>
      </c>
      <c r="S70" s="9">
        <f t="shared" si="39"/>
        <v>1.1830115520956103E-7</v>
      </c>
      <c r="T70" s="9">
        <f t="shared" si="40"/>
        <v>3.4387125202605663E-5</v>
      </c>
      <c r="U70" s="9">
        <f t="shared" si="41"/>
        <v>3.9881698844790434E-5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178</v>
      </c>
      <c r="C71" s="46" t="s">
        <v>179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1.3381242784059832</v>
      </c>
      <c r="K71" s="55">
        <f t="shared" ref="K71:K122" si="46">IF(D71=0,"",1/(1+10^D71*$J$15/$J$14+10^E71*$J$16/$J$14+10^J71*$J$19/$J$14))</f>
        <v>0.58667027271319205</v>
      </c>
      <c r="L71" s="55">
        <f t="shared" ref="L71:L122" si="47">IF(D71=0,"",1/(1+10^I71/10^J71*$J$13/$J$19))</f>
        <v>8.992322896698204E-3</v>
      </c>
      <c r="M71" s="55">
        <f t="shared" si="19"/>
        <v>0.99100767710330184</v>
      </c>
      <c r="N71" s="55">
        <f t="shared" ref="N71:N122" si="48">IF(D71=0,"",1/(1/10^E71*$J$20/$J$22+10^D71/10^E71*$J$21/$J$22+10^I71/10^E71*$J$13/$J$22+1))</f>
        <v>3.7176360382565206E-3</v>
      </c>
      <c r="O71" s="56">
        <f t="shared" si="21"/>
        <v>5.9013785599816169E-7</v>
      </c>
      <c r="P71" s="56">
        <f t="shared" ref="P71:P122" si="49">IF(D71=0,"",O71*10^J71)</f>
        <v>1.2855167889608416E-5</v>
      </c>
      <c r="Q71" s="56">
        <f t="shared" ref="Q71:Q122" si="50">IF(D71=0,"",F71*N71*$J$7/$J$22)</f>
        <v>1.7715420873729999E-4</v>
      </c>
      <c r="R71" s="9">
        <f t="shared" si="43"/>
        <v>3.9999999999999996E-5</v>
      </c>
      <c r="S71" s="9">
        <f t="shared" si="39"/>
        <v>3.5969291586792814E-7</v>
      </c>
      <c r="T71" s="9">
        <f t="shared" si="40"/>
        <v>2.3466810908527679E-5</v>
      </c>
      <c r="U71" s="9">
        <f t="shared" si="41"/>
        <v>3.9640307084132069E-5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180</v>
      </c>
      <c r="C72" s="46" t="s">
        <v>181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0.32073739190116707</v>
      </c>
      <c r="J72" s="54">
        <f t="shared" si="45"/>
        <v>1.4898227768640917</v>
      </c>
      <c r="K72" s="55">
        <f t="shared" si="46"/>
        <v>0.47048200516720079</v>
      </c>
      <c r="L72" s="55">
        <f t="shared" si="47"/>
        <v>1.0226318774402285E-2</v>
      </c>
      <c r="M72" s="55">
        <f t="shared" si="19"/>
        <v>0.98977368122559772</v>
      </c>
      <c r="N72" s="55">
        <f t="shared" si="48"/>
        <v>3.2132373337104493E-3</v>
      </c>
      <c r="O72" s="56">
        <f t="shared" si="21"/>
        <v>4.7326284410327284E-7</v>
      </c>
      <c r="P72" s="56">
        <f t="shared" si="49"/>
        <v>1.4619253139349104E-5</v>
      </c>
      <c r="Q72" s="56">
        <f t="shared" si="50"/>
        <v>1.5311840951638317E-4</v>
      </c>
      <c r="R72" s="9">
        <f t="shared" si="43"/>
        <v>3.9999999999999996E-5</v>
      </c>
      <c r="S72" s="9">
        <f t="shared" si="39"/>
        <v>4.0905275097609138E-7</v>
      </c>
      <c r="T72" s="9">
        <f t="shared" si="40"/>
        <v>1.881928020668803E-5</v>
      </c>
      <c r="U72" s="9">
        <f t="shared" si="41"/>
        <v>3.9590947249023908E-5</v>
      </c>
      <c r="V72" s="102">
        <f t="shared" si="42"/>
        <v>0.47534301435922349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182</v>
      </c>
      <c r="C73" s="46" t="s">
        <v>183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3.8293839195374848</v>
      </c>
      <c r="J73" s="54">
        <f t="shared" si="45"/>
        <v>5.6026792956514546</v>
      </c>
      <c r="K73" s="55">
        <f t="shared" si="46"/>
        <v>1.4147755605018814E-4</v>
      </c>
      <c r="L73" s="55">
        <f t="shared" si="47"/>
        <v>3.9876807044880849E-2</v>
      </c>
      <c r="M73" s="55">
        <f t="shared" si="19"/>
        <v>0.96012319295511916</v>
      </c>
      <c r="N73" s="55">
        <f t="shared" si="48"/>
        <v>3.515364283496273E-2</v>
      </c>
      <c r="O73" s="56">
        <f t="shared" si="21"/>
        <v>1.423137756975365E-10</v>
      </c>
      <c r="P73" s="56">
        <f t="shared" si="49"/>
        <v>5.7006744014017526E-5</v>
      </c>
      <c r="Q73" s="56">
        <f t="shared" si="50"/>
        <v>1.6751547802355813E-3</v>
      </c>
      <c r="R73" s="9">
        <f t="shared" si="43"/>
        <v>3.9999999999999996E-5</v>
      </c>
      <c r="S73" s="9">
        <f t="shared" si="39"/>
        <v>1.5950722817952338E-6</v>
      </c>
      <c r="T73" s="9">
        <f t="shared" si="40"/>
        <v>5.6591022420075252E-9</v>
      </c>
      <c r="U73" s="9">
        <f t="shared" si="41"/>
        <v>3.8404927718204761E-5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184</v>
      </c>
      <c r="C74" s="46" t="s">
        <v>185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3.8037572032670899E-2</v>
      </c>
      <c r="J74" s="54">
        <f t="shared" si="45"/>
        <v>0.53532069811024507</v>
      </c>
      <c r="K74" s="55">
        <f t="shared" si="46"/>
        <v>0.90939513911471648</v>
      </c>
      <c r="L74" s="55">
        <f t="shared" si="47"/>
        <v>2.1949612562286499E-3</v>
      </c>
      <c r="M74" s="55">
        <f t="shared" si="19"/>
        <v>0.99780503874377136</v>
      </c>
      <c r="N74" s="55">
        <f t="shared" si="48"/>
        <v>4.7403828192323907E-4</v>
      </c>
      <c r="O74" s="56">
        <f t="shared" si="21"/>
        <v>9.1477022548008356E-7</v>
      </c>
      <c r="P74" s="56">
        <f t="shared" si="49"/>
        <v>3.1378538987257288E-6</v>
      </c>
      <c r="Q74" s="56">
        <f t="shared" si="50"/>
        <v>2.2589052796218349E-5</v>
      </c>
      <c r="R74" s="9">
        <f t="shared" si="43"/>
        <v>3.9999999999999996E-5</v>
      </c>
      <c r="S74" s="9">
        <f t="shared" si="39"/>
        <v>8.7798450249145987E-8</v>
      </c>
      <c r="T74" s="9">
        <f t="shared" si="40"/>
        <v>3.6375805564588658E-5</v>
      </c>
      <c r="U74" s="9">
        <f t="shared" si="41"/>
        <v>3.9912201549750847E-5</v>
      </c>
      <c r="V74" s="102">
        <f t="shared" si="42"/>
        <v>0.9113956171835309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186</v>
      </c>
      <c r="C75" s="46" t="s">
        <v>187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4.0258976380178252E-2</v>
      </c>
      <c r="J75" s="54">
        <f t="shared" si="45"/>
        <v>0.54673395685959203</v>
      </c>
      <c r="K75" s="55">
        <f t="shared" si="46"/>
        <v>0.90471300626697337</v>
      </c>
      <c r="L75" s="55">
        <f t="shared" si="47"/>
        <v>2.2418075265061487E-3</v>
      </c>
      <c r="M75" s="55">
        <f t="shared" si="19"/>
        <v>0.99775819247349384</v>
      </c>
      <c r="N75" s="55">
        <f t="shared" si="48"/>
        <v>4.4974114451525862E-4</v>
      </c>
      <c r="O75" s="56">
        <f t="shared" si="21"/>
        <v>9.1006041833835278E-7</v>
      </c>
      <c r="P75" s="56">
        <f t="shared" si="49"/>
        <v>3.2048239882495753E-6</v>
      </c>
      <c r="Q75" s="56">
        <f t="shared" si="50"/>
        <v>2.1431236348400919E-5</v>
      </c>
      <c r="R75" s="9">
        <f t="shared" si="43"/>
        <v>3.9999999999999996E-5</v>
      </c>
      <c r="S75" s="9">
        <f t="shared" si="39"/>
        <v>8.9672301060245937E-8</v>
      </c>
      <c r="T75" s="9">
        <f t="shared" si="40"/>
        <v>3.6188520250678929E-5</v>
      </c>
      <c r="U75" s="9">
        <f t="shared" si="41"/>
        <v>3.991032769893975E-5</v>
      </c>
      <c r="V75" s="102">
        <f t="shared" si="42"/>
        <v>0.90674575572678917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188</v>
      </c>
      <c r="C76" s="46" t="s">
        <v>189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1.137117589232139</v>
      </c>
      <c r="J76" s="54">
        <f t="shared" si="45"/>
        <v>2.6329837818619519</v>
      </c>
      <c r="K76" s="55">
        <f t="shared" si="46"/>
        <v>7.0991665721118619E-2</v>
      </c>
      <c r="L76" s="55">
        <f t="shared" si="47"/>
        <v>2.1455798430478575E-2</v>
      </c>
      <c r="M76" s="55">
        <f t="shared" si="19"/>
        <v>0.97854420156952138</v>
      </c>
      <c r="N76" s="55">
        <f t="shared" si="48"/>
        <v>1.1108646666239487E-2</v>
      </c>
      <c r="O76" s="56">
        <f t="shared" si="21"/>
        <v>7.1411270267107026E-8</v>
      </c>
      <c r="P76" s="56">
        <f t="shared" si="49"/>
        <v>3.0672596413399896E-5</v>
      </c>
      <c r="Q76" s="56">
        <f t="shared" si="50"/>
        <v>5.293534628050407E-4</v>
      </c>
      <c r="R76" s="9">
        <f t="shared" si="43"/>
        <v>3.9999999999999996E-5</v>
      </c>
      <c r="S76" s="9">
        <f t="shared" si="39"/>
        <v>8.582319372191429E-7</v>
      </c>
      <c r="T76" s="9">
        <f t="shared" si="40"/>
        <v>2.8396666288447444E-6</v>
      </c>
      <c r="U76" s="9">
        <f t="shared" si="41"/>
        <v>3.9141768062780853E-5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101</v>
      </c>
      <c r="C77" s="46" t="s">
        <v>102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2.0958974367173925E-3</v>
      </c>
      <c r="J77" s="54">
        <f t="shared" si="45"/>
        <v>4.6195916093205912E-2</v>
      </c>
      <c r="K77" s="55">
        <f t="shared" si="46"/>
        <v>0.98926408578962399</v>
      </c>
      <c r="L77" s="55">
        <f t="shared" si="47"/>
        <v>7.7421519568529932E-4</v>
      </c>
      <c r="M77" s="55">
        <f t="shared" si="19"/>
        <v>0.99922578480431468</v>
      </c>
      <c r="N77" s="55">
        <f t="shared" si="48"/>
        <v>3.1709327368050295E-5</v>
      </c>
      <c r="O77" s="56">
        <f t="shared" si="21"/>
        <v>9.9511124690866342E-7</v>
      </c>
      <c r="P77" s="56">
        <f t="shared" si="49"/>
        <v>1.1067959233175413E-6</v>
      </c>
      <c r="Q77" s="56">
        <f t="shared" si="50"/>
        <v>1.5110249474860921E-6</v>
      </c>
      <c r="R77" s="9">
        <f t="shared" si="43"/>
        <v>3.9999999999999996E-5</v>
      </c>
      <c r="S77" s="9">
        <f t="shared" si="39"/>
        <v>3.0968607827411973E-8</v>
      </c>
      <c r="T77" s="9">
        <f t="shared" si="40"/>
        <v>3.957056343158496E-5</v>
      </c>
      <c r="U77" s="9">
        <f t="shared" si="41"/>
        <v>3.9969031392172583E-5</v>
      </c>
      <c r="V77" s="102">
        <f t="shared" si="42"/>
        <v>0.99003058251079701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190</v>
      </c>
      <c r="C78" s="46" t="s">
        <v>191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0.86907068032969315</v>
      </c>
      <c r="K78" s="55">
        <f t="shared" si="46"/>
        <v>0.80937159640793466</v>
      </c>
      <c r="L78" s="55">
        <f t="shared" si="47"/>
        <v>4.2128129037617432E-3</v>
      </c>
      <c r="M78" s="55">
        <f t="shared" si="19"/>
        <v>0.99578718709623826</v>
      </c>
      <c r="N78" s="55">
        <f t="shared" si="48"/>
        <v>1.3568309652679824E-3</v>
      </c>
      <c r="O78" s="56">
        <f t="shared" si="21"/>
        <v>8.1415548192177487E-7</v>
      </c>
      <c r="P78" s="56">
        <f t="shared" si="49"/>
        <v>6.0225169611348226E-6</v>
      </c>
      <c r="Q78" s="56">
        <f t="shared" si="50"/>
        <v>6.4656226044936674E-5</v>
      </c>
      <c r="R78" s="9">
        <f t="shared" si="43"/>
        <v>3.9999999999999996E-5</v>
      </c>
      <c r="S78" s="9">
        <f t="shared" si="39"/>
        <v>1.6851251615046972E-7</v>
      </c>
      <c r="T78" s="9">
        <f t="shared" si="40"/>
        <v>3.2374863856317383E-5</v>
      </c>
      <c r="U78" s="9">
        <f t="shared" si="41"/>
        <v>3.983148748384953E-5</v>
      </c>
      <c r="V78" s="102">
        <f t="shared" si="42"/>
        <v>0.81279575284363703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192</v>
      </c>
      <c r="C79" s="46" t="s">
        <v>193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1.8284615251176457</v>
      </c>
      <c r="K79" s="55">
        <f t="shared" si="46"/>
        <v>0.30530731530908622</v>
      </c>
      <c r="L79" s="55">
        <f t="shared" si="47"/>
        <v>1.4472790236943291E-2</v>
      </c>
      <c r="M79" s="55">
        <f t="shared" si="19"/>
        <v>0.98552720976305674</v>
      </c>
      <c r="N79" s="55">
        <f t="shared" si="48"/>
        <v>5.9311921959664124E-3</v>
      </c>
      <c r="O79" s="56">
        <f t="shared" si="21"/>
        <v>3.071118699159673E-7</v>
      </c>
      <c r="P79" s="56">
        <f t="shared" si="49"/>
        <v>2.0689887414441638E-5</v>
      </c>
      <c r="Q79" s="56">
        <f t="shared" si="50"/>
        <v>2.8263543002398045E-4</v>
      </c>
      <c r="R79" s="9">
        <f t="shared" si="43"/>
        <v>3.9999999999999996E-5</v>
      </c>
      <c r="S79" s="9">
        <f t="shared" si="39"/>
        <v>5.7891160947773161E-7</v>
      </c>
      <c r="T79" s="9">
        <f t="shared" si="40"/>
        <v>1.2212292612363448E-5</v>
      </c>
      <c r="U79" s="9">
        <f t="shared" si="41"/>
        <v>3.9421088390522265E-5</v>
      </c>
      <c r="V79" s="102">
        <f t="shared" si="42"/>
        <v>0.30979085334689954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194</v>
      </c>
      <c r="C80" s="46" t="s">
        <v>195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4.6407720127189611</v>
      </c>
      <c r="K80" s="55">
        <f t="shared" si="46"/>
        <v>1.0142721501096698E-3</v>
      </c>
      <c r="L80" s="55">
        <f t="shared" si="47"/>
        <v>3.1209013834188025E-2</v>
      </c>
      <c r="M80" s="55">
        <f t="shared" si="19"/>
        <v>0.96879098616581194</v>
      </c>
      <c r="N80" s="55">
        <f t="shared" si="48"/>
        <v>2.3223372471055572E-2</v>
      </c>
      <c r="O80" s="56">
        <f t="shared" si="21"/>
        <v>1.0202671243187174E-9</v>
      </c>
      <c r="P80" s="56">
        <f t="shared" si="49"/>
        <v>4.4615514491245633E-5</v>
      </c>
      <c r="Q80" s="56">
        <f t="shared" si="50"/>
        <v>1.1066489919897766E-3</v>
      </c>
      <c r="R80" s="9">
        <f t="shared" si="43"/>
        <v>3.9999999999999996E-5</v>
      </c>
      <c r="S80" s="9">
        <f t="shared" si="39"/>
        <v>1.248360553367521E-6</v>
      </c>
      <c r="T80" s="9">
        <f t="shared" si="40"/>
        <v>4.0570886004386787E-8</v>
      </c>
      <c r="U80" s="9">
        <f t="shared" si="41"/>
        <v>3.8751639446632474E-5</v>
      </c>
      <c r="V80" s="102">
        <f t="shared" si="42"/>
        <v>1.0469463120459644E-3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196</v>
      </c>
      <c r="C81" s="46" t="s">
        <v>197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2.0764178865334513</v>
      </c>
      <c r="K81" s="55">
        <f t="shared" si="46"/>
        <v>0.22164433141622061</v>
      </c>
      <c r="L81" s="55">
        <f t="shared" si="47"/>
        <v>1.8596364386667119E-2</v>
      </c>
      <c r="M81" s="55">
        <f t="shared" si="19"/>
        <v>0.98140363561333288</v>
      </c>
      <c r="N81" s="55">
        <f t="shared" si="48"/>
        <v>1.002682454705949E-2</v>
      </c>
      <c r="O81" s="56">
        <f t="shared" si="21"/>
        <v>2.2295438616856514E-7</v>
      </c>
      <c r="P81" s="56">
        <f t="shared" si="49"/>
        <v>2.658483120248256E-5</v>
      </c>
      <c r="Q81" s="56">
        <f t="shared" si="50"/>
        <v>4.778020630591634E-4</v>
      </c>
      <c r="R81" s="9">
        <f t="shared" si="43"/>
        <v>3.9999999999999996E-5</v>
      </c>
      <c r="S81" s="9">
        <f t="shared" si="39"/>
        <v>7.4385457546668472E-7</v>
      </c>
      <c r="T81" s="9">
        <f t="shared" si="40"/>
        <v>8.8657732566488233E-6</v>
      </c>
      <c r="U81" s="9">
        <f t="shared" si="41"/>
        <v>3.9256145424533315E-5</v>
      </c>
      <c r="V81" s="102">
        <f t="shared" si="42"/>
        <v>0.22584421269002425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198</v>
      </c>
      <c r="C82" s="46" t="s">
        <v>199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2.8909048143104648</v>
      </c>
      <c r="K82" s="55">
        <f t="shared" si="46"/>
        <v>4.7085887060369327E-2</v>
      </c>
      <c r="L82" s="55">
        <f t="shared" si="47"/>
        <v>2.5772058181592637E-2</v>
      </c>
      <c r="M82" s="55">
        <f t="shared" si="19"/>
        <v>0.97422794181840733</v>
      </c>
      <c r="N82" s="55">
        <f t="shared" si="48"/>
        <v>1.6604031305166956E-2</v>
      </c>
      <c r="O82" s="56">
        <f t="shared" si="21"/>
        <v>4.7364193704701936E-8</v>
      </c>
      <c r="P82" s="56">
        <f t="shared" si="49"/>
        <v>3.6842998031885363E-5</v>
      </c>
      <c r="Q82" s="56">
        <f t="shared" si="50"/>
        <v>7.9122162509907498E-4</v>
      </c>
      <c r="R82" s="9">
        <f t="shared" si="43"/>
        <v>3.9999999999999996E-5</v>
      </c>
      <c r="S82" s="9">
        <f t="shared" si="39"/>
        <v>1.0308823272637054E-6</v>
      </c>
      <c r="T82" s="9">
        <f t="shared" si="40"/>
        <v>1.883435482414773E-6</v>
      </c>
      <c r="U82" s="9">
        <f t="shared" si="41"/>
        <v>3.8969117672736287E-5</v>
      </c>
      <c r="V82" s="102">
        <f t="shared" si="42"/>
        <v>4.8331489007062342E-2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200</v>
      </c>
      <c r="C83" s="46" t="s">
        <v>201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2.2596675735780232</v>
      </c>
      <c r="K83" s="55">
        <f t="shared" si="46"/>
        <v>0.16030642313213228</v>
      </c>
      <c r="L83" s="55">
        <f t="shared" si="47"/>
        <v>2.0510300802016379E-2</v>
      </c>
      <c r="M83" s="55">
        <f t="shared" si="19"/>
        <v>0.97948969919798357</v>
      </c>
      <c r="N83" s="55">
        <f t="shared" si="48"/>
        <v>1.1500632102326637E-2</v>
      </c>
      <c r="O83" s="56">
        <f t="shared" si="21"/>
        <v>1.6125393300127133E-7</v>
      </c>
      <c r="P83" s="56">
        <f t="shared" si="49"/>
        <v>2.9320940017968278E-5</v>
      </c>
      <c r="Q83" s="56">
        <f t="shared" si="50"/>
        <v>5.4803250213325072E-4</v>
      </c>
      <c r="R83" s="9">
        <f t="shared" si="43"/>
        <v>3.9999999999999996E-5</v>
      </c>
      <c r="S83" s="9">
        <f t="shared" si="39"/>
        <v>8.2041203208065504E-7</v>
      </c>
      <c r="T83" s="9">
        <f t="shared" si="40"/>
        <v>6.4122569252852908E-6</v>
      </c>
      <c r="U83" s="9">
        <f t="shared" si="41"/>
        <v>3.9179587967919339E-5</v>
      </c>
      <c r="V83" s="102">
        <f t="shared" si="42"/>
        <v>0.16366320469055762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103</v>
      </c>
      <c r="C84" s="46" t="s">
        <v>104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0.6838067096740571</v>
      </c>
      <c r="K84" s="55">
        <f t="shared" si="46"/>
        <v>0.87107755569860723</v>
      </c>
      <c r="L84" s="55">
        <f t="shared" si="47"/>
        <v>2.959491286797936E-3</v>
      </c>
      <c r="M84" s="55">
        <f t="shared" si="19"/>
        <v>0.99704050871320204</v>
      </c>
      <c r="N84" s="55">
        <f t="shared" si="48"/>
        <v>8.0053552786407776E-4</v>
      </c>
      <c r="O84" s="56">
        <f t="shared" si="21"/>
        <v>8.7622616150418779E-7</v>
      </c>
      <c r="P84" s="56">
        <f t="shared" si="49"/>
        <v>4.2308041867124207E-6</v>
      </c>
      <c r="Q84" s="56">
        <f t="shared" si="50"/>
        <v>3.8147423939694411E-5</v>
      </c>
      <c r="R84" s="9">
        <f t="shared" si="43"/>
        <v>3.9999999999999996E-5</v>
      </c>
      <c r="S84" s="9">
        <f t="shared" si="39"/>
        <v>1.1837965147191743E-7</v>
      </c>
      <c r="T84" s="9">
        <f t="shared" si="40"/>
        <v>3.4843102227944288E-5</v>
      </c>
      <c r="U84" s="9">
        <f t="shared" si="41"/>
        <v>3.988162034852808E-5</v>
      </c>
      <c r="V84" s="102">
        <f t="shared" si="42"/>
        <v>0.87366315419103202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202</v>
      </c>
      <c r="C85" s="46" t="s">
        <v>203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0.61860589125383425</v>
      </c>
      <c r="J85" s="54">
        <f t="shared" si="45"/>
        <v>2.0545505923588281</v>
      </c>
      <c r="K85" s="55">
        <f t="shared" si="46"/>
        <v>0.23492089095688853</v>
      </c>
      <c r="L85" s="55">
        <f t="shared" si="47"/>
        <v>1.8742424231854991E-2</v>
      </c>
      <c r="M85" s="55">
        <f t="shared" si="19"/>
        <v>0.98125757576814499</v>
      </c>
      <c r="N85" s="55">
        <f t="shared" si="48"/>
        <v>1.0480124120344105E-2</v>
      </c>
      <c r="O85" s="56">
        <f t="shared" si="21"/>
        <v>2.3630941836770305E-7</v>
      </c>
      <c r="P85" s="56">
        <f t="shared" si="49"/>
        <v>2.6793634184024704E-5</v>
      </c>
      <c r="Q85" s="56">
        <f t="shared" si="50"/>
        <v>4.994028670108736E-4</v>
      </c>
      <c r="R85" s="9">
        <f t="shared" si="43"/>
        <v>3.9999999999999996E-5</v>
      </c>
      <c r="S85" s="9">
        <f t="shared" si="39"/>
        <v>7.4969696927419961E-7</v>
      </c>
      <c r="T85" s="9">
        <f t="shared" si="40"/>
        <v>9.3968356382755401E-6</v>
      </c>
      <c r="U85" s="9">
        <f t="shared" si="41"/>
        <v>3.9250303030725796E-5</v>
      </c>
      <c r="V85" s="102">
        <f t="shared" si="42"/>
        <v>0.23940797682299522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105</v>
      </c>
      <c r="C86" s="46" t="s">
        <v>106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1.4348617200490665</v>
      </c>
      <c r="K86" s="55">
        <f t="shared" si="46"/>
        <v>0.53892492402887016</v>
      </c>
      <c r="L86" s="55">
        <f t="shared" si="47"/>
        <v>1.032151674402911E-2</v>
      </c>
      <c r="M86" s="55">
        <f t="shared" si="19"/>
        <v>0.98967848325597085</v>
      </c>
      <c r="N86" s="55">
        <f t="shared" si="48"/>
        <v>4.6434744056591485E-3</v>
      </c>
      <c r="O86" s="56">
        <f t="shared" si="21"/>
        <v>5.4211030284442447E-7</v>
      </c>
      <c r="P86" s="56">
        <f t="shared" si="49"/>
        <v>1.4755345436785618E-5</v>
      </c>
      <c r="Q86" s="56">
        <f t="shared" si="50"/>
        <v>2.2127261132110046E-4</v>
      </c>
      <c r="R86" s="9">
        <f t="shared" si="43"/>
        <v>3.9999999999999996E-5</v>
      </c>
      <c r="S86" s="9">
        <f t="shared" si="39"/>
        <v>4.128606697611644E-7</v>
      </c>
      <c r="T86" s="9">
        <f t="shared" si="40"/>
        <v>2.1556996961154804E-5</v>
      </c>
      <c r="U86" s="9">
        <f t="shared" si="41"/>
        <v>3.9587139330238833E-5</v>
      </c>
      <c r="V86" s="102">
        <f t="shared" si="42"/>
        <v>0.54454545910288565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204</v>
      </c>
      <c r="C87" s="46" t="s">
        <v>205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206</v>
      </c>
      <c r="C88" s="46" t="s">
        <v>207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3.8273795064858471</v>
      </c>
      <c r="K88" s="55">
        <f t="shared" si="46"/>
        <v>7.0260890095453447E-3</v>
      </c>
      <c r="L88" s="55">
        <f t="shared" si="47"/>
        <v>3.3223599742423983E-2</v>
      </c>
      <c r="M88" s="55">
        <f t="shared" si="19"/>
        <v>0.96677640025757605</v>
      </c>
      <c r="N88" s="55">
        <f t="shared" si="48"/>
        <v>2.6114182462820573E-2</v>
      </c>
      <c r="O88" s="56">
        <f t="shared" si="21"/>
        <v>7.0676175306608487E-9</v>
      </c>
      <c r="P88" s="56">
        <f t="shared" si="49"/>
        <v>4.7495508946062383E-5</v>
      </c>
      <c r="Q88" s="56">
        <f t="shared" si="50"/>
        <v>1.2444029709783118E-3</v>
      </c>
      <c r="R88" s="9">
        <f>F88*$C$14</f>
        <v>3.9999999999999996E-5</v>
      </c>
      <c r="S88" s="9">
        <f t="shared" si="39"/>
        <v>1.3289439896969591E-6</v>
      </c>
      <c r="T88" s="9">
        <f t="shared" si="40"/>
        <v>2.8104356038181374E-7</v>
      </c>
      <c r="U88" s="9">
        <f t="shared" si="41"/>
        <v>3.8671056010303041E-5</v>
      </c>
      <c r="V88" s="102">
        <f t="shared" si="42"/>
        <v>7.267542947545471E-3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208</v>
      </c>
      <c r="C89" s="46" t="s">
        <v>209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5.2755325389810421</v>
      </c>
      <c r="K89" s="55">
        <f t="shared" si="46"/>
        <v>2.8840392111807565E-4</v>
      </c>
      <c r="L89" s="55">
        <f t="shared" si="47"/>
        <v>3.8272535267176826E-2</v>
      </c>
      <c r="M89" s="55">
        <f t="shared" si="19"/>
        <v>0.96172746473282322</v>
      </c>
      <c r="N89" s="55">
        <f t="shared" si="48"/>
        <v>3.2945260634005165E-2</v>
      </c>
      <c r="O89" s="56">
        <f t="shared" si="21"/>
        <v>2.9010856623596057E-10</v>
      </c>
      <c r="P89" s="56">
        <f t="shared" si="49"/>
        <v>5.4713322916948392E-5</v>
      </c>
      <c r="Q89" s="56">
        <f t="shared" si="50"/>
        <v>1.5699201103070938E-3</v>
      </c>
      <c r="R89" s="9">
        <f>F89*$C$14</f>
        <v>3.9999999999999996E-5</v>
      </c>
      <c r="S89" s="9">
        <f t="shared" si="39"/>
        <v>1.530901410687073E-6</v>
      </c>
      <c r="T89" s="9">
        <f t="shared" si="40"/>
        <v>1.1536156844723026E-8</v>
      </c>
      <c r="U89" s="9">
        <f t="shared" si="41"/>
        <v>3.8469098589312922E-5</v>
      </c>
      <c r="V89" s="102">
        <f t="shared" si="42"/>
        <v>2.9988113233118171E-4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210</v>
      </c>
      <c r="C90" s="46" t="s">
        <v>211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5.6475701029544298</v>
      </c>
      <c r="K90" s="55">
        <f t="shared" si="46"/>
        <v>1.2975271916343577E-4</v>
      </c>
      <c r="L90" s="55">
        <f t="shared" si="47"/>
        <v>4.0554598213782489E-2</v>
      </c>
      <c r="M90" s="55">
        <f t="shared" si="19"/>
        <v>0.95944540178621751</v>
      </c>
      <c r="N90" s="55">
        <f t="shared" si="48"/>
        <v>3.6087621148116387E-2</v>
      </c>
      <c r="O90" s="56">
        <f t="shared" si="21"/>
        <v>1.305196377906055E-10</v>
      </c>
      <c r="P90" s="56">
        <f t="shared" si="49"/>
        <v>5.7975694903617369E-5</v>
      </c>
      <c r="Q90" s="56">
        <f t="shared" si="50"/>
        <v>1.7196610706152415E-3</v>
      </c>
      <c r="R90" s="9">
        <f>F90*$C$14</f>
        <v>3.9999999999999996E-5</v>
      </c>
      <c r="S90" s="9">
        <f t="shared" si="39"/>
        <v>1.6221839285512995E-6</v>
      </c>
      <c r="T90" s="9">
        <f t="shared" si="40"/>
        <v>5.1901087665374303E-9</v>
      </c>
      <c r="U90" s="9">
        <f t="shared" si="41"/>
        <v>3.83778160714487E-5</v>
      </c>
      <c r="V90" s="102">
        <f t="shared" si="42"/>
        <v>1.3523720987340467E-4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107</v>
      </c>
      <c r="C91" s="46" t="s">
        <v>108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6.0714479293479418</v>
      </c>
      <c r="K91" s="55">
        <f t="shared" si="46"/>
        <v>5.142569385348981E-5</v>
      </c>
      <c r="L91" s="55">
        <f t="shared" si="47"/>
        <v>4.2656146728310064E-2</v>
      </c>
      <c r="M91" s="55">
        <f t="shared" si="19"/>
        <v>0.95734385327168992</v>
      </c>
      <c r="N91" s="55">
        <f t="shared" si="48"/>
        <v>3.8982702808046978E-2</v>
      </c>
      <c r="O91" s="56">
        <f t="shared" si="21"/>
        <v>5.1729651433613374E-11</v>
      </c>
      <c r="P91" s="56">
        <f t="shared" si="49"/>
        <v>6.0980008615742704E-5</v>
      </c>
      <c r="Q91" s="56">
        <f t="shared" si="50"/>
        <v>1.8576186047625052E-3</v>
      </c>
      <c r="R91" s="9">
        <f t="shared" ref="R91:R92" si="51">F91*$C$14</f>
        <v>3.9999999999999996E-5</v>
      </c>
      <c r="S91" s="9">
        <f t="shared" si="39"/>
        <v>1.7062458691324024E-6</v>
      </c>
      <c r="T91" s="9">
        <f t="shared" si="40"/>
        <v>2.0570277541395923E-9</v>
      </c>
      <c r="U91" s="9">
        <f t="shared" si="41"/>
        <v>3.829375413086759E-5</v>
      </c>
      <c r="V91" s="102">
        <f t="shared" si="42"/>
        <v>5.3717056497249405E-5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109</v>
      </c>
      <c r="C92" s="46" t="s">
        <v>110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7.3264606898122624</v>
      </c>
      <c r="K92" s="55">
        <f t="shared" si="46"/>
        <v>3.0851843229256048E-6</v>
      </c>
      <c r="L92" s="55">
        <f t="shared" si="47"/>
        <v>4.6035762185784125E-2</v>
      </c>
      <c r="M92" s="55">
        <f t="shared" si="19"/>
        <v>0.95396423781421591</v>
      </c>
      <c r="N92" s="55">
        <f t="shared" si="48"/>
        <v>4.3639915681726496E-2</v>
      </c>
      <c r="O92" s="56">
        <f t="shared" si="21"/>
        <v>3.103419665820603E-12</v>
      </c>
      <c r="P92" s="56">
        <f t="shared" si="49"/>
        <v>6.5811410313306048E-5</v>
      </c>
      <c r="Q92" s="56">
        <f t="shared" si="50"/>
        <v>2.0795458867954148E-3</v>
      </c>
      <c r="R92" s="9">
        <f t="shared" si="51"/>
        <v>3.9999999999999996E-5</v>
      </c>
      <c r="S92" s="9">
        <f t="shared" si="39"/>
        <v>1.8414304874313649E-6</v>
      </c>
      <c r="T92" s="9">
        <f t="shared" si="40"/>
        <v>1.2340737291702419E-10</v>
      </c>
      <c r="U92" s="9">
        <f t="shared" si="41"/>
        <v>3.8158569512568631E-5</v>
      </c>
      <c r="V92" s="102">
        <f t="shared" si="42"/>
        <v>3.2340670652335744E-6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212</v>
      </c>
      <c r="C93" s="46" t="s">
        <v>213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1.3221349530045283</v>
      </c>
      <c r="K93" s="55">
        <f t="shared" si="46"/>
        <v>0.55667850577671563</v>
      </c>
      <c r="L93" s="55">
        <f t="shared" si="47"/>
        <v>8.2241862688932164E-3</v>
      </c>
      <c r="M93" s="55">
        <f t="shared" ref="M93:M127" si="52">IF(D93=0,"",1-L93)</f>
        <v>0.99177581373110679</v>
      </c>
      <c r="N93" s="55">
        <f t="shared" si="48"/>
        <v>2.0896773709327635E-3</v>
      </c>
      <c r="O93" s="56">
        <f t="shared" ref="O93:O127" si="53">IF(D93=0,"",F93*K93*$J$7/$J$14)</f>
        <v>5.5996881921428929E-7</v>
      </c>
      <c r="P93" s="56">
        <f t="shared" si="49"/>
        <v>1.1757061713259202E-5</v>
      </c>
      <c r="Q93" s="56">
        <f t="shared" si="50"/>
        <v>9.9578102147257925E-5</v>
      </c>
      <c r="R93" s="9">
        <f>F93*$C$14</f>
        <v>3.9999999999999996E-5</v>
      </c>
      <c r="S93" s="9">
        <f t="shared" si="39"/>
        <v>3.2896745075572865E-7</v>
      </c>
      <c r="T93" s="9">
        <f t="shared" si="40"/>
        <v>2.2267140231068625E-5</v>
      </c>
      <c r="U93" s="9">
        <f t="shared" si="41"/>
        <v>3.9671032549244265E-5</v>
      </c>
      <c r="V93" s="102">
        <f t="shared" si="42"/>
        <v>0.56129469792418629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214</v>
      </c>
      <c r="C94" s="46" t="s">
        <v>215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216</v>
      </c>
      <c r="C95" s="46" t="s">
        <v>217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218</v>
      </c>
      <c r="C96" s="46" t="s">
        <v>219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220</v>
      </c>
      <c r="C97" s="46" t="s">
        <v>221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222</v>
      </c>
      <c r="C98" s="46" t="s">
        <v>223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224</v>
      </c>
      <c r="C99" s="46" t="s">
        <v>225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226</v>
      </c>
      <c r="C100" s="46" t="s">
        <v>227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228</v>
      </c>
      <c r="C101" s="46" t="s">
        <v>229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230</v>
      </c>
      <c r="C102" s="46" t="s">
        <v>231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232</v>
      </c>
      <c r="C103" s="46" t="s">
        <v>233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234</v>
      </c>
      <c r="C104" s="46" t="s">
        <v>235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236</v>
      </c>
      <c r="C105" s="46" t="s">
        <v>237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238</v>
      </c>
      <c r="C106" s="46" t="s">
        <v>239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240</v>
      </c>
      <c r="C107" s="46" t="s">
        <v>241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0.33664255688928602</v>
      </c>
      <c r="K107" s="55">
        <f t="shared" si="46"/>
        <v>0.95070911872401043</v>
      </c>
      <c r="L107" s="55">
        <f t="shared" si="47"/>
        <v>1.4522579031209875E-3</v>
      </c>
      <c r="M107" s="55">
        <f t="shared" si="52"/>
        <v>0.99854774209687902</v>
      </c>
      <c r="N107" s="55">
        <f t="shared" si="48"/>
        <v>2.3449546405789301E-4</v>
      </c>
      <c r="O107" s="56">
        <f t="shared" si="53"/>
        <v>9.5632839619943025E-7</v>
      </c>
      <c r="P107" s="56">
        <f t="shared" si="49"/>
        <v>2.0761064052188167E-6</v>
      </c>
      <c r="Q107" s="56">
        <f t="shared" si="50"/>
        <v>1.1174267184892075E-5</v>
      </c>
      <c r="R107" s="9">
        <f>F107*$C$14</f>
        <v>3.9999999999999996E-5</v>
      </c>
      <c r="S107" s="9">
        <f t="shared" ref="S107:S108" si="54">$R107*L107</f>
        <v>5.8090316124839495E-8</v>
      </c>
      <c r="T107" s="9">
        <f t="shared" ref="T107:T108" si="55">R107*K107</f>
        <v>3.8028364748960415E-5</v>
      </c>
      <c r="U107" s="9">
        <f t="shared" ref="U107:U108" si="56">$R107*M107</f>
        <v>3.994190968387516E-5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242</v>
      </c>
      <c r="C108" s="46" t="s">
        <v>243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1.0476738921027908</v>
      </c>
      <c r="K108" s="55">
        <f t="shared" si="46"/>
        <v>0.72650924363200087</v>
      </c>
      <c r="L108" s="55">
        <f t="shared" si="47"/>
        <v>5.7051697216735147E-3</v>
      </c>
      <c r="M108" s="55">
        <f t="shared" si="52"/>
        <v>0.99429483027832644</v>
      </c>
      <c r="N108" s="55">
        <f t="shared" si="48"/>
        <v>1.8410472354996852E-3</v>
      </c>
      <c r="O108" s="56">
        <f t="shared" si="53"/>
        <v>7.3080336151519198E-7</v>
      </c>
      <c r="P108" s="56">
        <f t="shared" si="49"/>
        <v>8.1559476292552686E-6</v>
      </c>
      <c r="Q108" s="56">
        <f t="shared" si="50"/>
        <v>8.7730284217358811E-5</v>
      </c>
      <c r="R108" s="9">
        <f>F108*$C$14</f>
        <v>3.9999999999999996E-5</v>
      </c>
      <c r="S108" s="9">
        <f t="shared" si="54"/>
        <v>2.2820678886694058E-7</v>
      </c>
      <c r="T108" s="9">
        <f t="shared" si="55"/>
        <v>2.9060369745280034E-5</v>
      </c>
      <c r="U108" s="9">
        <f t="shared" si="56"/>
        <v>3.9771793211133057E-5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244</v>
      </c>
      <c r="C109" s="46" t="s">
        <v>245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246</v>
      </c>
      <c r="C110" s="46" t="s">
        <v>247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248</v>
      </c>
      <c r="C111" s="46" t="s">
        <v>249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250</v>
      </c>
      <c r="C112" s="46" t="s">
        <v>251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252</v>
      </c>
      <c r="C113" s="46" t="s">
        <v>253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254</v>
      </c>
      <c r="C114" s="46" t="s">
        <v>255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0.90660680878543065</v>
      </c>
      <c r="K114" s="55">
        <f t="shared" si="46"/>
        <v>0.79782252438837886</v>
      </c>
      <c r="L114" s="55">
        <f t="shared" si="47"/>
        <v>4.5275852279590594E-3</v>
      </c>
      <c r="M114" s="55">
        <f t="shared" si="52"/>
        <v>0.99547241477204096</v>
      </c>
      <c r="N114" s="55">
        <f t="shared" si="48"/>
        <v>1.5714844219093132E-3</v>
      </c>
      <c r="O114" s="56">
        <f t="shared" si="53"/>
        <v>8.0253814776085194E-7</v>
      </c>
      <c r="P114" s="56">
        <f t="shared" si="49"/>
        <v>6.4725064823123306E-6</v>
      </c>
      <c r="Q114" s="56">
        <f t="shared" si="50"/>
        <v>7.4884974333554738E-5</v>
      </c>
      <c r="R114" s="9">
        <f>F114*$C$14</f>
        <v>3.9999999999999996E-5</v>
      </c>
      <c r="S114" s="9">
        <f t="shared" ref="S114:S116" si="58">$R114*L114</f>
        <v>1.8110340911836235E-7</v>
      </c>
      <c r="T114" s="9">
        <f t="shared" ref="T114:T116" si="59">R114*K114</f>
        <v>3.1912900975535154E-5</v>
      </c>
      <c r="U114" s="9">
        <f t="shared" ref="U114:U116" si="60">$R114*M114</f>
        <v>3.9818896590881634E-5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256</v>
      </c>
      <c r="C115" s="46" t="s">
        <v>257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0.17110445915344102</v>
      </c>
      <c r="J115" s="54">
        <f t="shared" si="45"/>
        <v>1.0869139815525992</v>
      </c>
      <c r="K115" s="55">
        <f t="shared" si="46"/>
        <v>0.66702622594109306</v>
      </c>
      <c r="L115" s="55">
        <f t="shared" si="47"/>
        <v>5.7333759913476964E-3</v>
      </c>
      <c r="M115" s="55">
        <f t="shared" si="52"/>
        <v>0.99426662400865229</v>
      </c>
      <c r="N115" s="55">
        <f t="shared" si="48"/>
        <v>7.5095462545776714E-4</v>
      </c>
      <c r="O115" s="56">
        <f t="shared" si="53"/>
        <v>6.7096876248894457E-7</v>
      </c>
      <c r="P115" s="56">
        <f t="shared" si="49"/>
        <v>8.1962705064880597E-6</v>
      </c>
      <c r="Q115" s="56">
        <f t="shared" si="50"/>
        <v>3.5784775890266073E-5</v>
      </c>
      <c r="R115" s="9">
        <f>F115*$C$14</f>
        <v>3.9999999999999996E-5</v>
      </c>
      <c r="S115" s="9">
        <f t="shared" si="58"/>
        <v>2.2933503965390784E-7</v>
      </c>
      <c r="T115" s="9">
        <f t="shared" si="59"/>
        <v>2.6681049037643721E-5</v>
      </c>
      <c r="U115" s="9">
        <f t="shared" si="60"/>
        <v>3.9770664960346091E-5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258</v>
      </c>
      <c r="C116" s="46" t="s">
        <v>259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0.11008125501635208</v>
      </c>
      <c r="K116" s="55">
        <f t="shared" si="46"/>
        <v>0.98073541238662076</v>
      </c>
      <c r="L116" s="55">
        <f t="shared" si="47"/>
        <v>8.8917377302704151E-4</v>
      </c>
      <c r="M116" s="55">
        <f t="shared" si="52"/>
        <v>0.999110826226973</v>
      </c>
      <c r="N116" s="55">
        <f t="shared" si="48"/>
        <v>2.8285355665713299E-5</v>
      </c>
      <c r="O116" s="56">
        <f t="shared" si="53"/>
        <v>9.8653216378369086E-7</v>
      </c>
      <c r="P116" s="56">
        <f t="shared" si="49"/>
        <v>1.2711374209545149E-6</v>
      </c>
      <c r="Q116" s="56">
        <f t="shared" si="50"/>
        <v>1.347864543556157E-6</v>
      </c>
      <c r="R116" s="9">
        <f>F116*$C$14</f>
        <v>3.9999999999999996E-5</v>
      </c>
      <c r="S116" s="9">
        <f t="shared" si="58"/>
        <v>3.556695092108166E-8</v>
      </c>
      <c r="T116" s="9">
        <f t="shared" si="59"/>
        <v>3.9229416495464826E-5</v>
      </c>
      <c r="U116" s="9">
        <f t="shared" si="60"/>
        <v>3.9964433049078915E-5</v>
      </c>
      <c r="V116" s="102">
        <f t="shared" si="61"/>
        <v>0.98160823268250941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260</v>
      </c>
      <c r="C117" s="46" t="s">
        <v>261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262</v>
      </c>
      <c r="C118" s="46" t="s">
        <v>263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264</v>
      </c>
      <c r="C119" s="46" t="s">
        <v>265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3.0063821040542344</v>
      </c>
      <c r="K119" s="55">
        <f t="shared" si="46"/>
        <v>3.4816926125211381E-2</v>
      </c>
      <c r="L119" s="55">
        <f t="shared" si="47"/>
        <v>2.4861427546691354E-2</v>
      </c>
      <c r="M119" s="55">
        <f t="shared" si="52"/>
        <v>0.97513857245330859</v>
      </c>
      <c r="N119" s="55">
        <f t="shared" si="48"/>
        <v>1.5116046281191292E-2</v>
      </c>
      <c r="O119" s="56">
        <f t="shared" si="53"/>
        <v>3.5022715640516899E-8</v>
      </c>
      <c r="P119" s="56">
        <f t="shared" si="49"/>
        <v>3.5541186494248637E-5</v>
      </c>
      <c r="Q119" s="56">
        <f t="shared" si="50"/>
        <v>7.2031559588514875E-4</v>
      </c>
      <c r="R119" s="9">
        <f>F119*$C$14</f>
        <v>3.9999999999999996E-5</v>
      </c>
      <c r="S119" s="9">
        <f t="shared" ref="S119:S121" si="62">$R119*L119</f>
        <v>9.9445710186765406E-7</v>
      </c>
      <c r="T119" s="9">
        <f t="shared" ref="T119:T121" si="63">R119*K119</f>
        <v>1.3926770450084552E-6</v>
      </c>
      <c r="U119" s="9">
        <f t="shared" ref="U119:U121" si="64">$R119*M119</f>
        <v>3.9005542898132344E-5</v>
      </c>
      <c r="V119" s="102">
        <f t="shared" ref="V119:V121" si="65">K119/M119</f>
        <v>3.5704593284231381E-2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266</v>
      </c>
      <c r="C120" s="46" t="s">
        <v>267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1.2095466574573663</v>
      </c>
      <c r="K120" s="55">
        <f t="shared" si="46"/>
        <v>0.63457314766195416</v>
      </c>
      <c r="L120" s="55">
        <f t="shared" si="47"/>
        <v>7.2340562333966275E-3</v>
      </c>
      <c r="M120" s="55">
        <f t="shared" si="52"/>
        <v>0.99276594376660332</v>
      </c>
      <c r="N120" s="55">
        <f t="shared" si="48"/>
        <v>2.2033955990369688E-3</v>
      </c>
      <c r="O120" s="56">
        <f t="shared" si="53"/>
        <v>6.3832386649375515E-7</v>
      </c>
      <c r="P120" s="56">
        <f t="shared" si="49"/>
        <v>1.0341600103942867E-5</v>
      </c>
      <c r="Q120" s="56">
        <f t="shared" si="50"/>
        <v>1.0499704647410927E-4</v>
      </c>
      <c r="R120" s="9">
        <f>F120*$C$14</f>
        <v>3.9999999999999996E-5</v>
      </c>
      <c r="S120" s="9">
        <f t="shared" si="62"/>
        <v>2.8936224933586508E-7</v>
      </c>
      <c r="T120" s="9">
        <f t="shared" si="63"/>
        <v>2.5382925906478166E-5</v>
      </c>
      <c r="U120" s="9">
        <f t="shared" si="64"/>
        <v>3.9710637750664132E-5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268</v>
      </c>
      <c r="C121" s="46" t="s">
        <v>269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3.4992504399251074</v>
      </c>
      <c r="K121" s="55">
        <f t="shared" si="46"/>
        <v>9.8577707722414427E-3</v>
      </c>
      <c r="L121" s="55">
        <f t="shared" si="47"/>
        <v>2.1896902631310906E-2</v>
      </c>
      <c r="M121" s="55">
        <f t="shared" si="52"/>
        <v>0.97810309736868906</v>
      </c>
      <c r="N121" s="55">
        <f t="shared" si="48"/>
        <v>1.0556318911608919E-2</v>
      </c>
      <c r="O121" s="56">
        <f t="shared" si="53"/>
        <v>9.9160362797109132E-9</v>
      </c>
      <c r="P121" s="56">
        <f t="shared" si="49"/>
        <v>3.1303186375932619E-5</v>
      </c>
      <c r="Q121" s="56">
        <f t="shared" si="50"/>
        <v>5.0303373023081164E-4</v>
      </c>
      <c r="R121" s="9">
        <f>F121*$C$14</f>
        <v>3.9999999999999996E-5</v>
      </c>
      <c r="S121" s="9">
        <f t="shared" si="62"/>
        <v>8.7587610525243613E-7</v>
      </c>
      <c r="T121" s="9">
        <f t="shared" si="63"/>
        <v>3.9431083088965769E-7</v>
      </c>
      <c r="U121" s="9">
        <f t="shared" si="64"/>
        <v>3.9124123894747557E-5</v>
      </c>
      <c r="V121" s="102">
        <f t="shared" si="65"/>
        <v>1.0078457780944563E-2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270</v>
      </c>
      <c r="C122" s="46" t="s">
        <v>271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272</v>
      </c>
      <c r="C123" s="46" t="s">
        <v>273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274</v>
      </c>
      <c r="C124" s="46" t="s">
        <v>275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2.1544133005355879</v>
      </c>
      <c r="K124" s="55">
        <f t="shared" si="68"/>
        <v>0.20311746509037645</v>
      </c>
      <c r="L124" s="55">
        <f t="shared" si="69"/>
        <v>2.0394548754167123E-2</v>
      </c>
      <c r="M124" s="55">
        <f t="shared" si="52"/>
        <v>0.97960545124583287</v>
      </c>
      <c r="N124" s="55">
        <f t="shared" si="70"/>
        <v>1.2153631233959182E-2</v>
      </c>
      <c r="O124" s="56">
        <f t="shared" si="53"/>
        <v>2.0431801463173209E-7</v>
      </c>
      <c r="P124" s="56">
        <f t="shared" si="71"/>
        <v>2.9155464197564347E-5</v>
      </c>
      <c r="Q124" s="56">
        <f t="shared" si="72"/>
        <v>5.7914946551537868E-4</v>
      </c>
      <c r="R124" s="9">
        <f>F124*$C$14</f>
        <v>3.9999999999999996E-5</v>
      </c>
      <c r="S124" s="9">
        <f t="shared" ref="S124:S127" si="73">$R124*L124</f>
        <v>8.157819501666848E-7</v>
      </c>
      <c r="T124" s="9">
        <f t="shared" ref="T124:T127" si="74">R124*K124</f>
        <v>8.1246986036150582E-6</v>
      </c>
      <c r="U124" s="9">
        <f t="shared" ref="U124:U127" si="75">$R124*M124</f>
        <v>3.9184218049833312E-5</v>
      </c>
      <c r="V124" s="102">
        <f t="shared" ref="V124:V127" si="76">K124/M124</f>
        <v>0.20734619721854114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276</v>
      </c>
      <c r="C125" s="46" t="s">
        <v>277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278</v>
      </c>
      <c r="C126" s="46" t="s">
        <v>279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1.5517614107472002</v>
      </c>
      <c r="K126" s="55">
        <f t="shared" si="68"/>
        <v>0.44663126186613916</v>
      </c>
      <c r="L126" s="55">
        <f t="shared" si="69"/>
        <v>1.1196030196365357E-2</v>
      </c>
      <c r="M126" s="55">
        <f t="shared" si="52"/>
        <v>0.98880396980363461</v>
      </c>
      <c r="N126" s="55">
        <f t="shared" si="70"/>
        <v>4.0971126505119958E-3</v>
      </c>
      <c r="O126" s="56">
        <f t="shared" si="53"/>
        <v>4.4927112819348775E-7</v>
      </c>
      <c r="P126" s="56">
        <f t="shared" si="71"/>
        <v>1.6005524882146885E-5</v>
      </c>
      <c r="Q126" s="56">
        <f t="shared" si="72"/>
        <v>1.9523717282701685E-4</v>
      </c>
      <c r="R126" s="9">
        <f>F126*$C$14</f>
        <v>3.9999999999999996E-5</v>
      </c>
      <c r="S126" s="9">
        <f t="shared" si="73"/>
        <v>4.4784120785461427E-7</v>
      </c>
      <c r="T126" s="9">
        <f t="shared" si="74"/>
        <v>1.7865250474645564E-5</v>
      </c>
      <c r="U126" s="9">
        <f t="shared" si="75"/>
        <v>3.9552158792145384E-5</v>
      </c>
      <c r="V126" s="102">
        <f t="shared" si="76"/>
        <v>0.45168837859220479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280</v>
      </c>
      <c r="C127" s="46" t="s">
        <v>281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1.2986163657413483E-2</v>
      </c>
      <c r="K127" s="55">
        <f t="shared" si="68"/>
        <v>0.99285562327295773</v>
      </c>
      <c r="L127" s="55">
        <f t="shared" si="69"/>
        <v>7.1982312680148985E-4</v>
      </c>
      <c r="M127" s="55">
        <f t="shared" si="52"/>
        <v>0.99928017687319848</v>
      </c>
      <c r="N127" s="55">
        <f t="shared" si="70"/>
        <v>2.490691202772784E-5</v>
      </c>
      <c r="O127" s="56">
        <f t="shared" si="53"/>
        <v>9.987240125944881E-7</v>
      </c>
      <c r="P127" s="56">
        <f t="shared" si="71"/>
        <v>1.0290385757003587E-6</v>
      </c>
      <c r="Q127" s="56">
        <f t="shared" si="72"/>
        <v>1.1868736602927261E-6</v>
      </c>
      <c r="R127" s="9">
        <f>F127*$C$14</f>
        <v>3.9999999999999996E-5</v>
      </c>
      <c r="S127" s="9">
        <f t="shared" si="73"/>
        <v>2.8792925072059592E-8</v>
      </c>
      <c r="T127" s="9">
        <f t="shared" si="74"/>
        <v>3.9714224930918305E-5</v>
      </c>
      <c r="U127" s="9">
        <f t="shared" si="75"/>
        <v>3.9971207074927938E-5</v>
      </c>
      <c r="V127" s="102">
        <f t="shared" si="76"/>
        <v>0.99357081852624807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282</v>
      </c>
      <c r="C128" s="46" t="s">
        <v>283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284</v>
      </c>
      <c r="C129" s="46" t="s">
        <v>285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286</v>
      </c>
      <c r="C130" s="46" t="s">
        <v>287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0.32738996440137741</v>
      </c>
      <c r="K130" s="55">
        <f t="shared" si="79"/>
        <v>0.94730757977140012</v>
      </c>
      <c r="L130" s="55">
        <f t="shared" si="80"/>
        <v>1.4165584820127009E-3</v>
      </c>
      <c r="M130" s="55">
        <f t="shared" si="81"/>
        <v>0.99858344151798728</v>
      </c>
      <c r="N130" s="55">
        <f t="shared" si="82"/>
        <v>1.2073072238288457E-4</v>
      </c>
      <c r="O130" s="56">
        <f t="shared" si="83"/>
        <v>9.5290675205287396E-7</v>
      </c>
      <c r="P130" s="56">
        <f t="shared" si="84"/>
        <v>2.0250715327858712E-6</v>
      </c>
      <c r="Q130" s="56">
        <f t="shared" si="85"/>
        <v>5.7531063756453611E-6</v>
      </c>
      <c r="R130" s="9">
        <f>F130*$C$14</f>
        <v>3.9999999999999996E-5</v>
      </c>
      <c r="S130" s="9">
        <f t="shared" ref="S130:S131" si="86">$R130*L130</f>
        <v>5.666233928050803E-8</v>
      </c>
      <c r="T130" s="9">
        <f t="shared" ref="T130:T131" si="87">R130*K130</f>
        <v>3.7892303190856003E-5</v>
      </c>
      <c r="U130" s="9">
        <f t="shared" ref="U130:U131" si="88">$R130*M130</f>
        <v>3.9943337660719487E-5</v>
      </c>
      <c r="V130" s="102">
        <f t="shared" ref="V130:V131" si="89">K130/M130</f>
        <v>0.94865139995848458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288</v>
      </c>
      <c r="C131" s="46" t="s">
        <v>289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-1.6576123285215592E-2</v>
      </c>
      <c r="K131" s="55">
        <f t="shared" si="79"/>
        <v>0.99548558863520786</v>
      </c>
      <c r="L131" s="55">
        <f t="shared" si="80"/>
        <v>6.7423669668451448E-4</v>
      </c>
      <c r="M131" s="55">
        <f t="shared" si="81"/>
        <v>0.99932576330331546</v>
      </c>
      <c r="N131" s="55">
        <f t="shared" si="82"/>
        <v>1.1990982362598108E-5</v>
      </c>
      <c r="O131" s="56">
        <f t="shared" si="83"/>
        <v>1.0013695226747075E-6</v>
      </c>
      <c r="P131" s="56">
        <f t="shared" si="84"/>
        <v>9.6386951767456228E-7</v>
      </c>
      <c r="Q131" s="56">
        <f t="shared" si="85"/>
        <v>5.7139885953580608E-7</v>
      </c>
      <c r="R131" s="9">
        <f>F131*$C$14</f>
        <v>3.9999999999999996E-5</v>
      </c>
      <c r="S131" s="9">
        <f t="shared" si="86"/>
        <v>2.6969467867380576E-8</v>
      </c>
      <c r="T131" s="9">
        <f t="shared" si="87"/>
        <v>3.9819423545408313E-5</v>
      </c>
      <c r="U131" s="9">
        <f t="shared" si="88"/>
        <v>3.9973030532132613E-5</v>
      </c>
      <c r="V131" s="102">
        <f t="shared" si="89"/>
        <v>0.99615723439830695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290</v>
      </c>
      <c r="C132" s="46" t="s">
        <v>291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292</v>
      </c>
      <c r="C133" s="46" t="s">
        <v>293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97</v>
      </c>
      <c r="C134" s="46" t="s">
        <v>294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2024-10-28T22:56:40Z</dcterms:modified>
</cp:coreProperties>
</file>