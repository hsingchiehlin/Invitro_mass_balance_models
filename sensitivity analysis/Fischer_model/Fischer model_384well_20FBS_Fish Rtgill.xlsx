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605A3340-8CEA-4E0E-8528-9DE1ECC90672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S131" i="4"/>
  <c r="R131" i="4"/>
  <c r="V130" i="4"/>
  <c r="R130" i="4"/>
  <c r="U130" i="4" s="1"/>
  <c r="V127" i="4"/>
  <c r="U127" i="4"/>
  <c r="R127" i="4"/>
  <c r="T127" i="4" s="1"/>
  <c r="V126" i="4"/>
  <c r="U126" i="4"/>
  <c r="T126" i="4"/>
  <c r="S126" i="4"/>
  <c r="R126" i="4"/>
  <c r="V124" i="4"/>
  <c r="U124" i="4"/>
  <c r="T124" i="4"/>
  <c r="S124" i="4"/>
  <c r="R124" i="4"/>
  <c r="V121" i="4"/>
  <c r="U121" i="4"/>
  <c r="T121" i="4"/>
  <c r="R121" i="4"/>
  <c r="S121" i="4" s="1"/>
  <c r="V120" i="4"/>
  <c r="R120" i="4"/>
  <c r="T120" i="4" s="1"/>
  <c r="V119" i="4"/>
  <c r="R119" i="4"/>
  <c r="U119" i="4" s="1"/>
  <c r="V116" i="4"/>
  <c r="R116" i="4"/>
  <c r="U116" i="4" s="1"/>
  <c r="V115" i="4"/>
  <c r="U115" i="4"/>
  <c r="T115" i="4"/>
  <c r="R115" i="4"/>
  <c r="S115" i="4" s="1"/>
  <c r="V114" i="4"/>
  <c r="U114" i="4"/>
  <c r="S114" i="4"/>
  <c r="R114" i="4"/>
  <c r="T114" i="4" s="1"/>
  <c r="V108" i="4"/>
  <c r="R108" i="4"/>
  <c r="T108" i="4" s="1"/>
  <c r="V107" i="4"/>
  <c r="U107" i="4"/>
  <c r="T107" i="4"/>
  <c r="S107" i="4"/>
  <c r="R107" i="4"/>
  <c r="V93" i="4"/>
  <c r="R93" i="4"/>
  <c r="U93" i="4" s="1"/>
  <c r="V92" i="4"/>
  <c r="U92" i="4"/>
  <c r="R92" i="4"/>
  <c r="T92" i="4" s="1"/>
  <c r="V91" i="4"/>
  <c r="U91" i="4"/>
  <c r="T91" i="4"/>
  <c r="S91" i="4"/>
  <c r="R91" i="4"/>
  <c r="V90" i="4"/>
  <c r="U90" i="4"/>
  <c r="T90" i="4"/>
  <c r="S90" i="4"/>
  <c r="R90" i="4"/>
  <c r="V89" i="4"/>
  <c r="U89" i="4"/>
  <c r="T89" i="4"/>
  <c r="R89" i="4"/>
  <c r="S89" i="4" s="1"/>
  <c r="V88" i="4"/>
  <c r="R88" i="4"/>
  <c r="U88" i="4" s="1"/>
  <c r="V86" i="4"/>
  <c r="S86" i="4"/>
  <c r="R86" i="4"/>
  <c r="U86" i="4" s="1"/>
  <c r="V85" i="4"/>
  <c r="R85" i="4"/>
  <c r="U85" i="4" s="1"/>
  <c r="V84" i="4"/>
  <c r="U84" i="4"/>
  <c r="T84" i="4"/>
  <c r="R84" i="4"/>
  <c r="S84" i="4" s="1"/>
  <c r="V83" i="4"/>
  <c r="U83" i="4"/>
  <c r="S83" i="4"/>
  <c r="R83" i="4"/>
  <c r="T83" i="4" s="1"/>
  <c r="V82" i="4"/>
  <c r="R82" i="4"/>
  <c r="U82" i="4" s="1"/>
  <c r="V81" i="4"/>
  <c r="U81" i="4"/>
  <c r="T81" i="4"/>
  <c r="S81" i="4"/>
  <c r="R81" i="4"/>
  <c r="V80" i="4"/>
  <c r="R80" i="4"/>
  <c r="U80" i="4" s="1"/>
  <c r="V79" i="4"/>
  <c r="U79" i="4"/>
  <c r="R79" i="4"/>
  <c r="T79" i="4" s="1"/>
  <c r="V78" i="4"/>
  <c r="U78" i="4"/>
  <c r="T78" i="4"/>
  <c r="S78" i="4"/>
  <c r="R78" i="4"/>
  <c r="V77" i="4"/>
  <c r="U77" i="4"/>
  <c r="T77" i="4"/>
  <c r="S77" i="4"/>
  <c r="R77" i="4"/>
  <c r="V76" i="4"/>
  <c r="U76" i="4"/>
  <c r="T76" i="4"/>
  <c r="R76" i="4"/>
  <c r="S76" i="4" s="1"/>
  <c r="V75" i="4"/>
  <c r="R75" i="4"/>
  <c r="U75" i="4" s="1"/>
  <c r="V74" i="4"/>
  <c r="S74" i="4"/>
  <c r="R74" i="4"/>
  <c r="U74" i="4" s="1"/>
  <c r="V73" i="4"/>
  <c r="R73" i="4"/>
  <c r="U73" i="4" s="1"/>
  <c r="V72" i="4"/>
  <c r="U72" i="4"/>
  <c r="T72" i="4"/>
  <c r="R72" i="4"/>
  <c r="S72" i="4" s="1"/>
  <c r="V71" i="4"/>
  <c r="U71" i="4"/>
  <c r="S71" i="4"/>
  <c r="R71" i="4"/>
  <c r="T71" i="4" s="1"/>
  <c r="V70" i="4"/>
  <c r="R70" i="4"/>
  <c r="U70" i="4" s="1"/>
  <c r="V69" i="4"/>
  <c r="U69" i="4"/>
  <c r="T69" i="4"/>
  <c r="S69" i="4"/>
  <c r="R69" i="4"/>
  <c r="V68" i="4"/>
  <c r="R68" i="4"/>
  <c r="U68" i="4" s="1"/>
  <c r="V65" i="4"/>
  <c r="U65" i="4"/>
  <c r="R65" i="4"/>
  <c r="T65" i="4" s="1"/>
  <c r="V64" i="4"/>
  <c r="U64" i="4"/>
  <c r="T64" i="4"/>
  <c r="S64" i="4"/>
  <c r="R64" i="4"/>
  <c r="V63" i="4"/>
  <c r="U63" i="4"/>
  <c r="T63" i="4"/>
  <c r="S63" i="4"/>
  <c r="R63" i="4"/>
  <c r="V62" i="4"/>
  <c r="U62" i="4"/>
  <c r="T62" i="4"/>
  <c r="R62" i="4"/>
  <c r="S62" i="4" s="1"/>
  <c r="V61" i="4"/>
  <c r="R61" i="4"/>
  <c r="U61" i="4" s="1"/>
  <c r="V60" i="4"/>
  <c r="S60" i="4"/>
  <c r="R60" i="4"/>
  <c r="U60" i="4" s="1"/>
  <c r="V58" i="4"/>
  <c r="R58" i="4"/>
  <c r="U58" i="4" s="1"/>
  <c r="V57" i="4"/>
  <c r="U57" i="4"/>
  <c r="T57" i="4"/>
  <c r="R57" i="4"/>
  <c r="S57" i="4" s="1"/>
  <c r="V49" i="4"/>
  <c r="U49" i="4"/>
  <c r="T49" i="4"/>
  <c r="S49" i="4"/>
  <c r="R49" i="4"/>
  <c r="V48" i="4"/>
  <c r="R48" i="4"/>
  <c r="T48" i="4" s="1"/>
  <c r="V47" i="4"/>
  <c r="U47" i="4"/>
  <c r="T47" i="4"/>
  <c r="S47" i="4"/>
  <c r="R47" i="4"/>
  <c r="V46" i="4"/>
  <c r="R46" i="4"/>
  <c r="U46" i="4" s="1"/>
  <c r="V45" i="4"/>
  <c r="U45" i="4"/>
  <c r="R45" i="4"/>
  <c r="T45" i="4" s="1"/>
  <c r="V44" i="4"/>
  <c r="U44" i="4"/>
  <c r="T44" i="4"/>
  <c r="S44" i="4"/>
  <c r="R44" i="4"/>
  <c r="V43" i="4"/>
  <c r="U43" i="4"/>
  <c r="T43" i="4"/>
  <c r="S43" i="4"/>
  <c r="R43" i="4"/>
  <c r="V42" i="4"/>
  <c r="U42" i="4"/>
  <c r="T42" i="4"/>
  <c r="R42" i="4"/>
  <c r="S42" i="4" s="1"/>
  <c r="V41" i="4"/>
  <c r="R41" i="4"/>
  <c r="U41" i="4" s="1"/>
  <c r="V40" i="4"/>
  <c r="S40" i="4"/>
  <c r="R40" i="4"/>
  <c r="U40" i="4" s="1"/>
  <c r="V39" i="4"/>
  <c r="R39" i="4"/>
  <c r="U39" i="4" s="1"/>
  <c r="V38" i="4"/>
  <c r="U38" i="4"/>
  <c r="T38" i="4"/>
  <c r="R38" i="4"/>
  <c r="S38" i="4" s="1"/>
  <c r="V37" i="4"/>
  <c r="U37" i="4"/>
  <c r="R37" i="4"/>
  <c r="T37" i="4" s="1"/>
  <c r="V36" i="4"/>
  <c r="R36" i="4"/>
  <c r="U36" i="4" s="1"/>
  <c r="V35" i="4"/>
  <c r="U35" i="4"/>
  <c r="T35" i="4"/>
  <c r="S35" i="4"/>
  <c r="R35" i="4"/>
  <c r="V34" i="4"/>
  <c r="R34" i="4"/>
  <c r="U34" i="4" s="1"/>
  <c r="V33" i="4"/>
  <c r="U33" i="4"/>
  <c r="R33" i="4"/>
  <c r="T33" i="4" s="1"/>
  <c r="V32" i="4"/>
  <c r="U32" i="4"/>
  <c r="T32" i="4"/>
  <c r="S32" i="4"/>
  <c r="R32" i="4"/>
  <c r="V31" i="4"/>
  <c r="U31" i="4"/>
  <c r="T31" i="4"/>
  <c r="S31" i="4"/>
  <c r="R31" i="4"/>
  <c r="V30" i="4"/>
  <c r="U30" i="4"/>
  <c r="T30" i="4"/>
  <c r="R30" i="4"/>
  <c r="S30" i="4" s="1"/>
  <c r="V29" i="4"/>
  <c r="R29" i="4"/>
  <c r="U29" i="4" s="1"/>
  <c r="V28" i="4"/>
  <c r="S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S48" i="4"/>
  <c r="S70" i="4"/>
  <c r="S82" i="4"/>
  <c r="S29" i="4"/>
  <c r="T36" i="4"/>
  <c r="S41" i="4"/>
  <c r="S61" i="4"/>
  <c r="T70" i="4"/>
  <c r="S75" i="4"/>
  <c r="T82" i="4"/>
  <c r="S88" i="4"/>
  <c r="T29" i="4"/>
  <c r="S34" i="4"/>
  <c r="T41" i="4"/>
  <c r="S46" i="4"/>
  <c r="U48" i="4"/>
  <c r="T61" i="4"/>
  <c r="S68" i="4"/>
  <c r="T75" i="4"/>
  <c r="S80" i="4"/>
  <c r="T88" i="4"/>
  <c r="S93" i="4"/>
  <c r="U108" i="4"/>
  <c r="S130" i="4"/>
  <c r="T34" i="4"/>
  <c r="S39" i="4"/>
  <c r="T46" i="4"/>
  <c r="S58" i="4"/>
  <c r="T68" i="4"/>
  <c r="S73" i="4"/>
  <c r="T80" i="4"/>
  <c r="S85" i="4"/>
  <c r="T93" i="4"/>
  <c r="S116" i="4"/>
  <c r="U120" i="4"/>
  <c r="T130" i="4"/>
  <c r="S108" i="4"/>
  <c r="T39" i="4"/>
  <c r="T58" i="4"/>
  <c r="T73" i="4"/>
  <c r="T85" i="4"/>
  <c r="T116" i="4"/>
  <c r="S120" i="4"/>
  <c r="S37" i="4"/>
  <c r="S119" i="4"/>
  <c r="T28" i="4"/>
  <c r="S33" i="4"/>
  <c r="T40" i="4"/>
  <c r="S45" i="4"/>
  <c r="T60" i="4"/>
  <c r="S65" i="4"/>
  <c r="T74" i="4"/>
  <c r="S79" i="4"/>
  <c r="T86" i="4"/>
  <c r="S92" i="4"/>
  <c r="T119" i="4"/>
  <c r="S127" i="4"/>
  <c r="O15" i="1" l="1"/>
  <c r="L15" i="1"/>
  <c r="N15" i="1"/>
  <c r="M87" i="4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4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O114" i="4" s="1"/>
  <c r="P114" i="4" s="1"/>
  <c r="J78" i="4"/>
  <c r="K78" i="4"/>
  <c r="J115" i="4"/>
  <c r="L115" i="4" s="1"/>
  <c r="M115" i="4" s="1"/>
  <c r="K115" i="4"/>
  <c r="O115" i="4" s="1"/>
  <c r="P115" i="4" s="1"/>
  <c r="J99" i="4"/>
  <c r="K99" i="4"/>
  <c r="J83" i="4"/>
  <c r="K83" i="4" s="1"/>
  <c r="J102" i="4"/>
  <c r="K102" i="4"/>
  <c r="J74" i="4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 s="1"/>
  <c r="O127" i="4" s="1"/>
  <c r="P127" i="4" s="1"/>
  <c r="J111" i="4"/>
  <c r="K111" i="4"/>
  <c r="J95" i="4"/>
  <c r="K95" i="4" s="1"/>
  <c r="J79" i="4"/>
  <c r="K79" i="4"/>
  <c r="J126" i="4"/>
  <c r="K126" i="4"/>
  <c r="J94" i="4"/>
  <c r="L94" i="4" s="1"/>
  <c r="K94" i="4"/>
  <c r="J121" i="4"/>
  <c r="L121" i="4" s="1"/>
  <c r="M121" i="4" s="1"/>
  <c r="K121" i="4"/>
  <c r="J105" i="4"/>
  <c r="K105" i="4"/>
  <c r="J89" i="4"/>
  <c r="K89" i="4" s="1"/>
  <c r="J73" i="4"/>
  <c r="K73" i="4" s="1"/>
  <c r="J124" i="4"/>
  <c r="K124" i="4"/>
  <c r="J108" i="4"/>
  <c r="L108" i="4" s="1"/>
  <c r="M108" i="4" s="1"/>
  <c r="K108" i="4"/>
  <c r="O108" i="4" s="1"/>
  <c r="P108" i="4" s="1"/>
  <c r="J92" i="4"/>
  <c r="K92" i="4" s="1"/>
  <c r="J76" i="4"/>
  <c r="L76" i="4" s="1"/>
  <c r="K76" i="4"/>
  <c r="J98" i="4"/>
  <c r="K98" i="4"/>
  <c r="J123" i="4"/>
  <c r="K123" i="4"/>
  <c r="J107" i="4"/>
  <c r="K107" i="4"/>
  <c r="J91" i="4"/>
  <c r="K91" i="4"/>
  <c r="J75" i="4"/>
  <c r="K75" i="4" s="1"/>
  <c r="P100" i="4"/>
  <c r="O107" i="4"/>
  <c r="P107" i="4" s="1"/>
  <c r="O112" i="4"/>
  <c r="P112" i="4"/>
  <c r="O98" i="4"/>
  <c r="P98" i="4"/>
  <c r="O105" i="4"/>
  <c r="P105" i="4"/>
  <c r="O126" i="4"/>
  <c r="P126" i="4"/>
  <c r="O111" i="4"/>
  <c r="P111" i="4"/>
  <c r="O104" i="4"/>
  <c r="P104" i="4"/>
  <c r="O91" i="4"/>
  <c r="P91" i="4"/>
  <c r="O124" i="4"/>
  <c r="P124" i="4"/>
  <c r="O121" i="4"/>
  <c r="P121" i="4" s="1"/>
  <c r="O96" i="4"/>
  <c r="P96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 s="1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N76" i="4" s="1"/>
  <c r="Q76" i="4" s="1"/>
  <c r="I77" i="4"/>
  <c r="N77" i="4" s="1"/>
  <c r="Q77" i="4" s="1"/>
  <c r="I81" i="4"/>
  <c r="I89" i="4"/>
  <c r="I90" i="4"/>
  <c r="L90" i="4" s="1"/>
  <c r="I96" i="4"/>
  <c r="N96" i="4" s="1"/>
  <c r="Q96" i="4" s="1"/>
  <c r="I99" i="4"/>
  <c r="I102" i="4"/>
  <c r="I104" i="4"/>
  <c r="I108" i="4"/>
  <c r="I111" i="4"/>
  <c r="I113" i="4"/>
  <c r="I115" i="4"/>
  <c r="I119" i="4"/>
  <c r="I120" i="4"/>
  <c r="I123" i="4"/>
  <c r="I125" i="4"/>
  <c r="I79" i="4"/>
  <c r="N79" i="4" s="1"/>
  <c r="Q79" i="4" s="1"/>
  <c r="I92" i="4"/>
  <c r="L92" i="4" s="1"/>
  <c r="I100" i="4"/>
  <c r="I103" i="4"/>
  <c r="I107" i="4"/>
  <c r="I109" i="4"/>
  <c r="I110" i="4"/>
  <c r="I117" i="4"/>
  <c r="I124" i="4"/>
  <c r="L124" i="4" s="1"/>
  <c r="M124" i="4" s="1"/>
  <c r="I72" i="4"/>
  <c r="L72" i="4" s="1"/>
  <c r="I106" i="4"/>
  <c r="I71" i="4"/>
  <c r="L71" i="4" s="1"/>
  <c r="M71" i="4" s="1"/>
  <c r="I75" i="4"/>
  <c r="N75" i="4" s="1"/>
  <c r="Q75" i="4" s="1"/>
  <c r="I80" i="4"/>
  <c r="L80" i="4" s="1"/>
  <c r="I83" i="4"/>
  <c r="N83" i="4" s="1"/>
  <c r="Q83" i="4" s="1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N74" i="4" s="1"/>
  <c r="Q74" i="4" s="1"/>
  <c r="I78" i="4"/>
  <c r="I82" i="4"/>
  <c r="N82" i="4" s="1"/>
  <c r="Q82" i="4" s="1"/>
  <c r="I85" i="4"/>
  <c r="N85" i="4" s="1"/>
  <c r="Q85" i="4" s="1"/>
  <c r="I93" i="4"/>
  <c r="L93" i="4" s="1"/>
  <c r="I112" i="4"/>
  <c r="I114" i="4"/>
  <c r="I121" i="4"/>
  <c r="I122" i="4"/>
  <c r="I84" i="4"/>
  <c r="L84" i="4" s="1"/>
  <c r="I87" i="4"/>
  <c r="I91" i="4"/>
  <c r="N91" i="4" s="1"/>
  <c r="Q91" i="4" s="1"/>
  <c r="I97" i="4"/>
  <c r="L97" i="4" s="1"/>
  <c r="I105" i="4"/>
  <c r="I116" i="4"/>
  <c r="N116" i="4" s="1"/>
  <c r="Q116" i="4" s="1"/>
  <c r="I126" i="4"/>
  <c r="N126" i="4" s="1"/>
  <c r="Q126" i="4" s="1"/>
  <c r="L105" i="4"/>
  <c r="N105" i="4"/>
  <c r="Q105" i="4"/>
  <c r="N121" i="4"/>
  <c r="Q121" i="4"/>
  <c r="L73" i="4"/>
  <c r="N101" i="4"/>
  <c r="Q101" i="4"/>
  <c r="L101" i="4"/>
  <c r="L106" i="4"/>
  <c r="N106" i="4"/>
  <c r="Q106" i="4"/>
  <c r="N107" i="4"/>
  <c r="Q107" i="4"/>
  <c r="L107" i="4"/>
  <c r="M107" i="4" s="1"/>
  <c r="N119" i="4"/>
  <c r="Q119" i="4"/>
  <c r="L119" i="4"/>
  <c r="M119" i="4" s="1"/>
  <c r="N108" i="4"/>
  <c r="Q108" i="4" s="1"/>
  <c r="N97" i="4"/>
  <c r="Q97" i="4"/>
  <c r="N114" i="4"/>
  <c r="Q114" i="4"/>
  <c r="L114" i="4"/>
  <c r="N98" i="4"/>
  <c r="Q98" i="4"/>
  <c r="L98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04" i="4"/>
  <c r="N104" i="4"/>
  <c r="Q104" i="4"/>
  <c r="N90" i="4"/>
  <c r="Q90" i="4" s="1"/>
  <c r="L112" i="4"/>
  <c r="N112" i="4"/>
  <c r="Q112" i="4"/>
  <c r="L78" i="4"/>
  <c r="N78" i="4"/>
  <c r="Q78" i="4" s="1"/>
  <c r="N95" i="4"/>
  <c r="Q95" i="4" s="1"/>
  <c r="L95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87" i="4"/>
  <c r="Q87" i="4" s="1"/>
  <c r="L87" i="4"/>
  <c r="N122" i="4"/>
  <c r="Q122" i="4"/>
  <c r="L122" i="4"/>
  <c r="N118" i="4"/>
  <c r="Q118" i="4"/>
  <c r="L118" i="4"/>
  <c r="N94" i="4"/>
  <c r="Q94" i="4" s="1"/>
  <c r="N109" i="4"/>
  <c r="Q109" i="4"/>
  <c r="L109" i="4"/>
  <c r="N120" i="4"/>
  <c r="Q120" i="4"/>
  <c r="L120" i="4"/>
  <c r="M120" i="4" s="1"/>
  <c r="N111" i="4"/>
  <c r="Q111" i="4"/>
  <c r="L111" i="4"/>
  <c r="N99" i="4"/>
  <c r="Q99" i="4"/>
  <c r="L99" i="4"/>
  <c r="N81" i="4"/>
  <c r="Q81" i="4" s="1"/>
  <c r="O73" i="4" l="1"/>
  <c r="P73" i="4" s="1"/>
  <c r="M80" i="4"/>
  <c r="M92" i="4"/>
  <c r="O83" i="4"/>
  <c r="P83" i="4" s="1"/>
  <c r="O84" i="4"/>
  <c r="P84" i="4" s="1"/>
  <c r="L126" i="4"/>
  <c r="M126" i="4" s="1"/>
  <c r="N71" i="4"/>
  <c r="Q71" i="4" s="1"/>
  <c r="L77" i="4"/>
  <c r="N124" i="4"/>
  <c r="Q124" i="4" s="1"/>
  <c r="M78" i="4"/>
  <c r="M76" i="4"/>
  <c r="O94" i="4"/>
  <c r="P94" i="4" s="1"/>
  <c r="N92" i="4"/>
  <c r="Q92" i="4" s="1"/>
  <c r="M73" i="4"/>
  <c r="M94" i="4"/>
  <c r="L91" i="4"/>
  <c r="M91" i="4" s="1"/>
  <c r="L85" i="4"/>
  <c r="M72" i="4"/>
  <c r="M95" i="4"/>
  <c r="O79" i="4"/>
  <c r="P79" i="4" s="1"/>
  <c r="L82" i="4"/>
  <c r="O72" i="4"/>
  <c r="P72" i="4" s="1"/>
  <c r="N86" i="4"/>
  <c r="Q86" i="4" s="1"/>
  <c r="O77" i="4"/>
  <c r="P77" i="4" s="1"/>
  <c r="N80" i="4"/>
  <c r="Q80" i="4" s="1"/>
  <c r="N127" i="4"/>
  <c r="Q127" i="4" s="1"/>
  <c r="O89" i="4"/>
  <c r="P89" i="4" s="1"/>
  <c r="O88" i="4"/>
  <c r="P88" i="4" s="1"/>
  <c r="O81" i="4"/>
  <c r="P81" i="4" s="1"/>
  <c r="O97" i="4"/>
  <c r="P97" i="4" s="1"/>
  <c r="M97" i="4"/>
  <c r="O92" i="4"/>
  <c r="P92" i="4" s="1"/>
  <c r="M90" i="4"/>
  <c r="O75" i="4"/>
  <c r="P75" i="4" s="1"/>
  <c r="O80" i="4"/>
  <c r="P80" i="4" s="1"/>
  <c r="L81" i="4"/>
  <c r="M84" i="4"/>
  <c r="O78" i="4"/>
  <c r="P78" i="4" s="1"/>
  <c r="O82" i="4"/>
  <c r="P82" i="4" s="1"/>
  <c r="L116" i="4"/>
  <c r="M116" i="4" s="1"/>
  <c r="O95" i="4"/>
  <c r="P95" i="4" s="1"/>
  <c r="L83" i="4"/>
  <c r="O87" i="4"/>
  <c r="P87" i="4" s="1"/>
  <c r="M93" i="4"/>
  <c r="O74" i="4"/>
  <c r="P74" i="4" s="1"/>
  <c r="O93" i="4"/>
  <c r="P93" i="4" s="1"/>
  <c r="O85" i="4"/>
  <c r="P85" i="4" s="1"/>
  <c r="O76" i="4"/>
  <c r="P76" i="4" s="1"/>
  <c r="M89" i="4"/>
  <c r="M86" i="4"/>
  <c r="O90" i="4"/>
  <c r="P90" i="4" s="1"/>
  <c r="O86" i="4"/>
  <c r="P86" i="4" s="1"/>
  <c r="L74" i="4"/>
  <c r="L79" i="4"/>
  <c r="L75" i="4"/>
  <c r="L88" i="4"/>
  <c r="N93" i="4"/>
  <c r="Q93" i="4" s="1"/>
  <c r="L96" i="4"/>
  <c r="N84" i="4"/>
  <c r="Q84" i="4" s="1"/>
  <c r="J14" i="4"/>
  <c r="J13" i="4" s="1"/>
  <c r="K16" i="4" s="1"/>
  <c r="M88" i="4" l="1"/>
  <c r="M79" i="4"/>
  <c r="M75" i="4"/>
  <c r="M85" i="4"/>
  <c r="M74" i="4"/>
  <c r="M81" i="4"/>
  <c r="M83" i="4"/>
  <c r="M82" i="4"/>
  <c r="M77" i="4"/>
  <c r="M96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5" i="4"/>
  <c r="P65" i="4" s="1"/>
  <c r="M67" i="4"/>
  <c r="O64" i="4"/>
  <c r="P64" i="4" s="1"/>
  <c r="M69" i="4"/>
  <c r="O69" i="4"/>
  <c r="P69" i="4" s="1"/>
  <c r="M57" i="4"/>
  <c r="O66" i="4"/>
  <c r="P66" i="4" s="1"/>
  <c r="M65" i="4"/>
  <c r="M66" i="4"/>
  <c r="M68" i="4"/>
  <c r="O68" i="4"/>
  <c r="P68" i="4" s="1"/>
  <c r="M58" i="4"/>
  <c r="O67" i="4"/>
  <c r="P67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L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45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8" i="4" l="1"/>
  <c r="P48" i="4" s="1"/>
  <c r="M48" i="4"/>
  <c r="O49" i="4"/>
  <c r="P49" i="4" s="1"/>
  <c r="M49" i="4"/>
  <c r="M43" i="4"/>
  <c r="O39" i="4"/>
  <c r="P39" i="4" s="1"/>
  <c r="O45" i="4"/>
  <c r="P45" i="4" s="1"/>
  <c r="O47" i="4"/>
  <c r="P47" i="4" s="1"/>
  <c r="M45" i="4"/>
  <c r="O33" i="4"/>
  <c r="P33" i="4" s="1"/>
  <c r="M35" i="4"/>
  <c r="O28" i="4"/>
  <c r="P28" i="4" s="1"/>
  <c r="O46" i="4"/>
  <c r="P46" i="4" s="1"/>
  <c r="M44" i="4"/>
  <c r="M47" i="4"/>
  <c r="O41" i="4"/>
  <c r="P41" i="4" s="1"/>
  <c r="O30" i="4"/>
  <c r="P30" i="4" s="1"/>
  <c r="M39" i="4"/>
  <c r="O31" i="4"/>
  <c r="P31" i="4" s="1"/>
  <c r="K43" i="4"/>
  <c r="L31" i="4"/>
  <c r="K35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3" i="4" l="1"/>
  <c r="P43" i="4" s="1"/>
  <c r="O42" i="4"/>
  <c r="P42" i="4" s="1"/>
  <c r="M41" i="4"/>
  <c r="O37" i="4"/>
  <c r="P37" i="4" s="1"/>
  <c r="M46" i="4"/>
  <c r="O44" i="4"/>
  <c r="P44" i="4" s="1"/>
  <c r="O36" i="4"/>
  <c r="P36" i="4" s="1"/>
  <c r="O35" i="4"/>
  <c r="P35" i="4" s="1"/>
  <c r="M31" i="4"/>
  <c r="O29" i="4"/>
  <c r="P29" i="4" s="1"/>
  <c r="O32" i="4"/>
  <c r="P32" i="4" s="1"/>
  <c r="O38" i="4"/>
  <c r="P38" i="4" s="1"/>
  <c r="O40" i="4"/>
  <c r="P40" i="4" s="1"/>
  <c r="M33" i="4"/>
  <c r="O34" i="4"/>
  <c r="P3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<sst xmlns="http://schemas.openxmlformats.org/spreadsheetml/2006/main" count="318" uniqueCount="295">
  <si>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</si>
  <si>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</si>
  <si>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</si>
  <si>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</si>
  <si>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</si>
  <si>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</si>
  <si>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</si>
  <si>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</si>
  <si>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</si>
  <si>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</si>
  <si>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</si>
  <si>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</si>
  <si>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</si>
  <si>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</si>
  <si>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</si>
  <si>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</si>
  <si>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</si>
  <si>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</si>
  <si>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</si>
  <si>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</si>
  <si>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</si>
  <si>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</si>
  <si>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</si>
  <si>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</si>
  <si>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</si>
  <si>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</si>
  <si>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</si>
  <si>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</si>
  <si>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</si>
  <si>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</si>
  <si>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</si>
  <si>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</si>
  <si>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</si>
  <si>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</si>
  <si>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</si>
  <si>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</si>
  <si>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</si>
  <si>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</si>
  <si>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</si>
  <si>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</si>
  <si>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</si>
  <si>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</si>
  <si>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</si>
  <si>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</si>
  <si>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</si>
  <si>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</si>
  <si>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</si>
  <si>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</si>
  <si>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</si>
  <si>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</si>
  <si>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</si>
  <si>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</si>
  <si>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</si>
  <si>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</si>
  <si>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</si>
  <si>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</si>
  <si>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</si>
  <si>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</si>
  <si>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</si>
  <si>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</si>
  <si>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</si>
  <si>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</si>
  <si>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</si>
  <si>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</si>
  <si>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</si>
  <si>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</si>
  <si>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</si>
  <si>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</si>
  <si>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</si>
  <si>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</si>
  <si>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</si>
  <si>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</si>
  <si>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</si>
  <si>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</si>
  <si>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</si>
  <si>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</si>
  <si>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</si>
  <si>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</si>
  <si>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</si>
  <si>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</si>
  <si>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</si>
  <si>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</si>
  <si>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</si>
  <si>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</si>
  <si>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</si>
  <si>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</si>
  <si>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</si>
  <si>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</si>
  <si>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</si>
  <si>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</si>
  <si>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</si>
  <si>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</si>
  <si>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</si>
  <si>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</si>
  <si>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</si>
  <si>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</si>
  <si>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</si>
  <si>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</si>
  <si>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</si>
  <si>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</si>
  <si>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</si>
  <si>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</si>
  <si>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</si>
  <si>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</si>
  <si>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</si>
  <si>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</si>
  <si>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</si>
  <si>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</si>
  <si>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</si>
  <si>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</si>
  <si>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</si>
  <si>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</si>
  <si>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Rtgill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</si>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</sst>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4.6725E-4</v>
      </c>
      <c r="M17" s="81">
        <v>3.15E-5</v>
      </c>
      <c r="N17" s="81">
        <v>2.6250000000000001E-5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7" zoomScale="55" zoomScaleNormal="55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40.002940000000002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39.795416600000003</v>
      </c>
      <c r="K8" s="39">
        <f>J8/J7</f>
        <v>0.99481229629622225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0.19217640000000002</v>
      </c>
      <c r="K9" s="39">
        <f>J9/J7</f>
        <v>4.804056901817717E-3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1.5347E-2</v>
      </c>
      <c r="K10" s="39">
        <f>J10/J7</f>
        <v>3.8364680196005589E-4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2.9400000000000003E-3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2.6166000000000002E-3</v>
      </c>
      <c r="K20" s="39">
        <f>J20/J19</f>
        <v>0.8899999999999999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1.7639999999999998E-4</v>
      </c>
      <c r="K21" s="39">
        <f>J21/J19</f>
        <v>5.9999999999999984E-2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1.47E-4</v>
      </c>
      <c r="K22" s="39">
        <f>J22/J19</f>
        <v>4.9999999999999996E-2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0.8765462885705384</v>
      </c>
      <c r="K28" s="95">
        <f t="shared" ref="K28:K47" si="3">IF(D28=0,"",1/(1+10^D28*$J$15/$J$14+10^E28*$J$16/$J$14+10^J28*$J$19/$J$14))</f>
        <v>0.80418213866979893</v>
      </c>
      <c r="L28" s="95">
        <f t="shared" ref="L28:L47" si="4">IF(D28=0,"",1/(1+10^I28/10^J28*$J$13/$J$19))</f>
        <v>4.4714002092805915E-4</v>
      </c>
      <c r="M28" s="95">
        <f t="shared" ref="M28:M47" si="5">IF(D28=0,"",1-L28)</f>
        <v>0.99955285997907195</v>
      </c>
      <c r="N28" s="95">
        <f t="shared" ref="N28:N47" si="6">IF(D28=0,"",1/(1/10^E28*$J$20/$J$22+10^D28/10^E28*$J$21/$J$22+10^I28/10^E28*$J$13/$J$22+1))</f>
        <v>2.3730793410387714E-4</v>
      </c>
      <c r="O28" s="40">
        <f t="shared" ref="O28:O47" si="7">IF(D28=0,"",F28*K28*$J$7/$J$14)</f>
        <v>8.08428907799392E-7</v>
      </c>
      <c r="P28" s="40">
        <f t="shared" ref="P28:P47" si="8">IF(D28=0,"",O28*10^J28)</f>
        <v>6.0839848397224118E-6</v>
      </c>
      <c r="Q28" s="40">
        <f t="shared" ref="Q28:Q47" si="9">IF(D28=0,"",F28*N28*$J$7/$J$22)</f>
        <v>6.4578333669941169E-5</v>
      </c>
      <c r="R28" s="9">
        <f>F28*$C$14</f>
        <v>3.9999999999999996E-5</v>
      </c>
      <c r="S28" s="9">
        <f>$R28*L28</f>
        <v>1.7885600837122364E-8</v>
      </c>
      <c r="T28" s="9">
        <f>R28*K28</f>
        <v>3.2167285546791953E-5</v>
      </c>
      <c r="U28" s="9">
        <f>$R28*M28</f>
        <v>3.9982114399162877E-5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4.5743714574945749</v>
      </c>
      <c r="K29" s="95">
        <f t="shared" si="3"/>
        <v>1.8878733077023876E-3</v>
      </c>
      <c r="L29" s="95">
        <f t="shared" si="4"/>
        <v>5.2346438017178316E-3</v>
      </c>
      <c r="M29" s="95">
        <f t="shared" si="5"/>
        <v>0.99476535619828221</v>
      </c>
      <c r="N29" s="95">
        <f t="shared" si="6"/>
        <v>4.7760369901032633E-3</v>
      </c>
      <c r="O29" s="40">
        <f t="shared" si="7"/>
        <v>1.8978428925740376E-9</v>
      </c>
      <c r="P29" s="40">
        <f t="shared" si="8"/>
        <v>7.1224878204588607E-5</v>
      </c>
      <c r="Q29" s="40">
        <f t="shared" si="9"/>
        <v>1.2996974228087173E-3</v>
      </c>
      <c r="R29" s="9">
        <f>F29*$C$14</f>
        <v>3.9999999999999996E-5</v>
      </c>
      <c r="S29" s="9">
        <f t="shared" ref="S29:S49" si="10">$R29*L29</f>
        <v>2.0938575206871324E-7</v>
      </c>
      <c r="T29" s="9">
        <f t="shared" ref="T29:T49" si="11">R29*K29</f>
        <v>7.5514932308095492E-8</v>
      </c>
      <c r="U29" s="9">
        <f t="shared" ref="U29:U49" si="12">$R29*M29</f>
        <v>3.9790614247931283E-5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8.0025110320676838</v>
      </c>
      <c r="K30" s="95">
        <f t="shared" si="3"/>
        <v>1.1954383497278966E-6</v>
      </c>
      <c r="L30" s="95">
        <f t="shared" si="4"/>
        <v>8.8834374197548863E-3</v>
      </c>
      <c r="M30" s="95">
        <f t="shared" si="5"/>
        <v>0.99111656258024516</v>
      </c>
      <c r="N30" s="95">
        <f t="shared" si="6"/>
        <v>8.8097791133552109E-3</v>
      </c>
      <c r="O30" s="40">
        <f t="shared" si="7"/>
        <v>1.2017512861086444E-12</v>
      </c>
      <c r="P30" s="40">
        <f t="shared" si="8"/>
        <v>1.2087197758374504E-4</v>
      </c>
      <c r="Q30" s="40">
        <f t="shared" si="9"/>
        <v>2.3973950019374264E-3</v>
      </c>
      <c r="R30" s="9">
        <f t="shared" ref="R30:R49" si="14">F30*$C$14</f>
        <v>3.9999999999999996E-5</v>
      </c>
      <c r="S30" s="9">
        <f t="shared" si="10"/>
        <v>3.5533749679019542E-7</v>
      </c>
      <c r="T30" s="9">
        <f t="shared" si="11"/>
        <v>4.7817533989115861E-11</v>
      </c>
      <c r="U30" s="9">
        <f t="shared" si="12"/>
        <v>3.9644662503209805E-5</v>
      </c>
      <c r="V30" s="102">
        <f t="shared" si="13"/>
        <v>1.2061531356268791E-6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3.0509801020444232</v>
      </c>
      <c r="K31" s="95">
        <f t="shared" si="3"/>
        <v>5.1363702381221288E-2</v>
      </c>
      <c r="L31" s="95">
        <f t="shared" si="4"/>
        <v>4.2675562499199775E-3</v>
      </c>
      <c r="M31" s="95">
        <f t="shared" si="5"/>
        <v>0.99573244375008008</v>
      </c>
      <c r="N31" s="95">
        <f t="shared" si="6"/>
        <v>3.7530828917080512E-3</v>
      </c>
      <c r="O31" s="40">
        <f t="shared" si="7"/>
        <v>5.1634946636925586E-8</v>
      </c>
      <c r="P31" s="40">
        <f t="shared" si="8"/>
        <v>5.8066257351079577E-5</v>
      </c>
      <c r="Q31" s="40">
        <f t="shared" si="9"/>
        <v>1.0213221070205691E-3</v>
      </c>
      <c r="R31" s="9">
        <f t="shared" si="14"/>
        <v>3.9999999999999996E-5</v>
      </c>
      <c r="S31" s="9">
        <f t="shared" si="10"/>
        <v>1.7070224999679908E-7</v>
      </c>
      <c r="T31" s="9">
        <f t="shared" si="11"/>
        <v>2.0545480952488511E-6</v>
      </c>
      <c r="U31" s="9">
        <f t="shared" si="12"/>
        <v>3.9829297750003202E-5</v>
      </c>
      <c r="V31" s="102">
        <f t="shared" si="13"/>
        <v>5.1583839317093816E-2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5.7767955088211638</v>
      </c>
      <c r="K32" s="95">
        <f t="shared" si="3"/>
        <v>1.2146809442365326E-4</v>
      </c>
      <c r="L32" s="95">
        <f t="shared" si="4"/>
        <v>5.3678523131098499E-3</v>
      </c>
      <c r="M32" s="95">
        <f t="shared" si="5"/>
        <v>0.99463214768689012</v>
      </c>
      <c r="N32" s="95">
        <f t="shared" si="6"/>
        <v>4.9216990486465493E-3</v>
      </c>
      <c r="O32" s="40">
        <f t="shared" si="7"/>
        <v>1.2210954979653949E-10</v>
      </c>
      <c r="P32" s="40">
        <f t="shared" si="8"/>
        <v>7.3037372112311056E-5</v>
      </c>
      <c r="Q32" s="40">
        <f t="shared" si="9"/>
        <v>1.339336270347381E-3</v>
      </c>
      <c r="R32" s="9">
        <f t="shared" si="14"/>
        <v>3.9999999999999996E-5</v>
      </c>
      <c r="S32" s="9">
        <f t="shared" si="10"/>
        <v>2.1471409252439398E-7</v>
      </c>
      <c r="T32" s="9">
        <f t="shared" si="11"/>
        <v>4.8587237769461301E-9</v>
      </c>
      <c r="U32" s="9">
        <f t="shared" si="12"/>
        <v>3.9785285907475605E-5</v>
      </c>
      <c r="V32" s="102">
        <f t="shared" si="13"/>
        <v>1.221236360659955E-4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5.2786655449069535</v>
      </c>
      <c r="K33" s="95">
        <f t="shared" si="3"/>
        <v>3.3964834622125936E-4</v>
      </c>
      <c r="L33" s="95">
        <f t="shared" si="4"/>
        <v>4.766920186420818E-3</v>
      </c>
      <c r="M33" s="95">
        <f t="shared" si="5"/>
        <v>0.99523307981357922</v>
      </c>
      <c r="N33" s="95">
        <f t="shared" si="6"/>
        <v>4.2572812292537105E-3</v>
      </c>
      <c r="O33" s="40">
        <f t="shared" si="7"/>
        <v>3.4144197983022722E-10</v>
      </c>
      <c r="P33" s="40">
        <f t="shared" si="8"/>
        <v>6.4860823878292858E-5</v>
      </c>
      <c r="Q33" s="40">
        <f t="shared" si="9"/>
        <v>1.1585290175303567E-3</v>
      </c>
      <c r="R33" s="9">
        <f t="shared" si="14"/>
        <v>3.9999999999999996E-5</v>
      </c>
      <c r="S33" s="9">
        <f t="shared" si="10"/>
        <v>1.9067680745683271E-7</v>
      </c>
      <c r="T33" s="9">
        <f t="shared" si="11"/>
        <v>1.3585933848850372E-8</v>
      </c>
      <c r="U33" s="9">
        <f t="shared" si="12"/>
        <v>3.9809323192543167E-5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5.3078721995446587</v>
      </c>
      <c r="K34" s="95">
        <f t="shared" si="3"/>
        <v>3.4475309761530825E-4</v>
      </c>
      <c r="L34" s="95">
        <f t="shared" si="4"/>
        <v>5.1751531655018579E-3</v>
      </c>
      <c r="M34" s="95">
        <f t="shared" si="5"/>
        <v>0.99482484683449812</v>
      </c>
      <c r="N34" s="95">
        <f t="shared" si="6"/>
        <v>4.708786640806018E-3</v>
      </c>
      <c r="O34" s="40">
        <f t="shared" si="7"/>
        <v>3.4657368867532109E-10</v>
      </c>
      <c r="P34" s="40">
        <f t="shared" si="8"/>
        <v>7.0415422302850671E-5</v>
      </c>
      <c r="Q34" s="40">
        <f t="shared" si="9"/>
        <v>1.2813966630269708E-3</v>
      </c>
      <c r="R34" s="9">
        <f t="shared" si="14"/>
        <v>3.9999999999999996E-5</v>
      </c>
      <c r="S34" s="9">
        <f t="shared" si="10"/>
        <v>2.0700612662007431E-7</v>
      </c>
      <c r="T34" s="9">
        <f t="shared" si="11"/>
        <v>1.3790123904612329E-8</v>
      </c>
      <c r="U34" s="9">
        <f t="shared" si="12"/>
        <v>3.9792993873379918E-5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2.0837828896743456</v>
      </c>
      <c r="K35" s="95">
        <f t="shared" si="3"/>
        <v>0.23707270155033366</v>
      </c>
      <c r="L35" s="95">
        <f t="shared" si="4"/>
        <v>2.1242580351088164E-3</v>
      </c>
      <c r="M35" s="95">
        <f t="shared" si="5"/>
        <v>0.99787574196489115</v>
      </c>
      <c r="N35" s="95">
        <f t="shared" si="6"/>
        <v>1.5576589841499121E-3</v>
      </c>
      <c r="O35" s="40">
        <f t="shared" si="7"/>
        <v>2.3832464807090492E-7</v>
      </c>
      <c r="P35" s="40">
        <f t="shared" si="8"/>
        <v>2.8903594123461184E-5</v>
      </c>
      <c r="Q35" s="40">
        <f t="shared" si="9"/>
        <v>4.238839379823802E-4</v>
      </c>
      <c r="R35" s="9">
        <f t="shared" si="14"/>
        <v>3.9999999999999996E-5</v>
      </c>
      <c r="S35" s="9">
        <f t="shared" si="10"/>
        <v>8.4970321404352643E-8</v>
      </c>
      <c r="T35" s="9">
        <f t="shared" si="11"/>
        <v>9.482908062013346E-6</v>
      </c>
      <c r="U35" s="9">
        <f t="shared" si="12"/>
        <v>3.991502967859564E-5</v>
      </c>
      <c r="V35" s="102">
        <f t="shared" si="13"/>
        <v>0.23757737720281683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8.4483031900032319</v>
      </c>
      <c r="K36" s="95">
        <f t="shared" si="3"/>
        <v>4.3064459295701036E-7</v>
      </c>
      <c r="L36" s="95">
        <f t="shared" si="4"/>
        <v>8.9323353585593068E-3</v>
      </c>
      <c r="M36" s="95">
        <f t="shared" si="5"/>
        <v>0.99106766464144069</v>
      </c>
      <c r="N36" s="95">
        <f t="shared" si="6"/>
        <v>8.8638589049805424E-3</v>
      </c>
      <c r="O36" s="40">
        <f t="shared" si="7"/>
        <v>4.3291876453488342E-13</v>
      </c>
      <c r="P36" s="40">
        <f t="shared" si="8"/>
        <v>1.2153730456065539E-4</v>
      </c>
      <c r="Q36" s="40">
        <f t="shared" si="9"/>
        <v>2.4121116730911724E-3</v>
      </c>
      <c r="R36" s="9">
        <f t="shared" si="14"/>
        <v>3.9999999999999996E-5</v>
      </c>
      <c r="S36" s="9">
        <f t="shared" si="10"/>
        <v>3.5729341434237224E-7</v>
      </c>
      <c r="T36" s="9">
        <f t="shared" si="11"/>
        <v>1.7225783718280414E-11</v>
      </c>
      <c r="U36" s="9">
        <f t="shared" si="12"/>
        <v>3.9642706585657623E-5</v>
      </c>
      <c r="V36" s="102">
        <f t="shared" si="13"/>
        <v>4.3452592423425871E-7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3.8585870053842997</v>
      </c>
      <c r="K37" s="95">
        <f t="shared" si="3"/>
        <v>8.8929601151302128E-3</v>
      </c>
      <c r="L37" s="95">
        <f t="shared" si="4"/>
        <v>4.7443441105627865E-3</v>
      </c>
      <c r="M37" s="95">
        <f t="shared" si="5"/>
        <v>0.99525565588943721</v>
      </c>
      <c r="N37" s="95">
        <f t="shared" si="6"/>
        <v>4.2403741676980905E-3</v>
      </c>
      <c r="O37" s="40">
        <f t="shared" si="7"/>
        <v>8.9399225464894904E-9</v>
      </c>
      <c r="P37" s="40">
        <f t="shared" si="8"/>
        <v>6.4553643807549905E-5</v>
      </c>
      <c r="Q37" s="40">
        <f t="shared" si="9"/>
        <v>1.15392811842161E-3</v>
      </c>
      <c r="R37" s="9">
        <f t="shared" si="14"/>
        <v>3.9999999999999996E-5</v>
      </c>
      <c r="S37" s="9">
        <f t="shared" si="10"/>
        <v>1.8977376442251145E-7</v>
      </c>
      <c r="T37" s="9">
        <f t="shared" si="11"/>
        <v>3.5571840460520847E-7</v>
      </c>
      <c r="U37" s="9">
        <f t="shared" si="12"/>
        <v>3.9810226235577486E-5</v>
      </c>
      <c r="V37" s="102">
        <f t="shared" si="13"/>
        <v>8.9353525021495881E-3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2.3639081225718588</v>
      </c>
      <c r="K38" s="95">
        <f t="shared" si="3"/>
        <v>0.17466097221873894</v>
      </c>
      <c r="L38" s="95">
        <f t="shared" si="4"/>
        <v>2.9829558608610463E-3</v>
      </c>
      <c r="M38" s="95">
        <f t="shared" si="5"/>
        <v>0.99701704413913894</v>
      </c>
      <c r="N38" s="95">
        <f t="shared" si="6"/>
        <v>2.4485428511601781E-3</v>
      </c>
      <c r="O38" s="40">
        <f t="shared" si="7"/>
        <v>1.7558333145714503E-7</v>
      </c>
      <c r="P38" s="40">
        <f t="shared" si="8"/>
        <v>4.0587416436963529E-5</v>
      </c>
      <c r="Q38" s="40">
        <f t="shared" si="9"/>
        <v>6.6631913443802404E-4</v>
      </c>
      <c r="R38" s="9">
        <f t="shared" si="14"/>
        <v>3.9999999999999996E-5</v>
      </c>
      <c r="S38" s="9">
        <f t="shared" si="10"/>
        <v>1.1931823443444183E-7</v>
      </c>
      <c r="T38" s="9">
        <f t="shared" si="11"/>
        <v>6.9864388887495574E-6</v>
      </c>
      <c r="U38" s="9">
        <f t="shared" si="12"/>
        <v>3.9880681765565556E-5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-2.1315410513045033E-2</v>
      </c>
      <c r="K39" s="95">
        <f t="shared" si="3"/>
        <v>0.99513546906049533</v>
      </c>
      <c r="L39" s="95">
        <f t="shared" si="4"/>
        <v>7.0001867561972142E-5</v>
      </c>
      <c r="M39" s="95">
        <f t="shared" si="5"/>
        <v>0.99992999813243799</v>
      </c>
      <c r="N39" s="95">
        <f t="shared" si="6"/>
        <v>1.7806642577721277E-7</v>
      </c>
      <c r="O39" s="40">
        <f t="shared" si="7"/>
        <v>1.0003906350068065E-6</v>
      </c>
      <c r="P39" s="40">
        <f t="shared" si="8"/>
        <v>9.5247636325493818E-7</v>
      </c>
      <c r="Q39" s="40">
        <f t="shared" si="9"/>
        <v>4.8457010519593857E-8</v>
      </c>
      <c r="R39" s="9">
        <f t="shared" si="14"/>
        <v>3.9999999999999996E-5</v>
      </c>
      <c r="S39" s="9">
        <f t="shared" si="10"/>
        <v>2.8000747024788854E-9</v>
      </c>
      <c r="T39" s="9">
        <f t="shared" si="11"/>
        <v>3.980541876241981E-5</v>
      </c>
      <c r="U39" s="9">
        <f t="shared" si="12"/>
        <v>3.9997199925297519E-5</v>
      </c>
      <c r="V39" s="102">
        <f t="shared" si="13"/>
        <v>0.99520513527857213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2.5889557991870298</v>
      </c>
      <c r="K40" s="95">
        <f t="shared" si="3"/>
        <v>8.7013459663739329E-2</v>
      </c>
      <c r="L40" s="95">
        <f t="shared" si="4"/>
        <v>2.4950834014045215E-3</v>
      </c>
      <c r="M40" s="95">
        <f t="shared" si="5"/>
        <v>0.99750491659859553</v>
      </c>
      <c r="N40" s="95">
        <f t="shared" si="6"/>
        <v>1.8263511070410216E-3</v>
      </c>
      <c r="O40" s="40">
        <f t="shared" si="7"/>
        <v>8.7472965112306362E-8</v>
      </c>
      <c r="P40" s="40">
        <f t="shared" si="8"/>
        <v>3.3949208027680615E-5</v>
      </c>
      <c r="Q40" s="40">
        <f t="shared" si="9"/>
        <v>4.9700281465235086E-4</v>
      </c>
      <c r="R40" s="9">
        <f t="shared" si="14"/>
        <v>3.9999999999999996E-5</v>
      </c>
      <c r="S40" s="9">
        <f t="shared" si="10"/>
        <v>9.9803336056180848E-8</v>
      </c>
      <c r="T40" s="9">
        <f t="shared" si="11"/>
        <v>3.4805383865495728E-6</v>
      </c>
      <c r="U40" s="9">
        <f t="shared" si="12"/>
        <v>3.9900196663943818E-5</v>
      </c>
      <c r="V40" s="102">
        <f t="shared" si="13"/>
        <v>8.7231108554780473E-2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2.6634845218157044</v>
      </c>
      <c r="K41" s="95">
        <f t="shared" si="3"/>
        <v>7.1993971406958873E-2</v>
      </c>
      <c r="L41" s="95">
        <f t="shared" si="4"/>
        <v>2.4508881066214331E-3</v>
      </c>
      <c r="M41" s="95">
        <f t="shared" si="5"/>
        <v>0.99754911189337858</v>
      </c>
      <c r="N41" s="95">
        <f t="shared" si="6"/>
        <v>1.7633152635354078E-3</v>
      </c>
      <c r="O41" s="40">
        <f t="shared" si="7"/>
        <v>7.2374161118450859E-8</v>
      </c>
      <c r="P41" s="40">
        <f t="shared" si="8"/>
        <v>3.3347867304724761E-5</v>
      </c>
      <c r="Q41" s="40">
        <f t="shared" si="9"/>
        <v>4.798489434577626E-4</v>
      </c>
      <c r="R41" s="9">
        <f t="shared" si="14"/>
        <v>3.9999999999999996E-5</v>
      </c>
      <c r="S41" s="9">
        <f t="shared" si="10"/>
        <v>9.8035524264857315E-8</v>
      </c>
      <c r="T41" s="9">
        <f t="shared" si="11"/>
        <v>2.8797588562783547E-6</v>
      </c>
      <c r="U41" s="9">
        <f t="shared" si="12"/>
        <v>3.990196447573514E-5</v>
      </c>
      <c r="V41" s="102">
        <f t="shared" si="13"/>
        <v>7.2170854094904785E-2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4.3682400663002383</v>
      </c>
      <c r="K42" s="95">
        <f t="shared" si="3"/>
        <v>3.3783030630813822E-3</v>
      </c>
      <c r="L42" s="95">
        <f t="shared" si="4"/>
        <v>5.8274895652995718E-3</v>
      </c>
      <c r="M42" s="95">
        <f t="shared" si="5"/>
        <v>0.99417251043470045</v>
      </c>
      <c r="N42" s="95">
        <f t="shared" si="6"/>
        <v>5.4331218175518508E-3</v>
      </c>
      <c r="O42" s="40">
        <f t="shared" si="7"/>
        <v>3.3961433911225335E-9</v>
      </c>
      <c r="P42" s="40">
        <f t="shared" si="8"/>
        <v>7.9291399806566323E-5</v>
      </c>
      <c r="Q42" s="40">
        <f t="shared" si="9"/>
        <v>1.4785091570082834E-3</v>
      </c>
      <c r="R42" s="9">
        <f t="shared" si="14"/>
        <v>3.9999999999999996E-5</v>
      </c>
      <c r="S42" s="9">
        <f t="shared" si="10"/>
        <v>2.3309958261198285E-7</v>
      </c>
      <c r="T42" s="9">
        <f t="shared" si="11"/>
        <v>1.3513212252325528E-7</v>
      </c>
      <c r="U42" s="9">
        <f t="shared" si="12"/>
        <v>3.9766900417388014E-5</v>
      </c>
      <c r="V42" s="102">
        <f t="shared" si="13"/>
        <v>3.3981054873507056E-3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4.0532477704684817</v>
      </c>
      <c r="K43" s="95">
        <f t="shared" si="3"/>
        <v>5.8652545513678935E-3</v>
      </c>
      <c r="L43" s="95">
        <f t="shared" si="4"/>
        <v>4.8986619107719825E-3</v>
      </c>
      <c r="M43" s="95">
        <f t="shared" si="5"/>
        <v>0.99510133808922807</v>
      </c>
      <c r="N43" s="95">
        <f t="shared" si="6"/>
        <v>4.4081940172450949E-3</v>
      </c>
      <c r="O43" s="40">
        <f t="shared" si="7"/>
        <v>5.8962281091829863E-9</v>
      </c>
      <c r="P43" s="40">
        <f t="shared" si="8"/>
        <v>6.665336003295824E-5</v>
      </c>
      <c r="Q43" s="40">
        <f t="shared" si="9"/>
        <v>1.1995967400014592E-3</v>
      </c>
      <c r="R43" s="9">
        <f t="shared" si="14"/>
        <v>3.9999999999999996E-5</v>
      </c>
      <c r="S43" s="9">
        <f t="shared" si="10"/>
        <v>1.9594647643087929E-7</v>
      </c>
      <c r="T43" s="9">
        <f t="shared" si="11"/>
        <v>2.3461018205471571E-7</v>
      </c>
      <c r="U43" s="9">
        <f t="shared" si="12"/>
        <v>3.9804053523569122E-5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2.3088898400463109</v>
      </c>
      <c r="K44" s="95">
        <f t="shared" si="3"/>
        <v>0.19549488382012839</v>
      </c>
      <c r="L44" s="95">
        <f t="shared" si="4"/>
        <v>2.941494681962576E-3</v>
      </c>
      <c r="M44" s="95">
        <f t="shared" si="5"/>
        <v>0.99705850531803741</v>
      </c>
      <c r="N44" s="95">
        <f t="shared" si="6"/>
        <v>2.4223239984266271E-3</v>
      </c>
      <c r="O44" s="40">
        <f t="shared" si="7"/>
        <v>1.96527263921201E-7</v>
      </c>
      <c r="P44" s="40">
        <f t="shared" si="8"/>
        <v>4.0023277303696606E-5</v>
      </c>
      <c r="Q44" s="40">
        <f t="shared" si="9"/>
        <v>6.5918422836476497E-4</v>
      </c>
      <c r="R44" s="9">
        <f t="shared" si="14"/>
        <v>3.9999999999999996E-5</v>
      </c>
      <c r="S44" s="9">
        <f t="shared" si="10"/>
        <v>1.1765978727850303E-7</v>
      </c>
      <c r="T44" s="9">
        <f t="shared" si="11"/>
        <v>7.8197953528051355E-6</v>
      </c>
      <c r="U44" s="9">
        <f t="shared" si="12"/>
        <v>3.9882340212721495E-5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4.041572503575793</v>
      </c>
      <c r="K45" s="95">
        <f t="shared" si="3"/>
        <v>4.6648340919136309E-3</v>
      </c>
      <c r="L45" s="95">
        <f t="shared" si="4"/>
        <v>3.7927265970621386E-3</v>
      </c>
      <c r="M45" s="95">
        <f t="shared" si="5"/>
        <v>0.99620727340293791</v>
      </c>
      <c r="N45" s="95">
        <f t="shared" si="6"/>
        <v>3.18391186951915E-3</v>
      </c>
      <c r="O45" s="40">
        <f t="shared" si="7"/>
        <v>4.6894684035497747E-9</v>
      </c>
      <c r="P45" s="40">
        <f t="shared" si="8"/>
        <v>5.1605515135605733E-5</v>
      </c>
      <c r="Q45" s="40">
        <f t="shared" si="9"/>
        <v>8.6643425497729516E-4</v>
      </c>
      <c r="R45" s="9">
        <f t="shared" si="14"/>
        <v>3.9999999999999996E-5</v>
      </c>
      <c r="S45" s="9">
        <f t="shared" si="10"/>
        <v>1.5170906388248553E-7</v>
      </c>
      <c r="T45" s="9">
        <f t="shared" si="11"/>
        <v>1.8659336367654523E-7</v>
      </c>
      <c r="U45" s="9">
        <f t="shared" si="12"/>
        <v>3.9848290936117512E-5</v>
      </c>
      <c r="V45" s="102">
        <f t="shared" si="13"/>
        <v>4.68259389030463E-3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2.21956631274778</v>
      </c>
      <c r="K46" s="95">
        <f t="shared" si="3"/>
        <v>0.22488344856605852</v>
      </c>
      <c r="L46" s="95">
        <f t="shared" si="4"/>
        <v>2.7546513344581768E-3</v>
      </c>
      <c r="M46" s="95">
        <f t="shared" si="5"/>
        <v>0.99724534866554182</v>
      </c>
      <c r="N46" s="95">
        <f t="shared" si="6"/>
        <v>2.2433773364471531E-3</v>
      </c>
      <c r="O46" s="40">
        <f t="shared" si="7"/>
        <v>2.2607102541115792E-7</v>
      </c>
      <c r="P46" s="40">
        <f t="shared" si="8"/>
        <v>3.7481004099745014E-5</v>
      </c>
      <c r="Q46" s="40">
        <f t="shared" si="9"/>
        <v>6.1048768018541E-4</v>
      </c>
      <c r="R46" s="9">
        <f t="shared" si="14"/>
        <v>3.9999999999999996E-5</v>
      </c>
      <c r="S46" s="9">
        <f t="shared" si="10"/>
        <v>1.1018605337832707E-7</v>
      </c>
      <c r="T46" s="9">
        <f t="shared" si="11"/>
        <v>8.9953379426423397E-6</v>
      </c>
      <c r="U46" s="9">
        <f t="shared" si="12"/>
        <v>3.9889813946621668E-5</v>
      </c>
      <c r="V46" s="102">
        <f t="shared" si="13"/>
        <v>0.22550463521036726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3.1296066711876311</v>
      </c>
      <c r="K47" s="95">
        <f t="shared" si="3"/>
        <v>2.326895095353065E-2</v>
      </c>
      <c r="L47" s="95">
        <f t="shared" si="4"/>
        <v>2.3170014558330054E-3</v>
      </c>
      <c r="M47" s="95">
        <f t="shared" si="5"/>
        <v>0.99768299854416698</v>
      </c>
      <c r="N47" s="95">
        <f t="shared" si="6"/>
        <v>1.5693132435913139E-3</v>
      </c>
      <c r="O47" s="40">
        <f t="shared" si="7"/>
        <v>2.3391830905516311E-8</v>
      </c>
      <c r="P47" s="40">
        <f t="shared" si="8"/>
        <v>3.1526146332517144E-5</v>
      </c>
      <c r="Q47" s="40">
        <f t="shared" si="9"/>
        <v>4.2705539812645387E-4</v>
      </c>
      <c r="R47" s="9">
        <f t="shared" si="14"/>
        <v>3.9999999999999996E-5</v>
      </c>
      <c r="S47" s="9">
        <f t="shared" si="10"/>
        <v>9.2680058233320207E-8</v>
      </c>
      <c r="T47" s="9">
        <f t="shared" si="11"/>
        <v>9.3075803814122589E-7</v>
      </c>
      <c r="U47" s="9">
        <f t="shared" si="12"/>
        <v>3.9907319941766673E-5</v>
      </c>
      <c r="V47" s="102">
        <f t="shared" si="13"/>
        <v>2.3322990356140206E-2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1.2642800792666065</v>
      </c>
      <c r="K48" s="95">
        <f t="shared" ref="K48:K50" si="17">IF(D48=0,"",1/(1+10^D48*$J$15/$J$14+10^E48*$J$16/$J$14+10^J48*$J$19/$J$14))</f>
        <v>0.62868837258893162</v>
      </c>
      <c r="L48" s="95">
        <f t="shared" ref="L48:L50" si="18">IF(D48=0,"",1/(1+10^I48/10^J48*$J$13/$J$19))</f>
        <v>8.5360772912353438E-4</v>
      </c>
      <c r="M48" s="95">
        <f t="shared" ref="M48:M92" si="19">IF(D48=0,"",1-L48)</f>
        <v>0.99914639227087643</v>
      </c>
      <c r="N48" s="95">
        <f t="shared" ref="N48:N50" si="20">IF(D48=0,"",1/(1/10^E48*$J$20/$J$22+10^D48/10^E48*$J$21/$J$22+10^I48/10^E48*$J$13/$J$22+1))</f>
        <v>5.2144710887913387E-4</v>
      </c>
      <c r="O48" s="40">
        <f t="shared" ref="O48:O92" si="21">IF(D48=0,"",F48*K48*$J$7/$J$14)</f>
        <v>6.3200838461663106E-7</v>
      </c>
      <c r="P48" s="40">
        <f t="shared" ref="P48:P50" si="22">IF(D48=0,"",O48*10^J48)</f>
        <v>1.1614564208049321E-5</v>
      </c>
      <c r="Q48" s="40">
        <f t="shared" ref="Q48:Q50" si="23">IF(D48=0,"",F48*N48*$J$7/$J$22)</f>
        <v>1.419007987052072E-4</v>
      </c>
      <c r="R48" s="9">
        <f t="shared" si="14"/>
        <v>3.9999999999999996E-5</v>
      </c>
      <c r="S48" s="9">
        <f t="shared" si="10"/>
        <v>3.414430916494137E-8</v>
      </c>
      <c r="T48" s="9">
        <f t="shared" si="11"/>
        <v>2.5147534903557264E-5</v>
      </c>
      <c r="U48" s="9">
        <f t="shared" si="12"/>
        <v>3.996585569083505E-5</v>
      </c>
      <c r="V48" s="102">
        <f t="shared" si="13"/>
        <v>0.62922548432571357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0.79270412978539373</v>
      </c>
      <c r="K49" s="95">
        <f t="shared" si="17"/>
        <v>0.85550304966327562</v>
      </c>
      <c r="L49" s="95">
        <f t="shared" si="18"/>
        <v>3.9216472189590196E-4</v>
      </c>
      <c r="M49" s="95">
        <f t="shared" si="19"/>
        <v>0.99960783527810415</v>
      </c>
      <c r="N49" s="95">
        <f t="shared" si="20"/>
        <v>2.2487770357298683E-4</v>
      </c>
      <c r="O49" s="40">
        <f t="shared" si="21"/>
        <v>8.6002083707346636E-7</v>
      </c>
      <c r="P49" s="40">
        <f t="shared" si="22"/>
        <v>5.3359666122851874E-6</v>
      </c>
      <c r="Q49" s="40">
        <f t="shared" si="23"/>
        <v>6.1195709410666522E-5</v>
      </c>
      <c r="R49" s="9">
        <f t="shared" si="14"/>
        <v>3.9999999999999996E-5</v>
      </c>
      <c r="S49" s="9">
        <f t="shared" si="10"/>
        <v>1.5686588875836079E-8</v>
      </c>
      <c r="T49" s="9">
        <f t="shared" si="11"/>
        <v>3.4220121986531019E-5</v>
      </c>
      <c r="U49" s="9">
        <f t="shared" si="12"/>
        <v>3.9984313411124163E-5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8.66295144485788E-3</v>
      </c>
      <c r="K57" s="55">
        <f t="shared" si="26"/>
        <v>0.99389337709599224</v>
      </c>
      <c r="L57" s="55">
        <f t="shared" si="27"/>
        <v>7.4910997376849661E-5</v>
      </c>
      <c r="M57" s="55">
        <f t="shared" si="28"/>
        <v>0.99992508900262311</v>
      </c>
      <c r="N57" s="55">
        <f t="shared" si="29"/>
        <v>4.4367875366928028E-6</v>
      </c>
      <c r="O57" s="56">
        <f t="shared" si="30"/>
        <v>9.9914198373495591E-7</v>
      </c>
      <c r="P57" s="56">
        <f t="shared" si="31"/>
        <v>1.0192721542198215E-6</v>
      </c>
      <c r="Q57" s="56">
        <f t="shared" si="32"/>
        <v>1.2073778613814286E-6</v>
      </c>
      <c r="R57" s="9">
        <f t="shared" ref="R57:R58" si="33">F57*$C$14</f>
        <v>3.9999999999999996E-5</v>
      </c>
      <c r="S57" s="9">
        <f t="shared" ref="S57:S58" si="34">$R57*L57</f>
        <v>2.996439895073986E-9</v>
      </c>
      <c r="T57" s="9">
        <f t="shared" ref="T57:T58" si="35">R57*K57</f>
        <v>3.9755735083839686E-5</v>
      </c>
      <c r="U57" s="9">
        <f t="shared" ref="U57:U58" si="36">$R57*M57</f>
        <v>3.9997003560104919E-5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1.4682817666499361</v>
      </c>
      <c r="K58" s="55">
        <f t="shared" si="26"/>
        <v>0.53066002382059796</v>
      </c>
      <c r="L58" s="55">
        <f t="shared" si="27"/>
        <v>1.1525000956715294E-3</v>
      </c>
      <c r="M58" s="55">
        <f t="shared" si="28"/>
        <v>0.99884749990432842</v>
      </c>
      <c r="N58" s="55">
        <f t="shared" si="29"/>
        <v>7.5962317821555003E-4</v>
      </c>
      <c r="O58" s="56">
        <f t="shared" si="30"/>
        <v>5.3346236236942241E-7</v>
      </c>
      <c r="P58" s="56">
        <f t="shared" si="31"/>
        <v>1.568142591059267E-5</v>
      </c>
      <c r="Q58" s="56">
        <f t="shared" si="32"/>
        <v>2.0671537701201333E-4</v>
      </c>
      <c r="R58" s="9">
        <f t="shared" si="33"/>
        <v>3.9999999999999996E-5</v>
      </c>
      <c r="S58" s="9">
        <f t="shared" si="34"/>
        <v>4.6100003826861169E-8</v>
      </c>
      <c r="T58" s="9">
        <f t="shared" si="35"/>
        <v>2.1226400952823917E-5</v>
      </c>
      <c r="U58" s="9">
        <f t="shared" si="36"/>
        <v>3.9953899996173136E-5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1.5210188025338833</v>
      </c>
      <c r="K60" s="55">
        <f t="shared" si="26"/>
        <v>0.44324714607971982</v>
      </c>
      <c r="L60" s="55">
        <f t="shared" si="27"/>
        <v>1.0869450318152394E-3</v>
      </c>
      <c r="M60" s="55">
        <f t="shared" si="28"/>
        <v>0.99891305496818472</v>
      </c>
      <c r="N60" s="55">
        <f t="shared" si="29"/>
        <v>6.0473037540758701E-4</v>
      </c>
      <c r="O60" s="56">
        <f t="shared" si="30"/>
        <v>4.4558786991109617E-7</v>
      </c>
      <c r="P60" s="56">
        <f t="shared" si="31"/>
        <v>1.4789454724830991E-5</v>
      </c>
      <c r="Q60" s="56">
        <f t="shared" si="32"/>
        <v>1.6456457771161348E-4</v>
      </c>
      <c r="R60" s="9">
        <f t="shared" ref="R60:R65" si="38">F60*$C$14</f>
        <v>3.9999999999999996E-5</v>
      </c>
      <c r="S60" s="9">
        <f t="shared" ref="S60:S93" si="39">$R60*L60</f>
        <v>4.3477801272609573E-8</v>
      </c>
      <c r="T60" s="9">
        <f t="shared" ref="T60:T93" si="40">R60*K60</f>
        <v>1.772988584318879E-5</v>
      </c>
      <c r="U60" s="9">
        <f t="shared" ref="U60:U93" si="41">$R60*M60</f>
        <v>3.9956522198727383E-5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2.5091055968760121</v>
      </c>
      <c r="K61" s="55">
        <f t="shared" si="26"/>
        <v>8.6480438204841345E-2</v>
      </c>
      <c r="L61" s="55">
        <f t="shared" si="27"/>
        <v>2.0633186785474532E-3</v>
      </c>
      <c r="M61" s="55">
        <f t="shared" si="28"/>
        <v>0.99793668132145252</v>
      </c>
      <c r="N61" s="55">
        <f t="shared" si="29"/>
        <v>1.3483222992971466E-3</v>
      </c>
      <c r="O61" s="56">
        <f t="shared" si="30"/>
        <v>8.6937128844463718E-8</v>
      </c>
      <c r="P61" s="56">
        <f t="shared" si="31"/>
        <v>2.8074426292113293E-5</v>
      </c>
      <c r="Q61" s="56">
        <f t="shared" si="32"/>
        <v>3.6691738802344082E-4</v>
      </c>
      <c r="R61" s="9">
        <f t="shared" si="38"/>
        <v>3.9999999999999996E-5</v>
      </c>
      <c r="S61" s="9">
        <f t="shared" si="39"/>
        <v>8.253274714189812E-8</v>
      </c>
      <c r="T61" s="9">
        <f t="shared" si="40"/>
        <v>3.4592175281936537E-6</v>
      </c>
      <c r="U61" s="9">
        <f t="shared" si="41"/>
        <v>3.99174672528581E-5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2.2508102103882899</v>
      </c>
      <c r="K62" s="55">
        <f t="shared" si="26"/>
        <v>0.16920219763735886</v>
      </c>
      <c r="L62" s="55">
        <f t="shared" si="27"/>
        <v>2.2271990932959656E-3</v>
      </c>
      <c r="M62" s="55">
        <f t="shared" si="28"/>
        <v>0.99777280090670406</v>
      </c>
      <c r="N62" s="55">
        <f t="shared" si="29"/>
        <v>1.6075401736273629E-3</v>
      </c>
      <c r="O62" s="56">
        <f t="shared" si="30"/>
        <v>1.7009572987966186E-7</v>
      </c>
      <c r="P62" s="56">
        <f t="shared" si="31"/>
        <v>3.0304255679310521E-5</v>
      </c>
      <c r="Q62" s="56">
        <f t="shared" si="32"/>
        <v>4.3745804838914956E-4</v>
      </c>
      <c r="R62" s="9">
        <f t="shared" si="38"/>
        <v>3.9999999999999996E-5</v>
      </c>
      <c r="S62" s="9">
        <f t="shared" si="39"/>
        <v>8.9087963731838619E-8</v>
      </c>
      <c r="T62" s="9">
        <f t="shared" si="40"/>
        <v>6.768087905494354E-6</v>
      </c>
      <c r="U62" s="9">
        <f t="shared" si="41"/>
        <v>3.9910912036268159E-5</v>
      </c>
      <c r="V62" s="102">
        <f t="shared" si="42"/>
        <v>0.16957988580526556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2.1782102693561018</v>
      </c>
      <c r="K63" s="55">
        <f t="shared" si="26"/>
        <v>0.18866121621073129</v>
      </c>
      <c r="L63" s="55">
        <f t="shared" si="27"/>
        <v>2.1010468202651475E-3</v>
      </c>
      <c r="M63" s="55">
        <f t="shared" si="28"/>
        <v>0.99789895317973487</v>
      </c>
      <c r="N63" s="55">
        <f t="shared" si="29"/>
        <v>1.4863581384526878E-3</v>
      </c>
      <c r="O63" s="56">
        <f t="shared" si="30"/>
        <v>1.8965750870521581E-7</v>
      </c>
      <c r="P63" s="56">
        <f t="shared" si="31"/>
        <v>2.8587772070835876E-5</v>
      </c>
      <c r="Q63" s="56">
        <f t="shared" si="32"/>
        <v>4.0448092129955485E-4</v>
      </c>
      <c r="R63" s="9">
        <f t="shared" si="38"/>
        <v>3.9999999999999996E-5</v>
      </c>
      <c r="S63" s="9">
        <f t="shared" si="39"/>
        <v>8.404187281060589E-8</v>
      </c>
      <c r="T63" s="9">
        <f t="shared" si="40"/>
        <v>7.5464486484292506E-6</v>
      </c>
      <c r="U63" s="9">
        <f t="shared" si="41"/>
        <v>3.991595812718939E-5</v>
      </c>
      <c r="V63" s="102">
        <f t="shared" si="42"/>
        <v>0.18905843683829468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1.4306562944149119</v>
      </c>
      <c r="K64" s="55">
        <f t="shared" si="26"/>
        <v>0.5799996098658039</v>
      </c>
      <c r="L64" s="55">
        <f t="shared" si="27"/>
        <v>1.1551192652260853E-3</v>
      </c>
      <c r="M64" s="55">
        <f t="shared" si="28"/>
        <v>0.99884488073477395</v>
      </c>
      <c r="N64" s="55">
        <f t="shared" si="29"/>
        <v>8.0902424541634012E-4</v>
      </c>
      <c r="O64" s="56">
        <f t="shared" si="30"/>
        <v>5.8306250360580708E-7</v>
      </c>
      <c r="P64" s="56">
        <f t="shared" si="31"/>
        <v>1.5717063489688156E-5</v>
      </c>
      <c r="Q64" s="56">
        <f t="shared" si="32"/>
        <v>2.2015883229887845E-4</v>
      </c>
      <c r="R64" s="9">
        <f t="shared" si="38"/>
        <v>3.9999999999999996E-5</v>
      </c>
      <c r="S64" s="9">
        <f t="shared" si="39"/>
        <v>4.6204770609043406E-8</v>
      </c>
      <c r="T64" s="9">
        <f t="shared" si="40"/>
        <v>2.3199984394632153E-5</v>
      </c>
      <c r="U64" s="9">
        <f t="shared" si="41"/>
        <v>3.9953795229390952E-5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2.9136453532291715</v>
      </c>
      <c r="K65" s="55">
        <f t="shared" si="26"/>
        <v>5.1631091777966771E-2</v>
      </c>
      <c r="L65" s="55">
        <f t="shared" si="27"/>
        <v>3.1267956070995546E-3</v>
      </c>
      <c r="M65" s="55">
        <f t="shared" si="28"/>
        <v>0.99687320439290039</v>
      </c>
      <c r="N65" s="55">
        <f t="shared" si="29"/>
        <v>2.491667825402269E-3</v>
      </c>
      <c r="O65" s="56">
        <f t="shared" si="30"/>
        <v>5.1903748078257829E-8</v>
      </c>
      <c r="P65" s="56">
        <f t="shared" si="31"/>
        <v>4.2544563626893575E-5</v>
      </c>
      <c r="Q65" s="56">
        <f t="shared" si="32"/>
        <v>6.7805468380610504E-4</v>
      </c>
      <c r="R65" s="9">
        <f t="shared" si="38"/>
        <v>3.9999999999999996E-5</v>
      </c>
      <c r="S65" s="9">
        <f t="shared" si="39"/>
        <v>1.2507182428398216E-7</v>
      </c>
      <c r="T65" s="9">
        <f t="shared" si="40"/>
        <v>2.0652436711186709E-6</v>
      </c>
      <c r="U65" s="9">
        <f t="shared" si="41"/>
        <v>3.9874928175716012E-5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1.4630863314519809</v>
      </c>
      <c r="K68" s="55">
        <f t="shared" si="26"/>
        <v>0.45962687601056157</v>
      </c>
      <c r="L68" s="55">
        <f t="shared" si="27"/>
        <v>9.8635801565234498E-4</v>
      </c>
      <c r="M68" s="55">
        <f t="shared" si="28"/>
        <v>0.99901364198434761</v>
      </c>
      <c r="N68" s="55">
        <f t="shared" si="29"/>
        <v>5.0892085849033183E-4</v>
      </c>
      <c r="O68" s="56">
        <f t="shared" si="30"/>
        <v>4.6205409881782468E-7</v>
      </c>
      <c r="P68" s="56">
        <f t="shared" si="31"/>
        <v>1.3420823305666601E-5</v>
      </c>
      <c r="Q68" s="56">
        <f t="shared" si="32"/>
        <v>1.3849204467304243E-4</v>
      </c>
      <c r="R68" s="9">
        <f>F68*$C$14</f>
        <v>3.9999999999999996E-5</v>
      </c>
      <c r="S68" s="9">
        <f t="shared" si="39"/>
        <v>3.9454320626093793E-8</v>
      </c>
      <c r="T68" s="9">
        <f t="shared" si="40"/>
        <v>1.8385075040422462E-5</v>
      </c>
      <c r="U68" s="9">
        <f t="shared" si="41"/>
        <v>3.9960545679373903E-5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3.8581605774828254</v>
      </c>
      <c r="K69" s="55">
        <f t="shared" si="26"/>
        <v>6.6644672006487254E-3</v>
      </c>
      <c r="L69" s="55">
        <f t="shared" si="27"/>
        <v>3.5519663572948709E-3</v>
      </c>
      <c r="M69" s="55">
        <f t="shared" si="28"/>
        <v>0.99644803364270518</v>
      </c>
      <c r="N69" s="55">
        <f t="shared" si="29"/>
        <v>2.9195187618706428E-3</v>
      </c>
      <c r="O69" s="56">
        <f t="shared" si="30"/>
        <v>6.6996612844413795E-9</v>
      </c>
      <c r="P69" s="56">
        <f t="shared" si="31"/>
        <v>4.8329624854722927E-5</v>
      </c>
      <c r="Q69" s="56">
        <f t="shared" si="32"/>
        <v>7.9448526435364362E-4</v>
      </c>
      <c r="R69" s="9">
        <f>F69*$C$14</f>
        <v>3.9999999999999996E-5</v>
      </c>
      <c r="S69" s="9">
        <f t="shared" si="39"/>
        <v>1.4207865429179483E-7</v>
      </c>
      <c r="T69" s="9">
        <f t="shared" si="40"/>
        <v>2.6657868802594901E-7</v>
      </c>
      <c r="U69" s="9">
        <f t="shared" si="41"/>
        <v>3.9857921345708204E-5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0.63617430590334967</v>
      </c>
      <c r="K70" s="55">
        <f t="shared" si="26"/>
        <v>0.86199059734226779</v>
      </c>
      <c r="L70" s="55">
        <f t="shared" si="27"/>
        <v>2.7556221418598858E-4</v>
      </c>
      <c r="M70" s="55">
        <f t="shared" si="28"/>
        <v>0.99972443778581399</v>
      </c>
      <c r="N70" s="55">
        <f t="shared" si="29"/>
        <v>1.0203152178811501E-4</v>
      </c>
      <c r="O70" s="56">
        <f t="shared" si="30"/>
        <v>8.665426445499411E-7</v>
      </c>
      <c r="P70" s="56">
        <f t="shared" si="31"/>
        <v>3.7494213334521248E-6</v>
      </c>
      <c r="Q70" s="56">
        <f t="shared" si="32"/>
        <v>2.7765720028562299E-5</v>
      </c>
      <c r="R70" s="9">
        <f t="shared" ref="R70:R86" si="43">F70*$C$14</f>
        <v>3.9999999999999996E-5</v>
      </c>
      <c r="S70" s="9">
        <f t="shared" si="39"/>
        <v>1.1022488567439542E-8</v>
      </c>
      <c r="T70" s="9">
        <f t="shared" si="40"/>
        <v>3.4479623893690711E-5</v>
      </c>
      <c r="U70" s="9">
        <f t="shared" si="41"/>
        <v>3.9988977511432554E-5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1.3625600825731246</v>
      </c>
      <c r="K71" s="55">
        <f t="shared" ref="K71:K122" si="46">IF(D71=0,"",1/(1+10^D71*$J$15/$J$14+10^E71*$J$16/$J$14+10^J71*$J$19/$J$14))</f>
        <v>0.59139759784072587</v>
      </c>
      <c r="L71" s="55">
        <f t="shared" ref="L71:L122" si="47">IF(D71=0,"",1/(1+10^I71/10^J71*$J$13/$J$19))</f>
        <v>1.0068910256007034E-3</v>
      </c>
      <c r="M71" s="55">
        <f t="shared" si="19"/>
        <v>0.9989931089743993</v>
      </c>
      <c r="N71" s="55">
        <f t="shared" ref="N71:N122" si="48">IF(D71=0,"",1/(1/10^E71*$J$20/$J$22+10^D71/10^E71*$J$21/$J$22+10^I71/10^E71*$J$13/$J$22+1))</f>
        <v>6.5582866025926155E-4</v>
      </c>
      <c r="O71" s="56">
        <f t="shared" si="21"/>
        <v>5.9452068270055611E-7</v>
      </c>
      <c r="P71" s="56">
        <f t="shared" ref="P71:P122" si="49">IF(D71=0,"",O71*10^J71)</f>
        <v>1.3700204518246056E-5</v>
      </c>
      <c r="Q71" s="56">
        <f t="shared" ref="Q71:Q122" si="50">IF(D71=0,"",F71*N71*$J$7/$J$22)</f>
        <v>1.7846989487504508E-4</v>
      </c>
      <c r="R71" s="9">
        <f t="shared" si="43"/>
        <v>3.9999999999999996E-5</v>
      </c>
      <c r="S71" s="9">
        <f t="shared" si="39"/>
        <v>4.0275641024028132E-8</v>
      </c>
      <c r="T71" s="9">
        <f t="shared" si="40"/>
        <v>2.3655903913629032E-5</v>
      </c>
      <c r="U71" s="9">
        <f t="shared" si="41"/>
        <v>3.9959724358975967E-5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1.4662062884307066</v>
      </c>
      <c r="K72" s="55">
        <f t="shared" si="46"/>
        <v>0.47485512946780178</v>
      </c>
      <c r="L72" s="55">
        <f t="shared" si="47"/>
        <v>1.0263848982390591E-3</v>
      </c>
      <c r="M72" s="55">
        <f t="shared" si="19"/>
        <v>0.99897361510176097</v>
      </c>
      <c r="N72" s="55">
        <f t="shared" si="48"/>
        <v>5.6754325848090616E-4</v>
      </c>
      <c r="O72" s="56">
        <f t="shared" si="21"/>
        <v>4.7736277047085675E-7</v>
      </c>
      <c r="P72" s="56">
        <f t="shared" si="49"/>
        <v>1.396544676910313E-5</v>
      </c>
      <c r="Q72" s="56">
        <f t="shared" si="50"/>
        <v>1.5444489058786517E-4</v>
      </c>
      <c r="R72" s="9">
        <f t="shared" si="43"/>
        <v>3.9999999999999996E-5</v>
      </c>
      <c r="S72" s="9">
        <f t="shared" si="39"/>
        <v>4.1055395929562361E-8</v>
      </c>
      <c r="T72" s="9">
        <f t="shared" si="40"/>
        <v>1.8994205178712069E-5</v>
      </c>
      <c r="U72" s="9">
        <f t="shared" si="41"/>
        <v>3.9958944604070438E-5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5.7902923462368587</v>
      </c>
      <c r="K73" s="55">
        <f t="shared" si="46"/>
        <v>1.4637032920459075E-4</v>
      </c>
      <c r="L73" s="55">
        <f t="shared" si="47"/>
        <v>6.6724945407572499E-3</v>
      </c>
      <c r="M73" s="55">
        <f t="shared" si="19"/>
        <v>0.99332750545924275</v>
      </c>
      <c r="N73" s="55">
        <f t="shared" si="48"/>
        <v>6.3646406057299813E-3</v>
      </c>
      <c r="O73" s="56">
        <f t="shared" si="21"/>
        <v>1.4714328966424811E-10</v>
      </c>
      <c r="P73" s="56">
        <f t="shared" si="49"/>
        <v>9.0788911144299263E-5</v>
      </c>
      <c r="Q73" s="56">
        <f t="shared" si="50"/>
        <v>1.7320022875685721E-3</v>
      </c>
      <c r="R73" s="9">
        <f t="shared" si="43"/>
        <v>3.9999999999999996E-5</v>
      </c>
      <c r="S73" s="9">
        <f t="shared" si="39"/>
        <v>2.6689978163028996E-7</v>
      </c>
      <c r="T73" s="9">
        <f t="shared" si="40"/>
        <v>5.8548131681836295E-9</v>
      </c>
      <c r="U73" s="9">
        <f t="shared" si="41"/>
        <v>3.9733100218369709E-5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0.50735979747220017</v>
      </c>
      <c r="K74" s="55">
        <f t="shared" si="46"/>
        <v>0.91119827385325602</v>
      </c>
      <c r="L74" s="55">
        <f t="shared" si="47"/>
        <v>2.1652872424894075E-4</v>
      </c>
      <c r="M74" s="55">
        <f t="shared" si="19"/>
        <v>0.99978347127575107</v>
      </c>
      <c r="N74" s="55">
        <f t="shared" si="48"/>
        <v>8.3121184608078138E-5</v>
      </c>
      <c r="O74" s="56">
        <f t="shared" si="21"/>
        <v>9.1601017965700753E-7</v>
      </c>
      <c r="P74" s="56">
        <f t="shared" si="49"/>
        <v>2.9461855661248025E-6</v>
      </c>
      <c r="Q74" s="56">
        <f t="shared" si="50"/>
        <v>2.2619671840856282E-5</v>
      </c>
      <c r="R74" s="9">
        <f t="shared" si="43"/>
        <v>3.9999999999999996E-5</v>
      </c>
      <c r="S74" s="9">
        <f t="shared" si="39"/>
        <v>8.6611489699576291E-9</v>
      </c>
      <c r="T74" s="9">
        <f t="shared" si="40"/>
        <v>3.6447930954130237E-5</v>
      </c>
      <c r="U74" s="9">
        <f t="shared" si="41"/>
        <v>3.9991338851030037E-5</v>
      </c>
      <c r="V74" s="102">
        <f t="shared" si="42"/>
        <v>0.91139561718353079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0.50980800632319268</v>
      </c>
      <c r="K75" s="55">
        <f t="shared" si="46"/>
        <v>0.90654931668640382</v>
      </c>
      <c r="L75" s="55">
        <f t="shared" si="47"/>
        <v>2.1664180851669538E-4</v>
      </c>
      <c r="M75" s="55">
        <f t="shared" si="19"/>
        <v>0.99978335819148334</v>
      </c>
      <c r="N75" s="55">
        <f t="shared" si="48"/>
        <v>7.8864448475727267E-5</v>
      </c>
      <c r="O75" s="56">
        <f t="shared" si="21"/>
        <v>9.1133667202225558E-7</v>
      </c>
      <c r="P75" s="56">
        <f t="shared" si="49"/>
        <v>2.9477242406751208E-6</v>
      </c>
      <c r="Q75" s="56">
        <f t="shared" si="50"/>
        <v>2.146129115991571E-5</v>
      </c>
      <c r="R75" s="9">
        <f t="shared" si="43"/>
        <v>3.9999999999999996E-5</v>
      </c>
      <c r="S75" s="9">
        <f t="shared" si="39"/>
        <v>8.6656723406678148E-9</v>
      </c>
      <c r="T75" s="9">
        <f t="shared" si="40"/>
        <v>3.6261972667456151E-5</v>
      </c>
      <c r="U75" s="9">
        <f t="shared" si="41"/>
        <v>3.9991334327659331E-5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2.6948578399819088</v>
      </c>
      <c r="K76" s="55">
        <f t="shared" si="46"/>
        <v>7.2356157010073557E-2</v>
      </c>
      <c r="L76" s="55">
        <f t="shared" si="47"/>
        <v>2.6477450437024067E-3</v>
      </c>
      <c r="M76" s="55">
        <f t="shared" si="19"/>
        <v>0.99735225495629765</v>
      </c>
      <c r="N76" s="55">
        <f t="shared" si="48"/>
        <v>1.9813779615221873E-3</v>
      </c>
      <c r="O76" s="56">
        <f t="shared" si="21"/>
        <v>7.273825937115639E-8</v>
      </c>
      <c r="P76" s="56">
        <f t="shared" si="49"/>
        <v>3.6026389836232933E-5</v>
      </c>
      <c r="Q76" s="56">
        <f t="shared" si="50"/>
        <v>5.3919009327955351E-4</v>
      </c>
      <c r="R76" s="9">
        <f t="shared" si="43"/>
        <v>3.9999999999999996E-5</v>
      </c>
      <c r="S76" s="9">
        <f t="shared" si="39"/>
        <v>1.0590980174809626E-7</v>
      </c>
      <c r="T76" s="9">
        <f t="shared" si="40"/>
        <v>2.894246280402942E-6</v>
      </c>
      <c r="U76" s="9">
        <f t="shared" si="41"/>
        <v>3.9894090198251904E-5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3.5001380315970977E-2</v>
      </c>
      <c r="K77" s="55">
        <f t="shared" si="46"/>
        <v>0.98995209383527749</v>
      </c>
      <c r="L77" s="55">
        <f t="shared" si="47"/>
        <v>7.9279041381247791E-5</v>
      </c>
      <c r="M77" s="55">
        <f t="shared" si="19"/>
        <v>0.99992072095861873</v>
      </c>
      <c r="N77" s="55">
        <f t="shared" si="48"/>
        <v>5.5529915699753866E-6</v>
      </c>
      <c r="O77" s="56">
        <f t="shared" si="21"/>
        <v>9.9517988712950521E-7</v>
      </c>
      <c r="P77" s="56">
        <f t="shared" si="49"/>
        <v>1.0787056923916912E-6</v>
      </c>
      <c r="Q77" s="56">
        <f t="shared" si="50"/>
        <v>1.5111291741104162E-6</v>
      </c>
      <c r="R77" s="9">
        <f t="shared" si="43"/>
        <v>3.9999999999999996E-5</v>
      </c>
      <c r="S77" s="9">
        <f t="shared" si="39"/>
        <v>3.1711616552499112E-9</v>
      </c>
      <c r="T77" s="9">
        <f t="shared" si="40"/>
        <v>3.9598083753411097E-5</v>
      </c>
      <c r="U77" s="9">
        <f t="shared" si="41"/>
        <v>3.9996828838344747E-5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0.86614766954915134</v>
      </c>
      <c r="K78" s="55">
        <f t="shared" si="46"/>
        <v>0.81243727545480393</v>
      </c>
      <c r="L78" s="55">
        <f t="shared" si="47"/>
        <v>4.4104239912546672E-4</v>
      </c>
      <c r="M78" s="55">
        <f t="shared" si="19"/>
        <v>0.99955895760087454</v>
      </c>
      <c r="N78" s="55">
        <f t="shared" si="48"/>
        <v>2.3834479746297072E-4</v>
      </c>
      <c r="O78" s="56">
        <f t="shared" si="21"/>
        <v>8.1672763876334412E-7</v>
      </c>
      <c r="P78" s="56">
        <f t="shared" si="49"/>
        <v>6.0010179012490127E-6</v>
      </c>
      <c r="Q78" s="56">
        <f t="shared" si="50"/>
        <v>6.4860494096757621E-5</v>
      </c>
      <c r="R78" s="9">
        <f t="shared" si="43"/>
        <v>3.9999999999999996E-5</v>
      </c>
      <c r="S78" s="9">
        <f t="shared" si="39"/>
        <v>1.7641695965018667E-8</v>
      </c>
      <c r="T78" s="9">
        <f t="shared" si="40"/>
        <v>3.2497491018192154E-5</v>
      </c>
      <c r="U78" s="9">
        <f t="shared" si="41"/>
        <v>3.9982358304034979E-5</v>
      </c>
      <c r="V78" s="102">
        <f t="shared" si="42"/>
        <v>0.81279575284363703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1.8465793817928891</v>
      </c>
      <c r="K79" s="55">
        <f t="shared" si="46"/>
        <v>0.30929361826388396</v>
      </c>
      <c r="L79" s="55">
        <f t="shared" si="47"/>
        <v>1.605067023908607E-3</v>
      </c>
      <c r="M79" s="55">
        <f t="shared" si="19"/>
        <v>0.99839493297609139</v>
      </c>
      <c r="N79" s="55">
        <f t="shared" si="48"/>
        <v>1.0515109383607826E-3</v>
      </c>
      <c r="O79" s="56">
        <f t="shared" si="21"/>
        <v>3.1092695296116518E-7</v>
      </c>
      <c r="P79" s="56">
        <f t="shared" si="49"/>
        <v>2.1839251650814474E-5</v>
      </c>
      <c r="Q79" s="56">
        <f t="shared" si="50"/>
        <v>2.8614645562306183E-4</v>
      </c>
      <c r="R79" s="9">
        <f t="shared" si="43"/>
        <v>3.9999999999999996E-5</v>
      </c>
      <c r="S79" s="9">
        <f t="shared" si="39"/>
        <v>6.4202680956344269E-8</v>
      </c>
      <c r="T79" s="9">
        <f t="shared" si="40"/>
        <v>1.2371744730555357E-5</v>
      </c>
      <c r="U79" s="9">
        <f t="shared" si="41"/>
        <v>3.993579731904365E-5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4.7849539498028779</v>
      </c>
      <c r="K80" s="55">
        <f t="shared" si="46"/>
        <v>1.0420338070884745E-3</v>
      </c>
      <c r="L80" s="55">
        <f t="shared" si="47"/>
        <v>4.6922224195907565E-3</v>
      </c>
      <c r="M80" s="55">
        <f t="shared" si="19"/>
        <v>0.99530777758040923</v>
      </c>
      <c r="N80" s="55">
        <f t="shared" si="48"/>
        <v>4.1753284507471122E-3</v>
      </c>
      <c r="O80" s="56">
        <f t="shared" si="21"/>
        <v>1.0475366363495864E-9</v>
      </c>
      <c r="P80" s="56">
        <f t="shared" si="49"/>
        <v>6.3844453033178158E-5</v>
      </c>
      <c r="Q80" s="56">
        <f t="shared" si="50"/>
        <v>1.1362273026906781E-3</v>
      </c>
      <c r="R80" s="9">
        <f t="shared" si="43"/>
        <v>3.9999999999999996E-5</v>
      </c>
      <c r="S80" s="9">
        <f t="shared" si="39"/>
        <v>1.8768889678363026E-7</v>
      </c>
      <c r="T80" s="9">
        <f t="shared" si="40"/>
        <v>4.1681352283538979E-8</v>
      </c>
      <c r="U80" s="9">
        <f t="shared" si="41"/>
        <v>3.9812311103216367E-5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2.1476419495508856</v>
      </c>
      <c r="K81" s="55">
        <f t="shared" si="46"/>
        <v>0.22531602796962552</v>
      </c>
      <c r="L81" s="55">
        <f t="shared" si="47"/>
        <v>2.3387126643960661E-3</v>
      </c>
      <c r="M81" s="55">
        <f t="shared" si="19"/>
        <v>0.99766128733560389</v>
      </c>
      <c r="N81" s="55">
        <f t="shared" si="48"/>
        <v>1.7837620591957472E-3</v>
      </c>
      <c r="O81" s="56">
        <f t="shared" si="21"/>
        <v>2.2650588920375676E-7</v>
      </c>
      <c r="P81" s="56">
        <f t="shared" si="49"/>
        <v>3.1821558636420399E-5</v>
      </c>
      <c r="Q81" s="56">
        <f t="shared" si="50"/>
        <v>4.8541310631485668E-4</v>
      </c>
      <c r="R81" s="9">
        <f t="shared" si="43"/>
        <v>3.9999999999999996E-5</v>
      </c>
      <c r="S81" s="9">
        <f t="shared" si="39"/>
        <v>9.3548506575842638E-8</v>
      </c>
      <c r="T81" s="9">
        <f t="shared" si="40"/>
        <v>9.0126411187850202E-6</v>
      </c>
      <c r="U81" s="9">
        <f t="shared" si="41"/>
        <v>3.990645149342415E-5</v>
      </c>
      <c r="V81" s="102">
        <f t="shared" si="42"/>
        <v>0.22584421269002425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3.0007157776870899</v>
      </c>
      <c r="K82" s="55">
        <f t="shared" si="46"/>
        <v>4.8159235383243022E-2</v>
      </c>
      <c r="L82" s="55">
        <f t="shared" si="47"/>
        <v>3.5640040759794002E-3</v>
      </c>
      <c r="M82" s="55">
        <f t="shared" si="19"/>
        <v>0.99643599592402055</v>
      </c>
      <c r="N82" s="55">
        <f t="shared" si="48"/>
        <v>2.9719426100953202E-3</v>
      </c>
      <c r="O82" s="56">
        <f t="shared" si="21"/>
        <v>4.8413557313929853E-8</v>
      </c>
      <c r="P82" s="56">
        <f t="shared" si="49"/>
        <v>4.8493415377945383E-5</v>
      </c>
      <c r="Q82" s="56">
        <f t="shared" si="50"/>
        <v>8.0875130554480606E-4</v>
      </c>
      <c r="R82" s="9">
        <f t="shared" si="43"/>
        <v>3.9999999999999996E-5</v>
      </c>
      <c r="S82" s="9">
        <f t="shared" si="39"/>
        <v>1.42560163039176E-7</v>
      </c>
      <c r="T82" s="9">
        <f t="shared" si="40"/>
        <v>1.9263694153297207E-6</v>
      </c>
      <c r="U82" s="9">
        <f t="shared" si="41"/>
        <v>3.985743983696082E-5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2.3388959370141773</v>
      </c>
      <c r="K83" s="55">
        <f t="shared" si="46"/>
        <v>0.16323248333308227</v>
      </c>
      <c r="L83" s="55">
        <f t="shared" si="47"/>
        <v>2.6317543903023517E-3</v>
      </c>
      <c r="M83" s="55">
        <f t="shared" si="19"/>
        <v>0.99736824560969761</v>
      </c>
      <c r="N83" s="55">
        <f t="shared" si="48"/>
        <v>2.0493466370510327E-3</v>
      </c>
      <c r="O83" s="56">
        <f t="shared" si="21"/>
        <v>1.6409449038077968E-7</v>
      </c>
      <c r="P83" s="56">
        <f t="shared" si="49"/>
        <v>3.5808813935374686E-5</v>
      </c>
      <c r="Q83" s="56">
        <f t="shared" si="50"/>
        <v>5.5768633034798806E-4</v>
      </c>
      <c r="R83" s="9">
        <f t="shared" si="43"/>
        <v>3.9999999999999996E-5</v>
      </c>
      <c r="S83" s="9">
        <f t="shared" si="39"/>
        <v>1.0527017561209405E-7</v>
      </c>
      <c r="T83" s="9">
        <f t="shared" si="40"/>
        <v>6.5292993333232899E-6</v>
      </c>
      <c r="U83" s="9">
        <f t="shared" si="41"/>
        <v>3.9894729824387903E-5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0.66821968451796943</v>
      </c>
      <c r="K84" s="55">
        <f t="shared" si="46"/>
        <v>0.87340053891098202</v>
      </c>
      <c r="L84" s="55">
        <f t="shared" si="47"/>
        <v>3.0059099870480808E-4</v>
      </c>
      <c r="M84" s="55">
        <f t="shared" si="19"/>
        <v>0.99969940900129517</v>
      </c>
      <c r="N84" s="55">
        <f t="shared" si="48"/>
        <v>1.4046731827029605E-4</v>
      </c>
      <c r="O84" s="56">
        <f t="shared" si="21"/>
        <v>8.780128403636757E-7</v>
      </c>
      <c r="P84" s="56">
        <f t="shared" si="49"/>
        <v>4.0899740427648007E-6</v>
      </c>
      <c r="Q84" s="56">
        <f t="shared" si="50"/>
        <v>3.8225208875697663E-5</v>
      </c>
      <c r="R84" s="9">
        <f t="shared" si="43"/>
        <v>3.9999999999999996E-5</v>
      </c>
      <c r="S84" s="9">
        <f t="shared" si="39"/>
        <v>1.2023639948192322E-8</v>
      </c>
      <c r="T84" s="9">
        <f t="shared" si="40"/>
        <v>3.4936021556439277E-5</v>
      </c>
      <c r="U84" s="9">
        <f t="shared" si="41"/>
        <v>3.9987976360051803E-5</v>
      </c>
      <c r="V84" s="102">
        <f t="shared" si="42"/>
        <v>0.87366315419103191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2.1336193491516409</v>
      </c>
      <c r="K85" s="55">
        <f t="shared" si="46"/>
        <v>0.23883333696830394</v>
      </c>
      <c r="L85" s="55">
        <f t="shared" si="47"/>
        <v>2.4002535851848483E-3</v>
      </c>
      <c r="M85" s="55">
        <f t="shared" si="19"/>
        <v>0.99759974641481519</v>
      </c>
      <c r="N85" s="55">
        <f t="shared" si="48"/>
        <v>1.8645660925641055E-3</v>
      </c>
      <c r="O85" s="56">
        <f t="shared" si="21"/>
        <v>2.4009458114892255E-7</v>
      </c>
      <c r="P85" s="56">
        <f t="shared" si="49"/>
        <v>3.2658911616644353E-5</v>
      </c>
      <c r="Q85" s="56">
        <f t="shared" si="50"/>
        <v>5.0740221446854666E-4</v>
      </c>
      <c r="R85" s="9">
        <f t="shared" si="43"/>
        <v>3.9999999999999996E-5</v>
      </c>
      <c r="S85" s="9">
        <f t="shared" si="39"/>
        <v>9.6010143407393916E-8</v>
      </c>
      <c r="T85" s="9">
        <f t="shared" si="40"/>
        <v>9.5533334787321568E-6</v>
      </c>
      <c r="U85" s="9">
        <f t="shared" si="41"/>
        <v>3.9903989856592601E-5</v>
      </c>
      <c r="V85" s="102">
        <f t="shared" si="42"/>
        <v>0.23940797682299517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1.473638978374388</v>
      </c>
      <c r="K86" s="55">
        <f t="shared" si="46"/>
        <v>0.54389423508997614</v>
      </c>
      <c r="L86" s="55">
        <f t="shared" si="47"/>
        <v>1.1959038534308506E-3</v>
      </c>
      <c r="M86" s="55">
        <f t="shared" si="19"/>
        <v>0.99880409614656918</v>
      </c>
      <c r="N86" s="55">
        <f t="shared" si="48"/>
        <v>8.2010090515102947E-4</v>
      </c>
      <c r="O86" s="56">
        <f t="shared" si="21"/>
        <v>5.4676646158727737E-7</v>
      </c>
      <c r="P86" s="56">
        <f t="shared" si="49"/>
        <v>1.6271996630803781E-5</v>
      </c>
      <c r="Q86" s="56">
        <f t="shared" si="50"/>
        <v>2.2317311090273688E-4</v>
      </c>
      <c r="R86" s="9">
        <f t="shared" si="43"/>
        <v>3.9999999999999996E-5</v>
      </c>
      <c r="S86" s="9">
        <f t="shared" si="39"/>
        <v>4.7836154137234023E-8</v>
      </c>
      <c r="T86" s="9">
        <f t="shared" si="40"/>
        <v>2.1755769403599044E-5</v>
      </c>
      <c r="U86" s="9">
        <f t="shared" si="41"/>
        <v>3.9952163845862767E-5</v>
      </c>
      <c r="V86" s="102">
        <f t="shared" si="42"/>
        <v>0.54454545910288554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3.9852799121672526</v>
      </c>
      <c r="K88" s="55">
        <f t="shared" si="46"/>
        <v>7.2300154525367887E-3</v>
      </c>
      <c r="L88" s="55">
        <f t="shared" si="47"/>
        <v>5.1637114881251129E-3</v>
      </c>
      <c r="M88" s="55">
        <f t="shared" si="19"/>
        <v>0.99483628851187489</v>
      </c>
      <c r="N88" s="55">
        <f t="shared" si="48"/>
        <v>4.7026218902165191E-3</v>
      </c>
      <c r="O88" s="56">
        <f t="shared" si="21"/>
        <v>7.2681961145458972E-9</v>
      </c>
      <c r="P88" s="56">
        <f t="shared" si="49"/>
        <v>7.0259741781217525E-5</v>
      </c>
      <c r="Q88" s="56">
        <f t="shared" si="50"/>
        <v>1.2797190565783539E-3</v>
      </c>
      <c r="R88" s="9">
        <f>F88*$C$14</f>
        <v>3.9999999999999996E-5</v>
      </c>
      <c r="S88" s="9">
        <f t="shared" si="39"/>
        <v>2.065484595250045E-7</v>
      </c>
      <c r="T88" s="9">
        <f t="shared" si="40"/>
        <v>2.8920061810147152E-7</v>
      </c>
      <c r="U88" s="9">
        <f t="shared" si="41"/>
        <v>3.979345154047499E-5</v>
      </c>
      <c r="V88" s="102">
        <f t="shared" si="42"/>
        <v>7.2675429475454719E-3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5.4568603611336437</v>
      </c>
      <c r="K89" s="55">
        <f t="shared" si="46"/>
        <v>2.9799072634774328E-4</v>
      </c>
      <c r="L89" s="55">
        <f t="shared" si="47"/>
        <v>6.3038510250480592E-3</v>
      </c>
      <c r="M89" s="55">
        <f t="shared" si="19"/>
        <v>0.99369614897495195</v>
      </c>
      <c r="N89" s="55">
        <f t="shared" si="48"/>
        <v>5.9570683675071274E-3</v>
      </c>
      <c r="O89" s="56">
        <f t="shared" si="21"/>
        <v>2.9956437211367872E-10</v>
      </c>
      <c r="P89" s="56">
        <f t="shared" si="49"/>
        <v>8.5772984463923865E-5</v>
      </c>
      <c r="Q89" s="56">
        <f t="shared" si="50"/>
        <v>1.6210901257230313E-3</v>
      </c>
      <c r="R89" s="9">
        <f>F89*$C$14</f>
        <v>3.9999999999999996E-5</v>
      </c>
      <c r="S89" s="9">
        <f t="shared" si="39"/>
        <v>2.5215404100192233E-7</v>
      </c>
      <c r="T89" s="9">
        <f t="shared" si="40"/>
        <v>1.1919629053909731E-8</v>
      </c>
      <c r="U89" s="9">
        <f t="shared" si="41"/>
        <v>3.9747845958998074E-5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5.8376711731613922</v>
      </c>
      <c r="K90" s="55">
        <f t="shared" si="46"/>
        <v>1.3431372328045278E-4</v>
      </c>
      <c r="L90" s="55">
        <f t="shared" si="47"/>
        <v>6.8286427516241113E-3</v>
      </c>
      <c r="M90" s="55">
        <f t="shared" si="19"/>
        <v>0.99317135724837591</v>
      </c>
      <c r="N90" s="55">
        <f t="shared" si="48"/>
        <v>6.5373272221039384E-3</v>
      </c>
      <c r="O90" s="56">
        <f t="shared" si="21"/>
        <v>1.3502301455450625E-10</v>
      </c>
      <c r="P90" s="56">
        <f t="shared" si="49"/>
        <v>9.2913532746481082E-5</v>
      </c>
      <c r="Q90" s="56">
        <f t="shared" si="50"/>
        <v>1.7789952967768063E-3</v>
      </c>
      <c r="R90" s="9">
        <f>F90*$C$14</f>
        <v>3.9999999999999996E-5</v>
      </c>
      <c r="S90" s="9">
        <f t="shared" si="39"/>
        <v>2.7314571006496445E-7</v>
      </c>
      <c r="T90" s="9">
        <f t="shared" si="40"/>
        <v>5.3725489312181111E-9</v>
      </c>
      <c r="U90" s="9">
        <f t="shared" si="41"/>
        <v>3.9726854289935036E-5</v>
      </c>
      <c r="V90" s="102">
        <f t="shared" si="42"/>
        <v>1.3523720987340467E-4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6.2686756056738835</v>
      </c>
      <c r="K91" s="55">
        <f t="shared" si="46"/>
        <v>5.3324181095176906E-5</v>
      </c>
      <c r="L91" s="55">
        <f t="shared" si="47"/>
        <v>7.3137924467737633E-3</v>
      </c>
      <c r="M91" s="55">
        <f t="shared" si="19"/>
        <v>0.99268620755322623</v>
      </c>
      <c r="N91" s="55">
        <f t="shared" si="48"/>
        <v>7.0738204185760616E-3</v>
      </c>
      <c r="O91" s="56">
        <f t="shared" si="21"/>
        <v>5.3605778354363007E-11</v>
      </c>
      <c r="P91" s="56">
        <f t="shared" si="49"/>
        <v>9.9514694020661276E-5</v>
      </c>
      <c r="Q91" s="56">
        <f t="shared" si="50"/>
        <v>1.9249905698984565E-3</v>
      </c>
      <c r="R91" s="9">
        <f t="shared" ref="R91:R92" si="51">F91*$C$14</f>
        <v>3.9999999999999996E-5</v>
      </c>
      <c r="S91" s="9">
        <f t="shared" si="39"/>
        <v>2.9255169787095048E-7</v>
      </c>
      <c r="T91" s="9">
        <f t="shared" si="40"/>
        <v>2.1329672438070761E-9</v>
      </c>
      <c r="U91" s="9">
        <f t="shared" si="41"/>
        <v>3.9707448302129046E-5</v>
      </c>
      <c r="V91" s="102">
        <f t="shared" si="42"/>
        <v>5.3717056497249412E-5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7.5335977384937181</v>
      </c>
      <c r="K92" s="55">
        <f t="shared" si="46"/>
        <v>3.20787875142709E-6</v>
      </c>
      <c r="L92" s="55">
        <f t="shared" si="47"/>
        <v>8.0976409203170809E-3</v>
      </c>
      <c r="M92" s="55">
        <f t="shared" si="19"/>
        <v>0.99190235907968294</v>
      </c>
      <c r="N92" s="55">
        <f t="shared" si="48"/>
        <v>7.9406998499615376E-3</v>
      </c>
      <c r="O92" s="56">
        <f t="shared" si="21"/>
        <v>3.2248190934192316E-12</v>
      </c>
      <c r="P92" s="56">
        <f t="shared" si="49"/>
        <v>1.1018008295135696E-4</v>
      </c>
      <c r="Q92" s="56">
        <f t="shared" si="50"/>
        <v>2.1608934670477578E-3</v>
      </c>
      <c r="R92" s="9">
        <f t="shared" si="51"/>
        <v>3.9999999999999996E-5</v>
      </c>
      <c r="S92" s="9">
        <f t="shared" si="39"/>
        <v>3.2390563681268321E-7</v>
      </c>
      <c r="T92" s="9">
        <f t="shared" si="40"/>
        <v>1.2831515005708359E-10</v>
      </c>
      <c r="U92" s="9">
        <f t="shared" si="41"/>
        <v>3.9676094363187312E-5</v>
      </c>
      <c r="V92" s="102">
        <f t="shared" si="42"/>
        <v>3.2340670652335752E-6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1.270819636021709</v>
      </c>
      <c r="K93" s="55">
        <f t="shared" si="46"/>
        <v>0.5608607791129383</v>
      </c>
      <c r="L93" s="55">
        <f t="shared" si="47"/>
        <v>7.7306771799693513E-4</v>
      </c>
      <c r="M93" s="55">
        <f t="shared" ref="M93:M127" si="52">IF(D93=0,"",1-L93)</f>
        <v>0.9992269322820031</v>
      </c>
      <c r="N93" s="55">
        <f t="shared" si="48"/>
        <v>3.6844096113632194E-4</v>
      </c>
      <c r="O93" s="56">
        <f t="shared" ref="O93:O127" si="53">IF(D93=0,"",F93*K93*$J$7/$J$14)</f>
        <v>5.6382260346615785E-7</v>
      </c>
      <c r="P93" s="56">
        <f t="shared" si="49"/>
        <v>1.051870120373072E-5</v>
      </c>
      <c r="Q93" s="56">
        <f t="shared" si="50"/>
        <v>1.0026341266584095E-4</v>
      </c>
      <c r="R93" s="9">
        <f>F93*$C$14</f>
        <v>3.9999999999999996E-5</v>
      </c>
      <c r="S93" s="9">
        <f t="shared" si="39"/>
        <v>3.0922708719877405E-8</v>
      </c>
      <c r="T93" s="9">
        <f t="shared" si="40"/>
        <v>2.243443116451753E-5</v>
      </c>
      <c r="U93" s="9">
        <f t="shared" si="41"/>
        <v>3.9969077291280123E-5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0.31057730519789178</v>
      </c>
      <c r="K107" s="55">
        <f t="shared" si="46"/>
        <v>0.95195489782037956</v>
      </c>
      <c r="L107" s="55">
        <f t="shared" si="47"/>
        <v>1.4379259093354782E-4</v>
      </c>
      <c r="M107" s="55">
        <f t="shared" si="52"/>
        <v>0.99985620740906644</v>
      </c>
      <c r="N107" s="55">
        <f t="shared" si="48"/>
        <v>4.1090479409287111E-5</v>
      </c>
      <c r="O107" s="56">
        <f t="shared" si="53"/>
        <v>9.5698203343858122E-7</v>
      </c>
      <c r="P107" s="56">
        <f t="shared" si="49"/>
        <v>1.9565055739997471E-6</v>
      </c>
      <c r="Q107" s="56">
        <f t="shared" si="50"/>
        <v>1.1181904642047264E-5</v>
      </c>
      <c r="R107" s="9">
        <f>F107*$C$14</f>
        <v>3.9999999999999996E-5</v>
      </c>
      <c r="S107" s="9">
        <f t="shared" ref="S107:S108" si="54">$R107*L107</f>
        <v>5.7517036373419122E-9</v>
      </c>
      <c r="T107" s="9">
        <f t="shared" ref="T107:T108" si="55">R107*K107</f>
        <v>3.8078195912815176E-5</v>
      </c>
      <c r="U107" s="9">
        <f t="shared" ref="U107:U108" si="56">$R107*M107</f>
        <v>3.9994248296362654E-5</v>
      </c>
      <c r="V107" s="102">
        <f t="shared" ref="V107:V108" si="57">K107/M107</f>
        <v>0.95209180156733353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1.0376508814998808</v>
      </c>
      <c r="K108" s="55">
        <f t="shared" si="46"/>
        <v>0.73024796262098524</v>
      </c>
      <c r="L108" s="55">
        <f t="shared" si="47"/>
        <v>5.8838835213933204E-4</v>
      </c>
      <c r="M108" s="55">
        <f t="shared" si="52"/>
        <v>0.99941161164786063</v>
      </c>
      <c r="N108" s="55">
        <f t="shared" si="48"/>
        <v>3.238412667208757E-4</v>
      </c>
      <c r="O108" s="56">
        <f t="shared" si="53"/>
        <v>7.3410429610003608E-7</v>
      </c>
      <c r="P108" s="56">
        <f t="shared" si="49"/>
        <v>8.0058720909280864E-6</v>
      </c>
      <c r="Q108" s="56">
        <f t="shared" si="50"/>
        <v>8.8126549402443451E-5</v>
      </c>
      <c r="R108" s="9">
        <f>F108*$C$14</f>
        <v>3.9999999999999996E-5</v>
      </c>
      <c r="S108" s="9">
        <f t="shared" si="54"/>
        <v>2.353553408557328E-8</v>
      </c>
      <c r="T108" s="9">
        <f t="shared" si="55"/>
        <v>2.9209918504839408E-5</v>
      </c>
      <c r="U108" s="9">
        <f t="shared" si="56"/>
        <v>3.9976464465914424E-5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0.9134404490197624</v>
      </c>
      <c r="K114" s="55">
        <f t="shared" si="46"/>
        <v>0.80106254138424104</v>
      </c>
      <c r="L114" s="55">
        <f t="shared" si="47"/>
        <v>4.8489723134485536E-4</v>
      </c>
      <c r="M114" s="55">
        <f t="shared" si="52"/>
        <v>0.99951510276865518</v>
      </c>
      <c r="N114" s="55">
        <f t="shared" si="48"/>
        <v>2.7612660911266977E-4</v>
      </c>
      <c r="O114" s="56">
        <f t="shared" si="53"/>
        <v>8.0529283637344719E-7</v>
      </c>
      <c r="P114" s="56">
        <f t="shared" si="49"/>
        <v>6.5977261400184923E-6</v>
      </c>
      <c r="Q114" s="56">
        <f t="shared" si="50"/>
        <v>7.514201480773866E-5</v>
      </c>
      <c r="R114" s="9">
        <f>F114*$C$14</f>
        <v>3.9999999999999996E-5</v>
      </c>
      <c r="S114" s="9">
        <f t="shared" ref="S114:S116" si="58">$R114*L114</f>
        <v>1.9395889253794214E-8</v>
      </c>
      <c r="T114" s="9">
        <f t="shared" ref="T114:T116" si="59">R114*K114</f>
        <v>3.2042501655369638E-5</v>
      </c>
      <c r="U114" s="9">
        <f t="shared" ref="U114:U116" si="60">$R114*M114</f>
        <v>3.9980604110746203E-5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0.97331271643662465</v>
      </c>
      <c r="K115" s="55">
        <f t="shared" si="46"/>
        <v>0.67056003084572313</v>
      </c>
      <c r="L115" s="55">
        <f t="shared" si="47"/>
        <v>4.6590053717857213E-4</v>
      </c>
      <c r="M115" s="55">
        <f t="shared" si="52"/>
        <v>0.99953409946282146</v>
      </c>
      <c r="N115" s="55">
        <f t="shared" si="48"/>
        <v>1.3211328732620881E-4</v>
      </c>
      <c r="O115" s="56">
        <f t="shared" si="53"/>
        <v>6.741011610220847E-7</v>
      </c>
      <c r="P115" s="56">
        <f t="shared" si="49"/>
        <v>6.3392487192932619E-6</v>
      </c>
      <c r="Q115" s="56">
        <f t="shared" si="50"/>
        <v>3.5951836096007426E-5</v>
      </c>
      <c r="R115" s="9">
        <f>F115*$C$14</f>
        <v>3.9999999999999996E-5</v>
      </c>
      <c r="S115" s="9">
        <f t="shared" si="58"/>
        <v>1.8636021487142884E-8</v>
      </c>
      <c r="T115" s="9">
        <f t="shared" si="59"/>
        <v>2.6822401233828922E-5</v>
      </c>
      <c r="U115" s="9">
        <f t="shared" si="60"/>
        <v>3.9981363978512852E-5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7.3650487553540506E-2</v>
      </c>
      <c r="K116" s="55">
        <f t="shared" si="46"/>
        <v>0.98152389291744402</v>
      </c>
      <c r="L116" s="55">
        <f t="shared" si="47"/>
        <v>8.5919985445849435E-5</v>
      </c>
      <c r="M116" s="55">
        <f t="shared" si="52"/>
        <v>0.99991408001455417</v>
      </c>
      <c r="N116" s="55">
        <f t="shared" si="48"/>
        <v>4.9539168358883083E-6</v>
      </c>
      <c r="O116" s="56">
        <f t="shared" si="53"/>
        <v>9.867071781061633E-7</v>
      </c>
      <c r="P116" s="56">
        <f t="shared" si="49"/>
        <v>1.1690653138065264E-6</v>
      </c>
      <c r="Q116" s="56">
        <f t="shared" si="50"/>
        <v>1.3481036595308153E-6</v>
      </c>
      <c r="R116" s="9">
        <f>F116*$C$14</f>
        <v>3.9999999999999996E-5</v>
      </c>
      <c r="S116" s="9">
        <f t="shared" si="58"/>
        <v>3.436799417833977E-9</v>
      </c>
      <c r="T116" s="9">
        <f t="shared" si="59"/>
        <v>3.9260955716697758E-5</v>
      </c>
      <c r="U116" s="9">
        <f t="shared" si="60"/>
        <v>3.999656320058216E-5</v>
      </c>
      <c r="V116" s="102">
        <f t="shared" si="61"/>
        <v>0.98160823268250963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3.1029128175372134</v>
      </c>
      <c r="K119" s="55">
        <f t="shared" si="46"/>
        <v>3.5585618682433047E-2</v>
      </c>
      <c r="L119" s="55">
        <f t="shared" si="47"/>
        <v>3.332193167731068E-3</v>
      </c>
      <c r="M119" s="55">
        <f t="shared" si="52"/>
        <v>0.99666780683226897</v>
      </c>
      <c r="N119" s="55">
        <f t="shared" si="48"/>
        <v>2.7037115504524771E-3</v>
      </c>
      <c r="O119" s="56">
        <f t="shared" si="53"/>
        <v>3.5773541168659866E-8</v>
      </c>
      <c r="P119" s="56">
        <f t="shared" si="49"/>
        <v>4.5339293658896558E-5</v>
      </c>
      <c r="Q119" s="56">
        <f t="shared" si="50"/>
        <v>7.357578974833838E-4</v>
      </c>
      <c r="R119" s="9">
        <f>F119*$C$14</f>
        <v>3.9999999999999996E-5</v>
      </c>
      <c r="S119" s="9">
        <f t="shared" ref="S119:S121" si="62">$R119*L119</f>
        <v>1.3328772670924272E-7</v>
      </c>
      <c r="T119" s="9">
        <f t="shared" ref="T119:T121" si="63">R119*K119</f>
        <v>1.4234247472973218E-6</v>
      </c>
      <c r="U119" s="9">
        <f t="shared" ref="U119:U121" si="64">$R119*M119</f>
        <v>3.9866712273290757E-5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1.1861747440639347</v>
      </c>
      <c r="K120" s="55">
        <f t="shared" si="46"/>
        <v>0.63873403816505592</v>
      </c>
      <c r="L120" s="55">
        <f t="shared" si="47"/>
        <v>7.2449874196952148E-4</v>
      </c>
      <c r="M120" s="55">
        <f t="shared" si="52"/>
        <v>0.99927550125803044</v>
      </c>
      <c r="N120" s="55">
        <f t="shared" si="48"/>
        <v>3.8812256777780093E-4</v>
      </c>
      <c r="O120" s="56">
        <f t="shared" si="53"/>
        <v>6.4210709989431357E-7</v>
      </c>
      <c r="P120" s="56">
        <f t="shared" si="49"/>
        <v>9.8578502398238917E-6</v>
      </c>
      <c r="Q120" s="56">
        <f t="shared" si="50"/>
        <v>1.0561934552014495E-4</v>
      </c>
      <c r="R120" s="9">
        <f>F120*$C$14</f>
        <v>3.9999999999999996E-5</v>
      </c>
      <c r="S120" s="9">
        <f t="shared" si="62"/>
        <v>2.8979949678780856E-8</v>
      </c>
      <c r="T120" s="9">
        <f t="shared" si="63"/>
        <v>2.5549361526602233E-5</v>
      </c>
      <c r="U120" s="9">
        <f t="shared" si="64"/>
        <v>3.9971020050321213E-5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3.5462712425453593</v>
      </c>
      <c r="K121" s="55">
        <f t="shared" si="46"/>
        <v>1.0052126855985746E-2</v>
      </c>
      <c r="L121" s="55">
        <f t="shared" si="47"/>
        <v>2.6125946579448611E-3</v>
      </c>
      <c r="M121" s="55">
        <f t="shared" si="52"/>
        <v>0.99738740534205517</v>
      </c>
      <c r="N121" s="55">
        <f t="shared" si="48"/>
        <v>1.8837783282448055E-3</v>
      </c>
      <c r="O121" s="56">
        <f t="shared" si="53"/>
        <v>1.0105210678624936E-8</v>
      </c>
      <c r="P121" s="56">
        <f t="shared" si="49"/>
        <v>3.5548118144928173E-5</v>
      </c>
      <c r="Q121" s="56">
        <f t="shared" si="50"/>
        <v>5.1263041794610386E-4</v>
      </c>
      <c r="R121" s="9">
        <f>F121*$C$14</f>
        <v>3.9999999999999996E-5</v>
      </c>
      <c r="S121" s="9">
        <f t="shared" si="62"/>
        <v>1.0450378631779444E-7</v>
      </c>
      <c r="T121" s="9">
        <f t="shared" si="63"/>
        <v>4.0208507423942979E-7</v>
      </c>
      <c r="U121" s="9">
        <f t="shared" si="64"/>
        <v>3.9895496213682201E-5</v>
      </c>
      <c r="V121" s="102">
        <f t="shared" si="65"/>
        <v>1.0078457780944563E-2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2.2472155850103039</v>
      </c>
      <c r="K124" s="55">
        <f t="shared" si="68"/>
        <v>0.20678646976330478</v>
      </c>
      <c r="L124" s="55">
        <f t="shared" si="69"/>
        <v>2.6994826176938136E-3</v>
      </c>
      <c r="M124" s="55">
        <f t="shared" si="52"/>
        <v>0.99730051738230618</v>
      </c>
      <c r="N124" s="55">
        <f t="shared" si="70"/>
        <v>2.1653043813712053E-3</v>
      </c>
      <c r="O124" s="56">
        <f t="shared" si="53"/>
        <v>2.0787847909052127E-7</v>
      </c>
      <c r="P124" s="56">
        <f t="shared" si="71"/>
        <v>3.6730354145118561E-5</v>
      </c>
      <c r="Q124" s="56">
        <f t="shared" si="72"/>
        <v>5.8924177720904387E-4</v>
      </c>
      <c r="R124" s="9">
        <f>F124*$C$14</f>
        <v>3.9999999999999996E-5</v>
      </c>
      <c r="S124" s="9">
        <f t="shared" ref="S124:S127" si="73">$R124*L124</f>
        <v>1.0797930470775254E-7</v>
      </c>
      <c r="T124" s="9">
        <f t="shared" ref="T124:T127" si="74">R124*K124</f>
        <v>8.2714587905321909E-6</v>
      </c>
      <c r="U124" s="9">
        <f t="shared" ref="U124:U127" si="75">$R124*M124</f>
        <v>3.9892020695292245E-5</v>
      </c>
      <c r="V124" s="102">
        <f t="shared" ref="V124:V127" si="76">K124/M124</f>
        <v>0.20734619721854114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1.5520519557651957</v>
      </c>
      <c r="K126" s="55">
        <f t="shared" si="68"/>
        <v>0.45115164812049652</v>
      </c>
      <c r="L126" s="55">
        <f t="shared" si="69"/>
        <v>1.1882760264523818E-3</v>
      </c>
      <c r="M126" s="55">
        <f t="shared" si="52"/>
        <v>0.99881172397354767</v>
      </c>
      <c r="N126" s="55">
        <f t="shared" si="70"/>
        <v>7.2425146751005506E-4</v>
      </c>
      <c r="O126" s="56">
        <f t="shared" si="53"/>
        <v>4.5353411447963787E-7</v>
      </c>
      <c r="P126" s="56">
        <f t="shared" si="71"/>
        <v>1.6168209044086069E-5</v>
      </c>
      <c r="Q126" s="56">
        <f t="shared" si="72"/>
        <v>1.9708971428378697E-4</v>
      </c>
      <c r="R126" s="9">
        <f>F126*$C$14</f>
        <v>3.9999999999999996E-5</v>
      </c>
      <c r="S126" s="9">
        <f t="shared" si="73"/>
        <v>4.7531041058095264E-8</v>
      </c>
      <c r="T126" s="9">
        <f t="shared" si="74"/>
        <v>1.804606592481986E-5</v>
      </c>
      <c r="U126" s="9">
        <f t="shared" si="75"/>
        <v>3.9952468958941903E-5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1.0401926303760755E-2</v>
      </c>
      <c r="K127" s="55">
        <f t="shared" si="68"/>
        <v>0.99349612039091784</v>
      </c>
      <c r="L127" s="55">
        <f t="shared" si="69"/>
        <v>7.5181490777807361E-5</v>
      </c>
      <c r="M127" s="55">
        <f t="shared" si="52"/>
        <v>0.99992481850922221</v>
      </c>
      <c r="N127" s="55">
        <f t="shared" si="70"/>
        <v>4.3615214345630509E-6</v>
      </c>
      <c r="O127" s="56">
        <f t="shared" si="53"/>
        <v>9.9874262917489241E-7</v>
      </c>
      <c r="P127" s="56">
        <f t="shared" si="71"/>
        <v>1.0229526070391771E-6</v>
      </c>
      <c r="Q127" s="56">
        <f t="shared" si="72"/>
        <v>1.1868957840512901E-6</v>
      </c>
      <c r="R127" s="9">
        <f>F127*$C$14</f>
        <v>3.9999999999999996E-5</v>
      </c>
      <c r="S127" s="9">
        <f t="shared" si="73"/>
        <v>3.0072596311122941E-9</v>
      </c>
      <c r="T127" s="9">
        <f t="shared" si="74"/>
        <v>3.9739844815636711E-5</v>
      </c>
      <c r="U127" s="9">
        <f t="shared" si="75"/>
        <v>3.9996992740368888E-5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0.26394098838273794</v>
      </c>
      <c r="K130" s="55">
        <f t="shared" si="79"/>
        <v>0.94852932088292574</v>
      </c>
      <c r="L130" s="55">
        <f t="shared" si="80"/>
        <v>1.2868697138302708E-4</v>
      </c>
      <c r="M130" s="55">
        <f t="shared" si="81"/>
        <v>0.99987131302861698</v>
      </c>
      <c r="N130" s="55">
        <f t="shared" si="82"/>
        <v>2.1155125006342713E-5</v>
      </c>
      <c r="O130" s="56">
        <f t="shared" si="83"/>
        <v>9.535383665266186E-7</v>
      </c>
      <c r="P130" s="56">
        <f t="shared" si="84"/>
        <v>1.7509718350397788E-6</v>
      </c>
      <c r="Q130" s="56">
        <f t="shared" si="85"/>
        <v>5.7569197028654911E-6</v>
      </c>
      <c r="R130" s="9">
        <f>F130*$C$14</f>
        <v>3.9999999999999996E-5</v>
      </c>
      <c r="S130" s="9">
        <f t="shared" ref="S130:S131" si="86">$R130*L130</f>
        <v>5.1474788553210826E-9</v>
      </c>
      <c r="T130" s="9">
        <f t="shared" ref="T130:T131" si="87">R130*K130</f>
        <v>3.7941172835317023E-5</v>
      </c>
      <c r="U130" s="9">
        <f t="shared" ref="U130:U131" si="88">$R130*M130</f>
        <v>3.9994852521144679E-5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-1.6017347337335803E-2</v>
      </c>
      <c r="K131" s="55">
        <f t="shared" si="79"/>
        <v>0.99608657816760005</v>
      </c>
      <c r="L131" s="55">
        <f t="shared" si="80"/>
        <v>7.0928793434473961E-5</v>
      </c>
      <c r="M131" s="55">
        <f t="shared" si="81"/>
        <v>0.99992907120656549</v>
      </c>
      <c r="N131" s="55">
        <f t="shared" si="82"/>
        <v>2.0996887621352793E-6</v>
      </c>
      <c r="O131" s="56">
        <f t="shared" si="83"/>
        <v>1.0013467667830314E-6</v>
      </c>
      <c r="P131" s="56">
        <f t="shared" si="84"/>
        <v>9.6508852654137938E-7</v>
      </c>
      <c r="Q131" s="56">
        <f t="shared" si="85"/>
        <v>5.7138587462838002E-7</v>
      </c>
      <c r="R131" s="9">
        <f>F131*$C$14</f>
        <v>3.9999999999999996E-5</v>
      </c>
      <c r="S131" s="9">
        <f t="shared" si="86"/>
        <v>2.837151737378958E-9</v>
      </c>
      <c r="T131" s="9">
        <f t="shared" si="87"/>
        <v>3.9843463126703997E-5</v>
      </c>
      <c r="U131" s="9">
        <f t="shared" si="88"/>
        <v>3.9997162848262615E-5</v>
      </c>
      <c r="V131" s="102">
        <f t="shared" si="89"/>
        <v>0.99615723439830695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2024-10-28T22:56:36Z</dcterms:modified>
</cp:coreProperties>
</file>