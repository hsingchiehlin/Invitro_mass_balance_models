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384well_1um\"/>
    </mc:Choice>
  </mc:AlternateContent>
  <xr:revisionPtr revIDLastSave="0" documentId="13_ncr:1_{10E8980F-A544-402D-BF5D-37E7F6C0DDB1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3" i="4" l="1"/>
  <c r="U143" i="4"/>
  <c r="T143" i="4"/>
  <c r="S143" i="4"/>
  <c r="R143" i="4"/>
  <c r="V142" i="4"/>
  <c r="R142" i="4"/>
  <c r="V141" i="4"/>
  <c r="U141" i="4"/>
  <c r="T141" i="4"/>
  <c r="S141" i="4"/>
  <c r="R141" i="4"/>
  <c r="V140" i="4"/>
  <c r="R140" i="4"/>
  <c r="U140" i="4" s="1"/>
  <c r="V139" i="4"/>
  <c r="U139" i="4"/>
  <c r="T139" i="4"/>
  <c r="S139" i="4"/>
  <c r="R139" i="4"/>
  <c r="V138" i="4"/>
  <c r="U138" i="4"/>
  <c r="T138" i="4"/>
  <c r="R138" i="4"/>
  <c r="S138" i="4" s="1"/>
  <c r="V137" i="4"/>
  <c r="T137" i="4"/>
  <c r="S137" i="4"/>
  <c r="R137" i="4"/>
  <c r="U137" i="4" s="1"/>
  <c r="V136" i="4"/>
  <c r="U136" i="4"/>
  <c r="T136" i="4"/>
  <c r="S136" i="4"/>
  <c r="R136" i="4"/>
  <c r="V135" i="4"/>
  <c r="R135" i="4"/>
  <c r="T135" i="4" s="1"/>
  <c r="V134" i="4"/>
  <c r="U134" i="4"/>
  <c r="T134" i="4"/>
  <c r="S134" i="4"/>
  <c r="R134" i="4"/>
  <c r="V133" i="4"/>
  <c r="R133" i="4"/>
  <c r="U133" i="4" s="1"/>
  <c r="V132" i="4"/>
  <c r="R132" i="4"/>
  <c r="U132" i="4" s="1"/>
  <c r="V131" i="4"/>
  <c r="U131" i="4"/>
  <c r="T131" i="4"/>
  <c r="S131" i="4"/>
  <c r="R131" i="4"/>
  <c r="V130" i="4"/>
  <c r="R130" i="4"/>
  <c r="V129" i="4"/>
  <c r="U129" i="4"/>
  <c r="T129" i="4"/>
  <c r="S129" i="4"/>
  <c r="R129" i="4"/>
  <c r="V128" i="4"/>
  <c r="R128" i="4"/>
  <c r="U128" i="4" s="1"/>
  <c r="V127" i="4"/>
  <c r="U127" i="4"/>
  <c r="T127" i="4"/>
  <c r="S127" i="4"/>
  <c r="R127" i="4"/>
  <c r="V126" i="4"/>
  <c r="U126" i="4"/>
  <c r="T126" i="4"/>
  <c r="R126" i="4"/>
  <c r="S126" i="4" s="1"/>
  <c r="V125" i="4"/>
  <c r="S125" i="4"/>
  <c r="R125" i="4"/>
  <c r="V124" i="4"/>
  <c r="U124" i="4"/>
  <c r="T124" i="4"/>
  <c r="R124" i="4"/>
  <c r="S124" i="4" s="1"/>
  <c r="V123" i="4"/>
  <c r="R123" i="4"/>
  <c r="S123" i="4" s="1"/>
  <c r="V122" i="4"/>
  <c r="U122" i="4"/>
  <c r="T122" i="4"/>
  <c r="S122" i="4"/>
  <c r="R122" i="4"/>
  <c r="V121" i="4"/>
  <c r="R121" i="4"/>
  <c r="U121" i="4" s="1"/>
  <c r="V120" i="4"/>
  <c r="R120" i="4"/>
  <c r="U120" i="4" s="1"/>
  <c r="V119" i="4"/>
  <c r="U119" i="4"/>
  <c r="T119" i="4"/>
  <c r="S119" i="4"/>
  <c r="R119" i="4"/>
  <c r="V118" i="4"/>
  <c r="R118" i="4"/>
  <c r="V117" i="4"/>
  <c r="U117" i="4"/>
  <c r="T117" i="4"/>
  <c r="S117" i="4"/>
  <c r="R117" i="4"/>
  <c r="V116" i="4"/>
  <c r="R116" i="4"/>
  <c r="U116" i="4" s="1"/>
  <c r="V115" i="4"/>
  <c r="U115" i="4"/>
  <c r="T115" i="4"/>
  <c r="S115" i="4"/>
  <c r="R115" i="4"/>
  <c r="V114" i="4"/>
  <c r="U114" i="4"/>
  <c r="T114" i="4"/>
  <c r="R114" i="4"/>
  <c r="S114" i="4" s="1"/>
  <c r="V113" i="4"/>
  <c r="R113" i="4"/>
  <c r="V112" i="4"/>
  <c r="U112" i="4"/>
  <c r="T112" i="4"/>
  <c r="S112" i="4"/>
  <c r="R112" i="4"/>
  <c r="V111" i="4"/>
  <c r="R111" i="4"/>
  <c r="V110" i="4"/>
  <c r="U110" i="4"/>
  <c r="T110" i="4"/>
  <c r="S110" i="4"/>
  <c r="R110" i="4"/>
  <c r="V109" i="4"/>
  <c r="R109" i="4"/>
  <c r="U109" i="4" s="1"/>
  <c r="V108" i="4"/>
  <c r="U108" i="4"/>
  <c r="S108" i="4"/>
  <c r="R108" i="4"/>
  <c r="T108" i="4" s="1"/>
  <c r="R107" i="4"/>
  <c r="V106" i="4"/>
  <c r="U106" i="4"/>
  <c r="T106" i="4"/>
  <c r="R106" i="4"/>
  <c r="S106" i="4" s="1"/>
  <c r="V105" i="4"/>
  <c r="R105" i="4"/>
  <c r="U105" i="4" s="1"/>
  <c r="V104" i="4"/>
  <c r="U104" i="4"/>
  <c r="T104" i="4"/>
  <c r="S104" i="4"/>
  <c r="R104" i="4"/>
  <c r="V103" i="4"/>
  <c r="R103" i="4"/>
  <c r="V102" i="4"/>
  <c r="U102" i="4"/>
  <c r="T102" i="4"/>
  <c r="S102" i="4"/>
  <c r="R102" i="4"/>
  <c r="V101" i="4"/>
  <c r="R101" i="4"/>
  <c r="U101" i="4" s="1"/>
  <c r="R100" i="4"/>
  <c r="V99" i="4"/>
  <c r="U99" i="4"/>
  <c r="T99" i="4"/>
  <c r="S99" i="4"/>
  <c r="R99" i="4"/>
  <c r="V98" i="4"/>
  <c r="U98" i="4"/>
  <c r="T98" i="4"/>
  <c r="R98" i="4"/>
  <c r="S98" i="4" s="1"/>
  <c r="R97" i="4"/>
  <c r="V96" i="4"/>
  <c r="R96" i="4"/>
  <c r="U96" i="4" s="1"/>
  <c r="V95" i="4"/>
  <c r="U95" i="4"/>
  <c r="T95" i="4"/>
  <c r="S95" i="4"/>
  <c r="R95" i="4"/>
  <c r="V94" i="4"/>
  <c r="R94" i="4"/>
  <c r="V93" i="4"/>
  <c r="U93" i="4"/>
  <c r="T93" i="4"/>
  <c r="S93" i="4"/>
  <c r="R93" i="4"/>
  <c r="V92" i="4"/>
  <c r="R92" i="4"/>
  <c r="U92" i="4" s="1"/>
  <c r="V91" i="4"/>
  <c r="U91" i="4"/>
  <c r="T91" i="4"/>
  <c r="S91" i="4"/>
  <c r="R91" i="4"/>
  <c r="V90" i="4"/>
  <c r="U90" i="4"/>
  <c r="T90" i="4"/>
  <c r="R90" i="4"/>
  <c r="S90" i="4" s="1"/>
  <c r="V89" i="4"/>
  <c r="R89" i="4"/>
  <c r="U89" i="4" s="1"/>
  <c r="V88" i="4"/>
  <c r="U88" i="4"/>
  <c r="T88" i="4"/>
  <c r="S88" i="4"/>
  <c r="R88" i="4"/>
  <c r="V87" i="4"/>
  <c r="R87" i="4"/>
  <c r="V86" i="4"/>
  <c r="U86" i="4"/>
  <c r="T86" i="4"/>
  <c r="S86" i="4"/>
  <c r="R86" i="4"/>
  <c r="V85" i="4"/>
  <c r="R85" i="4"/>
  <c r="U85" i="4" s="1"/>
  <c r="V84" i="4"/>
  <c r="U84" i="4"/>
  <c r="T84" i="4"/>
  <c r="S84" i="4"/>
  <c r="R84" i="4"/>
  <c r="V83" i="4"/>
  <c r="U83" i="4"/>
  <c r="T83" i="4"/>
  <c r="S83" i="4"/>
  <c r="R83" i="4"/>
  <c r="V82" i="4"/>
  <c r="S82" i="4"/>
  <c r="R82" i="4"/>
  <c r="V81" i="4"/>
  <c r="U81" i="4"/>
  <c r="T81" i="4"/>
  <c r="S81" i="4"/>
  <c r="R81" i="4"/>
  <c r="V80" i="4"/>
  <c r="R80" i="4"/>
  <c r="U80" i="4" s="1"/>
  <c r="V79" i="4"/>
  <c r="U79" i="4"/>
  <c r="T79" i="4"/>
  <c r="S79" i="4"/>
  <c r="R79" i="4"/>
  <c r="V78" i="4"/>
  <c r="U78" i="4"/>
  <c r="T78" i="4"/>
  <c r="R78" i="4"/>
  <c r="S78" i="4" s="1"/>
  <c r="V77" i="4"/>
  <c r="R77" i="4"/>
  <c r="U77" i="4" s="1"/>
  <c r="V76" i="4"/>
  <c r="U76" i="4"/>
  <c r="T76" i="4"/>
  <c r="S76" i="4"/>
  <c r="R76" i="4"/>
  <c r="V75" i="4"/>
  <c r="R75" i="4"/>
  <c r="V74" i="4"/>
  <c r="U74" i="4"/>
  <c r="T74" i="4"/>
  <c r="R74" i="4"/>
  <c r="S74" i="4" s="1"/>
  <c r="V73" i="4"/>
  <c r="R73" i="4"/>
  <c r="U73" i="4" s="1"/>
  <c r="V72" i="4"/>
  <c r="U72" i="4"/>
  <c r="S72" i="4"/>
  <c r="R72" i="4"/>
  <c r="T72" i="4" s="1"/>
  <c r="V71" i="4"/>
  <c r="U71" i="4"/>
  <c r="T71" i="4"/>
  <c r="S71" i="4"/>
  <c r="R71" i="4"/>
  <c r="V70" i="4"/>
  <c r="R70" i="4"/>
  <c r="V69" i="4"/>
  <c r="U69" i="4"/>
  <c r="T69" i="4"/>
  <c r="S69" i="4"/>
  <c r="R69" i="4"/>
  <c r="V68" i="4"/>
  <c r="R68" i="4"/>
  <c r="U68" i="4" s="1"/>
  <c r="V67" i="4"/>
  <c r="U67" i="4"/>
  <c r="T67" i="4"/>
  <c r="S67" i="4"/>
  <c r="R67" i="4"/>
  <c r="V66" i="4"/>
  <c r="U66" i="4"/>
  <c r="T66" i="4"/>
  <c r="R66" i="4"/>
  <c r="S66" i="4" s="1"/>
  <c r="V65" i="4"/>
  <c r="R65" i="4"/>
  <c r="U65" i="4" s="1"/>
  <c r="V64" i="4"/>
  <c r="U64" i="4"/>
  <c r="T64" i="4"/>
  <c r="R64" i="4"/>
  <c r="S64" i="4" s="1"/>
  <c r="V63" i="4"/>
  <c r="R63" i="4"/>
  <c r="V62" i="4"/>
  <c r="U62" i="4"/>
  <c r="T62" i="4"/>
  <c r="S62" i="4"/>
  <c r="R62" i="4"/>
  <c r="V61" i="4"/>
  <c r="R61" i="4"/>
  <c r="U61" i="4" s="1"/>
  <c r="V60" i="4"/>
  <c r="U60" i="4"/>
  <c r="T60" i="4"/>
  <c r="S60" i="4"/>
  <c r="R60" i="4"/>
  <c r="V59" i="4"/>
  <c r="U59" i="4"/>
  <c r="T59" i="4"/>
  <c r="S59" i="4"/>
  <c r="R59" i="4"/>
  <c r="V58" i="4"/>
  <c r="R58" i="4"/>
  <c r="V57" i="4"/>
  <c r="U57" i="4"/>
  <c r="T57" i="4"/>
  <c r="S57" i="4"/>
  <c r="R57" i="4"/>
  <c r="V56" i="4"/>
  <c r="R56" i="4"/>
  <c r="U56" i="4" s="1"/>
  <c r="V55" i="4"/>
  <c r="U55" i="4"/>
  <c r="T55" i="4"/>
  <c r="S55" i="4"/>
  <c r="R55" i="4"/>
  <c r="V54" i="4"/>
  <c r="U54" i="4"/>
  <c r="T54" i="4"/>
  <c r="R54" i="4"/>
  <c r="S54" i="4" s="1"/>
  <c r="V53" i="4"/>
  <c r="T53" i="4"/>
  <c r="S53" i="4"/>
  <c r="R53" i="4"/>
  <c r="U53" i="4" s="1"/>
  <c r="V52" i="4"/>
  <c r="U52" i="4"/>
  <c r="T52" i="4"/>
  <c r="R52" i="4"/>
  <c r="S52" i="4" s="1"/>
  <c r="V51" i="4"/>
  <c r="R51" i="4"/>
  <c r="V50" i="4"/>
  <c r="U50" i="4"/>
  <c r="T50" i="4"/>
  <c r="S50" i="4"/>
  <c r="R50" i="4"/>
  <c r="V49" i="4"/>
  <c r="R49" i="4"/>
  <c r="U49" i="4" s="1"/>
  <c r="V48" i="4"/>
  <c r="R48" i="4"/>
  <c r="U48" i="4" s="1"/>
  <c r="V47" i="4"/>
  <c r="U47" i="4"/>
  <c r="T47" i="4"/>
  <c r="S47" i="4"/>
  <c r="R47" i="4"/>
  <c r="V46" i="4"/>
  <c r="R46" i="4"/>
  <c r="V45" i="4"/>
  <c r="U45" i="4"/>
  <c r="T45" i="4"/>
  <c r="S45" i="4"/>
  <c r="R45" i="4"/>
  <c r="V44" i="4"/>
  <c r="R44" i="4"/>
  <c r="U44" i="4" s="1"/>
  <c r="V43" i="4"/>
  <c r="U43" i="4"/>
  <c r="T43" i="4"/>
  <c r="S43" i="4"/>
  <c r="R43" i="4"/>
  <c r="V42" i="4"/>
  <c r="U42" i="4"/>
  <c r="T42" i="4"/>
  <c r="R42" i="4"/>
  <c r="S42" i="4" s="1"/>
  <c r="V41" i="4"/>
  <c r="S41" i="4"/>
  <c r="R41" i="4"/>
  <c r="U41" i="4" s="1"/>
  <c r="V40" i="4"/>
  <c r="U40" i="4"/>
  <c r="T40" i="4"/>
  <c r="S40" i="4"/>
  <c r="R40" i="4"/>
  <c r="V39" i="4"/>
  <c r="R39" i="4"/>
  <c r="V38" i="4"/>
  <c r="U38" i="4"/>
  <c r="T38" i="4"/>
  <c r="S38" i="4"/>
  <c r="R38" i="4"/>
  <c r="V37" i="4"/>
  <c r="R37" i="4"/>
  <c r="U37" i="4" s="1"/>
  <c r="V36" i="4"/>
  <c r="R36" i="4"/>
  <c r="U36" i="4" s="1"/>
  <c r="V35" i="4"/>
  <c r="U35" i="4"/>
  <c r="T35" i="4"/>
  <c r="S35" i="4"/>
  <c r="R35" i="4"/>
  <c r="V34" i="4"/>
  <c r="R34" i="4"/>
  <c r="S34" i="4" s="1"/>
  <c r="V33" i="4"/>
  <c r="U33" i="4"/>
  <c r="T33" i="4"/>
  <c r="S33" i="4"/>
  <c r="R33" i="4"/>
  <c r="V32" i="4"/>
  <c r="R32" i="4"/>
  <c r="U32" i="4" s="1"/>
  <c r="V31" i="4"/>
  <c r="U31" i="4"/>
  <c r="T31" i="4"/>
  <c r="S31" i="4"/>
  <c r="R31" i="4"/>
  <c r="V30" i="4"/>
  <c r="U30" i="4"/>
  <c r="T30" i="4"/>
  <c r="R30" i="4"/>
  <c r="S30" i="4" s="1"/>
  <c r="V29" i="4"/>
  <c r="T29" i="4"/>
  <c r="R29" i="4"/>
  <c r="U29" i="4" s="1"/>
  <c r="V28" i="4"/>
  <c r="U28" i="4"/>
  <c r="T28" i="4"/>
  <c r="R28" i="4"/>
  <c r="S28" i="4" s="1"/>
  <c r="I135" i="4"/>
  <c r="N135" i="4" s="1"/>
  <c r="Q135" i="4" s="1"/>
  <c r="J135" i="4"/>
  <c r="K135" i="4"/>
  <c r="O135" i="4" s="1"/>
  <c r="P135" i="4" s="1"/>
  <c r="L135" i="4"/>
  <c r="M135" i="4" s="1"/>
  <c r="I136" i="4"/>
  <c r="L136" i="4" s="1"/>
  <c r="M136" i="4" s="1"/>
  <c r="J136" i="4"/>
  <c r="K136" i="4"/>
  <c r="O136" i="4" s="1"/>
  <c r="P136" i="4" s="1"/>
  <c r="I137" i="4"/>
  <c r="J137" i="4"/>
  <c r="K137" i="4"/>
  <c r="O137" i="4" s="1"/>
  <c r="P137" i="4" s="1"/>
  <c r="L137" i="4"/>
  <c r="M137" i="4"/>
  <c r="N137" i="4"/>
  <c r="Q137" i="4" s="1"/>
  <c r="I138" i="4"/>
  <c r="L138" i="4" s="1"/>
  <c r="M138" i="4" s="1"/>
  <c r="J138" i="4"/>
  <c r="K138" i="4" s="1"/>
  <c r="O138" i="4" s="1"/>
  <c r="P138" i="4" s="1"/>
  <c r="N138" i="4"/>
  <c r="Q138" i="4"/>
  <c r="I139" i="4"/>
  <c r="N139" i="4" s="1"/>
  <c r="Q139" i="4" s="1"/>
  <c r="J139" i="4"/>
  <c r="K139" i="4"/>
  <c r="O139" i="4" s="1"/>
  <c r="P139" i="4" s="1"/>
  <c r="L139" i="4"/>
  <c r="M139" i="4" s="1"/>
  <c r="I140" i="4"/>
  <c r="L140" i="4" s="1"/>
  <c r="M140" i="4" s="1"/>
  <c r="J140" i="4"/>
  <c r="K140" i="4"/>
  <c r="O140" i="4" s="1"/>
  <c r="P140" i="4" s="1"/>
  <c r="I141" i="4"/>
  <c r="J141" i="4"/>
  <c r="K141" i="4"/>
  <c r="O141" i="4" s="1"/>
  <c r="P141" i="4" s="1"/>
  <c r="L141" i="4"/>
  <c r="M141" i="4"/>
  <c r="N141" i="4"/>
  <c r="Q141" i="4" s="1"/>
  <c r="I142" i="4"/>
  <c r="L142" i="4" s="1"/>
  <c r="M142" i="4" s="1"/>
  <c r="J142" i="4"/>
  <c r="K142" i="4" s="1"/>
  <c r="O142" i="4" s="1"/>
  <c r="P142" i="4" s="1"/>
  <c r="N142" i="4"/>
  <c r="Q142" i="4"/>
  <c r="I143" i="4"/>
  <c r="N143" i="4" s="1"/>
  <c r="Q143" i="4" s="1"/>
  <c r="J143" i="4"/>
  <c r="K143" i="4"/>
  <c r="O143" i="4" s="1"/>
  <c r="P143" i="4" s="1"/>
  <c r="L143" i="4"/>
  <c r="M143" i="4" s="1"/>
  <c r="T39" i="4" l="1"/>
  <c r="S39" i="4"/>
  <c r="U39" i="4"/>
  <c r="S48" i="4"/>
  <c r="T105" i="4"/>
  <c r="S132" i="4"/>
  <c r="S36" i="4"/>
  <c r="T48" i="4"/>
  <c r="U58" i="4"/>
  <c r="T58" i="4"/>
  <c r="S89" i="4"/>
  <c r="T132" i="4"/>
  <c r="T142" i="4"/>
  <c r="S142" i="4"/>
  <c r="U142" i="4"/>
  <c r="T36" i="4"/>
  <c r="S58" i="4"/>
  <c r="T89" i="4"/>
  <c r="U113" i="4"/>
  <c r="T113" i="4"/>
  <c r="U94" i="4"/>
  <c r="T94" i="4"/>
  <c r="S29" i="4"/>
  <c r="T41" i="4"/>
  <c r="T63" i="4"/>
  <c r="S63" i="4"/>
  <c r="U63" i="4"/>
  <c r="U82" i="4"/>
  <c r="T82" i="4"/>
  <c r="S94" i="4"/>
  <c r="U118" i="4"/>
  <c r="T118" i="4"/>
  <c r="S118" i="4"/>
  <c r="U125" i="4"/>
  <c r="T125" i="4"/>
  <c r="T51" i="4"/>
  <c r="S51" i="4"/>
  <c r="U51" i="4"/>
  <c r="U70" i="4"/>
  <c r="T70" i="4"/>
  <c r="S105" i="4"/>
  <c r="T65" i="4"/>
  <c r="T87" i="4"/>
  <c r="S87" i="4"/>
  <c r="U87" i="4"/>
  <c r="S96" i="4"/>
  <c r="S120" i="4"/>
  <c r="S70" i="4"/>
  <c r="S77" i="4"/>
  <c r="U46" i="4"/>
  <c r="T46" i="4"/>
  <c r="T77" i="4"/>
  <c r="T103" i="4"/>
  <c r="S103" i="4"/>
  <c r="U103" i="4"/>
  <c r="S113" i="4"/>
  <c r="T75" i="4"/>
  <c r="S75" i="4"/>
  <c r="U75" i="4"/>
  <c r="T96" i="4"/>
  <c r="T120" i="4"/>
  <c r="U34" i="4"/>
  <c r="T34" i="4"/>
  <c r="S46" i="4"/>
  <c r="S65" i="4"/>
  <c r="T130" i="4"/>
  <c r="U130" i="4"/>
  <c r="S130" i="4"/>
  <c r="T111" i="4"/>
  <c r="S111" i="4"/>
  <c r="U111" i="4"/>
  <c r="S135" i="4"/>
  <c r="T32" i="4"/>
  <c r="S37" i="4"/>
  <c r="T44" i="4"/>
  <c r="S49" i="4"/>
  <c r="T56" i="4"/>
  <c r="S61" i="4"/>
  <c r="T68" i="4"/>
  <c r="S73" i="4"/>
  <c r="T80" i="4"/>
  <c r="S85" i="4"/>
  <c r="T92" i="4"/>
  <c r="S101" i="4"/>
  <c r="S109" i="4"/>
  <c r="T116" i="4"/>
  <c r="S121" i="4"/>
  <c r="U123" i="4"/>
  <c r="T128" i="4"/>
  <c r="S133" i="4"/>
  <c r="U135" i="4"/>
  <c r="T140" i="4"/>
  <c r="S32" i="4"/>
  <c r="S44" i="4"/>
  <c r="S56" i="4"/>
  <c r="S68" i="4"/>
  <c r="S80" i="4"/>
  <c r="S92" i="4"/>
  <c r="S116" i="4"/>
  <c r="T123" i="4"/>
  <c r="S128" i="4"/>
  <c r="S140" i="4"/>
  <c r="T37" i="4"/>
  <c r="T49" i="4"/>
  <c r="T61" i="4"/>
  <c r="T73" i="4"/>
  <c r="T85" i="4"/>
  <c r="T101" i="4"/>
  <c r="T109" i="4"/>
  <c r="T121" i="4"/>
  <c r="T133" i="4"/>
  <c r="N140" i="4"/>
  <c r="Q140" i="4" s="1"/>
  <c r="N136" i="4"/>
  <c r="Q136" i="4" s="1"/>
  <c r="I128" i="4" l="1"/>
  <c r="J128" i="4"/>
  <c r="K128" i="4" s="1"/>
  <c r="O128" i="4" s="1"/>
  <c r="P128" i="4" s="1"/>
  <c r="L128" i="4"/>
  <c r="M128" i="4"/>
  <c r="N128" i="4"/>
  <c r="Q128" i="4"/>
  <c r="I129" i="4"/>
  <c r="L129" i="4" s="1"/>
  <c r="M129" i="4" s="1"/>
  <c r="J129" i="4"/>
  <c r="K129" i="4" s="1"/>
  <c r="O129" i="4" s="1"/>
  <c r="P129" i="4" s="1"/>
  <c r="I130" i="4"/>
  <c r="L130" i="4" s="1"/>
  <c r="M130" i="4" s="1"/>
  <c r="J130" i="4"/>
  <c r="K130" i="4"/>
  <c r="O130" i="4" s="1"/>
  <c r="P130" i="4" s="1"/>
  <c r="I131" i="4"/>
  <c r="J131" i="4"/>
  <c r="K131" i="4" s="1"/>
  <c r="L131" i="4"/>
  <c r="M131" i="4"/>
  <c r="N131" i="4"/>
  <c r="Q131" i="4"/>
  <c r="I132" i="4"/>
  <c r="L132" i="4" s="1"/>
  <c r="M132" i="4" s="1"/>
  <c r="J132" i="4"/>
  <c r="K132" i="4" s="1"/>
  <c r="O132" i="4" s="1"/>
  <c r="P132" i="4" s="1"/>
  <c r="I133" i="4"/>
  <c r="L133" i="4" s="1"/>
  <c r="M133" i="4" s="1"/>
  <c r="J133" i="4"/>
  <c r="K133" i="4"/>
  <c r="O133" i="4" s="1"/>
  <c r="P133" i="4" s="1"/>
  <c r="I134" i="4"/>
  <c r="J134" i="4"/>
  <c r="K134" i="4"/>
  <c r="O134" i="4" s="1"/>
  <c r="P134" i="4" s="1"/>
  <c r="L134" i="4"/>
  <c r="M134" i="4" s="1"/>
  <c r="N134" i="4"/>
  <c r="Q134" i="4" s="1"/>
  <c r="O131" i="4" l="1"/>
  <c r="P131" i="4" s="1"/>
  <c r="N132" i="4"/>
  <c r="Q132" i="4" s="1"/>
  <c r="N129" i="4"/>
  <c r="Q129" i="4" s="1"/>
  <c r="N133" i="4"/>
  <c r="Q133" i="4" s="1"/>
  <c r="N130" i="4"/>
  <c r="Q130" i="4" s="1"/>
  <c r="O15" i="1" l="1"/>
  <c r="L15" i="1"/>
  <c r="N15" i="1"/>
  <c r="M117" i="4"/>
  <c r="M122" i="4"/>
  <c r="J16" i="4"/>
  <c r="J15" i="4"/>
  <c r="J87" i="4"/>
  <c r="K87" i="4" s="1"/>
  <c r="J122" i="4"/>
  <c r="K122" i="4" s="1"/>
  <c r="O122" i="4" s="1"/>
  <c r="P122" i="4" s="1"/>
  <c r="J117" i="4"/>
  <c r="K117" i="4"/>
  <c r="O117" i="4" s="1"/>
  <c r="P117" i="4" s="1"/>
  <c r="J120" i="4"/>
  <c r="K120" i="4"/>
  <c r="J101" i="4"/>
  <c r="L101" i="4" s="1"/>
  <c r="M101" i="4" s="1"/>
  <c r="J86" i="4"/>
  <c r="K86" i="4" s="1"/>
  <c r="J85" i="4"/>
  <c r="K85" i="4" s="1"/>
  <c r="J88" i="4"/>
  <c r="K88" i="4" s="1"/>
  <c r="J119" i="4"/>
  <c r="K119" i="4" s="1"/>
  <c r="J72" i="4"/>
  <c r="K72" i="4" s="1"/>
  <c r="J103" i="4"/>
  <c r="K103" i="4"/>
  <c r="O103" i="4" s="1"/>
  <c r="P103" i="4" s="1"/>
  <c r="J118" i="4"/>
  <c r="L118" i="4" s="1"/>
  <c r="M118" i="4" s="1"/>
  <c r="K118" i="4"/>
  <c r="O118" i="4" s="1"/>
  <c r="P118" i="4" s="1"/>
  <c r="J104" i="4"/>
  <c r="K104" i="4"/>
  <c r="O104" i="4" s="1"/>
  <c r="P104" i="4" s="1"/>
  <c r="J90" i="4"/>
  <c r="K90" i="4" s="1"/>
  <c r="J71" i="4"/>
  <c r="K71" i="4" s="1"/>
  <c r="J110" i="4"/>
  <c r="K110" i="4"/>
  <c r="J82" i="4"/>
  <c r="K82" i="4" s="1"/>
  <c r="J113" i="4"/>
  <c r="K113" i="4"/>
  <c r="J97" i="4"/>
  <c r="K97" i="4"/>
  <c r="J81" i="4"/>
  <c r="K81" i="4" s="1"/>
  <c r="J116" i="4"/>
  <c r="K116" i="4" s="1"/>
  <c r="J100" i="4"/>
  <c r="K100" i="4" s="1"/>
  <c r="O100" i="4" s="1"/>
  <c r="P100" i="4" s="1"/>
  <c r="J84" i="4"/>
  <c r="K84" i="4" s="1"/>
  <c r="J114" i="4"/>
  <c r="K114" i="4" s="1"/>
  <c r="J78" i="4"/>
  <c r="K78" i="4"/>
  <c r="J115" i="4"/>
  <c r="L115" i="4" s="1"/>
  <c r="K115" i="4"/>
  <c r="J99" i="4"/>
  <c r="K99" i="4" s="1"/>
  <c r="O99" i="4" s="1"/>
  <c r="P99" i="4" s="1"/>
  <c r="J83" i="4"/>
  <c r="K83" i="4" s="1"/>
  <c r="J102" i="4"/>
  <c r="K102" i="4" s="1"/>
  <c r="O102" i="4" s="1"/>
  <c r="P102" i="4" s="1"/>
  <c r="J74" i="4"/>
  <c r="K74" i="4"/>
  <c r="J125" i="4"/>
  <c r="K125" i="4"/>
  <c r="J109" i="4"/>
  <c r="K109" i="4"/>
  <c r="J93" i="4"/>
  <c r="K93" i="4" s="1"/>
  <c r="J77" i="4"/>
  <c r="K77" i="4" s="1"/>
  <c r="J112" i="4"/>
  <c r="K112" i="4" s="1"/>
  <c r="O112" i="4" s="1"/>
  <c r="P112" i="4" s="1"/>
  <c r="J96" i="4"/>
  <c r="K96" i="4"/>
  <c r="J80" i="4"/>
  <c r="K80" i="4" s="1"/>
  <c r="J106" i="4"/>
  <c r="K106" i="4"/>
  <c r="J127" i="4"/>
  <c r="K127" i="4" s="1"/>
  <c r="J111" i="4"/>
  <c r="L111" i="4" s="1"/>
  <c r="M111" i="4" s="1"/>
  <c r="K111" i="4"/>
  <c r="O111" i="4" s="1"/>
  <c r="P111" i="4" s="1"/>
  <c r="J95" i="4"/>
  <c r="K95" i="4" s="1"/>
  <c r="J79" i="4"/>
  <c r="K79" i="4"/>
  <c r="J126" i="4"/>
  <c r="K126" i="4" s="1"/>
  <c r="J94" i="4"/>
  <c r="K94" i="4" s="1"/>
  <c r="J121" i="4"/>
  <c r="K121" i="4"/>
  <c r="J105" i="4"/>
  <c r="K105" i="4"/>
  <c r="J89" i="4"/>
  <c r="K89" i="4" s="1"/>
  <c r="J73" i="4"/>
  <c r="K73" i="4" s="1"/>
  <c r="J124" i="4"/>
  <c r="K124" i="4"/>
  <c r="J108" i="4"/>
  <c r="K108" i="4" s="1"/>
  <c r="J92" i="4"/>
  <c r="K92" i="4" s="1"/>
  <c r="J76" i="4"/>
  <c r="L76" i="4" s="1"/>
  <c r="J98" i="4"/>
  <c r="K98" i="4"/>
  <c r="O98" i="4" s="1"/>
  <c r="P98" i="4" s="1"/>
  <c r="J123" i="4"/>
  <c r="K123" i="4"/>
  <c r="O123" i="4" s="1"/>
  <c r="P123" i="4" s="1"/>
  <c r="J107" i="4"/>
  <c r="K107" i="4" s="1"/>
  <c r="J91" i="4"/>
  <c r="K91" i="4" s="1"/>
  <c r="J75" i="4"/>
  <c r="K75" i="4" s="1"/>
  <c r="O105" i="4"/>
  <c r="P105" i="4"/>
  <c r="O124" i="4"/>
  <c r="P124" i="4"/>
  <c r="O121" i="4"/>
  <c r="P121" i="4" s="1"/>
  <c r="O96" i="4"/>
  <c r="P96" i="4" s="1"/>
  <c r="O110" i="4"/>
  <c r="P110" i="4" s="1"/>
  <c r="O106" i="4"/>
  <c r="P106" i="4"/>
  <c r="O109" i="4"/>
  <c r="P109" i="4"/>
  <c r="O113" i="4"/>
  <c r="P113" i="4" s="1"/>
  <c r="O125" i="4"/>
  <c r="P125" i="4"/>
  <c r="I76" i="4"/>
  <c r="N76" i="4" s="1"/>
  <c r="Q76" i="4" s="1"/>
  <c r="I77" i="4"/>
  <c r="N77" i="4" s="1"/>
  <c r="Q77" i="4" s="1"/>
  <c r="I81" i="4"/>
  <c r="I89" i="4"/>
  <c r="I90" i="4"/>
  <c r="L90" i="4" s="1"/>
  <c r="I96" i="4"/>
  <c r="N96" i="4" s="1"/>
  <c r="Q96" i="4" s="1"/>
  <c r="I99" i="4"/>
  <c r="N99" i="4" s="1"/>
  <c r="Q99" i="4" s="1"/>
  <c r="I102" i="4"/>
  <c r="L102" i="4" s="1"/>
  <c r="M102" i="4" s="1"/>
  <c r="I104" i="4"/>
  <c r="L104" i="4" s="1"/>
  <c r="M104" i="4" s="1"/>
  <c r="I108" i="4"/>
  <c r="N108" i="4" s="1"/>
  <c r="Q108" i="4" s="1"/>
  <c r="I111" i="4"/>
  <c r="I113" i="4"/>
  <c r="I115" i="4"/>
  <c r="I119" i="4"/>
  <c r="N119" i="4" s="1"/>
  <c r="Q119" i="4" s="1"/>
  <c r="I120" i="4"/>
  <c r="I123" i="4"/>
  <c r="I125" i="4"/>
  <c r="I79" i="4"/>
  <c r="N79" i="4" s="1"/>
  <c r="Q79" i="4" s="1"/>
  <c r="I92" i="4"/>
  <c r="L92" i="4" s="1"/>
  <c r="I100" i="4"/>
  <c r="N100" i="4" s="1"/>
  <c r="Q100" i="4" s="1"/>
  <c r="I103" i="4"/>
  <c r="L103" i="4" s="1"/>
  <c r="M103" i="4" s="1"/>
  <c r="I107" i="4"/>
  <c r="L107" i="4" s="1"/>
  <c r="I109" i="4"/>
  <c r="N109" i="4" s="1"/>
  <c r="Q109" i="4" s="1"/>
  <c r="I110" i="4"/>
  <c r="N110" i="4" s="1"/>
  <c r="Q110" i="4" s="1"/>
  <c r="I117" i="4"/>
  <c r="I124" i="4"/>
  <c r="L124" i="4" s="1"/>
  <c r="I72" i="4"/>
  <c r="L72" i="4" s="1"/>
  <c r="I106" i="4"/>
  <c r="I71" i="4"/>
  <c r="L71" i="4" s="1"/>
  <c r="I75" i="4"/>
  <c r="N75" i="4" s="1"/>
  <c r="Q75" i="4" s="1"/>
  <c r="I80" i="4"/>
  <c r="L80" i="4" s="1"/>
  <c r="I83" i="4"/>
  <c r="N83" i="4" s="1"/>
  <c r="Q83" i="4" s="1"/>
  <c r="I86" i="4"/>
  <c r="L86" i="4" s="1"/>
  <c r="I88" i="4"/>
  <c r="N88" i="4" s="1"/>
  <c r="Q88" i="4" s="1"/>
  <c r="I94" i="4"/>
  <c r="N94" i="4" s="1"/>
  <c r="Q94" i="4" s="1"/>
  <c r="I95" i="4"/>
  <c r="I98" i="4"/>
  <c r="I101" i="4"/>
  <c r="N101" i="4" s="1"/>
  <c r="Q101" i="4" s="1"/>
  <c r="I118" i="4"/>
  <c r="I127" i="4"/>
  <c r="I73" i="4"/>
  <c r="N73" i="4" s="1"/>
  <c r="Q73" i="4" s="1"/>
  <c r="I74" i="4"/>
  <c r="N74" i="4" s="1"/>
  <c r="Q74" i="4" s="1"/>
  <c r="I78" i="4"/>
  <c r="I82" i="4"/>
  <c r="N82" i="4" s="1"/>
  <c r="Q82" i="4" s="1"/>
  <c r="I85" i="4"/>
  <c r="N85" i="4" s="1"/>
  <c r="Q85" i="4" s="1"/>
  <c r="I93" i="4"/>
  <c r="I112" i="4"/>
  <c r="I114" i="4"/>
  <c r="I121" i="4"/>
  <c r="I122" i="4"/>
  <c r="I84" i="4"/>
  <c r="L84" i="4" s="1"/>
  <c r="I87" i="4"/>
  <c r="I91" i="4"/>
  <c r="N91" i="4" s="1"/>
  <c r="Q91" i="4" s="1"/>
  <c r="I97" i="4"/>
  <c r="N97" i="4" s="1"/>
  <c r="Q97" i="4" s="1"/>
  <c r="I105" i="4"/>
  <c r="N105" i="4" s="1"/>
  <c r="Q105" i="4" s="1"/>
  <c r="I116" i="4"/>
  <c r="N116" i="4" s="1"/>
  <c r="Q116" i="4" s="1"/>
  <c r="I126" i="4"/>
  <c r="N126" i="4" s="1"/>
  <c r="Q126" i="4" s="1"/>
  <c r="L105" i="4"/>
  <c r="M105" i="4" s="1"/>
  <c r="N121" i="4"/>
  <c r="Q121" i="4"/>
  <c r="L106" i="4"/>
  <c r="M106" i="4" s="1"/>
  <c r="N106" i="4"/>
  <c r="Q106" i="4"/>
  <c r="N107" i="4"/>
  <c r="Q107" i="4" s="1"/>
  <c r="L119" i="4"/>
  <c r="N114" i="4"/>
  <c r="Q114" i="4"/>
  <c r="L114" i="4"/>
  <c r="N98" i="4"/>
  <c r="Q98" i="4" s="1"/>
  <c r="L98" i="4"/>
  <c r="M98" i="4" s="1"/>
  <c r="N72" i="4"/>
  <c r="Q72" i="4"/>
  <c r="N117" i="4"/>
  <c r="Q117" i="4" s="1"/>
  <c r="L117" i="4"/>
  <c r="L125" i="4"/>
  <c r="M125" i="4" s="1"/>
  <c r="N125" i="4"/>
  <c r="Q125" i="4" s="1"/>
  <c r="N115" i="4"/>
  <c r="Q115" i="4" s="1"/>
  <c r="N90" i="4"/>
  <c r="Q90" i="4" s="1"/>
  <c r="L112" i="4"/>
  <c r="M112" i="4" s="1"/>
  <c r="N112" i="4"/>
  <c r="Q112" i="4"/>
  <c r="L78" i="4"/>
  <c r="N78" i="4"/>
  <c r="Q78" i="4" s="1"/>
  <c r="N95" i="4"/>
  <c r="Q95" i="4" s="1"/>
  <c r="L123" i="4"/>
  <c r="M123" i="4" s="1"/>
  <c r="N123" i="4"/>
  <c r="Q123" i="4"/>
  <c r="N113" i="4"/>
  <c r="Q113" i="4" s="1"/>
  <c r="L113" i="4"/>
  <c r="M113" i="4" s="1"/>
  <c r="N89" i="4"/>
  <c r="Q89" i="4"/>
  <c r="N87" i="4"/>
  <c r="Q87" i="4" s="1"/>
  <c r="L87" i="4"/>
  <c r="M87" i="4" s="1"/>
  <c r="N122" i="4"/>
  <c r="Q122" i="4"/>
  <c r="L122" i="4"/>
  <c r="N118" i="4"/>
  <c r="Q118" i="4" s="1"/>
  <c r="L109" i="4"/>
  <c r="M109" i="4" s="1"/>
  <c r="N120" i="4"/>
  <c r="Q120" i="4"/>
  <c r="L120" i="4"/>
  <c r="N111" i="4"/>
  <c r="Q111" i="4" s="1"/>
  <c r="N81" i="4"/>
  <c r="Q81" i="4" s="1"/>
  <c r="O108" i="4" l="1"/>
  <c r="P108" i="4" s="1"/>
  <c r="O114" i="4"/>
  <c r="P114" i="4" s="1"/>
  <c r="O71" i="4"/>
  <c r="P71" i="4" s="1"/>
  <c r="O107" i="4"/>
  <c r="P107" i="4" s="1"/>
  <c r="O126" i="4"/>
  <c r="P126" i="4" s="1"/>
  <c r="M107" i="4"/>
  <c r="O91" i="4"/>
  <c r="P91" i="4" s="1"/>
  <c r="L93" i="4"/>
  <c r="O116" i="4"/>
  <c r="P116" i="4" s="1"/>
  <c r="K101" i="4"/>
  <c r="O101" i="4" s="1"/>
  <c r="P101" i="4" s="1"/>
  <c r="N103" i="4"/>
  <c r="Q103" i="4" s="1"/>
  <c r="O127" i="4"/>
  <c r="P127" i="4" s="1"/>
  <c r="L100" i="4"/>
  <c r="M100" i="4" s="1"/>
  <c r="L127" i="4"/>
  <c r="K76" i="4"/>
  <c r="L121" i="4"/>
  <c r="M120" i="4"/>
  <c r="O120" i="4"/>
  <c r="P120" i="4" s="1"/>
  <c r="L99" i="4"/>
  <c r="M99" i="4" s="1"/>
  <c r="N104" i="4"/>
  <c r="Q104" i="4" s="1"/>
  <c r="M119" i="4"/>
  <c r="L73" i="4"/>
  <c r="O115" i="4"/>
  <c r="P115" i="4" s="1"/>
  <c r="M115" i="4"/>
  <c r="L89" i="4"/>
  <c r="M114" i="4"/>
  <c r="L110" i="4"/>
  <c r="M110" i="4" s="1"/>
  <c r="M124" i="4"/>
  <c r="L94" i="4"/>
  <c r="O119" i="4"/>
  <c r="P119" i="4" s="1"/>
  <c r="M71" i="4"/>
  <c r="N102" i="4"/>
  <c r="Q102" i="4" s="1"/>
  <c r="L97" i="4"/>
  <c r="M97" i="4" s="1"/>
  <c r="L95" i="4"/>
  <c r="M95" i="4" s="1"/>
  <c r="L108" i="4"/>
  <c r="O73" i="4"/>
  <c r="P73" i="4" s="1"/>
  <c r="M80" i="4"/>
  <c r="M92" i="4"/>
  <c r="O83" i="4"/>
  <c r="P83" i="4" s="1"/>
  <c r="O84" i="4"/>
  <c r="P84" i="4" s="1"/>
  <c r="L126" i="4"/>
  <c r="N71" i="4"/>
  <c r="Q71" i="4" s="1"/>
  <c r="L77" i="4"/>
  <c r="N124" i="4"/>
  <c r="Q124" i="4" s="1"/>
  <c r="M78" i="4"/>
  <c r="M76" i="4"/>
  <c r="O94" i="4"/>
  <c r="P94" i="4" s="1"/>
  <c r="N92" i="4"/>
  <c r="Q92" i="4" s="1"/>
  <c r="M94" i="4"/>
  <c r="L91" i="4"/>
  <c r="L85" i="4"/>
  <c r="M72" i="4"/>
  <c r="O79" i="4"/>
  <c r="P79" i="4" s="1"/>
  <c r="L82" i="4"/>
  <c r="O72" i="4"/>
  <c r="P72" i="4" s="1"/>
  <c r="N86" i="4"/>
  <c r="Q86" i="4" s="1"/>
  <c r="O77" i="4"/>
  <c r="P77" i="4" s="1"/>
  <c r="N80" i="4"/>
  <c r="Q80" i="4" s="1"/>
  <c r="N127" i="4"/>
  <c r="Q127" i="4" s="1"/>
  <c r="O89" i="4"/>
  <c r="P89" i="4" s="1"/>
  <c r="O88" i="4"/>
  <c r="P88" i="4" s="1"/>
  <c r="O81" i="4"/>
  <c r="P81" i="4" s="1"/>
  <c r="O97" i="4"/>
  <c r="P97" i="4" s="1"/>
  <c r="O92" i="4"/>
  <c r="P92" i="4" s="1"/>
  <c r="M90" i="4"/>
  <c r="O75" i="4"/>
  <c r="P75" i="4" s="1"/>
  <c r="O80" i="4"/>
  <c r="P80" i="4" s="1"/>
  <c r="L81" i="4"/>
  <c r="M84" i="4"/>
  <c r="O78" i="4"/>
  <c r="P78" i="4" s="1"/>
  <c r="O82" i="4"/>
  <c r="P82" i="4" s="1"/>
  <c r="L116" i="4"/>
  <c r="O95" i="4"/>
  <c r="P95" i="4" s="1"/>
  <c r="L83" i="4"/>
  <c r="O87" i="4"/>
  <c r="P87" i="4" s="1"/>
  <c r="M93" i="4"/>
  <c r="O74" i="4"/>
  <c r="P74" i="4" s="1"/>
  <c r="O93" i="4"/>
  <c r="P93" i="4" s="1"/>
  <c r="O85" i="4"/>
  <c r="P85" i="4" s="1"/>
  <c r="O76" i="4"/>
  <c r="P76" i="4" s="1"/>
  <c r="M89" i="4"/>
  <c r="M86" i="4"/>
  <c r="O90" i="4"/>
  <c r="P90" i="4" s="1"/>
  <c r="O86" i="4"/>
  <c r="P86" i="4" s="1"/>
  <c r="L74" i="4"/>
  <c r="L79" i="4"/>
  <c r="L75" i="4"/>
  <c r="L88" i="4"/>
  <c r="N93" i="4"/>
  <c r="Q93" i="4" s="1"/>
  <c r="L96" i="4"/>
  <c r="N84" i="4"/>
  <c r="Q84" i="4" s="1"/>
  <c r="J14" i="4"/>
  <c r="J13" i="4" s="1"/>
  <c r="K16" i="4" s="1"/>
  <c r="M73" i="4" l="1"/>
  <c r="M126" i="4"/>
  <c r="M121" i="4"/>
  <c r="M108" i="4"/>
  <c r="M127" i="4"/>
  <c r="M116" i="4"/>
  <c r="M91" i="4"/>
  <c r="M88" i="4"/>
  <c r="M79" i="4"/>
  <c r="M75" i="4"/>
  <c r="M85" i="4"/>
  <c r="M74" i="4"/>
  <c r="M81" i="4"/>
  <c r="M83" i="4"/>
  <c r="M82" i="4"/>
  <c r="M77" i="4"/>
  <c r="M96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61" i="4" l="1"/>
  <c r="P61" i="4" s="1"/>
  <c r="O60" i="4"/>
  <c r="P60" i="4" s="1"/>
  <c r="O62" i="4"/>
  <c r="P62" i="4" s="1"/>
  <c r="O57" i="4"/>
  <c r="P57" i="4" s="1"/>
  <c r="O58" i="4"/>
  <c r="P58" i="4" s="1"/>
  <c r="L66" i="4"/>
  <c r="K66" i="4"/>
  <c r="K70" i="4"/>
  <c r="L70" i="4"/>
  <c r="K64" i="4"/>
  <c r="L64" i="4"/>
  <c r="O63" i="4"/>
  <c r="P63" i="4" s="1"/>
  <c r="L63" i="4"/>
  <c r="K68" i="4"/>
  <c r="L68" i="4"/>
  <c r="L67" i="4"/>
  <c r="K67" i="4"/>
  <c r="L65" i="4"/>
  <c r="K65" i="4"/>
  <c r="K69" i="4"/>
  <c r="L69" i="4"/>
  <c r="N62" i="4"/>
  <c r="Q62" i="4" s="1"/>
  <c r="L62" i="4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L60" i="4"/>
  <c r="N60" i="4"/>
  <c r="Q60" i="4" s="1"/>
  <c r="M60" i="4" l="1"/>
  <c r="M61" i="4"/>
  <c r="M62" i="4"/>
  <c r="M70" i="4"/>
  <c r="M63" i="4"/>
  <c r="M64" i="4"/>
  <c r="O65" i="4"/>
  <c r="P65" i="4" s="1"/>
  <c r="M67" i="4"/>
  <c r="O64" i="4"/>
  <c r="P64" i="4" s="1"/>
  <c r="M69" i="4"/>
  <c r="O69" i="4"/>
  <c r="P69" i="4" s="1"/>
  <c r="M57" i="4"/>
  <c r="O66" i="4"/>
  <c r="P66" i="4" s="1"/>
  <c r="M65" i="4"/>
  <c r="M66" i="4"/>
  <c r="M68" i="4"/>
  <c r="O68" i="4"/>
  <c r="P68" i="4" s="1"/>
  <c r="M58" i="4"/>
  <c r="O67" i="4"/>
  <c r="P67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39" i="4"/>
  <c r="J53" i="4"/>
  <c r="J54" i="4"/>
  <c r="J50" i="4"/>
  <c r="J48" i="4"/>
  <c r="J51" i="4"/>
  <c r="Q54" i="4"/>
  <c r="Q51" i="4"/>
  <c r="Q49" i="4"/>
  <c r="J45" i="4" l="1"/>
  <c r="J30" i="4"/>
  <c r="K30" i="4" s="1"/>
  <c r="J43" i="4"/>
  <c r="L43" i="4" s="1"/>
  <c r="J31" i="4"/>
  <c r="K31" i="4" s="1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L45" i="4"/>
  <c r="K45" i="4"/>
  <c r="L47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L30" i="4"/>
  <c r="O48" i="4" l="1"/>
  <c r="P48" i="4" s="1"/>
  <c r="M48" i="4"/>
  <c r="O49" i="4"/>
  <c r="P49" i="4" s="1"/>
  <c r="M49" i="4"/>
  <c r="M43" i="4"/>
  <c r="O39" i="4"/>
  <c r="P39" i="4" s="1"/>
  <c r="O45" i="4"/>
  <c r="P45" i="4" s="1"/>
  <c r="O47" i="4"/>
  <c r="P47" i="4" s="1"/>
  <c r="M45" i="4"/>
  <c r="O33" i="4"/>
  <c r="P33" i="4" s="1"/>
  <c r="M35" i="4"/>
  <c r="O28" i="4"/>
  <c r="P28" i="4" s="1"/>
  <c r="O46" i="4"/>
  <c r="P46" i="4" s="1"/>
  <c r="M44" i="4"/>
  <c r="M47" i="4"/>
  <c r="O41" i="4"/>
  <c r="P41" i="4" s="1"/>
  <c r="O30" i="4"/>
  <c r="P30" i="4" s="1"/>
  <c r="M39" i="4"/>
  <c r="O31" i="4"/>
  <c r="P31" i="4" s="1"/>
  <c r="K43" i="4"/>
  <c r="L31" i="4"/>
  <c r="K35" i="4"/>
  <c r="K36" i="4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43" i="4" l="1"/>
  <c r="P43" i="4" s="1"/>
  <c r="O42" i="4"/>
  <c r="P42" i="4" s="1"/>
  <c r="M41" i="4"/>
  <c r="O37" i="4"/>
  <c r="P37" i="4" s="1"/>
  <c r="M46" i="4"/>
  <c r="O44" i="4"/>
  <c r="P44" i="4" s="1"/>
  <c r="O36" i="4"/>
  <c r="P36" i="4" s="1"/>
  <c r="O35" i="4"/>
  <c r="P35" i="4" s="1"/>
  <c r="M31" i="4"/>
  <c r="O29" i="4"/>
  <c r="P29" i="4" s="1"/>
  <c r="O32" i="4"/>
  <c r="P32" i="4" s="1"/>
  <c r="O38" i="4"/>
  <c r="P38" i="4" s="1"/>
  <c r="O40" i="4"/>
  <c r="P40" i="4" s="1"/>
  <c r="M33" i="4"/>
  <c r="O34" i="4"/>
  <c r="P34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<sst xmlns="http://schemas.openxmlformats.org/spreadsheetml/2006/main" count="340" uniqueCount="315">
  <si>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</si>
  <si>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</si>
  <si>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</si>
  <si>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</si>
  <si>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</si>
  <si>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</si>
  <si>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</si>
  <si>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</si>
  <si>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</si>
  <si>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</si>
  <si>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</si>
  <si>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</si>
  <si>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</si>
  <si>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</si>
  <si>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</si>
  <si>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</si>
  <si>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</si>
  <si>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</si>
  <si>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</si>
  <si>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</si>
  <si>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</si>
  <si>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</si>
  <si>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</si>
  <si>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</si>
  <si>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</si>
  <si>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</si>
  <si>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</si>
  <si>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</si>
  <si>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</si>
  <si>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</si>
  <si>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</si>
  <si>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</si>
  <si>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</si>
  <si>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</si>
  <si>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</si>
  <si>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</si>
  <si>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</si>
  <si>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</si>
  <si>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</si>
  <si>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</si>
  <si>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</si>
  <si>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</si>
  <si>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</si>
  <si>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</si>
  <si>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</si>
  <si>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</si>
  <si>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</si>
  <si>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</si>
  <si>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</si>
  <si>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</si>
  <si>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</si>
  <si>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</si>
  <si>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</si>
  <si>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</si>
  <si>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</si>
  <si>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</si>
  <si>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</si>
  <si>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</si>
  <si>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</si>
  <si>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</si>
  <si>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</si>
  <si>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</si>
  <si>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</si>
  <si>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</si>
  <si>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</si>
  <si>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</si>
  <si>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</si>
  <si>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</si>
  <si>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</si>
  <si>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</si>
  <si>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</si>
  <si>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</si>
  <si>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</si>
  <si>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</si>
  <si>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</si>
  <si>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</si>
  <si>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</si>
  <si>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</si>
  <si>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</si>
  <si>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</si>
  <si>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</si>
  <si>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</si>
  <si>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</si>
  <si>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</si>
  <si>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</si>
  <si>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</si>
  <si>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</si>
  <si>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</si>
  <si>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</si>
  <si>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</si>
  <si>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</si>
  <si>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</si>
  <si>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</si>
  <si>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</si>
  <si>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</si>
  <si>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</si>
  <si>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</si>
  <si>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</si>
  <si>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</si>
  <si>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</si>
  <si>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</si>
  <si>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</si>
  <si>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</si>
  <si>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</si>
  <si>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</si>
  <si>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</si>
  <si>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</si>
  <si>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</si>
  <si>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</si>
  <si>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</si>
  <si>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</si>
  <si>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</si>
  <si>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Fish Rtgill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</si>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</sst>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112</v>
      </c>
      <c r="K17" s="31" t="s">
        <v>80</v>
      </c>
      <c r="L17" s="80">
        <v>4.6725E-4</v>
      </c>
      <c r="M17" s="80">
        <v>3.15E-5</v>
      </c>
      <c r="N17" s="80">
        <v>2.6250000000000001E-5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92" zoomScale="55" zoomScaleNormal="55" workbookViewId="0">
      <selection activeCell="S28" sqref="S28:V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38"/>
      <c r="H1" s="13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38"/>
      <c r="H2" s="138"/>
      <c r="I2" s="151" t="s">
        <v>19</v>
      </c>
      <c r="J2" s="152"/>
      <c r="K2" s="152"/>
      <c r="L2" s="152"/>
      <c r="M2" s="152"/>
      <c r="N2" s="152"/>
      <c r="O2" s="152"/>
      <c r="P2" s="152"/>
      <c r="Q2" s="153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38"/>
      <c r="H3" s="138"/>
      <c r="I3" s="154"/>
      <c r="J3" s="155"/>
      <c r="K3" s="155"/>
      <c r="L3" s="155"/>
      <c r="M3" s="155"/>
      <c r="N3" s="155"/>
      <c r="O3" s="155"/>
      <c r="P3" s="155"/>
      <c r="Q3" s="156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38"/>
      <c r="H4" s="138"/>
      <c r="I4" s="157"/>
      <c r="J4" s="158"/>
      <c r="K4" s="158"/>
      <c r="L4" s="158"/>
      <c r="M4" s="158"/>
      <c r="N4" s="158"/>
      <c r="O4" s="158"/>
      <c r="P4" s="158"/>
      <c r="Q4" s="159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38"/>
      <c r="H5" s="138"/>
      <c r="I5" s="160" t="s">
        <v>38</v>
      </c>
      <c r="J5" s="161"/>
      <c r="K5" s="161"/>
      <c r="L5" s="161"/>
      <c r="M5" s="161"/>
      <c r="N5" s="161"/>
      <c r="O5" s="161"/>
      <c r="P5" s="161"/>
      <c r="Q5" s="162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38"/>
      <c r="H6" s="138"/>
      <c r="I6" s="49" t="s">
        <v>49</v>
      </c>
      <c r="J6" s="49" t="s">
        <v>50</v>
      </c>
      <c r="K6" s="49" t="s">
        <v>46</v>
      </c>
      <c r="L6" s="130" t="s">
        <v>39</v>
      </c>
      <c r="M6" s="131"/>
      <c r="N6" s="131"/>
      <c r="O6" s="131"/>
      <c r="P6" s="131"/>
      <c r="Q6" s="13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38"/>
      <c r="H7" s="138"/>
      <c r="I7" s="50" t="s">
        <v>20</v>
      </c>
      <c r="J7" s="37">
        <f>SUM(J13,J19)</f>
        <v>40.002940000000002</v>
      </c>
      <c r="K7" s="38">
        <f>J7/J7</f>
        <v>1</v>
      </c>
      <c r="L7" s="113" t="s">
        <v>68</v>
      </c>
      <c r="M7" s="114"/>
      <c r="N7" s="114"/>
      <c r="O7" s="114"/>
      <c r="P7" s="114"/>
      <c r="Q7" s="11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6" t="s">
        <v>3</v>
      </c>
      <c r="C8" s="177"/>
      <c r="D8" s="177"/>
      <c r="E8" s="177"/>
      <c r="F8" s="178"/>
      <c r="G8" s="138"/>
      <c r="H8" s="138"/>
      <c r="I8" s="51" t="s">
        <v>6</v>
      </c>
      <c r="J8" s="37">
        <f>SUM(J14,J20)</f>
        <v>39.795416600000003</v>
      </c>
      <c r="K8" s="39">
        <f>J8/J7</f>
        <v>0.99481229629622225</v>
      </c>
      <c r="L8" s="113" t="s">
        <v>69</v>
      </c>
      <c r="M8" s="114"/>
      <c r="N8" s="114"/>
      <c r="O8" s="114"/>
      <c r="P8" s="114"/>
      <c r="Q8" s="115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79"/>
      <c r="C9" s="180"/>
      <c r="D9" s="180"/>
      <c r="E9" s="180"/>
      <c r="F9" s="181"/>
      <c r="G9" s="138"/>
      <c r="H9" s="138"/>
      <c r="I9" s="50" t="s">
        <v>8</v>
      </c>
      <c r="J9" s="40">
        <f t="shared" ref="J9:J10" si="0">SUM(J15,J21)</f>
        <v>0.19217640000000002</v>
      </c>
      <c r="K9" s="39">
        <f>J9/J7</f>
        <v>4.804056901817717E-3</v>
      </c>
      <c r="L9" s="113" t="s">
        <v>69</v>
      </c>
      <c r="M9" s="114"/>
      <c r="N9" s="114"/>
      <c r="O9" s="114"/>
      <c r="P9" s="114"/>
      <c r="Q9" s="115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2"/>
      <c r="C10" s="183"/>
      <c r="D10" s="183"/>
      <c r="E10" s="183"/>
      <c r="F10" s="184"/>
      <c r="G10" s="138"/>
      <c r="H10" s="138"/>
      <c r="I10" s="51" t="s">
        <v>9</v>
      </c>
      <c r="J10" s="40">
        <f t="shared" si="0"/>
        <v>1.5347E-2</v>
      </c>
      <c r="K10" s="39">
        <f>J10/J7</f>
        <v>3.8364680196005589E-4</v>
      </c>
      <c r="L10" s="113" t="s">
        <v>69</v>
      </c>
      <c r="M10" s="114"/>
      <c r="N10" s="114"/>
      <c r="O10" s="114"/>
      <c r="P10" s="114"/>
      <c r="Q10" s="115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1" t="s">
        <v>36</v>
      </c>
      <c r="C11" s="142"/>
      <c r="D11" s="142"/>
      <c r="E11" s="142"/>
      <c r="F11" s="143"/>
      <c r="G11" s="138"/>
      <c r="H11" s="138"/>
      <c r="I11" s="129"/>
      <c r="J11" s="129"/>
      <c r="K11" s="129"/>
      <c r="L11" s="129"/>
      <c r="M11" s="129"/>
      <c r="N11" s="129"/>
      <c r="O11" s="129"/>
      <c r="P11" s="129"/>
      <c r="Q11" s="12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4"/>
      <c r="C12" s="145"/>
      <c r="D12" s="145"/>
      <c r="E12" s="145"/>
      <c r="F12" s="146"/>
      <c r="G12" s="138"/>
      <c r="H12" s="138"/>
      <c r="I12" s="49" t="s">
        <v>51</v>
      </c>
      <c r="J12" s="49" t="s">
        <v>50</v>
      </c>
      <c r="K12" s="49" t="s">
        <v>46</v>
      </c>
      <c r="L12" s="130" t="s">
        <v>39</v>
      </c>
      <c r="M12" s="131"/>
      <c r="N12" s="131"/>
      <c r="O12" s="131"/>
      <c r="P12" s="131"/>
      <c r="Q12" s="13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3" t="s">
        <v>4</v>
      </c>
      <c r="C13" s="134"/>
      <c r="D13" s="166" t="s">
        <v>39</v>
      </c>
      <c r="E13" s="166"/>
      <c r="F13" s="166"/>
      <c r="G13" s="138"/>
      <c r="H13" s="138"/>
      <c r="I13" s="50" t="s">
        <v>5</v>
      </c>
      <c r="J13" s="41">
        <f>SUM(J14:J16)</f>
        <v>40</v>
      </c>
      <c r="K13" s="38">
        <f>J13/J13</f>
        <v>1</v>
      </c>
      <c r="L13" s="113" t="s">
        <v>71</v>
      </c>
      <c r="M13" s="114"/>
      <c r="N13" s="114"/>
      <c r="O13" s="114"/>
      <c r="P13" s="114"/>
      <c r="Q13" s="11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67" t="s">
        <v>17</v>
      </c>
      <c r="E14" s="167"/>
      <c r="F14" s="167"/>
      <c r="G14" s="138"/>
      <c r="H14" s="138"/>
      <c r="I14" s="51" t="s">
        <v>43</v>
      </c>
      <c r="J14" s="41">
        <f>C14-SUM(J15:J16)</f>
        <v>39.7928</v>
      </c>
      <c r="K14" s="39">
        <f>J14/J13</f>
        <v>0.99482000000000004</v>
      </c>
      <c r="L14" s="135" t="s">
        <v>70</v>
      </c>
      <c r="M14" s="136"/>
      <c r="N14" s="136"/>
      <c r="O14" s="136"/>
      <c r="P14" s="136"/>
      <c r="Q14" s="13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68" t="s">
        <v>60</v>
      </c>
      <c r="E15" s="168"/>
      <c r="F15" s="168"/>
      <c r="G15" s="138"/>
      <c r="H15" s="13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0.19200000000000003</v>
      </c>
      <c r="K15" s="39">
        <f>J15/J13</f>
        <v>4.8000000000000004E-3</v>
      </c>
      <c r="L15" s="113" t="s">
        <v>69</v>
      </c>
      <c r="M15" s="114"/>
      <c r="N15" s="114"/>
      <c r="O15" s="114"/>
      <c r="P15" s="114"/>
      <c r="Q15" s="115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69" t="s">
        <v>40</v>
      </c>
      <c r="E16" s="170"/>
      <c r="F16" s="171"/>
      <c r="G16" s="138"/>
      <c r="H16" s="13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1.52E-2</v>
      </c>
      <c r="K16" s="39">
        <f>J16/J13</f>
        <v>3.8000000000000002E-4</v>
      </c>
      <c r="L16" s="113" t="s">
        <v>69</v>
      </c>
      <c r="M16" s="114"/>
      <c r="N16" s="114"/>
      <c r="O16" s="114"/>
      <c r="P16" s="114"/>
      <c r="Q16" s="11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72" t="s">
        <v>61</v>
      </c>
      <c r="E17" s="173"/>
      <c r="F17" s="174"/>
      <c r="G17" s="138"/>
      <c r="H17" s="138"/>
      <c r="I17" s="135"/>
      <c r="J17" s="136"/>
      <c r="K17" s="136"/>
      <c r="L17" s="136"/>
      <c r="M17" s="136"/>
      <c r="N17" s="136"/>
      <c r="O17" s="136"/>
      <c r="P17" s="136"/>
      <c r="Q17" s="13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69" t="s">
        <v>41</v>
      </c>
      <c r="E18" s="170"/>
      <c r="F18" s="171"/>
      <c r="G18" s="138"/>
      <c r="H18" s="138"/>
      <c r="I18" s="49" t="s">
        <v>29</v>
      </c>
      <c r="J18" s="49" t="s">
        <v>50</v>
      </c>
      <c r="K18" s="49" t="s">
        <v>46</v>
      </c>
      <c r="L18" s="130" t="s">
        <v>39</v>
      </c>
      <c r="M18" s="131"/>
      <c r="N18" s="131"/>
      <c r="O18" s="131"/>
      <c r="P18" s="131"/>
      <c r="Q18" s="13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68"/>
      <c r="C19" s="168"/>
      <c r="D19" s="168"/>
      <c r="E19" s="168"/>
      <c r="F19" s="168"/>
      <c r="G19" s="138"/>
      <c r="H19" s="138"/>
      <c r="I19" s="50" t="s">
        <v>5</v>
      </c>
      <c r="J19" s="41">
        <f>SUM(J20:J22)</f>
        <v>2.9400000000000003E-3</v>
      </c>
      <c r="K19" s="38">
        <f>J19/J19</f>
        <v>1</v>
      </c>
      <c r="L19" s="113" t="s">
        <v>55</v>
      </c>
      <c r="M19" s="114"/>
      <c r="N19" s="114"/>
      <c r="O19" s="114"/>
      <c r="P19" s="114"/>
      <c r="Q19" s="11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3" t="s">
        <v>7</v>
      </c>
      <c r="C20" s="134"/>
      <c r="D20" s="166" t="s">
        <v>39</v>
      </c>
      <c r="E20" s="166"/>
      <c r="F20" s="166"/>
      <c r="G20" s="138"/>
      <c r="H20" s="13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2.6166000000000002E-3</v>
      </c>
      <c r="K20" s="39">
        <f>J20/J19</f>
        <v>0.8899999999999999</v>
      </c>
      <c r="L20" s="113" t="s">
        <v>69</v>
      </c>
      <c r="M20" s="114"/>
      <c r="N20" s="114"/>
      <c r="O20" s="114"/>
      <c r="P20" s="114"/>
      <c r="Q20" s="115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72" t="s">
        <v>61</v>
      </c>
      <c r="E21" s="173"/>
      <c r="F21" s="174"/>
      <c r="G21" s="138"/>
      <c r="H21" s="13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1.7639999999999998E-4</v>
      </c>
      <c r="K21" s="39">
        <f>J21/J19</f>
        <v>5.9999999999999984E-2</v>
      </c>
      <c r="L21" s="113" t="s">
        <v>69</v>
      </c>
      <c r="M21" s="114"/>
      <c r="N21" s="114"/>
      <c r="O21" s="114"/>
      <c r="P21" s="114"/>
      <c r="Q21" s="115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75" t="s">
        <v>67</v>
      </c>
      <c r="E22" s="175"/>
      <c r="F22" s="175"/>
      <c r="G22" s="138"/>
      <c r="H22" s="13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1.47E-4</v>
      </c>
      <c r="K22" s="39">
        <f>J22/J19</f>
        <v>4.9999999999999996E-2</v>
      </c>
      <c r="L22" s="113" t="s">
        <v>69</v>
      </c>
      <c r="M22" s="114"/>
      <c r="N22" s="114"/>
      <c r="O22" s="114"/>
      <c r="P22" s="114"/>
      <c r="Q22" s="115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3"/>
      <c r="C23" s="164"/>
      <c r="D23" s="164"/>
      <c r="E23" s="164"/>
      <c r="F23" s="165"/>
      <c r="G23" s="138"/>
      <c r="H23" s="138"/>
      <c r="I23" s="124"/>
      <c r="J23" s="125"/>
      <c r="K23" s="125"/>
      <c r="L23" s="125"/>
      <c r="M23" s="125"/>
      <c r="N23" s="125"/>
      <c r="O23" s="125"/>
      <c r="P23" s="125"/>
      <c r="Q23" s="12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1" t="s">
        <v>37</v>
      </c>
      <c r="C24" s="142"/>
      <c r="D24" s="142"/>
      <c r="E24" s="142"/>
      <c r="F24" s="143"/>
      <c r="G24" s="138"/>
      <c r="H24" s="138"/>
      <c r="I24" s="118" t="s">
        <v>42</v>
      </c>
      <c r="J24" s="119"/>
      <c r="K24" s="119"/>
      <c r="L24" s="119"/>
      <c r="M24" s="119"/>
      <c r="N24" s="119"/>
      <c r="O24" s="119"/>
      <c r="P24" s="119"/>
      <c r="Q24" s="12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4"/>
      <c r="C25" s="145"/>
      <c r="D25" s="145"/>
      <c r="E25" s="145"/>
      <c r="F25" s="146"/>
      <c r="G25" s="138"/>
      <c r="H25" s="138"/>
      <c r="I25" s="121"/>
      <c r="J25" s="122"/>
      <c r="K25" s="122"/>
      <c r="L25" s="122"/>
      <c r="M25" s="122"/>
      <c r="N25" s="122"/>
      <c r="O25" s="122"/>
      <c r="P25" s="122"/>
      <c r="Q25" s="12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39" t="s">
        <v>11</v>
      </c>
      <c r="C26" s="139" t="s">
        <v>12</v>
      </c>
      <c r="D26" s="147" t="s">
        <v>47</v>
      </c>
      <c r="E26" s="147" t="s">
        <v>48</v>
      </c>
      <c r="F26" s="149" t="s">
        <v>66</v>
      </c>
      <c r="G26" s="138"/>
      <c r="H26" s="138"/>
      <c r="I26" s="127" t="s">
        <v>53</v>
      </c>
      <c r="J26" s="127" t="s">
        <v>54</v>
      </c>
      <c r="K26" s="116" t="s">
        <v>73</v>
      </c>
      <c r="L26" s="116" t="s">
        <v>52</v>
      </c>
      <c r="M26" s="116" t="s">
        <v>59</v>
      </c>
      <c r="N26" s="116" t="s">
        <v>62</v>
      </c>
      <c r="O26" s="116" t="s">
        <v>72</v>
      </c>
      <c r="P26" s="116" t="s">
        <v>64</v>
      </c>
      <c r="Q26" s="116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0"/>
      <c r="C27" s="140"/>
      <c r="D27" s="148"/>
      <c r="E27" s="148"/>
      <c r="F27" s="150"/>
      <c r="G27" s="138"/>
      <c r="H27" s="138"/>
      <c r="I27" s="128"/>
      <c r="J27" s="128"/>
      <c r="K27" s="117"/>
      <c r="L27" s="117"/>
      <c r="M27" s="117"/>
      <c r="N27" s="117"/>
      <c r="O27" s="117"/>
      <c r="P27" s="117"/>
      <c r="Q27" s="117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89</v>
      </c>
      <c r="C28" s="46" t="s">
        <v>90</v>
      </c>
      <c r="D28" s="47">
        <v>6.5247999999999973E-2</v>
      </c>
      <c r="E28" s="47">
        <v>8.2216000000000289E-2</v>
      </c>
      <c r="F28" s="96">
        <v>9.9999999999999995E-7</v>
      </c>
      <c r="G28" s="138"/>
      <c r="H28" s="138"/>
      <c r="I28" s="92">
        <f t="shared" ref="I28:I47" si="1">IF(D28=0,"",LOG($K$15*10^D28+$K$16*10^E28+$K$14))</f>
        <v>3.7217650281818146E-4</v>
      </c>
      <c r="J28" s="92">
        <f t="shared" ref="J28:J47" si="2">IF(D28=0,"",LOG($K$21*10^D28+$K$22*10^E28+$K$20))</f>
        <v>8.66295144485788E-3</v>
      </c>
      <c r="K28" s="93">
        <f t="shared" ref="K28:K47" si="3">IF(D28=0,"",1/(1+10^D28*$J$15/$J$14+10^E28*$J$16/$J$14+10^J28*$J$19/$J$14))</f>
        <v>0.99389337709599224</v>
      </c>
      <c r="L28" s="93">
        <f t="shared" ref="L28:L47" si="4">IF(D28=0,"",1/(1+10^I28/10^J28*$J$13/$J$19))</f>
        <v>7.4910997376849661E-5</v>
      </c>
      <c r="M28" s="93">
        <f t="shared" ref="M28:M47" si="5">IF(D28=0,"",1-L28)</f>
        <v>0.99992508900262311</v>
      </c>
      <c r="N28" s="93">
        <f t="shared" ref="N28:N47" si="6">IF(D28=0,"",1/(1/10^E28*$J$20/$J$22+10^D28/10^E28*$J$21/$J$22+10^I28/10^E28*$J$13/$J$22+1))</f>
        <v>4.4367875366928028E-6</v>
      </c>
      <c r="O28" s="40">
        <f t="shared" ref="O28:O47" si="7">IF(D28=0,"",F28*K28*$J$7/$J$14)</f>
        <v>9.9914198373495591E-7</v>
      </c>
      <c r="P28" s="40">
        <f t="shared" ref="P28:P47" si="8">IF(D28=0,"",O28*10^J28)</f>
        <v>1.0192721542198215E-6</v>
      </c>
      <c r="Q28" s="40">
        <f t="shared" ref="Q28:Q47" si="9">IF(D28=0,"",F28*N28*$J$7/$J$22)</f>
        <v>1.2073778613814286E-6</v>
      </c>
      <c r="R28" s="9">
        <f>F28*$C$14</f>
        <v>3.9999999999999996E-5</v>
      </c>
      <c r="S28" s="9">
        <f>$R28*L28</f>
        <v>2.996439895073986E-9</v>
      </c>
      <c r="T28" s="9">
        <f t="shared" ref="T28:T91" si="10">R28*K28</f>
        <v>3.9755735083839686E-5</v>
      </c>
      <c r="U28" s="9">
        <f t="shared" ref="U28:U91" si="11">$R28*M28</f>
        <v>3.9997003560104919E-5</v>
      </c>
      <c r="V28" s="100">
        <f>K28/M28</f>
        <v>0.99396783621796392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163</v>
      </c>
      <c r="C29" s="46" t="s">
        <v>164</v>
      </c>
      <c r="D29" s="47">
        <v>2.31</v>
      </c>
      <c r="E29" s="47">
        <v>2.58</v>
      </c>
      <c r="F29" s="96">
        <v>9.9999999999999995E-7</v>
      </c>
      <c r="G29" s="138"/>
      <c r="H29" s="138"/>
      <c r="I29" s="92">
        <f t="shared" si="1"/>
        <v>0.32619780382173885</v>
      </c>
      <c r="J29" s="92">
        <f t="shared" si="2"/>
        <v>1.5071795924333535</v>
      </c>
      <c r="K29" s="93">
        <f t="shared" si="3"/>
        <v>0.46888111571327346</v>
      </c>
      <c r="L29" s="93">
        <f t="shared" si="4"/>
        <v>1.113743456580496E-3</v>
      </c>
      <c r="M29" s="93">
        <f t="shared" si="5"/>
        <v>0.99888625654341956</v>
      </c>
      <c r="N29" s="93">
        <f t="shared" si="6"/>
        <v>6.5853001961117851E-4</v>
      </c>
      <c r="O29" s="40">
        <f t="shared" si="7"/>
        <v>4.7135720881695019E-7</v>
      </c>
      <c r="P29" s="40">
        <f t="shared" si="8"/>
        <v>1.5154085941830674E-5</v>
      </c>
      <c r="Q29" s="40">
        <f t="shared" si="9"/>
        <v>1.792050126714612E-4</v>
      </c>
      <c r="R29" s="9">
        <f t="shared" ref="R29:R92" si="12">F29*$C$14</f>
        <v>3.9999999999999996E-5</v>
      </c>
      <c r="S29" s="9">
        <f t="shared" ref="S29:S92" si="13">$R29*L29</f>
        <v>4.4549738263219837E-8</v>
      </c>
      <c r="T29" s="9">
        <f t="shared" si="10"/>
        <v>1.8755244628530936E-5</v>
      </c>
      <c r="U29" s="9">
        <f t="shared" si="11"/>
        <v>3.9955450261736776E-5</v>
      </c>
      <c r="V29" s="100">
        <f t="shared" ref="V29:V92" si="14">K29/M29</f>
        <v>0.46940391124791908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165</v>
      </c>
      <c r="C30" s="46" t="s">
        <v>166</v>
      </c>
      <c r="D30" s="90">
        <v>4.4000000000000004</v>
      </c>
      <c r="E30" s="90">
        <v>2.64</v>
      </c>
      <c r="F30" s="96">
        <v>9.9999999999999995E-7</v>
      </c>
      <c r="G30" s="138"/>
      <c r="H30" s="138"/>
      <c r="I30" s="92">
        <f t="shared" si="1"/>
        <v>2.0854020627961285</v>
      </c>
      <c r="J30" s="92">
        <f t="shared" si="2"/>
        <v>3.1846481838673779</v>
      </c>
      <c r="K30" s="93">
        <f t="shared" si="3"/>
        <v>8.1647232777813834E-3</v>
      </c>
      <c r="L30" s="93">
        <f t="shared" si="4"/>
        <v>9.2285290825239868E-4</v>
      </c>
      <c r="M30" s="93">
        <f t="shared" si="5"/>
        <v>0.99907714709174755</v>
      </c>
      <c r="N30" s="93">
        <f t="shared" si="6"/>
        <v>1.3166013790481575E-5</v>
      </c>
      <c r="O30" s="40">
        <f t="shared" si="7"/>
        <v>8.2078399961222137E-9</v>
      </c>
      <c r="P30" s="40">
        <f t="shared" si="8"/>
        <v>1.2556744733893274E-5</v>
      </c>
      <c r="Q30" s="40">
        <f t="shared" si="9"/>
        <v>3.5828521068014081E-6</v>
      </c>
      <c r="R30" s="9">
        <f t="shared" si="12"/>
        <v>3.9999999999999996E-5</v>
      </c>
      <c r="S30" s="9">
        <f t="shared" si="13"/>
        <v>3.6914116330095945E-8</v>
      </c>
      <c r="T30" s="9">
        <f t="shared" si="10"/>
        <v>3.2658893111125529E-7</v>
      </c>
      <c r="U30" s="9">
        <f t="shared" si="11"/>
        <v>3.9963085883669896E-5</v>
      </c>
      <c r="V30" s="100">
        <f t="shared" si="14"/>
        <v>8.1722650763741255E-3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91</v>
      </c>
      <c r="C31" s="46" t="s">
        <v>92</v>
      </c>
      <c r="D31" s="47">
        <v>-0.92190615231165807</v>
      </c>
      <c r="E31" s="47">
        <v>-1.7889087518799642</v>
      </c>
      <c r="F31" s="96">
        <v>9.9999999999999995E-7</v>
      </c>
      <c r="G31" s="138"/>
      <c r="H31" s="138"/>
      <c r="I31" s="92">
        <f t="shared" si="1"/>
        <v>-2.0020416091501053E-3</v>
      </c>
      <c r="J31" s="92">
        <f t="shared" si="2"/>
        <v>-4.6726110400890392E-2</v>
      </c>
      <c r="K31" s="93">
        <f t="shared" si="3"/>
        <v>0.99935031419485565</v>
      </c>
      <c r="L31" s="93">
        <f t="shared" si="4"/>
        <v>6.6303197695163766E-5</v>
      </c>
      <c r="M31" s="93">
        <f t="shared" si="5"/>
        <v>0.99993369680230482</v>
      </c>
      <c r="N31" s="93">
        <f t="shared" si="6"/>
        <v>6.0023572052437511E-8</v>
      </c>
      <c r="O31" s="40">
        <f t="shared" si="7"/>
        <v>1.0046277381264439E-6</v>
      </c>
      <c r="P31" s="40">
        <f t="shared" si="8"/>
        <v>9.0215062558087577E-7</v>
      </c>
      <c r="Q31" s="40">
        <f t="shared" si="9"/>
        <v>1.633414524761452E-8</v>
      </c>
      <c r="R31" s="9">
        <f t="shared" si="12"/>
        <v>3.9999999999999996E-5</v>
      </c>
      <c r="S31" s="9">
        <f t="shared" si="13"/>
        <v>2.6521279078065503E-9</v>
      </c>
      <c r="T31" s="9">
        <f t="shared" si="10"/>
        <v>3.9974012567794225E-5</v>
      </c>
      <c r="U31" s="9">
        <f t="shared" si="11"/>
        <v>3.9997347872092186E-5</v>
      </c>
      <c r="V31" s="100">
        <f t="shared" si="14"/>
        <v>0.99941657870985368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93</v>
      </c>
      <c r="C32" s="46" t="s">
        <v>94</v>
      </c>
      <c r="D32" s="47">
        <v>0.54749180498968375</v>
      </c>
      <c r="E32" s="47">
        <v>0.30136158174588817</v>
      </c>
      <c r="F32" s="96">
        <v>9.9999999999999995E-7</v>
      </c>
      <c r="G32" s="138"/>
      <c r="H32" s="138"/>
      <c r="I32" s="92">
        <f t="shared" si="1"/>
        <v>5.4008424806920542E-3</v>
      </c>
      <c r="J32" s="92">
        <f t="shared" si="2"/>
        <v>7.9809959531048844E-2</v>
      </c>
      <c r="K32" s="93">
        <f t="shared" si="3"/>
        <v>0.98243942170704812</v>
      </c>
      <c r="L32" s="93">
        <f t="shared" si="4"/>
        <v>8.7228533600871333E-5</v>
      </c>
      <c r="M32" s="93">
        <f t="shared" si="5"/>
        <v>0.99991277146639912</v>
      </c>
      <c r="N32" s="93">
        <f t="shared" si="6"/>
        <v>7.2640729699422862E-6</v>
      </c>
      <c r="O32" s="40">
        <f t="shared" si="7"/>
        <v>9.8762754167039644E-7</v>
      </c>
      <c r="P32" s="40">
        <f t="shared" si="8"/>
        <v>1.1868699986134833E-6</v>
      </c>
      <c r="Q32" s="40">
        <f t="shared" si="9"/>
        <v>1.9767637766817897E-6</v>
      </c>
      <c r="R32" s="9">
        <f t="shared" si="12"/>
        <v>3.9999999999999996E-5</v>
      </c>
      <c r="S32" s="9">
        <f t="shared" si="13"/>
        <v>3.489141344034853E-9</v>
      </c>
      <c r="T32" s="9">
        <f t="shared" si="10"/>
        <v>3.9297576868281923E-5</v>
      </c>
      <c r="U32" s="9">
        <f t="shared" si="11"/>
        <v>3.9996510858655964E-5</v>
      </c>
      <c r="V32" s="100">
        <f t="shared" si="14"/>
        <v>0.98252512593300922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167</v>
      </c>
      <c r="C33" s="94" t="s">
        <v>111</v>
      </c>
      <c r="D33" s="95">
        <v>1.6452318246143236</v>
      </c>
      <c r="E33" s="95">
        <v>1.8629354124795308</v>
      </c>
      <c r="F33" s="96">
        <v>9.9999999999999995E-7</v>
      </c>
      <c r="G33" s="138"/>
      <c r="H33" s="138"/>
      <c r="I33" s="92">
        <f t="shared" si="1"/>
        <v>9.1527063522880606E-2</v>
      </c>
      <c r="J33" s="92">
        <f t="shared" si="2"/>
        <v>0.85658284176588462</v>
      </c>
      <c r="K33" s="93">
        <f t="shared" si="3"/>
        <v>0.80543713501906433</v>
      </c>
      <c r="L33" s="93">
        <f t="shared" si="4"/>
        <v>4.2771779781502762E-4</v>
      </c>
      <c r="M33" s="93">
        <f t="shared" si="5"/>
        <v>0.99957228220218497</v>
      </c>
      <c r="N33" s="93">
        <f t="shared" si="6"/>
        <v>2.1701007505388326E-4</v>
      </c>
      <c r="O33" s="40">
        <f t="shared" si="7"/>
        <v>8.096905316021875E-7</v>
      </c>
      <c r="P33" s="40">
        <f t="shared" si="8"/>
        <v>5.8197174839886665E-6</v>
      </c>
      <c r="Q33" s="40">
        <f t="shared" si="9"/>
        <v>5.9054700760380883E-5</v>
      </c>
      <c r="R33" s="9">
        <f t="shared" si="12"/>
        <v>3.9999999999999996E-5</v>
      </c>
      <c r="S33" s="9">
        <f t="shared" si="13"/>
        <v>1.7108711912601104E-8</v>
      </c>
      <c r="T33" s="9">
        <f t="shared" si="10"/>
        <v>3.2217485400762573E-5</v>
      </c>
      <c r="U33" s="9">
        <f t="shared" si="11"/>
        <v>3.9982891288087393E-5</v>
      </c>
      <c r="V33" s="100">
        <f t="shared" si="14"/>
        <v>0.80578178222847852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95</v>
      </c>
      <c r="C34" s="46" t="s">
        <v>96</v>
      </c>
      <c r="D34" s="90">
        <v>0.39857726844789648</v>
      </c>
      <c r="E34" s="90">
        <v>8.9525410045599246E-2</v>
      </c>
      <c r="F34" s="96">
        <v>9.9999999999999995E-7</v>
      </c>
      <c r="G34" s="138"/>
      <c r="H34" s="138"/>
      <c r="I34" s="92">
        <f t="shared" si="1"/>
        <v>3.1608226539332684E-3</v>
      </c>
      <c r="J34" s="92">
        <f t="shared" si="2"/>
        <v>4.2050150361398808E-2</v>
      </c>
      <c r="K34" s="93">
        <f t="shared" si="3"/>
        <v>0.98752653872405549</v>
      </c>
      <c r="L34" s="93">
        <f t="shared" si="4"/>
        <v>8.037884425472888E-5</v>
      </c>
      <c r="M34" s="93">
        <f t="shared" si="5"/>
        <v>0.99991962115574529</v>
      </c>
      <c r="N34" s="93">
        <f t="shared" si="6"/>
        <v>4.4831887244078539E-6</v>
      </c>
      <c r="O34" s="40">
        <f t="shared" si="7"/>
        <v>9.9274152301386339E-7</v>
      </c>
      <c r="P34" s="40">
        <f t="shared" si="8"/>
        <v>1.093670096595668E-6</v>
      </c>
      <c r="Q34" s="40">
        <f t="shared" si="9"/>
        <v>1.2200049629330879E-6</v>
      </c>
      <c r="R34" s="9">
        <f t="shared" si="12"/>
        <v>3.9999999999999996E-5</v>
      </c>
      <c r="S34" s="9">
        <f t="shared" si="13"/>
        <v>3.2151537701891548E-9</v>
      </c>
      <c r="T34" s="9">
        <f t="shared" si="10"/>
        <v>3.9501061548962216E-5</v>
      </c>
      <c r="U34" s="9">
        <f t="shared" si="11"/>
        <v>3.999678484622981E-5</v>
      </c>
      <c r="V34" s="100">
        <f t="shared" si="14"/>
        <v>0.98760592134659242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97</v>
      </c>
      <c r="C35" s="46" t="s">
        <v>98</v>
      </c>
      <c r="D35" s="90">
        <v>0.27761205565007074</v>
      </c>
      <c r="E35" s="90">
        <v>-8.2551864497786676E-2</v>
      </c>
      <c r="F35" s="96">
        <v>9.9999999999999995E-7</v>
      </c>
      <c r="G35" s="138"/>
      <c r="H35" s="138"/>
      <c r="I35" s="92">
        <f t="shared" si="1"/>
        <v>1.8333114105419375E-3</v>
      </c>
      <c r="J35" s="92">
        <f t="shared" si="2"/>
        <v>1.913510872444386E-2</v>
      </c>
      <c r="K35" s="93">
        <f t="shared" si="3"/>
        <v>0.99055359766919893</v>
      </c>
      <c r="L35" s="93">
        <f t="shared" si="4"/>
        <v>7.6481415941789097E-5</v>
      </c>
      <c r="M35" s="93">
        <f t="shared" si="5"/>
        <v>0.99992351858405826</v>
      </c>
      <c r="N35" s="93">
        <f t="shared" si="6"/>
        <v>3.0257911673372069E-6</v>
      </c>
      <c r="O35" s="40">
        <f t="shared" si="7"/>
        <v>9.9578456741785203E-7</v>
      </c>
      <c r="P35" s="40">
        <f t="shared" si="8"/>
        <v>1.040639963617154E-6</v>
      </c>
      <c r="Q35" s="40">
        <f t="shared" si="9"/>
        <v>8.2340505115319907E-7</v>
      </c>
      <c r="R35" s="9">
        <f t="shared" si="12"/>
        <v>3.9999999999999996E-5</v>
      </c>
      <c r="S35" s="9">
        <f t="shared" si="13"/>
        <v>3.0592566376715635E-9</v>
      </c>
      <c r="T35" s="9">
        <f t="shared" si="10"/>
        <v>3.9622143906767953E-5</v>
      </c>
      <c r="U35" s="9">
        <f t="shared" si="11"/>
        <v>3.9996940743362328E-5</v>
      </c>
      <c r="V35" s="100">
        <f t="shared" si="14"/>
        <v>0.99062936240550914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168</v>
      </c>
      <c r="C36" s="46" t="s">
        <v>169</v>
      </c>
      <c r="D36" s="47">
        <v>3.4409280000000009</v>
      </c>
      <c r="E36" s="47">
        <v>4.1160660000000009</v>
      </c>
      <c r="F36" s="96">
        <v>9.9999999999999995E-7</v>
      </c>
      <c r="G36" s="138"/>
      <c r="H36" s="138"/>
      <c r="I36" s="92">
        <f t="shared" si="1"/>
        <v>1.2834731216469764</v>
      </c>
      <c r="J36" s="92">
        <f t="shared" si="2"/>
        <v>2.9136453532291715</v>
      </c>
      <c r="K36" s="93">
        <f t="shared" si="3"/>
        <v>5.1631091777966771E-2</v>
      </c>
      <c r="L36" s="93">
        <f t="shared" si="4"/>
        <v>3.1267956070995546E-3</v>
      </c>
      <c r="M36" s="93">
        <f t="shared" si="5"/>
        <v>0.99687320439290039</v>
      </c>
      <c r="N36" s="93">
        <f t="shared" si="6"/>
        <v>2.491667825402269E-3</v>
      </c>
      <c r="O36" s="40">
        <f t="shared" si="7"/>
        <v>5.1903748078257829E-8</v>
      </c>
      <c r="P36" s="40">
        <f t="shared" si="8"/>
        <v>4.2544563626893575E-5</v>
      </c>
      <c r="Q36" s="40">
        <f t="shared" si="9"/>
        <v>6.7805468380610504E-4</v>
      </c>
      <c r="R36" s="9">
        <f t="shared" si="12"/>
        <v>3.9999999999999996E-5</v>
      </c>
      <c r="S36" s="9">
        <f t="shared" si="13"/>
        <v>1.2507182428398216E-7</v>
      </c>
      <c r="T36" s="9">
        <f t="shared" si="10"/>
        <v>2.0652436711186709E-6</v>
      </c>
      <c r="U36" s="9">
        <f t="shared" si="11"/>
        <v>3.9874928175716012E-5</v>
      </c>
      <c r="V36" s="100">
        <f t="shared" si="14"/>
        <v>5.1793038021731463E-2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170</v>
      </c>
      <c r="C37" s="94" t="s">
        <v>171</v>
      </c>
      <c r="D37" s="95">
        <v>4.9025336133267672</v>
      </c>
      <c r="E37" s="95">
        <v>6.4965619006479365</v>
      </c>
      <c r="F37" s="96">
        <v>9.9999999999999995E-7</v>
      </c>
      <c r="G37" s="138"/>
      <c r="H37" s="138"/>
      <c r="I37" s="92">
        <f t="shared" si="1"/>
        <v>3.1977472098667894</v>
      </c>
      <c r="J37" s="92">
        <f t="shared" si="2"/>
        <v>5.2086075661318922</v>
      </c>
      <c r="K37" s="93">
        <f t="shared" si="3"/>
        <v>6.2623404512636091E-4</v>
      </c>
      <c r="L37" s="93">
        <f t="shared" si="4"/>
        <v>7.4797498150817147E-3</v>
      </c>
      <c r="M37" s="93">
        <f t="shared" si="5"/>
        <v>0.9925202501849183</v>
      </c>
      <c r="N37" s="93">
        <f t="shared" si="6"/>
        <v>7.2579071926509187E-3</v>
      </c>
      <c r="O37" s="40">
        <f t="shared" si="7"/>
        <v>6.2954109620703012E-10</v>
      </c>
      <c r="P37" s="40">
        <f t="shared" si="8"/>
        <v>1.0177278335636913E-4</v>
      </c>
      <c r="Q37" s="40">
        <f t="shared" si="9"/>
        <v>1.9750858908379808E-3</v>
      </c>
      <c r="R37" s="9">
        <f t="shared" si="12"/>
        <v>3.9999999999999996E-5</v>
      </c>
      <c r="S37" s="9">
        <f t="shared" si="13"/>
        <v>2.9918999260326856E-7</v>
      </c>
      <c r="T37" s="9">
        <f t="shared" si="10"/>
        <v>2.5049361805054435E-8</v>
      </c>
      <c r="U37" s="9">
        <f t="shared" si="11"/>
        <v>3.9700810007396731E-5</v>
      </c>
      <c r="V37" s="100">
        <f t="shared" si="14"/>
        <v>6.3095341884428658E-4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172</v>
      </c>
      <c r="C38" s="46" t="s">
        <v>173</v>
      </c>
      <c r="D38" s="90">
        <v>-0.51108880646233978</v>
      </c>
      <c r="E38" s="90">
        <v>-1.2045066120098076</v>
      </c>
      <c r="F38" s="96">
        <v>9.9999999999999995E-7</v>
      </c>
      <c r="G38" s="138"/>
      <c r="H38" s="138"/>
      <c r="I38" s="92">
        <f t="shared" si="1"/>
        <v>-1.5996885357091404E-3</v>
      </c>
      <c r="J38" s="92">
        <f t="shared" si="2"/>
        <v>-4.018731567582539E-2</v>
      </c>
      <c r="K38" s="93">
        <f t="shared" si="3"/>
        <v>0.99842395064842238</v>
      </c>
      <c r="L38" s="93">
        <f t="shared" si="4"/>
        <v>6.7246627081600486E-5</v>
      </c>
      <c r="M38" s="93">
        <f t="shared" si="5"/>
        <v>0.99993275337291843</v>
      </c>
      <c r="N38" s="93">
        <f t="shared" si="6"/>
        <v>2.3031446460262169E-7</v>
      </c>
      <c r="O38" s="40">
        <f t="shared" si="7"/>
        <v>1.003696482588604E-6</v>
      </c>
      <c r="P38" s="40">
        <f t="shared" si="8"/>
        <v>9.1498734297538751E-7</v>
      </c>
      <c r="Q38" s="40">
        <f t="shared" si="9"/>
        <v>6.2675208902250334E-8</v>
      </c>
      <c r="R38" s="9">
        <f t="shared" si="12"/>
        <v>3.9999999999999996E-5</v>
      </c>
      <c r="S38" s="9">
        <f t="shared" si="13"/>
        <v>2.6898650832640191E-9</v>
      </c>
      <c r="T38" s="9">
        <f t="shared" si="10"/>
        <v>3.9936958025936893E-5</v>
      </c>
      <c r="U38" s="9">
        <f t="shared" si="11"/>
        <v>3.9997310134916734E-5</v>
      </c>
      <c r="V38" s="100">
        <f t="shared" si="14"/>
        <v>0.99849109580678641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99</v>
      </c>
      <c r="C39" s="46" t="s">
        <v>100</v>
      </c>
      <c r="D39" s="90">
        <v>2.3414159999999997</v>
      </c>
      <c r="E39" s="90">
        <v>2.4767320000000002</v>
      </c>
      <c r="F39" s="96">
        <v>9.9999999999999995E-7</v>
      </c>
      <c r="G39" s="138"/>
      <c r="H39" s="138"/>
      <c r="I39" s="92">
        <f t="shared" si="1"/>
        <v>0.33491051106253611</v>
      </c>
      <c r="J39" s="92">
        <f t="shared" si="2"/>
        <v>1.4630863314519809</v>
      </c>
      <c r="K39" s="93">
        <f t="shared" si="3"/>
        <v>0.45962687601056157</v>
      </c>
      <c r="L39" s="93">
        <f t="shared" si="4"/>
        <v>9.8635801565234498E-4</v>
      </c>
      <c r="M39" s="93">
        <f t="shared" si="5"/>
        <v>0.99901364198434761</v>
      </c>
      <c r="N39" s="93">
        <f t="shared" si="6"/>
        <v>5.0892085849033183E-4</v>
      </c>
      <c r="O39" s="40">
        <f t="shared" si="7"/>
        <v>4.6205409881782468E-7</v>
      </c>
      <c r="P39" s="40">
        <f t="shared" si="8"/>
        <v>1.3420823305666601E-5</v>
      </c>
      <c r="Q39" s="40">
        <f t="shared" si="9"/>
        <v>1.3849204467304243E-4</v>
      </c>
      <c r="R39" s="9">
        <f t="shared" si="12"/>
        <v>3.9999999999999996E-5</v>
      </c>
      <c r="S39" s="9">
        <f t="shared" si="13"/>
        <v>3.9454320626093793E-8</v>
      </c>
      <c r="T39" s="9">
        <f t="shared" si="10"/>
        <v>1.8385075040422462E-5</v>
      </c>
      <c r="U39" s="9">
        <f t="shared" si="11"/>
        <v>3.9960545679373903E-5</v>
      </c>
      <c r="V39" s="100">
        <f t="shared" si="14"/>
        <v>0.46008068027740001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174</v>
      </c>
      <c r="C40" s="46" t="s">
        <v>175</v>
      </c>
      <c r="D40" s="47">
        <v>2.349974877229557</v>
      </c>
      <c r="E40" s="47">
        <v>2.8654572197209189</v>
      </c>
      <c r="F40" s="96">
        <v>9.9999999999999995E-7</v>
      </c>
      <c r="G40" s="138"/>
      <c r="H40" s="138"/>
      <c r="I40" s="92">
        <f t="shared" si="1"/>
        <v>0.37071855582347524</v>
      </c>
      <c r="J40" s="92">
        <f t="shared" si="2"/>
        <v>1.7075818611730444</v>
      </c>
      <c r="K40" s="93">
        <f t="shared" si="3"/>
        <v>0.42299300237941057</v>
      </c>
      <c r="L40" s="93">
        <f t="shared" si="4"/>
        <v>1.5938882729211055E-3</v>
      </c>
      <c r="M40" s="93">
        <f t="shared" si="5"/>
        <v>0.99840611172707894</v>
      </c>
      <c r="N40" s="93">
        <f t="shared" si="6"/>
        <v>1.1463130542370564E-3</v>
      </c>
      <c r="O40" s="40">
        <f t="shared" si="7"/>
        <v>4.2522676701823998E-7</v>
      </c>
      <c r="P40" s="40">
        <f t="shared" si="8"/>
        <v>2.1687148621893405E-5</v>
      </c>
      <c r="Q40" s="40">
        <f t="shared" si="9"/>
        <v>3.1194484578137222E-4</v>
      </c>
      <c r="R40" s="9">
        <f t="shared" si="12"/>
        <v>3.9999999999999996E-5</v>
      </c>
      <c r="S40" s="9">
        <f t="shared" si="13"/>
        <v>6.3755530916844219E-8</v>
      </c>
      <c r="T40" s="9">
        <f t="shared" si="10"/>
        <v>1.6919720095176421E-5</v>
      </c>
      <c r="U40" s="9">
        <f t="shared" si="11"/>
        <v>3.9936244469083152E-5</v>
      </c>
      <c r="V40" s="100">
        <f t="shared" si="14"/>
        <v>0.42366828228615505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176</v>
      </c>
      <c r="C41" s="94" t="s">
        <v>177</v>
      </c>
      <c r="D41" s="95">
        <v>1.4854320000000003</v>
      </c>
      <c r="E41" s="95">
        <v>1.5057189999999996</v>
      </c>
      <c r="F41" s="96">
        <v>9.9999999999999995E-7</v>
      </c>
      <c r="G41" s="138"/>
      <c r="H41" s="138"/>
      <c r="I41" s="92">
        <f t="shared" si="1"/>
        <v>6.2122287627494992E-2</v>
      </c>
      <c r="J41" s="92">
        <f t="shared" si="2"/>
        <v>0.63617430590334967</v>
      </c>
      <c r="K41" s="93">
        <f t="shared" si="3"/>
        <v>0.86199059734226779</v>
      </c>
      <c r="L41" s="93">
        <f t="shared" si="4"/>
        <v>2.7556221418598858E-4</v>
      </c>
      <c r="M41" s="93">
        <f t="shared" si="5"/>
        <v>0.99972443778581399</v>
      </c>
      <c r="N41" s="93">
        <f t="shared" si="6"/>
        <v>1.0203152178811501E-4</v>
      </c>
      <c r="O41" s="40">
        <f t="shared" si="7"/>
        <v>8.665426445499411E-7</v>
      </c>
      <c r="P41" s="40">
        <f t="shared" si="8"/>
        <v>3.7494213334521248E-6</v>
      </c>
      <c r="Q41" s="40">
        <f t="shared" si="9"/>
        <v>2.7765720028562299E-5</v>
      </c>
      <c r="R41" s="9">
        <f t="shared" si="12"/>
        <v>3.9999999999999996E-5</v>
      </c>
      <c r="S41" s="9">
        <f t="shared" si="13"/>
        <v>1.1022488567439542E-8</v>
      </c>
      <c r="T41" s="9">
        <f t="shared" si="10"/>
        <v>3.4479623893690711E-5</v>
      </c>
      <c r="U41" s="9">
        <f t="shared" si="11"/>
        <v>3.9988977511432554E-5</v>
      </c>
      <c r="V41" s="100">
        <f t="shared" si="14"/>
        <v>0.86222819485277502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178</v>
      </c>
      <c r="C42" s="46" t="s">
        <v>179</v>
      </c>
      <c r="D42" s="90">
        <v>2.0758240000000003</v>
      </c>
      <c r="E42" s="90">
        <v>2.477398</v>
      </c>
      <c r="F42" s="96">
        <v>9.9999999999999995E-7</v>
      </c>
      <c r="G42" s="138"/>
      <c r="H42" s="138"/>
      <c r="I42" s="92">
        <f t="shared" si="1"/>
        <v>0.22542744412672311</v>
      </c>
      <c r="J42" s="92">
        <f t="shared" si="2"/>
        <v>1.3625600825731246</v>
      </c>
      <c r="K42" s="93">
        <f t="shared" si="3"/>
        <v>0.59139759784072587</v>
      </c>
      <c r="L42" s="93">
        <f t="shared" si="4"/>
        <v>1.0068910256007034E-3</v>
      </c>
      <c r="M42" s="93">
        <f t="shared" si="5"/>
        <v>0.9989931089743993</v>
      </c>
      <c r="N42" s="93">
        <f t="shared" si="6"/>
        <v>6.5582866025926155E-4</v>
      </c>
      <c r="O42" s="40">
        <f t="shared" si="7"/>
        <v>5.9452068270055611E-7</v>
      </c>
      <c r="P42" s="40">
        <f t="shared" si="8"/>
        <v>1.3700204518246056E-5</v>
      </c>
      <c r="Q42" s="40">
        <f t="shared" si="9"/>
        <v>1.7846989487504508E-4</v>
      </c>
      <c r="R42" s="9">
        <f t="shared" si="12"/>
        <v>3.9999999999999996E-5</v>
      </c>
      <c r="S42" s="9">
        <f t="shared" si="13"/>
        <v>4.0275641024028132E-8</v>
      </c>
      <c r="T42" s="9">
        <f t="shared" si="10"/>
        <v>2.3655903913629032E-5</v>
      </c>
      <c r="U42" s="9">
        <f t="shared" si="11"/>
        <v>3.9959724358975967E-5</v>
      </c>
      <c r="V42" s="100">
        <f t="shared" si="14"/>
        <v>0.59199367095522315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180</v>
      </c>
      <c r="C43" s="46" t="s">
        <v>181</v>
      </c>
      <c r="D43" s="90">
        <v>2.3078000000000003</v>
      </c>
      <c r="E43" s="90">
        <v>2.5099249999999995</v>
      </c>
      <c r="F43" s="96">
        <v>9.9999999999999995E-7</v>
      </c>
      <c r="G43" s="138"/>
      <c r="H43" s="138"/>
      <c r="I43" s="92">
        <f t="shared" si="1"/>
        <v>0.32073739190116707</v>
      </c>
      <c r="J43" s="92">
        <f t="shared" si="2"/>
        <v>1.4662062884307066</v>
      </c>
      <c r="K43" s="93">
        <f t="shared" si="3"/>
        <v>0.47485512946780178</v>
      </c>
      <c r="L43" s="93">
        <f t="shared" si="4"/>
        <v>1.0263848982390591E-3</v>
      </c>
      <c r="M43" s="93">
        <f t="shared" si="5"/>
        <v>0.99897361510176097</v>
      </c>
      <c r="N43" s="93">
        <f t="shared" si="6"/>
        <v>5.6754325848090616E-4</v>
      </c>
      <c r="O43" s="40">
        <f t="shared" si="7"/>
        <v>4.7736277047085675E-7</v>
      </c>
      <c r="P43" s="40">
        <f t="shared" si="8"/>
        <v>1.396544676910313E-5</v>
      </c>
      <c r="Q43" s="40">
        <f t="shared" si="9"/>
        <v>1.5444489058786517E-4</v>
      </c>
      <c r="R43" s="9">
        <f t="shared" si="12"/>
        <v>3.9999999999999996E-5</v>
      </c>
      <c r="S43" s="9">
        <f t="shared" si="13"/>
        <v>4.1055395929562361E-8</v>
      </c>
      <c r="T43" s="9">
        <f t="shared" si="10"/>
        <v>1.8994205178712069E-5</v>
      </c>
      <c r="U43" s="9">
        <f t="shared" si="11"/>
        <v>3.9958944604070438E-5</v>
      </c>
      <c r="V43" s="100">
        <f t="shared" si="14"/>
        <v>0.47534301435922349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182</v>
      </c>
      <c r="C44" s="46" t="s">
        <v>183</v>
      </c>
      <c r="D44" s="90">
        <v>5.676184000000001</v>
      </c>
      <c r="E44" s="90">
        <v>7.0708080000000004</v>
      </c>
      <c r="F44" s="96">
        <v>9.9999999999999995E-7</v>
      </c>
      <c r="G44" s="138"/>
      <c r="H44" s="138"/>
      <c r="I44" s="92">
        <f t="shared" si="1"/>
        <v>3.8293839195374848</v>
      </c>
      <c r="J44" s="92">
        <f t="shared" si="2"/>
        <v>5.7902923462368587</v>
      </c>
      <c r="K44" s="93">
        <f t="shared" si="3"/>
        <v>1.4637032920459075E-4</v>
      </c>
      <c r="L44" s="93">
        <f t="shared" si="4"/>
        <v>6.6724945407572499E-3</v>
      </c>
      <c r="M44" s="93">
        <f t="shared" si="5"/>
        <v>0.99332750545924275</v>
      </c>
      <c r="N44" s="93">
        <f t="shared" si="6"/>
        <v>6.3646406057299813E-3</v>
      </c>
      <c r="O44" s="40">
        <f t="shared" si="7"/>
        <v>1.4714328966424811E-10</v>
      </c>
      <c r="P44" s="40">
        <f t="shared" si="8"/>
        <v>9.0788911144299263E-5</v>
      </c>
      <c r="Q44" s="40">
        <f t="shared" si="9"/>
        <v>1.7320022875685721E-3</v>
      </c>
      <c r="R44" s="9">
        <f t="shared" si="12"/>
        <v>3.9999999999999996E-5</v>
      </c>
      <c r="S44" s="9">
        <f t="shared" si="13"/>
        <v>2.6689978163028996E-7</v>
      </c>
      <c r="T44" s="9">
        <f t="shared" si="10"/>
        <v>5.8548131681836295E-9</v>
      </c>
      <c r="U44" s="9">
        <f t="shared" si="11"/>
        <v>3.9733100218369709E-5</v>
      </c>
      <c r="V44" s="100">
        <f t="shared" si="14"/>
        <v>1.4735354492868865E-4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184</v>
      </c>
      <c r="C45" s="46" t="s">
        <v>185</v>
      </c>
      <c r="D45" s="90">
        <v>1.2599279999999999</v>
      </c>
      <c r="E45" s="90">
        <v>1.3925860000000003</v>
      </c>
      <c r="F45" s="96">
        <v>9.9999999999999995E-7</v>
      </c>
      <c r="G45" s="138"/>
      <c r="H45" s="138"/>
      <c r="I45" s="92">
        <f t="shared" si="1"/>
        <v>3.8037572032670899E-2</v>
      </c>
      <c r="J45" s="92">
        <f t="shared" si="2"/>
        <v>0.50735979747220017</v>
      </c>
      <c r="K45" s="93">
        <f t="shared" si="3"/>
        <v>0.91119827385325602</v>
      </c>
      <c r="L45" s="93">
        <f t="shared" si="4"/>
        <v>2.1652872424894075E-4</v>
      </c>
      <c r="M45" s="93">
        <f t="shared" si="5"/>
        <v>0.99978347127575107</v>
      </c>
      <c r="N45" s="93">
        <f t="shared" si="6"/>
        <v>8.3121184608078138E-5</v>
      </c>
      <c r="O45" s="40">
        <f t="shared" si="7"/>
        <v>9.1601017965700753E-7</v>
      </c>
      <c r="P45" s="40">
        <f t="shared" si="8"/>
        <v>2.9461855661248025E-6</v>
      </c>
      <c r="Q45" s="40">
        <f t="shared" si="9"/>
        <v>2.2619671840856282E-5</v>
      </c>
      <c r="R45" s="9">
        <f t="shared" si="12"/>
        <v>3.9999999999999996E-5</v>
      </c>
      <c r="S45" s="9">
        <f t="shared" si="13"/>
        <v>8.6611489699576291E-9</v>
      </c>
      <c r="T45" s="9">
        <f t="shared" si="10"/>
        <v>3.6447930954130237E-5</v>
      </c>
      <c r="U45" s="9">
        <f t="shared" si="11"/>
        <v>3.9991338851030037E-5</v>
      </c>
      <c r="V45" s="100">
        <f t="shared" si="14"/>
        <v>0.91139561718353079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186</v>
      </c>
      <c r="C46" s="46" t="s">
        <v>187</v>
      </c>
      <c r="D46" s="91">
        <v>1.2889359999999999</v>
      </c>
      <c r="E46" s="91">
        <v>1.371977</v>
      </c>
      <c r="F46" s="96">
        <v>9.9999999999999995E-7</v>
      </c>
      <c r="G46" s="138"/>
      <c r="H46" s="138"/>
      <c r="I46" s="92">
        <f t="shared" si="1"/>
        <v>4.0258976380178252E-2</v>
      </c>
      <c r="J46" s="92">
        <f t="shared" si="2"/>
        <v>0.50980800632319268</v>
      </c>
      <c r="K46" s="93">
        <f t="shared" si="3"/>
        <v>0.90654931668640382</v>
      </c>
      <c r="L46" s="93">
        <f t="shared" si="4"/>
        <v>2.1664180851669538E-4</v>
      </c>
      <c r="M46" s="93">
        <f t="shared" si="5"/>
        <v>0.99978335819148334</v>
      </c>
      <c r="N46" s="93">
        <f t="shared" si="6"/>
        <v>7.8864448475727267E-5</v>
      </c>
      <c r="O46" s="40">
        <f t="shared" si="7"/>
        <v>9.1133667202225558E-7</v>
      </c>
      <c r="P46" s="40">
        <f t="shared" si="8"/>
        <v>2.9477242406751208E-6</v>
      </c>
      <c r="Q46" s="40">
        <f t="shared" si="9"/>
        <v>2.146129115991571E-5</v>
      </c>
      <c r="R46" s="9">
        <f t="shared" si="12"/>
        <v>3.9999999999999996E-5</v>
      </c>
      <c r="S46" s="9">
        <f t="shared" si="13"/>
        <v>8.6656723406678148E-9</v>
      </c>
      <c r="T46" s="9">
        <f t="shared" si="10"/>
        <v>3.6261972667456151E-5</v>
      </c>
      <c r="U46" s="9">
        <f t="shared" si="11"/>
        <v>3.9991334327659331E-5</v>
      </c>
      <c r="V46" s="100">
        <f t="shared" si="14"/>
        <v>0.90674575572678928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188</v>
      </c>
      <c r="C47" s="46" t="s">
        <v>189</v>
      </c>
      <c r="D47" s="90">
        <v>2.5448008164668257</v>
      </c>
      <c r="E47" s="90">
        <v>3.1426039783542175</v>
      </c>
      <c r="F47" s="96">
        <v>9.9999999999999995E-7</v>
      </c>
      <c r="G47" s="138"/>
      <c r="H47" s="138"/>
      <c r="I47" s="92">
        <f t="shared" si="1"/>
        <v>0.50587648659747519</v>
      </c>
      <c r="J47" s="92">
        <f t="shared" si="2"/>
        <v>1.9607549023758677</v>
      </c>
      <c r="K47" s="93">
        <f t="shared" si="3"/>
        <v>0.30971280690702263</v>
      </c>
      <c r="L47" s="93">
        <f t="shared" si="4"/>
        <v>2.0905323760817209E-3</v>
      </c>
      <c r="M47" s="93">
        <f t="shared" si="5"/>
        <v>0.9979094676239183</v>
      </c>
      <c r="N47" s="93">
        <f t="shared" si="6"/>
        <v>1.5888246831394128E-3</v>
      </c>
      <c r="O47" s="40">
        <f t="shared" si="7"/>
        <v>3.1134835527867385E-7</v>
      </c>
      <c r="P47" s="40">
        <f t="shared" si="8"/>
        <v>2.8444707894032154E-5</v>
      </c>
      <c r="Q47" s="40">
        <f t="shared" si="9"/>
        <v>4.3236502360642821E-4</v>
      </c>
      <c r="R47" s="9">
        <f t="shared" si="12"/>
        <v>3.9999999999999996E-5</v>
      </c>
      <c r="S47" s="9">
        <f t="shared" si="13"/>
        <v>8.3621295043268828E-8</v>
      </c>
      <c r="T47" s="9">
        <f t="shared" si="10"/>
        <v>1.2388512276280903E-5</v>
      </c>
      <c r="U47" s="9">
        <f t="shared" si="11"/>
        <v>3.9916378704956726E-5</v>
      </c>
      <c r="V47" s="100">
        <f t="shared" si="14"/>
        <v>0.31036162793852151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101</v>
      </c>
      <c r="C48" s="46" t="s">
        <v>102</v>
      </c>
      <c r="D48" s="90">
        <v>0.29376000000000013</v>
      </c>
      <c r="E48" s="90">
        <v>0.18140000000000034</v>
      </c>
      <c r="F48" s="96">
        <v>9.9999999999999995E-7</v>
      </c>
      <c r="G48" s="138"/>
      <c r="H48" s="138"/>
      <c r="I48" s="92">
        <f t="shared" ref="I48:I50" si="15">IF(D48=0,"",LOG($K$15*10^D48+$K$16*10^E48+$K$14))</f>
        <v>2.0958974367173925E-3</v>
      </c>
      <c r="J48" s="92">
        <f t="shared" ref="J48:J50" si="16">IF(D48=0,"",LOG($K$21*10^D48+$K$22*10^E48+$K$20))</f>
        <v>3.5001380315970977E-2</v>
      </c>
      <c r="K48" s="93">
        <f t="shared" ref="K48:K50" si="17">IF(D48=0,"",1/(1+10^D48*$J$15/$J$14+10^E48*$J$16/$J$14+10^J48*$J$19/$J$14))</f>
        <v>0.98995209383527749</v>
      </c>
      <c r="L48" s="93">
        <f t="shared" ref="L48:L50" si="18">IF(D48=0,"",1/(1+10^I48/10^J48*$J$13/$J$19))</f>
        <v>7.9279041381247791E-5</v>
      </c>
      <c r="M48" s="93">
        <f t="shared" ref="M48:M92" si="19">IF(D48=0,"",1-L48)</f>
        <v>0.99992072095861873</v>
      </c>
      <c r="N48" s="93">
        <f t="shared" ref="N48:N50" si="20">IF(D48=0,"",1/(1/10^E48*$J$20/$J$22+10^D48/10^E48*$J$21/$J$22+10^I48/10^E48*$J$13/$J$22+1))</f>
        <v>5.5529915699753866E-6</v>
      </c>
      <c r="O48" s="40">
        <f t="shared" ref="O48:O92" si="21">IF(D48=0,"",F48*K48*$J$7/$J$14)</f>
        <v>9.9517988712950521E-7</v>
      </c>
      <c r="P48" s="40">
        <f t="shared" ref="P48:P50" si="22">IF(D48=0,"",O48*10^J48)</f>
        <v>1.0787056923916912E-6</v>
      </c>
      <c r="Q48" s="40">
        <f t="shared" ref="Q48:Q50" si="23">IF(D48=0,"",F48*N48*$J$7/$J$22)</f>
        <v>1.5111291741104162E-6</v>
      </c>
      <c r="R48" s="9">
        <f t="shared" si="12"/>
        <v>3.9999999999999996E-5</v>
      </c>
      <c r="S48" s="9">
        <f t="shared" si="13"/>
        <v>3.1711616552499112E-9</v>
      </c>
      <c r="T48" s="9">
        <f t="shared" si="10"/>
        <v>3.9598083753411097E-5</v>
      </c>
      <c r="U48" s="9">
        <f t="shared" si="11"/>
        <v>3.9996828838344747E-5</v>
      </c>
      <c r="V48" s="100">
        <f t="shared" si="14"/>
        <v>0.99003058251079712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190</v>
      </c>
      <c r="C49" s="46" t="s">
        <v>191</v>
      </c>
      <c r="D49" s="90">
        <v>1.6175039999999998</v>
      </c>
      <c r="E49" s="90">
        <v>1.8999029999999997</v>
      </c>
      <c r="F49" s="96">
        <v>9.9999999999999995E-7</v>
      </c>
      <c r="G49" s="138"/>
      <c r="H49" s="138"/>
      <c r="I49" s="92">
        <f t="shared" si="15"/>
        <v>8.7763082204907472E-2</v>
      </c>
      <c r="J49" s="92">
        <f t="shared" si="16"/>
        <v>0.86614766954915134</v>
      </c>
      <c r="K49" s="93">
        <f t="shared" si="17"/>
        <v>0.81243727545480393</v>
      </c>
      <c r="L49" s="93">
        <f t="shared" si="18"/>
        <v>4.4104239912546672E-4</v>
      </c>
      <c r="M49" s="93">
        <f t="shared" si="19"/>
        <v>0.99955895760087454</v>
      </c>
      <c r="N49" s="93">
        <f t="shared" si="20"/>
        <v>2.3834479746297072E-4</v>
      </c>
      <c r="O49" s="40">
        <f t="shared" si="21"/>
        <v>8.1672763876334412E-7</v>
      </c>
      <c r="P49" s="40">
        <f t="shared" si="22"/>
        <v>6.0010179012490127E-6</v>
      </c>
      <c r="Q49" s="40">
        <f t="shared" si="23"/>
        <v>6.4860494096757621E-5</v>
      </c>
      <c r="R49" s="9">
        <f t="shared" si="12"/>
        <v>3.9999999999999996E-5</v>
      </c>
      <c r="S49" s="9">
        <f t="shared" si="13"/>
        <v>1.7641695965018667E-8</v>
      </c>
      <c r="T49" s="9">
        <f t="shared" si="10"/>
        <v>3.2497491018192154E-5</v>
      </c>
      <c r="U49" s="9">
        <f t="shared" si="11"/>
        <v>3.9982358304034979E-5</v>
      </c>
      <c r="V49" s="100">
        <f t="shared" si="14"/>
        <v>0.81279575284363703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192</v>
      </c>
      <c r="C50" s="46" t="s">
        <v>193</v>
      </c>
      <c r="D50" s="90">
        <v>2.5898400000000001</v>
      </c>
      <c r="E50" s="90">
        <v>2.96393</v>
      </c>
      <c r="F50" s="96">
        <v>9.9999999999999995E-7</v>
      </c>
      <c r="G50" s="138"/>
      <c r="H50" s="138"/>
      <c r="I50" s="92">
        <f t="shared" si="15"/>
        <v>0.50667591684415281</v>
      </c>
      <c r="J50" s="92">
        <f t="shared" si="16"/>
        <v>1.8465793817928891</v>
      </c>
      <c r="K50" s="93">
        <f t="shared" si="17"/>
        <v>0.30929361826388396</v>
      </c>
      <c r="L50" s="93">
        <f t="shared" si="18"/>
        <v>1.605067023908607E-3</v>
      </c>
      <c r="M50" s="93">
        <f t="shared" si="19"/>
        <v>0.99839493297609139</v>
      </c>
      <c r="N50" s="93">
        <f t="shared" si="20"/>
        <v>1.0515109383607826E-3</v>
      </c>
      <c r="O50" s="40">
        <f t="shared" si="21"/>
        <v>3.1092695296116518E-7</v>
      </c>
      <c r="P50" s="40">
        <f t="shared" si="22"/>
        <v>2.1839251650814474E-5</v>
      </c>
      <c r="Q50" s="40">
        <f t="shared" si="23"/>
        <v>2.8614645562306183E-4</v>
      </c>
      <c r="R50" s="9">
        <f t="shared" si="12"/>
        <v>3.9999999999999996E-5</v>
      </c>
      <c r="S50" s="9">
        <f t="shared" si="13"/>
        <v>6.4202680956344269E-8</v>
      </c>
      <c r="T50" s="9">
        <f t="shared" si="10"/>
        <v>1.2371744730555357E-5</v>
      </c>
      <c r="U50" s="9">
        <f t="shared" si="11"/>
        <v>3.993579731904365E-5</v>
      </c>
      <c r="V50" s="100">
        <f t="shared" si="14"/>
        <v>0.3097908533468996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194</v>
      </c>
      <c r="C51" s="46" t="s">
        <v>195</v>
      </c>
      <c r="D51" s="90">
        <v>5.0487680000000008</v>
      </c>
      <c r="E51" s="90">
        <v>6.0352960000000007</v>
      </c>
      <c r="F51" s="96">
        <v>9.9999999999999995E-7</v>
      </c>
      <c r="G51" s="138"/>
      <c r="H51" s="138"/>
      <c r="I51" s="92">
        <f t="shared" ref="I51:I70" si="24">IF(D51=0,"",LOG($K$15*10^D51+$K$16*10^E51+$K$14))</f>
        <v>2.9778200964006376</v>
      </c>
      <c r="J51" s="92">
        <f t="shared" ref="J51:J70" si="25">IF(D51=0,"",LOG($K$21*10^D51+$K$22*10^E51+$K$20))</f>
        <v>4.7849539498028779</v>
      </c>
      <c r="K51" s="93">
        <f t="shared" ref="K51:K70" si="26">IF(D51=0,"",1/(1+10^D51*$J$15/$J$14+10^E51*$J$16/$J$14+10^J51*$J$19/$J$14))</f>
        <v>1.0420338070884745E-3</v>
      </c>
      <c r="L51" s="93">
        <f t="shared" ref="L51:L70" si="27">IF(D51=0,"",1/(1+10^I51/10^J51*$J$13/$J$19))</f>
        <v>4.6922224195907565E-3</v>
      </c>
      <c r="M51" s="93">
        <f t="shared" ref="M51:M70" si="28">IF(D51=0,"",1-L51)</f>
        <v>0.99530777758040923</v>
      </c>
      <c r="N51" s="93">
        <f t="shared" ref="N51:N70" si="29">IF(D51=0,"",1/(1/10^E51*$J$20/$J$22+10^D51/10^E51*$J$21/$J$22+10^I51/10^E51*$J$13/$J$22+1))</f>
        <v>4.1753284507471122E-3</v>
      </c>
      <c r="O51" s="40">
        <f t="shared" ref="O51:O70" si="30">IF(D51=0,"",F51*K51*$J$7/$J$14)</f>
        <v>1.0475366363495864E-9</v>
      </c>
      <c r="P51" s="40">
        <f t="shared" ref="P51:P70" si="31">IF(D51=0,"",O51*10^J51)</f>
        <v>6.3844453033178158E-5</v>
      </c>
      <c r="Q51" s="40">
        <f t="shared" ref="Q51:Q70" si="32">IF(D51=0,"",F51*N51*$J$7/$J$22)</f>
        <v>1.1362273026906781E-3</v>
      </c>
      <c r="R51" s="9">
        <f t="shared" si="12"/>
        <v>3.9999999999999996E-5</v>
      </c>
      <c r="S51" s="9">
        <f t="shared" si="13"/>
        <v>1.8768889678363026E-7</v>
      </c>
      <c r="T51" s="9">
        <f t="shared" si="10"/>
        <v>4.1681352283538979E-8</v>
      </c>
      <c r="U51" s="9">
        <f t="shared" si="11"/>
        <v>3.9812311103216367E-5</v>
      </c>
      <c r="V51" s="100">
        <f t="shared" si="14"/>
        <v>1.0469463120459646E-3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196</v>
      </c>
      <c r="C52" s="46" t="s">
        <v>197</v>
      </c>
      <c r="D52" s="47">
        <v>2.7330160000000001</v>
      </c>
      <c r="E52" s="47">
        <v>3.3310319999999995</v>
      </c>
      <c r="F52" s="96">
        <v>9.9999999999999995E-7</v>
      </c>
      <c r="G52" s="138"/>
      <c r="H52" s="138"/>
      <c r="I52" s="92">
        <f t="shared" si="24"/>
        <v>0.64393554165863076</v>
      </c>
      <c r="J52" s="92">
        <f t="shared" si="25"/>
        <v>2.1476419495508856</v>
      </c>
      <c r="K52" s="93">
        <f t="shared" si="26"/>
        <v>0.22531602796962552</v>
      </c>
      <c r="L52" s="93">
        <f t="shared" si="27"/>
        <v>2.3387126643960661E-3</v>
      </c>
      <c r="M52" s="93">
        <f t="shared" si="28"/>
        <v>0.99766128733560389</v>
      </c>
      <c r="N52" s="93">
        <f t="shared" si="29"/>
        <v>1.7837620591957472E-3</v>
      </c>
      <c r="O52" s="40">
        <f t="shared" si="30"/>
        <v>2.2650588920375676E-7</v>
      </c>
      <c r="P52" s="40">
        <f t="shared" si="31"/>
        <v>3.1821558636420399E-5</v>
      </c>
      <c r="Q52" s="40">
        <f t="shared" si="32"/>
        <v>4.8541310631485668E-4</v>
      </c>
      <c r="R52" s="9">
        <f t="shared" si="12"/>
        <v>3.9999999999999996E-5</v>
      </c>
      <c r="S52" s="9">
        <f t="shared" si="13"/>
        <v>9.3548506575842638E-8</v>
      </c>
      <c r="T52" s="9">
        <f t="shared" si="10"/>
        <v>9.0126411187850202E-6</v>
      </c>
      <c r="U52" s="9">
        <f t="shared" si="11"/>
        <v>3.990645149342415E-5</v>
      </c>
      <c r="V52" s="100">
        <f t="shared" si="14"/>
        <v>0.22584421269002425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198</v>
      </c>
      <c r="C53" s="46" t="s">
        <v>199</v>
      </c>
      <c r="D53" s="47">
        <v>3.4406639999999999</v>
      </c>
      <c r="E53" s="47">
        <v>4.222847999999999</v>
      </c>
      <c r="F53" s="96">
        <v>9.9999999999999995E-7</v>
      </c>
      <c r="G53" s="138"/>
      <c r="H53" s="138"/>
      <c r="I53" s="92">
        <f t="shared" si="24"/>
        <v>1.3135143326183101</v>
      </c>
      <c r="J53" s="92">
        <f t="shared" si="25"/>
        <v>3.0007157776870899</v>
      </c>
      <c r="K53" s="93">
        <f t="shared" si="26"/>
        <v>4.8159235383243022E-2</v>
      </c>
      <c r="L53" s="93">
        <f t="shared" si="27"/>
        <v>3.5640040759794002E-3</v>
      </c>
      <c r="M53" s="93">
        <f t="shared" si="28"/>
        <v>0.99643599592402055</v>
      </c>
      <c r="N53" s="93">
        <f t="shared" si="29"/>
        <v>2.9719426100953202E-3</v>
      </c>
      <c r="O53" s="40">
        <f t="shared" si="30"/>
        <v>4.8413557313929853E-8</v>
      </c>
      <c r="P53" s="40">
        <f t="shared" si="31"/>
        <v>4.8493415377945383E-5</v>
      </c>
      <c r="Q53" s="40">
        <f t="shared" si="32"/>
        <v>8.0875130554480606E-4</v>
      </c>
      <c r="R53" s="9">
        <f t="shared" si="12"/>
        <v>3.9999999999999996E-5</v>
      </c>
      <c r="S53" s="9">
        <f t="shared" si="13"/>
        <v>1.42560163039176E-7</v>
      </c>
      <c r="T53" s="9">
        <f t="shared" si="10"/>
        <v>1.9263694153297207E-6</v>
      </c>
      <c r="U53" s="9">
        <f t="shared" si="11"/>
        <v>3.985743983696082E-5</v>
      </c>
      <c r="V53" s="100">
        <f t="shared" si="14"/>
        <v>4.8331489007062349E-2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200</v>
      </c>
      <c r="C54" s="46" t="s">
        <v>201</v>
      </c>
      <c r="D54" s="47">
        <v>2.8976480000000002</v>
      </c>
      <c r="E54" s="47">
        <v>3.5312959999999993</v>
      </c>
      <c r="F54" s="96">
        <v>9.9999999999999995E-7</v>
      </c>
      <c r="G54" s="138"/>
      <c r="H54" s="138"/>
      <c r="I54" s="92">
        <f t="shared" si="24"/>
        <v>0.78379345695532832</v>
      </c>
      <c r="J54" s="92">
        <f t="shared" si="25"/>
        <v>2.3388959370141773</v>
      </c>
      <c r="K54" s="93">
        <f t="shared" si="26"/>
        <v>0.16323248333308227</v>
      </c>
      <c r="L54" s="93">
        <f t="shared" si="27"/>
        <v>2.6317543903023517E-3</v>
      </c>
      <c r="M54" s="93">
        <f t="shared" si="28"/>
        <v>0.99736824560969761</v>
      </c>
      <c r="N54" s="93">
        <f t="shared" si="29"/>
        <v>2.0493466370510327E-3</v>
      </c>
      <c r="O54" s="40">
        <f t="shared" si="30"/>
        <v>1.6409449038077968E-7</v>
      </c>
      <c r="P54" s="40">
        <f t="shared" si="31"/>
        <v>3.5808813935374686E-5</v>
      </c>
      <c r="Q54" s="40">
        <f t="shared" si="32"/>
        <v>5.5768633034798806E-4</v>
      </c>
      <c r="R54" s="9">
        <f t="shared" si="12"/>
        <v>3.9999999999999996E-5</v>
      </c>
      <c r="S54" s="9">
        <f t="shared" si="13"/>
        <v>1.0527017561209405E-7</v>
      </c>
      <c r="T54" s="9">
        <f t="shared" si="10"/>
        <v>6.5292993333232899E-6</v>
      </c>
      <c r="U54" s="9">
        <f t="shared" si="11"/>
        <v>3.9894729824387903E-5</v>
      </c>
      <c r="V54" s="100">
        <f t="shared" si="14"/>
        <v>0.16366320469055759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103</v>
      </c>
      <c r="C55" s="46" t="s">
        <v>104</v>
      </c>
      <c r="D55" s="47">
        <v>1.423632</v>
      </c>
      <c r="E55" s="47">
        <v>1.638849</v>
      </c>
      <c r="F55" s="96">
        <v>9.9999999999999995E-7</v>
      </c>
      <c r="G55" s="138"/>
      <c r="H55" s="138"/>
      <c r="I55" s="54">
        <f t="shared" si="24"/>
        <v>5.6400487609719711E-2</v>
      </c>
      <c r="J55" s="54">
        <f t="shared" si="25"/>
        <v>0.66821968451796943</v>
      </c>
      <c r="K55" s="55">
        <f t="shared" si="26"/>
        <v>0.87340053891098202</v>
      </c>
      <c r="L55" s="55">
        <f t="shared" si="27"/>
        <v>3.0059099870480808E-4</v>
      </c>
      <c r="M55" s="55">
        <f t="shared" si="28"/>
        <v>0.99969940900129517</v>
      </c>
      <c r="N55" s="55">
        <f t="shared" si="29"/>
        <v>1.4046731827029605E-4</v>
      </c>
      <c r="O55" s="56">
        <f t="shared" si="30"/>
        <v>8.780128403636757E-7</v>
      </c>
      <c r="P55" s="56">
        <f t="shared" si="31"/>
        <v>4.0899740427648007E-6</v>
      </c>
      <c r="Q55" s="56">
        <f t="shared" si="32"/>
        <v>3.8225208875697663E-5</v>
      </c>
      <c r="R55" s="9">
        <f t="shared" si="12"/>
        <v>3.9999999999999996E-5</v>
      </c>
      <c r="S55" s="9">
        <f t="shared" si="13"/>
        <v>1.2023639948192322E-8</v>
      </c>
      <c r="T55" s="9">
        <f t="shared" si="10"/>
        <v>3.4936021556439277E-5</v>
      </c>
      <c r="U55" s="9">
        <f t="shared" si="11"/>
        <v>3.9987976360051803E-5</v>
      </c>
      <c r="V55" s="100">
        <f t="shared" si="14"/>
        <v>0.87366315419103191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202</v>
      </c>
      <c r="C56" s="46" t="s">
        <v>203</v>
      </c>
      <c r="D56" s="47">
        <v>2.6912000000000003</v>
      </c>
      <c r="E56" s="47">
        <v>3.3249699999999995</v>
      </c>
      <c r="F56" s="96">
        <v>9.9999999999999995E-7</v>
      </c>
      <c r="G56" s="138"/>
      <c r="H56" s="138"/>
      <c r="I56" s="54">
        <f t="shared" si="24"/>
        <v>0.61860589125383425</v>
      </c>
      <c r="J56" s="54">
        <f t="shared" si="25"/>
        <v>2.1336193491516409</v>
      </c>
      <c r="K56" s="55">
        <f t="shared" si="26"/>
        <v>0.23883333696830394</v>
      </c>
      <c r="L56" s="55">
        <f t="shared" si="27"/>
        <v>2.4002535851848483E-3</v>
      </c>
      <c r="M56" s="55">
        <f t="shared" si="28"/>
        <v>0.99759974641481519</v>
      </c>
      <c r="N56" s="55">
        <f t="shared" si="29"/>
        <v>1.8645660925641055E-3</v>
      </c>
      <c r="O56" s="56">
        <f t="shared" si="30"/>
        <v>2.4009458114892255E-7</v>
      </c>
      <c r="P56" s="56">
        <f t="shared" si="31"/>
        <v>3.2658911616644353E-5</v>
      </c>
      <c r="Q56" s="56">
        <f t="shared" si="32"/>
        <v>5.0740221446854666E-4</v>
      </c>
      <c r="R56" s="9">
        <f t="shared" si="12"/>
        <v>3.9999999999999996E-5</v>
      </c>
      <c r="S56" s="9">
        <f t="shared" si="13"/>
        <v>9.6010143407393916E-8</v>
      </c>
      <c r="T56" s="9">
        <f t="shared" si="10"/>
        <v>9.5533334787321568E-6</v>
      </c>
      <c r="U56" s="9">
        <f t="shared" si="11"/>
        <v>3.9903989856592601E-5</v>
      </c>
      <c r="V56" s="100">
        <f t="shared" si="14"/>
        <v>0.23940797682299517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105</v>
      </c>
      <c r="C57" s="87" t="s">
        <v>106</v>
      </c>
      <c r="D57" s="90">
        <v>2.1493200000000003</v>
      </c>
      <c r="E57" s="90">
        <v>2.6108399999999996</v>
      </c>
      <c r="F57" s="96">
        <v>9.9999999999999995E-7</v>
      </c>
      <c r="G57" s="138"/>
      <c r="H57" s="138"/>
      <c r="I57" s="54">
        <f t="shared" si="24"/>
        <v>0.26171036693668792</v>
      </c>
      <c r="J57" s="54">
        <f t="shared" si="25"/>
        <v>1.473638978374388</v>
      </c>
      <c r="K57" s="55">
        <f t="shared" si="26"/>
        <v>0.54389423508997614</v>
      </c>
      <c r="L57" s="55">
        <f t="shared" si="27"/>
        <v>1.1959038534308506E-3</v>
      </c>
      <c r="M57" s="55">
        <f t="shared" si="28"/>
        <v>0.99880409614656918</v>
      </c>
      <c r="N57" s="55">
        <f t="shared" si="29"/>
        <v>8.2010090515102947E-4</v>
      </c>
      <c r="O57" s="56">
        <f t="shared" si="30"/>
        <v>5.4676646158727737E-7</v>
      </c>
      <c r="P57" s="56">
        <f t="shared" si="31"/>
        <v>1.6271996630803781E-5</v>
      </c>
      <c r="Q57" s="56">
        <f t="shared" si="32"/>
        <v>2.2317311090273688E-4</v>
      </c>
      <c r="R57" s="9">
        <f t="shared" si="12"/>
        <v>3.9999999999999996E-5</v>
      </c>
      <c r="S57" s="9">
        <f t="shared" si="13"/>
        <v>4.7836154137234023E-8</v>
      </c>
      <c r="T57" s="9">
        <f t="shared" si="10"/>
        <v>2.1755769403599044E-5</v>
      </c>
      <c r="U57" s="9">
        <f t="shared" si="11"/>
        <v>3.9952163845862767E-5</v>
      </c>
      <c r="V57" s="100">
        <f t="shared" si="14"/>
        <v>0.54454545910288554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145</v>
      </c>
      <c r="C58" s="46" t="s">
        <v>146</v>
      </c>
      <c r="D58" s="47">
        <v>2.0184960000000003</v>
      </c>
      <c r="E58" s="47">
        <v>2.3512620000000002</v>
      </c>
      <c r="F58" s="96">
        <v>9.9999999999999995E-7</v>
      </c>
      <c r="G58" s="138"/>
      <c r="H58" s="138"/>
      <c r="I58" s="54">
        <f t="shared" si="24"/>
        <v>0.19893820408979257</v>
      </c>
      <c r="J58" s="54">
        <f t="shared" si="25"/>
        <v>1.2642800792666065</v>
      </c>
      <c r="K58" s="55">
        <f t="shared" si="26"/>
        <v>0.62868837258893162</v>
      </c>
      <c r="L58" s="55">
        <f t="shared" si="27"/>
        <v>8.5360772912353438E-4</v>
      </c>
      <c r="M58" s="55">
        <f t="shared" si="28"/>
        <v>0.99914639227087643</v>
      </c>
      <c r="N58" s="55">
        <f t="shared" si="29"/>
        <v>5.2144710887913387E-4</v>
      </c>
      <c r="O58" s="56">
        <f t="shared" si="30"/>
        <v>6.3200838461663106E-7</v>
      </c>
      <c r="P58" s="56">
        <f t="shared" si="31"/>
        <v>1.1614564208049321E-5</v>
      </c>
      <c r="Q58" s="56">
        <f t="shared" si="32"/>
        <v>1.419007987052072E-4</v>
      </c>
      <c r="R58" s="9">
        <f t="shared" si="12"/>
        <v>3.9999999999999996E-5</v>
      </c>
      <c r="S58" s="9">
        <f t="shared" si="13"/>
        <v>3.414430916494137E-8</v>
      </c>
      <c r="T58" s="9">
        <f t="shared" si="10"/>
        <v>2.5147534903557264E-5</v>
      </c>
      <c r="U58" s="9">
        <f t="shared" si="11"/>
        <v>3.996585569083505E-5</v>
      </c>
      <c r="V58" s="100">
        <f t="shared" si="14"/>
        <v>0.62922548432571357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147</v>
      </c>
      <c r="C59" s="46" t="s">
        <v>148</v>
      </c>
      <c r="D59" s="47">
        <v>1.4665360000000003</v>
      </c>
      <c r="E59" s="47">
        <v>1.8522119999999997</v>
      </c>
      <c r="F59" s="96">
        <v>9.9999999999999995E-7</v>
      </c>
      <c r="G59" s="138"/>
      <c r="H59" s="138"/>
      <c r="I59" s="54">
        <f t="shared" si="24"/>
        <v>6.5352597387686409E-2</v>
      </c>
      <c r="J59" s="54">
        <f t="shared" si="25"/>
        <v>0.79270412978539373</v>
      </c>
      <c r="K59" s="55">
        <f t="shared" si="26"/>
        <v>0.85550304966327562</v>
      </c>
      <c r="L59" s="55">
        <f t="shared" si="27"/>
        <v>3.9216472189590196E-4</v>
      </c>
      <c r="M59" s="55">
        <f t="shared" si="28"/>
        <v>0.99960783527810415</v>
      </c>
      <c r="N59" s="55">
        <f t="shared" si="29"/>
        <v>2.2487770357298683E-4</v>
      </c>
      <c r="O59" s="56">
        <f t="shared" si="30"/>
        <v>8.6002083707346636E-7</v>
      </c>
      <c r="P59" s="56">
        <f t="shared" si="31"/>
        <v>5.3359666122851874E-6</v>
      </c>
      <c r="Q59" s="56">
        <f t="shared" si="32"/>
        <v>6.1195709410666522E-5</v>
      </c>
      <c r="R59" s="9">
        <f t="shared" si="12"/>
        <v>3.9999999999999996E-5</v>
      </c>
      <c r="S59" s="9">
        <f t="shared" si="13"/>
        <v>1.5686588875836079E-8</v>
      </c>
      <c r="T59" s="9">
        <f t="shared" si="10"/>
        <v>3.4220121986531019E-5</v>
      </c>
      <c r="U59" s="9">
        <f t="shared" si="11"/>
        <v>3.9984313411124163E-5</v>
      </c>
      <c r="V59" s="100">
        <f t="shared" si="14"/>
        <v>0.85583867940097058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149</v>
      </c>
      <c r="C60" s="46" t="s">
        <v>150</v>
      </c>
      <c r="D60" s="47">
        <v>2.7203999877244023</v>
      </c>
      <c r="E60" s="47">
        <v>3.3923999825375306</v>
      </c>
      <c r="F60" s="96">
        <v>9.9999999999999995E-7</v>
      </c>
      <c r="G60" s="138"/>
      <c r="H60" s="138"/>
      <c r="I60" s="54">
        <f t="shared" si="24"/>
        <v>0.6487673116742505</v>
      </c>
      <c r="J60" s="54">
        <f t="shared" si="25"/>
        <v>2.1926316771695706</v>
      </c>
      <c r="K60" s="55">
        <f t="shared" si="26"/>
        <v>0.22277268056735733</v>
      </c>
      <c r="L60" s="55">
        <f t="shared" si="27"/>
        <v>2.5646992162824643E-3</v>
      </c>
      <c r="M60" s="55">
        <f t="shared" si="28"/>
        <v>0.99743530078371756</v>
      </c>
      <c r="N60" s="55">
        <f t="shared" si="29"/>
        <v>2.0313031818204614E-3</v>
      </c>
      <c r="O60" s="56">
        <f t="shared" si="30"/>
        <v>2.2394911075307999E-7</v>
      </c>
      <c r="P60" s="56">
        <f t="shared" si="31"/>
        <v>3.4896431587413085E-5</v>
      </c>
      <c r="Q60" s="56">
        <f t="shared" si="32"/>
        <v>5.5277618574267357E-4</v>
      </c>
      <c r="R60" s="9">
        <f t="shared" si="12"/>
        <v>3.9999999999999996E-5</v>
      </c>
      <c r="S60" s="9">
        <f t="shared" si="13"/>
        <v>1.0258796865129856E-7</v>
      </c>
      <c r="T60" s="9">
        <f t="shared" si="10"/>
        <v>8.9109072226942916E-6</v>
      </c>
      <c r="U60" s="9">
        <f t="shared" si="11"/>
        <v>3.9897412031348698E-5</v>
      </c>
      <c r="V60" s="100">
        <f t="shared" si="14"/>
        <v>0.22334549458227271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151</v>
      </c>
      <c r="C61" s="46" t="s">
        <v>152</v>
      </c>
      <c r="D61" s="47">
        <v>3.4658999877244021</v>
      </c>
      <c r="E61" s="47">
        <v>4.4528999825375299</v>
      </c>
      <c r="F61" s="96">
        <v>9.9999999999999995E-7</v>
      </c>
      <c r="G61" s="138"/>
      <c r="H61" s="138"/>
      <c r="I61" s="54">
        <f t="shared" si="24"/>
        <v>1.4117733403846819</v>
      </c>
      <c r="J61" s="54">
        <f t="shared" si="25"/>
        <v>3.2027420384680658</v>
      </c>
      <c r="K61" s="55">
        <f t="shared" si="26"/>
        <v>3.8370992060546408E-2</v>
      </c>
      <c r="L61" s="55">
        <f t="shared" si="27"/>
        <v>4.5215558285865336E-3</v>
      </c>
      <c r="M61" s="55">
        <f t="shared" si="28"/>
        <v>0.99547844417141351</v>
      </c>
      <c r="N61" s="55">
        <f t="shared" si="29"/>
        <v>4.0217571810097601E-3</v>
      </c>
      <c r="O61" s="56">
        <f t="shared" si="30"/>
        <v>3.8573623699224845E-8</v>
      </c>
      <c r="P61" s="56">
        <f t="shared" si="31"/>
        <v>6.1522287931155614E-5</v>
      </c>
      <c r="Q61" s="56">
        <f t="shared" si="32"/>
        <v>1.0944361306564803E-3</v>
      </c>
      <c r="R61" s="9">
        <f t="shared" si="12"/>
        <v>3.9999999999999996E-5</v>
      </c>
      <c r="S61" s="9">
        <f t="shared" si="13"/>
        <v>1.8086223314346133E-7</v>
      </c>
      <c r="T61" s="9">
        <f t="shared" si="10"/>
        <v>1.5348396824218561E-6</v>
      </c>
      <c r="U61" s="9">
        <f t="shared" si="11"/>
        <v>3.9819137766856536E-5</v>
      </c>
      <c r="V61" s="100">
        <f t="shared" si="14"/>
        <v>3.8545276680987804E-2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153</v>
      </c>
      <c r="C62" s="46" t="s">
        <v>154</v>
      </c>
      <c r="D62" s="47">
        <v>4.1687999877244026</v>
      </c>
      <c r="E62" s="47">
        <v>5.4527999825375302</v>
      </c>
      <c r="F62" s="96">
        <v>9.9999999999999995E-7</v>
      </c>
      <c r="G62" s="138"/>
      <c r="H62" s="138"/>
      <c r="I62" s="54">
        <f t="shared" si="24"/>
        <v>2.2542758302531842</v>
      </c>
      <c r="J62" s="54">
        <f t="shared" si="25"/>
        <v>4.1780835037756168</v>
      </c>
      <c r="K62" s="55">
        <f t="shared" si="26"/>
        <v>5.5055217043691778E-3</v>
      </c>
      <c r="L62" s="55">
        <f t="shared" si="27"/>
        <v>6.1294966800270953E-3</v>
      </c>
      <c r="M62" s="55">
        <f t="shared" si="28"/>
        <v>0.99387050331997295</v>
      </c>
      <c r="N62" s="55">
        <f t="shared" si="29"/>
        <v>5.7691429107262432E-3</v>
      </c>
      <c r="O62" s="56">
        <f t="shared" si="30"/>
        <v>5.5345955652424047E-9</v>
      </c>
      <c r="P62" s="56">
        <f t="shared" si="31"/>
        <v>8.340064215010995E-5</v>
      </c>
      <c r="Q62" s="56">
        <f t="shared" si="32"/>
        <v>1.5699501884980087E-3</v>
      </c>
      <c r="R62" s="9">
        <f t="shared" si="12"/>
        <v>3.9999999999999996E-5</v>
      </c>
      <c r="S62" s="9">
        <f t="shared" si="13"/>
        <v>2.4517986720108379E-7</v>
      </c>
      <c r="T62" s="9">
        <f t="shared" si="10"/>
        <v>2.2022086817476709E-7</v>
      </c>
      <c r="U62" s="9">
        <f t="shared" si="11"/>
        <v>3.9754820132798912E-5</v>
      </c>
      <c r="V62" s="100">
        <f t="shared" si="14"/>
        <v>5.5394759035289481E-3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155</v>
      </c>
      <c r="C63" s="46" t="s">
        <v>156</v>
      </c>
      <c r="D63" s="47">
        <v>4.999499987724402</v>
      </c>
      <c r="E63" s="47">
        <v>6.6344999825375304</v>
      </c>
      <c r="F63" s="96">
        <v>9.9999999999999995E-7</v>
      </c>
      <c r="G63" s="138"/>
      <c r="H63" s="138"/>
      <c r="I63" s="54">
        <f t="shared" si="24"/>
        <v>3.3259932392561606</v>
      </c>
      <c r="J63" s="54">
        <f t="shared" si="25"/>
        <v>5.3453840366218301</v>
      </c>
      <c r="K63" s="55">
        <f t="shared" si="26"/>
        <v>4.6604324050655312E-4</v>
      </c>
      <c r="L63" s="55">
        <f t="shared" si="27"/>
        <v>7.6269883189750151E-3</v>
      </c>
      <c r="M63" s="55">
        <f t="shared" si="28"/>
        <v>0.99237301168102499</v>
      </c>
      <c r="N63" s="55">
        <f t="shared" si="29"/>
        <v>7.4206001621666458E-3</v>
      </c>
      <c r="O63" s="56">
        <f t="shared" si="30"/>
        <v>4.6850434720324323E-10</v>
      </c>
      <c r="P63" s="56">
        <f t="shared" si="31"/>
        <v>1.0377617554580229E-4</v>
      </c>
      <c r="Q63" s="56">
        <f t="shared" si="32"/>
        <v>2.0193593404839632E-3</v>
      </c>
      <c r="R63" s="9">
        <f t="shared" si="12"/>
        <v>3.9999999999999996E-5</v>
      </c>
      <c r="S63" s="9">
        <f t="shared" si="13"/>
        <v>3.0507953275900057E-7</v>
      </c>
      <c r="T63" s="9">
        <f t="shared" si="10"/>
        <v>1.8641729620262122E-8</v>
      </c>
      <c r="U63" s="9">
        <f t="shared" si="11"/>
        <v>3.9694920467240999E-5</v>
      </c>
      <c r="V63" s="100">
        <f t="shared" si="14"/>
        <v>4.6962506539461571E-4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157</v>
      </c>
      <c r="C64" s="46" t="s">
        <v>158</v>
      </c>
      <c r="D64" s="47">
        <v>4.4669999877244022</v>
      </c>
      <c r="E64" s="47">
        <v>5.8769999825375301</v>
      </c>
      <c r="F64" s="96">
        <v>9.9999999999999995E-7</v>
      </c>
      <c r="G64" s="138"/>
      <c r="H64" s="138"/>
      <c r="I64" s="54">
        <f t="shared" si="24"/>
        <v>2.6313958666363746</v>
      </c>
      <c r="J64" s="54">
        <f t="shared" si="25"/>
        <v>4.5957959641970989</v>
      </c>
      <c r="K64" s="55">
        <f t="shared" si="26"/>
        <v>2.3089669207969326E-3</v>
      </c>
      <c r="L64" s="55">
        <f t="shared" si="27"/>
        <v>6.7259944800871965E-3</v>
      </c>
      <c r="M64" s="55">
        <f t="shared" si="28"/>
        <v>0.99327400551991285</v>
      </c>
      <c r="N64" s="55">
        <f t="shared" si="29"/>
        <v>6.4258491970568933E-3</v>
      </c>
      <c r="O64" s="56">
        <f t="shared" si="30"/>
        <v>2.3211602399083361E-9</v>
      </c>
      <c r="P64" s="56">
        <f t="shared" si="31"/>
        <v>9.1516854975258352E-5</v>
      </c>
      <c r="Q64" s="56">
        <f t="shared" si="32"/>
        <v>1.748658910740919E-3</v>
      </c>
      <c r="R64" s="9">
        <f t="shared" si="12"/>
        <v>3.9999999999999996E-5</v>
      </c>
      <c r="S64" s="9">
        <f t="shared" si="13"/>
        <v>2.6903977920348783E-7</v>
      </c>
      <c r="T64" s="9">
        <f t="shared" si="10"/>
        <v>9.2358676831877294E-8</v>
      </c>
      <c r="U64" s="9">
        <f t="shared" si="11"/>
        <v>3.9730960220796512E-5</v>
      </c>
      <c r="V64" s="100">
        <f t="shared" si="14"/>
        <v>2.324602182243098E-3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159</v>
      </c>
      <c r="C65" s="46" t="s">
        <v>160</v>
      </c>
      <c r="D65" s="47">
        <v>4.2539999877244021</v>
      </c>
      <c r="E65" s="47">
        <v>5.5739999825375302</v>
      </c>
      <c r="F65" s="96">
        <v>9.9999999999999995E-7</v>
      </c>
      <c r="G65" s="138"/>
      <c r="H65" s="138"/>
      <c r="I65" s="54">
        <f t="shared" si="24"/>
        <v>2.3610319672695166</v>
      </c>
      <c r="J65" s="54">
        <f t="shared" si="25"/>
        <v>4.297243414913436</v>
      </c>
      <c r="K65" s="55">
        <f t="shared" si="26"/>
        <v>4.3049213748346847E-3</v>
      </c>
      <c r="L65" s="55">
        <f t="shared" si="27"/>
        <v>6.3059637533239643E-3</v>
      </c>
      <c r="M65" s="55">
        <f t="shared" si="28"/>
        <v>0.99369403624667607</v>
      </c>
      <c r="N65" s="55">
        <f t="shared" si="29"/>
        <v>5.963181692029711E-3</v>
      </c>
      <c r="O65" s="56">
        <f t="shared" si="30"/>
        <v>4.3276550396611804E-9</v>
      </c>
      <c r="P65" s="56">
        <f t="shared" si="31"/>
        <v>8.5801731179045466E-5</v>
      </c>
      <c r="Q65" s="56">
        <f t="shared" si="32"/>
        <v>1.6227537376555306E-3</v>
      </c>
      <c r="R65" s="9">
        <f t="shared" si="12"/>
        <v>3.9999999999999996E-5</v>
      </c>
      <c r="S65" s="9">
        <f t="shared" si="13"/>
        <v>2.5223855013295857E-7</v>
      </c>
      <c r="T65" s="9">
        <f t="shared" si="10"/>
        <v>1.7219685499338737E-7</v>
      </c>
      <c r="U65" s="9">
        <f t="shared" si="11"/>
        <v>3.9747761449867038E-5</v>
      </c>
      <c r="V65" s="100">
        <f t="shared" si="14"/>
        <v>4.3322403252966943E-3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161</v>
      </c>
      <c r="C66" s="46" t="s">
        <v>162</v>
      </c>
      <c r="D66" s="47">
        <v>4.4669999877244022</v>
      </c>
      <c r="E66" s="47">
        <v>5.8769999825375301</v>
      </c>
      <c r="F66" s="96">
        <v>9.9999999999999995E-7</v>
      </c>
      <c r="G66" s="138"/>
      <c r="H66" s="138"/>
      <c r="I66" s="54">
        <f t="shared" si="24"/>
        <v>2.6313958666363746</v>
      </c>
      <c r="J66" s="54">
        <f t="shared" si="25"/>
        <v>4.5957959641970989</v>
      </c>
      <c r="K66" s="55">
        <f t="shared" si="26"/>
        <v>2.3089669207969326E-3</v>
      </c>
      <c r="L66" s="55">
        <f t="shared" si="27"/>
        <v>6.7259944800871965E-3</v>
      </c>
      <c r="M66" s="55">
        <f t="shared" si="28"/>
        <v>0.99327400551991285</v>
      </c>
      <c r="N66" s="55">
        <f t="shared" si="29"/>
        <v>6.4258491970568933E-3</v>
      </c>
      <c r="O66" s="56">
        <f t="shared" si="30"/>
        <v>2.3211602399083361E-9</v>
      </c>
      <c r="P66" s="56">
        <f t="shared" si="31"/>
        <v>9.1516854975258352E-5</v>
      </c>
      <c r="Q66" s="56">
        <f t="shared" si="32"/>
        <v>1.748658910740919E-3</v>
      </c>
      <c r="R66" s="9">
        <f t="shared" si="12"/>
        <v>3.9999999999999996E-5</v>
      </c>
      <c r="S66" s="9">
        <f t="shared" si="13"/>
        <v>2.6903977920348783E-7</v>
      </c>
      <c r="T66" s="9">
        <f t="shared" si="10"/>
        <v>9.2358676831877294E-8</v>
      </c>
      <c r="U66" s="9">
        <f t="shared" si="11"/>
        <v>3.9730960220796512E-5</v>
      </c>
      <c r="V66" s="100">
        <f t="shared" si="14"/>
        <v>2.324602182243098E-3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115</v>
      </c>
      <c r="C67" s="46" t="s">
        <v>116</v>
      </c>
      <c r="D67" s="47">
        <v>-0.73745450190951667</v>
      </c>
      <c r="E67" s="47">
        <v>-1.5265197844064957</v>
      </c>
      <c r="F67" s="96">
        <v>9.9999999999999995E-7</v>
      </c>
      <c r="G67" s="138"/>
      <c r="H67" s="138"/>
      <c r="I67" s="54">
        <f t="shared" si="24"/>
        <v>-1.8671766444063711E-3</v>
      </c>
      <c r="J67" s="54">
        <f t="shared" si="25"/>
        <v>-4.4567291494222762E-2</v>
      </c>
      <c r="K67" s="55">
        <f t="shared" si="26"/>
        <v>0.99903971665202618</v>
      </c>
      <c r="L67" s="55">
        <f t="shared" si="27"/>
        <v>6.6612892719288878E-5</v>
      </c>
      <c r="M67" s="55">
        <f t="shared" si="28"/>
        <v>0.99993338710728075</v>
      </c>
      <c r="N67" s="55">
        <f t="shared" si="29"/>
        <v>1.0979329151635909E-7</v>
      </c>
      <c r="O67" s="56">
        <f t="shared" si="30"/>
        <v>1.0043155003630811E-6</v>
      </c>
      <c r="P67" s="56">
        <f t="shared" si="31"/>
        <v>9.063644730190989E-7</v>
      </c>
      <c r="Q67" s="56">
        <f t="shared" si="32"/>
        <v>2.9877921448513074E-8</v>
      </c>
      <c r="R67" s="9">
        <f t="shared" si="12"/>
        <v>3.9999999999999996E-5</v>
      </c>
      <c r="S67" s="9">
        <f t="shared" si="13"/>
        <v>2.6645157087715548E-9</v>
      </c>
      <c r="T67" s="9">
        <f t="shared" si="10"/>
        <v>3.9961588666081042E-5</v>
      </c>
      <c r="U67" s="9">
        <f t="shared" si="11"/>
        <v>3.999733548429123E-5</v>
      </c>
      <c r="V67" s="100">
        <f t="shared" si="14"/>
        <v>0.99910627001080554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117</v>
      </c>
      <c r="C68" s="46" t="s">
        <v>118</v>
      </c>
      <c r="D68" s="47">
        <v>4.7386560000000006</v>
      </c>
      <c r="E68" s="47">
        <v>5.8355820000000005</v>
      </c>
      <c r="F68" s="96">
        <v>9.9999999999999995E-7</v>
      </c>
      <c r="G68" s="138"/>
      <c r="H68" s="138"/>
      <c r="I68" s="54">
        <f t="shared" si="24"/>
        <v>2.7194923137791687</v>
      </c>
      <c r="J68" s="54">
        <f t="shared" si="25"/>
        <v>4.5743714574945749</v>
      </c>
      <c r="K68" s="55">
        <f t="shared" si="26"/>
        <v>1.8878733077023876E-3</v>
      </c>
      <c r="L68" s="55">
        <f t="shared" si="27"/>
        <v>5.2346438017178316E-3</v>
      </c>
      <c r="M68" s="55">
        <f t="shared" si="28"/>
        <v>0.99476535619828221</v>
      </c>
      <c r="N68" s="55">
        <f t="shared" si="29"/>
        <v>4.7760369901032633E-3</v>
      </c>
      <c r="O68" s="56">
        <f t="shared" si="30"/>
        <v>1.8978428925740376E-9</v>
      </c>
      <c r="P68" s="56">
        <f t="shared" si="31"/>
        <v>7.1224878204588607E-5</v>
      </c>
      <c r="Q68" s="56">
        <f t="shared" si="32"/>
        <v>1.2996974228087173E-3</v>
      </c>
      <c r="R68" s="9">
        <f t="shared" si="12"/>
        <v>3.9999999999999996E-5</v>
      </c>
      <c r="S68" s="9">
        <f t="shared" si="13"/>
        <v>2.0938575206871324E-7</v>
      </c>
      <c r="T68" s="9">
        <f t="shared" si="10"/>
        <v>7.5514932308095492E-8</v>
      </c>
      <c r="U68" s="9">
        <f t="shared" si="11"/>
        <v>3.9790614247931283E-5</v>
      </c>
      <c r="V68" s="100">
        <f t="shared" si="14"/>
        <v>1.8978076547793309E-3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119</v>
      </c>
      <c r="C69" s="46" t="s">
        <v>120</v>
      </c>
      <c r="D69" s="47">
        <v>2.3724999877244022</v>
      </c>
      <c r="E69" s="47">
        <v>2.8974999825375303</v>
      </c>
      <c r="F69" s="96">
        <v>9.9999999999999995E-7</v>
      </c>
      <c r="G69" s="138"/>
      <c r="H69" s="138"/>
      <c r="I69" s="54">
        <f t="shared" si="24"/>
        <v>0.38500856866688477</v>
      </c>
      <c r="J69" s="54">
        <f t="shared" si="25"/>
        <v>1.7365957830383385</v>
      </c>
      <c r="K69" s="55">
        <f t="shared" si="26"/>
        <v>0.40927884767316591</v>
      </c>
      <c r="L69" s="55">
        <f t="shared" si="27"/>
        <v>1.6487617908895911E-3</v>
      </c>
      <c r="M69" s="55">
        <f t="shared" si="28"/>
        <v>0.99835123820911043</v>
      </c>
      <c r="N69" s="55">
        <f t="shared" si="29"/>
        <v>1.1940764089785672E-3</v>
      </c>
      <c r="O69" s="56">
        <f t="shared" si="30"/>
        <v>4.1144018985190279E-7</v>
      </c>
      <c r="P69" s="56">
        <f t="shared" si="31"/>
        <v>2.2433781971173086E-5</v>
      </c>
      <c r="Q69" s="56">
        <f t="shared" si="32"/>
        <v>3.2494263227064686E-4</v>
      </c>
      <c r="R69" s="9">
        <f t="shared" si="12"/>
        <v>3.9999999999999996E-5</v>
      </c>
      <c r="S69" s="9">
        <f t="shared" si="13"/>
        <v>6.5950471635583645E-8</v>
      </c>
      <c r="T69" s="9">
        <f t="shared" si="10"/>
        <v>1.6371153906926635E-5</v>
      </c>
      <c r="U69" s="9">
        <f t="shared" si="11"/>
        <v>3.9934049528364416E-5</v>
      </c>
      <c r="V69" s="100">
        <f t="shared" si="14"/>
        <v>0.40995476542639403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113</v>
      </c>
      <c r="C70" s="46" t="s">
        <v>114</v>
      </c>
      <c r="D70" s="47">
        <v>3.3511520000000004</v>
      </c>
      <c r="E70" s="47">
        <v>4.2962190000000007</v>
      </c>
      <c r="F70" s="96">
        <v>9.9999999999999995E-7</v>
      </c>
      <c r="G70" s="138"/>
      <c r="H70" s="138"/>
      <c r="I70" s="54">
        <f t="shared" si="24"/>
        <v>1.2852308448323728</v>
      </c>
      <c r="J70" s="54">
        <f t="shared" si="25"/>
        <v>3.0509801020444232</v>
      </c>
      <c r="K70" s="55">
        <f t="shared" si="26"/>
        <v>5.1363702381221288E-2</v>
      </c>
      <c r="L70" s="55">
        <f t="shared" si="27"/>
        <v>4.2675562499199775E-3</v>
      </c>
      <c r="M70" s="55">
        <f t="shared" si="28"/>
        <v>0.99573244375008008</v>
      </c>
      <c r="N70" s="55">
        <f t="shared" si="29"/>
        <v>3.7530828917080512E-3</v>
      </c>
      <c r="O70" s="56">
        <f t="shared" si="30"/>
        <v>5.1634946636925586E-8</v>
      </c>
      <c r="P70" s="56">
        <f t="shared" si="31"/>
        <v>5.8066257351079577E-5</v>
      </c>
      <c r="Q70" s="56">
        <f t="shared" si="32"/>
        <v>1.0213221070205691E-3</v>
      </c>
      <c r="R70" s="9">
        <f t="shared" si="12"/>
        <v>3.9999999999999996E-5</v>
      </c>
      <c r="S70" s="9">
        <f t="shared" si="13"/>
        <v>1.7070224999679908E-7</v>
      </c>
      <c r="T70" s="9">
        <f t="shared" si="10"/>
        <v>2.0545480952488511E-6</v>
      </c>
      <c r="U70" s="9">
        <f t="shared" si="11"/>
        <v>3.9829297750003202E-5</v>
      </c>
      <c r="V70" s="100">
        <f t="shared" si="14"/>
        <v>5.1583839317093816E-2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121</v>
      </c>
      <c r="C71" s="46" t="s">
        <v>122</v>
      </c>
      <c r="D71" s="47">
        <v>5.9183200000000005</v>
      </c>
      <c r="E71" s="47">
        <v>7.0401399999999992</v>
      </c>
      <c r="F71" s="96">
        <v>9.9999999999999995E-7</v>
      </c>
      <c r="G71" s="138"/>
      <c r="H71" s="138"/>
      <c r="I71" s="54">
        <f t="shared" ref="I71:I122" si="33">IF(D71=0,"",LOG($K$15*10^D71+$K$16*10^E71+$K$14))</f>
        <v>3.9109447814528924</v>
      </c>
      <c r="J71" s="54">
        <f t="shared" ref="J71:J122" si="34">IF(D71=0,"",LOG($K$21*10^D71+$K$22*10^E71+$K$20))</f>
        <v>5.7767955088211638</v>
      </c>
      <c r="K71" s="55">
        <f t="shared" ref="K71:K122" si="35">IF(D71=0,"",1/(1+10^D71*$J$15/$J$14+10^E71*$J$16/$J$14+10^J71*$J$19/$J$14))</f>
        <v>1.2146809442365326E-4</v>
      </c>
      <c r="L71" s="55">
        <f t="shared" ref="L71:L122" si="36">IF(D71=0,"",1/(1+10^I71/10^J71*$J$13/$J$19))</f>
        <v>5.3678523131098499E-3</v>
      </c>
      <c r="M71" s="55">
        <f t="shared" si="19"/>
        <v>0.99463214768689012</v>
      </c>
      <c r="N71" s="55">
        <f t="shared" ref="N71:N122" si="37">IF(D71=0,"",1/(1/10^E71*$J$20/$J$22+10^D71/10^E71*$J$21/$J$22+10^I71/10^E71*$J$13/$J$22+1))</f>
        <v>4.9216990486465493E-3</v>
      </c>
      <c r="O71" s="56">
        <f t="shared" si="21"/>
        <v>1.2210954979653949E-10</v>
      </c>
      <c r="P71" s="56">
        <f t="shared" ref="P71:P122" si="38">IF(D71=0,"",O71*10^J71)</f>
        <v>7.3037372112311056E-5</v>
      </c>
      <c r="Q71" s="56">
        <f t="shared" ref="Q71:Q122" si="39">IF(D71=0,"",F71*N71*$J$7/$J$22)</f>
        <v>1.339336270347381E-3</v>
      </c>
      <c r="R71" s="9">
        <f t="shared" si="12"/>
        <v>3.9999999999999996E-5</v>
      </c>
      <c r="S71" s="9">
        <f t="shared" si="13"/>
        <v>2.1471409252439398E-7</v>
      </c>
      <c r="T71" s="9">
        <f t="shared" si="10"/>
        <v>4.8587237769461301E-9</v>
      </c>
      <c r="U71" s="9">
        <f t="shared" si="11"/>
        <v>3.9785285907475605E-5</v>
      </c>
      <c r="V71" s="100">
        <f t="shared" si="14"/>
        <v>1.221236360659955E-4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123</v>
      </c>
      <c r="C72" s="46" t="s">
        <v>124</v>
      </c>
      <c r="D72" s="47">
        <v>5.5295200000000007</v>
      </c>
      <c r="E72" s="47">
        <v>6.5305900000000001</v>
      </c>
      <c r="F72" s="96">
        <v>9.9999999999999995E-7</v>
      </c>
      <c r="G72" s="138"/>
      <c r="H72" s="138"/>
      <c r="I72" s="54">
        <f t="shared" si="33"/>
        <v>3.4646398062685493</v>
      </c>
      <c r="J72" s="54">
        <f t="shared" si="34"/>
        <v>5.2786655449069535</v>
      </c>
      <c r="K72" s="55">
        <f t="shared" si="35"/>
        <v>3.3964834622125936E-4</v>
      </c>
      <c r="L72" s="55">
        <f t="shared" si="36"/>
        <v>4.766920186420818E-3</v>
      </c>
      <c r="M72" s="55">
        <f t="shared" si="19"/>
        <v>0.99523307981357922</v>
      </c>
      <c r="N72" s="55">
        <f t="shared" si="37"/>
        <v>4.2572812292537105E-3</v>
      </c>
      <c r="O72" s="56">
        <f t="shared" si="21"/>
        <v>3.4144197983022722E-10</v>
      </c>
      <c r="P72" s="56">
        <f t="shared" si="38"/>
        <v>6.4860823878292858E-5</v>
      </c>
      <c r="Q72" s="56">
        <f t="shared" si="39"/>
        <v>1.1585290175303567E-3</v>
      </c>
      <c r="R72" s="9">
        <f t="shared" si="12"/>
        <v>3.9999999999999996E-5</v>
      </c>
      <c r="S72" s="9">
        <f t="shared" si="13"/>
        <v>1.9067680745683271E-7</v>
      </c>
      <c r="T72" s="9">
        <f t="shared" si="10"/>
        <v>1.3585933848850372E-8</v>
      </c>
      <c r="U72" s="9">
        <f t="shared" si="11"/>
        <v>3.9809323192543167E-5</v>
      </c>
      <c r="V72" s="100">
        <f t="shared" si="14"/>
        <v>3.4127517775522508E-4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125</v>
      </c>
      <c r="C73" s="46" t="s">
        <v>126</v>
      </c>
      <c r="D73" s="47">
        <v>5.4845040000000003</v>
      </c>
      <c r="E73" s="47">
        <v>6.5678879999999999</v>
      </c>
      <c r="F73" s="96">
        <v>9.9999999999999995E-7</v>
      </c>
      <c r="G73" s="138"/>
      <c r="H73" s="138"/>
      <c r="I73" s="54">
        <f t="shared" si="33"/>
        <v>3.4579829545014036</v>
      </c>
      <c r="J73" s="54">
        <f t="shared" si="34"/>
        <v>5.3078721995446587</v>
      </c>
      <c r="K73" s="55">
        <f t="shared" si="35"/>
        <v>3.4475309761530825E-4</v>
      </c>
      <c r="L73" s="55">
        <f t="shared" si="36"/>
        <v>5.1751531655018579E-3</v>
      </c>
      <c r="M73" s="55">
        <f t="shared" si="19"/>
        <v>0.99482484683449812</v>
      </c>
      <c r="N73" s="55">
        <f t="shared" si="37"/>
        <v>4.708786640806018E-3</v>
      </c>
      <c r="O73" s="56">
        <f t="shared" si="21"/>
        <v>3.4657368867532109E-10</v>
      </c>
      <c r="P73" s="56">
        <f t="shared" si="38"/>
        <v>7.0415422302850671E-5</v>
      </c>
      <c r="Q73" s="56">
        <f t="shared" si="39"/>
        <v>1.2813966630269708E-3</v>
      </c>
      <c r="R73" s="9">
        <f t="shared" si="12"/>
        <v>3.9999999999999996E-5</v>
      </c>
      <c r="S73" s="9">
        <f t="shared" si="13"/>
        <v>2.0700612662007431E-7</v>
      </c>
      <c r="T73" s="9">
        <f t="shared" si="10"/>
        <v>1.3790123904612329E-8</v>
      </c>
      <c r="U73" s="9">
        <f t="shared" si="11"/>
        <v>3.9792993873379918E-5</v>
      </c>
      <c r="V73" s="100">
        <f t="shared" si="14"/>
        <v>3.4654652898176192E-4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127</v>
      </c>
      <c r="C74" s="46" t="s">
        <v>128</v>
      </c>
      <c r="D74" s="47">
        <v>2.7195840000000011</v>
      </c>
      <c r="E74" s="47">
        <v>3.2500779999999994</v>
      </c>
      <c r="F74" s="96">
        <v>9.9999999999999995E-7</v>
      </c>
      <c r="G74" s="138"/>
      <c r="H74" s="138"/>
      <c r="I74" s="54">
        <f t="shared" si="33"/>
        <v>0.62193942428688143</v>
      </c>
      <c r="J74" s="54">
        <f t="shared" si="34"/>
        <v>2.0837828896743456</v>
      </c>
      <c r="K74" s="55">
        <f t="shared" si="35"/>
        <v>0.23707270155033366</v>
      </c>
      <c r="L74" s="55">
        <f t="shared" si="36"/>
        <v>2.1242580351088164E-3</v>
      </c>
      <c r="M74" s="55">
        <f t="shared" si="19"/>
        <v>0.99787574196489115</v>
      </c>
      <c r="N74" s="55">
        <f t="shared" si="37"/>
        <v>1.5576589841499121E-3</v>
      </c>
      <c r="O74" s="56">
        <f t="shared" si="21"/>
        <v>2.3832464807090492E-7</v>
      </c>
      <c r="P74" s="56">
        <f t="shared" si="38"/>
        <v>2.8903594123461184E-5</v>
      </c>
      <c r="Q74" s="56">
        <f t="shared" si="39"/>
        <v>4.238839379823802E-4</v>
      </c>
      <c r="R74" s="9">
        <f t="shared" si="12"/>
        <v>3.9999999999999996E-5</v>
      </c>
      <c r="S74" s="9">
        <f t="shared" si="13"/>
        <v>8.4970321404352643E-8</v>
      </c>
      <c r="T74" s="9">
        <f t="shared" si="10"/>
        <v>9.482908062013346E-6</v>
      </c>
      <c r="U74" s="9">
        <f t="shared" si="11"/>
        <v>3.991502967859564E-5</v>
      </c>
      <c r="V74" s="100">
        <f t="shared" si="14"/>
        <v>0.23757737720281683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81</v>
      </c>
      <c r="C75" s="46" t="s">
        <v>82</v>
      </c>
      <c r="D75" s="47">
        <v>3.9841999877244016</v>
      </c>
      <c r="E75" s="47">
        <v>5.1901999825375293</v>
      </c>
      <c r="F75" s="96">
        <v>9.9999999999999995E-7</v>
      </c>
      <c r="G75" s="138"/>
      <c r="H75" s="138"/>
      <c r="I75" s="54">
        <f t="shared" si="33"/>
        <v>2.0259693417507676</v>
      </c>
      <c r="J75" s="54">
        <f t="shared" si="34"/>
        <v>3.9204939710794475</v>
      </c>
      <c r="K75" s="55">
        <f t="shared" si="35"/>
        <v>9.3170531964387581E-3</v>
      </c>
      <c r="L75" s="55">
        <f t="shared" si="36"/>
        <v>5.7321213708980221E-3</v>
      </c>
      <c r="M75" s="55">
        <f t="shared" si="19"/>
        <v>0.99426787862910193</v>
      </c>
      <c r="N75" s="55">
        <f t="shared" si="37"/>
        <v>5.3332432613010022E-3</v>
      </c>
      <c r="O75" s="56">
        <f t="shared" si="21"/>
        <v>9.3662552017939889E-9</v>
      </c>
      <c r="P75" s="56">
        <f t="shared" si="38"/>
        <v>7.799377798392908E-5</v>
      </c>
      <c r="Q75" s="56">
        <f t="shared" si="39"/>
        <v>1.4513293210015534E-3</v>
      </c>
      <c r="R75" s="9">
        <f t="shared" si="12"/>
        <v>3.9999999999999996E-5</v>
      </c>
      <c r="S75" s="9">
        <f t="shared" si="13"/>
        <v>2.2928485483592086E-7</v>
      </c>
      <c r="T75" s="9">
        <f t="shared" si="10"/>
        <v>3.726821278575503E-7</v>
      </c>
      <c r="U75" s="9">
        <f t="shared" si="11"/>
        <v>3.9770715145164076E-5</v>
      </c>
      <c r="V75" s="100">
        <f t="shared" si="14"/>
        <v>9.3707675735085847E-3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129</v>
      </c>
      <c r="C76" s="46" t="s">
        <v>130</v>
      </c>
      <c r="D76" s="47">
        <v>4.10616</v>
      </c>
      <c r="E76" s="47">
        <v>5.1108449999999994</v>
      </c>
      <c r="F76" s="96">
        <v>9.9999999999999995E-7</v>
      </c>
      <c r="G76" s="138"/>
      <c r="H76" s="138"/>
      <c r="I76" s="54">
        <f t="shared" si="33"/>
        <v>2.0466328175843658</v>
      </c>
      <c r="J76" s="54">
        <f t="shared" si="34"/>
        <v>3.8585870053842997</v>
      </c>
      <c r="K76" s="55">
        <f t="shared" si="35"/>
        <v>8.8929601151302128E-3</v>
      </c>
      <c r="L76" s="55">
        <f t="shared" si="36"/>
        <v>4.7443441105627865E-3</v>
      </c>
      <c r="M76" s="55">
        <f t="shared" si="19"/>
        <v>0.99525565588943721</v>
      </c>
      <c r="N76" s="55">
        <f t="shared" si="37"/>
        <v>4.2403741676980905E-3</v>
      </c>
      <c r="O76" s="56">
        <f t="shared" si="21"/>
        <v>8.9399225464894904E-9</v>
      </c>
      <c r="P76" s="56">
        <f t="shared" si="38"/>
        <v>6.4553643807549905E-5</v>
      </c>
      <c r="Q76" s="56">
        <f t="shared" si="39"/>
        <v>1.15392811842161E-3</v>
      </c>
      <c r="R76" s="9">
        <f t="shared" si="12"/>
        <v>3.9999999999999996E-5</v>
      </c>
      <c r="S76" s="9">
        <f t="shared" si="13"/>
        <v>1.8977376442251145E-7</v>
      </c>
      <c r="T76" s="9">
        <f t="shared" si="10"/>
        <v>3.5571840460520847E-7</v>
      </c>
      <c r="U76" s="9">
        <f t="shared" si="11"/>
        <v>3.9810226235577486E-5</v>
      </c>
      <c r="V76" s="100">
        <f t="shared" si="14"/>
        <v>8.9353525021495881E-3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131</v>
      </c>
      <c r="C77" s="46" t="s">
        <v>132</v>
      </c>
      <c r="D77" s="47">
        <v>2.8295519999999996</v>
      </c>
      <c r="E77" s="47">
        <v>3.5791989999999991</v>
      </c>
      <c r="F77" s="96">
        <v>9.9999999999999995E-7</v>
      </c>
      <c r="G77" s="138"/>
      <c r="H77" s="138"/>
      <c r="I77" s="54">
        <f t="shared" si="33"/>
        <v>0.75425121724867172</v>
      </c>
      <c r="J77" s="54">
        <f t="shared" si="34"/>
        <v>2.3639081225718588</v>
      </c>
      <c r="K77" s="55">
        <f t="shared" si="35"/>
        <v>0.17466097221873894</v>
      </c>
      <c r="L77" s="55">
        <f t="shared" si="36"/>
        <v>2.9829558608610463E-3</v>
      </c>
      <c r="M77" s="55">
        <f t="shared" si="19"/>
        <v>0.99701704413913894</v>
      </c>
      <c r="N77" s="55">
        <f t="shared" si="37"/>
        <v>2.4485428511601781E-3</v>
      </c>
      <c r="O77" s="56">
        <f t="shared" si="21"/>
        <v>1.7558333145714503E-7</v>
      </c>
      <c r="P77" s="56">
        <f t="shared" si="38"/>
        <v>4.0587416436963529E-5</v>
      </c>
      <c r="Q77" s="56">
        <f t="shared" si="39"/>
        <v>6.6631913443802404E-4</v>
      </c>
      <c r="R77" s="9">
        <f t="shared" si="12"/>
        <v>3.9999999999999996E-5</v>
      </c>
      <c r="S77" s="9">
        <f t="shared" si="13"/>
        <v>1.1931823443444183E-7</v>
      </c>
      <c r="T77" s="9">
        <f t="shared" si="10"/>
        <v>6.9864388887495574E-6</v>
      </c>
      <c r="U77" s="9">
        <f t="shared" si="11"/>
        <v>3.9880681765565556E-5</v>
      </c>
      <c r="V77" s="100">
        <f t="shared" si="14"/>
        <v>0.17518353697709113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83</v>
      </c>
      <c r="C78" s="46" t="s">
        <v>84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0.98244102051051041</v>
      </c>
      <c r="J78" s="54">
        <f t="shared" si="34"/>
        <v>2.7169932228905553</v>
      </c>
      <c r="K78" s="55">
        <f t="shared" si="35"/>
        <v>0.10317503622576131</v>
      </c>
      <c r="L78" s="55">
        <f t="shared" si="36"/>
        <v>3.9729279053069251E-3</v>
      </c>
      <c r="M78" s="55">
        <f t="shared" si="19"/>
        <v>0.9960270720946931</v>
      </c>
      <c r="N78" s="55">
        <f t="shared" si="37"/>
        <v>3.4760616126933673E-3</v>
      </c>
      <c r="O78" s="56">
        <f t="shared" si="21"/>
        <v>1.0371988861394413E-7</v>
      </c>
      <c r="P78" s="56">
        <f t="shared" si="38"/>
        <v>5.4057413816434916E-5</v>
      </c>
      <c r="Q78" s="56">
        <f t="shared" si="39"/>
        <v>9.4593662672704784E-4</v>
      </c>
      <c r="R78" s="9">
        <f t="shared" si="12"/>
        <v>3.9999999999999996E-5</v>
      </c>
      <c r="S78" s="9">
        <f t="shared" si="13"/>
        <v>1.5891711621227698E-7</v>
      </c>
      <c r="T78" s="9">
        <f t="shared" si="10"/>
        <v>4.1270014490304518E-6</v>
      </c>
      <c r="U78" s="9">
        <f t="shared" si="11"/>
        <v>3.9841082883787717E-5</v>
      </c>
      <c r="V78" s="100">
        <f t="shared" si="14"/>
        <v>0.1035865782330386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133</v>
      </c>
      <c r="C79" s="46" t="s">
        <v>134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1.0570731161685156</v>
      </c>
      <c r="J79" s="54">
        <f t="shared" si="34"/>
        <v>2.5889557991870298</v>
      </c>
      <c r="K79" s="55">
        <f t="shared" si="35"/>
        <v>8.7013459663739329E-2</v>
      </c>
      <c r="L79" s="55">
        <f t="shared" si="36"/>
        <v>2.4950834014045215E-3</v>
      </c>
      <c r="M79" s="55">
        <f t="shared" si="19"/>
        <v>0.99750491659859553</v>
      </c>
      <c r="N79" s="55">
        <f t="shared" si="37"/>
        <v>1.8263511070410216E-3</v>
      </c>
      <c r="O79" s="56">
        <f t="shared" si="21"/>
        <v>8.7472965112306362E-8</v>
      </c>
      <c r="P79" s="56">
        <f t="shared" si="38"/>
        <v>3.3949208027680615E-5</v>
      </c>
      <c r="Q79" s="56">
        <f t="shared" si="39"/>
        <v>4.9700281465235086E-4</v>
      </c>
      <c r="R79" s="9">
        <f t="shared" si="12"/>
        <v>3.9999999999999996E-5</v>
      </c>
      <c r="S79" s="9">
        <f t="shared" si="13"/>
        <v>9.9803336056180848E-8</v>
      </c>
      <c r="T79" s="9">
        <f t="shared" si="10"/>
        <v>3.4805383865495728E-6</v>
      </c>
      <c r="U79" s="9">
        <f t="shared" si="11"/>
        <v>3.9900196663943818E-5</v>
      </c>
      <c r="V79" s="100">
        <f t="shared" si="14"/>
        <v>8.7231108554780473E-2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135</v>
      </c>
      <c r="C80" s="46" t="s">
        <v>136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1.1393826628828596</v>
      </c>
      <c r="J80" s="54">
        <f t="shared" si="34"/>
        <v>2.6634845218157044</v>
      </c>
      <c r="K80" s="55">
        <f t="shared" si="35"/>
        <v>7.1993971406958873E-2</v>
      </c>
      <c r="L80" s="55">
        <f t="shared" si="36"/>
        <v>2.4508881066214331E-3</v>
      </c>
      <c r="M80" s="55">
        <f t="shared" si="19"/>
        <v>0.99754911189337858</v>
      </c>
      <c r="N80" s="55">
        <f t="shared" si="37"/>
        <v>1.7633152635354078E-3</v>
      </c>
      <c r="O80" s="56">
        <f t="shared" si="21"/>
        <v>7.2374161118450859E-8</v>
      </c>
      <c r="P80" s="56">
        <f t="shared" si="38"/>
        <v>3.3347867304724761E-5</v>
      </c>
      <c r="Q80" s="56">
        <f t="shared" si="39"/>
        <v>4.798489434577626E-4</v>
      </c>
      <c r="R80" s="9">
        <f t="shared" si="12"/>
        <v>3.9999999999999996E-5</v>
      </c>
      <c r="S80" s="9">
        <f t="shared" si="13"/>
        <v>9.8035524264857315E-8</v>
      </c>
      <c r="T80" s="9">
        <f t="shared" si="10"/>
        <v>2.8797588562783547E-6</v>
      </c>
      <c r="U80" s="9">
        <f t="shared" si="11"/>
        <v>3.990196447573514E-5</v>
      </c>
      <c r="V80" s="100">
        <f t="shared" si="14"/>
        <v>7.2170854094904785E-2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137</v>
      </c>
      <c r="C81" s="46" t="s">
        <v>138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2.466507651261447</v>
      </c>
      <c r="J81" s="54">
        <f t="shared" si="34"/>
        <v>4.3682400663002383</v>
      </c>
      <c r="K81" s="55">
        <f t="shared" si="35"/>
        <v>3.3783030630813822E-3</v>
      </c>
      <c r="L81" s="55">
        <f t="shared" si="36"/>
        <v>5.8274895652995718E-3</v>
      </c>
      <c r="M81" s="55">
        <f t="shared" si="19"/>
        <v>0.99417251043470045</v>
      </c>
      <c r="N81" s="55">
        <f t="shared" si="37"/>
        <v>5.4331218175518508E-3</v>
      </c>
      <c r="O81" s="56">
        <f t="shared" si="21"/>
        <v>3.3961433911225335E-9</v>
      </c>
      <c r="P81" s="56">
        <f t="shared" si="38"/>
        <v>7.9291399806566323E-5</v>
      </c>
      <c r="Q81" s="56">
        <f t="shared" si="39"/>
        <v>1.4785091570082834E-3</v>
      </c>
      <c r="R81" s="9">
        <f t="shared" si="12"/>
        <v>3.9999999999999996E-5</v>
      </c>
      <c r="S81" s="9">
        <f t="shared" si="13"/>
        <v>2.3309958261198285E-7</v>
      </c>
      <c r="T81" s="9">
        <f t="shared" si="10"/>
        <v>1.3513212252325528E-7</v>
      </c>
      <c r="U81" s="9">
        <f t="shared" si="11"/>
        <v>3.9766900417388014E-5</v>
      </c>
      <c r="V81" s="100">
        <f t="shared" si="14"/>
        <v>3.3981054873507056E-3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139</v>
      </c>
      <c r="C82" s="46" t="s">
        <v>140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2.2273249528367836</v>
      </c>
      <c r="J82" s="54">
        <f t="shared" si="34"/>
        <v>4.0532477704684817</v>
      </c>
      <c r="K82" s="55">
        <f t="shared" si="35"/>
        <v>5.8652545513678935E-3</v>
      </c>
      <c r="L82" s="55">
        <f t="shared" si="36"/>
        <v>4.8986619107719825E-3</v>
      </c>
      <c r="M82" s="55">
        <f t="shared" si="19"/>
        <v>0.99510133808922807</v>
      </c>
      <c r="N82" s="55">
        <f t="shared" si="37"/>
        <v>4.4081940172450949E-3</v>
      </c>
      <c r="O82" s="56">
        <f t="shared" si="21"/>
        <v>5.8962281091829863E-9</v>
      </c>
      <c r="P82" s="56">
        <f t="shared" si="38"/>
        <v>6.665336003295824E-5</v>
      </c>
      <c r="Q82" s="56">
        <f t="shared" si="39"/>
        <v>1.1995967400014592E-3</v>
      </c>
      <c r="R82" s="9">
        <f t="shared" si="12"/>
        <v>3.9999999999999996E-5</v>
      </c>
      <c r="S82" s="9">
        <f t="shared" si="13"/>
        <v>1.9594647643087929E-7</v>
      </c>
      <c r="T82" s="9">
        <f t="shared" si="10"/>
        <v>2.3461018205471571E-7</v>
      </c>
      <c r="U82" s="9">
        <f t="shared" si="11"/>
        <v>3.9804053523569122E-5</v>
      </c>
      <c r="V82" s="100">
        <f t="shared" si="14"/>
        <v>5.8941278911655648E-3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85</v>
      </c>
      <c r="C83" s="46" t="s">
        <v>86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0.70532975413914478</v>
      </c>
      <c r="J83" s="54">
        <f t="shared" si="34"/>
        <v>2.3088898400463109</v>
      </c>
      <c r="K83" s="55">
        <f t="shared" si="35"/>
        <v>0.19549488382012839</v>
      </c>
      <c r="L83" s="55">
        <f t="shared" si="36"/>
        <v>2.941494681962576E-3</v>
      </c>
      <c r="M83" s="55">
        <f t="shared" si="19"/>
        <v>0.99705850531803741</v>
      </c>
      <c r="N83" s="55">
        <f t="shared" si="37"/>
        <v>2.4223239984266271E-3</v>
      </c>
      <c r="O83" s="56">
        <f t="shared" si="21"/>
        <v>1.96527263921201E-7</v>
      </c>
      <c r="P83" s="56">
        <f t="shared" si="38"/>
        <v>4.0023277303696606E-5</v>
      </c>
      <c r="Q83" s="56">
        <f t="shared" si="39"/>
        <v>6.5918422836476497E-4</v>
      </c>
      <c r="R83" s="9">
        <f t="shared" si="12"/>
        <v>3.9999999999999996E-5</v>
      </c>
      <c r="S83" s="9">
        <f t="shared" si="13"/>
        <v>1.1765978727850303E-7</v>
      </c>
      <c r="T83" s="9">
        <f t="shared" si="10"/>
        <v>7.8197953528051355E-6</v>
      </c>
      <c r="U83" s="9">
        <f t="shared" si="11"/>
        <v>3.9882340212721495E-5</v>
      </c>
      <c r="V83" s="100">
        <f t="shared" si="14"/>
        <v>0.19607162746961401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141</v>
      </c>
      <c r="C84" s="46" t="s">
        <v>142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2.3272580136650043</v>
      </c>
      <c r="J84" s="54">
        <f t="shared" si="34"/>
        <v>4.041572503575793</v>
      </c>
      <c r="K84" s="55">
        <f t="shared" si="35"/>
        <v>4.6648340919136309E-3</v>
      </c>
      <c r="L84" s="55">
        <f t="shared" si="36"/>
        <v>3.7927265970621386E-3</v>
      </c>
      <c r="M84" s="55">
        <f t="shared" si="19"/>
        <v>0.99620727340293791</v>
      </c>
      <c r="N84" s="55">
        <f t="shared" si="37"/>
        <v>3.18391186951915E-3</v>
      </c>
      <c r="O84" s="56">
        <f t="shared" si="21"/>
        <v>4.6894684035497747E-9</v>
      </c>
      <c r="P84" s="56">
        <f t="shared" si="38"/>
        <v>5.1605515135605733E-5</v>
      </c>
      <c r="Q84" s="56">
        <f t="shared" si="39"/>
        <v>8.6643425497729516E-4</v>
      </c>
      <c r="R84" s="9">
        <f t="shared" si="12"/>
        <v>3.9999999999999996E-5</v>
      </c>
      <c r="S84" s="9">
        <f t="shared" si="13"/>
        <v>1.5170906388248553E-7</v>
      </c>
      <c r="T84" s="9">
        <f t="shared" si="10"/>
        <v>1.8659336367654523E-7</v>
      </c>
      <c r="U84" s="9">
        <f t="shared" si="11"/>
        <v>3.9848290936117512E-5</v>
      </c>
      <c r="V84" s="100">
        <f t="shared" si="14"/>
        <v>4.68259389030463E-3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87</v>
      </c>
      <c r="C85" s="46" t="s">
        <v>88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0.64458903464573347</v>
      </c>
      <c r="J85" s="54">
        <f t="shared" si="34"/>
        <v>2.21956631274778</v>
      </c>
      <c r="K85" s="55">
        <f t="shared" si="35"/>
        <v>0.22488344856605852</v>
      </c>
      <c r="L85" s="55">
        <f t="shared" si="36"/>
        <v>2.7546513344581768E-3</v>
      </c>
      <c r="M85" s="55">
        <f t="shared" si="19"/>
        <v>0.99724534866554182</v>
      </c>
      <c r="N85" s="55">
        <f t="shared" si="37"/>
        <v>2.2433773364471531E-3</v>
      </c>
      <c r="O85" s="56">
        <f t="shared" si="21"/>
        <v>2.2607102541115792E-7</v>
      </c>
      <c r="P85" s="56">
        <f t="shared" si="38"/>
        <v>3.7481004099745014E-5</v>
      </c>
      <c r="Q85" s="56">
        <f t="shared" si="39"/>
        <v>6.1048768018541E-4</v>
      </c>
      <c r="R85" s="9">
        <f t="shared" si="12"/>
        <v>3.9999999999999996E-5</v>
      </c>
      <c r="S85" s="9">
        <f t="shared" si="13"/>
        <v>1.1018605337832707E-7</v>
      </c>
      <c r="T85" s="9">
        <f t="shared" si="10"/>
        <v>8.9953379426423397E-6</v>
      </c>
      <c r="U85" s="9">
        <f t="shared" si="11"/>
        <v>3.9889813946621668E-5</v>
      </c>
      <c r="V85" s="100">
        <f t="shared" si="14"/>
        <v>0.22550463521036726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143</v>
      </c>
      <c r="C86" s="46" t="s">
        <v>144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1.6299602750984028</v>
      </c>
      <c r="J86" s="54">
        <f t="shared" si="34"/>
        <v>3.1296066711876311</v>
      </c>
      <c r="K86" s="55">
        <f t="shared" si="35"/>
        <v>2.326895095353065E-2</v>
      </c>
      <c r="L86" s="55">
        <f t="shared" si="36"/>
        <v>2.3170014558330054E-3</v>
      </c>
      <c r="M86" s="55">
        <f t="shared" si="19"/>
        <v>0.99768299854416698</v>
      </c>
      <c r="N86" s="55">
        <f t="shared" si="37"/>
        <v>1.5693132435913139E-3</v>
      </c>
      <c r="O86" s="56">
        <f t="shared" si="21"/>
        <v>2.3391830905516311E-8</v>
      </c>
      <c r="P86" s="56">
        <f t="shared" si="38"/>
        <v>3.1526146332517144E-5</v>
      </c>
      <c r="Q86" s="56">
        <f t="shared" si="39"/>
        <v>4.2705539812645387E-4</v>
      </c>
      <c r="R86" s="9">
        <f t="shared" si="12"/>
        <v>3.9999999999999996E-5</v>
      </c>
      <c r="S86" s="9">
        <f t="shared" si="13"/>
        <v>9.2680058233320207E-8</v>
      </c>
      <c r="T86" s="9">
        <f t="shared" si="10"/>
        <v>9.3075803814122589E-7</v>
      </c>
      <c r="U86" s="9">
        <f t="shared" si="11"/>
        <v>3.9907319941766673E-5</v>
      </c>
      <c r="V86" s="100">
        <f t="shared" si="14"/>
        <v>2.3322990356140206E-2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281</v>
      </c>
      <c r="C87" s="46" t="s">
        <v>282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0.48026857292599601</v>
      </c>
      <c r="J87" s="54">
        <f t="shared" si="34"/>
        <v>1.9159264962867857</v>
      </c>
      <c r="K87" s="55">
        <f t="shared" si="35"/>
        <v>0.32855371678832251</v>
      </c>
      <c r="L87" s="55">
        <f t="shared" si="36"/>
        <v>2.0002105431019697E-3</v>
      </c>
      <c r="M87" s="55">
        <f t="shared" si="19"/>
        <v>0.99799978945689805</v>
      </c>
      <c r="N87" s="55">
        <f t="shared" si="37"/>
        <v>1.5066880800350543E-3</v>
      </c>
      <c r="O87" s="56">
        <f t="shared" si="21"/>
        <v>3.3028876126988442E-7</v>
      </c>
      <c r="P87" s="56">
        <f t="shared" si="38"/>
        <v>2.7215749096284185E-5</v>
      </c>
      <c r="Q87" s="56">
        <f t="shared" si="39"/>
        <v>4.1001328479154753E-4</v>
      </c>
      <c r="R87" s="9">
        <f t="shared" si="12"/>
        <v>3.9999999999999996E-5</v>
      </c>
      <c r="S87" s="9">
        <f t="shared" si="13"/>
        <v>8.0008421724078786E-8</v>
      </c>
      <c r="T87" s="9">
        <f t="shared" si="10"/>
        <v>1.31421486715329E-5</v>
      </c>
      <c r="U87" s="9">
        <f t="shared" si="11"/>
        <v>3.9919991578275918E-5</v>
      </c>
      <c r="V87" s="100">
        <f t="shared" si="14"/>
        <v>0.32921221052272798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283</v>
      </c>
      <c r="C88" s="46" t="s">
        <v>284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0.14925721804369038</v>
      </c>
      <c r="J88" s="54">
        <f t="shared" si="34"/>
        <v>0.8379649960018557</v>
      </c>
      <c r="K88" s="55">
        <f t="shared" si="35"/>
        <v>0.7052310767009442</v>
      </c>
      <c r="L88" s="55">
        <f t="shared" si="36"/>
        <v>3.587891233172886E-4</v>
      </c>
      <c r="M88" s="55">
        <f t="shared" si="19"/>
        <v>0.99964121087668267</v>
      </c>
      <c r="N88" s="55">
        <f t="shared" si="37"/>
        <v>4.6328077376681181E-5</v>
      </c>
      <c r="O88" s="56">
        <f t="shared" si="21"/>
        <v>7.0895529963720241E-7</v>
      </c>
      <c r="P88" s="56">
        <f t="shared" si="38"/>
        <v>4.8818434601068347E-6</v>
      </c>
      <c r="Q88" s="56">
        <f t="shared" si="39"/>
        <v>1.2607206119828128E-5</v>
      </c>
      <c r="R88" s="9">
        <f t="shared" si="12"/>
        <v>3.9999999999999996E-5</v>
      </c>
      <c r="S88" s="9">
        <f t="shared" si="13"/>
        <v>1.4351564932691543E-8</v>
      </c>
      <c r="T88" s="9">
        <f t="shared" si="10"/>
        <v>2.8209243068037764E-5</v>
      </c>
      <c r="U88" s="9">
        <f t="shared" si="11"/>
        <v>3.9985648435067303E-5</v>
      </c>
      <c r="V88" s="100">
        <f t="shared" si="14"/>
        <v>0.70548419675741303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285</v>
      </c>
      <c r="C89" s="46" t="s">
        <v>286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3.7336026484154294E-2</v>
      </c>
      <c r="J89" s="54">
        <f t="shared" si="34"/>
        <v>0.47829368809571554</v>
      </c>
      <c r="K89" s="55">
        <f t="shared" si="35"/>
        <v>0.91268387877447055</v>
      </c>
      <c r="L89" s="55">
        <f t="shared" si="36"/>
        <v>2.0284153985460635E-4</v>
      </c>
      <c r="M89" s="55">
        <f t="shared" si="19"/>
        <v>0.99979715846014539</v>
      </c>
      <c r="N89" s="55">
        <f t="shared" si="37"/>
        <v>6.9383563793153368E-5</v>
      </c>
      <c r="O89" s="56">
        <f t="shared" si="21"/>
        <v>9.1750362984214275E-7</v>
      </c>
      <c r="P89" s="56">
        <f t="shared" si="38"/>
        <v>2.7599516830991245E-6</v>
      </c>
      <c r="Q89" s="56">
        <f t="shared" si="39"/>
        <v>1.8881268975535283E-5</v>
      </c>
      <c r="R89" s="9">
        <f t="shared" si="12"/>
        <v>3.9999999999999996E-5</v>
      </c>
      <c r="S89" s="9">
        <f t="shared" si="13"/>
        <v>8.113661594184254E-9</v>
      </c>
      <c r="T89" s="9">
        <f t="shared" si="10"/>
        <v>3.6507355150978818E-5</v>
      </c>
      <c r="U89" s="9">
        <f t="shared" si="11"/>
        <v>3.9991886338405811E-5</v>
      </c>
      <c r="V89" s="100">
        <f t="shared" si="14"/>
        <v>0.91286904653755585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287</v>
      </c>
      <c r="C90" s="46" t="s">
        <v>288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1.290009012521746E-3</v>
      </c>
      <c r="J90" s="54">
        <f t="shared" si="34"/>
        <v>9.680224881415983E-3</v>
      </c>
      <c r="K90" s="55">
        <f t="shared" si="35"/>
        <v>0.99179509629100682</v>
      </c>
      <c r="L90" s="55">
        <f t="shared" si="36"/>
        <v>7.4928150516008591E-5</v>
      </c>
      <c r="M90" s="55">
        <f t="shared" si="19"/>
        <v>0.99992507184948398</v>
      </c>
      <c r="N90" s="55">
        <f t="shared" si="37"/>
        <v>2.4780551078211615E-6</v>
      </c>
      <c r="O90" s="56">
        <f t="shared" si="21"/>
        <v>9.9703262221365105E-7</v>
      </c>
      <c r="P90" s="56">
        <f t="shared" si="38"/>
        <v>1.019505547415939E-6</v>
      </c>
      <c r="Q90" s="56">
        <f t="shared" si="39"/>
        <v>6.7435027071335693E-7</v>
      </c>
      <c r="R90" s="9">
        <f t="shared" si="12"/>
        <v>3.9999999999999996E-5</v>
      </c>
      <c r="S90" s="9">
        <f t="shared" si="13"/>
        <v>2.9971260206403433E-9</v>
      </c>
      <c r="T90" s="9">
        <f t="shared" si="10"/>
        <v>3.9671803851640268E-5</v>
      </c>
      <c r="U90" s="9">
        <f t="shared" si="11"/>
        <v>3.9997002873979358E-5</v>
      </c>
      <c r="V90" s="100">
        <f t="shared" si="14"/>
        <v>0.99186941523184358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289</v>
      </c>
      <c r="C91" s="46" t="s">
        <v>290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-2.2961926676165657E-4</v>
      </c>
      <c r="J91" s="54">
        <f t="shared" si="34"/>
        <v>-1.6805454315982564E-2</v>
      </c>
      <c r="K91" s="55">
        <f t="shared" si="35"/>
        <v>0.99527570487999661</v>
      </c>
      <c r="L91" s="55">
        <f t="shared" si="36"/>
        <v>7.0742561307584012E-5</v>
      </c>
      <c r="M91" s="55">
        <f t="shared" si="19"/>
        <v>0.99992925743869243</v>
      </c>
      <c r="N91" s="55">
        <f t="shared" si="37"/>
        <v>1.1294417017220705E-6</v>
      </c>
      <c r="O91" s="56">
        <f t="shared" si="21"/>
        <v>1.0005316113913123E-6</v>
      </c>
      <c r="P91" s="56">
        <f t="shared" si="38"/>
        <v>9.6255456987537547E-7</v>
      </c>
      <c r="Q91" s="56">
        <f t="shared" si="39"/>
        <v>3.0735366413255707E-7</v>
      </c>
      <c r="R91" s="9">
        <f t="shared" si="12"/>
        <v>3.9999999999999996E-5</v>
      </c>
      <c r="S91" s="9">
        <f t="shared" si="13"/>
        <v>2.8297024523033603E-9</v>
      </c>
      <c r="T91" s="9">
        <f t="shared" si="10"/>
        <v>3.981102819519986E-5</v>
      </c>
      <c r="U91" s="9">
        <f t="shared" si="11"/>
        <v>3.9997170297547694E-5</v>
      </c>
      <c r="V91" s="100">
        <f t="shared" si="14"/>
        <v>0.9953461182137866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291</v>
      </c>
      <c r="C92" s="46" t="s">
        <v>292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4.7346378220411142E-2</v>
      </c>
      <c r="J92" s="54">
        <f t="shared" si="34"/>
        <v>0.56631779831251761</v>
      </c>
      <c r="K92" s="55">
        <f t="shared" si="35"/>
        <v>0.89185180011876652</v>
      </c>
      <c r="L92" s="55">
        <f t="shared" si="36"/>
        <v>2.4274669339860019E-4</v>
      </c>
      <c r="M92" s="55">
        <f t="shared" si="19"/>
        <v>0.99975725330660137</v>
      </c>
      <c r="N92" s="55">
        <f t="shared" si="37"/>
        <v>9.3883199443399237E-5</v>
      </c>
      <c r="O92" s="56">
        <f t="shared" si="21"/>
        <v>8.9656154000329237E-7</v>
      </c>
      <c r="P92" s="56">
        <f t="shared" si="38"/>
        <v>3.3029188473546256E-6</v>
      </c>
      <c r="Q92" s="56">
        <f t="shared" si="39"/>
        <v>2.5548326492124714E-5</v>
      </c>
      <c r="R92" s="9">
        <f t="shared" si="12"/>
        <v>3.9999999999999996E-5</v>
      </c>
      <c r="S92" s="9">
        <f t="shared" si="13"/>
        <v>9.7098677359440067E-9</v>
      </c>
      <c r="T92" s="9">
        <f t="shared" ref="T92:T143" si="40">R92*K92</f>
        <v>3.5674072004750657E-5</v>
      </c>
      <c r="U92" s="9">
        <f t="shared" ref="U92:U143" si="41">$R92*M92</f>
        <v>3.9990290132264054E-5</v>
      </c>
      <c r="V92" s="100">
        <f t="shared" si="14"/>
        <v>0.89206834676022817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293</v>
      </c>
      <c r="C93" s="46" t="s">
        <v>294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-1.6947243885858597E-4</v>
      </c>
      <c r="J93" s="54">
        <f t="shared" si="34"/>
        <v>-1.5761133146324394E-2</v>
      </c>
      <c r="K93" s="55">
        <f t="shared" si="35"/>
        <v>0.99513771580348265</v>
      </c>
      <c r="L93" s="55">
        <f t="shared" si="36"/>
        <v>7.090304462497404E-5</v>
      </c>
      <c r="M93" s="55">
        <f t="shared" ref="M93:M127" si="42">IF(D93=0,"",1-L93)</f>
        <v>0.99992909695537502</v>
      </c>
      <c r="N93" s="55">
        <f t="shared" si="37"/>
        <v>1.1768746894053208E-6</v>
      </c>
      <c r="O93" s="56">
        <f t="shared" ref="O93:O127" si="43">IF(D93=0,"",F93*K93*$J$7/$J$14)</f>
        <v>1.0003928936145175E-6</v>
      </c>
      <c r="P93" s="56">
        <f t="shared" si="38"/>
        <v>9.647381768537955E-7</v>
      </c>
      <c r="Q93" s="56">
        <f t="shared" si="39"/>
        <v>3.2026154821632437E-7</v>
      </c>
      <c r="R93" s="9">
        <f t="shared" ref="R93:R143" si="44">F93*$C$14</f>
        <v>3.9999999999999996E-5</v>
      </c>
      <c r="S93" s="9">
        <f t="shared" ref="S93:S143" si="45">$R93*L93</f>
        <v>2.8361217849989614E-9</v>
      </c>
      <c r="T93" s="9">
        <f t="shared" si="40"/>
        <v>3.9805508632139305E-5</v>
      </c>
      <c r="U93" s="9">
        <f t="shared" si="41"/>
        <v>3.9997163878214997E-5</v>
      </c>
      <c r="V93" s="100">
        <f t="shared" ref="V93:V143" si="46">K93/M93</f>
        <v>0.99520827910050691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295</v>
      </c>
      <c r="C94" s="46" t="s">
        <v>296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-1.6675027667828724E-3</v>
      </c>
      <c r="J94" s="54">
        <f t="shared" si="34"/>
        <v>-4.1307694405703331E-2</v>
      </c>
      <c r="K94" s="55">
        <f t="shared" si="35"/>
        <v>0.99858002731323303</v>
      </c>
      <c r="L94" s="55">
        <f t="shared" si="36"/>
        <v>6.70838551183629E-5</v>
      </c>
      <c r="M94" s="55">
        <f t="shared" si="42"/>
        <v>0.99993291614488167</v>
      </c>
      <c r="N94" s="55">
        <f t="shared" si="37"/>
        <v>1.9739845231265098E-7</v>
      </c>
      <c r="O94" s="56">
        <f t="shared" si="43"/>
        <v>1.0038533834716235E-6</v>
      </c>
      <c r="P94" s="56">
        <f t="shared" si="38"/>
        <v>9.1277259566957952E-7</v>
      </c>
      <c r="Q94" s="56">
        <f t="shared" si="39"/>
        <v>5.3717812543917268E-8</v>
      </c>
      <c r="R94" s="9">
        <f t="shared" si="44"/>
        <v>3.9999999999999996E-5</v>
      </c>
      <c r="S94" s="9">
        <f t="shared" si="45"/>
        <v>2.6833542047345158E-9</v>
      </c>
      <c r="T94" s="9">
        <f t="shared" si="40"/>
        <v>3.994320109252932E-5</v>
      </c>
      <c r="U94" s="9">
        <f t="shared" si="41"/>
        <v>3.9997316645795261E-5</v>
      </c>
      <c r="V94" s="100">
        <f t="shared" si="46"/>
        <v>0.99864702040526421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297</v>
      </c>
      <c r="C95" s="46" t="s">
        <v>298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1.9022995281384409</v>
      </c>
      <c r="J95" s="54">
        <f t="shared" si="34"/>
        <v>3.7792037681406621</v>
      </c>
      <c r="K95" s="55">
        <f t="shared" si="35"/>
        <v>1.2389317442943229E-2</v>
      </c>
      <c r="L95" s="55">
        <f t="shared" si="36"/>
        <v>5.5054646717312538E-3</v>
      </c>
      <c r="M95" s="55">
        <f t="shared" si="42"/>
        <v>0.9944945353282687</v>
      </c>
      <c r="N95" s="55">
        <f t="shared" si="37"/>
        <v>5.0854594868758006E-3</v>
      </c>
      <c r="O95" s="56">
        <f t="shared" si="43"/>
        <v>1.2454743629777535E-8</v>
      </c>
      <c r="P95" s="56">
        <f t="shared" si="38"/>
        <v>7.490978671271602E-5</v>
      </c>
      <c r="Q95" s="56">
        <f t="shared" si="39"/>
        <v>1.3839002090198873E-3</v>
      </c>
      <c r="R95" s="9">
        <f t="shared" si="44"/>
        <v>3.9999999999999996E-5</v>
      </c>
      <c r="S95" s="9">
        <f t="shared" si="45"/>
        <v>2.2021858686925012E-7</v>
      </c>
      <c r="T95" s="9">
        <f t="shared" si="40"/>
        <v>4.9557269771772916E-7</v>
      </c>
      <c r="U95" s="9">
        <f t="shared" si="41"/>
        <v>3.9779781413130741E-5</v>
      </c>
      <c r="V95" s="100">
        <f t="shared" si="46"/>
        <v>1.2457903993261953E-2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299</v>
      </c>
      <c r="C96" s="46" t="s">
        <v>212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-2.2554890834977572E-3</v>
      </c>
      <c r="J96" s="54">
        <f t="shared" si="34"/>
        <v>-5.0609949807824149E-2</v>
      </c>
      <c r="K96" s="55">
        <f t="shared" si="35"/>
        <v>0.99993424153350452</v>
      </c>
      <c r="L96" s="55">
        <f t="shared" si="36"/>
        <v>6.57512966855601E-5</v>
      </c>
      <c r="M96" s="55">
        <f t="shared" si="42"/>
        <v>0.99993424870331449</v>
      </c>
      <c r="N96" s="55">
        <f t="shared" si="37"/>
        <v>6.3020852851421566E-15</v>
      </c>
      <c r="O96" s="56">
        <f t="shared" si="43"/>
        <v>1.0052147491005982E-6</v>
      </c>
      <c r="P96" s="56">
        <f t="shared" si="38"/>
        <v>8.9464121640634668E-7</v>
      </c>
      <c r="Q96" s="56">
        <f t="shared" si="39"/>
        <v>1.7149791805198949E-15</v>
      </c>
      <c r="R96" s="9">
        <f t="shared" si="44"/>
        <v>3.9999999999999996E-5</v>
      </c>
      <c r="S96" s="9">
        <f t="shared" si="45"/>
        <v>2.6300518674224038E-9</v>
      </c>
      <c r="T96" s="9">
        <f t="shared" si="40"/>
        <v>3.9997369661340177E-5</v>
      </c>
      <c r="U96" s="9">
        <f t="shared" si="41"/>
        <v>3.9997369948132577E-5</v>
      </c>
      <c r="V96" s="100">
        <f t="shared" si="46"/>
        <v>0.99999999282971863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300</v>
      </c>
      <c r="C97" s="46" t="s">
        <v>213</v>
      </c>
      <c r="D97" s="47" t="s">
        <v>301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3.9999999999999996E-5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302</v>
      </c>
      <c r="C98" s="46" t="s">
        <v>214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2.2410131712935462</v>
      </c>
      <c r="J98" s="54">
        <f t="shared" si="34"/>
        <v>3.472822364621714</v>
      </c>
      <c r="K98" s="55">
        <f t="shared" si="35"/>
        <v>5.7041025409481508E-3</v>
      </c>
      <c r="L98" s="55">
        <f t="shared" si="36"/>
        <v>1.2518506523911989E-3</v>
      </c>
      <c r="M98" s="55">
        <f t="shared" si="42"/>
        <v>0.9987481493476088</v>
      </c>
      <c r="N98" s="55">
        <f t="shared" si="37"/>
        <v>3.747142073173696E-4</v>
      </c>
      <c r="O98" s="56">
        <f t="shared" si="43"/>
        <v>5.7342250783909761E-9</v>
      </c>
      <c r="P98" s="56">
        <f t="shared" si="38"/>
        <v>1.7033233515838784E-5</v>
      </c>
      <c r="Q98" s="56">
        <f t="shared" si="39"/>
        <v>1.0197054389431495E-4</v>
      </c>
      <c r="R98" s="9">
        <f t="shared" si="44"/>
        <v>3.9999999999999996E-5</v>
      </c>
      <c r="S98" s="9">
        <f t="shared" si="45"/>
        <v>5.007402609564795E-8</v>
      </c>
      <c r="T98" s="9">
        <f t="shared" si="40"/>
        <v>2.28164101637926E-7</v>
      </c>
      <c r="U98" s="9">
        <f t="shared" si="41"/>
        <v>3.9949925973904351E-5</v>
      </c>
      <c r="V98" s="100">
        <f t="shared" si="46"/>
        <v>5.711252175710284E-3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303</v>
      </c>
      <c r="C99" s="46" t="s">
        <v>215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0.63542458371912058</v>
      </c>
      <c r="J99" s="54">
        <f t="shared" si="34"/>
        <v>1.7151795679439032</v>
      </c>
      <c r="K99" s="55">
        <f t="shared" si="35"/>
        <v>0.23011055466077726</v>
      </c>
      <c r="L99" s="55">
        <f t="shared" si="36"/>
        <v>8.8238666954242853E-4</v>
      </c>
      <c r="M99" s="55">
        <f t="shared" si="42"/>
        <v>0.99911761333045757</v>
      </c>
      <c r="N99" s="55">
        <f t="shared" si="37"/>
        <v>1.7760262271981743E-4</v>
      </c>
      <c r="O99" s="56">
        <f t="shared" si="43"/>
        <v>2.3132573509433346E-7</v>
      </c>
      <c r="P99" s="56">
        <f t="shared" si="38"/>
        <v>1.200614319677061E-5</v>
      </c>
      <c r="Q99" s="56">
        <f t="shared" si="39"/>
        <v>4.8330796329955739E-5</v>
      </c>
      <c r="R99" s="9">
        <f t="shared" si="44"/>
        <v>3.9999999999999996E-5</v>
      </c>
      <c r="S99" s="9">
        <f t="shared" si="45"/>
        <v>3.5295466781697136E-8</v>
      </c>
      <c r="T99" s="9">
        <f t="shared" si="40"/>
        <v>9.2044221864310891E-6</v>
      </c>
      <c r="U99" s="9">
        <f t="shared" si="41"/>
        <v>3.9964704533218297E-5</v>
      </c>
      <c r="V99" s="100">
        <f t="shared" si="46"/>
        <v>0.23031378047047632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304</v>
      </c>
      <c r="C100" s="46" t="s">
        <v>216</v>
      </c>
      <c r="D100" s="47" t="s">
        <v>301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3.9999999999999996E-5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305</v>
      </c>
      <c r="C101" s="46" t="s">
        <v>217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1.8939169904293498</v>
      </c>
      <c r="J101" s="54">
        <f t="shared" si="34"/>
        <v>3.0482053541141561</v>
      </c>
      <c r="K101" s="55">
        <f t="shared" si="35"/>
        <v>1.2687392939541738E-2</v>
      </c>
      <c r="L101" s="55">
        <f t="shared" si="36"/>
        <v>1.0474193093889213E-3</v>
      </c>
      <c r="M101" s="55">
        <f t="shared" si="42"/>
        <v>0.9989525806906111</v>
      </c>
      <c r="N101" s="55">
        <f t="shared" si="37"/>
        <v>1.5519768047381235E-4</v>
      </c>
      <c r="O101" s="56">
        <f t="shared" si="43"/>
        <v>1.2754393219801365E-8</v>
      </c>
      <c r="P101" s="56">
        <f t="shared" si="38"/>
        <v>1.4251650268138253E-5</v>
      </c>
      <c r="Q101" s="56">
        <f t="shared" si="39"/>
        <v>4.2233765307027806E-5</v>
      </c>
      <c r="R101" s="9">
        <f t="shared" si="44"/>
        <v>3.9999999999999996E-5</v>
      </c>
      <c r="S101" s="9">
        <f t="shared" si="45"/>
        <v>4.1896772375556847E-8</v>
      </c>
      <c r="T101" s="9">
        <f t="shared" si="40"/>
        <v>5.0749571758166953E-7</v>
      </c>
      <c r="U101" s="9">
        <f t="shared" si="41"/>
        <v>3.9958103227624439E-5</v>
      </c>
      <c r="V101" s="100">
        <f t="shared" si="46"/>
        <v>1.2700695893663438E-2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306</v>
      </c>
      <c r="C102" s="46" t="s">
        <v>218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1.1527504756067957</v>
      </c>
      <c r="J102" s="54">
        <f t="shared" si="34"/>
        <v>2.2204840859111701</v>
      </c>
      <c r="K102" s="55">
        <f t="shared" si="35"/>
        <v>6.9923170081513109E-2</v>
      </c>
      <c r="L102" s="55">
        <f t="shared" si="36"/>
        <v>8.5831761737823571E-4</v>
      </c>
      <c r="M102" s="55">
        <f t="shared" si="42"/>
        <v>0.9991416823826218</v>
      </c>
      <c r="N102" s="55">
        <f t="shared" si="37"/>
        <v>2.9636949934786707E-10</v>
      </c>
      <c r="O102" s="56">
        <f t="shared" si="43"/>
        <v>7.0292424191827771E-8</v>
      </c>
      <c r="P102" s="56">
        <f t="shared" si="38"/>
        <v>1.1678649030246436E-5</v>
      </c>
      <c r="Q102" s="56">
        <f t="shared" si="39"/>
        <v>8.0650689117297731E-11</v>
      </c>
      <c r="R102" s="9">
        <f t="shared" si="44"/>
        <v>3.9999999999999996E-5</v>
      </c>
      <c r="S102" s="9">
        <f t="shared" si="45"/>
        <v>3.4332704695129426E-8</v>
      </c>
      <c r="T102" s="9">
        <f t="shared" si="40"/>
        <v>2.7969268032605242E-6</v>
      </c>
      <c r="U102" s="9">
        <f t="shared" si="41"/>
        <v>3.996566729530487E-5</v>
      </c>
      <c r="V102" s="100">
        <f t="shared" si="46"/>
        <v>6.9983237927547487E-2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307</v>
      </c>
      <c r="C103" s="46" t="s">
        <v>219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2.1741441801583692</v>
      </c>
      <c r="J103" s="54">
        <f t="shared" si="34"/>
        <v>3.2683598845020714</v>
      </c>
      <c r="K103" s="55">
        <f t="shared" si="35"/>
        <v>6.6558567794534635E-3</v>
      </c>
      <c r="L103" s="55">
        <f t="shared" si="36"/>
        <v>9.1223490147799755E-4</v>
      </c>
      <c r="M103" s="55">
        <f t="shared" si="42"/>
        <v>0.99908776509852204</v>
      </c>
      <c r="N103" s="55">
        <f t="shared" si="37"/>
        <v>4.7045313316088609E-10</v>
      </c>
      <c r="O103" s="56">
        <f t="shared" si="43"/>
        <v>6.6910053928617773E-9</v>
      </c>
      <c r="P103" s="56">
        <f t="shared" si="38"/>
        <v>1.2412271438683756E-5</v>
      </c>
      <c r="Q103" s="56">
        <f t="shared" si="39"/>
        <v>1.2802386706562544E-10</v>
      </c>
      <c r="R103" s="9">
        <f t="shared" si="44"/>
        <v>3.9999999999999996E-5</v>
      </c>
      <c r="S103" s="9">
        <f t="shared" si="45"/>
        <v>3.6489396059119899E-8</v>
      </c>
      <c r="T103" s="9">
        <f t="shared" si="40"/>
        <v>2.662342711781385E-7</v>
      </c>
      <c r="U103" s="9">
        <f t="shared" si="41"/>
        <v>3.996351060394088E-5</v>
      </c>
      <c r="V103" s="100">
        <f t="shared" si="46"/>
        <v>6.6619340281853182E-3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308</v>
      </c>
      <c r="C104" s="46" t="s">
        <v>220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2.8598242449089666</v>
      </c>
      <c r="J104" s="54">
        <f t="shared" si="34"/>
        <v>4.0256836428663529</v>
      </c>
      <c r="K104" s="55">
        <f t="shared" si="35"/>
        <v>1.3723119767266717E-3</v>
      </c>
      <c r="L104" s="55">
        <f t="shared" si="36"/>
        <v>1.0756706718951076E-3</v>
      </c>
      <c r="M104" s="55">
        <f t="shared" si="42"/>
        <v>0.99892432932810493</v>
      </c>
      <c r="N104" s="55">
        <f t="shared" si="37"/>
        <v>1.7577847374230672E-4</v>
      </c>
      <c r="O104" s="56">
        <f t="shared" si="43"/>
        <v>1.3795589570545034E-9</v>
      </c>
      <c r="P104" s="56">
        <f t="shared" si="38"/>
        <v>1.4636050798496501E-5</v>
      </c>
      <c r="Q104" s="56">
        <f t="shared" si="39"/>
        <v>4.7834392778265793E-5</v>
      </c>
      <c r="R104" s="9">
        <f t="shared" si="44"/>
        <v>3.9999999999999996E-5</v>
      </c>
      <c r="S104" s="9">
        <f t="shared" si="45"/>
        <v>4.3026826875804304E-8</v>
      </c>
      <c r="T104" s="9">
        <f t="shared" si="40"/>
        <v>5.4892479069066865E-8</v>
      </c>
      <c r="U104" s="9">
        <f t="shared" si="41"/>
        <v>3.9956973173124193E-5</v>
      </c>
      <c r="V104" s="100">
        <f t="shared" si="46"/>
        <v>1.3737897220400211E-3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309</v>
      </c>
      <c r="C105" s="46" t="s">
        <v>221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2.4867185626172419</v>
      </c>
      <c r="J105" s="54">
        <f t="shared" si="34"/>
        <v>3.8653862162210095</v>
      </c>
      <c r="K105" s="55">
        <f t="shared" si="35"/>
        <v>3.2378985545203722E-3</v>
      </c>
      <c r="L105" s="55">
        <f t="shared" si="36"/>
        <v>1.7546572105096771E-3</v>
      </c>
      <c r="M105" s="55">
        <f t="shared" si="42"/>
        <v>0.99824534278949029</v>
      </c>
      <c r="N105" s="55">
        <f t="shared" si="37"/>
        <v>9.2848752608951579E-4</v>
      </c>
      <c r="O105" s="56">
        <f t="shared" si="43"/>
        <v>3.2549974267346147E-9</v>
      </c>
      <c r="P105" s="56">
        <f t="shared" si="38"/>
        <v>2.3874641875029255E-5</v>
      </c>
      <c r="Q105" s="56">
        <f t="shared" si="39"/>
        <v>2.5266823671365535E-4</v>
      </c>
      <c r="R105" s="9">
        <f t="shared" si="44"/>
        <v>3.9999999999999996E-5</v>
      </c>
      <c r="S105" s="9">
        <f t="shared" si="45"/>
        <v>7.0186288420387074E-8</v>
      </c>
      <c r="T105" s="9">
        <f t="shared" si="40"/>
        <v>1.2951594218081489E-7</v>
      </c>
      <c r="U105" s="9">
        <f t="shared" si="41"/>
        <v>3.9929813711579606E-5</v>
      </c>
      <c r="V105" s="100">
        <f t="shared" si="46"/>
        <v>3.2435899430017972E-3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310</v>
      </c>
      <c r="C106" s="46" t="s">
        <v>222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1.6248833107371423</v>
      </c>
      <c r="J106" s="54">
        <f t="shared" si="34"/>
        <v>2.7421076871513792</v>
      </c>
      <c r="K106" s="55">
        <f t="shared" si="35"/>
        <v>2.3574543020787028E-2</v>
      </c>
      <c r="L106" s="55">
        <f t="shared" si="36"/>
        <v>9.6181999525588675E-4</v>
      </c>
      <c r="M106" s="55">
        <f t="shared" si="42"/>
        <v>0.99903818000474409</v>
      </c>
      <c r="N106" s="55">
        <f t="shared" si="37"/>
        <v>7.0787425661730444E-5</v>
      </c>
      <c r="O106" s="56">
        <f t="shared" si="43"/>
        <v>2.3699036760116459E-8</v>
      </c>
      <c r="P106" s="56">
        <f t="shared" si="38"/>
        <v>1.308694815000732E-5</v>
      </c>
      <c r="Q106" s="56">
        <f t="shared" si="39"/>
        <v>1.9263300282317439E-5</v>
      </c>
      <c r="R106" s="9">
        <f t="shared" si="44"/>
        <v>3.9999999999999996E-5</v>
      </c>
      <c r="S106" s="9">
        <f t="shared" si="45"/>
        <v>3.8472799810235469E-8</v>
      </c>
      <c r="T106" s="9">
        <f t="shared" si="40"/>
        <v>9.4298172083148109E-7</v>
      </c>
      <c r="U106" s="9">
        <f t="shared" si="41"/>
        <v>3.996152720018976E-5</v>
      </c>
      <c r="V106" s="100">
        <f t="shared" si="46"/>
        <v>2.3597239317395338E-2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311</v>
      </c>
      <c r="C107" s="46" t="s">
        <v>223</v>
      </c>
      <c r="D107" s="47" t="s">
        <v>301</v>
      </c>
      <c r="E107" s="47" t="s">
        <v>312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3.9999999999999996E-5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313</v>
      </c>
      <c r="C108" s="46" t="s">
        <v>224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2.3046271115114854</v>
      </c>
      <c r="J108" s="54">
        <f t="shared" si="34"/>
        <v>3.4941063050425574</v>
      </c>
      <c r="K108" s="55">
        <f t="shared" si="35"/>
        <v>4.927468732039848E-3</v>
      </c>
      <c r="L108" s="55">
        <f t="shared" si="36"/>
        <v>1.1357245493285146E-3</v>
      </c>
      <c r="M108" s="55">
        <f t="shared" si="42"/>
        <v>0.99886427545067147</v>
      </c>
      <c r="N108" s="55">
        <f t="shared" si="37"/>
        <v>2.4554817615848851E-4</v>
      </c>
      <c r="O108" s="56">
        <f t="shared" si="43"/>
        <v>4.9534899790833051E-9</v>
      </c>
      <c r="P108" s="56">
        <f t="shared" si="38"/>
        <v>1.5453170409291024E-5</v>
      </c>
      <c r="Q108" s="56">
        <f t="shared" si="39"/>
        <v>6.6820741210730936E-5</v>
      </c>
      <c r="R108" s="9">
        <f t="shared" si="44"/>
        <v>3.9999999999999996E-5</v>
      </c>
      <c r="S108" s="9">
        <f t="shared" si="45"/>
        <v>4.5428981973140582E-8</v>
      </c>
      <c r="T108" s="9">
        <f t="shared" si="40"/>
        <v>1.9709874928159391E-7</v>
      </c>
      <c r="U108" s="9">
        <f t="shared" si="41"/>
        <v>3.9954571018026853E-5</v>
      </c>
      <c r="V108" s="100">
        <f t="shared" si="46"/>
        <v>4.9330713422668492E-3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314</v>
      </c>
      <c r="C109" s="46" t="s">
        <v>225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2.5263589248425813</v>
      </c>
      <c r="J109" s="54">
        <f t="shared" si="34"/>
        <v>3.8560205528257723</v>
      </c>
      <c r="K109" s="55">
        <f t="shared" si="35"/>
        <v>2.955998422812941E-3</v>
      </c>
      <c r="L109" s="55">
        <f t="shared" si="36"/>
        <v>1.5677166907952327E-3</v>
      </c>
      <c r="M109" s="55">
        <f t="shared" si="42"/>
        <v>0.99843228330920475</v>
      </c>
      <c r="N109" s="55">
        <f t="shared" si="37"/>
        <v>7.2146793432524298E-4</v>
      </c>
      <c r="O109" s="56">
        <f t="shared" si="43"/>
        <v>2.9716086213556401E-9</v>
      </c>
      <c r="P109" s="56">
        <f t="shared" si="38"/>
        <v>2.1331046503020492E-5</v>
      </c>
      <c r="Q109" s="56">
        <f t="shared" si="39"/>
        <v>1.9633223461725603E-4</v>
      </c>
      <c r="R109" s="9">
        <f t="shared" si="44"/>
        <v>3.9999999999999996E-5</v>
      </c>
      <c r="S109" s="9">
        <f t="shared" si="45"/>
        <v>6.2708667631809306E-8</v>
      </c>
      <c r="T109" s="9">
        <f t="shared" si="40"/>
        <v>1.1823993691251763E-7</v>
      </c>
      <c r="U109" s="9">
        <f t="shared" si="41"/>
        <v>3.9937291332368183E-5</v>
      </c>
      <c r="V109" s="100">
        <f t="shared" si="46"/>
        <v>2.9606398673484168E-3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204</v>
      </c>
      <c r="C110" s="46" t="s">
        <v>205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0.92627477267552383</v>
      </c>
      <c r="J110" s="54">
        <f t="shared" si="34"/>
        <v>1.9780660616097288</v>
      </c>
      <c r="K110" s="55">
        <f t="shared" si="35"/>
        <v>0.1177904953463611</v>
      </c>
      <c r="L110" s="55">
        <f t="shared" si="36"/>
        <v>8.274069052089829E-4</v>
      </c>
      <c r="M110" s="55">
        <f t="shared" si="42"/>
        <v>0.99917259309479101</v>
      </c>
      <c r="N110" s="55">
        <f t="shared" si="37"/>
        <v>1.0930073533939197E-5</v>
      </c>
      <c r="O110" s="56">
        <f t="shared" si="43"/>
        <v>1.1841252985240453E-7</v>
      </c>
      <c r="P110" s="56">
        <f t="shared" si="38"/>
        <v>1.1258064212469602E-5</v>
      </c>
      <c r="Q110" s="56">
        <f t="shared" si="39"/>
        <v>2.9743882705697803E-6</v>
      </c>
      <c r="R110" s="9">
        <f t="shared" si="44"/>
        <v>3.9999999999999996E-5</v>
      </c>
      <c r="S110" s="9">
        <f t="shared" si="45"/>
        <v>3.3096276208359315E-8</v>
      </c>
      <c r="T110" s="9">
        <f t="shared" si="40"/>
        <v>4.7116198138544433E-6</v>
      </c>
      <c r="U110" s="9">
        <f t="shared" si="41"/>
        <v>3.9966903723791639E-5</v>
      </c>
      <c r="V110" s="100">
        <f t="shared" si="46"/>
        <v>0.1178880367219864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206</v>
      </c>
      <c r="C111" s="46" t="s">
        <v>207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0.75430624695958448</v>
      </c>
      <c r="J111" s="54">
        <f t="shared" si="34"/>
        <v>2.3495507007911449</v>
      </c>
      <c r="K111" s="55">
        <f t="shared" si="35"/>
        <v>0.17465584803118173</v>
      </c>
      <c r="L111" s="55">
        <f t="shared" si="36"/>
        <v>2.8858693377825811E-3</v>
      </c>
      <c r="M111" s="55">
        <f t="shared" si="42"/>
        <v>0.99711413066221743</v>
      </c>
      <c r="N111" s="55">
        <f t="shared" si="37"/>
        <v>2.3411615337847486E-3</v>
      </c>
      <c r="O111" s="56">
        <f t="shared" si="43"/>
        <v>1.7557818020949722E-7</v>
      </c>
      <c r="P111" s="56">
        <f t="shared" si="38"/>
        <v>3.9266414274542961E-5</v>
      </c>
      <c r="Q111" s="56">
        <f t="shared" si="39"/>
        <v>6.3709758072312442E-4</v>
      </c>
      <c r="R111" s="9">
        <f t="shared" si="44"/>
        <v>3.9999999999999996E-5</v>
      </c>
      <c r="S111" s="9">
        <f t="shared" si="45"/>
        <v>1.1543477351130323E-7</v>
      </c>
      <c r="T111" s="9">
        <f t="shared" si="40"/>
        <v>6.9862339212472682E-6</v>
      </c>
      <c r="U111" s="9">
        <f t="shared" si="41"/>
        <v>3.9884565226488694E-5</v>
      </c>
      <c r="V111" s="100">
        <f t="shared" si="46"/>
        <v>0.17516134077368539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208</v>
      </c>
      <c r="C112" s="46" t="s">
        <v>209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3.5207953657582807</v>
      </c>
      <c r="J112" s="54">
        <f t="shared" si="34"/>
        <v>5.4568603611336437</v>
      </c>
      <c r="K112" s="55">
        <f t="shared" si="35"/>
        <v>2.9799072634774328E-4</v>
      </c>
      <c r="L112" s="55">
        <f t="shared" si="36"/>
        <v>6.3038510250480592E-3</v>
      </c>
      <c r="M112" s="55">
        <f t="shared" si="42"/>
        <v>0.99369614897495195</v>
      </c>
      <c r="N112" s="55">
        <f t="shared" si="37"/>
        <v>5.9570683675071274E-3</v>
      </c>
      <c r="O112" s="56">
        <f t="shared" si="43"/>
        <v>2.9956437211367872E-10</v>
      </c>
      <c r="P112" s="56">
        <f t="shared" si="38"/>
        <v>8.5772984463923865E-5</v>
      </c>
      <c r="Q112" s="56">
        <f t="shared" si="39"/>
        <v>1.6210901257230313E-3</v>
      </c>
      <c r="R112" s="9">
        <f t="shared" si="44"/>
        <v>3.9999999999999996E-5</v>
      </c>
      <c r="S112" s="9">
        <f t="shared" si="45"/>
        <v>2.5215404100192233E-7</v>
      </c>
      <c r="T112" s="9">
        <f t="shared" si="40"/>
        <v>1.1919629053909731E-8</v>
      </c>
      <c r="U112" s="9">
        <f t="shared" si="41"/>
        <v>3.9747845958998074E-5</v>
      </c>
      <c r="V112" s="100">
        <f t="shared" si="46"/>
        <v>2.9988113233118176E-4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210</v>
      </c>
      <c r="C113" s="46" t="s">
        <v>211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3.8666483056990257</v>
      </c>
      <c r="J113" s="54">
        <f t="shared" si="34"/>
        <v>5.8376711731613922</v>
      </c>
      <c r="K113" s="55">
        <f t="shared" si="35"/>
        <v>1.3431372328045278E-4</v>
      </c>
      <c r="L113" s="55">
        <f t="shared" si="36"/>
        <v>6.8286427516241113E-3</v>
      </c>
      <c r="M113" s="55">
        <f t="shared" si="42"/>
        <v>0.99317135724837591</v>
      </c>
      <c r="N113" s="55">
        <f t="shared" si="37"/>
        <v>6.5373272221039384E-3</v>
      </c>
      <c r="O113" s="56">
        <f t="shared" si="43"/>
        <v>1.3502301455450625E-10</v>
      </c>
      <c r="P113" s="56">
        <f t="shared" si="38"/>
        <v>9.2913532746481082E-5</v>
      </c>
      <c r="Q113" s="56">
        <f t="shared" si="39"/>
        <v>1.7789952967768063E-3</v>
      </c>
      <c r="R113" s="9">
        <f t="shared" si="44"/>
        <v>3.9999999999999996E-5</v>
      </c>
      <c r="S113" s="9">
        <f t="shared" si="45"/>
        <v>2.7314571006496445E-7</v>
      </c>
      <c r="T113" s="9">
        <f t="shared" si="40"/>
        <v>5.3725489312181111E-9</v>
      </c>
      <c r="U113" s="9">
        <f t="shared" si="41"/>
        <v>3.9726854289935036E-5</v>
      </c>
      <c r="V113" s="100">
        <f t="shared" si="46"/>
        <v>1.3523720987340467E-4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107</v>
      </c>
      <c r="C114" s="46" t="s">
        <v>108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4.2676323009395754</v>
      </c>
      <c r="J114" s="54">
        <f t="shared" si="34"/>
        <v>6.2686756056738835</v>
      </c>
      <c r="K114" s="55">
        <f t="shared" si="35"/>
        <v>5.3324181095176906E-5</v>
      </c>
      <c r="L114" s="55">
        <f t="shared" si="36"/>
        <v>7.3137924467737633E-3</v>
      </c>
      <c r="M114" s="55">
        <f t="shared" si="42"/>
        <v>0.99268620755322623</v>
      </c>
      <c r="N114" s="55">
        <f t="shared" si="37"/>
        <v>7.0738204185760616E-3</v>
      </c>
      <c r="O114" s="56">
        <f t="shared" si="43"/>
        <v>5.3605778354363007E-11</v>
      </c>
      <c r="P114" s="56">
        <f t="shared" si="38"/>
        <v>9.9514694020661276E-5</v>
      </c>
      <c r="Q114" s="56">
        <f t="shared" si="39"/>
        <v>1.9249905698984565E-3</v>
      </c>
      <c r="R114" s="9">
        <f t="shared" si="44"/>
        <v>3.9999999999999996E-5</v>
      </c>
      <c r="S114" s="9">
        <f t="shared" si="45"/>
        <v>2.9255169787095048E-7</v>
      </c>
      <c r="T114" s="9">
        <f t="shared" si="40"/>
        <v>2.1329672438070761E-9</v>
      </c>
      <c r="U114" s="9">
        <f t="shared" si="41"/>
        <v>3.9707448302129046E-5</v>
      </c>
      <c r="V114" s="100">
        <f t="shared" si="46"/>
        <v>5.3717056497249412E-5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109</v>
      </c>
      <c r="C115" s="46" t="s">
        <v>110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2.8686693929579801</v>
      </c>
      <c r="J115" s="54">
        <f t="shared" si="34"/>
        <v>4.8544220902765449</v>
      </c>
      <c r="K115" s="55">
        <f t="shared" si="35"/>
        <v>1.3365862932254006E-3</v>
      </c>
      <c r="L115" s="55">
        <f t="shared" si="36"/>
        <v>7.0625563289662503E-3</v>
      </c>
      <c r="M115" s="55">
        <f t="shared" si="42"/>
        <v>0.99293744367103376</v>
      </c>
      <c r="N115" s="55">
        <f t="shared" si="37"/>
        <v>6.7971659151357987E-3</v>
      </c>
      <c r="O115" s="56">
        <f t="shared" si="43"/>
        <v>1.343644611405031E-9</v>
      </c>
      <c r="P115" s="56">
        <f t="shared" si="38"/>
        <v>9.6096264310971801E-5</v>
      </c>
      <c r="Q115" s="56">
        <f t="shared" si="39"/>
        <v>1.84970489981784E-3</v>
      </c>
      <c r="R115" s="9">
        <f t="shared" si="44"/>
        <v>3.9999999999999996E-5</v>
      </c>
      <c r="S115" s="9">
        <f t="shared" si="45"/>
        <v>2.8250225315864997E-7</v>
      </c>
      <c r="T115" s="9">
        <f t="shared" si="40"/>
        <v>5.3463451729016021E-8</v>
      </c>
      <c r="U115" s="9">
        <f t="shared" si="41"/>
        <v>3.9717497746841349E-5</v>
      </c>
      <c r="V115" s="100">
        <f t="shared" si="46"/>
        <v>1.3460931519349772E-3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226</v>
      </c>
      <c r="C116" s="46" t="s">
        <v>227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-6.405424315775722E-4</v>
      </c>
      <c r="J116" s="54">
        <f t="shared" si="34"/>
        <v>-2.3915236456629692E-2</v>
      </c>
      <c r="K116" s="55">
        <f t="shared" si="35"/>
        <v>0.99621894474886041</v>
      </c>
      <c r="L116" s="55">
        <f t="shared" si="36"/>
        <v>6.9659826931447097E-5</v>
      </c>
      <c r="M116" s="55">
        <f t="shared" si="42"/>
        <v>0.99993034017306859</v>
      </c>
      <c r="N116" s="55">
        <f t="shared" si="37"/>
        <v>8.2098775075059855E-7</v>
      </c>
      <c r="O116" s="56">
        <f t="shared" si="43"/>
        <v>1.0014798323729916E-6</v>
      </c>
      <c r="P116" s="56">
        <f t="shared" si="38"/>
        <v>9.478224071935587E-7</v>
      </c>
      <c r="Q116" s="56">
        <f t="shared" si="39"/>
        <v>2.2341444717014388E-7</v>
      </c>
      <c r="R116" s="9">
        <f t="shared" si="44"/>
        <v>3.9999999999999996E-5</v>
      </c>
      <c r="S116" s="9">
        <f t="shared" si="45"/>
        <v>2.7863930772578834E-9</v>
      </c>
      <c r="T116" s="9">
        <f t="shared" si="40"/>
        <v>3.9848757789954412E-5</v>
      </c>
      <c r="U116" s="9">
        <f t="shared" si="41"/>
        <v>3.9997213606922742E-5</v>
      </c>
      <c r="V116" s="100">
        <f t="shared" si="46"/>
        <v>0.99628834602261818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228</v>
      </c>
      <c r="C117" s="46" t="s">
        <v>229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0.13401854480859055</v>
      </c>
      <c r="J117" s="54">
        <f t="shared" si="34"/>
        <v>1.0376508814998808</v>
      </c>
      <c r="K117" s="55">
        <f t="shared" si="35"/>
        <v>0.73024796262098524</v>
      </c>
      <c r="L117" s="55">
        <f t="shared" si="36"/>
        <v>5.8838835213933204E-4</v>
      </c>
      <c r="M117" s="55">
        <f t="shared" si="42"/>
        <v>0.99941161164786063</v>
      </c>
      <c r="N117" s="55">
        <f t="shared" si="37"/>
        <v>3.238412667208757E-4</v>
      </c>
      <c r="O117" s="56">
        <f t="shared" si="43"/>
        <v>7.3410429610003608E-7</v>
      </c>
      <c r="P117" s="56">
        <f t="shared" si="38"/>
        <v>8.0058720909280864E-6</v>
      </c>
      <c r="Q117" s="56">
        <f t="shared" si="39"/>
        <v>8.8126549402443451E-5</v>
      </c>
      <c r="R117" s="9">
        <f t="shared" si="44"/>
        <v>3.9999999999999996E-5</v>
      </c>
      <c r="S117" s="9">
        <f t="shared" si="45"/>
        <v>2.353553408557328E-8</v>
      </c>
      <c r="T117" s="9">
        <f t="shared" si="40"/>
        <v>2.9209918504839408E-5</v>
      </c>
      <c r="U117" s="9">
        <f t="shared" si="41"/>
        <v>3.9976464465914424E-5</v>
      </c>
      <c r="V117" s="100">
        <f t="shared" si="46"/>
        <v>0.73067788497767194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230</v>
      </c>
      <c r="C118" s="46" t="s">
        <v>231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0.76376170277705713</v>
      </c>
      <c r="J118" s="54">
        <f t="shared" si="34"/>
        <v>2.3631678945687002</v>
      </c>
      <c r="K118" s="55">
        <f t="shared" si="35"/>
        <v>0.17088959013576749</v>
      </c>
      <c r="L118" s="55">
        <f t="shared" si="36"/>
        <v>2.9135758856804381E-3</v>
      </c>
      <c r="M118" s="55">
        <f t="shared" si="42"/>
        <v>0.99708642411431958</v>
      </c>
      <c r="N118" s="55">
        <f t="shared" si="37"/>
        <v>2.3682548005781469E-3</v>
      </c>
      <c r="O118" s="56">
        <f t="shared" si="43"/>
        <v>1.7179203325289245E-7</v>
      </c>
      <c r="P118" s="56">
        <f t="shared" si="38"/>
        <v>3.9643401816435844E-5</v>
      </c>
      <c r="Q118" s="56">
        <f t="shared" si="39"/>
        <v>6.4447044008326244E-4</v>
      </c>
      <c r="R118" s="9">
        <f t="shared" si="44"/>
        <v>3.9999999999999996E-5</v>
      </c>
      <c r="S118" s="9">
        <f t="shared" si="45"/>
        <v>1.1654303542721751E-7</v>
      </c>
      <c r="T118" s="9">
        <f t="shared" si="40"/>
        <v>6.8355836054306993E-6</v>
      </c>
      <c r="U118" s="9">
        <f t="shared" si="41"/>
        <v>3.988345696457278E-5</v>
      </c>
      <c r="V118" s="100">
        <f t="shared" si="46"/>
        <v>0.17138894483250369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232</v>
      </c>
      <c r="C119" s="46" t="s">
        <v>233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-2.0389427152517209E-3</v>
      </c>
      <c r="J119" s="54">
        <f t="shared" si="34"/>
        <v>-4.7308877203311159E-2</v>
      </c>
      <c r="K119" s="55">
        <f t="shared" si="35"/>
        <v>0.9994353137740053</v>
      </c>
      <c r="L119" s="55">
        <f t="shared" si="36"/>
        <v>6.6219918925255249E-5</v>
      </c>
      <c r="M119" s="55">
        <f t="shared" si="42"/>
        <v>0.9999337800810747</v>
      </c>
      <c r="N119" s="55">
        <f t="shared" si="37"/>
        <v>4.8033385910775476E-8</v>
      </c>
      <c r="O119" s="56">
        <f t="shared" si="43"/>
        <v>1.0047131865760314E-6</v>
      </c>
      <c r="P119" s="56">
        <f t="shared" si="38"/>
        <v>9.0101749781355416E-7</v>
      </c>
      <c r="Q119" s="56">
        <f t="shared" si="39"/>
        <v>1.3071269759085691E-8</v>
      </c>
      <c r="R119" s="9">
        <f t="shared" si="44"/>
        <v>3.9999999999999996E-5</v>
      </c>
      <c r="S119" s="9">
        <f t="shared" si="45"/>
        <v>2.6487967570102097E-9</v>
      </c>
      <c r="T119" s="9">
        <f t="shared" si="40"/>
        <v>3.9977412550960211E-5</v>
      </c>
      <c r="U119" s="9">
        <f t="shared" si="41"/>
        <v>3.9997351203242984E-5</v>
      </c>
      <c r="V119" s="100">
        <f t="shared" si="46"/>
        <v>0.99950150068234622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234</v>
      </c>
      <c r="C120" s="46" t="s">
        <v>235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-2.255492076189E-3</v>
      </c>
      <c r="J120" s="54">
        <f t="shared" si="34"/>
        <v>-5.0609991659574749E-2</v>
      </c>
      <c r="K120" s="55">
        <f t="shared" si="35"/>
        <v>0.99993424842986034</v>
      </c>
      <c r="L120" s="55">
        <f t="shared" si="36"/>
        <v>6.5751290802765035E-5</v>
      </c>
      <c r="M120" s="55">
        <f t="shared" si="42"/>
        <v>0.99993424870919723</v>
      </c>
      <c r="N120" s="55">
        <f t="shared" si="37"/>
        <v>6.2320980730433309E-17</v>
      </c>
      <c r="O120" s="56">
        <f t="shared" si="43"/>
        <v>1.0052147560333728E-6</v>
      </c>
      <c r="P120" s="56">
        <f t="shared" si="38"/>
        <v>8.9464113636243588E-7</v>
      </c>
      <c r="Q120" s="56">
        <f t="shared" si="39"/>
        <v>1.6959336414290343E-17</v>
      </c>
      <c r="R120" s="9">
        <f t="shared" si="44"/>
        <v>3.9999999999999996E-5</v>
      </c>
      <c r="S120" s="9">
        <f t="shared" si="45"/>
        <v>2.630051632110601E-9</v>
      </c>
      <c r="T120" s="9">
        <f t="shared" si="40"/>
        <v>3.9997369937194413E-5</v>
      </c>
      <c r="U120" s="9">
        <f t="shared" si="41"/>
        <v>3.9997369948367882E-5</v>
      </c>
      <c r="V120" s="100">
        <f t="shared" si="46"/>
        <v>0.99999999972064479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236</v>
      </c>
      <c r="C121" s="46" t="s">
        <v>237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1.502652106892244E-2</v>
      </c>
      <c r="J121" s="54">
        <f t="shared" si="34"/>
        <v>0.22547827329253003</v>
      </c>
      <c r="K121" s="55">
        <f t="shared" si="35"/>
        <v>0.96087339073376976</v>
      </c>
      <c r="L121" s="55">
        <f t="shared" si="36"/>
        <v>1.19312864167942E-4</v>
      </c>
      <c r="M121" s="55">
        <f t="shared" si="42"/>
        <v>0.999880687135832</v>
      </c>
      <c r="N121" s="55">
        <f t="shared" si="37"/>
        <v>2.2422199709186566E-5</v>
      </c>
      <c r="O121" s="56">
        <f t="shared" si="43"/>
        <v>9.6594762361833151E-7</v>
      </c>
      <c r="P121" s="56">
        <f t="shared" si="38"/>
        <v>1.6234235872579365E-6</v>
      </c>
      <c r="Q121" s="56">
        <f t="shared" si="39"/>
        <v>6.1017272764259032E-6</v>
      </c>
      <c r="R121" s="9">
        <f t="shared" si="44"/>
        <v>3.9999999999999996E-5</v>
      </c>
      <c r="S121" s="9">
        <f t="shared" si="45"/>
        <v>4.7725145667176791E-9</v>
      </c>
      <c r="T121" s="9">
        <f t="shared" si="40"/>
        <v>3.8434935629350788E-5</v>
      </c>
      <c r="U121" s="9">
        <f t="shared" si="41"/>
        <v>3.9995227485433274E-5</v>
      </c>
      <c r="V121" s="100">
        <f t="shared" si="46"/>
        <v>0.96098804897032364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238</v>
      </c>
      <c r="C122" s="46" t="s">
        <v>239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3.4865950332654698</v>
      </c>
      <c r="J122" s="54">
        <f t="shared" si="34"/>
        <v>5.5157795819294879</v>
      </c>
      <c r="K122" s="55">
        <f t="shared" si="35"/>
        <v>3.2192068301048666E-4</v>
      </c>
      <c r="L122" s="55">
        <f t="shared" si="36"/>
        <v>7.7995813776425265E-3</v>
      </c>
      <c r="M122" s="55">
        <f t="shared" si="42"/>
        <v>0.99220041862235753</v>
      </c>
      <c r="N122" s="55">
        <f t="shared" si="37"/>
        <v>7.611350098970771E-3</v>
      </c>
      <c r="O122" s="56">
        <f t="shared" si="43"/>
        <v>3.2362069940359857E-10</v>
      </c>
      <c r="P122" s="56">
        <f t="shared" si="38"/>
        <v>1.0612455301869106E-4</v>
      </c>
      <c r="Q122" s="56">
        <f t="shared" si="39"/>
        <v>2.0712679001913051E-3</v>
      </c>
      <c r="R122" s="9">
        <f t="shared" si="44"/>
        <v>3.9999999999999996E-5</v>
      </c>
      <c r="S122" s="9">
        <f t="shared" si="45"/>
        <v>3.1198325510570105E-7</v>
      </c>
      <c r="T122" s="9">
        <f t="shared" si="40"/>
        <v>1.2876827320419466E-8</v>
      </c>
      <c r="U122" s="9">
        <f t="shared" si="41"/>
        <v>3.96880167448943E-5</v>
      </c>
      <c r="V122" s="100">
        <f t="shared" si="46"/>
        <v>3.2445126707108683E-4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240</v>
      </c>
      <c r="C123" s="46" t="s">
        <v>241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9.3867444440884892E-2</v>
      </c>
      <c r="J123" s="54">
        <f t="shared" ref="J123:J127" si="48">IF(D123=0,"",LOG($K$21*10^D123+$K$22*10^E123+$K$20))</f>
        <v>0.9134404490197624</v>
      </c>
      <c r="K123" s="55">
        <f t="shared" ref="K123:K127" si="49">IF(D123=0,"",1/(1+10^D123*$J$15/$J$14+10^E123*$J$16/$J$14+10^J123*$J$19/$J$14))</f>
        <v>0.80106254138424104</v>
      </c>
      <c r="L123" s="55">
        <f t="shared" ref="L123:L127" si="50">IF(D123=0,"",1/(1+10^I123/10^J123*$J$13/$J$19))</f>
        <v>4.8489723134485536E-4</v>
      </c>
      <c r="M123" s="55">
        <f t="shared" si="42"/>
        <v>0.99951510276865518</v>
      </c>
      <c r="N123" s="55">
        <f t="shared" ref="N123:N127" si="51">IF(D123=0,"",1/(1/10^E123*$J$20/$J$22+10^D123/10^E123*$J$21/$J$22+10^I123/10^E123*$J$13/$J$22+1))</f>
        <v>2.7612660911266977E-4</v>
      </c>
      <c r="O123" s="56">
        <f t="shared" si="43"/>
        <v>8.0529283637344719E-7</v>
      </c>
      <c r="P123" s="56">
        <f t="shared" ref="P123:P127" si="52">IF(D123=0,"",O123*10^J123)</f>
        <v>6.5977261400184923E-6</v>
      </c>
      <c r="Q123" s="56">
        <f t="shared" ref="Q123:Q127" si="53">IF(D123=0,"",F123*N123*$J$7/$J$22)</f>
        <v>7.514201480773866E-5</v>
      </c>
      <c r="R123" s="9">
        <f t="shared" si="44"/>
        <v>3.9999999999999996E-5</v>
      </c>
      <c r="S123" s="9">
        <f t="shared" si="45"/>
        <v>1.9395889253794214E-8</v>
      </c>
      <c r="T123" s="9">
        <f t="shared" si="40"/>
        <v>3.2042501655369638E-5</v>
      </c>
      <c r="U123" s="9">
        <f t="shared" si="41"/>
        <v>3.9980604110746203E-5</v>
      </c>
      <c r="V123" s="100">
        <f t="shared" si="46"/>
        <v>0.8014511628341574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242</v>
      </c>
      <c r="C124" s="46" t="s">
        <v>243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0.17110445915344102</v>
      </c>
      <c r="J124" s="54">
        <f t="shared" si="48"/>
        <v>0.97331271643662465</v>
      </c>
      <c r="K124" s="55">
        <f t="shared" si="49"/>
        <v>0.67056003084572313</v>
      </c>
      <c r="L124" s="55">
        <f t="shared" si="50"/>
        <v>4.6590053717857213E-4</v>
      </c>
      <c r="M124" s="55">
        <f t="shared" si="42"/>
        <v>0.99953409946282146</v>
      </c>
      <c r="N124" s="55">
        <f t="shared" si="51"/>
        <v>1.3211328732620881E-4</v>
      </c>
      <c r="O124" s="56">
        <f t="shared" si="43"/>
        <v>6.741011610220847E-7</v>
      </c>
      <c r="P124" s="56">
        <f t="shared" si="52"/>
        <v>6.3392487192932619E-6</v>
      </c>
      <c r="Q124" s="56">
        <f t="shared" si="53"/>
        <v>3.5951836096007426E-5</v>
      </c>
      <c r="R124" s="9">
        <f t="shared" si="44"/>
        <v>3.9999999999999996E-5</v>
      </c>
      <c r="S124" s="9">
        <f t="shared" si="45"/>
        <v>1.8636021487142884E-8</v>
      </c>
      <c r="T124" s="9">
        <f t="shared" si="40"/>
        <v>2.6822401233828922E-5</v>
      </c>
      <c r="U124" s="9">
        <f t="shared" si="41"/>
        <v>3.9981363978512852E-5</v>
      </c>
      <c r="V124" s="100">
        <f t="shared" si="46"/>
        <v>0.67087259074613015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244</v>
      </c>
      <c r="C125" s="46" t="s">
        <v>245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5.8063156695311677E-3</v>
      </c>
      <c r="J125" s="54">
        <f t="shared" si="48"/>
        <v>7.3650487553540506E-2</v>
      </c>
      <c r="K125" s="55">
        <f t="shared" si="49"/>
        <v>0.98152389291744402</v>
      </c>
      <c r="L125" s="55">
        <f t="shared" si="50"/>
        <v>8.5919985445849435E-5</v>
      </c>
      <c r="M125" s="55">
        <f t="shared" si="42"/>
        <v>0.99991408001455417</v>
      </c>
      <c r="N125" s="55">
        <f t="shared" si="51"/>
        <v>4.9539168358883083E-6</v>
      </c>
      <c r="O125" s="56">
        <f t="shared" si="43"/>
        <v>9.867071781061633E-7</v>
      </c>
      <c r="P125" s="56">
        <f t="shared" si="52"/>
        <v>1.1690653138065264E-6</v>
      </c>
      <c r="Q125" s="56">
        <f t="shared" si="53"/>
        <v>1.3481036595308153E-6</v>
      </c>
      <c r="R125" s="9">
        <f t="shared" si="44"/>
        <v>3.9999999999999996E-5</v>
      </c>
      <c r="S125" s="9">
        <f t="shared" si="45"/>
        <v>3.436799417833977E-9</v>
      </c>
      <c r="T125" s="9">
        <f t="shared" si="40"/>
        <v>3.9260955716697758E-5</v>
      </c>
      <c r="U125" s="9">
        <f t="shared" si="41"/>
        <v>3.999656320058216E-5</v>
      </c>
      <c r="V125" s="100">
        <f t="shared" si="46"/>
        <v>0.98160823268250963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246</v>
      </c>
      <c r="C126" s="46" t="s">
        <v>247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2.4596069923312118</v>
      </c>
      <c r="J126" s="54">
        <f t="shared" si="48"/>
        <v>4.4066096160793249</v>
      </c>
      <c r="K126" s="55">
        <f t="shared" si="49"/>
        <v>3.4302146946270013E-3</v>
      </c>
      <c r="L126" s="55">
        <f t="shared" si="50"/>
        <v>6.463589256749982E-3</v>
      </c>
      <c r="M126" s="55">
        <f t="shared" si="42"/>
        <v>0.99353641074325005</v>
      </c>
      <c r="N126" s="55">
        <f t="shared" si="51"/>
        <v>6.1366890975211369E-3</v>
      </c>
      <c r="O126" s="56">
        <f t="shared" si="43"/>
        <v>3.4483291604582301E-9</v>
      </c>
      <c r="P126" s="56">
        <f t="shared" si="52"/>
        <v>8.7946453477011626E-5</v>
      </c>
      <c r="Q126" s="56">
        <f t="shared" si="53"/>
        <v>1.6699701072570897E-3</v>
      </c>
      <c r="R126" s="9">
        <f t="shared" si="44"/>
        <v>3.9999999999999996E-5</v>
      </c>
      <c r="S126" s="9">
        <f t="shared" si="45"/>
        <v>2.5854357026999923E-7</v>
      </c>
      <c r="T126" s="9">
        <f t="shared" si="40"/>
        <v>1.3720858778508004E-7</v>
      </c>
      <c r="U126" s="9">
        <f t="shared" si="41"/>
        <v>3.9741456429730001E-5</v>
      </c>
      <c r="V126" s="100">
        <f t="shared" si="46"/>
        <v>3.4525304332439191E-3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248</v>
      </c>
      <c r="C127" s="46" t="s">
        <v>249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0.64263545610035988</v>
      </c>
      <c r="J127" s="54">
        <f t="shared" si="48"/>
        <v>2.1831984223328189</v>
      </c>
      <c r="K127" s="55">
        <f t="shared" si="49"/>
        <v>0.22594473266044698</v>
      </c>
      <c r="L127" s="55">
        <f t="shared" si="50"/>
        <v>2.5453263583608957E-3</v>
      </c>
      <c r="M127" s="55">
        <f t="shared" si="42"/>
        <v>0.99745467364163909</v>
      </c>
      <c r="N127" s="55">
        <f t="shared" si="51"/>
        <v>2.0128668126408651E-3</v>
      </c>
      <c r="O127" s="56">
        <f t="shared" si="43"/>
        <v>2.2713791399278014E-7</v>
      </c>
      <c r="P127" s="56">
        <f t="shared" si="52"/>
        <v>3.4632835916302523E-5</v>
      </c>
      <c r="Q127" s="56">
        <f t="shared" si="53"/>
        <v>5.4775911791880112E-4</v>
      </c>
      <c r="R127" s="9">
        <f t="shared" si="44"/>
        <v>3.9999999999999996E-5</v>
      </c>
      <c r="S127" s="9">
        <f t="shared" si="45"/>
        <v>1.0181305433443582E-7</v>
      </c>
      <c r="T127" s="9">
        <f t="shared" si="40"/>
        <v>9.0377893064178787E-6</v>
      </c>
      <c r="U127" s="9">
        <f t="shared" si="41"/>
        <v>3.9898186945665562E-5</v>
      </c>
      <c r="V127" s="100">
        <f t="shared" si="46"/>
        <v>0.22652130330447814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250</v>
      </c>
      <c r="C128" s="46" t="s">
        <v>251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1.4450204174697026</v>
      </c>
      <c r="J128" s="54">
        <f t="shared" ref="J128:J134" si="55">IF(D128=0,"",LOG($K$21*10^D128+$K$22*10^E128+$K$20))</f>
        <v>3.1029128175372134</v>
      </c>
      <c r="K128" s="55">
        <f t="shared" ref="K128:K134" si="56">IF(D128=0,"",1/(1+10^D128*$J$15/$J$14+10^E128*$J$16/$J$14+10^J128*$J$19/$J$14))</f>
        <v>3.5585618682433047E-2</v>
      </c>
      <c r="L128" s="55">
        <f t="shared" ref="L128:L134" si="57">IF(D128=0,"",1/(1+10^I128/10^J128*$J$13/$J$19))</f>
        <v>3.332193167731068E-3</v>
      </c>
      <c r="M128" s="55">
        <f t="shared" ref="M128:M134" si="58">IF(D128=0,"",1-L128)</f>
        <v>0.99666780683226897</v>
      </c>
      <c r="N128" s="55">
        <f t="shared" ref="N128:N134" si="59">IF(D128=0,"",1/(1/10^E128*$J$20/$J$22+10^D128/10^E128*$J$21/$J$22+10^I128/10^E128*$J$13/$J$22+1))</f>
        <v>2.7037115504524771E-3</v>
      </c>
      <c r="O128" s="56">
        <f t="shared" ref="O128:O134" si="60">IF(D128=0,"",F128*K128*$J$7/$J$14)</f>
        <v>3.5773541168659866E-8</v>
      </c>
      <c r="P128" s="56">
        <f t="shared" ref="P128:P134" si="61">IF(D128=0,"",O128*10^J128)</f>
        <v>4.5339293658896558E-5</v>
      </c>
      <c r="Q128" s="56">
        <f t="shared" ref="Q128:Q134" si="62">IF(D128=0,"",F128*N128*$J$7/$J$22)</f>
        <v>7.357578974833838E-4</v>
      </c>
      <c r="R128" s="9">
        <f t="shared" si="44"/>
        <v>3.9999999999999996E-5</v>
      </c>
      <c r="S128" s="9">
        <f t="shared" si="45"/>
        <v>1.3328772670924272E-7</v>
      </c>
      <c r="T128" s="9">
        <f t="shared" si="40"/>
        <v>1.4234247472973218E-6</v>
      </c>
      <c r="U128" s="9">
        <f t="shared" si="41"/>
        <v>3.9866712273290757E-5</v>
      </c>
      <c r="V128" s="100">
        <f t="shared" si="46"/>
        <v>3.5704593284231381E-2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252</v>
      </c>
      <c r="C129" s="46" t="s">
        <v>253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-2.1401866039787642E-3</v>
      </c>
      <c r="J129" s="54">
        <f t="shared" si="55"/>
        <v>-4.8884570023902382E-2</v>
      </c>
      <c r="K129" s="55">
        <f t="shared" si="56"/>
        <v>0.99966855632559437</v>
      </c>
      <c r="L129" s="55">
        <f t="shared" si="57"/>
        <v>6.5995495394697291E-5</v>
      </c>
      <c r="M129" s="55">
        <f t="shared" si="58"/>
        <v>0.99993400450460534</v>
      </c>
      <c r="N129" s="55">
        <f t="shared" si="59"/>
        <v>1.966307363025545E-8</v>
      </c>
      <c r="O129" s="56">
        <f t="shared" si="60"/>
        <v>1.0049476608476754E-6</v>
      </c>
      <c r="P129" s="56">
        <f t="shared" si="61"/>
        <v>8.9796389202188851E-7</v>
      </c>
      <c r="Q129" s="56">
        <f t="shared" si="62"/>
        <v>5.3508894873924553E-9</v>
      </c>
      <c r="R129" s="9">
        <f t="shared" si="44"/>
        <v>3.9999999999999996E-5</v>
      </c>
      <c r="S129" s="9">
        <f t="shared" si="45"/>
        <v>2.6398198157878914E-9</v>
      </c>
      <c r="T129" s="9">
        <f t="shared" si="40"/>
        <v>3.9986742253023774E-5</v>
      </c>
      <c r="U129" s="9">
        <f t="shared" si="41"/>
        <v>3.9997360180184211E-5</v>
      </c>
      <c r="V129" s="100">
        <f t="shared" si="46"/>
        <v>0.99973453430144876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254</v>
      </c>
      <c r="C130" s="46" t="s">
        <v>255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0.26355542441139918</v>
      </c>
      <c r="J130" s="54">
        <f t="shared" si="55"/>
        <v>1.4639587166510732</v>
      </c>
      <c r="K130" s="55">
        <f t="shared" si="56"/>
        <v>0.54160541804819617</v>
      </c>
      <c r="L130" s="55">
        <f t="shared" si="57"/>
        <v>1.1646208157738576E-3</v>
      </c>
      <c r="M130" s="55">
        <f t="shared" si="58"/>
        <v>0.99883537918422616</v>
      </c>
      <c r="N130" s="55">
        <f t="shared" si="59"/>
        <v>7.8334496367602911E-4</v>
      </c>
      <c r="O130" s="56">
        <f t="shared" si="60"/>
        <v>5.4446555763497182E-7</v>
      </c>
      <c r="P130" s="56">
        <f t="shared" si="61"/>
        <v>1.5846345787807032E-5</v>
      </c>
      <c r="Q130" s="56">
        <f t="shared" si="62"/>
        <v>2.1317075905601614E-4</v>
      </c>
      <c r="R130" s="9">
        <f t="shared" si="44"/>
        <v>3.9999999999999996E-5</v>
      </c>
      <c r="S130" s="9">
        <f t="shared" si="45"/>
        <v>4.6584832630954302E-8</v>
      </c>
      <c r="T130" s="9">
        <f t="shared" si="40"/>
        <v>2.1664216721927847E-5</v>
      </c>
      <c r="U130" s="9">
        <f t="shared" si="41"/>
        <v>3.9953415167369045E-5</v>
      </c>
      <c r="V130" s="100">
        <f t="shared" si="46"/>
        <v>0.5422369184505047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256</v>
      </c>
      <c r="C131" s="46" t="s">
        <v>257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4.79958444939446E-3</v>
      </c>
      <c r="J131" s="54">
        <f t="shared" si="55"/>
        <v>6.9804088254700969E-2</v>
      </c>
      <c r="K131" s="55">
        <f t="shared" si="56"/>
        <v>0.98380233809101825</v>
      </c>
      <c r="L131" s="55">
        <f t="shared" si="57"/>
        <v>8.5360071442085845E-5</v>
      </c>
      <c r="M131" s="55">
        <f t="shared" si="58"/>
        <v>0.99991463992855789</v>
      </c>
      <c r="N131" s="55">
        <f t="shared" si="59"/>
        <v>6.4821737606712974E-6</v>
      </c>
      <c r="O131" s="56">
        <f t="shared" si="60"/>
        <v>9.8899765541793267E-7</v>
      </c>
      <c r="P131" s="56">
        <f t="shared" si="61"/>
        <v>1.161446876290297E-6</v>
      </c>
      <c r="Q131" s="56">
        <f t="shared" si="62"/>
        <v>1.7639864491000562E-6</v>
      </c>
      <c r="R131" s="9">
        <f t="shared" si="44"/>
        <v>3.9999999999999996E-5</v>
      </c>
      <c r="S131" s="9">
        <f t="shared" si="45"/>
        <v>3.4144028576834336E-9</v>
      </c>
      <c r="T131" s="9">
        <f t="shared" si="40"/>
        <v>3.9352093523640728E-5</v>
      </c>
      <c r="U131" s="9">
        <f t="shared" si="41"/>
        <v>3.9996585597142312E-5</v>
      </c>
      <c r="V131" s="100">
        <f t="shared" si="46"/>
        <v>0.98388632269781462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258</v>
      </c>
      <c r="C132" s="46" t="s">
        <v>259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1.6027626042906213E-2</v>
      </c>
      <c r="J132" s="54">
        <f t="shared" si="55"/>
        <v>0.23910923501822953</v>
      </c>
      <c r="K132" s="55">
        <f t="shared" si="56"/>
        <v>0.95865762897332207</v>
      </c>
      <c r="L132" s="55">
        <f t="shared" si="57"/>
        <v>1.2283315275714684E-4</v>
      </c>
      <c r="M132" s="55">
        <f t="shared" si="58"/>
        <v>0.99987716684724282</v>
      </c>
      <c r="N132" s="55">
        <f t="shared" si="59"/>
        <v>2.4227161601065456E-5</v>
      </c>
      <c r="O132" s="56">
        <f t="shared" si="60"/>
        <v>9.6372016074169365E-7</v>
      </c>
      <c r="P132" s="56">
        <f t="shared" si="61"/>
        <v>1.6713221903928503E-6</v>
      </c>
      <c r="Q132" s="56">
        <f t="shared" si="62"/>
        <v>6.592909468692009E-6</v>
      </c>
      <c r="R132" s="9">
        <f t="shared" si="44"/>
        <v>3.9999999999999996E-5</v>
      </c>
      <c r="S132" s="9">
        <f t="shared" si="45"/>
        <v>4.9133261102858731E-9</v>
      </c>
      <c r="T132" s="9">
        <f t="shared" si="40"/>
        <v>3.8346305158932881E-5</v>
      </c>
      <c r="U132" s="9">
        <f t="shared" si="41"/>
        <v>3.999508667388971E-5</v>
      </c>
      <c r="V132" s="100">
        <f t="shared" si="46"/>
        <v>0.95877539837829096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260</v>
      </c>
      <c r="C133" s="46" t="s">
        <v>261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0.80804902693102654</v>
      </c>
      <c r="J133" s="54">
        <f t="shared" si="55"/>
        <v>2.4261279148275903</v>
      </c>
      <c r="K133" s="55">
        <f t="shared" si="56"/>
        <v>0.15430240556278116</v>
      </c>
      <c r="L133" s="55">
        <f t="shared" si="57"/>
        <v>3.0411892231836609E-3</v>
      </c>
      <c r="M133" s="55">
        <f t="shared" si="58"/>
        <v>0.99695881077681636</v>
      </c>
      <c r="N133" s="55">
        <f t="shared" si="59"/>
        <v>2.4937595596257658E-3</v>
      </c>
      <c r="O133" s="56">
        <f t="shared" si="60"/>
        <v>1.5511725416617078E-7</v>
      </c>
      <c r="P133" s="56">
        <f t="shared" si="61"/>
        <v>4.1379765314170955E-5</v>
      </c>
      <c r="Q133" s="56">
        <f t="shared" si="62"/>
        <v>6.7862390502133288E-4</v>
      </c>
      <c r="R133" s="9">
        <f t="shared" si="44"/>
        <v>3.9999999999999996E-5</v>
      </c>
      <c r="S133" s="9">
        <f t="shared" si="45"/>
        <v>1.2164756892734641E-7</v>
      </c>
      <c r="T133" s="9">
        <f t="shared" si="40"/>
        <v>6.172096222511246E-6</v>
      </c>
      <c r="U133" s="9">
        <f t="shared" si="41"/>
        <v>3.9878352431072654E-5</v>
      </c>
      <c r="V133" s="100">
        <f t="shared" si="46"/>
        <v>0.15477309984607177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262</v>
      </c>
      <c r="C134" s="46" t="s">
        <v>263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-2.2190435405287081E-3</v>
      </c>
      <c r="J134" s="54">
        <f t="shared" si="55"/>
        <v>-5.0078092325288266E-2</v>
      </c>
      <c r="K134" s="55">
        <f t="shared" si="56"/>
        <v>0.99985025657289339</v>
      </c>
      <c r="L134" s="55">
        <f t="shared" si="57"/>
        <v>6.5826338896368491E-5</v>
      </c>
      <c r="M134" s="55">
        <f t="shared" si="58"/>
        <v>0.9999341736611036</v>
      </c>
      <c r="N134" s="55">
        <f t="shared" si="59"/>
        <v>3.8369741879376345E-9</v>
      </c>
      <c r="O134" s="56">
        <f t="shared" si="60"/>
        <v>1.0051303206276025E-6</v>
      </c>
      <c r="P134" s="56">
        <f t="shared" si="61"/>
        <v>8.9566227390853548E-7</v>
      </c>
      <c r="Q134" s="56">
        <f t="shared" si="62"/>
        <v>1.0441513484463802E-9</v>
      </c>
      <c r="R134" s="9">
        <f t="shared" si="44"/>
        <v>3.9999999999999996E-5</v>
      </c>
      <c r="S134" s="9">
        <f t="shared" si="45"/>
        <v>2.6330535558547393E-9</v>
      </c>
      <c r="T134" s="9">
        <f t="shared" si="40"/>
        <v>3.9994010262915731E-5</v>
      </c>
      <c r="U134" s="9">
        <f t="shared" si="41"/>
        <v>3.999736694644414E-5</v>
      </c>
      <c r="V134" s="100">
        <f t="shared" si="46"/>
        <v>0.99991607738747146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264</v>
      </c>
      <c r="C135" s="46" t="s">
        <v>265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2.7672233265732864E-2</v>
      </c>
      <c r="J135" s="54">
        <f t="shared" ref="J135:J143" si="64">IF(D135=0,"",LOG($K$21*10^D135+$K$22*10^E135+$K$20))</f>
        <v>0.38035362640036074</v>
      </c>
      <c r="K135" s="55">
        <f t="shared" ref="K135:K143" si="65">IF(D135=0,"",1/(1+10^D135*$J$15/$J$14+10^E135*$J$16/$J$14+10^J135*$J$19/$J$14))</f>
        <v>0.93325510983507243</v>
      </c>
      <c r="L135" s="55">
        <f t="shared" ref="L135:L143" si="66">IF(D135=0,"",1/(1+10^I135/10^J135*$J$13/$J$19))</f>
        <v>1.6553766851767218E-4</v>
      </c>
      <c r="M135" s="55">
        <f t="shared" ref="M135:M143" si="67">IF(D135=0,"",1-L135)</f>
        <v>0.99983446233148232</v>
      </c>
      <c r="N135" s="55">
        <f t="shared" ref="N135:N143" si="68">IF(D135=0,"",1/(1/10^E135*$J$20/$J$22+10^D135/10^E135*$J$21/$J$22+10^I135/10^E135*$J$13/$J$22+1))</f>
        <v>4.7515055878691643E-5</v>
      </c>
      <c r="O135" s="56">
        <f t="shared" ref="O135:O143" si="69">IF(D135=0,"",F135*K135*$J$7/$J$14)</f>
        <v>9.3818349458760912E-7</v>
      </c>
      <c r="P135" s="56">
        <f t="shared" ref="P135:P143" si="70">IF(D135=0,"",O135*10^J135)</f>
        <v>2.2523787147797043E-6</v>
      </c>
      <c r="Q135" s="56">
        <f t="shared" ref="Q135:Q143" si="71">IF(D135=0,"",F135*N135*$J$7/$J$22)</f>
        <v>1.2930217206884006E-5</v>
      </c>
      <c r="R135" s="9">
        <f t="shared" si="44"/>
        <v>3.9999999999999996E-5</v>
      </c>
      <c r="S135" s="9">
        <f t="shared" si="45"/>
        <v>6.6215067407068868E-9</v>
      </c>
      <c r="T135" s="9">
        <f t="shared" si="40"/>
        <v>3.7330204393402895E-5</v>
      </c>
      <c r="U135" s="9">
        <f t="shared" si="41"/>
        <v>3.9993378493259292E-5</v>
      </c>
      <c r="V135" s="100">
        <f t="shared" si="46"/>
        <v>0.93340962428804908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266</v>
      </c>
      <c r="C136" s="46" t="s">
        <v>267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-7.9255891896301502E-4</v>
      </c>
      <c r="J136" s="54">
        <f t="shared" si="64"/>
        <v>-2.6530951628927851E-2</v>
      </c>
      <c r="K136" s="55">
        <f t="shared" si="65"/>
        <v>0.99656810589718559</v>
      </c>
      <c r="L136" s="55">
        <f t="shared" si="66"/>
        <v>6.9265801437877158E-5</v>
      </c>
      <c r="M136" s="55">
        <f t="shared" si="67"/>
        <v>0.99993073419856215</v>
      </c>
      <c r="N136" s="55">
        <f t="shared" si="68"/>
        <v>7.1429713728113243E-7</v>
      </c>
      <c r="O136" s="56">
        <f t="shared" si="69"/>
        <v>1.0018308373906527E-6</v>
      </c>
      <c r="P136" s="56">
        <f t="shared" si="70"/>
        <v>9.4246112209908653E-7</v>
      </c>
      <c r="Q136" s="56">
        <f t="shared" si="71"/>
        <v>1.9438085391040072E-7</v>
      </c>
      <c r="R136" s="9">
        <f t="shared" si="44"/>
        <v>3.9999999999999996E-5</v>
      </c>
      <c r="S136" s="9">
        <f t="shared" si="45"/>
        <v>2.7706320575150862E-9</v>
      </c>
      <c r="T136" s="9">
        <f t="shared" si="40"/>
        <v>3.986272423588742E-5</v>
      </c>
      <c r="U136" s="9">
        <f t="shared" si="41"/>
        <v>3.9997229367942483E-5</v>
      </c>
      <c r="V136" s="100">
        <f t="shared" si="46"/>
        <v>0.99663713876734505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268</v>
      </c>
      <c r="C137" s="46" t="s">
        <v>269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-2.2515440087297459E-3</v>
      </c>
      <c r="J137" s="54">
        <f t="shared" si="64"/>
        <v>-5.0553856533599242E-2</v>
      </c>
      <c r="K137" s="55">
        <f t="shared" si="65"/>
        <v>0.99992515040673602</v>
      </c>
      <c r="L137" s="55">
        <f t="shared" si="66"/>
        <v>6.5759191771162676E-5</v>
      </c>
      <c r="M137" s="55">
        <f t="shared" si="67"/>
        <v>0.99993424080822879</v>
      </c>
      <c r="N137" s="55">
        <f t="shared" si="68"/>
        <v>1.6316554771485118E-10</v>
      </c>
      <c r="O137" s="56">
        <f t="shared" si="69"/>
        <v>1.0052056099649093E-6</v>
      </c>
      <c r="P137" s="56">
        <f t="shared" si="70"/>
        <v>8.947486404320799E-7</v>
      </c>
      <c r="Q137" s="56">
        <f t="shared" si="71"/>
        <v>4.4402051804791352E-11</v>
      </c>
      <c r="R137" s="9">
        <f t="shared" si="44"/>
        <v>3.9999999999999996E-5</v>
      </c>
      <c r="S137" s="9">
        <f t="shared" si="45"/>
        <v>2.6303676708465069E-9</v>
      </c>
      <c r="T137" s="9">
        <f t="shared" si="40"/>
        <v>3.9997006016269436E-5</v>
      </c>
      <c r="U137" s="9">
        <f t="shared" si="41"/>
        <v>3.9997369632329149E-5</v>
      </c>
      <c r="V137" s="100">
        <f t="shared" si="46"/>
        <v>0.99999090900069043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270</v>
      </c>
      <c r="C138" s="46" t="s">
        <v>271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-9.5421953907495261E-4</v>
      </c>
      <c r="J138" s="54">
        <f t="shared" si="64"/>
        <v>-2.9301207680156108E-2</v>
      </c>
      <c r="K138" s="55">
        <f t="shared" si="65"/>
        <v>0.99693954833265597</v>
      </c>
      <c r="L138" s="55">
        <f t="shared" si="66"/>
        <v>6.8851031058350399E-5</v>
      </c>
      <c r="M138" s="55">
        <f t="shared" si="67"/>
        <v>0.99993114896894164</v>
      </c>
      <c r="N138" s="55">
        <f t="shared" si="68"/>
        <v>6.0566383599447288E-7</v>
      </c>
      <c r="O138" s="56">
        <f t="shared" si="69"/>
        <v>1.0022042413597016E-6</v>
      </c>
      <c r="P138" s="56">
        <f t="shared" si="70"/>
        <v>9.3681757291337646E-7</v>
      </c>
      <c r="Q138" s="56">
        <f t="shared" si="71"/>
        <v>1.6481859926161048E-7</v>
      </c>
      <c r="R138" s="9">
        <f t="shared" si="44"/>
        <v>3.9999999999999996E-5</v>
      </c>
      <c r="S138" s="9">
        <f t="shared" si="45"/>
        <v>2.7540412423340157E-9</v>
      </c>
      <c r="T138" s="9">
        <f t="shared" si="40"/>
        <v>3.9877581933306235E-5</v>
      </c>
      <c r="U138" s="9">
        <f t="shared" si="41"/>
        <v>3.9997245958757664E-5</v>
      </c>
      <c r="V138" s="100">
        <f t="shared" si="46"/>
        <v>0.99700819337474345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272</v>
      </c>
      <c r="C139" s="46" t="s">
        <v>273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2.0637855846763784E-2</v>
      </c>
      <c r="J139" s="54">
        <f t="shared" si="64"/>
        <v>0.26394098838273794</v>
      </c>
      <c r="K139" s="55">
        <f t="shared" si="65"/>
        <v>0.94852932088292574</v>
      </c>
      <c r="L139" s="55">
        <f t="shared" si="66"/>
        <v>1.2868697138302708E-4</v>
      </c>
      <c r="M139" s="55">
        <f t="shared" si="67"/>
        <v>0.99987131302861698</v>
      </c>
      <c r="N139" s="55">
        <f t="shared" si="68"/>
        <v>2.1155125006342713E-5</v>
      </c>
      <c r="O139" s="56">
        <f t="shared" si="69"/>
        <v>9.535383665266186E-7</v>
      </c>
      <c r="P139" s="56">
        <f t="shared" si="70"/>
        <v>1.7509718350397788E-6</v>
      </c>
      <c r="Q139" s="56">
        <f t="shared" si="71"/>
        <v>5.7569197028654911E-6</v>
      </c>
      <c r="R139" s="9">
        <f t="shared" si="44"/>
        <v>3.9999999999999996E-5</v>
      </c>
      <c r="S139" s="9">
        <f t="shared" si="45"/>
        <v>5.1474788553210826E-9</v>
      </c>
      <c r="T139" s="9">
        <f t="shared" si="40"/>
        <v>3.7941172835317023E-5</v>
      </c>
      <c r="U139" s="9">
        <f t="shared" si="41"/>
        <v>3.9994852521144679E-5</v>
      </c>
      <c r="V139" s="100">
        <f t="shared" si="46"/>
        <v>0.94865139995848469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274</v>
      </c>
      <c r="C140" s="46" t="s">
        <v>275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-2.2257476801494347E-3</v>
      </c>
      <c r="J140" s="54">
        <f t="shared" si="64"/>
        <v>-5.0177410945668598E-2</v>
      </c>
      <c r="K140" s="55">
        <f t="shared" si="65"/>
        <v>0.99986570526667351</v>
      </c>
      <c r="L140" s="55">
        <f t="shared" si="66"/>
        <v>6.5812303670795432E-5</v>
      </c>
      <c r="M140" s="55">
        <f t="shared" si="67"/>
        <v>0.99993418769632925</v>
      </c>
      <c r="N140" s="55">
        <f t="shared" si="68"/>
        <v>2.8751273677884845E-9</v>
      </c>
      <c r="O140" s="56">
        <f t="shared" si="69"/>
        <v>1.0051458509036918E-6</v>
      </c>
      <c r="P140" s="56">
        <f t="shared" si="70"/>
        <v>8.954713044233364E-7</v>
      </c>
      <c r="Q140" s="56">
        <f t="shared" si="71"/>
        <v>7.8240508561905216E-10</v>
      </c>
      <c r="R140" s="9">
        <f t="shared" si="44"/>
        <v>3.9999999999999996E-5</v>
      </c>
      <c r="S140" s="9">
        <f t="shared" si="45"/>
        <v>2.6324921468318169E-9</v>
      </c>
      <c r="T140" s="9">
        <f t="shared" si="40"/>
        <v>3.9994628210666935E-5</v>
      </c>
      <c r="U140" s="9">
        <f t="shared" si="41"/>
        <v>3.9997367507853166E-5</v>
      </c>
      <c r="V140" s="100">
        <f t="shared" si="46"/>
        <v>0.99993151306306116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276</v>
      </c>
      <c r="C141" s="46" t="s">
        <v>277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-2.1814307177209532E-3</v>
      </c>
      <c r="J141" s="54">
        <f t="shared" si="64"/>
        <v>-4.9513743875137552E-2</v>
      </c>
      <c r="K141" s="55">
        <f t="shared" si="65"/>
        <v>0.99976358669900967</v>
      </c>
      <c r="L141" s="55">
        <f t="shared" si="66"/>
        <v>6.5906219779016291E-5</v>
      </c>
      <c r="M141" s="55">
        <f t="shared" si="67"/>
        <v>0.99993409378022102</v>
      </c>
      <c r="N141" s="55">
        <f t="shared" si="68"/>
        <v>1.0494827621765792E-8</v>
      </c>
      <c r="O141" s="56">
        <f t="shared" si="69"/>
        <v>1.0050431930626969E-6</v>
      </c>
      <c r="P141" s="56">
        <f t="shared" si="70"/>
        <v>8.9674916851932064E-7</v>
      </c>
      <c r="Q141" s="56">
        <f t="shared" si="71"/>
        <v>2.8559453038356444E-9</v>
      </c>
      <c r="R141" s="9">
        <f t="shared" si="44"/>
        <v>3.9999999999999996E-5</v>
      </c>
      <c r="S141" s="9">
        <f t="shared" si="45"/>
        <v>2.6362487911606515E-9</v>
      </c>
      <c r="T141" s="9">
        <f t="shared" si="40"/>
        <v>3.9990543467960381E-5</v>
      </c>
      <c r="U141" s="9">
        <f t="shared" si="41"/>
        <v>3.9997363751208838E-5</v>
      </c>
      <c r="V141" s="100">
        <f t="shared" si="46"/>
        <v>0.99982948168057084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278</v>
      </c>
      <c r="C142" s="46" t="s">
        <v>279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0.35101699191808489</v>
      </c>
      <c r="J142" s="54">
        <f t="shared" si="64"/>
        <v>1.6664622346062492</v>
      </c>
      <c r="K142" s="55">
        <f t="shared" si="65"/>
        <v>0.44265773543869874</v>
      </c>
      <c r="L142" s="55">
        <f t="shared" si="66"/>
        <v>1.5173058204599121E-3</v>
      </c>
      <c r="M142" s="55">
        <f t="shared" si="67"/>
        <v>0.99848269417954005</v>
      </c>
      <c r="N142" s="55">
        <f t="shared" si="68"/>
        <v>1.0801485175638832E-3</v>
      </c>
      <c r="O142" s="56">
        <f t="shared" si="69"/>
        <v>4.4499534667804578E-7</v>
      </c>
      <c r="P142" s="56">
        <f t="shared" si="70"/>
        <v>2.0645133910717218E-5</v>
      </c>
      <c r="Q142" s="56">
        <f t="shared" si="71"/>
        <v>2.9393956693331269E-4</v>
      </c>
      <c r="R142" s="9">
        <f t="shared" si="44"/>
        <v>3.9999999999999996E-5</v>
      </c>
      <c r="S142" s="9">
        <f t="shared" si="45"/>
        <v>6.0692232818396477E-8</v>
      </c>
      <c r="T142" s="9">
        <f t="shared" si="40"/>
        <v>1.7706309417547949E-5</v>
      </c>
      <c r="U142" s="9">
        <f t="shared" si="41"/>
        <v>3.9939307767181598E-5</v>
      </c>
      <c r="V142" s="100">
        <f t="shared" si="46"/>
        <v>0.44333040323992151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97</v>
      </c>
      <c r="C143" s="46" t="s">
        <v>280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1.1760432553236648</v>
      </c>
      <c r="J143" s="54">
        <f t="shared" si="64"/>
        <v>2.2900502163435572</v>
      </c>
      <c r="K143" s="55">
        <f t="shared" si="65"/>
        <v>6.6265338607711749E-2</v>
      </c>
      <c r="L143" s="55">
        <f t="shared" si="66"/>
        <v>9.5472758122974559E-4</v>
      </c>
      <c r="M143" s="55">
        <f t="shared" si="67"/>
        <v>0.99904527241877028</v>
      </c>
      <c r="N143" s="55">
        <f t="shared" si="68"/>
        <v>1.0318088288221467E-4</v>
      </c>
      <c r="O143" s="56">
        <f t="shared" si="69"/>
        <v>6.6615276241027937E-8</v>
      </c>
      <c r="P143" s="56">
        <f t="shared" si="70"/>
        <v>1.2990445628666205E-5</v>
      </c>
      <c r="Q143" s="56">
        <f t="shared" si="71"/>
        <v>2.8078494333906536E-5</v>
      </c>
      <c r="R143" s="9">
        <f t="shared" si="44"/>
        <v>3.9999999999999996E-5</v>
      </c>
      <c r="S143" s="9">
        <f t="shared" si="45"/>
        <v>3.8189103249189822E-8</v>
      </c>
      <c r="T143" s="9">
        <f t="shared" si="40"/>
        <v>2.6506135443084696E-6</v>
      </c>
      <c r="U143" s="9">
        <f t="shared" si="41"/>
        <v>3.9961810896750808E-5</v>
      </c>
      <c r="V143" s="100">
        <f t="shared" si="46"/>
        <v>6.6328664413053018E-2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2025-02-02T17:32:36Z</dcterms:modified>
</cp:coreProperties>
</file>