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47286BD5-8091-4D6E-9DD4-4DC2B74612D9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T143" i="4"/>
  <c r="S143" i="4"/>
  <c r="R143" i="4"/>
  <c r="U143" i="4" s="1"/>
  <c r="V142" i="4"/>
  <c r="R142" i="4"/>
  <c r="V141" i="4"/>
  <c r="U141" i="4"/>
  <c r="R141" i="4"/>
  <c r="T141" i="4" s="1"/>
  <c r="V140" i="4"/>
  <c r="R140" i="4"/>
  <c r="V139" i="4"/>
  <c r="U139" i="4"/>
  <c r="T139" i="4"/>
  <c r="S139" i="4"/>
  <c r="R139" i="4"/>
  <c r="V138" i="4"/>
  <c r="T138" i="4"/>
  <c r="R138" i="4"/>
  <c r="U138" i="4" s="1"/>
  <c r="V137" i="4"/>
  <c r="U137" i="4"/>
  <c r="T137" i="4"/>
  <c r="S137" i="4"/>
  <c r="R137" i="4"/>
  <c r="V136" i="4"/>
  <c r="R136" i="4"/>
  <c r="U136" i="4" s="1"/>
  <c r="V135" i="4"/>
  <c r="R135" i="4"/>
  <c r="V134" i="4"/>
  <c r="U134" i="4"/>
  <c r="T134" i="4"/>
  <c r="S134" i="4"/>
  <c r="R134" i="4"/>
  <c r="V133" i="4"/>
  <c r="R133" i="4"/>
  <c r="U133" i="4" s="1"/>
  <c r="V132" i="4"/>
  <c r="T132" i="4"/>
  <c r="S132" i="4"/>
  <c r="R132" i="4"/>
  <c r="U132" i="4" s="1"/>
  <c r="V131" i="4"/>
  <c r="T131" i="4"/>
  <c r="S131" i="4"/>
  <c r="R131" i="4"/>
  <c r="U131" i="4" s="1"/>
  <c r="V130" i="4"/>
  <c r="R130" i="4"/>
  <c r="V129" i="4"/>
  <c r="U129" i="4"/>
  <c r="R129" i="4"/>
  <c r="T129" i="4" s="1"/>
  <c r="V128" i="4"/>
  <c r="R128" i="4"/>
  <c r="V127" i="4"/>
  <c r="U127" i="4"/>
  <c r="T127" i="4"/>
  <c r="S127" i="4"/>
  <c r="R127" i="4"/>
  <c r="V126" i="4"/>
  <c r="T126" i="4"/>
  <c r="R126" i="4"/>
  <c r="U126" i="4" s="1"/>
  <c r="V125" i="4"/>
  <c r="U125" i="4"/>
  <c r="T125" i="4"/>
  <c r="R125" i="4"/>
  <c r="S125" i="4" s="1"/>
  <c r="V124" i="4"/>
  <c r="R124" i="4"/>
  <c r="U124" i="4" s="1"/>
  <c r="V123" i="4"/>
  <c r="R123" i="4"/>
  <c r="V122" i="4"/>
  <c r="U122" i="4"/>
  <c r="T122" i="4"/>
  <c r="S122" i="4"/>
  <c r="R122" i="4"/>
  <c r="V121" i="4"/>
  <c r="R121" i="4"/>
  <c r="U121" i="4" s="1"/>
  <c r="V120" i="4"/>
  <c r="R120" i="4"/>
  <c r="U120" i="4" s="1"/>
  <c r="V119" i="4"/>
  <c r="T119" i="4"/>
  <c r="S119" i="4"/>
  <c r="R119" i="4"/>
  <c r="U119" i="4" s="1"/>
  <c r="V118" i="4"/>
  <c r="R118" i="4"/>
  <c r="U118" i="4" s="1"/>
  <c r="V117" i="4"/>
  <c r="U117" i="4"/>
  <c r="R117" i="4"/>
  <c r="T117" i="4" s="1"/>
  <c r="V116" i="4"/>
  <c r="R116" i="4"/>
  <c r="V115" i="4"/>
  <c r="U115" i="4"/>
  <c r="T115" i="4"/>
  <c r="S115" i="4"/>
  <c r="R115" i="4"/>
  <c r="V114" i="4"/>
  <c r="T114" i="4"/>
  <c r="R114" i="4"/>
  <c r="U114" i="4" s="1"/>
  <c r="V113" i="4"/>
  <c r="U113" i="4"/>
  <c r="T113" i="4"/>
  <c r="S113" i="4"/>
  <c r="R113" i="4"/>
  <c r="V112" i="4"/>
  <c r="R112" i="4"/>
  <c r="U112" i="4" s="1"/>
  <c r="V111" i="4"/>
  <c r="R111" i="4"/>
  <c r="V110" i="4"/>
  <c r="U110" i="4"/>
  <c r="T110" i="4"/>
  <c r="S110" i="4"/>
  <c r="R110" i="4"/>
  <c r="V109" i="4"/>
  <c r="R109" i="4"/>
  <c r="U109" i="4" s="1"/>
  <c r="V108" i="4"/>
  <c r="U108" i="4"/>
  <c r="T108" i="4"/>
  <c r="R108" i="4"/>
  <c r="S108" i="4" s="1"/>
  <c r="R107" i="4"/>
  <c r="V106" i="4"/>
  <c r="T106" i="4"/>
  <c r="R106" i="4"/>
  <c r="U106" i="4" s="1"/>
  <c r="V105" i="4"/>
  <c r="U105" i="4"/>
  <c r="R105" i="4"/>
  <c r="T105" i="4" s="1"/>
  <c r="V104" i="4"/>
  <c r="R104" i="4"/>
  <c r="U104" i="4" s="1"/>
  <c r="V103" i="4"/>
  <c r="R103" i="4"/>
  <c r="V102" i="4"/>
  <c r="U102" i="4"/>
  <c r="T102" i="4"/>
  <c r="S102" i="4"/>
  <c r="R102" i="4"/>
  <c r="V101" i="4"/>
  <c r="R101" i="4"/>
  <c r="U101" i="4" s="1"/>
  <c r="R100" i="4"/>
  <c r="V99" i="4"/>
  <c r="U99" i="4"/>
  <c r="T99" i="4"/>
  <c r="S99" i="4"/>
  <c r="R99" i="4"/>
  <c r="V98" i="4"/>
  <c r="T98" i="4"/>
  <c r="R98" i="4"/>
  <c r="U98" i="4" s="1"/>
  <c r="R97" i="4"/>
  <c r="V96" i="4"/>
  <c r="U96" i="4"/>
  <c r="T96" i="4"/>
  <c r="R96" i="4"/>
  <c r="S96" i="4" s="1"/>
  <c r="V95" i="4"/>
  <c r="T95" i="4"/>
  <c r="S95" i="4"/>
  <c r="R95" i="4"/>
  <c r="U95" i="4" s="1"/>
  <c r="V94" i="4"/>
  <c r="T94" i="4"/>
  <c r="S94" i="4"/>
  <c r="R94" i="4"/>
  <c r="U94" i="4" s="1"/>
  <c r="V93" i="4"/>
  <c r="U93" i="4"/>
  <c r="R93" i="4"/>
  <c r="T93" i="4" s="1"/>
  <c r="V92" i="4"/>
  <c r="R92" i="4"/>
  <c r="V91" i="4"/>
  <c r="U91" i="4"/>
  <c r="T91" i="4"/>
  <c r="S91" i="4"/>
  <c r="R91" i="4"/>
  <c r="V90" i="4"/>
  <c r="T90" i="4"/>
  <c r="R90" i="4"/>
  <c r="U90" i="4" s="1"/>
  <c r="V89" i="4"/>
  <c r="R89" i="4"/>
  <c r="U89" i="4" s="1"/>
  <c r="V88" i="4"/>
  <c r="R88" i="4"/>
  <c r="U88" i="4" s="1"/>
  <c r="V87" i="4"/>
  <c r="S87" i="4"/>
  <c r="R87" i="4"/>
  <c r="V86" i="4"/>
  <c r="U86" i="4"/>
  <c r="T86" i="4"/>
  <c r="S86" i="4"/>
  <c r="R86" i="4"/>
  <c r="V85" i="4"/>
  <c r="R85" i="4"/>
  <c r="U85" i="4" s="1"/>
  <c r="V84" i="4"/>
  <c r="U84" i="4"/>
  <c r="T84" i="4"/>
  <c r="S84" i="4"/>
  <c r="R84" i="4"/>
  <c r="V83" i="4"/>
  <c r="T83" i="4"/>
  <c r="S83" i="4"/>
  <c r="R83" i="4"/>
  <c r="U83" i="4" s="1"/>
  <c r="V82" i="4"/>
  <c r="R82" i="4"/>
  <c r="U82" i="4" s="1"/>
  <c r="V81" i="4"/>
  <c r="U81" i="4"/>
  <c r="R81" i="4"/>
  <c r="T81" i="4" s="1"/>
  <c r="V80" i="4"/>
  <c r="R80" i="4"/>
  <c r="V79" i="4"/>
  <c r="U79" i="4"/>
  <c r="T79" i="4"/>
  <c r="S79" i="4"/>
  <c r="R79" i="4"/>
  <c r="V78" i="4"/>
  <c r="T78" i="4"/>
  <c r="R78" i="4"/>
  <c r="U78" i="4" s="1"/>
  <c r="V77" i="4"/>
  <c r="U77" i="4"/>
  <c r="R77" i="4"/>
  <c r="T77" i="4" s="1"/>
  <c r="V76" i="4"/>
  <c r="R76" i="4"/>
  <c r="U76" i="4" s="1"/>
  <c r="V75" i="4"/>
  <c r="R75" i="4"/>
  <c r="V74" i="4"/>
  <c r="U74" i="4"/>
  <c r="T74" i="4"/>
  <c r="S74" i="4"/>
  <c r="R74" i="4"/>
  <c r="V73" i="4"/>
  <c r="R73" i="4"/>
  <c r="U73" i="4" s="1"/>
  <c r="V72" i="4"/>
  <c r="R72" i="4"/>
  <c r="U72" i="4" s="1"/>
  <c r="V71" i="4"/>
  <c r="T71" i="4"/>
  <c r="S71" i="4"/>
  <c r="R71" i="4"/>
  <c r="U71" i="4" s="1"/>
  <c r="V70" i="4"/>
  <c r="R70" i="4"/>
  <c r="U70" i="4" s="1"/>
  <c r="V69" i="4"/>
  <c r="U69" i="4"/>
  <c r="R69" i="4"/>
  <c r="T69" i="4" s="1"/>
  <c r="V68" i="4"/>
  <c r="R68" i="4"/>
  <c r="V67" i="4"/>
  <c r="U67" i="4"/>
  <c r="T67" i="4"/>
  <c r="S67" i="4"/>
  <c r="R67" i="4"/>
  <c r="V66" i="4"/>
  <c r="T66" i="4"/>
  <c r="R66" i="4"/>
  <c r="U66" i="4" s="1"/>
  <c r="V65" i="4"/>
  <c r="R65" i="4"/>
  <c r="U65" i="4" s="1"/>
  <c r="V64" i="4"/>
  <c r="R64" i="4"/>
  <c r="U64" i="4" s="1"/>
  <c r="V63" i="4"/>
  <c r="R63" i="4"/>
  <c r="S63" i="4" s="1"/>
  <c r="V62" i="4"/>
  <c r="U62" i="4"/>
  <c r="T62" i="4"/>
  <c r="S62" i="4"/>
  <c r="R62" i="4"/>
  <c r="V61" i="4"/>
  <c r="R61" i="4"/>
  <c r="U61" i="4" s="1"/>
  <c r="V60" i="4"/>
  <c r="U60" i="4"/>
  <c r="R60" i="4"/>
  <c r="T60" i="4" s="1"/>
  <c r="V59" i="4"/>
  <c r="T59" i="4"/>
  <c r="S59" i="4"/>
  <c r="R59" i="4"/>
  <c r="U59" i="4" s="1"/>
  <c r="V58" i="4"/>
  <c r="R58" i="4"/>
  <c r="U58" i="4" s="1"/>
  <c r="V57" i="4"/>
  <c r="U57" i="4"/>
  <c r="R57" i="4"/>
  <c r="T57" i="4" s="1"/>
  <c r="V56" i="4"/>
  <c r="R56" i="4"/>
  <c r="V55" i="4"/>
  <c r="U55" i="4"/>
  <c r="T55" i="4"/>
  <c r="S55" i="4"/>
  <c r="R55" i="4"/>
  <c r="V54" i="4"/>
  <c r="T54" i="4"/>
  <c r="R54" i="4"/>
  <c r="U54" i="4" s="1"/>
  <c r="V53" i="4"/>
  <c r="T53" i="4"/>
  <c r="S53" i="4"/>
  <c r="R53" i="4"/>
  <c r="U53" i="4" s="1"/>
  <c r="V52" i="4"/>
  <c r="R52" i="4"/>
  <c r="U52" i="4" s="1"/>
  <c r="V51" i="4"/>
  <c r="R51" i="4"/>
  <c r="V50" i="4"/>
  <c r="U50" i="4"/>
  <c r="T50" i="4"/>
  <c r="S50" i="4"/>
  <c r="R50" i="4"/>
  <c r="V49" i="4"/>
  <c r="R49" i="4"/>
  <c r="U49" i="4" s="1"/>
  <c r="V48" i="4"/>
  <c r="R48" i="4"/>
  <c r="U48" i="4" s="1"/>
  <c r="V47" i="4"/>
  <c r="T47" i="4"/>
  <c r="S47" i="4"/>
  <c r="R47" i="4"/>
  <c r="U47" i="4" s="1"/>
  <c r="V46" i="4"/>
  <c r="T46" i="4"/>
  <c r="R46" i="4"/>
  <c r="U46" i="4" s="1"/>
  <c r="V45" i="4"/>
  <c r="U45" i="4"/>
  <c r="R45" i="4"/>
  <c r="T45" i="4" s="1"/>
  <c r="V44" i="4"/>
  <c r="R44" i="4"/>
  <c r="V43" i="4"/>
  <c r="U43" i="4"/>
  <c r="T43" i="4"/>
  <c r="S43" i="4"/>
  <c r="R43" i="4"/>
  <c r="V42" i="4"/>
  <c r="T42" i="4"/>
  <c r="R42" i="4"/>
  <c r="U42" i="4" s="1"/>
  <c r="V41" i="4"/>
  <c r="R41" i="4"/>
  <c r="U41" i="4" s="1"/>
  <c r="V40" i="4"/>
  <c r="R40" i="4"/>
  <c r="U40" i="4" s="1"/>
  <c r="V39" i="4"/>
  <c r="S39" i="4"/>
  <c r="R39" i="4"/>
  <c r="V38" i="4"/>
  <c r="U38" i="4"/>
  <c r="T38" i="4"/>
  <c r="S38" i="4"/>
  <c r="R38" i="4"/>
  <c r="V37" i="4"/>
  <c r="R37" i="4"/>
  <c r="U37" i="4" s="1"/>
  <c r="V36" i="4"/>
  <c r="U36" i="4"/>
  <c r="T36" i="4"/>
  <c r="S36" i="4"/>
  <c r="R36" i="4"/>
  <c r="V35" i="4"/>
  <c r="T35" i="4"/>
  <c r="S35" i="4"/>
  <c r="R35" i="4"/>
  <c r="U35" i="4" s="1"/>
  <c r="V34" i="4"/>
  <c r="T34" i="4"/>
  <c r="S34" i="4"/>
  <c r="R34" i="4"/>
  <c r="U34" i="4" s="1"/>
  <c r="V33" i="4"/>
  <c r="U33" i="4"/>
  <c r="R33" i="4"/>
  <c r="T33" i="4" s="1"/>
  <c r="V32" i="4"/>
  <c r="R32" i="4"/>
  <c r="V31" i="4"/>
  <c r="U31" i="4"/>
  <c r="T31" i="4"/>
  <c r="S31" i="4"/>
  <c r="R31" i="4"/>
  <c r="V30" i="4"/>
  <c r="T30" i="4"/>
  <c r="R30" i="4"/>
  <c r="U30" i="4" s="1"/>
  <c r="V29" i="4"/>
  <c r="U29" i="4"/>
  <c r="R29" i="4"/>
  <c r="T29" i="4" s="1"/>
  <c r="V28" i="4"/>
  <c r="R28" i="4"/>
  <c r="U28" i="4" s="1"/>
  <c r="I135" i="4"/>
  <c r="N135" i="4" s="1"/>
  <c r="Q135" i="4" s="1"/>
  <c r="J135" i="4"/>
  <c r="K135" i="4"/>
  <c r="O135" i="4" s="1"/>
  <c r="P135" i="4" s="1"/>
  <c r="L135" i="4"/>
  <c r="M135" i="4" s="1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L138" i="4" s="1"/>
  <c r="M138" i="4" s="1"/>
  <c r="J138" i="4"/>
  <c r="K138" i="4"/>
  <c r="N138" i="4"/>
  <c r="O138" i="4"/>
  <c r="P138" i="4"/>
  <c r="Q138" i="4"/>
  <c r="I139" i="4"/>
  <c r="J139" i="4"/>
  <c r="K139" i="4"/>
  <c r="O139" i="4" s="1"/>
  <c r="P139" i="4" s="1"/>
  <c r="L139" i="4"/>
  <c r="M139" i="4" s="1"/>
  <c r="N139" i="4"/>
  <c r="Q139" i="4"/>
  <c r="I140" i="4"/>
  <c r="L140" i="4" s="1"/>
  <c r="M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/>
  <c r="N141" i="4"/>
  <c r="Q141" i="4" s="1"/>
  <c r="I142" i="4"/>
  <c r="L142" i="4" s="1"/>
  <c r="M142" i="4" s="1"/>
  <c r="J142" i="4"/>
  <c r="K142" i="4"/>
  <c r="N142" i="4"/>
  <c r="O142" i="4"/>
  <c r="P142" i="4"/>
  <c r="Q142" i="4"/>
  <c r="I143" i="4"/>
  <c r="J143" i="4"/>
  <c r="K143" i="4"/>
  <c r="O143" i="4" s="1"/>
  <c r="P143" i="4" s="1"/>
  <c r="L143" i="4"/>
  <c r="M143" i="4" s="1"/>
  <c r="N143" i="4"/>
  <c r="Q143" i="4"/>
  <c r="U116" i="4" l="1"/>
  <c r="T116" i="4"/>
  <c r="S116" i="4"/>
  <c r="U130" i="4"/>
  <c r="T130" i="4"/>
  <c r="U140" i="4"/>
  <c r="T140" i="4"/>
  <c r="S140" i="4"/>
  <c r="S41" i="4"/>
  <c r="U44" i="4"/>
  <c r="T44" i="4"/>
  <c r="S44" i="4"/>
  <c r="U123" i="4"/>
  <c r="T123" i="4"/>
  <c r="S130" i="4"/>
  <c r="T41" i="4"/>
  <c r="U51" i="4"/>
  <c r="T51" i="4"/>
  <c r="S58" i="4"/>
  <c r="S120" i="4"/>
  <c r="S123" i="4"/>
  <c r="S48" i="4"/>
  <c r="S51" i="4"/>
  <c r="T58" i="4"/>
  <c r="S65" i="4"/>
  <c r="U68" i="4"/>
  <c r="T68" i="4"/>
  <c r="S68" i="4"/>
  <c r="T120" i="4"/>
  <c r="T48" i="4"/>
  <c r="T65" i="4"/>
  <c r="U75" i="4"/>
  <c r="T75" i="4"/>
  <c r="S82" i="4"/>
  <c r="U103" i="4"/>
  <c r="T103" i="4"/>
  <c r="S72" i="4"/>
  <c r="S75" i="4"/>
  <c r="T82" i="4"/>
  <c r="S89" i="4"/>
  <c r="U92" i="4"/>
  <c r="T92" i="4"/>
  <c r="S92" i="4"/>
  <c r="S103" i="4"/>
  <c r="U142" i="4"/>
  <c r="T142" i="4"/>
  <c r="S29" i="4"/>
  <c r="U32" i="4"/>
  <c r="T32" i="4"/>
  <c r="S32" i="4"/>
  <c r="T72" i="4"/>
  <c r="T89" i="4"/>
  <c r="U111" i="4"/>
  <c r="T111" i="4"/>
  <c r="S118" i="4"/>
  <c r="S142" i="4"/>
  <c r="U39" i="4"/>
  <c r="T39" i="4"/>
  <c r="S46" i="4"/>
  <c r="S111" i="4"/>
  <c r="T118" i="4"/>
  <c r="U128" i="4"/>
  <c r="T128" i="4"/>
  <c r="S128" i="4"/>
  <c r="U135" i="4"/>
  <c r="T135" i="4"/>
  <c r="S135" i="4"/>
  <c r="S60" i="4"/>
  <c r="T70" i="4"/>
  <c r="S77" i="4"/>
  <c r="U80" i="4"/>
  <c r="T80" i="4"/>
  <c r="S80" i="4"/>
  <c r="S105" i="4"/>
  <c r="U56" i="4"/>
  <c r="T56" i="4"/>
  <c r="S56" i="4"/>
  <c r="U63" i="4"/>
  <c r="T63" i="4"/>
  <c r="S70" i="4"/>
  <c r="U87" i="4"/>
  <c r="T87" i="4"/>
  <c r="S37" i="4"/>
  <c r="S49" i="4"/>
  <c r="S61" i="4"/>
  <c r="S73" i="4"/>
  <c r="S85" i="4"/>
  <c r="S101" i="4"/>
  <c r="S109" i="4"/>
  <c r="S121" i="4"/>
  <c r="S133" i="4"/>
  <c r="S30" i="4"/>
  <c r="T37" i="4"/>
  <c r="S42" i="4"/>
  <c r="T49" i="4"/>
  <c r="S54" i="4"/>
  <c r="T61" i="4"/>
  <c r="S66" i="4"/>
  <c r="T73" i="4"/>
  <c r="S78" i="4"/>
  <c r="T85" i="4"/>
  <c r="S90" i="4"/>
  <c r="S98" i="4"/>
  <c r="T101" i="4"/>
  <c r="S106" i="4"/>
  <c r="T109" i="4"/>
  <c r="S114" i="4"/>
  <c r="T121" i="4"/>
  <c r="S126" i="4"/>
  <c r="T133" i="4"/>
  <c r="S138" i="4"/>
  <c r="S28" i="4"/>
  <c r="S40" i="4"/>
  <c r="S64" i="4"/>
  <c r="S76" i="4"/>
  <c r="S88" i="4"/>
  <c r="S104" i="4"/>
  <c r="S112" i="4"/>
  <c r="S124" i="4"/>
  <c r="S136" i="4"/>
  <c r="T28" i="4"/>
  <c r="S33" i="4"/>
  <c r="T40" i="4"/>
  <c r="S45" i="4"/>
  <c r="T52" i="4"/>
  <c r="S57" i="4"/>
  <c r="T64" i="4"/>
  <c r="S69" i="4"/>
  <c r="T76" i="4"/>
  <c r="S81" i="4"/>
  <c r="T88" i="4"/>
  <c r="S93" i="4"/>
  <c r="T104" i="4"/>
  <c r="T112" i="4"/>
  <c r="S117" i="4"/>
  <c r="T124" i="4"/>
  <c r="S129" i="4"/>
  <c r="T136" i="4"/>
  <c r="S141" i="4"/>
  <c r="S52" i="4"/>
  <c r="N140" i="4"/>
  <c r="Q140" i="4" s="1"/>
  <c r="N136" i="4"/>
  <c r="Q136" i="4" s="1"/>
  <c r="I128" i="4" l="1"/>
  <c r="N128" i="4" s="1"/>
  <c r="Q128" i="4" s="1"/>
  <c r="J128" i="4"/>
  <c r="K128" i="4" s="1"/>
  <c r="O128" i="4" s="1"/>
  <c r="P128" i="4" s="1"/>
  <c r="I129" i="4"/>
  <c r="N129" i="4" s="1"/>
  <c r="Q129" i="4" s="1"/>
  <c r="J129" i="4"/>
  <c r="K129" i="4"/>
  <c r="O129" i="4" s="1"/>
  <c r="P129" i="4" s="1"/>
  <c r="L129" i="4"/>
  <c r="M129" i="4"/>
  <c r="I130" i="4"/>
  <c r="L130" i="4" s="1"/>
  <c r="J130" i="4"/>
  <c r="K130" i="4"/>
  <c r="N130" i="4"/>
  <c r="Q130" i="4" s="1"/>
  <c r="I131" i="4"/>
  <c r="L131" i="4" s="1"/>
  <c r="M131" i="4" s="1"/>
  <c r="J131" i="4"/>
  <c r="K131" i="4" s="1"/>
  <c r="N131" i="4"/>
  <c r="Q131" i="4"/>
  <c r="I132" i="4"/>
  <c r="N132" i="4" s="1"/>
  <c r="Q132" i="4" s="1"/>
  <c r="J132" i="4"/>
  <c r="K132" i="4"/>
  <c r="O132" i="4" s="1"/>
  <c r="P132" i="4" s="1"/>
  <c r="I133" i="4"/>
  <c r="J133" i="4"/>
  <c r="K133" i="4"/>
  <c r="O133" i="4" s="1"/>
  <c r="P133" i="4" s="1"/>
  <c r="L133" i="4"/>
  <c r="M133" i="4"/>
  <c r="N133" i="4"/>
  <c r="Q133" i="4" s="1"/>
  <c r="I134" i="4"/>
  <c r="J134" i="4"/>
  <c r="L134" i="4" s="1"/>
  <c r="M134" i="4" s="1"/>
  <c r="N134" i="4"/>
  <c r="Q134" i="4"/>
  <c r="M130" i="4" l="1"/>
  <c r="O131" i="4"/>
  <c r="P131" i="4" s="1"/>
  <c r="O130" i="4"/>
  <c r="P130" i="4" s="1"/>
  <c r="K134" i="4"/>
  <c r="O134" i="4" s="1"/>
  <c r="P134" i="4" s="1"/>
  <c r="L128" i="4"/>
  <c r="M128" i="4" s="1"/>
  <c r="L132" i="4"/>
  <c r="M132" i="4" s="1"/>
  <c r="O15" i="1" l="1"/>
  <c r="L15" i="1"/>
  <c r="N15" i="1"/>
  <c r="M122" i="4"/>
  <c r="M124" i="4"/>
  <c r="J16" i="4"/>
  <c r="J15" i="4"/>
  <c r="J87" i="4"/>
  <c r="K87" i="4" s="1"/>
  <c r="O87" i="4" s="1"/>
  <c r="P87" i="4" s="1"/>
  <c r="J122" i="4"/>
  <c r="K122" i="4"/>
  <c r="O122" i="4" s="1"/>
  <c r="P122" i="4" s="1"/>
  <c r="J117" i="4"/>
  <c r="K117" i="4"/>
  <c r="O117" i="4" s="1"/>
  <c r="P117" i="4" s="1"/>
  <c r="J120" i="4"/>
  <c r="K120" i="4" s="1"/>
  <c r="J101" i="4"/>
  <c r="K101" i="4"/>
  <c r="O101" i="4" s="1"/>
  <c r="P101" i="4" s="1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/>
  <c r="O103" i="4" s="1"/>
  <c r="P103" i="4" s="1"/>
  <c r="J118" i="4"/>
  <c r="K118" i="4" s="1"/>
  <c r="O118" i="4" s="1"/>
  <c r="P118" i="4" s="1"/>
  <c r="J104" i="4"/>
  <c r="K104" i="4" s="1"/>
  <c r="O104" i="4" s="1"/>
  <c r="P104" i="4" s="1"/>
  <c r="J90" i="4"/>
  <c r="K90" i="4" s="1"/>
  <c r="J71" i="4"/>
  <c r="K71" i="4"/>
  <c r="J110" i="4"/>
  <c r="K110" i="4"/>
  <c r="J82" i="4"/>
  <c r="K82" i="4"/>
  <c r="J113" i="4"/>
  <c r="K113" i="4"/>
  <c r="O113" i="4" s="1"/>
  <c r="P113" i="4" s="1"/>
  <c r="J97" i="4"/>
  <c r="K97" i="4" s="1"/>
  <c r="J81" i="4"/>
  <c r="K81" i="4" s="1"/>
  <c r="J116" i="4"/>
  <c r="K116" i="4"/>
  <c r="J100" i="4"/>
  <c r="K100" i="4" s="1"/>
  <c r="O100" i="4" s="1"/>
  <c r="P100" i="4" s="1"/>
  <c r="J84" i="4"/>
  <c r="K84" i="4" s="1"/>
  <c r="J114" i="4"/>
  <c r="K114" i="4"/>
  <c r="J78" i="4"/>
  <c r="K78" i="4" s="1"/>
  <c r="J115" i="4"/>
  <c r="K115" i="4" s="1"/>
  <c r="J99" i="4"/>
  <c r="K99" i="4" s="1"/>
  <c r="O99" i="4" s="1"/>
  <c r="P99" i="4" s="1"/>
  <c r="J83" i="4"/>
  <c r="K83" i="4" s="1"/>
  <c r="J102" i="4"/>
  <c r="K102" i="4"/>
  <c r="O102" i="4" s="1"/>
  <c r="P102" i="4" s="1"/>
  <c r="J74" i="4"/>
  <c r="K74" i="4"/>
  <c r="J125" i="4"/>
  <c r="K125" i="4"/>
  <c r="O125" i="4" s="1"/>
  <c r="P125" i="4" s="1"/>
  <c r="J109" i="4"/>
  <c r="K109" i="4"/>
  <c r="O109" i="4" s="1"/>
  <c r="P109" i="4" s="1"/>
  <c r="J93" i="4"/>
  <c r="K93" i="4" s="1"/>
  <c r="J77" i="4"/>
  <c r="K77" i="4"/>
  <c r="J112" i="4"/>
  <c r="K112" i="4" s="1"/>
  <c r="O112" i="4" s="1"/>
  <c r="P112" i="4" s="1"/>
  <c r="J96" i="4"/>
  <c r="K96" i="4"/>
  <c r="J80" i="4"/>
  <c r="K80" i="4" s="1"/>
  <c r="J106" i="4"/>
  <c r="K106" i="4"/>
  <c r="O106" i="4" s="1"/>
  <c r="P106" i="4" s="1"/>
  <c r="J127" i="4"/>
  <c r="K127" i="4"/>
  <c r="O127" i="4" s="1"/>
  <c r="P127" i="4" s="1"/>
  <c r="J111" i="4"/>
  <c r="K111" i="4" s="1"/>
  <c r="O111" i="4" s="1"/>
  <c r="P111" i="4" s="1"/>
  <c r="J95" i="4"/>
  <c r="K95" i="4" s="1"/>
  <c r="J79" i="4"/>
  <c r="K79" i="4" s="1"/>
  <c r="J126" i="4"/>
  <c r="K126" i="4"/>
  <c r="J94" i="4"/>
  <c r="K94" i="4" s="1"/>
  <c r="J121" i="4"/>
  <c r="K121" i="4" s="1"/>
  <c r="J105" i="4"/>
  <c r="K105" i="4" s="1"/>
  <c r="O105" i="4" s="1"/>
  <c r="P105" i="4" s="1"/>
  <c r="J89" i="4"/>
  <c r="K89" i="4" s="1"/>
  <c r="J73" i="4"/>
  <c r="K73" i="4" s="1"/>
  <c r="J124" i="4"/>
  <c r="K124" i="4" s="1"/>
  <c r="J108" i="4"/>
  <c r="K108" i="4"/>
  <c r="J92" i="4"/>
  <c r="K92" i="4"/>
  <c r="J76" i="4"/>
  <c r="K76" i="4"/>
  <c r="J98" i="4"/>
  <c r="L98" i="4" s="1"/>
  <c r="M98" i="4" s="1"/>
  <c r="K98" i="4"/>
  <c r="O98" i="4" s="1"/>
  <c r="P98" i="4" s="1"/>
  <c r="J123" i="4"/>
  <c r="K123" i="4" s="1"/>
  <c r="O123" i="4" s="1"/>
  <c r="P123" i="4" s="1"/>
  <c r="J107" i="4"/>
  <c r="K107" i="4" s="1"/>
  <c r="J91" i="4"/>
  <c r="K91" i="4"/>
  <c r="J75" i="4"/>
  <c r="K75" i="4"/>
  <c r="O110" i="4"/>
  <c r="P110" i="4" s="1"/>
  <c r="O116" i="4"/>
  <c r="P116" i="4" s="1"/>
  <c r="I76" i="4"/>
  <c r="N76" i="4" s="1"/>
  <c r="Q76" i="4" s="1"/>
  <c r="I77" i="4"/>
  <c r="N77" i="4" s="1"/>
  <c r="Q77" i="4" s="1"/>
  <c r="I81" i="4"/>
  <c r="I89" i="4"/>
  <c r="N89" i="4" s="1"/>
  <c r="Q89" i="4" s="1"/>
  <c r="I90" i="4"/>
  <c r="I96" i="4"/>
  <c r="L96" i="4" s="1"/>
  <c r="I99" i="4"/>
  <c r="I102" i="4"/>
  <c r="L102" i="4" s="1"/>
  <c r="M102" i="4" s="1"/>
  <c r="I104" i="4"/>
  <c r="I108" i="4"/>
  <c r="N108" i="4" s="1"/>
  <c r="Q108" i="4" s="1"/>
  <c r="I111" i="4"/>
  <c r="I113" i="4"/>
  <c r="N113" i="4" s="1"/>
  <c r="Q113" i="4" s="1"/>
  <c r="I115" i="4"/>
  <c r="N115" i="4" s="1"/>
  <c r="Q115" i="4" s="1"/>
  <c r="I119" i="4"/>
  <c r="N119" i="4" s="1"/>
  <c r="Q119" i="4" s="1"/>
  <c r="I120" i="4"/>
  <c r="N120" i="4" s="1"/>
  <c r="Q120" i="4" s="1"/>
  <c r="I123" i="4"/>
  <c r="N123" i="4" s="1"/>
  <c r="Q123" i="4" s="1"/>
  <c r="I125" i="4"/>
  <c r="I79" i="4"/>
  <c r="N79" i="4" s="1"/>
  <c r="Q79" i="4" s="1"/>
  <c r="I92" i="4"/>
  <c r="L92" i="4" s="1"/>
  <c r="I100" i="4"/>
  <c r="L100" i="4" s="1"/>
  <c r="M100" i="4" s="1"/>
  <c r="I103" i="4"/>
  <c r="I107" i="4"/>
  <c r="L107" i="4" s="1"/>
  <c r="I109" i="4"/>
  <c r="L109" i="4" s="1"/>
  <c r="M109" i="4" s="1"/>
  <c r="I110" i="4"/>
  <c r="I117" i="4"/>
  <c r="I124" i="4"/>
  <c r="I72" i="4"/>
  <c r="N72" i="4" s="1"/>
  <c r="Q72" i="4" s="1"/>
  <c r="I106" i="4"/>
  <c r="I71" i="4"/>
  <c r="N71" i="4" s="1"/>
  <c r="Q71" i="4" s="1"/>
  <c r="I75" i="4"/>
  <c r="I80" i="4"/>
  <c r="I83" i="4"/>
  <c r="N83" i="4" s="1"/>
  <c r="Q83" i="4" s="1"/>
  <c r="I86" i="4"/>
  <c r="L86" i="4" s="1"/>
  <c r="I88" i="4"/>
  <c r="N88" i="4" s="1"/>
  <c r="Q88" i="4" s="1"/>
  <c r="I94" i="4"/>
  <c r="L94" i="4" s="1"/>
  <c r="I95" i="4"/>
  <c r="N95" i="4" s="1"/>
  <c r="Q95" i="4" s="1"/>
  <c r="I98" i="4"/>
  <c r="I101" i="4"/>
  <c r="I118" i="4"/>
  <c r="I127" i="4"/>
  <c r="N127" i="4" s="1"/>
  <c r="Q127" i="4" s="1"/>
  <c r="I73" i="4"/>
  <c r="N73" i="4" s="1"/>
  <c r="Q73" i="4" s="1"/>
  <c r="I74" i="4"/>
  <c r="N74" i="4" s="1"/>
  <c r="Q74" i="4" s="1"/>
  <c r="I78" i="4"/>
  <c r="L78" i="4" s="1"/>
  <c r="I82" i="4"/>
  <c r="N82" i="4" s="1"/>
  <c r="Q82" i="4" s="1"/>
  <c r="I85" i="4"/>
  <c r="L85" i="4" s="1"/>
  <c r="I93" i="4"/>
  <c r="N93" i="4" s="1"/>
  <c r="Q93" i="4" s="1"/>
  <c r="I112" i="4"/>
  <c r="L112" i="4" s="1"/>
  <c r="M112" i="4" s="1"/>
  <c r="I114" i="4"/>
  <c r="N114" i="4" s="1"/>
  <c r="Q114" i="4" s="1"/>
  <c r="I121" i="4"/>
  <c r="I122" i="4"/>
  <c r="N122" i="4" s="1"/>
  <c r="Q122" i="4" s="1"/>
  <c r="I84" i="4"/>
  <c r="L84" i="4" s="1"/>
  <c r="I87" i="4"/>
  <c r="I91" i="4"/>
  <c r="I97" i="4"/>
  <c r="L97" i="4" s="1"/>
  <c r="M97" i="4" s="1"/>
  <c r="I105" i="4"/>
  <c r="L105" i="4" s="1"/>
  <c r="M105" i="4" s="1"/>
  <c r="I116" i="4"/>
  <c r="N116" i="4" s="1"/>
  <c r="Q116" i="4" s="1"/>
  <c r="I126" i="4"/>
  <c r="N126" i="4" s="1"/>
  <c r="Q126" i="4" s="1"/>
  <c r="N121" i="4"/>
  <c r="Q121" i="4"/>
  <c r="N101" i="4"/>
  <c r="Q101" i="4"/>
  <c r="L101" i="4"/>
  <c r="M101" i="4" s="1"/>
  <c r="N75" i="4"/>
  <c r="Q75" i="4" s="1"/>
  <c r="L106" i="4"/>
  <c r="M106" i="4" s="1"/>
  <c r="N106" i="4"/>
  <c r="Q106" i="4" s="1"/>
  <c r="L124" i="4"/>
  <c r="N124" i="4"/>
  <c r="Q124" i="4" s="1"/>
  <c r="L108" i="4"/>
  <c r="N98" i="4"/>
  <c r="Q98" i="4"/>
  <c r="N117" i="4"/>
  <c r="Q117" i="4"/>
  <c r="L117" i="4"/>
  <c r="M117" i="4" s="1"/>
  <c r="N103" i="4"/>
  <c r="Q103" i="4" s="1"/>
  <c r="L103" i="4"/>
  <c r="M103" i="4" s="1"/>
  <c r="L125" i="4"/>
  <c r="M125" i="4" s="1"/>
  <c r="N125" i="4"/>
  <c r="Q125" i="4" s="1"/>
  <c r="N104" i="4"/>
  <c r="Q104" i="4"/>
  <c r="N90" i="4"/>
  <c r="Q90" i="4" s="1"/>
  <c r="N91" i="4"/>
  <c r="Q91" i="4" s="1"/>
  <c r="L91" i="4"/>
  <c r="L127" i="4"/>
  <c r="N110" i="4"/>
  <c r="Q110" i="4" s="1"/>
  <c r="L110" i="4"/>
  <c r="M110" i="4" s="1"/>
  <c r="L123" i="4"/>
  <c r="M123" i="4" s="1"/>
  <c r="L113" i="4"/>
  <c r="M113" i="4" s="1"/>
  <c r="N87" i="4"/>
  <c r="Q87" i="4" s="1"/>
  <c r="L87" i="4"/>
  <c r="L122" i="4"/>
  <c r="N118" i="4"/>
  <c r="Q118" i="4" s="1"/>
  <c r="L118" i="4"/>
  <c r="M118" i="4" s="1"/>
  <c r="N80" i="4"/>
  <c r="Q80" i="4" s="1"/>
  <c r="N109" i="4"/>
  <c r="Q109" i="4" s="1"/>
  <c r="N111" i="4"/>
  <c r="Q111" i="4"/>
  <c r="L111" i="4"/>
  <c r="M111" i="4" s="1"/>
  <c r="N99" i="4"/>
  <c r="Q99" i="4" s="1"/>
  <c r="L99" i="4"/>
  <c r="M99" i="4" s="1"/>
  <c r="O85" i="4" l="1"/>
  <c r="P85" i="4" s="1"/>
  <c r="O115" i="4"/>
  <c r="P115" i="4" s="1"/>
  <c r="O124" i="4"/>
  <c r="P124" i="4" s="1"/>
  <c r="O107" i="4"/>
  <c r="P107" i="4" s="1"/>
  <c r="N102" i="4"/>
  <c r="Q102" i="4" s="1"/>
  <c r="N97" i="4"/>
  <c r="Q97" i="4" s="1"/>
  <c r="N96" i="4"/>
  <c r="Q96" i="4" s="1"/>
  <c r="L95" i="4"/>
  <c r="M95" i="4" s="1"/>
  <c r="M108" i="4"/>
  <c r="O126" i="4"/>
  <c r="P126" i="4" s="1"/>
  <c r="O91" i="4"/>
  <c r="P91" i="4" s="1"/>
  <c r="O119" i="4"/>
  <c r="P119" i="4" s="1"/>
  <c r="L74" i="4"/>
  <c r="O121" i="4"/>
  <c r="P121" i="4" s="1"/>
  <c r="N92" i="4"/>
  <c r="Q92" i="4" s="1"/>
  <c r="L71" i="4"/>
  <c r="O92" i="4"/>
  <c r="P92" i="4" s="1"/>
  <c r="O114" i="4"/>
  <c r="P114" i="4" s="1"/>
  <c r="L81" i="4"/>
  <c r="L75" i="4"/>
  <c r="L82" i="4"/>
  <c r="L104" i="4"/>
  <c r="M104" i="4" s="1"/>
  <c r="L126" i="4"/>
  <c r="L121" i="4"/>
  <c r="L79" i="4"/>
  <c r="O71" i="4"/>
  <c r="P71" i="4" s="1"/>
  <c r="M91" i="4"/>
  <c r="O120" i="4"/>
  <c r="P120" i="4" s="1"/>
  <c r="N105" i="4"/>
  <c r="Q105" i="4" s="1"/>
  <c r="L83" i="4"/>
  <c r="N94" i="4"/>
  <c r="Q94" i="4" s="1"/>
  <c r="L116" i="4"/>
  <c r="M107" i="4"/>
  <c r="O108" i="4"/>
  <c r="P108" i="4" s="1"/>
  <c r="M127" i="4"/>
  <c r="N100" i="4"/>
  <c r="Q100" i="4" s="1"/>
  <c r="N112" i="4"/>
  <c r="Q112" i="4" s="1"/>
  <c r="L114" i="4"/>
  <c r="L73" i="4"/>
  <c r="M78" i="4"/>
  <c r="M75" i="4"/>
  <c r="M74" i="4"/>
  <c r="M84" i="4"/>
  <c r="O78" i="4"/>
  <c r="P78" i="4" s="1"/>
  <c r="N81" i="4"/>
  <c r="Q81" i="4" s="1"/>
  <c r="M92" i="4"/>
  <c r="O80" i="4"/>
  <c r="P80" i="4" s="1"/>
  <c r="O96" i="4"/>
  <c r="P96" i="4" s="1"/>
  <c r="O72" i="4"/>
  <c r="P72" i="4" s="1"/>
  <c r="L119" i="4"/>
  <c r="O84" i="4"/>
  <c r="P84" i="4" s="1"/>
  <c r="L115" i="4"/>
  <c r="O79" i="4"/>
  <c r="P79" i="4" s="1"/>
  <c r="M87" i="4"/>
  <c r="L72" i="4"/>
  <c r="O74" i="4"/>
  <c r="P74" i="4" s="1"/>
  <c r="O75" i="4"/>
  <c r="P75" i="4" s="1"/>
  <c r="O83" i="4"/>
  <c r="P83" i="4" s="1"/>
  <c r="O88" i="4"/>
  <c r="P88" i="4" s="1"/>
  <c r="L80" i="4"/>
  <c r="M86" i="4"/>
  <c r="O73" i="4"/>
  <c r="P73" i="4" s="1"/>
  <c r="O95" i="4"/>
  <c r="P95" i="4" s="1"/>
  <c r="O77" i="4"/>
  <c r="P77" i="4" s="1"/>
  <c r="O90" i="4"/>
  <c r="P90" i="4" s="1"/>
  <c r="M94" i="4"/>
  <c r="L77" i="4"/>
  <c r="O89" i="4"/>
  <c r="P89" i="4" s="1"/>
  <c r="O93" i="4"/>
  <c r="P93" i="4" s="1"/>
  <c r="O86" i="4"/>
  <c r="P86" i="4" s="1"/>
  <c r="L120" i="4"/>
  <c r="O81" i="4"/>
  <c r="P81" i="4" s="1"/>
  <c r="L89" i="4"/>
  <c r="N78" i="4"/>
  <c r="Q78" i="4" s="1"/>
  <c r="N107" i="4"/>
  <c r="Q107" i="4" s="1"/>
  <c r="O76" i="4"/>
  <c r="P76" i="4" s="1"/>
  <c r="O97" i="4"/>
  <c r="P97" i="4" s="1"/>
  <c r="O94" i="4"/>
  <c r="P94" i="4" s="1"/>
  <c r="O82" i="4"/>
  <c r="P82" i="4" s="1"/>
  <c r="N84" i="4"/>
  <c r="Q84" i="4" s="1"/>
  <c r="M82" i="4"/>
  <c r="M85" i="4"/>
  <c r="M83" i="4"/>
  <c r="N86" i="4"/>
  <c r="Q86" i="4" s="1"/>
  <c r="L90" i="4"/>
  <c r="M96" i="4"/>
  <c r="L76" i="4"/>
  <c r="N85" i="4"/>
  <c r="Q85" i="4" s="1"/>
  <c r="L93" i="4"/>
  <c r="L88" i="4"/>
  <c r="J14" i="4"/>
  <c r="J13" i="4" s="1"/>
  <c r="K16" i="4" s="1"/>
  <c r="M116" i="4" l="1"/>
  <c r="M114" i="4"/>
  <c r="M126" i="4"/>
  <c r="M115" i="4"/>
  <c r="M121" i="4"/>
  <c r="M119" i="4"/>
  <c r="M73" i="4"/>
  <c r="M79" i="4"/>
  <c r="M81" i="4"/>
  <c r="M120" i="4"/>
  <c r="M71" i="4"/>
  <c r="M93" i="4"/>
  <c r="M76" i="4"/>
  <c r="M90" i="4"/>
  <c r="M89" i="4"/>
  <c r="M77" i="4"/>
  <c r="M72" i="4"/>
  <c r="M80" i="4"/>
  <c r="M88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0" i="4" l="1"/>
  <c r="P60" i="4" s="1"/>
  <c r="O62" i="4"/>
  <c r="P62" i="4" s="1"/>
  <c r="O61" i="4"/>
  <c r="P61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0" i="4" l="1"/>
  <c r="M61" i="4"/>
  <c r="M70" i="4"/>
  <c r="M62" i="4"/>
  <c r="M63" i="4"/>
  <c r="M64" i="4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L45" i="4" s="1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9" i="4" l="1"/>
  <c r="P49" i="4" s="1"/>
  <c r="O48" i="4"/>
  <c r="P48" i="4" s="1"/>
  <c r="M48" i="4"/>
  <c r="M49" i="4"/>
  <c r="K43" i="4"/>
  <c r="M43" i="4"/>
  <c r="O47" i="4"/>
  <c r="P47" i="4" s="1"/>
  <c r="M47" i="4"/>
  <c r="M31" i="4"/>
  <c r="O31" i="4"/>
  <c r="P31" i="4" s="1"/>
  <c r="O33" i="4"/>
  <c r="P33" i="4" s="1"/>
  <c r="M35" i="4"/>
  <c r="O28" i="4"/>
  <c r="P28" i="4" s="1"/>
  <c r="O46" i="4"/>
  <c r="P46" i="4" s="1"/>
  <c r="L30" i="4"/>
  <c r="M44" i="4"/>
  <c r="O41" i="4"/>
  <c r="P41" i="4" s="1"/>
  <c r="O30" i="4"/>
  <c r="P30" i="4" s="1"/>
  <c r="O39" i="4"/>
  <c r="P39" i="4" s="1"/>
  <c r="M45" i="4"/>
  <c r="M39" i="4"/>
  <c r="K35" i="4"/>
  <c r="K44" i="4"/>
  <c r="K4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O43" i="4" l="1"/>
  <c r="P43" i="4" s="1"/>
  <c r="O29" i="4"/>
  <c r="P29" i="4" s="1"/>
  <c r="O32" i="4"/>
  <c r="P32" i="4" s="1"/>
  <c r="O38" i="4"/>
  <c r="P38" i="4" s="1"/>
  <c r="O37" i="4"/>
  <c r="P37" i="4" s="1"/>
  <c r="M46" i="4"/>
  <c r="O36" i="4"/>
  <c r="P36" i="4" s="1"/>
  <c r="O45" i="4"/>
  <c r="P45" i="4" s="1"/>
  <c r="O44" i="4"/>
  <c r="P44" i="4" s="1"/>
  <c r="O35" i="4"/>
  <c r="P35" i="4" s="1"/>
  <c r="O40" i="4"/>
  <c r="P40" i="4" s="1"/>
  <c r="M33" i="4"/>
  <c r="O34" i="4"/>
  <c r="P34" i="4" s="1"/>
  <c r="M30" i="4"/>
  <c r="O42" i="4"/>
  <c r="P42" i="4" s="1"/>
  <c r="M41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<sst xmlns="http://schemas.openxmlformats.org/spreadsheetml/2006/main" count="340" uniqueCount="315">
  <si>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</si>
  <si>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</si>
  <si>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</si>
  <si>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</si>
  <si>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</si>
  <si>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</si>
  <si>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</si>
  <si>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</si>
  <si>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</si>
  <si>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</si>
  <si>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</si>
  <si>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</si>
  <si>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</si>
  <si>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</si>
  <si>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</si>
  <si>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</si>
  <si>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</si>
  <si>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</si>
  <si>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</si>
  <si>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</si>
  <si>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</si>
  <si>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</si>
  <si>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</si>
  <si>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</si>
  <si>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</si>
  <si>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</si>
  <si>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</si>
  <si>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</si>
  <si>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</si>
  <si>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</si>
  <si>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</si>
  <si>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</si>
  <si>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</si>
  <si>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</si>
  <si>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</si>
  <si>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</si>
  <si>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</si>
  <si>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</si>
  <si>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</si>
  <si>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</si>
  <si>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</si>
  <si>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</si>
  <si>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</si>
  <si>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</si>
  <si>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</si>
  <si>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</si>
  <si>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</si>
  <si>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</si>
  <si>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</si>
  <si>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</si>
  <si>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</si>
  <si>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</si>
  <si>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</si>
  <si>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</si>
  <si>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</si>
  <si>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</si>
  <si>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</si>
  <si>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</si>
  <si>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</si>
  <si>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</si>
  <si>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</si>
  <si>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</si>
  <si>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</si>
  <si>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</si>
  <si>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</si>
  <si>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</si>
  <si>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</si>
  <si>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</si>
  <si>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</si>
  <si>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</si>
  <si>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</si>
  <si>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</si>
  <si>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</si>
  <si>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</si>
  <si>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</si>
  <si>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</si>
  <si>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</si>
  <si>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</si>
  <si>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</si>
  <si>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</si>
  <si>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</si>
  <si>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</si>
  <si>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</si>
  <si>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</si>
  <si>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</si>
  <si>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</si>
  <si>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</si>
  <si>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</si>
  <si>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</si>
  <si>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</si>
  <si>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</si>
  <si>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</si>
  <si>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</si>
  <si>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</si>
  <si>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</si>
  <si>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</si>
  <si>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</si>
  <si>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</si>
  <si>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</si>
  <si>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</si>
  <si>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</si>
  <si>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</si>
  <si>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</si>
  <si>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</si>
  <si>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</si>
  <si>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</si>
  <si>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</si>
  <si>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</si>
  <si>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</si>
  <si>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</si>
  <si>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</si>
  <si>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</si>
  <si>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Rtgut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</si>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</sst>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0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8.9000000000000006E-4</v>
      </c>
      <c r="M17" s="80">
        <v>6.0000000000000002E-5</v>
      </c>
      <c r="N17" s="80">
        <v>5.0000000000000002E-5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C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40.005600000000001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39.797784</v>
      </c>
      <c r="K8" s="39">
        <f>J8/J7</f>
        <v>0.99480532725418436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0.19233600000000003</v>
      </c>
      <c r="K9" s="39">
        <f>J9/J7</f>
        <v>4.8077269182314484E-3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1.5480000000000001E-2</v>
      </c>
      <c r="K10" s="39">
        <f>J10/J7</f>
        <v>3.8694582758413824E-4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5.5999999999999999E-3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4.9839999999999997E-3</v>
      </c>
      <c r="K20" s="39">
        <f>J20/J19</f>
        <v>0.89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3.3599999999999998E-4</v>
      </c>
      <c r="K21" s="39">
        <f>J21/J19</f>
        <v>0.06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2.8000000000000003E-4</v>
      </c>
      <c r="K22" s="39">
        <f>J22/J19</f>
        <v>0.05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8.6629514448579737E-3</v>
      </c>
      <c r="K28" s="93">
        <f t="shared" ref="K28:K47" si="3">IF(D28=0,"",1/(1+10^D28*$J$15/$J$14+10^E28*$J$16/$J$14+10^J28*$J$19/$J$14))</f>
        <v>0.99382601893086631</v>
      </c>
      <c r="L28" s="93">
        <f t="shared" ref="L28:L47" si="4">IF(D28=0,"",1/(1+10^I28/10^J28*$J$13/$J$19))</f>
        <v>1.426779438228359E-4</v>
      </c>
      <c r="M28" s="93">
        <f t="shared" ref="M28:M47" si="5">IF(D28=0,"",1-L28)</f>
        <v>0.99985732205617717</v>
      </c>
      <c r="N28" s="93">
        <f t="shared" ref="N28:N47" si="6">IF(D28=0,"",1/(1/10^E28*$J$20/$J$22+10^D28/10^E28*$J$21/$J$22+10^I28/10^E28*$J$13/$J$22+1))</f>
        <v>8.4504511364274658E-6</v>
      </c>
      <c r="O28" s="40">
        <f t="shared" ref="O28:O47" si="7">IF(D28=0,"",F28*K28*$J$7/$J$14)</f>
        <v>9.9914070341721777E-7</v>
      </c>
      <c r="P28" s="40">
        <f t="shared" ref="P28:P47" si="8">IF(D28=0,"",O28*10^J28)</f>
        <v>1.0192708481069365E-6</v>
      </c>
      <c r="Q28" s="40">
        <f t="shared" ref="Q28:Q47" si="9">IF(D28=0,"",F28*N28*$J$7/$J$22)</f>
        <v>1.207376314226652E-6</v>
      </c>
      <c r="R28" s="9">
        <f>F28*$C$14</f>
        <v>3.9999999999999996E-5</v>
      </c>
      <c r="S28" s="9">
        <f>$R28*L28</f>
        <v>5.7071177529134357E-9</v>
      </c>
      <c r="T28" s="9">
        <f t="shared" ref="T28:T91" si="10">R28*K28</f>
        <v>3.9753040757234648E-5</v>
      </c>
      <c r="U28" s="9">
        <f t="shared" ref="U28:U91" si="11">$R28*M28</f>
        <v>3.9994292882247084E-5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1.5071795924333535</v>
      </c>
      <c r="K29" s="93">
        <f t="shared" si="3"/>
        <v>0.46840911266087598</v>
      </c>
      <c r="L29" s="93">
        <f t="shared" si="4"/>
        <v>2.119280566705102E-3</v>
      </c>
      <c r="M29" s="93">
        <f t="shared" si="5"/>
        <v>0.99788071943329493</v>
      </c>
      <c r="N29" s="93">
        <f t="shared" si="6"/>
        <v>1.2530801998503437E-3</v>
      </c>
      <c r="O29" s="40">
        <f t="shared" si="7"/>
        <v>4.709140245839936E-7</v>
      </c>
      <c r="P29" s="40">
        <f t="shared" si="8"/>
        <v>1.5139837614174574E-5</v>
      </c>
      <c r="Q29" s="40">
        <f t="shared" si="9"/>
        <v>1.7903651872547464E-4</v>
      </c>
      <c r="R29" s="9">
        <f t="shared" ref="R29:R92" si="12">F29*$C$14</f>
        <v>3.9999999999999996E-5</v>
      </c>
      <c r="S29" s="9">
        <f t="shared" ref="S29:S92" si="13">$R29*L29</f>
        <v>8.4771222668204066E-8</v>
      </c>
      <c r="T29" s="9">
        <f t="shared" si="10"/>
        <v>1.8736364506435037E-5</v>
      </c>
      <c r="U29" s="9">
        <f t="shared" si="11"/>
        <v>3.9915228777331795E-5</v>
      </c>
      <c r="V29" s="100">
        <f t="shared" ref="V29:V92" si="14">K29/M29</f>
        <v>0.46940391124791903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3.1846481838673779</v>
      </c>
      <c r="K30" s="93">
        <f t="shared" si="3"/>
        <v>8.1579117302221192E-3</v>
      </c>
      <c r="L30" s="93">
        <f t="shared" si="4"/>
        <v>1.756348578743513E-3</v>
      </c>
      <c r="M30" s="93">
        <f t="shared" si="5"/>
        <v>0.99824365142125648</v>
      </c>
      <c r="N30" s="93">
        <f t="shared" si="6"/>
        <v>2.5057199692223766E-5</v>
      </c>
      <c r="O30" s="40">
        <f t="shared" si="7"/>
        <v>8.2015378036874516E-9</v>
      </c>
      <c r="P30" s="40">
        <f t="shared" si="8"/>
        <v>1.2547103339603844E-5</v>
      </c>
      <c r="Q30" s="40">
        <f t="shared" si="9"/>
        <v>3.5801011000258108E-6</v>
      </c>
      <c r="R30" s="9">
        <f t="shared" si="12"/>
        <v>3.9999999999999996E-5</v>
      </c>
      <c r="S30" s="9">
        <f t="shared" si="13"/>
        <v>7.0253943149740516E-8</v>
      </c>
      <c r="T30" s="9">
        <f t="shared" si="10"/>
        <v>3.2631646920888476E-7</v>
      </c>
      <c r="U30" s="9">
        <f t="shared" si="11"/>
        <v>3.9929746056850253E-5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-4.6726110400890343E-2</v>
      </c>
      <c r="K31" s="93">
        <f t="shared" si="3"/>
        <v>0.99929036815724326</v>
      </c>
      <c r="L31" s="93">
        <f t="shared" si="4"/>
        <v>1.2628422951857502E-4</v>
      </c>
      <c r="M31" s="93">
        <f t="shared" si="5"/>
        <v>0.99987371577048145</v>
      </c>
      <c r="N31" s="93">
        <f t="shared" si="6"/>
        <v>1.1432375531033614E-7</v>
      </c>
      <c r="O31" s="40">
        <f t="shared" si="7"/>
        <v>1.0046342743499179E-6</v>
      </c>
      <c r="P31" s="40">
        <f t="shared" si="8"/>
        <v>9.0215649507648323E-7</v>
      </c>
      <c r="Q31" s="40">
        <f t="shared" si="9"/>
        <v>1.633425151943994E-8</v>
      </c>
      <c r="R31" s="9">
        <f t="shared" si="12"/>
        <v>3.9999999999999996E-5</v>
      </c>
      <c r="S31" s="9">
        <f t="shared" si="13"/>
        <v>5.0513691807429999E-9</v>
      </c>
      <c r="T31" s="9">
        <f t="shared" si="10"/>
        <v>3.9971614726289729E-5</v>
      </c>
      <c r="U31" s="9">
        <f t="shared" si="11"/>
        <v>3.9994948630819253E-5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7.9809959531048844E-2</v>
      </c>
      <c r="K32" s="93">
        <f t="shared" si="3"/>
        <v>0.9823618926708626</v>
      </c>
      <c r="L32" s="93">
        <f t="shared" si="4"/>
        <v>1.6613647614534328E-4</v>
      </c>
      <c r="M32" s="93">
        <f t="shared" si="5"/>
        <v>0.99983386352385462</v>
      </c>
      <c r="N32" s="93">
        <f t="shared" si="6"/>
        <v>1.3835237575022064E-5</v>
      </c>
      <c r="O32" s="40">
        <f t="shared" si="7"/>
        <v>9.8761527043669863E-7</v>
      </c>
      <c r="P32" s="40">
        <f t="shared" si="8"/>
        <v>1.1868552518000264E-6</v>
      </c>
      <c r="Q32" s="40">
        <f t="shared" si="9"/>
        <v>1.9767392154689379E-6</v>
      </c>
      <c r="R32" s="9">
        <f t="shared" si="12"/>
        <v>3.9999999999999996E-5</v>
      </c>
      <c r="S32" s="9">
        <f t="shared" si="13"/>
        <v>6.6454590458137308E-9</v>
      </c>
      <c r="T32" s="9">
        <f t="shared" si="10"/>
        <v>3.92944757068345E-5</v>
      </c>
      <c r="U32" s="9">
        <f t="shared" si="11"/>
        <v>3.999335454095418E-5</v>
      </c>
      <c r="V32" s="100">
        <f t="shared" si="14"/>
        <v>0.98252512593300945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0.85658284176588462</v>
      </c>
      <c r="K33" s="93">
        <f t="shared" si="3"/>
        <v>0.80512556529804891</v>
      </c>
      <c r="L33" s="93">
        <f t="shared" si="4"/>
        <v>8.1438541414375276E-4</v>
      </c>
      <c r="M33" s="93">
        <f t="shared" si="5"/>
        <v>0.9991856145858562</v>
      </c>
      <c r="N33" s="93">
        <f t="shared" si="6"/>
        <v>4.1319262548563128E-4</v>
      </c>
      <c r="O33" s="40">
        <f t="shared" si="7"/>
        <v>8.0943113616251249E-7</v>
      </c>
      <c r="P33" s="40">
        <f t="shared" si="8"/>
        <v>5.8178530578695209E-6</v>
      </c>
      <c r="Q33" s="40">
        <f t="shared" si="9"/>
        <v>5.9035781779028463E-5</v>
      </c>
      <c r="R33" s="9">
        <f t="shared" si="12"/>
        <v>3.9999999999999996E-5</v>
      </c>
      <c r="S33" s="9">
        <f t="shared" si="13"/>
        <v>3.2575416565750106E-8</v>
      </c>
      <c r="T33" s="9">
        <f t="shared" si="10"/>
        <v>3.2205022611921952E-5</v>
      </c>
      <c r="U33" s="9">
        <f t="shared" si="11"/>
        <v>3.9967424583434246E-5</v>
      </c>
      <c r="V33" s="100">
        <f t="shared" si="14"/>
        <v>0.80578178222847863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4.2050150361398808E-2</v>
      </c>
      <c r="K34" s="93">
        <f t="shared" si="3"/>
        <v>0.98745472734667339</v>
      </c>
      <c r="L34" s="93">
        <f t="shared" si="4"/>
        <v>1.5309142710769554E-4</v>
      </c>
      <c r="M34" s="93">
        <f t="shared" si="5"/>
        <v>0.99984690857289227</v>
      </c>
      <c r="N34" s="93">
        <f t="shared" si="6"/>
        <v>8.5387861218513209E-6</v>
      </c>
      <c r="O34" s="40">
        <f t="shared" si="7"/>
        <v>9.9273534007006478E-7</v>
      </c>
      <c r="P34" s="40">
        <f t="shared" si="8"/>
        <v>1.0936632850535044E-6</v>
      </c>
      <c r="Q34" s="40">
        <f t="shared" si="9"/>
        <v>1.2199973645583399E-6</v>
      </c>
      <c r="R34" s="9">
        <f t="shared" si="12"/>
        <v>3.9999999999999996E-5</v>
      </c>
      <c r="S34" s="9">
        <f t="shared" si="13"/>
        <v>6.1236570843078211E-9</v>
      </c>
      <c r="T34" s="9">
        <f t="shared" si="10"/>
        <v>3.9498189093866935E-5</v>
      </c>
      <c r="U34" s="9">
        <f t="shared" si="11"/>
        <v>3.9993876342915689E-5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1.913510872444386E-2</v>
      </c>
      <c r="K35" s="93">
        <f t="shared" si="3"/>
        <v>0.9904850586075189</v>
      </c>
      <c r="L35" s="93">
        <f t="shared" si="4"/>
        <v>1.4566880759499804E-4</v>
      </c>
      <c r="M35" s="93">
        <f t="shared" si="5"/>
        <v>0.99985433119240497</v>
      </c>
      <c r="N35" s="93">
        <f t="shared" si="6"/>
        <v>5.7630129613834345E-6</v>
      </c>
      <c r="O35" s="40">
        <f t="shared" si="7"/>
        <v>9.9578187663670192E-7</v>
      </c>
      <c r="P35" s="40">
        <f t="shared" si="8"/>
        <v>1.0406371516290092E-6</v>
      </c>
      <c r="Q35" s="40">
        <f t="shared" si="9"/>
        <v>8.2340282617114672E-7</v>
      </c>
      <c r="R35" s="9">
        <f t="shared" si="12"/>
        <v>3.9999999999999996E-5</v>
      </c>
      <c r="S35" s="9">
        <f t="shared" si="13"/>
        <v>5.8267523037999208E-9</v>
      </c>
      <c r="T35" s="9">
        <f t="shared" si="10"/>
        <v>3.9619402344300754E-5</v>
      </c>
      <c r="U35" s="9">
        <f t="shared" si="11"/>
        <v>3.9994173247696195E-5</v>
      </c>
      <c r="V35" s="100">
        <f t="shared" si="14"/>
        <v>0.99062936240550914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2.9136453532291715</v>
      </c>
      <c r="K36" s="93">
        <f t="shared" si="3"/>
        <v>5.148543918480581E-2</v>
      </c>
      <c r="L36" s="93">
        <f t="shared" si="4"/>
        <v>5.9389996932906084E-3</v>
      </c>
      <c r="M36" s="93">
        <f t="shared" si="5"/>
        <v>0.99406100030670941</v>
      </c>
      <c r="N36" s="93">
        <f t="shared" si="6"/>
        <v>4.7326452734059374E-3</v>
      </c>
      <c r="O36" s="40">
        <f t="shared" si="7"/>
        <v>5.1760767924138718E-8</v>
      </c>
      <c r="P36" s="40">
        <f t="shared" si="8"/>
        <v>4.2427365380340518E-5</v>
      </c>
      <c r="Q36" s="40">
        <f t="shared" si="9"/>
        <v>6.7618683482060192E-4</v>
      </c>
      <c r="R36" s="9">
        <f t="shared" si="12"/>
        <v>3.9999999999999996E-5</v>
      </c>
      <c r="S36" s="9">
        <f t="shared" si="13"/>
        <v>2.3755998773162431E-7</v>
      </c>
      <c r="T36" s="9">
        <f t="shared" si="10"/>
        <v>2.0594175673922322E-6</v>
      </c>
      <c r="U36" s="9">
        <f t="shared" si="11"/>
        <v>3.9762440012268371E-5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5.2086075661318931</v>
      </c>
      <c r="K37" s="93">
        <f t="shared" si="3"/>
        <v>6.2202456066164102E-4</v>
      </c>
      <c r="L37" s="93">
        <f t="shared" si="4"/>
        <v>1.4151374595925975E-2</v>
      </c>
      <c r="M37" s="93">
        <f t="shared" si="5"/>
        <v>0.98584862540407403</v>
      </c>
      <c r="N37" s="93">
        <f t="shared" si="6"/>
        <v>1.3731657609532814E-2</v>
      </c>
      <c r="O37" s="40">
        <f t="shared" si="7"/>
        <v>6.2535096208372737E-10</v>
      </c>
      <c r="P37" s="40">
        <f t="shared" si="8"/>
        <v>1.0109539848835303E-4</v>
      </c>
      <c r="Q37" s="40">
        <f t="shared" si="9"/>
        <v>1.9619400059425925E-3</v>
      </c>
      <c r="R37" s="9">
        <f t="shared" si="12"/>
        <v>3.9999999999999996E-5</v>
      </c>
      <c r="S37" s="9">
        <f t="shared" si="13"/>
        <v>5.6605498383703895E-7</v>
      </c>
      <c r="T37" s="9">
        <f t="shared" si="10"/>
        <v>2.4880982426465638E-8</v>
      </c>
      <c r="U37" s="9">
        <f t="shared" si="11"/>
        <v>3.9433945016162959E-5</v>
      </c>
      <c r="V37" s="100">
        <f t="shared" si="14"/>
        <v>6.3095341884428669E-4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-4.0187315675825341E-2</v>
      </c>
      <c r="K38" s="93">
        <f t="shared" si="3"/>
        <v>0.99836320804801637</v>
      </c>
      <c r="L38" s="93">
        <f t="shared" si="4"/>
        <v>1.2808102075942255E-4</v>
      </c>
      <c r="M38" s="93">
        <f t="shared" si="5"/>
        <v>0.99987191897924055</v>
      </c>
      <c r="N38" s="93">
        <f t="shared" si="6"/>
        <v>4.3866752879915015E-7</v>
      </c>
      <c r="O38" s="40">
        <f t="shared" si="7"/>
        <v>1.0037021560655629E-6</v>
      </c>
      <c r="P38" s="40">
        <f t="shared" si="8"/>
        <v>9.1499251501663507E-7</v>
      </c>
      <c r="Q38" s="40">
        <f t="shared" si="9"/>
        <v>6.2675563179026E-8</v>
      </c>
      <c r="R38" s="9">
        <f t="shared" si="12"/>
        <v>3.9999999999999996E-5</v>
      </c>
      <c r="S38" s="9">
        <f t="shared" si="13"/>
        <v>5.1232408303769015E-9</v>
      </c>
      <c r="T38" s="9">
        <f t="shared" si="10"/>
        <v>3.993452832192065E-5</v>
      </c>
      <c r="U38" s="9">
        <f t="shared" si="11"/>
        <v>3.9994876759169616E-5</v>
      </c>
      <c r="V38" s="100">
        <f t="shared" si="14"/>
        <v>0.99849109580678652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1.4630863314519809</v>
      </c>
      <c r="K39" s="93">
        <f t="shared" si="3"/>
        <v>0.45921706190728567</v>
      </c>
      <c r="L39" s="93">
        <f t="shared" si="4"/>
        <v>1.8771020108769476E-3</v>
      </c>
      <c r="M39" s="93">
        <f t="shared" si="5"/>
        <v>0.99812289798912301</v>
      </c>
      <c r="N39" s="93">
        <f t="shared" si="6"/>
        <v>9.6850874803062559E-4</v>
      </c>
      <c r="O39" s="40">
        <f t="shared" si="7"/>
        <v>4.6167281749055382E-7</v>
      </c>
      <c r="P39" s="40">
        <f t="shared" si="8"/>
        <v>1.3409748608274793E-5</v>
      </c>
      <c r="Q39" s="40">
        <f t="shared" si="9"/>
        <v>1.3837776275076424E-4</v>
      </c>
      <c r="R39" s="9">
        <f t="shared" si="12"/>
        <v>3.9999999999999996E-5</v>
      </c>
      <c r="S39" s="9">
        <f t="shared" si="13"/>
        <v>7.5084080435077903E-8</v>
      </c>
      <c r="T39" s="9">
        <f t="shared" si="10"/>
        <v>1.8368682476291424E-5</v>
      </c>
      <c r="U39" s="9">
        <f t="shared" si="11"/>
        <v>3.9924915919564916E-5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1.7075818611730444</v>
      </c>
      <c r="K40" s="93">
        <f t="shared" si="3"/>
        <v>0.42238388705746854</v>
      </c>
      <c r="L40" s="93">
        <f t="shared" si="4"/>
        <v>3.03160581612542E-3</v>
      </c>
      <c r="M40" s="93">
        <f t="shared" si="5"/>
        <v>0.99696839418387462</v>
      </c>
      <c r="N40" s="93">
        <f t="shared" si="6"/>
        <v>2.1803092358265753E-3</v>
      </c>
      <c r="O40" s="40">
        <f t="shared" si="7"/>
        <v>4.2464266983138313E-7</v>
      </c>
      <c r="P40" s="40">
        <f t="shared" si="8"/>
        <v>2.1657358863854841E-5</v>
      </c>
      <c r="Q40" s="40">
        <f t="shared" si="9"/>
        <v>3.1151635415994157E-4</v>
      </c>
      <c r="R40" s="9">
        <f t="shared" si="12"/>
        <v>3.9999999999999996E-5</v>
      </c>
      <c r="S40" s="9">
        <f t="shared" si="13"/>
        <v>1.2126423264501679E-7</v>
      </c>
      <c r="T40" s="9">
        <f t="shared" si="10"/>
        <v>1.6895355482298742E-5</v>
      </c>
      <c r="U40" s="9">
        <f t="shared" si="11"/>
        <v>3.9878735767354981E-5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0.63617430590334978</v>
      </c>
      <c r="K41" s="93">
        <f t="shared" si="3"/>
        <v>0.86177574097107923</v>
      </c>
      <c r="L41" s="93">
        <f t="shared" si="4"/>
        <v>5.2474957835624519E-4</v>
      </c>
      <c r="M41" s="93">
        <f t="shared" si="5"/>
        <v>0.99947525042164376</v>
      </c>
      <c r="N41" s="93">
        <f t="shared" si="6"/>
        <v>1.9429731393151863E-4</v>
      </c>
      <c r="O41" s="40">
        <f t="shared" si="7"/>
        <v>8.6638426004183194E-7</v>
      </c>
      <c r="P41" s="40">
        <f t="shared" si="8"/>
        <v>3.7487360235515363E-6</v>
      </c>
      <c r="Q41" s="40">
        <f t="shared" si="9"/>
        <v>2.7760645079352716E-5</v>
      </c>
      <c r="R41" s="9">
        <f t="shared" si="12"/>
        <v>3.9999999999999996E-5</v>
      </c>
      <c r="S41" s="9">
        <f t="shared" si="13"/>
        <v>2.0989983134249805E-8</v>
      </c>
      <c r="T41" s="9">
        <f t="shared" si="10"/>
        <v>3.4471029638843167E-5</v>
      </c>
      <c r="U41" s="9">
        <f t="shared" si="11"/>
        <v>3.9979010016865746E-5</v>
      </c>
      <c r="V41" s="100">
        <f t="shared" si="14"/>
        <v>0.86222819485277513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1.3625600825731248</v>
      </c>
      <c r="K42" s="93">
        <f t="shared" si="3"/>
        <v>0.5908593269778305</v>
      </c>
      <c r="L42" s="93">
        <f t="shared" si="4"/>
        <v>1.9161420688201718E-3</v>
      </c>
      <c r="M42" s="93">
        <f t="shared" si="5"/>
        <v>0.99808385793117982</v>
      </c>
      <c r="N42" s="93">
        <f t="shared" si="6"/>
        <v>1.2480604692161484E-3</v>
      </c>
      <c r="O42" s="40">
        <f t="shared" si="7"/>
        <v>5.9401906604572429E-7</v>
      </c>
      <c r="P42" s="40">
        <f t="shared" si="8"/>
        <v>1.3688645205070047E-5</v>
      </c>
      <c r="Q42" s="40">
        <f t="shared" si="9"/>
        <v>1.7831931395454836E-4</v>
      </c>
      <c r="R42" s="9">
        <f t="shared" si="12"/>
        <v>3.9999999999999996E-5</v>
      </c>
      <c r="S42" s="9">
        <f t="shared" si="13"/>
        <v>7.6645682752806866E-8</v>
      </c>
      <c r="T42" s="9">
        <f t="shared" si="10"/>
        <v>2.3634373079113217E-5</v>
      </c>
      <c r="U42" s="9">
        <f t="shared" si="11"/>
        <v>3.992335431724719E-5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1.4662062884307066</v>
      </c>
      <c r="K43" s="93">
        <f t="shared" si="3"/>
        <v>0.4744145719872469</v>
      </c>
      <c r="L43" s="93">
        <f t="shared" si="4"/>
        <v>1.9532050412652143E-3</v>
      </c>
      <c r="M43" s="93">
        <f t="shared" si="5"/>
        <v>0.99804679495873483</v>
      </c>
      <c r="N43" s="93">
        <f t="shared" si="6"/>
        <v>1.0800318238341825E-3</v>
      </c>
      <c r="O43" s="40">
        <f t="shared" si="7"/>
        <v>4.7695159931176003E-7</v>
      </c>
      <c r="P43" s="40">
        <f t="shared" si="8"/>
        <v>1.3953417785507089E-5</v>
      </c>
      <c r="Q43" s="40">
        <f t="shared" si="9"/>
        <v>1.54311861184217E-4</v>
      </c>
      <c r="R43" s="9">
        <f t="shared" si="12"/>
        <v>3.9999999999999996E-5</v>
      </c>
      <c r="S43" s="9">
        <f t="shared" si="13"/>
        <v>7.8128201650608559E-8</v>
      </c>
      <c r="T43" s="9">
        <f t="shared" si="10"/>
        <v>1.8976582879489876E-5</v>
      </c>
      <c r="U43" s="9">
        <f t="shared" si="11"/>
        <v>3.9921871798349392E-5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5.7902923462368587</v>
      </c>
      <c r="K44" s="93">
        <f t="shared" si="3"/>
        <v>1.4549199130760247E-4</v>
      </c>
      <c r="L44" s="93">
        <f t="shared" si="4"/>
        <v>1.2633246264873152E-2</v>
      </c>
      <c r="M44" s="93">
        <f t="shared" si="5"/>
        <v>0.98736675373512683</v>
      </c>
      <c r="N44" s="93">
        <f t="shared" si="6"/>
        <v>1.2050376612293663E-2</v>
      </c>
      <c r="O44" s="40">
        <f t="shared" si="7"/>
        <v>1.4627003898834516E-10</v>
      </c>
      <c r="P44" s="40">
        <f t="shared" si="8"/>
        <v>9.0250106566787389E-5</v>
      </c>
      <c r="Q44" s="40">
        <f t="shared" si="9"/>
        <v>1.7217233807170548E-3</v>
      </c>
      <c r="R44" s="9">
        <f t="shared" si="12"/>
        <v>3.9999999999999996E-5</v>
      </c>
      <c r="S44" s="9">
        <f t="shared" si="13"/>
        <v>5.05329850594926E-7</v>
      </c>
      <c r="T44" s="9">
        <f t="shared" si="10"/>
        <v>5.8196796523040982E-9</v>
      </c>
      <c r="U44" s="9">
        <f t="shared" si="11"/>
        <v>3.949467014940507E-5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0.50735979747220017</v>
      </c>
      <c r="K45" s="93">
        <f t="shared" si="3"/>
        <v>0.91101979875130401</v>
      </c>
      <c r="L45" s="93">
        <f t="shared" si="4"/>
        <v>4.1235488205253347E-4</v>
      </c>
      <c r="M45" s="93">
        <f t="shared" si="5"/>
        <v>0.99958764511794751</v>
      </c>
      <c r="N45" s="93">
        <f t="shared" si="6"/>
        <v>1.5829505482018566E-4</v>
      </c>
      <c r="O45" s="40">
        <f t="shared" si="7"/>
        <v>9.1589166032360546E-7</v>
      </c>
      <c r="P45" s="40">
        <f t="shared" si="8"/>
        <v>2.945804369543006E-6</v>
      </c>
      <c r="Q45" s="40">
        <f t="shared" si="9"/>
        <v>2.2616745161122925E-5</v>
      </c>
      <c r="R45" s="9">
        <f t="shared" si="12"/>
        <v>3.9999999999999996E-5</v>
      </c>
      <c r="S45" s="9">
        <f t="shared" si="13"/>
        <v>1.6494195282101337E-8</v>
      </c>
      <c r="T45" s="9">
        <f t="shared" si="10"/>
        <v>3.6440791950052158E-5</v>
      </c>
      <c r="U45" s="9">
        <f t="shared" si="11"/>
        <v>3.99835058047179E-5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0.50980800632319279</v>
      </c>
      <c r="K46" s="93">
        <f t="shared" si="3"/>
        <v>0.90637165945238707</v>
      </c>
      <c r="L46" s="93">
        <f t="shared" si="4"/>
        <v>4.1257019626438578E-4</v>
      </c>
      <c r="M46" s="93">
        <f t="shared" si="5"/>
        <v>0.99958742980373561</v>
      </c>
      <c r="N46" s="93">
        <f t="shared" si="6"/>
        <v>1.5018855874906472E-4</v>
      </c>
      <c r="O46" s="40">
        <f t="shared" si="7"/>
        <v>9.1121866416508545E-7</v>
      </c>
      <c r="P46" s="40">
        <f t="shared" si="8"/>
        <v>2.9473425435133049E-6</v>
      </c>
      <c r="Q46" s="40">
        <f t="shared" si="9"/>
        <v>2.1458512163898508E-5</v>
      </c>
      <c r="R46" s="9">
        <f t="shared" si="12"/>
        <v>3.9999999999999996E-5</v>
      </c>
      <c r="S46" s="9">
        <f t="shared" si="13"/>
        <v>1.6502807850575431E-8</v>
      </c>
      <c r="T46" s="9">
        <f t="shared" si="10"/>
        <v>3.6254866378095482E-5</v>
      </c>
      <c r="U46" s="9">
        <f t="shared" si="11"/>
        <v>3.9983497192149423E-5</v>
      </c>
      <c r="V46" s="100">
        <f t="shared" si="14"/>
        <v>0.90674575572678917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1.9607549023758677</v>
      </c>
      <c r="K47" s="93">
        <f t="shared" si="3"/>
        <v>0.30912811146976993</v>
      </c>
      <c r="L47" s="93">
        <f t="shared" si="4"/>
        <v>3.9744490224028033E-3</v>
      </c>
      <c r="M47" s="93">
        <f t="shared" si="5"/>
        <v>0.99602555097759715</v>
      </c>
      <c r="N47" s="93">
        <f t="shared" si="6"/>
        <v>3.0206194273386549E-3</v>
      </c>
      <c r="O47" s="40">
        <f t="shared" si="7"/>
        <v>3.1078123620893801E-7</v>
      </c>
      <c r="P47" s="40">
        <f t="shared" si="8"/>
        <v>2.8392896037613856E-5</v>
      </c>
      <c r="Q47" s="40">
        <f t="shared" si="9"/>
        <v>4.3157747343692594E-4</v>
      </c>
      <c r="R47" s="9">
        <f t="shared" si="12"/>
        <v>3.9999999999999996E-5</v>
      </c>
      <c r="S47" s="9">
        <f t="shared" si="13"/>
        <v>1.5897796089611212E-7</v>
      </c>
      <c r="T47" s="9">
        <f t="shared" si="10"/>
        <v>1.2365124458790797E-5</v>
      </c>
      <c r="U47" s="9">
        <f t="shared" si="11"/>
        <v>3.984102203910388E-5</v>
      </c>
      <c r="V47" s="100">
        <f t="shared" si="14"/>
        <v>0.31036162793852157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3.5001380315971067E-2</v>
      </c>
      <c r="K48" s="93">
        <f t="shared" ref="K48:K50" si="17">IF(D48=0,"",1/(1+10^D48*$J$15/$J$14+10^E48*$J$16/$J$14+10^J48*$J$19/$J$14))</f>
        <v>0.98988109099453769</v>
      </c>
      <c r="L48" s="93">
        <f t="shared" ref="L48:L50" si="18">IF(D48=0,"",1/(1+10^I48/10^J48*$J$13/$J$19))</f>
        <v>1.5099686706663488E-4</v>
      </c>
      <c r="M48" s="93">
        <f t="shared" ref="M48:M92" si="19">IF(D48=0,"",1-L48)</f>
        <v>0.99984900313293334</v>
      </c>
      <c r="N48" s="93">
        <f t="shared" ref="N48:N50" si="20">IF(D48=0,"",1/(1/10^E48*$J$20/$J$22+10^D48/10^E48*$J$21/$J$22+10^I48/10^E48*$J$13/$J$22+1))</f>
        <v>1.0576368171273675E-5</v>
      </c>
      <c r="O48" s="40">
        <f t="shared" ref="O48:O92" si="21">IF(D48=0,"",F48*K48*$J$7/$J$14)</f>
        <v>9.9517467918545762E-7</v>
      </c>
      <c r="P48" s="40">
        <f t="shared" ref="P48:P50" si="22">IF(D48=0,"",O48*10^J48)</f>
        <v>1.0787000473430299E-6</v>
      </c>
      <c r="Q48" s="40">
        <f t="shared" ref="Q48:Q50" si="23">IF(D48=0,"",F48*N48*$J$7/$J$22)</f>
        <v>1.5111212661168074E-6</v>
      </c>
      <c r="R48" s="9">
        <f t="shared" si="12"/>
        <v>3.9999999999999996E-5</v>
      </c>
      <c r="S48" s="9">
        <f t="shared" si="13"/>
        <v>6.039874682665395E-9</v>
      </c>
      <c r="T48" s="9">
        <f t="shared" si="10"/>
        <v>3.9595243639781503E-5</v>
      </c>
      <c r="U48" s="9">
        <f t="shared" si="11"/>
        <v>3.9993960125317333E-5</v>
      </c>
      <c r="V48" s="100">
        <f t="shared" si="14"/>
        <v>0.99003058251079701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0.86614766954915146</v>
      </c>
      <c r="K49" s="93">
        <f t="shared" si="17"/>
        <v>0.81211321112999602</v>
      </c>
      <c r="L49" s="93">
        <f t="shared" si="18"/>
        <v>8.397456695032736E-4</v>
      </c>
      <c r="M49" s="93">
        <f t="shared" si="19"/>
        <v>0.99916025433049671</v>
      </c>
      <c r="N49" s="93">
        <f t="shared" si="20"/>
        <v>4.5380900320476122E-4</v>
      </c>
      <c r="O49" s="40">
        <f t="shared" si="21"/>
        <v>8.1645614983570314E-7</v>
      </c>
      <c r="P49" s="40">
        <f t="shared" si="22"/>
        <v>5.9990230992643146E-6</v>
      </c>
      <c r="Q49" s="40">
        <f t="shared" si="23"/>
        <v>6.4838933780744261E-5</v>
      </c>
      <c r="R49" s="9">
        <f t="shared" si="12"/>
        <v>3.9999999999999996E-5</v>
      </c>
      <c r="S49" s="9">
        <f t="shared" si="13"/>
        <v>3.3589826780130939E-8</v>
      </c>
      <c r="T49" s="9">
        <f t="shared" si="10"/>
        <v>3.248452844519984E-5</v>
      </c>
      <c r="U49" s="9">
        <f t="shared" si="11"/>
        <v>3.9966410173219862E-5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1.8465793817928891</v>
      </c>
      <c r="K50" s="93">
        <f t="shared" si="17"/>
        <v>0.30884511231149997</v>
      </c>
      <c r="L50" s="93">
        <f t="shared" si="18"/>
        <v>3.0528371808982977E-3</v>
      </c>
      <c r="M50" s="93">
        <f t="shared" si="19"/>
        <v>0.99694716281910167</v>
      </c>
      <c r="N50" s="93">
        <f t="shared" si="20"/>
        <v>1.9999736091592889E-3</v>
      </c>
      <c r="O50" s="40">
        <f t="shared" si="21"/>
        <v>3.1049672365576037E-7</v>
      </c>
      <c r="P50" s="40">
        <f t="shared" si="22"/>
        <v>2.1809032700740164E-5</v>
      </c>
      <c r="Q50" s="40">
        <f t="shared" si="23"/>
        <v>2.857505150663673E-4</v>
      </c>
      <c r="R50" s="9">
        <f t="shared" si="12"/>
        <v>3.9999999999999996E-5</v>
      </c>
      <c r="S50" s="9">
        <f t="shared" si="13"/>
        <v>1.2211348723593189E-7</v>
      </c>
      <c r="T50" s="9">
        <f t="shared" si="10"/>
        <v>1.2353804492459998E-5</v>
      </c>
      <c r="U50" s="9">
        <f t="shared" si="11"/>
        <v>3.9877886512764061E-5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4.7849539498028779</v>
      </c>
      <c r="K51" s="93">
        <f t="shared" ref="K51:K70" si="26">IF(D51=0,"",1/(1+10^D51*$J$15/$J$14+10^E51*$J$16/$J$14+10^J51*$J$19/$J$14))</f>
        <v>1.0376287161467041E-3</v>
      </c>
      <c r="L51" s="93">
        <f t="shared" ref="L51:L70" si="27">IF(D51=0,"",1/(1+10^I51/10^J51*$J$13/$J$19))</f>
        <v>8.8997838686224219E-3</v>
      </c>
      <c r="M51" s="93">
        <f t="shared" ref="M51:M70" si="28">IF(D51=0,"",1-L51)</f>
        <v>0.99110021613137755</v>
      </c>
      <c r="N51" s="93">
        <f t="shared" ref="N51:N70" si="29">IF(D51=0,"",1/(1/10^E51*$J$20/$J$22+10^D51/10^E51*$J$21/$J$22+10^I51/10^E51*$J$13/$J$22+1))</f>
        <v>7.9193860540396899E-3</v>
      </c>
      <c r="O51" s="40">
        <f t="shared" ref="O51:O70" si="30">IF(D51=0,"",F51*K51*$J$7/$J$14)</f>
        <v>1.0431776443647742E-9</v>
      </c>
      <c r="P51" s="40">
        <f t="shared" ref="P51:P70" si="31">IF(D51=0,"",O51*10^J51)</f>
        <v>6.3578784559743039E-5</v>
      </c>
      <c r="Q51" s="40">
        <f t="shared" ref="Q51:Q70" si="32">IF(D51=0,"",F51*N51*$J$7/$J$22)</f>
        <v>1.1314992525838935E-3</v>
      </c>
      <c r="R51" s="9">
        <f t="shared" si="12"/>
        <v>3.9999999999999996E-5</v>
      </c>
      <c r="S51" s="9">
        <f t="shared" si="13"/>
        <v>3.5599135474489686E-7</v>
      </c>
      <c r="T51" s="9">
        <f t="shared" si="10"/>
        <v>4.1505148645868162E-8</v>
      </c>
      <c r="U51" s="9">
        <f t="shared" si="11"/>
        <v>3.96440086452551E-5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2.1476419495508856</v>
      </c>
      <c r="K52" s="93">
        <f t="shared" si="26"/>
        <v>0.22484027087485103</v>
      </c>
      <c r="L52" s="93">
        <f t="shared" si="27"/>
        <v>4.4452846642172696E-3</v>
      </c>
      <c r="M52" s="93">
        <f t="shared" si="28"/>
        <v>0.99555471533578277</v>
      </c>
      <c r="N52" s="93">
        <f t="shared" si="29"/>
        <v>3.3904678616871018E-3</v>
      </c>
      <c r="O52" s="40">
        <f t="shared" si="30"/>
        <v>2.2604264943685643E-7</v>
      </c>
      <c r="P52" s="40">
        <f t="shared" si="31"/>
        <v>3.175647860050186E-5</v>
      </c>
      <c r="Q52" s="40">
        <f t="shared" si="32"/>
        <v>4.8442036102681971E-4</v>
      </c>
      <c r="R52" s="9">
        <f t="shared" si="12"/>
        <v>3.9999999999999996E-5</v>
      </c>
      <c r="S52" s="9">
        <f t="shared" si="13"/>
        <v>1.7781138656869077E-7</v>
      </c>
      <c r="T52" s="9">
        <f t="shared" si="10"/>
        <v>8.9936108349940413E-6</v>
      </c>
      <c r="U52" s="9">
        <f t="shared" si="11"/>
        <v>3.982218861343131E-5</v>
      </c>
      <c r="V52" s="100">
        <f t="shared" si="14"/>
        <v>0.22584421269002422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3.0007157776870899</v>
      </c>
      <c r="K53" s="93">
        <f t="shared" si="26"/>
        <v>4.800444145584961E-2</v>
      </c>
      <c r="L53" s="93">
        <f t="shared" si="27"/>
        <v>6.7667592687851753E-3</v>
      </c>
      <c r="M53" s="93">
        <f t="shared" si="28"/>
        <v>0.99323324073121477</v>
      </c>
      <c r="N53" s="93">
        <f t="shared" si="29"/>
        <v>5.6426479247596558E-3</v>
      </c>
      <c r="O53" s="40">
        <f t="shared" si="30"/>
        <v>4.8261154859827334E-8</v>
      </c>
      <c r="P53" s="40">
        <f t="shared" si="31"/>
        <v>4.8340761536305758E-5</v>
      </c>
      <c r="Q53" s="40">
        <f t="shared" si="32"/>
        <v>8.0620541363844592E-4</v>
      </c>
      <c r="R53" s="9">
        <f t="shared" si="12"/>
        <v>3.9999999999999996E-5</v>
      </c>
      <c r="S53" s="9">
        <f t="shared" si="13"/>
        <v>2.70670370751407E-7</v>
      </c>
      <c r="T53" s="9">
        <f t="shared" si="10"/>
        <v>1.9201776582339843E-6</v>
      </c>
      <c r="U53" s="9">
        <f t="shared" si="11"/>
        <v>3.9729329629248585E-5</v>
      </c>
      <c r="V53" s="100">
        <f t="shared" si="14"/>
        <v>4.8331489007062342E-2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2.3388959370141773</v>
      </c>
      <c r="K54" s="93">
        <f t="shared" si="26"/>
        <v>0.16284473193185436</v>
      </c>
      <c r="L54" s="93">
        <f t="shared" si="27"/>
        <v>5.0009576694452738E-3</v>
      </c>
      <c r="M54" s="93">
        <f t="shared" si="28"/>
        <v>0.99499904233055469</v>
      </c>
      <c r="N54" s="93">
        <f t="shared" si="29"/>
        <v>3.8942447743897618E-3</v>
      </c>
      <c r="O54" s="40">
        <f t="shared" si="30"/>
        <v>1.6371557688257655E-7</v>
      </c>
      <c r="P54" s="40">
        <f t="shared" si="31"/>
        <v>3.5726127167992841E-5</v>
      </c>
      <c r="Q54" s="40">
        <f t="shared" si="32"/>
        <v>5.5639856695116803E-4</v>
      </c>
      <c r="R54" s="9">
        <f t="shared" si="12"/>
        <v>3.9999999999999996E-5</v>
      </c>
      <c r="S54" s="9">
        <f t="shared" si="13"/>
        <v>2.0003830677781093E-7</v>
      </c>
      <c r="T54" s="9">
        <f t="shared" si="10"/>
        <v>6.5137892772741737E-6</v>
      </c>
      <c r="U54" s="9">
        <f t="shared" si="11"/>
        <v>3.9799961693222184E-5</v>
      </c>
      <c r="V54" s="100">
        <f t="shared" si="14"/>
        <v>0.16366320469055762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0.66821968451796954</v>
      </c>
      <c r="K55" s="55">
        <f t="shared" si="26"/>
        <v>0.87316307061435661</v>
      </c>
      <c r="L55" s="55">
        <f t="shared" si="27"/>
        <v>5.7239861184070994E-4</v>
      </c>
      <c r="M55" s="55">
        <f t="shared" si="28"/>
        <v>0.99942760138815934</v>
      </c>
      <c r="N55" s="55">
        <f t="shared" si="29"/>
        <v>2.6748405086429006E-4</v>
      </c>
      <c r="O55" s="56">
        <f t="shared" si="30"/>
        <v>8.7783248572027349E-7</v>
      </c>
      <c r="P55" s="56">
        <f t="shared" si="31"/>
        <v>4.0891339117597685E-6</v>
      </c>
      <c r="Q55" s="56">
        <f t="shared" si="32"/>
        <v>3.8217356947344434E-5</v>
      </c>
      <c r="R55" s="9">
        <f t="shared" si="12"/>
        <v>3.9999999999999996E-5</v>
      </c>
      <c r="S55" s="9">
        <f t="shared" si="13"/>
        <v>2.2895944473628396E-8</v>
      </c>
      <c r="T55" s="9">
        <f t="shared" si="10"/>
        <v>3.492652282457426E-5</v>
      </c>
      <c r="U55" s="9">
        <f t="shared" si="11"/>
        <v>3.9977104055526369E-5</v>
      </c>
      <c r="V55" s="100">
        <f t="shared" si="14"/>
        <v>0.87366315419103191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2.1336193491516409</v>
      </c>
      <c r="K56" s="55">
        <f t="shared" si="26"/>
        <v>0.23831579656083132</v>
      </c>
      <c r="L56" s="55">
        <f t="shared" si="27"/>
        <v>4.5620044772834087E-3</v>
      </c>
      <c r="M56" s="55">
        <f t="shared" si="28"/>
        <v>0.99543799552271661</v>
      </c>
      <c r="N56" s="55">
        <f t="shared" si="29"/>
        <v>3.5438584135322536E-3</v>
      </c>
      <c r="O56" s="56">
        <f t="shared" si="30"/>
        <v>2.395902382062583E-7</v>
      </c>
      <c r="P56" s="56">
        <f t="shared" si="31"/>
        <v>3.2590308270787354E-5</v>
      </c>
      <c r="Q56" s="56">
        <f t="shared" si="32"/>
        <v>5.0633636481573537E-4</v>
      </c>
      <c r="R56" s="9">
        <f t="shared" si="12"/>
        <v>3.9999999999999996E-5</v>
      </c>
      <c r="S56" s="9">
        <f t="shared" si="13"/>
        <v>1.8248017909133632E-7</v>
      </c>
      <c r="T56" s="9">
        <f t="shared" si="10"/>
        <v>9.532631862433252E-6</v>
      </c>
      <c r="U56" s="9">
        <f t="shared" si="11"/>
        <v>3.9817519820908664E-5</v>
      </c>
      <c r="V56" s="100">
        <f t="shared" si="14"/>
        <v>0.23940797682299519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1.4736389783743882</v>
      </c>
      <c r="K57" s="55">
        <f t="shared" si="26"/>
        <v>0.54330637311289109</v>
      </c>
      <c r="L57" s="55">
        <f t="shared" si="27"/>
        <v>2.2754500460545283E-3</v>
      </c>
      <c r="M57" s="55">
        <f t="shared" si="28"/>
        <v>0.99772454995394544</v>
      </c>
      <c r="N57" s="55">
        <f t="shared" si="29"/>
        <v>1.5604085872302704E-3</v>
      </c>
      <c r="O57" s="56">
        <f t="shared" si="30"/>
        <v>5.4621181319748989E-7</v>
      </c>
      <c r="P57" s="56">
        <f t="shared" si="31"/>
        <v>1.6255490064721255E-5</v>
      </c>
      <c r="Q57" s="56">
        <f t="shared" si="32"/>
        <v>2.2294672063321176E-4</v>
      </c>
      <c r="R57" s="9">
        <f t="shared" si="12"/>
        <v>3.9999999999999996E-5</v>
      </c>
      <c r="S57" s="9">
        <f t="shared" si="13"/>
        <v>9.1018001842181121E-8</v>
      </c>
      <c r="T57" s="9">
        <f t="shared" si="10"/>
        <v>2.1732254924515641E-5</v>
      </c>
      <c r="U57" s="9">
        <f t="shared" si="11"/>
        <v>3.9908981998157816E-5</v>
      </c>
      <c r="V57" s="100">
        <f t="shared" si="14"/>
        <v>0.54454545910288554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1.2642800792666067</v>
      </c>
      <c r="K58" s="55">
        <f t="shared" si="26"/>
        <v>0.62820320387010342</v>
      </c>
      <c r="L58" s="55">
        <f t="shared" si="27"/>
        <v>1.624664736371123E-3</v>
      </c>
      <c r="M58" s="55">
        <f t="shared" si="28"/>
        <v>0.99837533526362887</v>
      </c>
      <c r="N58" s="55">
        <f t="shared" si="29"/>
        <v>9.9246609510959339E-4</v>
      </c>
      <c r="O58" s="56">
        <f t="shared" si="30"/>
        <v>6.3156264682922063E-7</v>
      </c>
      <c r="P58" s="56">
        <f t="shared" si="31"/>
        <v>1.1606372781672962E-5</v>
      </c>
      <c r="Q58" s="56">
        <f t="shared" si="32"/>
        <v>1.4180072005184411E-4</v>
      </c>
      <c r="R58" s="9">
        <f t="shared" si="12"/>
        <v>3.9999999999999996E-5</v>
      </c>
      <c r="S58" s="9">
        <f t="shared" si="13"/>
        <v>6.4986589454844916E-8</v>
      </c>
      <c r="T58" s="9">
        <f t="shared" si="10"/>
        <v>2.5128128154804135E-5</v>
      </c>
      <c r="U58" s="9">
        <f t="shared" si="11"/>
        <v>3.9935013410545152E-5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0.79270412978539373</v>
      </c>
      <c r="K59" s="55">
        <f t="shared" si="26"/>
        <v>0.85519961141385936</v>
      </c>
      <c r="L59" s="55">
        <f t="shared" si="27"/>
        <v>7.4671547628387259E-4</v>
      </c>
      <c r="M59" s="55">
        <f t="shared" si="28"/>
        <v>0.99925328452371609</v>
      </c>
      <c r="N59" s="55">
        <f t="shared" si="29"/>
        <v>4.2818655568335344E-4</v>
      </c>
      <c r="O59" s="56">
        <f t="shared" si="30"/>
        <v>8.5977296330939994E-7</v>
      </c>
      <c r="P59" s="56">
        <f t="shared" si="31"/>
        <v>5.3344286889325155E-6</v>
      </c>
      <c r="Q59" s="56">
        <f t="shared" si="32"/>
        <v>6.1178071685878428E-5</v>
      </c>
      <c r="R59" s="9">
        <f t="shared" si="12"/>
        <v>3.9999999999999996E-5</v>
      </c>
      <c r="S59" s="9">
        <f t="shared" si="13"/>
        <v>2.9868619051354901E-8</v>
      </c>
      <c r="T59" s="9">
        <f t="shared" si="10"/>
        <v>3.4207984456554368E-5</v>
      </c>
      <c r="U59" s="9">
        <f t="shared" si="11"/>
        <v>3.997013138094864E-5</v>
      </c>
      <c r="V59" s="100">
        <f t="shared" si="14"/>
        <v>0.85583867940097047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2.1926316771695706</v>
      </c>
      <c r="K60" s="55">
        <f t="shared" si="26"/>
        <v>0.22225694618173697</v>
      </c>
      <c r="L60" s="55">
        <f t="shared" si="27"/>
        <v>4.8738319193393307E-3</v>
      </c>
      <c r="M60" s="55">
        <f t="shared" si="28"/>
        <v>0.99512616808066068</v>
      </c>
      <c r="N60" s="55">
        <f t="shared" si="29"/>
        <v>3.8601915665426494E-3</v>
      </c>
      <c r="O60" s="56">
        <f t="shared" si="30"/>
        <v>2.2344550989546091E-7</v>
      </c>
      <c r="P60" s="56">
        <f t="shared" si="31"/>
        <v>3.4817958970057425E-5</v>
      </c>
      <c r="Q60" s="56">
        <f t="shared" si="32"/>
        <v>5.5153314190885218E-4</v>
      </c>
      <c r="R60" s="9">
        <f t="shared" si="12"/>
        <v>3.9999999999999996E-5</v>
      </c>
      <c r="S60" s="9">
        <f t="shared" si="13"/>
        <v>1.949532767735732E-7</v>
      </c>
      <c r="T60" s="9">
        <f t="shared" si="10"/>
        <v>8.8902778472694785E-6</v>
      </c>
      <c r="U60" s="9">
        <f t="shared" si="11"/>
        <v>3.9805046723226426E-5</v>
      </c>
      <c r="V60" s="100">
        <f t="shared" si="14"/>
        <v>0.22334549458227268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3.2027420384680658</v>
      </c>
      <c r="K61" s="55">
        <f t="shared" si="26"/>
        <v>3.8214658511656611E-2</v>
      </c>
      <c r="L61" s="55">
        <f t="shared" si="27"/>
        <v>8.5773977462268447E-3</v>
      </c>
      <c r="M61" s="55">
        <f t="shared" si="28"/>
        <v>0.9914226022537731</v>
      </c>
      <c r="N61" s="55">
        <f t="shared" si="29"/>
        <v>7.629279011036447E-3</v>
      </c>
      <c r="O61" s="56">
        <f t="shared" si="30"/>
        <v>3.8419019082696612E-8</v>
      </c>
      <c r="P61" s="56">
        <f t="shared" si="31"/>
        <v>6.1275704156509453E-5</v>
      </c>
      <c r="Q61" s="56">
        <f t="shared" si="32"/>
        <v>1.090049587156856E-3</v>
      </c>
      <c r="R61" s="9">
        <f t="shared" si="12"/>
        <v>3.9999999999999996E-5</v>
      </c>
      <c r="S61" s="9">
        <f t="shared" si="13"/>
        <v>3.4309590984907375E-7</v>
      </c>
      <c r="T61" s="9">
        <f t="shared" si="10"/>
        <v>1.5285863404662644E-6</v>
      </c>
      <c r="U61" s="9">
        <f t="shared" si="11"/>
        <v>3.9656904090150923E-5</v>
      </c>
      <c r="V61" s="100">
        <f t="shared" si="14"/>
        <v>3.8545276680987811E-2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4.1780835037756168</v>
      </c>
      <c r="K62" s="55">
        <f t="shared" si="26"/>
        <v>5.4751579289115653E-3</v>
      </c>
      <c r="L62" s="55">
        <f t="shared" si="27"/>
        <v>1.1610841122426253E-2</v>
      </c>
      <c r="M62" s="55">
        <f t="shared" si="28"/>
        <v>0.98838915887757373</v>
      </c>
      <c r="N62" s="55">
        <f t="shared" si="29"/>
        <v>1.0928238523610403E-2</v>
      </c>
      <c r="O62" s="56">
        <f t="shared" si="30"/>
        <v>5.5044374369449877E-9</v>
      </c>
      <c r="P62" s="56">
        <f t="shared" si="31"/>
        <v>8.2946190287024298E-5</v>
      </c>
      <c r="Q62" s="56">
        <f t="shared" si="32"/>
        <v>1.5613954967148155E-3</v>
      </c>
      <c r="R62" s="9">
        <f t="shared" si="12"/>
        <v>3.9999999999999996E-5</v>
      </c>
      <c r="S62" s="9">
        <f t="shared" si="13"/>
        <v>4.644336448970501E-7</v>
      </c>
      <c r="T62" s="9">
        <f t="shared" si="10"/>
        <v>2.1900631715646258E-7</v>
      </c>
      <c r="U62" s="9">
        <f t="shared" si="11"/>
        <v>3.9535566355102946E-5</v>
      </c>
      <c r="V62" s="100">
        <f t="shared" si="14"/>
        <v>5.539475903528949E-3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5.3453840366218301</v>
      </c>
      <c r="K63" s="55">
        <f t="shared" si="26"/>
        <v>4.6284929871133289E-4</v>
      </c>
      <c r="L63" s="55">
        <f t="shared" si="27"/>
        <v>1.442803458028657E-2</v>
      </c>
      <c r="M63" s="55">
        <f t="shared" si="28"/>
        <v>0.98557196541971348</v>
      </c>
      <c r="N63" s="55">
        <f t="shared" si="29"/>
        <v>1.4037608459404178E-2</v>
      </c>
      <c r="O63" s="56">
        <f t="shared" si="30"/>
        <v>4.6532447841132312E-10</v>
      </c>
      <c r="P63" s="56">
        <f t="shared" si="31"/>
        <v>1.0307181789377017E-4</v>
      </c>
      <c r="Q63" s="56">
        <f t="shared" si="32"/>
        <v>2.0056533892269276E-3</v>
      </c>
      <c r="R63" s="9">
        <f t="shared" si="12"/>
        <v>3.9999999999999996E-5</v>
      </c>
      <c r="S63" s="9">
        <f t="shared" si="13"/>
        <v>5.7712138321146274E-7</v>
      </c>
      <c r="T63" s="9">
        <f t="shared" si="10"/>
        <v>1.8513971948453314E-8</v>
      </c>
      <c r="U63" s="9">
        <f t="shared" si="11"/>
        <v>3.9422878616788533E-5</v>
      </c>
      <c r="V63" s="100">
        <f t="shared" si="14"/>
        <v>4.6962506539461571E-4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4.5957959641970998</v>
      </c>
      <c r="K64" s="55">
        <f t="shared" si="26"/>
        <v>2.2950008684026108E-3</v>
      </c>
      <c r="L64" s="55">
        <f t="shared" si="27"/>
        <v>1.2733926719419994E-2</v>
      </c>
      <c r="M64" s="55">
        <f t="shared" si="28"/>
        <v>0.98726607328058003</v>
      </c>
      <c r="N64" s="55">
        <f t="shared" si="29"/>
        <v>1.2165679443778752E-2</v>
      </c>
      <c r="O64" s="56">
        <f t="shared" si="30"/>
        <v>2.3072738470519163E-9</v>
      </c>
      <c r="P64" s="56">
        <f t="shared" si="31"/>
        <v>9.0969353351148054E-5</v>
      </c>
      <c r="Q64" s="56">
        <f t="shared" si="32"/>
        <v>1.7381975198429828E-3</v>
      </c>
      <c r="R64" s="9">
        <f t="shared" si="12"/>
        <v>3.9999999999999996E-5</v>
      </c>
      <c r="S64" s="9">
        <f t="shared" si="13"/>
        <v>5.0935706877679968E-7</v>
      </c>
      <c r="T64" s="9">
        <f t="shared" si="10"/>
        <v>9.180003473610442E-8</v>
      </c>
      <c r="U64" s="9">
        <f t="shared" si="11"/>
        <v>3.9490642931223197E-5</v>
      </c>
      <c r="V64" s="100">
        <f t="shared" si="14"/>
        <v>2.324602182243098E-3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4.297243414913436</v>
      </c>
      <c r="K65" s="55">
        <f t="shared" si="26"/>
        <v>4.2804994314557896E-3</v>
      </c>
      <c r="L65" s="55">
        <f t="shared" si="27"/>
        <v>1.1943218740377929E-2</v>
      </c>
      <c r="M65" s="55">
        <f t="shared" si="28"/>
        <v>0.98805678125962204</v>
      </c>
      <c r="N65" s="55">
        <f t="shared" si="29"/>
        <v>1.1294004552275926E-2</v>
      </c>
      <c r="O65" s="56">
        <f t="shared" si="30"/>
        <v>4.3033902629382124E-9</v>
      </c>
      <c r="P65" s="56">
        <f t="shared" si="31"/>
        <v>8.5320648507154257E-5</v>
      </c>
      <c r="Q65" s="56">
        <f t="shared" si="32"/>
        <v>1.6136551018447491E-3</v>
      </c>
      <c r="R65" s="9">
        <f t="shared" si="12"/>
        <v>3.9999999999999996E-5</v>
      </c>
      <c r="S65" s="9">
        <f t="shared" si="13"/>
        <v>4.7772874961511712E-7</v>
      </c>
      <c r="T65" s="9">
        <f t="shared" si="10"/>
        <v>1.7121997725823156E-7</v>
      </c>
      <c r="U65" s="9">
        <f t="shared" si="11"/>
        <v>3.9522271250384877E-5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4.5957959641970998</v>
      </c>
      <c r="K66" s="55">
        <f t="shared" si="26"/>
        <v>2.2950008684026108E-3</v>
      </c>
      <c r="L66" s="55">
        <f t="shared" si="27"/>
        <v>1.2733926719419994E-2</v>
      </c>
      <c r="M66" s="55">
        <f t="shared" si="28"/>
        <v>0.98726607328058003</v>
      </c>
      <c r="N66" s="55">
        <f t="shared" si="29"/>
        <v>1.2165679443778752E-2</v>
      </c>
      <c r="O66" s="56">
        <f t="shared" si="30"/>
        <v>2.3072738470519163E-9</v>
      </c>
      <c r="P66" s="56">
        <f t="shared" si="31"/>
        <v>9.0969353351148054E-5</v>
      </c>
      <c r="Q66" s="56">
        <f t="shared" si="32"/>
        <v>1.7381975198429828E-3</v>
      </c>
      <c r="R66" s="9">
        <f t="shared" si="12"/>
        <v>3.9999999999999996E-5</v>
      </c>
      <c r="S66" s="9">
        <f t="shared" si="13"/>
        <v>5.0935706877679968E-7</v>
      </c>
      <c r="T66" s="9">
        <f t="shared" si="10"/>
        <v>9.180003473610442E-8</v>
      </c>
      <c r="U66" s="9">
        <f t="shared" si="11"/>
        <v>3.9490642931223197E-5</v>
      </c>
      <c r="V66" s="100">
        <f t="shared" si="14"/>
        <v>2.324602182243098E-3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-4.4567291494222658E-2</v>
      </c>
      <c r="K67" s="55">
        <f t="shared" si="26"/>
        <v>0.99897950934808255</v>
      </c>
      <c r="L67" s="55">
        <f t="shared" si="27"/>
        <v>1.2687405386973858E-4</v>
      </c>
      <c r="M67" s="55">
        <f t="shared" si="28"/>
        <v>0.99987312594613031</v>
      </c>
      <c r="N67" s="55">
        <f t="shared" si="29"/>
        <v>2.0911747581784282E-7</v>
      </c>
      <c r="O67" s="56">
        <f t="shared" si="30"/>
        <v>1.004321753160764E-6</v>
      </c>
      <c r="P67" s="56">
        <f t="shared" si="31"/>
        <v>9.0637011598057365E-7</v>
      </c>
      <c r="Q67" s="56">
        <f t="shared" si="32"/>
        <v>2.9878107466351045E-8</v>
      </c>
      <c r="R67" s="9">
        <f t="shared" si="12"/>
        <v>3.9999999999999996E-5</v>
      </c>
      <c r="S67" s="9">
        <f t="shared" si="13"/>
        <v>5.0749621547895423E-9</v>
      </c>
      <c r="T67" s="9">
        <f t="shared" si="10"/>
        <v>3.9959180373923298E-5</v>
      </c>
      <c r="U67" s="9">
        <f t="shared" si="11"/>
        <v>3.9994925037845209E-5</v>
      </c>
      <c r="V67" s="100">
        <f t="shared" si="14"/>
        <v>0.99910627001080543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4.5743714574945749</v>
      </c>
      <c r="K68" s="55">
        <f t="shared" si="26"/>
        <v>1.878974285756107E-3</v>
      </c>
      <c r="L68" s="55">
        <f t="shared" si="27"/>
        <v>9.9237501628759647E-3</v>
      </c>
      <c r="M68" s="55">
        <f t="shared" si="28"/>
        <v>0.99007624983712406</v>
      </c>
      <c r="N68" s="55">
        <f t="shared" si="29"/>
        <v>9.054331040229532E-3</v>
      </c>
      <c r="O68" s="56">
        <f t="shared" si="30"/>
        <v>1.889022478595236E-9</v>
      </c>
      <c r="P68" s="56">
        <f t="shared" si="31"/>
        <v>7.0893853484991232E-5</v>
      </c>
      <c r="Q68" s="56">
        <f t="shared" si="32"/>
        <v>1.2936569495107376E-3</v>
      </c>
      <c r="R68" s="9">
        <f t="shared" si="12"/>
        <v>3.9999999999999996E-5</v>
      </c>
      <c r="S68" s="9">
        <f t="shared" si="13"/>
        <v>3.9695000651503853E-7</v>
      </c>
      <c r="T68" s="9">
        <f t="shared" si="10"/>
        <v>7.5158971430244277E-8</v>
      </c>
      <c r="U68" s="9">
        <f t="shared" si="11"/>
        <v>3.9603049993484958E-5</v>
      </c>
      <c r="V68" s="100">
        <f t="shared" si="14"/>
        <v>1.8978076547793306E-3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1.7365957830383385</v>
      </c>
      <c r="K69" s="55">
        <f t="shared" si="26"/>
        <v>0.40866922073369405</v>
      </c>
      <c r="L69" s="55">
        <f t="shared" si="27"/>
        <v>3.1358208298002802E-3</v>
      </c>
      <c r="M69" s="55">
        <f t="shared" si="28"/>
        <v>0.99686417917019976</v>
      </c>
      <c r="N69" s="55">
        <f t="shared" si="29"/>
        <v>2.2710434559669234E-3</v>
      </c>
      <c r="O69" s="56">
        <f t="shared" si="30"/>
        <v>4.108546615715373E-7</v>
      </c>
      <c r="P69" s="56">
        <f t="shared" si="31"/>
        <v>2.2401856033688946E-5</v>
      </c>
      <c r="Q69" s="56">
        <f t="shared" si="32"/>
        <v>3.2448020029296557E-4</v>
      </c>
      <c r="R69" s="9">
        <f t="shared" si="12"/>
        <v>3.9999999999999996E-5</v>
      </c>
      <c r="S69" s="9">
        <f t="shared" si="13"/>
        <v>1.2543283319201121E-7</v>
      </c>
      <c r="T69" s="9">
        <f t="shared" si="10"/>
        <v>1.634676882934776E-5</v>
      </c>
      <c r="U69" s="9">
        <f t="shared" si="11"/>
        <v>3.987456716680799E-5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3.0509801020444232</v>
      </c>
      <c r="K70" s="55">
        <f t="shared" si="26"/>
        <v>5.1166143641907795E-2</v>
      </c>
      <c r="L70" s="55">
        <f t="shared" si="27"/>
        <v>8.0974134673919493E-3</v>
      </c>
      <c r="M70" s="55">
        <f t="shared" si="28"/>
        <v>0.9919025865326081</v>
      </c>
      <c r="N70" s="55">
        <f t="shared" si="29"/>
        <v>7.1212333644401207E-3</v>
      </c>
      <c r="O70" s="56">
        <f t="shared" si="30"/>
        <v>5.1439764884117393E-8</v>
      </c>
      <c r="P70" s="56">
        <f t="shared" si="31"/>
        <v>5.784676503769563E-5</v>
      </c>
      <c r="Q70" s="56">
        <f t="shared" si="32"/>
        <v>1.017461476730163E-3</v>
      </c>
      <c r="R70" s="9">
        <f t="shared" si="12"/>
        <v>3.9999999999999996E-5</v>
      </c>
      <c r="S70" s="9">
        <f t="shared" si="13"/>
        <v>3.2389653869567792E-7</v>
      </c>
      <c r="T70" s="9">
        <f t="shared" si="10"/>
        <v>2.0466457456763116E-6</v>
      </c>
      <c r="U70" s="9">
        <f t="shared" si="11"/>
        <v>3.967610346130432E-5</v>
      </c>
      <c r="V70" s="100">
        <f t="shared" si="14"/>
        <v>5.1583839317093809E-2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5.7767955088211638</v>
      </c>
      <c r="K71" s="55">
        <f t="shared" ref="K71:K122" si="35">IF(D71=0,"",1/(1+10^D71*$J$15/$J$14+10^E71*$J$16/$J$14+10^J71*$J$19/$J$14))</f>
        <v>1.2088102024183383E-4</v>
      </c>
      <c r="L71" s="55">
        <f t="shared" ref="L71:L122" si="36">IF(D71=0,"",1/(1+10^I71/10^J71*$J$13/$J$19))</f>
        <v>1.0175064092344544E-2</v>
      </c>
      <c r="M71" s="55">
        <f t="shared" si="19"/>
        <v>0.98982493590765541</v>
      </c>
      <c r="N71" s="55">
        <f t="shared" ref="N71:N122" si="37">IF(D71=0,"",1/(1/10^E71*$J$20/$J$22+10^D71/10^E71*$J$21/$J$22+10^I71/10^E71*$J$13/$J$22+1))</f>
        <v>9.3293556420886211E-3</v>
      </c>
      <c r="O71" s="56">
        <f t="shared" si="21"/>
        <v>1.2152745580574141E-10</v>
      </c>
      <c r="P71" s="56">
        <f t="shared" ref="P71:P122" si="38">IF(D71=0,"",O71*10^J71)</f>
        <v>7.2689204295124784E-5</v>
      </c>
      <c r="Q71" s="56">
        <f t="shared" ref="Q71:Q122" si="39">IF(D71=0,"",F71*N71*$J$7/$J$22)</f>
        <v>1.3329516788397875E-3</v>
      </c>
      <c r="R71" s="9">
        <f t="shared" si="12"/>
        <v>3.9999999999999996E-5</v>
      </c>
      <c r="S71" s="9">
        <f t="shared" si="13"/>
        <v>4.0700256369378172E-7</v>
      </c>
      <c r="T71" s="9">
        <f t="shared" si="10"/>
        <v>4.8352408096733526E-9</v>
      </c>
      <c r="U71" s="9">
        <f t="shared" si="11"/>
        <v>3.9592997436306214E-5</v>
      </c>
      <c r="V71" s="100">
        <f t="shared" si="14"/>
        <v>1.221236360659955E-4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5.2786655449069544</v>
      </c>
      <c r="K72" s="55">
        <f t="shared" si="35"/>
        <v>3.3818975821553129E-4</v>
      </c>
      <c r="L72" s="55">
        <f t="shared" si="36"/>
        <v>9.0408554175797212E-3</v>
      </c>
      <c r="M72" s="55">
        <f t="shared" si="19"/>
        <v>0.99095914458242029</v>
      </c>
      <c r="N72" s="55">
        <f t="shared" si="37"/>
        <v>8.0742833025190912E-3</v>
      </c>
      <c r="O72" s="56">
        <f t="shared" si="21"/>
        <v>3.3999829595472697E-10</v>
      </c>
      <c r="P72" s="56">
        <f t="shared" si="38"/>
        <v>6.4586579552415669E-5</v>
      </c>
      <c r="Q72" s="56">
        <f t="shared" si="39"/>
        <v>1.1536305288830633E-3</v>
      </c>
      <c r="R72" s="9">
        <f t="shared" si="12"/>
        <v>3.9999999999999996E-5</v>
      </c>
      <c r="S72" s="9">
        <f t="shared" si="13"/>
        <v>3.6163421670318884E-7</v>
      </c>
      <c r="T72" s="9">
        <f t="shared" si="10"/>
        <v>1.352759032862125E-8</v>
      </c>
      <c r="U72" s="9">
        <f t="shared" si="11"/>
        <v>3.9638365783296809E-5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5.3078721995446587</v>
      </c>
      <c r="K73" s="55">
        <f t="shared" si="35"/>
        <v>3.431463896454284E-4</v>
      </c>
      <c r="L73" s="55">
        <f t="shared" si="36"/>
        <v>9.8114944227661385E-3</v>
      </c>
      <c r="M73" s="55">
        <f t="shared" si="19"/>
        <v>0.99018850557723381</v>
      </c>
      <c r="N73" s="55">
        <f t="shared" si="37"/>
        <v>8.9273171994676079E-3</v>
      </c>
      <c r="O73" s="56">
        <f t="shared" si="21"/>
        <v>3.4498143396793266E-10</v>
      </c>
      <c r="P73" s="56">
        <f t="shared" si="38"/>
        <v>7.0091914514180967E-5</v>
      </c>
      <c r="Q73" s="56">
        <f t="shared" si="39"/>
        <v>1.2755095748393618E-3</v>
      </c>
      <c r="R73" s="9">
        <f t="shared" si="12"/>
        <v>3.9999999999999996E-5</v>
      </c>
      <c r="S73" s="9">
        <f t="shared" si="13"/>
        <v>3.9245977691064548E-7</v>
      </c>
      <c r="T73" s="9">
        <f t="shared" si="10"/>
        <v>1.3725855585817135E-8</v>
      </c>
      <c r="U73" s="9">
        <f t="shared" si="11"/>
        <v>3.9607540223089348E-5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2.0837828896743456</v>
      </c>
      <c r="K74" s="55">
        <f t="shared" si="35"/>
        <v>0.23661793424493641</v>
      </c>
      <c r="L74" s="55">
        <f t="shared" si="36"/>
        <v>4.038444102619069E-3</v>
      </c>
      <c r="M74" s="55">
        <f t="shared" si="19"/>
        <v>0.99596155589738089</v>
      </c>
      <c r="N74" s="55">
        <f t="shared" si="37"/>
        <v>2.9612780719031561E-3</v>
      </c>
      <c r="O74" s="56">
        <f t="shared" si="21"/>
        <v>2.3788329623020312E-7</v>
      </c>
      <c r="P74" s="56">
        <f t="shared" si="38"/>
        <v>2.8850067748524537E-5</v>
      </c>
      <c r="Q74" s="56">
        <f t="shared" si="39"/>
        <v>4.2309895011903174E-4</v>
      </c>
      <c r="R74" s="9">
        <f t="shared" si="12"/>
        <v>3.9999999999999996E-5</v>
      </c>
      <c r="S74" s="9">
        <f t="shared" si="13"/>
        <v>1.6153776410476275E-7</v>
      </c>
      <c r="T74" s="9">
        <f t="shared" si="10"/>
        <v>9.4647173697974553E-6</v>
      </c>
      <c r="U74" s="9">
        <f t="shared" si="11"/>
        <v>3.9838462235895231E-5</v>
      </c>
      <c r="V74" s="100">
        <f t="shared" si="14"/>
        <v>0.23757737720281683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3.9204939710794475</v>
      </c>
      <c r="K75" s="55">
        <f t="shared" si="35"/>
        <v>9.2689823533507465E-3</v>
      </c>
      <c r="L75" s="55">
        <f t="shared" si="36"/>
        <v>1.0861993893177787E-2</v>
      </c>
      <c r="M75" s="55">
        <f t="shared" si="19"/>
        <v>0.98913800610682223</v>
      </c>
      <c r="N75" s="55">
        <f t="shared" si="37"/>
        <v>1.0106146047289216E-2</v>
      </c>
      <c r="O75" s="56">
        <f t="shared" si="21"/>
        <v>9.3185501004002887E-9</v>
      </c>
      <c r="P75" s="56">
        <f t="shared" si="38"/>
        <v>7.7596532659448864E-5</v>
      </c>
      <c r="Q75" s="56">
        <f t="shared" si="39"/>
        <v>1.4439372725336907E-3</v>
      </c>
      <c r="R75" s="9">
        <f t="shared" si="12"/>
        <v>3.9999999999999996E-5</v>
      </c>
      <c r="S75" s="9">
        <f t="shared" si="13"/>
        <v>4.3447975572711147E-7</v>
      </c>
      <c r="T75" s="9">
        <f t="shared" si="10"/>
        <v>3.7075929413402983E-7</v>
      </c>
      <c r="U75" s="9">
        <f t="shared" si="11"/>
        <v>3.9565520244272885E-5</v>
      </c>
      <c r="V75" s="100">
        <f t="shared" si="14"/>
        <v>9.3707675735085847E-3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3.8585870053842997</v>
      </c>
      <c r="K76" s="55">
        <f t="shared" si="35"/>
        <v>8.8549502252227418E-3</v>
      </c>
      <c r="L76" s="55">
        <f t="shared" si="36"/>
        <v>8.9982210447213905E-3</v>
      </c>
      <c r="M76" s="55">
        <f t="shared" si="19"/>
        <v>0.99100177895527863</v>
      </c>
      <c r="N76" s="55">
        <f t="shared" si="37"/>
        <v>8.0423812405014967E-3</v>
      </c>
      <c r="O76" s="56">
        <f t="shared" si="21"/>
        <v>8.9023038522087138E-9</v>
      </c>
      <c r="P76" s="56">
        <f t="shared" si="38"/>
        <v>6.4282005683340428E-5</v>
      </c>
      <c r="Q76" s="56">
        <f t="shared" si="39"/>
        <v>1.1490724534107379E-3</v>
      </c>
      <c r="R76" s="9">
        <f t="shared" si="12"/>
        <v>3.9999999999999996E-5</v>
      </c>
      <c r="S76" s="9">
        <f t="shared" si="13"/>
        <v>3.599288417888556E-7</v>
      </c>
      <c r="T76" s="9">
        <f t="shared" si="10"/>
        <v>3.5419800900890963E-7</v>
      </c>
      <c r="U76" s="9">
        <f t="shared" si="11"/>
        <v>3.9640071158211139E-5</v>
      </c>
      <c r="V76" s="100">
        <f t="shared" si="14"/>
        <v>8.9353525021495881E-3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2.3639081225718592</v>
      </c>
      <c r="K77" s="55">
        <f t="shared" si="35"/>
        <v>0.17419085464803255</v>
      </c>
      <c r="L77" s="55">
        <f t="shared" si="36"/>
        <v>5.6665274956081233E-3</v>
      </c>
      <c r="M77" s="55">
        <f t="shared" si="19"/>
        <v>0.99433347250439186</v>
      </c>
      <c r="N77" s="55">
        <f t="shared" si="37"/>
        <v>4.6513378130472339E-3</v>
      </c>
      <c r="O77" s="56">
        <f t="shared" si="21"/>
        <v>1.7512237527159009E-7</v>
      </c>
      <c r="P77" s="56">
        <f t="shared" si="38"/>
        <v>4.0480862924696487E-5</v>
      </c>
      <c r="Q77" s="56">
        <f t="shared" si="39"/>
        <v>6.6456985719158003E-4</v>
      </c>
      <c r="R77" s="9">
        <f t="shared" si="12"/>
        <v>3.9999999999999996E-5</v>
      </c>
      <c r="S77" s="9">
        <f t="shared" si="13"/>
        <v>2.266610998243249E-7</v>
      </c>
      <c r="T77" s="9">
        <f t="shared" si="10"/>
        <v>6.9676341859213015E-6</v>
      </c>
      <c r="U77" s="9">
        <f t="shared" si="11"/>
        <v>3.977333890017567E-5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2.7169932228905553</v>
      </c>
      <c r="K78" s="55">
        <f t="shared" si="35"/>
        <v>0.10280549633628257</v>
      </c>
      <c r="L78" s="55">
        <f t="shared" si="36"/>
        <v>7.5403774318989515E-3</v>
      </c>
      <c r="M78" s="55">
        <f t="shared" si="19"/>
        <v>0.99245962256810105</v>
      </c>
      <c r="N78" s="55">
        <f t="shared" si="37"/>
        <v>6.5973551901688608E-3</v>
      </c>
      <c r="O78" s="56">
        <f t="shared" si="21"/>
        <v>1.033552694012682E-7</v>
      </c>
      <c r="P78" s="56">
        <f t="shared" si="38"/>
        <v>5.3867379176710129E-5</v>
      </c>
      <c r="Q78" s="56">
        <f t="shared" si="39"/>
        <v>9.4261125998506916E-4</v>
      </c>
      <c r="R78" s="9">
        <f t="shared" si="12"/>
        <v>3.9999999999999996E-5</v>
      </c>
      <c r="S78" s="9">
        <f t="shared" si="13"/>
        <v>3.0161509727595801E-7</v>
      </c>
      <c r="T78" s="9">
        <f t="shared" si="10"/>
        <v>4.1122198534513027E-6</v>
      </c>
      <c r="U78" s="9">
        <f t="shared" si="11"/>
        <v>3.9698384902724038E-5</v>
      </c>
      <c r="V78" s="100">
        <f t="shared" si="14"/>
        <v>0.1035865782330386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2.5889557991870298</v>
      </c>
      <c r="K79" s="55">
        <f t="shared" si="35"/>
        <v>8.6817473002740314E-2</v>
      </c>
      <c r="L79" s="55">
        <f t="shared" si="36"/>
        <v>4.7418353256442804E-3</v>
      </c>
      <c r="M79" s="55">
        <f t="shared" si="19"/>
        <v>0.99525816467435568</v>
      </c>
      <c r="N79" s="55">
        <f t="shared" si="37"/>
        <v>3.4709285435194927E-3</v>
      </c>
      <c r="O79" s="56">
        <f t="shared" si="21"/>
        <v>8.7281746897891775E-8</v>
      </c>
      <c r="P79" s="56">
        <f t="shared" si="38"/>
        <v>3.3874994161356233E-5</v>
      </c>
      <c r="Q79" s="56">
        <f t="shared" si="39"/>
        <v>4.9591635335936922E-4</v>
      </c>
      <c r="R79" s="9">
        <f t="shared" si="12"/>
        <v>3.9999999999999996E-5</v>
      </c>
      <c r="S79" s="9">
        <f t="shared" si="13"/>
        <v>1.8967341302577121E-7</v>
      </c>
      <c r="T79" s="9">
        <f t="shared" si="10"/>
        <v>3.4726989201096121E-6</v>
      </c>
      <c r="U79" s="9">
        <f t="shared" si="11"/>
        <v>3.9810326586974227E-5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2.6634845218157044</v>
      </c>
      <c r="K80" s="55">
        <f t="shared" si="35"/>
        <v>7.1834680145006657E-2</v>
      </c>
      <c r="L80" s="55">
        <f t="shared" si="36"/>
        <v>4.6580292572963936E-3</v>
      </c>
      <c r="M80" s="55">
        <f t="shared" si="19"/>
        <v>0.99534197074270359</v>
      </c>
      <c r="N80" s="55">
        <f t="shared" si="37"/>
        <v>3.3512644111312381E-3</v>
      </c>
      <c r="O80" s="56">
        <f t="shared" si="21"/>
        <v>7.2218830542436788E-8</v>
      </c>
      <c r="P80" s="56">
        <f t="shared" si="38"/>
        <v>3.3276295581374404E-5</v>
      </c>
      <c r="Q80" s="56">
        <f t="shared" si="39"/>
        <v>4.788190840212566E-4</v>
      </c>
      <c r="R80" s="9">
        <f t="shared" si="12"/>
        <v>3.9999999999999996E-5</v>
      </c>
      <c r="S80" s="9">
        <f t="shared" si="13"/>
        <v>1.8632117029185574E-7</v>
      </c>
      <c r="T80" s="9">
        <f t="shared" si="10"/>
        <v>2.8733872058002661E-6</v>
      </c>
      <c r="U80" s="9">
        <f t="shared" si="11"/>
        <v>3.9813678829708143E-5</v>
      </c>
      <c r="V80" s="100">
        <f t="shared" si="14"/>
        <v>7.2170854094904799E-2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4.3682400663002383</v>
      </c>
      <c r="K81" s="55">
        <f t="shared" si="35"/>
        <v>3.3605844134882716E-3</v>
      </c>
      <c r="L81" s="55">
        <f t="shared" si="36"/>
        <v>1.1041762535655282E-2</v>
      </c>
      <c r="M81" s="55">
        <f t="shared" si="19"/>
        <v>0.98895823746434475</v>
      </c>
      <c r="N81" s="55">
        <f t="shared" si="37"/>
        <v>1.0294525672584612E-2</v>
      </c>
      <c r="O81" s="56">
        <f t="shared" si="21"/>
        <v>3.3785558144248808E-9</v>
      </c>
      <c r="P81" s="56">
        <f t="shared" si="38"/>
        <v>7.8880774160073439E-5</v>
      </c>
      <c r="Q81" s="56">
        <f t="shared" si="39"/>
        <v>1.4708524151683959E-3</v>
      </c>
      <c r="R81" s="9">
        <f t="shared" si="12"/>
        <v>3.9999999999999996E-5</v>
      </c>
      <c r="S81" s="9">
        <f t="shared" si="13"/>
        <v>4.4167050142621123E-7</v>
      </c>
      <c r="T81" s="9">
        <f t="shared" si="10"/>
        <v>1.3442337653953084E-7</v>
      </c>
      <c r="U81" s="9">
        <f t="shared" si="11"/>
        <v>3.9558329498573787E-5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4.0532477704684826</v>
      </c>
      <c r="K82" s="55">
        <f t="shared" si="35"/>
        <v>5.8393737306125897E-3</v>
      </c>
      <c r="L82" s="55">
        <f t="shared" si="36"/>
        <v>9.2896118923791252E-3</v>
      </c>
      <c r="M82" s="55">
        <f t="shared" si="19"/>
        <v>0.99071038810762091</v>
      </c>
      <c r="N82" s="55">
        <f t="shared" si="37"/>
        <v>8.3595096604780986E-3</v>
      </c>
      <c r="O82" s="56">
        <f t="shared" si="21"/>
        <v>5.8706009558863664E-9</v>
      </c>
      <c r="P82" s="56">
        <f t="shared" si="38"/>
        <v>6.6363660271743369E-5</v>
      </c>
      <c r="Q82" s="56">
        <f t="shared" si="39"/>
        <v>1.1943828559757951E-3</v>
      </c>
      <c r="R82" s="9">
        <f t="shared" si="12"/>
        <v>3.9999999999999996E-5</v>
      </c>
      <c r="S82" s="9">
        <f t="shared" si="13"/>
        <v>3.71584475695165E-7</v>
      </c>
      <c r="T82" s="9">
        <f t="shared" si="10"/>
        <v>2.3357494922450357E-7</v>
      </c>
      <c r="U82" s="9">
        <f t="shared" si="11"/>
        <v>3.9628415524304832E-5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2.3088898400463114</v>
      </c>
      <c r="K83" s="55">
        <f t="shared" si="35"/>
        <v>0.19497598403048147</v>
      </c>
      <c r="L83" s="55">
        <f t="shared" si="36"/>
        <v>5.5879754417927944E-3</v>
      </c>
      <c r="M83" s="55">
        <f t="shared" si="19"/>
        <v>0.99441202455820721</v>
      </c>
      <c r="N83" s="55">
        <f t="shared" si="37"/>
        <v>4.6017037182749954E-3</v>
      </c>
      <c r="O83" s="56">
        <f t="shared" si="21"/>
        <v>1.9601865731312775E-7</v>
      </c>
      <c r="P83" s="56">
        <f t="shared" si="38"/>
        <v>3.9919698273961766E-5</v>
      </c>
      <c r="Q83" s="56">
        <f t="shared" si="39"/>
        <v>6.574782795422218E-4</v>
      </c>
      <c r="R83" s="9">
        <f t="shared" si="12"/>
        <v>3.9999999999999996E-5</v>
      </c>
      <c r="S83" s="9">
        <f t="shared" si="13"/>
        <v>2.2351901767171175E-7</v>
      </c>
      <c r="T83" s="9">
        <f t="shared" si="10"/>
        <v>7.799039361219258E-6</v>
      </c>
      <c r="U83" s="9">
        <f t="shared" si="11"/>
        <v>3.9776480982328286E-5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4.041572503575793</v>
      </c>
      <c r="K84" s="55">
        <f t="shared" si="35"/>
        <v>4.6488813878356131E-3</v>
      </c>
      <c r="L84" s="55">
        <f t="shared" si="36"/>
        <v>7.1995358253936935E-3</v>
      </c>
      <c r="M84" s="55">
        <f t="shared" si="19"/>
        <v>0.99280046417460632</v>
      </c>
      <c r="N84" s="55">
        <f t="shared" si="37"/>
        <v>6.0438544627116932E-3</v>
      </c>
      <c r="O84" s="56">
        <f t="shared" si="21"/>
        <v>4.6737422159083151E-9</v>
      </c>
      <c r="P84" s="56">
        <f t="shared" si="38"/>
        <v>5.1432455431494626E-5</v>
      </c>
      <c r="Q84" s="56">
        <f t="shared" si="39"/>
        <v>8.6352865747663901E-4</v>
      </c>
      <c r="R84" s="9">
        <f t="shared" si="12"/>
        <v>3.9999999999999996E-5</v>
      </c>
      <c r="S84" s="9">
        <f t="shared" si="13"/>
        <v>2.8798143301574769E-7</v>
      </c>
      <c r="T84" s="9">
        <f t="shared" si="10"/>
        <v>1.8595525551342452E-7</v>
      </c>
      <c r="U84" s="9">
        <f t="shared" si="11"/>
        <v>3.9712018566984249E-5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2.21956631274778</v>
      </c>
      <c r="K85" s="55">
        <f t="shared" si="35"/>
        <v>0.22432436414834417</v>
      </c>
      <c r="L85" s="55">
        <f t="shared" si="36"/>
        <v>5.2339104290342548E-3</v>
      </c>
      <c r="M85" s="55">
        <f t="shared" si="19"/>
        <v>0.99476608957096579</v>
      </c>
      <c r="N85" s="55">
        <f t="shared" si="37"/>
        <v>4.2624763034844679E-3</v>
      </c>
      <c r="O85" s="56">
        <f t="shared" si="21"/>
        <v>2.25523983795385E-7</v>
      </c>
      <c r="P85" s="56">
        <f t="shared" si="38"/>
        <v>3.7390308403530848E-5</v>
      </c>
      <c r="Q85" s="56">
        <f t="shared" si="39"/>
        <v>6.0901043573813643E-4</v>
      </c>
      <c r="R85" s="9">
        <f t="shared" si="12"/>
        <v>3.9999999999999996E-5</v>
      </c>
      <c r="S85" s="9">
        <f t="shared" si="13"/>
        <v>2.0935641716137017E-7</v>
      </c>
      <c r="T85" s="9">
        <f t="shared" si="10"/>
        <v>8.9729745659337652E-6</v>
      </c>
      <c r="U85" s="9">
        <f t="shared" si="11"/>
        <v>3.979064358283863E-5</v>
      </c>
      <c r="V85" s="100">
        <f t="shared" si="14"/>
        <v>0.22550463521036726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3.1296066711876311</v>
      </c>
      <c r="K86" s="55">
        <f t="shared" si="35"/>
        <v>2.3220273489619914E-2</v>
      </c>
      <c r="L86" s="55">
        <f t="shared" si="36"/>
        <v>4.4041036313018219E-3</v>
      </c>
      <c r="M86" s="55">
        <f t="shared" si="19"/>
        <v>0.99559589636869816</v>
      </c>
      <c r="N86" s="55">
        <f t="shared" si="37"/>
        <v>2.9829148951767762E-3</v>
      </c>
      <c r="O86" s="56">
        <f t="shared" si="21"/>
        <v>2.3344448571508877E-8</v>
      </c>
      <c r="P86" s="56">
        <f t="shared" si="38"/>
        <v>3.1462287184358621E-5</v>
      </c>
      <c r="Q86" s="56">
        <f t="shared" si="39"/>
        <v>4.2619035760887145E-4</v>
      </c>
      <c r="R86" s="9">
        <f t="shared" si="12"/>
        <v>3.9999999999999996E-5</v>
      </c>
      <c r="S86" s="9">
        <f t="shared" si="13"/>
        <v>1.7616414525207286E-7</v>
      </c>
      <c r="T86" s="9">
        <f t="shared" si="10"/>
        <v>9.288109395847965E-7</v>
      </c>
      <c r="U86" s="9">
        <f t="shared" si="11"/>
        <v>3.9823835854747925E-5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1.9159264962867857</v>
      </c>
      <c r="K87" s="55">
        <f t="shared" si="35"/>
        <v>0.32796020251969593</v>
      </c>
      <c r="L87" s="55">
        <f t="shared" si="36"/>
        <v>3.8030424237425679E-3</v>
      </c>
      <c r="M87" s="55">
        <f t="shared" si="19"/>
        <v>0.99619695757625748</v>
      </c>
      <c r="N87" s="55">
        <f t="shared" si="37"/>
        <v>2.8646977726826416E-3</v>
      </c>
      <c r="O87" s="56">
        <f t="shared" si="21"/>
        <v>3.2971403565272981E-7</v>
      </c>
      <c r="P87" s="56">
        <f t="shared" si="38"/>
        <v>2.7168391783442085E-5</v>
      </c>
      <c r="Q87" s="56">
        <f t="shared" si="39"/>
        <v>4.092998329101167E-4</v>
      </c>
      <c r="R87" s="9">
        <f t="shared" si="12"/>
        <v>3.9999999999999996E-5</v>
      </c>
      <c r="S87" s="9">
        <f t="shared" si="13"/>
        <v>1.5212169694970271E-7</v>
      </c>
      <c r="T87" s="9">
        <f t="shared" si="10"/>
        <v>1.3118408100787835E-5</v>
      </c>
      <c r="U87" s="9">
        <f t="shared" si="11"/>
        <v>3.9847878303050298E-5</v>
      </c>
      <c r="V87" s="100">
        <f t="shared" si="14"/>
        <v>0.32921221052272792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0.83796499600185581</v>
      </c>
      <c r="K88" s="55">
        <f t="shared" si="35"/>
        <v>0.70500221977527622</v>
      </c>
      <c r="L88" s="55">
        <f t="shared" si="36"/>
        <v>6.8318607893996992E-4</v>
      </c>
      <c r="M88" s="55">
        <f t="shared" si="19"/>
        <v>0.99931681392105998</v>
      </c>
      <c r="N88" s="55">
        <f t="shared" si="37"/>
        <v>8.8215320562581872E-5</v>
      </c>
      <c r="O88" s="56">
        <f t="shared" si="21"/>
        <v>7.0877236091558745E-7</v>
      </c>
      <c r="P88" s="56">
        <f t="shared" si="38"/>
        <v>4.8805837499358669E-6</v>
      </c>
      <c r="Q88" s="56">
        <f t="shared" si="39"/>
        <v>1.260395295820866E-5</v>
      </c>
      <c r="R88" s="9">
        <f t="shared" si="12"/>
        <v>3.9999999999999996E-5</v>
      </c>
      <c r="S88" s="9">
        <f t="shared" si="13"/>
        <v>2.7327443157598794E-8</v>
      </c>
      <c r="T88" s="9">
        <f t="shared" si="10"/>
        <v>2.8200088791011047E-5</v>
      </c>
      <c r="U88" s="9">
        <f t="shared" si="11"/>
        <v>3.9972672556842395E-5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0.47829368809571571</v>
      </c>
      <c r="K89" s="55">
        <f t="shared" si="35"/>
        <v>0.91251641075332313</v>
      </c>
      <c r="L89" s="55">
        <f t="shared" si="36"/>
        <v>3.8629394387973377E-4</v>
      </c>
      <c r="M89" s="55">
        <f t="shared" si="19"/>
        <v>0.99961370605612032</v>
      </c>
      <c r="N89" s="55">
        <f t="shared" si="37"/>
        <v>1.32134919293651E-4</v>
      </c>
      <c r="O89" s="56">
        <f t="shared" si="21"/>
        <v>9.1739627575926163E-7</v>
      </c>
      <c r="P89" s="56">
        <f t="shared" si="38"/>
        <v>2.7596287502276927E-6</v>
      </c>
      <c r="Q89" s="56">
        <f t="shared" si="39"/>
        <v>1.8879059740336013E-5</v>
      </c>
      <c r="R89" s="9">
        <f t="shared" si="12"/>
        <v>3.9999999999999996E-5</v>
      </c>
      <c r="S89" s="9">
        <f t="shared" si="13"/>
        <v>1.545175775518935E-8</v>
      </c>
      <c r="T89" s="9">
        <f t="shared" si="10"/>
        <v>3.650065643013292E-5</v>
      </c>
      <c r="U89" s="9">
        <f t="shared" si="11"/>
        <v>3.998454824224481E-5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9.6802248814160784E-3</v>
      </c>
      <c r="K90" s="55">
        <f t="shared" si="35"/>
        <v>0.99172786494053222</v>
      </c>
      <c r="L90" s="55">
        <f t="shared" si="36"/>
        <v>1.4271061203991332E-4</v>
      </c>
      <c r="M90" s="55">
        <f t="shared" si="19"/>
        <v>0.99985728938796004</v>
      </c>
      <c r="N90" s="55">
        <f t="shared" si="37"/>
        <v>4.7197850029707359E-6</v>
      </c>
      <c r="O90" s="56">
        <f t="shared" si="21"/>
        <v>9.9703132912649906E-7</v>
      </c>
      <c r="P90" s="56">
        <f t="shared" si="38"/>
        <v>1.0195042251828493E-6</v>
      </c>
      <c r="Q90" s="56">
        <f t="shared" si="39"/>
        <v>6.7434939612445019E-7</v>
      </c>
      <c r="R90" s="9">
        <f t="shared" si="12"/>
        <v>3.9999999999999996E-5</v>
      </c>
      <c r="S90" s="9">
        <f t="shared" si="13"/>
        <v>5.7084244815965319E-9</v>
      </c>
      <c r="T90" s="9">
        <f t="shared" si="10"/>
        <v>3.9669114597621285E-5</v>
      </c>
      <c r="U90" s="9">
        <f t="shared" si="11"/>
        <v>3.9994291575518399E-5</v>
      </c>
      <c r="V90" s="100">
        <f t="shared" si="14"/>
        <v>0.99186941523184369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-1.6805454315982515E-2</v>
      </c>
      <c r="K91" s="55">
        <f t="shared" si="35"/>
        <v>0.99521200616186167</v>
      </c>
      <c r="L91" s="55">
        <f t="shared" si="36"/>
        <v>1.347391118236031E-4</v>
      </c>
      <c r="M91" s="55">
        <f t="shared" si="19"/>
        <v>0.9998652608881764</v>
      </c>
      <c r="N91" s="55">
        <f t="shared" si="37"/>
        <v>2.1511798404485543E-6</v>
      </c>
      <c r="O91" s="56">
        <f t="shared" si="21"/>
        <v>1.0005341024936413E-6</v>
      </c>
      <c r="P91" s="56">
        <f t="shared" si="38"/>
        <v>9.6255696642327429E-7</v>
      </c>
      <c r="Q91" s="56">
        <f t="shared" si="39"/>
        <v>3.0735442937517385E-7</v>
      </c>
      <c r="R91" s="9">
        <f t="shared" si="12"/>
        <v>3.9999999999999996E-5</v>
      </c>
      <c r="S91" s="9">
        <f t="shared" si="13"/>
        <v>5.3895644729441232E-9</v>
      </c>
      <c r="T91" s="9">
        <f t="shared" si="10"/>
        <v>3.980848024647446E-5</v>
      </c>
      <c r="U91" s="9">
        <f t="shared" si="11"/>
        <v>3.9994610435527054E-5</v>
      </c>
      <c r="V91" s="100">
        <f t="shared" si="14"/>
        <v>0.99534611821378682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0.56631779831251772</v>
      </c>
      <c r="K92" s="55">
        <f t="shared" si="35"/>
        <v>0.89165596753697574</v>
      </c>
      <c r="L92" s="55">
        <f t="shared" si="36"/>
        <v>4.6227312598862732E-4</v>
      </c>
      <c r="M92" s="55">
        <f t="shared" si="19"/>
        <v>0.99953772687401132</v>
      </c>
      <c r="N92" s="55">
        <f t="shared" si="37"/>
        <v>1.7878587541973165E-4</v>
      </c>
      <c r="O92" s="56">
        <f t="shared" si="21"/>
        <v>8.9642427712795373E-7</v>
      </c>
      <c r="P92" s="56">
        <f t="shared" si="38"/>
        <v>3.3024131730447553E-6</v>
      </c>
      <c r="Q92" s="56">
        <f t="shared" si="39"/>
        <v>2.5544415063184341E-5</v>
      </c>
      <c r="R92" s="9">
        <f t="shared" si="12"/>
        <v>3.9999999999999996E-5</v>
      </c>
      <c r="S92" s="9">
        <f t="shared" si="13"/>
        <v>1.8490925039545092E-8</v>
      </c>
      <c r="T92" s="9">
        <f t="shared" ref="T92:T143" si="40">R92*K92</f>
        <v>3.5666238701479027E-5</v>
      </c>
      <c r="U92" s="9">
        <f t="shared" ref="U92:U143" si="41">$R92*M92</f>
        <v>3.9981509074960452E-5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-1.5761133146324342E-2</v>
      </c>
      <c r="K93" s="55">
        <f t="shared" si="35"/>
        <v>0.99507388144212094</v>
      </c>
      <c r="L93" s="55">
        <f t="shared" si="36"/>
        <v>1.3504475516177292E-4</v>
      </c>
      <c r="M93" s="55">
        <f t="shared" ref="M93:M127" si="42">IF(D93=0,"",1-L93)</f>
        <v>0.9998649552448382</v>
      </c>
      <c r="N93" s="55">
        <f t="shared" si="37"/>
        <v>2.2415222805657807E-6</v>
      </c>
      <c r="O93" s="56">
        <f t="shared" ref="O93:O127" si="43">IF(D93=0,"",F93*K93*$J$7/$J$14)</f>
        <v>1.0003952391241862E-6</v>
      </c>
      <c r="P93" s="56">
        <f t="shared" si="38"/>
        <v>9.6474043876782583E-7</v>
      </c>
      <c r="Q93" s="56">
        <f t="shared" si="39"/>
        <v>3.2026229909786567E-7</v>
      </c>
      <c r="R93" s="9">
        <f t="shared" ref="R93:R143" si="44">F93*$C$14</f>
        <v>3.9999999999999996E-5</v>
      </c>
      <c r="S93" s="9">
        <f t="shared" ref="S93:S143" si="45">$R93*L93</f>
        <v>5.4017902064709159E-9</v>
      </c>
      <c r="T93" s="9">
        <f t="shared" si="40"/>
        <v>3.9802955257684833E-5</v>
      </c>
      <c r="U93" s="9">
        <f t="shared" si="41"/>
        <v>3.9994598209793526E-5</v>
      </c>
      <c r="V93" s="100">
        <f t="shared" ref="V93:V143" si="46">K93/M93</f>
        <v>0.99520827910050702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-4.1307694405703282E-2</v>
      </c>
      <c r="K94" s="55">
        <f t="shared" si="35"/>
        <v>0.99851942226023971</v>
      </c>
      <c r="L94" s="55">
        <f t="shared" si="36"/>
        <v>1.2777101660283618E-4</v>
      </c>
      <c r="M94" s="55">
        <f t="shared" si="42"/>
        <v>0.99987222898339712</v>
      </c>
      <c r="N94" s="55">
        <f t="shared" si="37"/>
        <v>3.7597423229944817E-7</v>
      </c>
      <c r="O94" s="56">
        <f t="shared" si="43"/>
        <v>1.0038592056646991E-6</v>
      </c>
      <c r="P94" s="56">
        <f t="shared" si="38"/>
        <v>9.1277788960828995E-7</v>
      </c>
      <c r="Q94" s="56">
        <f t="shared" si="39"/>
        <v>5.3718124098852866E-8</v>
      </c>
      <c r="R94" s="9">
        <f t="shared" si="44"/>
        <v>3.9999999999999996E-5</v>
      </c>
      <c r="S94" s="9">
        <f t="shared" si="45"/>
        <v>5.1108406641134465E-9</v>
      </c>
      <c r="T94" s="9">
        <f t="shared" si="40"/>
        <v>3.9940776890409582E-5</v>
      </c>
      <c r="U94" s="9">
        <f t="shared" si="41"/>
        <v>3.9994889159335878E-5</v>
      </c>
      <c r="V94" s="100">
        <f t="shared" si="46"/>
        <v>0.99864702040526432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3.7792037681406621</v>
      </c>
      <c r="K95" s="55">
        <f t="shared" si="35"/>
        <v>1.2327910460333847E-2</v>
      </c>
      <c r="L95" s="55">
        <f t="shared" si="36"/>
        <v>1.0434623111433164E-2</v>
      </c>
      <c r="M95" s="55">
        <f t="shared" si="42"/>
        <v>0.98956537688856683</v>
      </c>
      <c r="N95" s="55">
        <f t="shared" si="37"/>
        <v>9.6385784412498041E-3</v>
      </c>
      <c r="O95" s="56">
        <f t="shared" si="43"/>
        <v>1.2393836440560397E-8</v>
      </c>
      <c r="P95" s="56">
        <f t="shared" si="38"/>
        <v>7.4543456847634044E-5</v>
      </c>
      <c r="Q95" s="56">
        <f t="shared" si="39"/>
        <v>1.3771325488902255E-3</v>
      </c>
      <c r="R95" s="9">
        <f t="shared" si="44"/>
        <v>3.9999999999999996E-5</v>
      </c>
      <c r="S95" s="9">
        <f t="shared" si="45"/>
        <v>4.173849244573265E-7</v>
      </c>
      <c r="T95" s="9">
        <f t="shared" si="40"/>
        <v>4.9311641841335381E-7</v>
      </c>
      <c r="U95" s="9">
        <f t="shared" si="41"/>
        <v>3.9582615075542671E-5</v>
      </c>
      <c r="V95" s="100">
        <f t="shared" si="46"/>
        <v>1.2457903993261953E-2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-5.0609949807824094E-2</v>
      </c>
      <c r="K96" s="55">
        <f t="shared" si="35"/>
        <v>0.99987475971552764</v>
      </c>
      <c r="L96" s="55">
        <f t="shared" si="36"/>
        <v>1.2523311508895276E-4</v>
      </c>
      <c r="M96" s="55">
        <f t="shared" si="42"/>
        <v>0.99987476688491106</v>
      </c>
      <c r="N96" s="55">
        <f t="shared" si="37"/>
        <v>1.2003257906667706E-14</v>
      </c>
      <c r="O96" s="56">
        <f t="shared" si="43"/>
        <v>1.0052217910595766E-6</v>
      </c>
      <c r="P96" s="56">
        <f t="shared" si="38"/>
        <v>8.9464748375046607E-7</v>
      </c>
      <c r="Q96" s="56">
        <f t="shared" si="39"/>
        <v>1.7149911946820913E-15</v>
      </c>
      <c r="R96" s="9">
        <f t="shared" si="44"/>
        <v>3.9999999999999996E-5</v>
      </c>
      <c r="S96" s="9">
        <f t="shared" si="45"/>
        <v>5.0093246035581096E-9</v>
      </c>
      <c r="T96" s="9">
        <f t="shared" si="40"/>
        <v>3.99949903886211E-5</v>
      </c>
      <c r="U96" s="9">
        <f t="shared" si="41"/>
        <v>3.9994990675396437E-5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3.4728223646217145</v>
      </c>
      <c r="K98" s="55">
        <f t="shared" si="35"/>
        <v>5.6976492308420659E-3</v>
      </c>
      <c r="L98" s="55">
        <f t="shared" si="36"/>
        <v>2.3817797655777892E-3</v>
      </c>
      <c r="M98" s="55">
        <f t="shared" si="42"/>
        <v>0.99761822023442226</v>
      </c>
      <c r="N98" s="55">
        <f t="shared" si="37"/>
        <v>7.1293385928925662E-4</v>
      </c>
      <c r="O98" s="56">
        <f t="shared" si="43"/>
        <v>5.7281185558537055E-9</v>
      </c>
      <c r="P98" s="56">
        <f t="shared" si="38"/>
        <v>1.7015094391035514E-5</v>
      </c>
      <c r="Q98" s="56">
        <f t="shared" si="39"/>
        <v>1.018619528613653E-4</v>
      </c>
      <c r="R98" s="9">
        <f t="shared" si="44"/>
        <v>3.9999999999999996E-5</v>
      </c>
      <c r="S98" s="9">
        <f t="shared" si="45"/>
        <v>9.5271190623111563E-8</v>
      </c>
      <c r="T98" s="9">
        <f t="shared" si="40"/>
        <v>2.2790596923368262E-7</v>
      </c>
      <c r="U98" s="9">
        <f t="shared" si="41"/>
        <v>3.9904728809376886E-5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1.7151795679439035</v>
      </c>
      <c r="K99" s="55">
        <f t="shared" si="35"/>
        <v>0.2299269924822272</v>
      </c>
      <c r="L99" s="55">
        <f t="shared" si="36"/>
        <v>1.6793957680649168E-3</v>
      </c>
      <c r="M99" s="55">
        <f t="shared" si="42"/>
        <v>0.99832060423193514</v>
      </c>
      <c r="N99" s="55">
        <f t="shared" si="37"/>
        <v>3.380208510488492E-4</v>
      </c>
      <c r="O99" s="56">
        <f t="shared" si="43"/>
        <v>2.3115657331092533E-7</v>
      </c>
      <c r="P99" s="56">
        <f t="shared" si="38"/>
        <v>1.1997363453374617E-5</v>
      </c>
      <c r="Q99" s="56">
        <f t="shared" si="39"/>
        <v>4.8295453423999428E-5</v>
      </c>
      <c r="R99" s="9">
        <f t="shared" si="44"/>
        <v>3.9999999999999996E-5</v>
      </c>
      <c r="S99" s="9">
        <f t="shared" si="45"/>
        <v>6.7175830722596671E-8</v>
      </c>
      <c r="T99" s="9">
        <f t="shared" si="40"/>
        <v>9.1970796992890878E-6</v>
      </c>
      <c r="U99" s="9">
        <f t="shared" si="41"/>
        <v>3.9932824169277404E-5</v>
      </c>
      <c r="V99" s="100">
        <f t="shared" si="46"/>
        <v>0.23031378047047635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3.0482053541141561</v>
      </c>
      <c r="K101" s="55">
        <f t="shared" si="35"/>
        <v>1.2675380923545049E-2</v>
      </c>
      <c r="L101" s="55">
        <f t="shared" si="36"/>
        <v>1.9931955170281101E-3</v>
      </c>
      <c r="M101" s="55">
        <f t="shared" si="42"/>
        <v>0.99800680448297185</v>
      </c>
      <c r="N101" s="55">
        <f t="shared" si="37"/>
        <v>2.9533475104066658E-4</v>
      </c>
      <c r="O101" s="56">
        <f t="shared" si="43"/>
        <v>1.2743165071947031E-8</v>
      </c>
      <c r="P101" s="56">
        <f t="shared" si="38"/>
        <v>1.4239104031432107E-5</v>
      </c>
      <c r="Q101" s="56">
        <f t="shared" si="39"/>
        <v>4.2196585415116042E-5</v>
      </c>
      <c r="R101" s="9">
        <f t="shared" si="44"/>
        <v>3.9999999999999996E-5</v>
      </c>
      <c r="S101" s="9">
        <f t="shared" si="45"/>
        <v>7.9727820681124399E-8</v>
      </c>
      <c r="T101" s="9">
        <f t="shared" si="40"/>
        <v>5.0701523694180193E-7</v>
      </c>
      <c r="U101" s="9">
        <f t="shared" si="41"/>
        <v>3.9920272179318869E-5</v>
      </c>
      <c r="V101" s="100">
        <f t="shared" si="46"/>
        <v>1.2700695893663436E-2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2.2204840859111705</v>
      </c>
      <c r="K102" s="55">
        <f t="shared" si="35"/>
        <v>6.9868911765340269E-2</v>
      </c>
      <c r="L102" s="55">
        <f t="shared" si="36"/>
        <v>1.6336220728395056E-3</v>
      </c>
      <c r="M102" s="55">
        <f t="shared" si="42"/>
        <v>0.99836637792716054</v>
      </c>
      <c r="N102" s="55">
        <f t="shared" si="37"/>
        <v>5.6407528640731016E-10</v>
      </c>
      <c r="O102" s="56">
        <f t="shared" si="43"/>
        <v>7.0242549821060516E-8</v>
      </c>
      <c r="P102" s="56">
        <f t="shared" si="38"/>
        <v>1.1670362713783594E-5</v>
      </c>
      <c r="Q102" s="56">
        <f t="shared" si="39"/>
        <v>8.0593465278201022E-11</v>
      </c>
      <c r="R102" s="9">
        <f t="shared" si="44"/>
        <v>3.9999999999999996E-5</v>
      </c>
      <c r="S102" s="9">
        <f t="shared" si="45"/>
        <v>6.5344882913580226E-8</v>
      </c>
      <c r="T102" s="9">
        <f t="shared" si="40"/>
        <v>2.7947564706136103E-6</v>
      </c>
      <c r="U102" s="9">
        <f t="shared" si="41"/>
        <v>3.9934655117086421E-5</v>
      </c>
      <c r="V102" s="100">
        <f t="shared" si="46"/>
        <v>6.9983237927547487E-2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3.2683598845020718</v>
      </c>
      <c r="K103" s="55">
        <f t="shared" si="35"/>
        <v>6.6503678625122646E-3</v>
      </c>
      <c r="L103" s="55">
        <f t="shared" si="36"/>
        <v>1.7361573417147671E-3</v>
      </c>
      <c r="M103" s="55">
        <f t="shared" si="42"/>
        <v>0.99826384265828527</v>
      </c>
      <c r="N103" s="55">
        <f t="shared" si="37"/>
        <v>8.9536221399405329E-10</v>
      </c>
      <c r="O103" s="56">
        <f t="shared" si="43"/>
        <v>6.6859320419905269E-9</v>
      </c>
      <c r="P103" s="56">
        <f t="shared" si="38"/>
        <v>1.2402860026732907E-5</v>
      </c>
      <c r="Q103" s="56">
        <f t="shared" si="39"/>
        <v>1.2792679495771606E-10</v>
      </c>
      <c r="R103" s="9">
        <f t="shared" si="44"/>
        <v>3.9999999999999996E-5</v>
      </c>
      <c r="S103" s="9">
        <f t="shared" si="45"/>
        <v>6.9446293668590676E-8</v>
      </c>
      <c r="T103" s="9">
        <f t="shared" si="40"/>
        <v>2.6601471450049058E-7</v>
      </c>
      <c r="U103" s="9">
        <f t="shared" si="41"/>
        <v>3.9930553706331408E-5</v>
      </c>
      <c r="V103" s="100">
        <f t="shared" si="46"/>
        <v>6.6619340281853174E-3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4.0256836428663529</v>
      </c>
      <c r="K104" s="55">
        <f t="shared" si="35"/>
        <v>1.3709777057891075E-3</v>
      </c>
      <c r="L104" s="55">
        <f t="shared" si="36"/>
        <v>2.0469044176119307E-3</v>
      </c>
      <c r="M104" s="55">
        <f t="shared" si="42"/>
        <v>0.99795309558238809</v>
      </c>
      <c r="N104" s="55">
        <f t="shared" si="37"/>
        <v>3.3449060555896241E-4</v>
      </c>
      <c r="O104" s="56">
        <f t="shared" si="43"/>
        <v>1.3783092847629904E-9</v>
      </c>
      <c r="P104" s="56">
        <f t="shared" si="38"/>
        <v>1.4622792744502848E-5</v>
      </c>
      <c r="Q104" s="56">
        <f t="shared" si="39"/>
        <v>4.7791062034820088E-5</v>
      </c>
      <c r="R104" s="9">
        <f t="shared" si="44"/>
        <v>3.9999999999999996E-5</v>
      </c>
      <c r="S104" s="9">
        <f t="shared" si="45"/>
        <v>8.1876176704477224E-8</v>
      </c>
      <c r="T104" s="9">
        <f t="shared" si="40"/>
        <v>5.4839108231564296E-8</v>
      </c>
      <c r="U104" s="9">
        <f t="shared" si="41"/>
        <v>3.9918123823295523E-5</v>
      </c>
      <c r="V104" s="100">
        <f t="shared" si="46"/>
        <v>1.3737897220400211E-3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3.8653862162210095</v>
      </c>
      <c r="K105" s="55">
        <f t="shared" si="35"/>
        <v>3.2327663859427168E-3</v>
      </c>
      <c r="L105" s="55">
        <f t="shared" si="36"/>
        <v>3.3369067142511835E-3</v>
      </c>
      <c r="M105" s="55">
        <f t="shared" si="42"/>
        <v>0.99666309328574887</v>
      </c>
      <c r="N105" s="55">
        <f t="shared" si="37"/>
        <v>1.7657444664115431E-3</v>
      </c>
      <c r="O105" s="56">
        <f t="shared" si="43"/>
        <v>3.2500542542738876E-9</v>
      </c>
      <c r="P105" s="56">
        <f t="shared" si="38"/>
        <v>2.3838384865651292E-5</v>
      </c>
      <c r="Q105" s="56">
        <f t="shared" si="39"/>
        <v>2.5228452437669151E-4</v>
      </c>
      <c r="R105" s="9">
        <f t="shared" si="44"/>
        <v>3.9999999999999996E-5</v>
      </c>
      <c r="S105" s="9">
        <f t="shared" si="45"/>
        <v>1.3347626857004734E-7</v>
      </c>
      <c r="T105" s="9">
        <f t="shared" si="40"/>
        <v>1.2931065543770865E-7</v>
      </c>
      <c r="U105" s="9">
        <f t="shared" si="41"/>
        <v>3.986652373142995E-5</v>
      </c>
      <c r="V105" s="100">
        <f t="shared" si="46"/>
        <v>3.2435899430017967E-3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2.7421076871513792</v>
      </c>
      <c r="K106" s="55">
        <f t="shared" si="35"/>
        <v>2.3554045863961242E-2</v>
      </c>
      <c r="L106" s="55">
        <f t="shared" si="36"/>
        <v>1.8304451996744471E-3</v>
      </c>
      <c r="M106" s="55">
        <f t="shared" si="42"/>
        <v>0.99816955480032554</v>
      </c>
      <c r="N106" s="55">
        <f t="shared" si="37"/>
        <v>1.3471595947155815E-4</v>
      </c>
      <c r="O106" s="56">
        <f t="shared" si="43"/>
        <v>2.3680005860740835E-8</v>
      </c>
      <c r="P106" s="56">
        <f t="shared" si="38"/>
        <v>1.307643901430287E-5</v>
      </c>
      <c r="Q106" s="56">
        <f t="shared" si="39"/>
        <v>1.9247831386554877E-5</v>
      </c>
      <c r="R106" s="9">
        <f t="shared" si="44"/>
        <v>3.9999999999999996E-5</v>
      </c>
      <c r="S106" s="9">
        <f t="shared" si="45"/>
        <v>7.321780798697788E-8</v>
      </c>
      <c r="T106" s="9">
        <f t="shared" si="40"/>
        <v>9.4216183455844956E-7</v>
      </c>
      <c r="U106" s="9">
        <f t="shared" si="41"/>
        <v>3.9926782192013021E-5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3.4941063050425574</v>
      </c>
      <c r="K108" s="55">
        <f t="shared" si="35"/>
        <v>4.9224106582349781E-3</v>
      </c>
      <c r="L108" s="55">
        <f t="shared" si="36"/>
        <v>2.1610642320391204E-3</v>
      </c>
      <c r="M108" s="55">
        <f t="shared" si="42"/>
        <v>0.9978389357679609</v>
      </c>
      <c r="N108" s="55">
        <f t="shared" si="37"/>
        <v>4.6723070400502432E-4</v>
      </c>
      <c r="O108" s="56">
        <f t="shared" si="43"/>
        <v>4.948734239085594E-9</v>
      </c>
      <c r="P108" s="56">
        <f t="shared" si="38"/>
        <v>1.5438334150225749E-5</v>
      </c>
      <c r="Q108" s="56">
        <f t="shared" si="39"/>
        <v>6.6756588043369284E-5</v>
      </c>
      <c r="R108" s="9">
        <f t="shared" si="44"/>
        <v>3.9999999999999996E-5</v>
      </c>
      <c r="S108" s="9">
        <f t="shared" si="45"/>
        <v>8.6442569281564803E-8</v>
      </c>
      <c r="T108" s="9">
        <f t="shared" si="40"/>
        <v>1.968964263293991E-7</v>
      </c>
      <c r="U108" s="9">
        <f t="shared" si="41"/>
        <v>3.9913557430718435E-5</v>
      </c>
      <c r="V108" s="100">
        <f t="shared" si="46"/>
        <v>4.9330713422668484E-3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3.8560205528257723</v>
      </c>
      <c r="K109" s="55">
        <f t="shared" si="35"/>
        <v>2.9518115428009933E-3</v>
      </c>
      <c r="L109" s="55">
        <f t="shared" si="36"/>
        <v>2.9818974758756694E-3</v>
      </c>
      <c r="M109" s="55">
        <f t="shared" si="42"/>
        <v>0.99701810252412437</v>
      </c>
      <c r="N109" s="55">
        <f t="shared" si="37"/>
        <v>1.3722781832464868E-3</v>
      </c>
      <c r="O109" s="56">
        <f t="shared" si="43"/>
        <v>2.9675969486107893E-9</v>
      </c>
      <c r="P109" s="56">
        <f t="shared" si="38"/>
        <v>2.1302249582302085E-5</v>
      </c>
      <c r="Q109" s="56">
        <f t="shared" si="39"/>
        <v>1.9606718602744873E-4</v>
      </c>
      <c r="R109" s="9">
        <f t="shared" si="44"/>
        <v>3.9999999999999996E-5</v>
      </c>
      <c r="S109" s="9">
        <f t="shared" si="45"/>
        <v>1.1927589903502676E-7</v>
      </c>
      <c r="T109" s="9">
        <f t="shared" si="40"/>
        <v>1.1807246171203972E-7</v>
      </c>
      <c r="U109" s="9">
        <f t="shared" si="41"/>
        <v>3.988072410096497E-5</v>
      </c>
      <c r="V109" s="100">
        <f t="shared" si="46"/>
        <v>2.9606398673484163E-3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1.9780660616097288</v>
      </c>
      <c r="K110" s="55">
        <f t="shared" si="35"/>
        <v>0.11770238260738732</v>
      </c>
      <c r="L110" s="55">
        <f t="shared" si="36"/>
        <v>1.5748342220415076E-3</v>
      </c>
      <c r="M110" s="55">
        <f t="shared" si="42"/>
        <v>0.99842516577795848</v>
      </c>
      <c r="N110" s="55">
        <f t="shared" si="37"/>
        <v>2.0803613968305003E-5</v>
      </c>
      <c r="O110" s="56">
        <f t="shared" si="43"/>
        <v>1.1833181976734721E-7</v>
      </c>
      <c r="P110" s="56">
        <f t="shared" si="38"/>
        <v>1.1250390705947093E-5</v>
      </c>
      <c r="Q110" s="56">
        <f t="shared" si="39"/>
        <v>2.9723609248943662E-6</v>
      </c>
      <c r="R110" s="9">
        <f t="shared" si="44"/>
        <v>3.9999999999999996E-5</v>
      </c>
      <c r="S110" s="9">
        <f t="shared" si="45"/>
        <v>6.2993368881660301E-8</v>
      </c>
      <c r="T110" s="9">
        <f t="shared" si="40"/>
        <v>4.7080953042954923E-6</v>
      </c>
      <c r="U110" s="9">
        <f t="shared" si="41"/>
        <v>3.9937006631118337E-5</v>
      </c>
      <c r="V110" s="100">
        <f t="shared" si="46"/>
        <v>0.11788803672198639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2.3495507007911449</v>
      </c>
      <c r="K111" s="55">
        <f t="shared" si="35"/>
        <v>0.17420100491521889</v>
      </c>
      <c r="L111" s="55">
        <f t="shared" si="36"/>
        <v>5.4825788283230092E-3</v>
      </c>
      <c r="M111" s="55">
        <f t="shared" si="42"/>
        <v>0.99451742117167696</v>
      </c>
      <c r="N111" s="55">
        <f t="shared" si="37"/>
        <v>4.4477421381367869E-3</v>
      </c>
      <c r="O111" s="56">
        <f t="shared" si="43"/>
        <v>1.7513257981937138E-7</v>
      </c>
      <c r="P111" s="56">
        <f t="shared" si="38"/>
        <v>3.9166759923992674E-5</v>
      </c>
      <c r="Q111" s="56">
        <f t="shared" si="39"/>
        <v>6.3548068886230358E-4</v>
      </c>
      <c r="R111" s="9">
        <f t="shared" si="44"/>
        <v>3.9999999999999996E-5</v>
      </c>
      <c r="S111" s="9">
        <f t="shared" si="45"/>
        <v>2.1930315313292034E-7</v>
      </c>
      <c r="T111" s="9">
        <f t="shared" si="40"/>
        <v>6.9680401966087555E-6</v>
      </c>
      <c r="U111" s="9">
        <f t="shared" si="41"/>
        <v>3.9780696846867077E-5</v>
      </c>
      <c r="V111" s="100">
        <f t="shared" si="46"/>
        <v>0.17516134077368536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5.4568603611336437</v>
      </c>
      <c r="K112" s="55">
        <f t="shared" si="35"/>
        <v>2.9630077951532728E-4</v>
      </c>
      <c r="L112" s="55">
        <f t="shared" si="36"/>
        <v>1.1939240018276179E-2</v>
      </c>
      <c r="M112" s="55">
        <f t="shared" si="42"/>
        <v>0.98806075998172382</v>
      </c>
      <c r="N112" s="55">
        <f t="shared" si="37"/>
        <v>1.1282447628020527E-2</v>
      </c>
      <c r="O112" s="56">
        <f t="shared" si="43"/>
        <v>2.9788530751739956E-10</v>
      </c>
      <c r="P112" s="56">
        <f t="shared" si="38"/>
        <v>8.5292225084848163E-5</v>
      </c>
      <c r="Q112" s="56">
        <f t="shared" si="39"/>
        <v>1.6120038815269212E-3</v>
      </c>
      <c r="R112" s="9">
        <f t="shared" si="44"/>
        <v>3.9999999999999996E-5</v>
      </c>
      <c r="S112" s="9">
        <f t="shared" si="45"/>
        <v>4.7756960073104718E-7</v>
      </c>
      <c r="T112" s="9">
        <f t="shared" si="40"/>
        <v>1.1852031180613091E-8</v>
      </c>
      <c r="U112" s="9">
        <f t="shared" si="41"/>
        <v>3.9522430399268951E-5</v>
      </c>
      <c r="V112" s="100">
        <f t="shared" si="46"/>
        <v>2.9988113233118171E-4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5.8376711731613922</v>
      </c>
      <c r="K113" s="55">
        <f t="shared" si="35"/>
        <v>1.33488988818433E-4</v>
      </c>
      <c r="L113" s="55">
        <f t="shared" si="36"/>
        <v>1.292707130388303E-2</v>
      </c>
      <c r="M113" s="55">
        <f t="shared" si="42"/>
        <v>0.98707292869611696</v>
      </c>
      <c r="N113" s="55">
        <f t="shared" si="37"/>
        <v>1.2375591784597881E-2</v>
      </c>
      <c r="O113" s="56">
        <f t="shared" si="43"/>
        <v>1.3420284802966123E-10</v>
      </c>
      <c r="P113" s="56">
        <f t="shared" si="38"/>
        <v>9.2349150670468458E-5</v>
      </c>
      <c r="Q113" s="56">
        <f t="shared" si="39"/>
        <v>1.7681891953496747E-3</v>
      </c>
      <c r="R113" s="9">
        <f t="shared" si="44"/>
        <v>3.9999999999999996E-5</v>
      </c>
      <c r="S113" s="9">
        <f t="shared" si="45"/>
        <v>5.1708285215532111E-7</v>
      </c>
      <c r="T113" s="9">
        <f t="shared" si="40"/>
        <v>5.3395595527373197E-9</v>
      </c>
      <c r="U113" s="9">
        <f t="shared" si="41"/>
        <v>3.9482917147844675E-5</v>
      </c>
      <c r="V113" s="100">
        <f t="shared" si="46"/>
        <v>1.352372098734047E-4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6.2686756056738835</v>
      </c>
      <c r="K114" s="55">
        <f t="shared" si="35"/>
        <v>5.2973641752433383E-5</v>
      </c>
      <c r="L114" s="55">
        <f t="shared" si="36"/>
        <v>1.383945423096828E-2</v>
      </c>
      <c r="M114" s="55">
        <f t="shared" si="42"/>
        <v>0.98616054576903167</v>
      </c>
      <c r="N114" s="55">
        <f t="shared" si="37"/>
        <v>1.3385369441835429E-2</v>
      </c>
      <c r="O114" s="56">
        <f t="shared" si="43"/>
        <v>5.3256928954261801E-11</v>
      </c>
      <c r="P114" s="56">
        <f t="shared" si="38"/>
        <v>9.886708396114728E-5</v>
      </c>
      <c r="Q114" s="56">
        <f t="shared" si="39"/>
        <v>1.9124633419367548E-3</v>
      </c>
      <c r="R114" s="9">
        <f t="shared" si="44"/>
        <v>3.9999999999999996E-5</v>
      </c>
      <c r="S114" s="9">
        <f t="shared" si="45"/>
        <v>5.5357816923873114E-7</v>
      </c>
      <c r="T114" s="9">
        <f t="shared" si="40"/>
        <v>2.1189456700973351E-9</v>
      </c>
      <c r="U114" s="9">
        <f t="shared" si="41"/>
        <v>3.9446421830761261E-5</v>
      </c>
      <c r="V114" s="100">
        <f t="shared" si="46"/>
        <v>5.3717056497249405E-5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4.8544220902765449</v>
      </c>
      <c r="K115" s="55">
        <f t="shared" si="35"/>
        <v>1.3280998257602331E-3</v>
      </c>
      <c r="L115" s="55">
        <f t="shared" si="36"/>
        <v>1.3367073555703747E-2</v>
      </c>
      <c r="M115" s="55">
        <f t="shared" si="42"/>
        <v>0.98663292644429623</v>
      </c>
      <c r="N115" s="55">
        <f t="shared" si="37"/>
        <v>1.2864777642239575E-2</v>
      </c>
      <c r="O115" s="56">
        <f t="shared" si="43"/>
        <v>1.3352021066482776E-9</v>
      </c>
      <c r="P115" s="56">
        <f t="shared" si="38"/>
        <v>9.5492463900011002E-5</v>
      </c>
      <c r="Q115" s="56">
        <f t="shared" si="39"/>
        <v>1.8380826730156408E-3</v>
      </c>
      <c r="R115" s="9">
        <f t="shared" si="44"/>
        <v>3.9999999999999996E-5</v>
      </c>
      <c r="S115" s="9">
        <f t="shared" si="45"/>
        <v>5.3468294222814981E-7</v>
      </c>
      <c r="T115" s="9">
        <f t="shared" si="40"/>
        <v>5.3123993030409317E-8</v>
      </c>
      <c r="U115" s="9">
        <f t="shared" si="41"/>
        <v>3.9465317057771844E-5</v>
      </c>
      <c r="V115" s="100">
        <f t="shared" si="46"/>
        <v>1.346093151934977E-3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-2.3915236456629588E-2</v>
      </c>
      <c r="K116" s="55">
        <f t="shared" si="35"/>
        <v>0.99615616145122887</v>
      </c>
      <c r="L116" s="55">
        <f t="shared" si="36"/>
        <v>1.3267702258798524E-4</v>
      </c>
      <c r="M116" s="55">
        <f t="shared" si="42"/>
        <v>0.99986732297741199</v>
      </c>
      <c r="N116" s="55">
        <f t="shared" si="37"/>
        <v>1.5636876396203467E-6</v>
      </c>
      <c r="O116" s="56">
        <f t="shared" si="43"/>
        <v>1.0014833068432802E-6</v>
      </c>
      <c r="P116" s="56">
        <f t="shared" si="38"/>
        <v>9.478256955081972E-7</v>
      </c>
      <c r="Q116" s="56">
        <f t="shared" si="39"/>
        <v>2.2341522226998474E-7</v>
      </c>
      <c r="R116" s="9">
        <f t="shared" si="44"/>
        <v>3.9999999999999996E-5</v>
      </c>
      <c r="S116" s="9">
        <f t="shared" si="45"/>
        <v>5.3070809035194088E-9</v>
      </c>
      <c r="T116" s="9">
        <f t="shared" si="40"/>
        <v>3.984624645804915E-5</v>
      </c>
      <c r="U116" s="9">
        <f t="shared" si="41"/>
        <v>3.9994692919096474E-5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1.0376508814998808</v>
      </c>
      <c r="K117" s="55">
        <f t="shared" si="35"/>
        <v>0.72985942096108714</v>
      </c>
      <c r="L117" s="55">
        <f t="shared" si="36"/>
        <v>1.1201434084867606E-3</v>
      </c>
      <c r="M117" s="55">
        <f t="shared" si="42"/>
        <v>0.99887985659151324</v>
      </c>
      <c r="N117" s="55">
        <f t="shared" si="37"/>
        <v>6.1651230687090829E-4</v>
      </c>
      <c r="O117" s="56">
        <f t="shared" si="43"/>
        <v>7.3376249098331521E-7</v>
      </c>
      <c r="P117" s="56">
        <f t="shared" si="38"/>
        <v>8.0021444897424929E-6</v>
      </c>
      <c r="Q117" s="56">
        <f t="shared" si="39"/>
        <v>8.8085516941981444E-5</v>
      </c>
      <c r="R117" s="9">
        <f t="shared" si="44"/>
        <v>3.9999999999999996E-5</v>
      </c>
      <c r="S117" s="9">
        <f t="shared" si="45"/>
        <v>4.4805736339470416E-8</v>
      </c>
      <c r="T117" s="9">
        <f t="shared" si="40"/>
        <v>2.9194376838443481E-5</v>
      </c>
      <c r="U117" s="9">
        <f t="shared" si="41"/>
        <v>3.9955194263660523E-5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2.3631678945687002</v>
      </c>
      <c r="K118" s="55">
        <f t="shared" si="35"/>
        <v>0.17044029376114062</v>
      </c>
      <c r="L118" s="55">
        <f t="shared" si="36"/>
        <v>5.5350773778913859E-3</v>
      </c>
      <c r="M118" s="55">
        <f t="shared" si="42"/>
        <v>0.99446492262210862</v>
      </c>
      <c r="N118" s="55">
        <f t="shared" si="37"/>
        <v>4.4991014773934478E-3</v>
      </c>
      <c r="O118" s="56">
        <f t="shared" si="43"/>
        <v>1.7135175750614904E-7</v>
      </c>
      <c r="P118" s="56">
        <f t="shared" si="38"/>
        <v>3.9541802062316363E-5</v>
      </c>
      <c r="Q118" s="56">
        <f t="shared" si="39"/>
        <v>6.4281876451432606E-4</v>
      </c>
      <c r="R118" s="9">
        <f t="shared" si="44"/>
        <v>3.9999999999999996E-5</v>
      </c>
      <c r="S118" s="9">
        <f t="shared" si="45"/>
        <v>2.2140309511565543E-7</v>
      </c>
      <c r="T118" s="9">
        <f t="shared" si="40"/>
        <v>6.8176117504456243E-6</v>
      </c>
      <c r="U118" s="9">
        <f t="shared" si="41"/>
        <v>3.9778596904884343E-5</v>
      </c>
      <c r="V118" s="100">
        <f t="shared" si="46"/>
        <v>0.17138894483250369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-4.7308877203311103E-2</v>
      </c>
      <c r="K119" s="55">
        <f t="shared" si="35"/>
        <v>0.99937543793357464</v>
      </c>
      <c r="L119" s="55">
        <f t="shared" si="36"/>
        <v>1.2612562230804861E-4</v>
      </c>
      <c r="M119" s="55">
        <f t="shared" si="42"/>
        <v>0.99987387437769193</v>
      </c>
      <c r="N119" s="55">
        <f t="shared" si="37"/>
        <v>9.1486682374186547E-8</v>
      </c>
      <c r="O119" s="56">
        <f t="shared" si="43"/>
        <v>1.0047197990539848E-6</v>
      </c>
      <c r="P119" s="56">
        <f t="shared" si="38"/>
        <v>9.0102342782265491E-7</v>
      </c>
      <c r="Q119" s="56">
        <f t="shared" si="39"/>
        <v>1.3071355787102702E-8</v>
      </c>
      <c r="R119" s="9">
        <f t="shared" si="44"/>
        <v>3.9999999999999996E-5</v>
      </c>
      <c r="S119" s="9">
        <f t="shared" si="45"/>
        <v>5.0450248923219445E-9</v>
      </c>
      <c r="T119" s="9">
        <f t="shared" si="40"/>
        <v>3.997501751734298E-5</v>
      </c>
      <c r="U119" s="9">
        <f t="shared" si="41"/>
        <v>3.9994954975107676E-5</v>
      </c>
      <c r="V119" s="100">
        <f t="shared" si="46"/>
        <v>0.999501500682346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-5.0609991659574693E-2</v>
      </c>
      <c r="K120" s="55">
        <f t="shared" si="35"/>
        <v>0.99987476661679486</v>
      </c>
      <c r="L120" s="55">
        <f t="shared" si="36"/>
        <v>1.2523310388496192E-4</v>
      </c>
      <c r="M120" s="55">
        <f t="shared" si="42"/>
        <v>0.99987476689611499</v>
      </c>
      <c r="N120" s="55">
        <f t="shared" si="37"/>
        <v>1.1869956861286222E-16</v>
      </c>
      <c r="O120" s="56">
        <f t="shared" si="43"/>
        <v>1.0052217979977497E-6</v>
      </c>
      <c r="P120" s="56">
        <f t="shared" si="38"/>
        <v>8.9464740371075602E-7</v>
      </c>
      <c r="Q120" s="56">
        <f t="shared" si="39"/>
        <v>1.6959455221781142E-17</v>
      </c>
      <c r="R120" s="9">
        <f t="shared" si="44"/>
        <v>3.9999999999999996E-5</v>
      </c>
      <c r="S120" s="9">
        <f t="shared" si="45"/>
        <v>5.0093241553984763E-9</v>
      </c>
      <c r="T120" s="9">
        <f t="shared" si="40"/>
        <v>3.9994990664671794E-5</v>
      </c>
      <c r="U120" s="9">
        <f t="shared" si="41"/>
        <v>3.9994990675844599E-5</v>
      </c>
      <c r="V120" s="100">
        <f t="shared" si="46"/>
        <v>0.99999999972064491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0.22547827329253009</v>
      </c>
      <c r="K121" s="55">
        <f t="shared" si="35"/>
        <v>0.96076967590258311</v>
      </c>
      <c r="L121" s="55">
        <f t="shared" si="36"/>
        <v>2.2723806812606257E-4</v>
      </c>
      <c r="M121" s="55">
        <f t="shared" si="42"/>
        <v>0.99977276193187392</v>
      </c>
      <c r="N121" s="55">
        <f t="shared" si="37"/>
        <v>4.2704341904662232E-5</v>
      </c>
      <c r="O121" s="56">
        <f t="shared" si="43"/>
        <v>9.6590758494723623E-7</v>
      </c>
      <c r="P121" s="56">
        <f t="shared" si="38"/>
        <v>1.62335629611143E-6</v>
      </c>
      <c r="Q121" s="56">
        <f t="shared" si="39"/>
        <v>6.1014743589326971E-6</v>
      </c>
      <c r="R121" s="9">
        <f t="shared" si="44"/>
        <v>3.9999999999999996E-5</v>
      </c>
      <c r="S121" s="9">
        <f t="shared" si="45"/>
        <v>9.0895227250425017E-9</v>
      </c>
      <c r="T121" s="9">
        <f t="shared" si="40"/>
        <v>3.8430787036103318E-5</v>
      </c>
      <c r="U121" s="9">
        <f t="shared" si="41"/>
        <v>3.9990910477274955E-5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5.5157795819294879</v>
      </c>
      <c r="K122" s="55">
        <f t="shared" si="35"/>
        <v>3.1966488333658156E-4</v>
      </c>
      <c r="L122" s="55">
        <f t="shared" si="36"/>
        <v>1.4752242386702049E-2</v>
      </c>
      <c r="M122" s="55">
        <f t="shared" si="42"/>
        <v>0.98524775761329797</v>
      </c>
      <c r="N122" s="55">
        <f t="shared" si="37"/>
        <v>1.4396218990922841E-2</v>
      </c>
      <c r="O122" s="56">
        <f t="shared" si="43"/>
        <v>3.2137435558216425E-10</v>
      </c>
      <c r="P122" s="56">
        <f t="shared" si="38"/>
        <v>1.0538791214740147E-4</v>
      </c>
      <c r="Q122" s="56">
        <f t="shared" si="39"/>
        <v>2.0568906373687953E-3</v>
      </c>
      <c r="R122" s="9">
        <f t="shared" si="44"/>
        <v>3.9999999999999996E-5</v>
      </c>
      <c r="S122" s="9">
        <f t="shared" si="45"/>
        <v>5.9008969546808191E-7</v>
      </c>
      <c r="T122" s="9">
        <f t="shared" si="40"/>
        <v>1.2786595333463261E-8</v>
      </c>
      <c r="U122" s="9">
        <f t="shared" si="41"/>
        <v>3.9409910304531917E-5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0.9134404490197624</v>
      </c>
      <c r="K123" s="55">
        <f t="shared" ref="K123:K127" si="49">IF(D123=0,"",1/(1+10^D123*$J$15/$J$14+10^E123*$J$16/$J$14+10^J123*$J$19/$J$14))</f>
        <v>0.80071125611030314</v>
      </c>
      <c r="L123" s="55">
        <f t="shared" ref="L123:L127" si="50">IF(D123=0,"",1/(1+10^I123/10^J123*$J$13/$J$19))</f>
        <v>9.2320874704055898E-4</v>
      </c>
      <c r="M123" s="55">
        <f t="shared" si="42"/>
        <v>0.99907679125295945</v>
      </c>
      <c r="N123" s="55">
        <f t="shared" ref="N123:N127" si="51">IF(D123=0,"",1/(1/10^E123*$J$20/$J$22+10^D123/10^E123*$J$21/$J$22+10^I123/10^E123*$J$13/$J$22+1))</f>
        <v>5.2572480176148325E-4</v>
      </c>
      <c r="O123" s="56">
        <f t="shared" si="43"/>
        <v>8.0499322056870458E-7</v>
      </c>
      <c r="P123" s="56">
        <f t="shared" ref="P123:P127" si="52">IF(D123=0,"",O123*10^J123)</f>
        <v>6.5952714018938926E-6</v>
      </c>
      <c r="Q123" s="56">
        <f t="shared" ref="Q123:Q127" si="53">IF(D123=0,"",F123*N123*$J$7/$J$22)</f>
        <v>7.5114057604818538E-5</v>
      </c>
      <c r="R123" s="9">
        <f t="shared" si="44"/>
        <v>3.9999999999999996E-5</v>
      </c>
      <c r="S123" s="9">
        <f t="shared" si="45"/>
        <v>3.6928349881622358E-8</v>
      </c>
      <c r="T123" s="9">
        <f t="shared" si="40"/>
        <v>3.2028450244412126E-5</v>
      </c>
      <c r="U123" s="9">
        <f t="shared" si="41"/>
        <v>3.9963071650118378E-5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0.97331271643662465</v>
      </c>
      <c r="K124" s="55">
        <f t="shared" si="49"/>
        <v>0.67027748940738519</v>
      </c>
      <c r="L124" s="55">
        <f t="shared" si="50"/>
        <v>8.8705567488331458E-4</v>
      </c>
      <c r="M124" s="55">
        <f t="shared" si="42"/>
        <v>0.99911294432511666</v>
      </c>
      <c r="N124" s="55">
        <f t="shared" si="51"/>
        <v>2.5153832609831419E-4</v>
      </c>
      <c r="O124" s="56">
        <f t="shared" si="43"/>
        <v>6.7386193306920068E-7</v>
      </c>
      <c r="P124" s="56">
        <f t="shared" si="52"/>
        <v>6.3369990191271333E-6</v>
      </c>
      <c r="Q124" s="56">
        <f t="shared" si="53"/>
        <v>3.5939077351995417E-5</v>
      </c>
      <c r="R124" s="9">
        <f t="shared" si="44"/>
        <v>3.9999999999999996E-5</v>
      </c>
      <c r="S124" s="9">
        <f t="shared" si="45"/>
        <v>3.548222699533258E-8</v>
      </c>
      <c r="T124" s="9">
        <f t="shared" si="40"/>
        <v>2.6811099576295405E-5</v>
      </c>
      <c r="U124" s="9">
        <f t="shared" si="41"/>
        <v>3.9964517773004659E-5</v>
      </c>
      <c r="V124" s="100">
        <f t="shared" si="46"/>
        <v>0.67087259074613026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7.3650487553540506E-2</v>
      </c>
      <c r="K125" s="55">
        <f t="shared" si="49"/>
        <v>0.98144759799823533</v>
      </c>
      <c r="L125" s="55">
        <f t="shared" si="50"/>
        <v>1.6364439388948061E-4</v>
      </c>
      <c r="M125" s="55">
        <f t="shared" si="42"/>
        <v>0.99983635560611051</v>
      </c>
      <c r="N125" s="55">
        <f t="shared" si="51"/>
        <v>9.4352985953281238E-6</v>
      </c>
      <c r="O125" s="56">
        <f t="shared" si="43"/>
        <v>9.8669608638945241E-7</v>
      </c>
      <c r="P125" s="56">
        <f t="shared" si="52"/>
        <v>1.1690521721758937E-6</v>
      </c>
      <c r="Q125" s="56">
        <f t="shared" si="53"/>
        <v>1.3480885053044954E-6</v>
      </c>
      <c r="R125" s="9">
        <f t="shared" si="44"/>
        <v>3.9999999999999996E-5</v>
      </c>
      <c r="S125" s="9">
        <f t="shared" si="45"/>
        <v>6.545775755579224E-9</v>
      </c>
      <c r="T125" s="9">
        <f t="shared" si="40"/>
        <v>3.9257903919929413E-5</v>
      </c>
      <c r="U125" s="9">
        <f t="shared" si="41"/>
        <v>3.9993454224244414E-5</v>
      </c>
      <c r="V125" s="100">
        <f t="shared" si="46"/>
        <v>0.98160823268250963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4.4066096160793249</v>
      </c>
      <c r="K126" s="55">
        <f t="shared" si="49"/>
        <v>3.4102713956955461E-3</v>
      </c>
      <c r="L126" s="55">
        <f t="shared" si="50"/>
        <v>1.2240018839940492E-2</v>
      </c>
      <c r="M126" s="55">
        <f t="shared" si="42"/>
        <v>0.98775998116005947</v>
      </c>
      <c r="N126" s="55">
        <f t="shared" si="51"/>
        <v>1.1620972061316365E-2</v>
      </c>
      <c r="O126" s="56">
        <f t="shared" si="43"/>
        <v>3.4285085077611459E-9</v>
      </c>
      <c r="P126" s="56">
        <f t="shared" si="52"/>
        <v>8.7440946018414934E-5</v>
      </c>
      <c r="Q126" s="56">
        <f t="shared" si="53"/>
        <v>1.6603712853435642E-3</v>
      </c>
      <c r="R126" s="9">
        <f t="shared" si="44"/>
        <v>3.9999999999999996E-5</v>
      </c>
      <c r="S126" s="9">
        <f t="shared" si="45"/>
        <v>4.8960075359761967E-7</v>
      </c>
      <c r="T126" s="9">
        <f t="shared" si="40"/>
        <v>1.3641085582782184E-7</v>
      </c>
      <c r="U126" s="9">
        <f t="shared" si="41"/>
        <v>3.9510399246402377E-5</v>
      </c>
      <c r="V126" s="100">
        <f t="shared" si="46"/>
        <v>3.4525304332439196E-3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2.1831984223328189</v>
      </c>
      <c r="K127" s="55">
        <f t="shared" si="49"/>
        <v>0.22542559682447155</v>
      </c>
      <c r="L127" s="55">
        <f t="shared" si="50"/>
        <v>4.8371012528292835E-3</v>
      </c>
      <c r="M127" s="55">
        <f t="shared" si="42"/>
        <v>0.99516289874717068</v>
      </c>
      <c r="N127" s="55">
        <f t="shared" si="51"/>
        <v>3.8252228635519874E-3</v>
      </c>
      <c r="O127" s="56">
        <f t="shared" si="43"/>
        <v>2.2663110553469669E-7</v>
      </c>
      <c r="P127" s="56">
        <f t="shared" si="52"/>
        <v>3.4555560335747721E-5</v>
      </c>
      <c r="Q127" s="56">
        <f t="shared" si="53"/>
        <v>5.4653691353612633E-4</v>
      </c>
      <c r="R127" s="9">
        <f t="shared" si="44"/>
        <v>3.9999999999999996E-5</v>
      </c>
      <c r="S127" s="9">
        <f t="shared" si="45"/>
        <v>1.9348405011317131E-7</v>
      </c>
      <c r="T127" s="9">
        <f t="shared" si="40"/>
        <v>9.0170238729788605E-6</v>
      </c>
      <c r="U127" s="9">
        <f t="shared" si="41"/>
        <v>3.9806515949886823E-5</v>
      </c>
      <c r="V127" s="100">
        <f t="shared" si="46"/>
        <v>0.22652130330447817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3.1029128175372134</v>
      </c>
      <c r="K128" s="55">
        <f t="shared" ref="K128:K134" si="56">IF(D128=0,"",1/(1+10^D128*$J$15/$J$14+10^E128*$J$16/$J$14+10^J128*$J$19/$J$14))</f>
        <v>3.547865615969701E-2</v>
      </c>
      <c r="L128" s="55">
        <f t="shared" ref="L128:L134" si="57">IF(D128=0,"",1/(1+10^I128/10^J128*$J$13/$J$19))</f>
        <v>6.3279568187702773E-3</v>
      </c>
      <c r="M128" s="55">
        <f t="shared" ref="M128:M134" si="58">IF(D128=0,"",1-L128)</f>
        <v>0.9936720431812297</v>
      </c>
      <c r="N128" s="55">
        <f t="shared" ref="N128:N134" si="59">IF(D128=0,"",1/(1/10^E128*$J$20/$J$22+10^D128/10^E128*$J$21/$J$22+10^I128/10^E128*$J$13/$J$22+1))</f>
        <v>5.1344472185336811E-3</v>
      </c>
      <c r="O128" s="56">
        <f t="shared" ref="O128:O134" si="60">IF(D128=0,"",F128*K128*$J$7/$J$14)</f>
        <v>3.5668385407972664E-8</v>
      </c>
      <c r="P128" s="56">
        <f t="shared" ref="P128:P134" si="61">IF(D128=0,"",O128*10^J128)</f>
        <v>4.5206019519463622E-5</v>
      </c>
      <c r="Q128" s="56">
        <f t="shared" ref="Q128:Q134" si="62">IF(D128=0,"",F128*N128*$J$7/$J$22)</f>
        <v>7.3359514873489644E-4</v>
      </c>
      <c r="R128" s="9">
        <f t="shared" si="44"/>
        <v>3.9999999999999996E-5</v>
      </c>
      <c r="S128" s="9">
        <f t="shared" si="45"/>
        <v>2.5311827275081107E-7</v>
      </c>
      <c r="T128" s="9">
        <f t="shared" si="40"/>
        <v>1.4191462463878802E-6</v>
      </c>
      <c r="U128" s="9">
        <f t="shared" si="41"/>
        <v>3.9746881727249185E-5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-4.8884570023902327E-2</v>
      </c>
      <c r="K129" s="55">
        <f t="shared" si="56"/>
        <v>0.9996088694699613</v>
      </c>
      <c r="L129" s="55">
        <f t="shared" si="57"/>
        <v>1.2569820004777271E-4</v>
      </c>
      <c r="M129" s="55">
        <f t="shared" si="58"/>
        <v>0.99987430179995218</v>
      </c>
      <c r="N129" s="55">
        <f t="shared" si="59"/>
        <v>3.7451237360186965E-8</v>
      </c>
      <c r="O129" s="56">
        <f t="shared" si="60"/>
        <v>1.0049544789124537E-6</v>
      </c>
      <c r="P129" s="56">
        <f t="shared" si="61"/>
        <v>8.9796998425556697E-7</v>
      </c>
      <c r="Q129" s="56">
        <f t="shared" si="62"/>
        <v>5.3509257904881978E-9</v>
      </c>
      <c r="R129" s="9">
        <f t="shared" si="44"/>
        <v>3.9999999999999996E-5</v>
      </c>
      <c r="S129" s="9">
        <f t="shared" si="45"/>
        <v>5.0279280019109078E-9</v>
      </c>
      <c r="T129" s="9">
        <f t="shared" si="40"/>
        <v>3.998435477879845E-5</v>
      </c>
      <c r="U129" s="9">
        <f t="shared" si="41"/>
        <v>3.9994972071998081E-5</v>
      </c>
      <c r="V129" s="100">
        <f t="shared" si="46"/>
        <v>0.99973453430144865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1.4639587166510732</v>
      </c>
      <c r="K130" s="55">
        <f t="shared" si="56"/>
        <v>0.54103532666407539</v>
      </c>
      <c r="L130" s="55">
        <f t="shared" si="57"/>
        <v>2.2159903642545126E-3</v>
      </c>
      <c r="M130" s="55">
        <f t="shared" si="58"/>
        <v>0.99778400963574554</v>
      </c>
      <c r="N130" s="55">
        <f t="shared" si="59"/>
        <v>1.490515082576414E-3</v>
      </c>
      <c r="O130" s="56">
        <f t="shared" si="60"/>
        <v>5.439286218711006E-7</v>
      </c>
      <c r="P130" s="56">
        <f t="shared" si="61"/>
        <v>1.5830718592182204E-5</v>
      </c>
      <c r="Q130" s="56">
        <f t="shared" si="62"/>
        <v>2.1296053638399635E-4</v>
      </c>
      <c r="R130" s="9">
        <f t="shared" si="44"/>
        <v>3.9999999999999996E-5</v>
      </c>
      <c r="S130" s="9">
        <f t="shared" si="45"/>
        <v>8.8639614570180501E-8</v>
      </c>
      <c r="T130" s="9">
        <f t="shared" si="40"/>
        <v>2.1641413066563015E-5</v>
      </c>
      <c r="U130" s="9">
        <f t="shared" si="41"/>
        <v>3.9911360385429816E-5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6.9804088254700969E-2</v>
      </c>
      <c r="K131" s="55">
        <f t="shared" si="56"/>
        <v>0.98372636437187055</v>
      </c>
      <c r="L131" s="55">
        <f t="shared" si="57"/>
        <v>1.6257805627942638E-4</v>
      </c>
      <c r="M131" s="55">
        <f t="shared" si="58"/>
        <v>0.99983742194372061</v>
      </c>
      <c r="N131" s="55">
        <f t="shared" si="59"/>
        <v>1.2346044147707281E-5</v>
      </c>
      <c r="O131" s="56">
        <f t="shared" si="60"/>
        <v>9.8898703892451165E-7</v>
      </c>
      <c r="P131" s="56">
        <f t="shared" si="61"/>
        <v>1.161434408623611E-6</v>
      </c>
      <c r="Q131" s="56">
        <f t="shared" si="62"/>
        <v>1.7639675134125654E-6</v>
      </c>
      <c r="R131" s="9">
        <f t="shared" si="44"/>
        <v>3.9999999999999996E-5</v>
      </c>
      <c r="S131" s="9">
        <f t="shared" si="45"/>
        <v>6.5031222511770545E-9</v>
      </c>
      <c r="T131" s="9">
        <f t="shared" si="40"/>
        <v>3.9349054574874817E-5</v>
      </c>
      <c r="U131" s="9">
        <f t="shared" si="41"/>
        <v>3.999349687774882E-5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0.23910923501822964</v>
      </c>
      <c r="K132" s="55">
        <f t="shared" si="56"/>
        <v>0.9585511006294356</v>
      </c>
      <c r="L132" s="55">
        <f t="shared" si="57"/>
        <v>2.3394191093612906E-4</v>
      </c>
      <c r="M132" s="55">
        <f t="shared" si="58"/>
        <v>0.99976605808906382</v>
      </c>
      <c r="N132" s="55">
        <f t="shared" si="59"/>
        <v>4.6141846515308077E-5</v>
      </c>
      <c r="O132" s="56">
        <f t="shared" si="60"/>
        <v>9.6367714539667864E-7</v>
      </c>
      <c r="P132" s="56">
        <f t="shared" si="61"/>
        <v>1.6712475914547154E-6</v>
      </c>
      <c r="Q132" s="56">
        <f t="shared" si="62"/>
        <v>6.5926151962600305E-6</v>
      </c>
      <c r="R132" s="9">
        <f t="shared" si="44"/>
        <v>3.9999999999999996E-5</v>
      </c>
      <c r="S132" s="9">
        <f t="shared" si="45"/>
        <v>9.3576764374451623E-9</v>
      </c>
      <c r="T132" s="9">
        <f t="shared" si="40"/>
        <v>3.8342044025177418E-5</v>
      </c>
      <c r="U132" s="9">
        <f t="shared" si="41"/>
        <v>3.9990642323562552E-5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2.4261279148275903</v>
      </c>
      <c r="K133" s="55">
        <f t="shared" si="56"/>
        <v>0.15387899947028577</v>
      </c>
      <c r="L133" s="55">
        <f t="shared" si="57"/>
        <v>5.7768460842045821E-3</v>
      </c>
      <c r="M133" s="55">
        <f t="shared" si="58"/>
        <v>0.99422315391579541</v>
      </c>
      <c r="N133" s="55">
        <f t="shared" si="59"/>
        <v>4.7369841498684836E-3</v>
      </c>
      <c r="O133" s="56">
        <f t="shared" si="60"/>
        <v>1.5470189836373575E-7</v>
      </c>
      <c r="P133" s="56">
        <f t="shared" si="61"/>
        <v>4.1268963161831228E-5</v>
      </c>
      <c r="Q133" s="56">
        <f t="shared" si="62"/>
        <v>6.7680676109278066E-4</v>
      </c>
      <c r="R133" s="9">
        <f t="shared" si="44"/>
        <v>3.9999999999999996E-5</v>
      </c>
      <c r="S133" s="9">
        <f t="shared" si="45"/>
        <v>2.3107384336818326E-7</v>
      </c>
      <c r="T133" s="9">
        <f t="shared" si="40"/>
        <v>6.1551599788114307E-6</v>
      </c>
      <c r="U133" s="9">
        <f t="shared" si="41"/>
        <v>3.976892615663181E-5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-5.0078092325288211E-2</v>
      </c>
      <c r="K134" s="55">
        <f t="shared" si="56"/>
        <v>0.99979071187373725</v>
      </c>
      <c r="L134" s="55">
        <f t="shared" si="57"/>
        <v>1.2537603561866417E-4</v>
      </c>
      <c r="M134" s="55">
        <f t="shared" si="58"/>
        <v>0.99987462396438131</v>
      </c>
      <c r="N134" s="55">
        <f t="shared" si="59"/>
        <v>7.3080870138032742E-9</v>
      </c>
      <c r="O134" s="56">
        <f t="shared" si="60"/>
        <v>1.0051372937550507E-6</v>
      </c>
      <c r="P134" s="56">
        <f t="shared" si="61"/>
        <v>8.956684875975055E-7</v>
      </c>
      <c r="Q134" s="56">
        <f t="shared" si="62"/>
        <v>1.0441585922836006E-9</v>
      </c>
      <c r="R134" s="9">
        <f t="shared" si="44"/>
        <v>3.9999999999999996E-5</v>
      </c>
      <c r="S134" s="9">
        <f t="shared" si="45"/>
        <v>5.0150414247465669E-9</v>
      </c>
      <c r="T134" s="9">
        <f t="shared" si="40"/>
        <v>3.9991628474949488E-5</v>
      </c>
      <c r="U134" s="9">
        <f t="shared" si="41"/>
        <v>3.9994984958575249E-5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0.38035362640036091</v>
      </c>
      <c r="K135" s="55">
        <f t="shared" ref="K135:K143" si="65">IF(D135=0,"",1/(1+10^D135*$J$15/$J$14+10^E135*$J$16/$J$14+10^J135*$J$19/$J$14))</f>
        <v>0.93311535511761812</v>
      </c>
      <c r="L135" s="55">
        <f t="shared" ref="L135:L143" si="66">IF(D135=0,"",1/(1+10^I135/10^J135*$J$13/$J$19))</f>
        <v>3.1526262722578744E-4</v>
      </c>
      <c r="M135" s="55">
        <f t="shared" ref="M135:M143" si="67">IF(D135=0,"",1-L135)</f>
        <v>0.99968473737277419</v>
      </c>
      <c r="N135" s="55">
        <f t="shared" ref="N135:N143" si="68">IF(D135=0,"",1/(1/10^E135*$J$20/$J$22+10^D135/10^E135*$J$21/$J$22+10^I135/10^E135*$J$13/$J$22+1))</f>
        <v>9.0491315259144445E-5</v>
      </c>
      <c r="O135" s="56">
        <f t="shared" ref="O135:O143" si="69">IF(D135=0,"",F135*K135*$J$7/$J$14)</f>
        <v>9.3810537712082045E-7</v>
      </c>
      <c r="P135" s="56">
        <f t="shared" ref="P135:P143" si="70">IF(D135=0,"",O135*10^J135)</f>
        <v>2.2521911713828513E-6</v>
      </c>
      <c r="Q135" s="56">
        <f t="shared" ref="Q135:Q143" si="71">IF(D135=0,"",F135*N135*$J$7/$J$22)</f>
        <v>1.2929140577611532E-5</v>
      </c>
      <c r="R135" s="9">
        <f t="shared" si="44"/>
        <v>3.9999999999999996E-5</v>
      </c>
      <c r="S135" s="9">
        <f t="shared" si="45"/>
        <v>1.2610505089031496E-8</v>
      </c>
      <c r="T135" s="9">
        <f t="shared" si="40"/>
        <v>3.7324614204704719E-5</v>
      </c>
      <c r="U135" s="9">
        <f t="shared" si="41"/>
        <v>3.9987389494910962E-5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-2.6530951628927751E-2</v>
      </c>
      <c r="K136" s="55">
        <f t="shared" si="65"/>
        <v>0.99650565582600092</v>
      </c>
      <c r="L136" s="55">
        <f t="shared" si="66"/>
        <v>1.3192659216635608E-4</v>
      </c>
      <c r="M136" s="55">
        <f t="shared" si="67"/>
        <v>0.99986807340783368</v>
      </c>
      <c r="N136" s="55">
        <f t="shared" si="68"/>
        <v>1.3604807157281002E-6</v>
      </c>
      <c r="O136" s="56">
        <f t="shared" si="69"/>
        <v>1.0018346702095018E-6</v>
      </c>
      <c r="P136" s="56">
        <f t="shared" si="70"/>
        <v>9.4246472778042411E-7</v>
      </c>
      <c r="Q136" s="56">
        <f t="shared" si="71"/>
        <v>1.9438159757547172E-7</v>
      </c>
      <c r="R136" s="9">
        <f t="shared" si="44"/>
        <v>3.9999999999999996E-5</v>
      </c>
      <c r="S136" s="9">
        <f t="shared" si="45"/>
        <v>5.2770636866542427E-9</v>
      </c>
      <c r="T136" s="9">
        <f t="shared" si="40"/>
        <v>3.9860226233040034E-5</v>
      </c>
      <c r="U136" s="9">
        <f t="shared" si="41"/>
        <v>3.9994722936313342E-5</v>
      </c>
      <c r="V136" s="100">
        <f t="shared" si="46"/>
        <v>0.99663713876734494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-5.0553856533599194E-2</v>
      </c>
      <c r="K137" s="55">
        <f t="shared" si="65"/>
        <v>0.99986566198776328</v>
      </c>
      <c r="L137" s="55">
        <f t="shared" si="66"/>
        <v>1.2524815155806564E-4</v>
      </c>
      <c r="M137" s="55">
        <f t="shared" si="67"/>
        <v>0.99987475184844199</v>
      </c>
      <c r="N137" s="55">
        <f t="shared" si="68"/>
        <v>3.1077302957677677E-10</v>
      </c>
      <c r="O137" s="56">
        <f t="shared" si="69"/>
        <v>1.0052126446798833E-6</v>
      </c>
      <c r="P137" s="56">
        <f t="shared" si="70"/>
        <v>8.947549021377413E-7</v>
      </c>
      <c r="Q137" s="56">
        <f t="shared" si="71"/>
        <v>4.4402362542988208E-11</v>
      </c>
      <c r="R137" s="9">
        <f t="shared" si="44"/>
        <v>3.9999999999999996E-5</v>
      </c>
      <c r="S137" s="9">
        <f t="shared" si="45"/>
        <v>5.0099260623226248E-9</v>
      </c>
      <c r="T137" s="9">
        <f t="shared" si="40"/>
        <v>3.9994626479510524E-5</v>
      </c>
      <c r="U137" s="9">
        <f t="shared" si="41"/>
        <v>3.9994990073937674E-5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-2.9301207680156056E-2</v>
      </c>
      <c r="K138" s="55">
        <f t="shared" si="65"/>
        <v>0.99687744905818354</v>
      </c>
      <c r="L138" s="55">
        <f t="shared" si="66"/>
        <v>1.3113665206445889E-4</v>
      </c>
      <c r="M138" s="55">
        <f t="shared" si="67"/>
        <v>0.99986886334793557</v>
      </c>
      <c r="N138" s="55">
        <f t="shared" si="68"/>
        <v>1.1535735414262891E-6</v>
      </c>
      <c r="O138" s="56">
        <f t="shared" si="69"/>
        <v>1.002208451680758E-6</v>
      </c>
      <c r="P138" s="56">
        <f t="shared" si="70"/>
        <v>9.3682150854105665E-7</v>
      </c>
      <c r="Q138" s="56">
        <f t="shared" si="71"/>
        <v>1.6481929167458409E-7</v>
      </c>
      <c r="R138" s="9">
        <f t="shared" si="44"/>
        <v>3.9999999999999996E-5</v>
      </c>
      <c r="S138" s="9">
        <f t="shared" si="45"/>
        <v>5.2454660825783551E-9</v>
      </c>
      <c r="T138" s="9">
        <f t="shared" si="40"/>
        <v>3.9875097962327337E-5</v>
      </c>
      <c r="U138" s="9">
        <f t="shared" si="41"/>
        <v>3.9994754533917419E-5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0.263940988382738</v>
      </c>
      <c r="K139" s="55">
        <f t="shared" si="65"/>
        <v>0.94841889545673919</v>
      </c>
      <c r="L139" s="55">
        <f t="shared" si="66"/>
        <v>2.45089504696458E-4</v>
      </c>
      <c r="M139" s="55">
        <f t="shared" si="67"/>
        <v>0.99975491049530352</v>
      </c>
      <c r="N139" s="55">
        <f t="shared" si="68"/>
        <v>4.0290785103363156E-5</v>
      </c>
      <c r="O139" s="56">
        <f t="shared" si="69"/>
        <v>9.5349075621931916E-7</v>
      </c>
      <c r="P139" s="56">
        <f t="shared" si="70"/>
        <v>1.7508844087651107E-6</v>
      </c>
      <c r="Q139" s="56">
        <f t="shared" si="71"/>
        <v>5.7566322590396601E-6</v>
      </c>
      <c r="R139" s="9">
        <f t="shared" si="44"/>
        <v>3.9999999999999996E-5</v>
      </c>
      <c r="S139" s="9">
        <f t="shared" si="45"/>
        <v>9.8035801878583185E-9</v>
      </c>
      <c r="T139" s="9">
        <f t="shared" si="40"/>
        <v>3.7936755818269561E-5</v>
      </c>
      <c r="U139" s="9">
        <f t="shared" si="41"/>
        <v>3.9990196419812139E-5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-5.0177410945668542E-2</v>
      </c>
      <c r="K140" s="55">
        <f t="shared" si="65"/>
        <v>0.99980617234281188</v>
      </c>
      <c r="L140" s="55">
        <f t="shared" si="66"/>
        <v>1.2534930503941817E-4</v>
      </c>
      <c r="M140" s="55">
        <f t="shared" si="67"/>
        <v>0.99987465069496062</v>
      </c>
      <c r="N140" s="55">
        <f t="shared" si="68"/>
        <v>5.4761070096384672E-9</v>
      </c>
      <c r="O140" s="56">
        <f t="shared" si="69"/>
        <v>1.0051528369020928E-6</v>
      </c>
      <c r="P140" s="56">
        <f t="shared" si="70"/>
        <v>8.9547752815802633E-7</v>
      </c>
      <c r="Q140" s="56">
        <f t="shared" si="71"/>
        <v>7.8241052351711657E-10</v>
      </c>
      <c r="R140" s="9">
        <f t="shared" si="44"/>
        <v>3.9999999999999996E-5</v>
      </c>
      <c r="S140" s="9">
        <f t="shared" si="45"/>
        <v>5.0139722015767267E-9</v>
      </c>
      <c r="T140" s="9">
        <f t="shared" si="40"/>
        <v>3.9992246893712471E-5</v>
      </c>
      <c r="U140" s="9">
        <f t="shared" si="41"/>
        <v>3.9994986027798423E-5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-4.9513743875137496E-2</v>
      </c>
      <c r="K141" s="55">
        <f t="shared" si="65"/>
        <v>0.99970397491387608</v>
      </c>
      <c r="L141" s="55">
        <f t="shared" si="66"/>
        <v>1.2552817154774597E-4</v>
      </c>
      <c r="M141" s="55">
        <f t="shared" si="67"/>
        <v>0.99987447182845224</v>
      </c>
      <c r="N141" s="55">
        <f t="shared" si="68"/>
        <v>1.9988955920795829E-8</v>
      </c>
      <c r="O141" s="56">
        <f t="shared" si="69"/>
        <v>1.0050500929518547E-6</v>
      </c>
      <c r="P141" s="56">
        <f t="shared" si="70"/>
        <v>8.9675532494116199E-7</v>
      </c>
      <c r="Q141" s="56">
        <f t="shared" si="71"/>
        <v>2.8559649106606769E-9</v>
      </c>
      <c r="R141" s="9">
        <f t="shared" si="44"/>
        <v>3.9999999999999996E-5</v>
      </c>
      <c r="S141" s="9">
        <f t="shared" si="45"/>
        <v>5.0211268619098381E-9</v>
      </c>
      <c r="T141" s="9">
        <f t="shared" si="40"/>
        <v>3.9988158996555041E-5</v>
      </c>
      <c r="U141" s="9">
        <f t="shared" si="41"/>
        <v>3.9994978873138088E-5</v>
      </c>
      <c r="V141" s="100">
        <f t="shared" si="46"/>
        <v>0.99982948168057095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1.6664622346062492</v>
      </c>
      <c r="K142" s="55">
        <f t="shared" si="65"/>
        <v>0.44205088775709239</v>
      </c>
      <c r="L142" s="55">
        <f t="shared" si="66"/>
        <v>2.8861442244389689E-3</v>
      </c>
      <c r="M142" s="55">
        <f t="shared" si="67"/>
        <v>0.997113855775561</v>
      </c>
      <c r="N142" s="55">
        <f t="shared" si="68"/>
        <v>2.0546051847071794E-3</v>
      </c>
      <c r="O142" s="56">
        <f t="shared" si="69"/>
        <v>4.4441484377211795E-7</v>
      </c>
      <c r="P142" s="56">
        <f t="shared" si="70"/>
        <v>2.0618202033074211E-5</v>
      </c>
      <c r="Q142" s="56">
        <f t="shared" si="71"/>
        <v>2.9355611849043404E-4</v>
      </c>
      <c r="R142" s="9">
        <f t="shared" si="44"/>
        <v>3.9999999999999996E-5</v>
      </c>
      <c r="S142" s="9">
        <f t="shared" si="45"/>
        <v>1.1544576897755874E-7</v>
      </c>
      <c r="T142" s="9">
        <f t="shared" si="40"/>
        <v>1.7682035510283693E-5</v>
      </c>
      <c r="U142" s="9">
        <f t="shared" si="41"/>
        <v>3.9884554231022438E-5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2.2900502163435572</v>
      </c>
      <c r="K143" s="55">
        <f t="shared" si="65"/>
        <v>6.6208147933723427E-2</v>
      </c>
      <c r="L143" s="55">
        <f t="shared" si="66"/>
        <v>1.8169592346846987E-3</v>
      </c>
      <c r="M143" s="55">
        <f t="shared" si="67"/>
        <v>0.99818304076531528</v>
      </c>
      <c r="N143" s="55">
        <f t="shared" si="68"/>
        <v>1.9636539436126993E-4</v>
      </c>
      <c r="O143" s="56">
        <f t="shared" si="69"/>
        <v>6.6562209318705028E-8</v>
      </c>
      <c r="P143" s="56">
        <f t="shared" si="70"/>
        <v>1.2980097206982533E-5</v>
      </c>
      <c r="Q143" s="56">
        <f t="shared" si="71"/>
        <v>2.8056126502354358E-5</v>
      </c>
      <c r="R143" s="9">
        <f t="shared" si="44"/>
        <v>3.9999999999999996E-5</v>
      </c>
      <c r="S143" s="9">
        <f t="shared" si="45"/>
        <v>7.2678369387387937E-8</v>
      </c>
      <c r="T143" s="9">
        <f t="shared" si="40"/>
        <v>2.6483259173489369E-6</v>
      </c>
      <c r="U143" s="9">
        <f t="shared" si="41"/>
        <v>3.9927321630612604E-5</v>
      </c>
      <c r="V143" s="100">
        <f t="shared" si="46"/>
        <v>6.6328664413053032E-2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2025-02-02T17:33:12Z</dcterms:modified>
</cp:coreProperties>
</file>