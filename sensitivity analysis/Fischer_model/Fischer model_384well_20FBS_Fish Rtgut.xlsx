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E06CEB20-0BC4-461F-BB8D-B7E75497DCE7}" xr6:coauthVersionLast="47" xr6:coauthVersionMax="47" xr10:uidLastSave="{00000000-0000-0000-0000-000000000000}"/>
  <bookViews>
    <workbookView minimized="1" xWindow="52485" yWindow="3810" windowWidth="16200" windowHeight="999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U130" i="4"/>
  <c r="T130" i="4"/>
  <c r="S130" i="4"/>
  <c r="R130" i="4"/>
  <c r="V127" i="4"/>
  <c r="U127" i="4"/>
  <c r="R127" i="4"/>
  <c r="T127" i="4" s="1"/>
  <c r="V126" i="4"/>
  <c r="S126" i="4"/>
  <c r="R126" i="4"/>
  <c r="V124" i="4"/>
  <c r="T124" i="4"/>
  <c r="S124" i="4"/>
  <c r="R124" i="4"/>
  <c r="U124" i="4" s="1"/>
  <c r="V121" i="4"/>
  <c r="R121" i="4"/>
  <c r="U121" i="4" s="1"/>
  <c r="V120" i="4"/>
  <c r="U120" i="4"/>
  <c r="T120" i="4"/>
  <c r="R120" i="4"/>
  <c r="S120" i="4" s="1"/>
  <c r="V119" i="4"/>
  <c r="R119" i="4"/>
  <c r="U119" i="4" s="1"/>
  <c r="V116" i="4"/>
  <c r="R116" i="4"/>
  <c r="U116" i="4" s="1"/>
  <c r="V115" i="4"/>
  <c r="U115" i="4"/>
  <c r="T115" i="4"/>
  <c r="S115" i="4"/>
  <c r="R115" i="4"/>
  <c r="V114" i="4"/>
  <c r="R114" i="4"/>
  <c r="U114" i="4" s="1"/>
  <c r="V108" i="4"/>
  <c r="U108" i="4"/>
  <c r="R108" i="4"/>
  <c r="T108" i="4" s="1"/>
  <c r="V107" i="4"/>
  <c r="R107" i="4"/>
  <c r="U107" i="4" s="1"/>
  <c r="V93" i="4"/>
  <c r="U93" i="4"/>
  <c r="T93" i="4"/>
  <c r="S93" i="4"/>
  <c r="R93" i="4"/>
  <c r="V92" i="4"/>
  <c r="U92" i="4"/>
  <c r="R92" i="4"/>
  <c r="T92" i="4" s="1"/>
  <c r="V91" i="4"/>
  <c r="R91" i="4"/>
  <c r="V90" i="4"/>
  <c r="T90" i="4"/>
  <c r="S90" i="4"/>
  <c r="R90" i="4"/>
  <c r="U90" i="4" s="1"/>
  <c r="V89" i="4"/>
  <c r="R89" i="4"/>
  <c r="U89" i="4" s="1"/>
  <c r="V88" i="4"/>
  <c r="U88" i="4"/>
  <c r="T88" i="4"/>
  <c r="R88" i="4"/>
  <c r="S88" i="4" s="1"/>
  <c r="V86" i="4"/>
  <c r="R86" i="4"/>
  <c r="U86" i="4" s="1"/>
  <c r="V85" i="4"/>
  <c r="R85" i="4"/>
  <c r="V84" i="4"/>
  <c r="U84" i="4"/>
  <c r="T84" i="4"/>
  <c r="S84" i="4"/>
  <c r="R84" i="4"/>
  <c r="V83" i="4"/>
  <c r="R83" i="4"/>
  <c r="U83" i="4" s="1"/>
  <c r="V82" i="4"/>
  <c r="U82" i="4"/>
  <c r="R82" i="4"/>
  <c r="T82" i="4" s="1"/>
  <c r="V81" i="4"/>
  <c r="R81" i="4"/>
  <c r="U81" i="4" s="1"/>
  <c r="V80" i="4"/>
  <c r="U80" i="4"/>
  <c r="T80" i="4"/>
  <c r="S80" i="4"/>
  <c r="R80" i="4"/>
  <c r="V79" i="4"/>
  <c r="U79" i="4"/>
  <c r="R79" i="4"/>
  <c r="T79" i="4" s="1"/>
  <c r="V78" i="4"/>
  <c r="R78" i="4"/>
  <c r="V77" i="4"/>
  <c r="T77" i="4"/>
  <c r="S77" i="4"/>
  <c r="R77" i="4"/>
  <c r="U77" i="4" s="1"/>
  <c r="V76" i="4"/>
  <c r="R76" i="4"/>
  <c r="U76" i="4" s="1"/>
  <c r="V75" i="4"/>
  <c r="U75" i="4"/>
  <c r="T75" i="4"/>
  <c r="R75" i="4"/>
  <c r="S75" i="4" s="1"/>
  <c r="V74" i="4"/>
  <c r="R74" i="4"/>
  <c r="U74" i="4" s="1"/>
  <c r="V73" i="4"/>
  <c r="R73" i="4"/>
  <c r="U73" i="4" s="1"/>
  <c r="V72" i="4"/>
  <c r="U72" i="4"/>
  <c r="T72" i="4"/>
  <c r="S72" i="4"/>
  <c r="R72" i="4"/>
  <c r="V71" i="4"/>
  <c r="R71" i="4"/>
  <c r="V70" i="4"/>
  <c r="U70" i="4"/>
  <c r="R70" i="4"/>
  <c r="T70" i="4" s="1"/>
  <c r="V69" i="4"/>
  <c r="R69" i="4"/>
  <c r="U69" i="4" s="1"/>
  <c r="V68" i="4"/>
  <c r="U68" i="4"/>
  <c r="T68" i="4"/>
  <c r="S68" i="4"/>
  <c r="R68" i="4"/>
  <c r="V65" i="4"/>
  <c r="U65" i="4"/>
  <c r="R65" i="4"/>
  <c r="T65" i="4" s="1"/>
  <c r="V64" i="4"/>
  <c r="R64" i="4"/>
  <c r="V63" i="4"/>
  <c r="T63" i="4"/>
  <c r="S63" i="4"/>
  <c r="R63" i="4"/>
  <c r="U63" i="4" s="1"/>
  <c r="V62" i="4"/>
  <c r="R62" i="4"/>
  <c r="U62" i="4" s="1"/>
  <c r="V61" i="4"/>
  <c r="U61" i="4"/>
  <c r="T61" i="4"/>
  <c r="R61" i="4"/>
  <c r="S61" i="4" s="1"/>
  <c r="V60" i="4"/>
  <c r="R60" i="4"/>
  <c r="U60" i="4" s="1"/>
  <c r="V58" i="4"/>
  <c r="R58" i="4"/>
  <c r="U58" i="4" s="1"/>
  <c r="V57" i="4"/>
  <c r="U57" i="4"/>
  <c r="T57" i="4"/>
  <c r="S57" i="4"/>
  <c r="R57" i="4"/>
  <c r="V49" i="4"/>
  <c r="R49" i="4"/>
  <c r="V48" i="4"/>
  <c r="U48" i="4"/>
  <c r="R48" i="4"/>
  <c r="T48" i="4" s="1"/>
  <c r="V47" i="4"/>
  <c r="R47" i="4"/>
  <c r="U47" i="4" s="1"/>
  <c r="V46" i="4"/>
  <c r="U46" i="4"/>
  <c r="T46" i="4"/>
  <c r="S46" i="4"/>
  <c r="R46" i="4"/>
  <c r="V45" i="4"/>
  <c r="U45" i="4"/>
  <c r="R45" i="4"/>
  <c r="T45" i="4" s="1"/>
  <c r="V44" i="4"/>
  <c r="R44" i="4"/>
  <c r="V43" i="4"/>
  <c r="T43" i="4"/>
  <c r="S43" i="4"/>
  <c r="R43" i="4"/>
  <c r="U43" i="4" s="1"/>
  <c r="V42" i="4"/>
  <c r="R42" i="4"/>
  <c r="U42" i="4" s="1"/>
  <c r="V41" i="4"/>
  <c r="U41" i="4"/>
  <c r="T41" i="4"/>
  <c r="R41" i="4"/>
  <c r="S41" i="4" s="1"/>
  <c r="V40" i="4"/>
  <c r="R40" i="4"/>
  <c r="U40" i="4" s="1"/>
  <c r="V39" i="4"/>
  <c r="T39" i="4"/>
  <c r="S39" i="4"/>
  <c r="R39" i="4"/>
  <c r="U39" i="4" s="1"/>
  <c r="V38" i="4"/>
  <c r="U38" i="4"/>
  <c r="T38" i="4"/>
  <c r="S38" i="4"/>
  <c r="R38" i="4"/>
  <c r="V37" i="4"/>
  <c r="R37" i="4"/>
  <c r="V36" i="4"/>
  <c r="U36" i="4"/>
  <c r="R36" i="4"/>
  <c r="T36" i="4" s="1"/>
  <c r="V35" i="4"/>
  <c r="R35" i="4"/>
  <c r="U35" i="4" s="1"/>
  <c r="V34" i="4"/>
  <c r="U34" i="4"/>
  <c r="T34" i="4"/>
  <c r="S34" i="4"/>
  <c r="R34" i="4"/>
  <c r="V33" i="4"/>
  <c r="U33" i="4"/>
  <c r="R33" i="4"/>
  <c r="T33" i="4" s="1"/>
  <c r="V32" i="4"/>
  <c r="S32" i="4"/>
  <c r="R32" i="4"/>
  <c r="V31" i="4"/>
  <c r="T31" i="4"/>
  <c r="S31" i="4"/>
  <c r="R31" i="4"/>
  <c r="U31" i="4" s="1"/>
  <c r="V30" i="4"/>
  <c r="R30" i="4"/>
  <c r="U30" i="4" s="1"/>
  <c r="V29" i="4"/>
  <c r="U29" i="4"/>
  <c r="T29" i="4"/>
  <c r="R29" i="4"/>
  <c r="S29" i="4" s="1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L130" i="4"/>
  <c r="M130" i="4"/>
  <c r="N130" i="4"/>
  <c r="Q130" i="4" s="1"/>
  <c r="O130" i="4"/>
  <c r="P130" i="4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44" i="4" l="1"/>
  <c r="T44" i="4"/>
  <c r="S58" i="4"/>
  <c r="U37" i="4"/>
  <c r="T37" i="4"/>
  <c r="S37" i="4"/>
  <c r="S44" i="4"/>
  <c r="T58" i="4"/>
  <c r="U64" i="4"/>
  <c r="T64" i="4"/>
  <c r="S73" i="4"/>
  <c r="U49" i="4"/>
  <c r="T49" i="4"/>
  <c r="S49" i="4"/>
  <c r="S64" i="4"/>
  <c r="T73" i="4"/>
  <c r="U85" i="4"/>
  <c r="T85" i="4"/>
  <c r="S85" i="4"/>
  <c r="U78" i="4"/>
  <c r="T78" i="4"/>
  <c r="S78" i="4"/>
  <c r="S116" i="4"/>
  <c r="U71" i="4"/>
  <c r="T71" i="4"/>
  <c r="S71" i="4"/>
  <c r="U91" i="4"/>
  <c r="S91" i="4"/>
  <c r="T91" i="4"/>
  <c r="T116" i="4"/>
  <c r="U32" i="4"/>
  <c r="T32" i="4"/>
  <c r="U126" i="4"/>
  <c r="T126" i="4"/>
  <c r="S36" i="4"/>
  <c r="S48" i="4"/>
  <c r="S70" i="4"/>
  <c r="S82" i="4"/>
  <c r="S108" i="4"/>
  <c r="S83" i="4"/>
  <c r="S114" i="4"/>
  <c r="S30" i="4"/>
  <c r="S42" i="4"/>
  <c r="S62" i="4"/>
  <c r="S76" i="4"/>
  <c r="T83" i="4"/>
  <c r="S89" i="4"/>
  <c r="T114" i="4"/>
  <c r="S121" i="4"/>
  <c r="T30" i="4"/>
  <c r="S35" i="4"/>
  <c r="T42" i="4"/>
  <c r="S47" i="4"/>
  <c r="T62" i="4"/>
  <c r="S69" i="4"/>
  <c r="T76" i="4"/>
  <c r="S81" i="4"/>
  <c r="T89" i="4"/>
  <c r="S107" i="4"/>
  <c r="T121" i="4"/>
  <c r="S131" i="4"/>
  <c r="S28" i="4"/>
  <c r="T35" i="4"/>
  <c r="T47" i="4"/>
  <c r="S60" i="4"/>
  <c r="T69" i="4"/>
  <c r="S74" i="4"/>
  <c r="T81" i="4"/>
  <c r="S86" i="4"/>
  <c r="T107" i="4"/>
  <c r="S119" i="4"/>
  <c r="T131" i="4"/>
  <c r="T28" i="4"/>
  <c r="S33" i="4"/>
  <c r="T40" i="4"/>
  <c r="S45" i="4"/>
  <c r="T60" i="4"/>
  <c r="S65" i="4"/>
  <c r="T74" i="4"/>
  <c r="S79" i="4"/>
  <c r="T86" i="4"/>
  <c r="S92" i="4"/>
  <c r="T119" i="4"/>
  <c r="S127" i="4"/>
  <c r="S40" i="4"/>
  <c r="O15" i="1" l="1"/>
  <c r="L15" i="1"/>
  <c r="N15" i="1"/>
  <c r="M97" i="4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4" i="4"/>
  <c r="M125" i="4"/>
  <c r="J16" i="4"/>
  <c r="J15" i="4"/>
  <c r="J87" i="4"/>
  <c r="K87" i="4"/>
  <c r="J122" i="4"/>
  <c r="K122" i="4"/>
  <c r="J117" i="4"/>
  <c r="K117" i="4"/>
  <c r="J120" i="4"/>
  <c r="K120" i="4" s="1"/>
  <c r="O120" i="4" s="1"/>
  <c r="P120" i="4" s="1"/>
  <c r="J101" i="4"/>
  <c r="K101" i="4"/>
  <c r="J86" i="4"/>
  <c r="K86" i="4" s="1"/>
  <c r="J85" i="4"/>
  <c r="K85" i="4"/>
  <c r="J88" i="4"/>
  <c r="K88" i="4" s="1"/>
  <c r="J119" i="4"/>
  <c r="K119" i="4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O71" i="4" s="1"/>
  <c r="P71" i="4" s="1"/>
  <c r="J110" i="4"/>
  <c r="K110" i="4"/>
  <c r="J82" i="4"/>
  <c r="L82" i="4" s="1"/>
  <c r="K82" i="4"/>
  <c r="J113" i="4"/>
  <c r="K113" i="4"/>
  <c r="J97" i="4"/>
  <c r="K97" i="4" s="1"/>
  <c r="J81" i="4"/>
  <c r="K81" i="4" s="1"/>
  <c r="J116" i="4"/>
  <c r="K116" i="4"/>
  <c r="J100" i="4"/>
  <c r="K100" i="4"/>
  <c r="O100" i="4"/>
  <c r="J84" i="4"/>
  <c r="K84" i="4" s="1"/>
  <c r="J114" i="4"/>
  <c r="K114" i="4"/>
  <c r="O114" i="4" s="1"/>
  <c r="P114" i="4" s="1"/>
  <c r="J78" i="4"/>
  <c r="K78" i="4" s="1"/>
  <c r="J115" i="4"/>
  <c r="K115" i="4"/>
  <c r="O115" i="4"/>
  <c r="P115" i="4" s="1"/>
  <c r="J99" i="4"/>
  <c r="K99" i="4"/>
  <c r="J83" i="4"/>
  <c r="L83" i="4" s="1"/>
  <c r="K83" i="4"/>
  <c r="J102" i="4"/>
  <c r="K102" i="4"/>
  <c r="J74" i="4"/>
  <c r="K74" i="4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/>
  <c r="J111" i="4"/>
  <c r="K111" i="4"/>
  <c r="J95" i="4"/>
  <c r="K95" i="4" s="1"/>
  <c r="J79" i="4"/>
  <c r="L79" i="4" s="1"/>
  <c r="K79" i="4"/>
  <c r="J126" i="4"/>
  <c r="L126" i="4" s="1"/>
  <c r="M126" i="4" s="1"/>
  <c r="K126" i="4"/>
  <c r="O126" i="4" s="1"/>
  <c r="P126" i="4" s="1"/>
  <c r="J94" i="4"/>
  <c r="K94" i="4" s="1"/>
  <c r="J121" i="4"/>
  <c r="K121" i="4" s="1"/>
  <c r="O121" i="4" s="1"/>
  <c r="P121" i="4" s="1"/>
  <c r="J105" i="4"/>
  <c r="K105" i="4"/>
  <c r="J89" i="4"/>
  <c r="K89" i="4" s="1"/>
  <c r="J73" i="4"/>
  <c r="L73" i="4" s="1"/>
  <c r="K73" i="4"/>
  <c r="J124" i="4"/>
  <c r="K124" i="4"/>
  <c r="O124" i="4" s="1"/>
  <c r="P124" i="4" s="1"/>
  <c r="J108" i="4"/>
  <c r="K108" i="4"/>
  <c r="J92" i="4"/>
  <c r="K92" i="4"/>
  <c r="O92" i="4" s="1"/>
  <c r="P92" i="4" s="1"/>
  <c r="J76" i="4"/>
  <c r="K76" i="4"/>
  <c r="J98" i="4"/>
  <c r="K98" i="4"/>
  <c r="J123" i="4"/>
  <c r="K123" i="4"/>
  <c r="J107" i="4"/>
  <c r="K107" i="4"/>
  <c r="O107" i="4" s="1"/>
  <c r="P107" i="4" s="1"/>
  <c r="J91" i="4"/>
  <c r="K91" i="4"/>
  <c r="O91" i="4" s="1"/>
  <c r="P91" i="4" s="1"/>
  <c r="J75" i="4"/>
  <c r="L75" i="4" s="1"/>
  <c r="K75" i="4"/>
  <c r="P100" i="4"/>
  <c r="O112" i="4"/>
  <c r="P112" i="4"/>
  <c r="O98" i="4"/>
  <c r="P98" i="4"/>
  <c r="O108" i="4"/>
  <c r="P108" i="4"/>
  <c r="O105" i="4"/>
  <c r="P105" i="4"/>
  <c r="O111" i="4"/>
  <c r="P111" i="4"/>
  <c r="O104" i="4"/>
  <c r="P104" i="4"/>
  <c r="O85" i="4"/>
  <c r="P85" i="4" s="1"/>
  <c r="O127" i="4"/>
  <c r="P127" i="4"/>
  <c r="O102" i="4"/>
  <c r="P102" i="4"/>
  <c r="O110" i="4"/>
  <c r="P110" i="4"/>
  <c r="O118" i="4"/>
  <c r="P118" i="4"/>
  <c r="O117" i="4"/>
  <c r="P117" i="4"/>
  <c r="O106" i="4"/>
  <c r="P106" i="4"/>
  <c r="O109" i="4"/>
  <c r="P109" i="4"/>
  <c r="O116" i="4"/>
  <c r="P116" i="4" s="1"/>
  <c r="O113" i="4"/>
  <c r="P113" i="4"/>
  <c r="O103" i="4"/>
  <c r="P103" i="4"/>
  <c r="O122" i="4"/>
  <c r="P122" i="4"/>
  <c r="O123" i="4"/>
  <c r="P123" i="4"/>
  <c r="O125" i="4"/>
  <c r="P125" i="4"/>
  <c r="O99" i="4"/>
  <c r="P99" i="4"/>
  <c r="O101" i="4"/>
  <c r="P101" i="4"/>
  <c r="O87" i="4"/>
  <c r="P87" i="4" s="1"/>
  <c r="I76" i="4"/>
  <c r="N76" i="4" s="1"/>
  <c r="Q76" i="4" s="1"/>
  <c r="I77" i="4"/>
  <c r="N77" i="4" s="1"/>
  <c r="Q77" i="4" s="1"/>
  <c r="I81" i="4"/>
  <c r="L81" i="4" s="1"/>
  <c r="I89" i="4"/>
  <c r="I90" i="4"/>
  <c r="I96" i="4"/>
  <c r="I99" i="4"/>
  <c r="I102" i="4"/>
  <c r="I104" i="4"/>
  <c r="I108" i="4"/>
  <c r="I111" i="4"/>
  <c r="I113" i="4"/>
  <c r="I115" i="4"/>
  <c r="N115" i="4" s="1"/>
  <c r="Q115" i="4" s="1"/>
  <c r="I119" i="4"/>
  <c r="N119" i="4" s="1"/>
  <c r="Q119" i="4" s="1"/>
  <c r="I120" i="4"/>
  <c r="N120" i="4" s="1"/>
  <c r="Q120" i="4" s="1"/>
  <c r="I123" i="4"/>
  <c r="I125" i="4"/>
  <c r="I79" i="4"/>
  <c r="I92" i="4"/>
  <c r="I100" i="4"/>
  <c r="I103" i="4"/>
  <c r="I107" i="4"/>
  <c r="L107" i="4" s="1"/>
  <c r="M107" i="4" s="1"/>
  <c r="I109" i="4"/>
  <c r="I110" i="4"/>
  <c r="I117" i="4"/>
  <c r="I124" i="4"/>
  <c r="I72" i="4"/>
  <c r="N72" i="4" s="1"/>
  <c r="Q72" i="4" s="1"/>
  <c r="I106" i="4"/>
  <c r="I71" i="4"/>
  <c r="I75" i="4"/>
  <c r="I80" i="4"/>
  <c r="I83" i="4"/>
  <c r="I86" i="4"/>
  <c r="L86" i="4" s="1"/>
  <c r="I88" i="4"/>
  <c r="N88" i="4" s="1"/>
  <c r="Q88" i="4" s="1"/>
  <c r="I94" i="4"/>
  <c r="I95" i="4"/>
  <c r="I98" i="4"/>
  <c r="I101" i="4"/>
  <c r="I118" i="4"/>
  <c r="I127" i="4"/>
  <c r="I73" i="4"/>
  <c r="N73" i="4" s="1"/>
  <c r="Q73" i="4" s="1"/>
  <c r="I74" i="4"/>
  <c r="I78" i="4"/>
  <c r="L78" i="4" s="1"/>
  <c r="I82" i="4"/>
  <c r="I85" i="4"/>
  <c r="L85" i="4" s="1"/>
  <c r="I93" i="4"/>
  <c r="N93" i="4" s="1"/>
  <c r="Q93" i="4" s="1"/>
  <c r="I112" i="4"/>
  <c r="I114" i="4"/>
  <c r="N114" i="4" s="1"/>
  <c r="Q114" i="4" s="1"/>
  <c r="I121" i="4"/>
  <c r="L121" i="4" s="1"/>
  <c r="M121" i="4" s="1"/>
  <c r="I122" i="4"/>
  <c r="I84" i="4"/>
  <c r="L84" i="4" s="1"/>
  <c r="I87" i="4"/>
  <c r="I91" i="4"/>
  <c r="I97" i="4"/>
  <c r="I105" i="4"/>
  <c r="I116" i="4"/>
  <c r="N116" i="4" s="1"/>
  <c r="Q116" i="4" s="1"/>
  <c r="I126" i="4"/>
  <c r="N126" i="4" s="1"/>
  <c r="Q126" i="4" s="1"/>
  <c r="L105" i="4"/>
  <c r="N105" i="4"/>
  <c r="Q105" i="4"/>
  <c r="N121" i="4"/>
  <c r="Q121" i="4"/>
  <c r="N101" i="4"/>
  <c r="Q101" i="4"/>
  <c r="L101" i="4"/>
  <c r="N75" i="4"/>
  <c r="Q75" i="4" s="1"/>
  <c r="L106" i="4"/>
  <c r="N106" i="4"/>
  <c r="Q106" i="4"/>
  <c r="L124" i="4"/>
  <c r="N124" i="4"/>
  <c r="Q124" i="4" s="1"/>
  <c r="N79" i="4"/>
  <c r="Q79" i="4" s="1"/>
  <c r="N108" i="4"/>
  <c r="Q108" i="4"/>
  <c r="L108" i="4"/>
  <c r="M108" i="4" s="1"/>
  <c r="L96" i="4"/>
  <c r="N96" i="4"/>
  <c r="Q96" i="4" s="1"/>
  <c r="L97" i="4"/>
  <c r="N97" i="4"/>
  <c r="Q97" i="4"/>
  <c r="L114" i="4"/>
  <c r="M114" i="4" s="1"/>
  <c r="N82" i="4"/>
  <c r="Q82" i="4" s="1"/>
  <c r="N98" i="4"/>
  <c r="Q98" i="4"/>
  <c r="L98" i="4"/>
  <c r="N71" i="4"/>
  <c r="Q71" i="4"/>
  <c r="L71" i="4"/>
  <c r="M71" i="4" s="1"/>
  <c r="N117" i="4"/>
  <c r="Q117" i="4"/>
  <c r="L117" i="4"/>
  <c r="N103" i="4"/>
  <c r="Q103" i="4"/>
  <c r="L103" i="4"/>
  <c r="L125" i="4"/>
  <c r="N125" i="4"/>
  <c r="Q125" i="4"/>
  <c r="L104" i="4"/>
  <c r="N104" i="4"/>
  <c r="Q104" i="4"/>
  <c r="N90" i="4"/>
  <c r="Q90" i="4" s="1"/>
  <c r="N91" i="4"/>
  <c r="Q91" i="4"/>
  <c r="L91" i="4"/>
  <c r="M91" i="4" s="1"/>
  <c r="L112" i="4"/>
  <c r="N112" i="4"/>
  <c r="Q112" i="4"/>
  <c r="L127" i="4"/>
  <c r="M127" i="4" s="1"/>
  <c r="N127" i="4"/>
  <c r="Q127" i="4"/>
  <c r="N95" i="4"/>
  <c r="Q95" i="4" s="1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 s="1"/>
  <c r="L116" i="4"/>
  <c r="M116" i="4" s="1"/>
  <c r="N87" i="4"/>
  <c r="Q87" i="4" s="1"/>
  <c r="L87" i="4"/>
  <c r="N122" i="4"/>
  <c r="Q122" i="4"/>
  <c r="L122" i="4"/>
  <c r="N74" i="4"/>
  <c r="Q74" i="4" s="1"/>
  <c r="L74" i="4"/>
  <c r="N118" i="4"/>
  <c r="Q118" i="4"/>
  <c r="L118" i="4"/>
  <c r="L94" i="4"/>
  <c r="N94" i="4"/>
  <c r="Q94" i="4" s="1"/>
  <c r="N80" i="4"/>
  <c r="Q80" i="4" s="1"/>
  <c r="N109" i="4"/>
  <c r="Q109" i="4"/>
  <c r="L109" i="4"/>
  <c r="L92" i="4"/>
  <c r="N92" i="4"/>
  <c r="Q92" i="4" s="1"/>
  <c r="N111" i="4"/>
  <c r="Q111" i="4"/>
  <c r="L111" i="4"/>
  <c r="N99" i="4"/>
  <c r="Q99" i="4"/>
  <c r="L99" i="4"/>
  <c r="M73" i="4" l="1"/>
  <c r="M78" i="4"/>
  <c r="M81" i="4"/>
  <c r="M75" i="4"/>
  <c r="M79" i="4"/>
  <c r="M74" i="4"/>
  <c r="M84" i="4"/>
  <c r="O78" i="4"/>
  <c r="P78" i="4" s="1"/>
  <c r="N81" i="4"/>
  <c r="Q81" i="4" s="1"/>
  <c r="M92" i="4"/>
  <c r="O80" i="4"/>
  <c r="P80" i="4" s="1"/>
  <c r="O96" i="4"/>
  <c r="P96" i="4" s="1"/>
  <c r="O72" i="4"/>
  <c r="P72" i="4" s="1"/>
  <c r="L119" i="4"/>
  <c r="M119" i="4" s="1"/>
  <c r="O84" i="4"/>
  <c r="P84" i="4" s="1"/>
  <c r="L115" i="4"/>
  <c r="M115" i="4" s="1"/>
  <c r="O79" i="4"/>
  <c r="P79" i="4" s="1"/>
  <c r="M87" i="4"/>
  <c r="M95" i="4"/>
  <c r="L72" i="4"/>
  <c r="O74" i="4"/>
  <c r="P74" i="4" s="1"/>
  <c r="O75" i="4"/>
  <c r="P75" i="4" s="1"/>
  <c r="O83" i="4"/>
  <c r="P83" i="4" s="1"/>
  <c r="O88" i="4"/>
  <c r="P88" i="4" s="1"/>
  <c r="L80" i="4"/>
  <c r="M86" i="4"/>
  <c r="O73" i="4"/>
  <c r="P73" i="4" s="1"/>
  <c r="O95" i="4"/>
  <c r="P95" i="4" s="1"/>
  <c r="O77" i="4"/>
  <c r="P77" i="4" s="1"/>
  <c r="O90" i="4"/>
  <c r="P90" i="4" s="1"/>
  <c r="M94" i="4"/>
  <c r="L77" i="4"/>
  <c r="O89" i="4"/>
  <c r="P89" i="4" s="1"/>
  <c r="O93" i="4"/>
  <c r="P93" i="4" s="1"/>
  <c r="O86" i="4"/>
  <c r="P86" i="4" s="1"/>
  <c r="L120" i="4"/>
  <c r="M120" i="4" s="1"/>
  <c r="O81" i="4"/>
  <c r="P81" i="4" s="1"/>
  <c r="L89" i="4"/>
  <c r="N78" i="4"/>
  <c r="Q78" i="4" s="1"/>
  <c r="N107" i="4"/>
  <c r="Q107" i="4" s="1"/>
  <c r="O76" i="4"/>
  <c r="P76" i="4" s="1"/>
  <c r="O97" i="4"/>
  <c r="P97" i="4" s="1"/>
  <c r="O94" i="4"/>
  <c r="P94" i="4" s="1"/>
  <c r="O82" i="4"/>
  <c r="P82" i="4" s="1"/>
  <c r="N84" i="4"/>
  <c r="Q84" i="4" s="1"/>
  <c r="M82" i="4"/>
  <c r="M85" i="4"/>
  <c r="M83" i="4"/>
  <c r="N86" i="4"/>
  <c r="Q86" i="4" s="1"/>
  <c r="L90" i="4"/>
  <c r="M96" i="4"/>
  <c r="L76" i="4"/>
  <c r="N85" i="4"/>
  <c r="Q85" i="4" s="1"/>
  <c r="L93" i="4"/>
  <c r="L88" i="4"/>
  <c r="J14" i="4"/>
  <c r="J13" i="4" s="1"/>
  <c r="K16" i="4" s="1"/>
  <c r="M93" i="4" l="1"/>
  <c r="M76" i="4"/>
  <c r="M90" i="4"/>
  <c r="M89" i="4"/>
  <c r="M77" i="4"/>
  <c r="M72" i="4"/>
  <c r="M80" i="4"/>
  <c r="M88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4" i="4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J45" i="4"/>
  <c r="L45" i="4" s="1"/>
  <c r="J30" i="4"/>
  <c r="K30" i="4" s="1"/>
  <c r="J43" i="4"/>
  <c r="L43" i="4" s="1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7" i="4"/>
  <c r="K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O49" i="4" l="1"/>
  <c r="P49" i="4" s="1"/>
  <c r="O48" i="4"/>
  <c r="P48" i="4" s="1"/>
  <c r="M48" i="4"/>
  <c r="M49" i="4"/>
  <c r="K43" i="4"/>
  <c r="M43" i="4"/>
  <c r="O47" i="4"/>
  <c r="P47" i="4" s="1"/>
  <c r="M47" i="4"/>
  <c r="M31" i="4"/>
  <c r="O31" i="4"/>
  <c r="P31" i="4" s="1"/>
  <c r="O33" i="4"/>
  <c r="P33" i="4" s="1"/>
  <c r="M35" i="4"/>
  <c r="O28" i="4"/>
  <c r="P28" i="4" s="1"/>
  <c r="O46" i="4"/>
  <c r="P46" i="4" s="1"/>
  <c r="L30" i="4"/>
  <c r="M44" i="4"/>
  <c r="O41" i="4"/>
  <c r="P41" i="4" s="1"/>
  <c r="O30" i="4"/>
  <c r="P30" i="4" s="1"/>
  <c r="O39" i="4"/>
  <c r="P39" i="4" s="1"/>
  <c r="M45" i="4"/>
  <c r="M39" i="4"/>
  <c r="K35" i="4"/>
  <c r="K44" i="4"/>
  <c r="K45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O43" i="4" l="1"/>
  <c r="P43" i="4" s="1"/>
  <c r="O29" i="4"/>
  <c r="P29" i="4" s="1"/>
  <c r="O32" i="4"/>
  <c r="P32" i="4" s="1"/>
  <c r="O38" i="4"/>
  <c r="P38" i="4" s="1"/>
  <c r="O37" i="4"/>
  <c r="P37" i="4" s="1"/>
  <c r="M46" i="4"/>
  <c r="O36" i="4"/>
  <c r="P36" i="4" s="1"/>
  <c r="O45" i="4"/>
  <c r="P45" i="4" s="1"/>
  <c r="O44" i="4"/>
  <c r="P44" i="4" s="1"/>
  <c r="O35" i="4"/>
  <c r="P35" i="4" s="1"/>
  <c r="O40" i="4"/>
  <c r="P40" i="4" s="1"/>
  <c r="M33" i="4"/>
  <c r="O34" i="4"/>
  <c r="P34" i="4" s="1"/>
  <c r="M30" i="4"/>
  <c r="O42" i="4"/>
  <c r="P42" i="4" s="1"/>
  <c r="M41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<sst xmlns="http://schemas.openxmlformats.org/spreadsheetml/2006/main" count="318" uniqueCount="295">
  <si>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</si>
  <si>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</si>
  <si>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</si>
  <si>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</si>
  <si>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</si>
  <si>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</si>
  <si>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</si>
  <si>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</si>
  <si>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</si>
  <si>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</si>
  <si>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</si>
  <si>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</si>
  <si>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</si>
  <si>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</si>
  <si>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</si>
  <si>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</si>
  <si>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</si>
  <si>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</si>
  <si>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</si>
  <si>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</si>
  <si>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</si>
  <si>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</si>
  <si>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</si>
  <si>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</si>
  <si>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</si>
  <si>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</si>
  <si>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</si>
  <si>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</si>
  <si>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</si>
  <si>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</si>
  <si>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</si>
  <si>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</si>
  <si>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</si>
  <si>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</si>
  <si>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</si>
  <si>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</si>
  <si>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</si>
  <si>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</si>
  <si>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</si>
  <si>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</si>
  <si>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</si>
  <si>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</si>
  <si>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</si>
  <si>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</si>
  <si>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</si>
  <si>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</si>
  <si>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</si>
  <si>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</si>
  <si>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</si>
  <si>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</si>
  <si>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</si>
  <si>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</si>
  <si>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</si>
  <si>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</si>
  <si>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</si>
  <si>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</si>
  <si>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</si>
  <si>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</si>
  <si>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</si>
  <si>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</si>
  <si>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</si>
  <si>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</si>
  <si>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</si>
  <si>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</si>
  <si>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</si>
  <si>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</si>
  <si>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</si>
  <si>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</si>
  <si>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</si>
  <si>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</si>
  <si>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</si>
  <si>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</si>
  <si>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</si>
  <si>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</si>
  <si>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</si>
  <si>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</si>
  <si>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</si>
  <si>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</si>
  <si>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</si>
  <si>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</si>
  <si>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</si>
  <si>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</si>
  <si>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</si>
  <si>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</si>
  <si>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</si>
  <si>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</si>
  <si>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</si>
  <si>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</si>
  <si>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</si>
  <si>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</si>
  <si>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</si>
  <si>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</si>
  <si>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</si>
  <si>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</si>
  <si>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</si>
  <si>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</si>
  <si>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</si>
  <si>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</si>
  <si>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</si>
  <si>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</si>
  <si>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</si>
  <si>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</si>
  <si>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</si>
  <si>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</si>
  <si>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</si>
  <si>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</si>
  <si>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</si>
  <si>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</si>
  <si>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</si>
  <si>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</si>
  <si>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</si>
  <si>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</si>
  <si>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Fish Rtgut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</si>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</sst>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0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8.9000000000000006E-4</v>
      </c>
      <c r="M17" s="81">
        <v>6.0000000000000002E-5</v>
      </c>
      <c r="N17" s="81">
        <v>5.0000000000000002E-5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6" zoomScale="70" zoomScaleNormal="70" workbookViewId="0">
      <selection activeCell="R28" sqref="R28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40.005600000000001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39.797784</v>
      </c>
      <c r="K8" s="39">
        <f>J8/J7</f>
        <v>0.99480532725418436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0.19233600000000003</v>
      </c>
      <c r="K9" s="39">
        <f>J9/J7</f>
        <v>4.8077269182314484E-3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1.5480000000000001E-2</v>
      </c>
      <c r="K10" s="39">
        <f>J10/J7</f>
        <v>3.8694582758413824E-4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39.7928</v>
      </c>
      <c r="K14" s="39">
        <f>J14/J13</f>
        <v>0.99482000000000004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5.5999999999999999E-3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4.9839999999999997E-3</v>
      </c>
      <c r="K20" s="39">
        <f>J20/J19</f>
        <v>0.89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3.3599999999999998E-4</v>
      </c>
      <c r="K21" s="39">
        <f>J21/J19</f>
        <v>0.06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2.8000000000000003E-4</v>
      </c>
      <c r="K22" s="39">
        <f>J22/J19</f>
        <v>0.05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0.87654628857053851</v>
      </c>
      <c r="K28" s="95">
        <f t="shared" ref="K28:K47" si="3">IF(D28=0,"",1/(1+10^D28*$J$15/$J$14+10^E28*$J$16/$J$14+10^J28*$J$19/$J$14))</f>
        <v>0.80385693412119996</v>
      </c>
      <c r="L28" s="95">
        <f t="shared" ref="L28:L47" si="4">IF(D28=0,"",1/(1+10^I28/10^J28*$J$13/$J$19))</f>
        <v>8.5135085949242326E-4</v>
      </c>
      <c r="M28" s="95">
        <f t="shared" ref="M28:M47" si="5">IF(D28=0,"",1-L28)</f>
        <v>0.99914864914050761</v>
      </c>
      <c r="N28" s="95">
        <f t="shared" ref="N28:N47" si="6">IF(D28=0,"",1/(1/10^E28*$J$20/$J$22+10^D28/10^E28*$J$21/$J$22+10^I28/10^E28*$J$13/$J$22+1))</f>
        <v>4.5183232143787989E-4</v>
      </c>
      <c r="O28" s="40">
        <f t="shared" ref="O28:O47" si="7">IF(D28=0,"",F28*K28*$J$7/$J$14)</f>
        <v>8.0815572072533416E-7</v>
      </c>
      <c r="P28" s="40">
        <f t="shared" ref="P28:P47" si="8">IF(D28=0,"",O28*10^J28)</f>
        <v>6.0819289186625147E-6</v>
      </c>
      <c r="Q28" s="40">
        <f t="shared" ref="Q28:Q47" si="9">IF(D28=0,"",F28*N28*$J$7/$J$22)</f>
        <v>6.4556511137554452E-5</v>
      </c>
      <c r="R28" s="9">
        <f>F28*$C$14</f>
        <v>3.9999999999999996E-5</v>
      </c>
      <c r="S28" s="9">
        <f>$R28*L28</f>
        <v>3.4054034379696931E-8</v>
      </c>
      <c r="T28" s="9">
        <f>R28*K28</f>
        <v>3.2154277364847999E-5</v>
      </c>
      <c r="U28" s="9">
        <f>$R28*M28</f>
        <v>3.9965945965620304E-5</v>
      </c>
      <c r="V28" s="102">
        <f>K28/M28</f>
        <v>0.80454188154354966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2.7194923137791687</v>
      </c>
      <c r="J29" s="94">
        <f t="shared" si="2"/>
        <v>4.5743714574945749</v>
      </c>
      <c r="K29" s="95">
        <f t="shared" si="3"/>
        <v>1.878974285756107E-3</v>
      </c>
      <c r="L29" s="95">
        <f t="shared" si="4"/>
        <v>9.9237501628759647E-3</v>
      </c>
      <c r="M29" s="95">
        <f t="shared" si="5"/>
        <v>0.99007624983712406</v>
      </c>
      <c r="N29" s="95">
        <f t="shared" si="6"/>
        <v>9.054331040229532E-3</v>
      </c>
      <c r="O29" s="40">
        <f t="shared" si="7"/>
        <v>1.889022478595236E-9</v>
      </c>
      <c r="P29" s="40">
        <f t="shared" si="8"/>
        <v>7.0893853484991232E-5</v>
      </c>
      <c r="Q29" s="40">
        <f t="shared" si="9"/>
        <v>1.2936569495107376E-3</v>
      </c>
      <c r="R29" s="9">
        <f>F29*$C$14</f>
        <v>3.9999999999999996E-5</v>
      </c>
      <c r="S29" s="9">
        <f t="shared" ref="S29:S49" si="10">$R29*L29</f>
        <v>3.9695000651503853E-7</v>
      </c>
      <c r="T29" s="9">
        <f t="shared" ref="T29:T49" si="11">R29*K29</f>
        <v>7.5158971430244277E-8</v>
      </c>
      <c r="U29" s="9">
        <f t="shared" ref="U29:U49" si="12">$R29*M29</f>
        <v>3.9603049993484958E-5</v>
      </c>
      <c r="V29" s="102">
        <f t="shared" ref="V29:V49" si="13">K29/M29</f>
        <v>1.8978076547793306E-3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5.9163420575972845</v>
      </c>
      <c r="J30" s="94">
        <f t="shared" si="2"/>
        <v>8.0025110320676838</v>
      </c>
      <c r="K30" s="95">
        <f t="shared" si="3"/>
        <v>1.1859067478600247E-6</v>
      </c>
      <c r="L30" s="95">
        <f t="shared" si="4"/>
        <v>1.6785918113400876E-2</v>
      </c>
      <c r="M30" s="95">
        <f t="shared" si="5"/>
        <v>0.98321408188659909</v>
      </c>
      <c r="N30" s="95">
        <f t="shared" si="6"/>
        <v>1.6646735245196373E-2</v>
      </c>
      <c r="O30" s="40">
        <f t="shared" si="7"/>
        <v>1.1922486226701565E-12</v>
      </c>
      <c r="P30" s="40">
        <f t="shared" si="8"/>
        <v>1.1991620101383425E-4</v>
      </c>
      <c r="Q30" s="40">
        <f t="shared" si="9"/>
        <v>2.3784379697329569E-3</v>
      </c>
      <c r="R30" s="9">
        <f t="shared" ref="R30:R49" si="14">F30*$C$14</f>
        <v>3.9999999999999996E-5</v>
      </c>
      <c r="S30" s="9">
        <f t="shared" si="10"/>
        <v>6.7143672453603502E-7</v>
      </c>
      <c r="T30" s="9">
        <f t="shared" si="11"/>
        <v>4.7436269914400984E-11</v>
      </c>
      <c r="U30" s="9">
        <f t="shared" si="12"/>
        <v>3.9328563275463958E-5</v>
      </c>
      <c r="V30" s="102">
        <f t="shared" si="13"/>
        <v>1.2061531356268793E-6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1.2852308448323728</v>
      </c>
      <c r="J31" s="94">
        <f t="shared" si="2"/>
        <v>3.0509801020444232</v>
      </c>
      <c r="K31" s="95">
        <f t="shared" si="3"/>
        <v>5.1166143641907795E-2</v>
      </c>
      <c r="L31" s="95">
        <f t="shared" si="4"/>
        <v>8.0974134673919493E-3</v>
      </c>
      <c r="M31" s="95">
        <f t="shared" si="5"/>
        <v>0.9919025865326081</v>
      </c>
      <c r="N31" s="95">
        <f t="shared" si="6"/>
        <v>7.1212333644401207E-3</v>
      </c>
      <c r="O31" s="40">
        <f t="shared" si="7"/>
        <v>5.1439764884117393E-8</v>
      </c>
      <c r="P31" s="40">
        <f t="shared" si="8"/>
        <v>5.784676503769563E-5</v>
      </c>
      <c r="Q31" s="40">
        <f t="shared" si="9"/>
        <v>1.017461476730163E-3</v>
      </c>
      <c r="R31" s="9">
        <f t="shared" si="14"/>
        <v>3.9999999999999996E-5</v>
      </c>
      <c r="S31" s="9">
        <f t="shared" si="10"/>
        <v>3.2389653869567792E-7</v>
      </c>
      <c r="T31" s="9">
        <f t="shared" si="11"/>
        <v>2.0466457456763116E-6</v>
      </c>
      <c r="U31" s="9">
        <f t="shared" si="12"/>
        <v>3.967610346130432E-5</v>
      </c>
      <c r="V31" s="102">
        <f t="shared" si="13"/>
        <v>5.1583839317093809E-2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3.9109447814528924</v>
      </c>
      <c r="J32" s="94">
        <f t="shared" si="2"/>
        <v>5.7767955088211638</v>
      </c>
      <c r="K32" s="95">
        <f t="shared" si="3"/>
        <v>1.2088102024183383E-4</v>
      </c>
      <c r="L32" s="95">
        <f t="shared" si="4"/>
        <v>1.0175064092344544E-2</v>
      </c>
      <c r="M32" s="95">
        <f t="shared" si="5"/>
        <v>0.98982493590765541</v>
      </c>
      <c r="N32" s="95">
        <f t="shared" si="6"/>
        <v>9.3293556420886211E-3</v>
      </c>
      <c r="O32" s="40">
        <f t="shared" si="7"/>
        <v>1.2152745580574141E-10</v>
      </c>
      <c r="P32" s="40">
        <f t="shared" si="8"/>
        <v>7.2689204295124784E-5</v>
      </c>
      <c r="Q32" s="40">
        <f t="shared" si="9"/>
        <v>1.3329516788397875E-3</v>
      </c>
      <c r="R32" s="9">
        <f t="shared" si="14"/>
        <v>3.9999999999999996E-5</v>
      </c>
      <c r="S32" s="9">
        <f t="shared" si="10"/>
        <v>4.0700256369378172E-7</v>
      </c>
      <c r="T32" s="9">
        <f t="shared" si="11"/>
        <v>4.8352408096733526E-9</v>
      </c>
      <c r="U32" s="9">
        <f t="shared" si="12"/>
        <v>3.9592997436306214E-5</v>
      </c>
      <c r="V32" s="102">
        <f t="shared" si="13"/>
        <v>1.221236360659955E-4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3.4646398062685493</v>
      </c>
      <c r="J33" s="94">
        <f t="shared" si="2"/>
        <v>5.2786655449069544</v>
      </c>
      <c r="K33" s="95">
        <f t="shared" si="3"/>
        <v>3.3818975821553129E-4</v>
      </c>
      <c r="L33" s="95">
        <f t="shared" si="4"/>
        <v>9.0408554175797212E-3</v>
      </c>
      <c r="M33" s="95">
        <f t="shared" si="5"/>
        <v>0.99095914458242029</v>
      </c>
      <c r="N33" s="95">
        <f t="shared" si="6"/>
        <v>8.0742833025190912E-3</v>
      </c>
      <c r="O33" s="40">
        <f t="shared" si="7"/>
        <v>3.3999829595472697E-10</v>
      </c>
      <c r="P33" s="40">
        <f t="shared" si="8"/>
        <v>6.4586579552415669E-5</v>
      </c>
      <c r="Q33" s="40">
        <f t="shared" si="9"/>
        <v>1.1536305288830633E-3</v>
      </c>
      <c r="R33" s="9">
        <f t="shared" si="14"/>
        <v>3.9999999999999996E-5</v>
      </c>
      <c r="S33" s="9">
        <f t="shared" si="10"/>
        <v>3.6163421670318884E-7</v>
      </c>
      <c r="T33" s="9">
        <f t="shared" si="11"/>
        <v>1.352759032862125E-8</v>
      </c>
      <c r="U33" s="9">
        <f t="shared" si="12"/>
        <v>3.9638365783296809E-5</v>
      </c>
      <c r="V33" s="102">
        <f t="shared" si="13"/>
        <v>3.4127517775522508E-4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3.4579829545014036</v>
      </c>
      <c r="J34" s="94">
        <f t="shared" si="2"/>
        <v>5.3078721995446587</v>
      </c>
      <c r="K34" s="95">
        <f t="shared" si="3"/>
        <v>3.431463896454284E-4</v>
      </c>
      <c r="L34" s="95">
        <f t="shared" si="4"/>
        <v>9.8114944227661385E-3</v>
      </c>
      <c r="M34" s="95">
        <f t="shared" si="5"/>
        <v>0.99018850557723381</v>
      </c>
      <c r="N34" s="95">
        <f t="shared" si="6"/>
        <v>8.9273171994676079E-3</v>
      </c>
      <c r="O34" s="40">
        <f t="shared" si="7"/>
        <v>3.4498143396793266E-10</v>
      </c>
      <c r="P34" s="40">
        <f t="shared" si="8"/>
        <v>7.0091914514180967E-5</v>
      </c>
      <c r="Q34" s="40">
        <f t="shared" si="9"/>
        <v>1.2755095748393618E-3</v>
      </c>
      <c r="R34" s="9">
        <f t="shared" si="14"/>
        <v>3.9999999999999996E-5</v>
      </c>
      <c r="S34" s="9">
        <f t="shared" si="10"/>
        <v>3.9245977691064548E-7</v>
      </c>
      <c r="T34" s="9">
        <f t="shared" si="11"/>
        <v>1.3725855585817135E-8</v>
      </c>
      <c r="U34" s="9">
        <f t="shared" si="12"/>
        <v>3.9607540223089348E-5</v>
      </c>
      <c r="V34" s="102">
        <f t="shared" si="13"/>
        <v>3.4654652898176192E-4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0.62193942428688143</v>
      </c>
      <c r="J35" s="94">
        <f t="shared" si="2"/>
        <v>2.0837828896743456</v>
      </c>
      <c r="K35" s="95">
        <f t="shared" si="3"/>
        <v>0.23661793424493641</v>
      </c>
      <c r="L35" s="95">
        <f t="shared" si="4"/>
        <v>4.038444102619069E-3</v>
      </c>
      <c r="M35" s="95">
        <f t="shared" si="5"/>
        <v>0.99596155589738089</v>
      </c>
      <c r="N35" s="95">
        <f t="shared" si="6"/>
        <v>2.9612780719031561E-3</v>
      </c>
      <c r="O35" s="40">
        <f t="shared" si="7"/>
        <v>2.3788329623020312E-7</v>
      </c>
      <c r="P35" s="40">
        <f t="shared" si="8"/>
        <v>2.8850067748524537E-5</v>
      </c>
      <c r="Q35" s="40">
        <f t="shared" si="9"/>
        <v>4.2309895011903174E-4</v>
      </c>
      <c r="R35" s="9">
        <f t="shared" si="14"/>
        <v>3.9999999999999996E-5</v>
      </c>
      <c r="S35" s="9">
        <f t="shared" si="10"/>
        <v>1.6153776410476275E-7</v>
      </c>
      <c r="T35" s="9">
        <f t="shared" si="11"/>
        <v>9.4647173697974553E-6</v>
      </c>
      <c r="U35" s="9">
        <f t="shared" si="12"/>
        <v>3.9838462235895231E-5</v>
      </c>
      <c r="V35" s="102">
        <f t="shared" si="13"/>
        <v>0.23757737720281683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6.3597288158186656</v>
      </c>
      <c r="J36" s="94">
        <f t="shared" si="2"/>
        <v>8.4483031900032319</v>
      </c>
      <c r="K36" s="95">
        <f t="shared" si="3"/>
        <v>4.2719218092704375E-7</v>
      </c>
      <c r="L36" s="95">
        <f t="shared" si="4"/>
        <v>1.6877573691693577E-2</v>
      </c>
      <c r="M36" s="95">
        <f t="shared" si="5"/>
        <v>0.98312242630830637</v>
      </c>
      <c r="N36" s="95">
        <f t="shared" si="6"/>
        <v>1.6748187999707224E-2</v>
      </c>
      <c r="O36" s="40">
        <f t="shared" si="7"/>
        <v>4.2947667701933367E-13</v>
      </c>
      <c r="P36" s="40">
        <f t="shared" si="8"/>
        <v>1.2057097537150312E-4</v>
      </c>
      <c r="Q36" s="40">
        <f t="shared" si="9"/>
        <v>2.3929332494324546E-3</v>
      </c>
      <c r="R36" s="9">
        <f t="shared" si="14"/>
        <v>3.9999999999999996E-5</v>
      </c>
      <c r="S36" s="9">
        <f t="shared" si="10"/>
        <v>6.7510294766774307E-7</v>
      </c>
      <c r="T36" s="9">
        <f t="shared" si="11"/>
        <v>1.7087687237081749E-11</v>
      </c>
      <c r="U36" s="9">
        <f t="shared" si="12"/>
        <v>3.9324897052332249E-5</v>
      </c>
      <c r="V36" s="102">
        <f t="shared" si="13"/>
        <v>4.3452592423425871E-7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2.0466328175843658</v>
      </c>
      <c r="J37" s="94">
        <f t="shared" si="2"/>
        <v>3.8585870053842997</v>
      </c>
      <c r="K37" s="95">
        <f t="shared" si="3"/>
        <v>8.8549502252227418E-3</v>
      </c>
      <c r="L37" s="95">
        <f t="shared" si="4"/>
        <v>8.9982210447213905E-3</v>
      </c>
      <c r="M37" s="95">
        <f t="shared" si="5"/>
        <v>0.99100177895527863</v>
      </c>
      <c r="N37" s="95">
        <f t="shared" si="6"/>
        <v>8.0423812405014967E-3</v>
      </c>
      <c r="O37" s="40">
        <f t="shared" si="7"/>
        <v>8.9023038522087138E-9</v>
      </c>
      <c r="P37" s="40">
        <f t="shared" si="8"/>
        <v>6.4282005683340428E-5</v>
      </c>
      <c r="Q37" s="40">
        <f t="shared" si="9"/>
        <v>1.1490724534107379E-3</v>
      </c>
      <c r="R37" s="9">
        <f t="shared" si="14"/>
        <v>3.9999999999999996E-5</v>
      </c>
      <c r="S37" s="9">
        <f t="shared" si="10"/>
        <v>3.599288417888556E-7</v>
      </c>
      <c r="T37" s="9">
        <f t="shared" si="11"/>
        <v>3.5419800900890963E-7</v>
      </c>
      <c r="U37" s="9">
        <f t="shared" si="12"/>
        <v>3.9640071158211139E-5</v>
      </c>
      <c r="V37" s="102">
        <f t="shared" si="13"/>
        <v>8.9353525021495881E-3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0.75425121724867172</v>
      </c>
      <c r="J38" s="94">
        <f t="shared" si="2"/>
        <v>2.3639081225718592</v>
      </c>
      <c r="K38" s="95">
        <f t="shared" si="3"/>
        <v>0.17419085464803255</v>
      </c>
      <c r="L38" s="95">
        <f t="shared" si="4"/>
        <v>5.6665274956081233E-3</v>
      </c>
      <c r="M38" s="95">
        <f t="shared" si="5"/>
        <v>0.99433347250439186</v>
      </c>
      <c r="N38" s="95">
        <f t="shared" si="6"/>
        <v>4.6513378130472339E-3</v>
      </c>
      <c r="O38" s="40">
        <f t="shared" si="7"/>
        <v>1.7512237527159009E-7</v>
      </c>
      <c r="P38" s="40">
        <f t="shared" si="8"/>
        <v>4.0480862924696487E-5</v>
      </c>
      <c r="Q38" s="40">
        <f t="shared" si="9"/>
        <v>6.6456985719158003E-4</v>
      </c>
      <c r="R38" s="9">
        <f t="shared" si="14"/>
        <v>3.9999999999999996E-5</v>
      </c>
      <c r="S38" s="9">
        <f t="shared" si="10"/>
        <v>2.266610998243249E-7</v>
      </c>
      <c r="T38" s="9">
        <f t="shared" si="11"/>
        <v>6.9676341859213015E-6</v>
      </c>
      <c r="U38" s="9">
        <f t="shared" si="12"/>
        <v>3.977333890017567E-5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-1.6810051832329899E-4</v>
      </c>
      <c r="J39" s="94">
        <f t="shared" si="2"/>
        <v>-2.1315410513044985E-2</v>
      </c>
      <c r="K39" s="95">
        <f t="shared" si="3"/>
        <v>0.99507244612420109</v>
      </c>
      <c r="L39" s="95">
        <f t="shared" si="4"/>
        <v>1.3332844623401959E-4</v>
      </c>
      <c r="M39" s="95">
        <f t="shared" si="5"/>
        <v>0.99986667155376596</v>
      </c>
      <c r="N39" s="95">
        <f t="shared" si="6"/>
        <v>3.3915266409575622E-7</v>
      </c>
      <c r="O39" s="40">
        <f t="shared" si="7"/>
        <v>1.0003937961306149E-6</v>
      </c>
      <c r="P39" s="40">
        <f t="shared" si="8"/>
        <v>9.5247937297494531E-7</v>
      </c>
      <c r="Q39" s="40">
        <f t="shared" si="9"/>
        <v>4.8457163638389943E-8</v>
      </c>
      <c r="R39" s="9">
        <f t="shared" si="14"/>
        <v>3.9999999999999996E-5</v>
      </c>
      <c r="S39" s="9">
        <f t="shared" si="10"/>
        <v>5.3331378493607836E-9</v>
      </c>
      <c r="T39" s="9">
        <f t="shared" si="11"/>
        <v>3.980289784496804E-5</v>
      </c>
      <c r="U39" s="9">
        <f t="shared" si="12"/>
        <v>3.9994666862150634E-5</v>
      </c>
      <c r="V39" s="102">
        <f t="shared" si="13"/>
        <v>0.99520513527857191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1.0570731161685156</v>
      </c>
      <c r="J40" s="94">
        <f t="shared" si="2"/>
        <v>2.5889557991870298</v>
      </c>
      <c r="K40" s="95">
        <f t="shared" si="3"/>
        <v>8.6817473002740314E-2</v>
      </c>
      <c r="L40" s="95">
        <f t="shared" si="4"/>
        <v>4.7418353256442804E-3</v>
      </c>
      <c r="M40" s="95">
        <f t="shared" si="5"/>
        <v>0.99525816467435568</v>
      </c>
      <c r="N40" s="95">
        <f t="shared" si="6"/>
        <v>3.4709285435194927E-3</v>
      </c>
      <c r="O40" s="40">
        <f t="shared" si="7"/>
        <v>8.7281746897891775E-8</v>
      </c>
      <c r="P40" s="40">
        <f t="shared" si="8"/>
        <v>3.3874994161356233E-5</v>
      </c>
      <c r="Q40" s="40">
        <f t="shared" si="9"/>
        <v>4.9591635335936922E-4</v>
      </c>
      <c r="R40" s="9">
        <f t="shared" si="14"/>
        <v>3.9999999999999996E-5</v>
      </c>
      <c r="S40" s="9">
        <f t="shared" si="10"/>
        <v>1.8967341302577121E-7</v>
      </c>
      <c r="T40" s="9">
        <f t="shared" si="11"/>
        <v>3.4726989201096121E-6</v>
      </c>
      <c r="U40" s="9">
        <f t="shared" si="12"/>
        <v>3.9810326586974227E-5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1.1393826628828596</v>
      </c>
      <c r="J41" s="94">
        <f t="shared" si="2"/>
        <v>2.6634845218157044</v>
      </c>
      <c r="K41" s="95">
        <f t="shared" si="3"/>
        <v>7.1834680145006657E-2</v>
      </c>
      <c r="L41" s="95">
        <f t="shared" si="4"/>
        <v>4.6580292572963936E-3</v>
      </c>
      <c r="M41" s="95">
        <f t="shared" si="5"/>
        <v>0.99534197074270359</v>
      </c>
      <c r="N41" s="95">
        <f t="shared" si="6"/>
        <v>3.3512644111312381E-3</v>
      </c>
      <c r="O41" s="40">
        <f t="shared" si="7"/>
        <v>7.2218830542436788E-8</v>
      </c>
      <c r="P41" s="40">
        <f t="shared" si="8"/>
        <v>3.3276295581374404E-5</v>
      </c>
      <c r="Q41" s="40">
        <f t="shared" si="9"/>
        <v>4.788190840212566E-4</v>
      </c>
      <c r="R41" s="9">
        <f t="shared" si="14"/>
        <v>3.9999999999999996E-5</v>
      </c>
      <c r="S41" s="9">
        <f t="shared" si="10"/>
        <v>1.8632117029185574E-7</v>
      </c>
      <c r="T41" s="9">
        <f t="shared" si="11"/>
        <v>2.8733872058002661E-6</v>
      </c>
      <c r="U41" s="9">
        <f t="shared" si="12"/>
        <v>3.9813678829708143E-5</v>
      </c>
      <c r="V41" s="102">
        <f t="shared" si="13"/>
        <v>7.2170854094904799E-2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2.466507651261447</v>
      </c>
      <c r="J42" s="94">
        <f t="shared" si="2"/>
        <v>4.3682400663002383</v>
      </c>
      <c r="K42" s="95">
        <f t="shared" si="3"/>
        <v>3.3605844134882716E-3</v>
      </c>
      <c r="L42" s="95">
        <f t="shared" si="4"/>
        <v>1.1041762535655282E-2</v>
      </c>
      <c r="M42" s="95">
        <f t="shared" si="5"/>
        <v>0.98895823746434475</v>
      </c>
      <c r="N42" s="95">
        <f t="shared" si="6"/>
        <v>1.0294525672584612E-2</v>
      </c>
      <c r="O42" s="40">
        <f t="shared" si="7"/>
        <v>3.3785558144248808E-9</v>
      </c>
      <c r="P42" s="40">
        <f t="shared" si="8"/>
        <v>7.8880774160073439E-5</v>
      </c>
      <c r="Q42" s="40">
        <f t="shared" si="9"/>
        <v>1.4708524151683959E-3</v>
      </c>
      <c r="R42" s="9">
        <f t="shared" si="14"/>
        <v>3.9999999999999996E-5</v>
      </c>
      <c r="S42" s="9">
        <f t="shared" si="10"/>
        <v>4.4167050142621123E-7</v>
      </c>
      <c r="T42" s="9">
        <f t="shared" si="11"/>
        <v>1.3442337653953084E-7</v>
      </c>
      <c r="U42" s="9">
        <f t="shared" si="12"/>
        <v>3.9558329498573787E-5</v>
      </c>
      <c r="V42" s="102">
        <f t="shared" si="13"/>
        <v>3.3981054873507052E-3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2.2273249528367836</v>
      </c>
      <c r="J43" s="94">
        <f t="shared" si="2"/>
        <v>4.0532477704684826</v>
      </c>
      <c r="K43" s="95">
        <f t="shared" si="3"/>
        <v>5.8393737306125897E-3</v>
      </c>
      <c r="L43" s="95">
        <f t="shared" si="4"/>
        <v>9.2896118923791252E-3</v>
      </c>
      <c r="M43" s="95">
        <f t="shared" si="5"/>
        <v>0.99071038810762091</v>
      </c>
      <c r="N43" s="95">
        <f t="shared" si="6"/>
        <v>8.3595096604780986E-3</v>
      </c>
      <c r="O43" s="40">
        <f t="shared" si="7"/>
        <v>5.8706009558863664E-9</v>
      </c>
      <c r="P43" s="40">
        <f t="shared" si="8"/>
        <v>6.6363660271743369E-5</v>
      </c>
      <c r="Q43" s="40">
        <f t="shared" si="9"/>
        <v>1.1943828559757951E-3</v>
      </c>
      <c r="R43" s="9">
        <f t="shared" si="14"/>
        <v>3.9999999999999996E-5</v>
      </c>
      <c r="S43" s="9">
        <f t="shared" si="10"/>
        <v>3.71584475695165E-7</v>
      </c>
      <c r="T43" s="9">
        <f t="shared" si="11"/>
        <v>2.3357494922450357E-7</v>
      </c>
      <c r="U43" s="9">
        <f t="shared" si="12"/>
        <v>3.9628415524304832E-5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0.70532975413914478</v>
      </c>
      <c r="J44" s="94">
        <f t="shared" si="2"/>
        <v>2.3088898400463114</v>
      </c>
      <c r="K44" s="95">
        <f t="shared" si="3"/>
        <v>0.19497598403048147</v>
      </c>
      <c r="L44" s="95">
        <f t="shared" si="4"/>
        <v>5.5879754417927944E-3</v>
      </c>
      <c r="M44" s="95">
        <f t="shared" si="5"/>
        <v>0.99441202455820721</v>
      </c>
      <c r="N44" s="95">
        <f t="shared" si="6"/>
        <v>4.6017037182749954E-3</v>
      </c>
      <c r="O44" s="40">
        <f t="shared" si="7"/>
        <v>1.9601865731312775E-7</v>
      </c>
      <c r="P44" s="40">
        <f t="shared" si="8"/>
        <v>3.9919698273961766E-5</v>
      </c>
      <c r="Q44" s="40">
        <f t="shared" si="9"/>
        <v>6.574782795422218E-4</v>
      </c>
      <c r="R44" s="9">
        <f t="shared" si="14"/>
        <v>3.9999999999999996E-5</v>
      </c>
      <c r="S44" s="9">
        <f t="shared" si="10"/>
        <v>2.2351901767171175E-7</v>
      </c>
      <c r="T44" s="9">
        <f t="shared" si="11"/>
        <v>7.799039361219258E-6</v>
      </c>
      <c r="U44" s="9">
        <f t="shared" si="12"/>
        <v>3.9776480982328286E-5</v>
      </c>
      <c r="V44" s="102">
        <f t="shared" si="13"/>
        <v>0.19607162746961401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2.3272580136650043</v>
      </c>
      <c r="J45" s="94">
        <f t="shared" si="2"/>
        <v>4.041572503575793</v>
      </c>
      <c r="K45" s="95">
        <f t="shared" si="3"/>
        <v>4.6488813878356131E-3</v>
      </c>
      <c r="L45" s="95">
        <f t="shared" si="4"/>
        <v>7.1995358253936935E-3</v>
      </c>
      <c r="M45" s="95">
        <f t="shared" si="5"/>
        <v>0.99280046417460632</v>
      </c>
      <c r="N45" s="95">
        <f t="shared" si="6"/>
        <v>6.0438544627116932E-3</v>
      </c>
      <c r="O45" s="40">
        <f t="shared" si="7"/>
        <v>4.6737422159083151E-9</v>
      </c>
      <c r="P45" s="40">
        <f t="shared" si="8"/>
        <v>5.1432455431494626E-5</v>
      </c>
      <c r="Q45" s="40">
        <f t="shared" si="9"/>
        <v>8.6352865747663901E-4</v>
      </c>
      <c r="R45" s="9">
        <f t="shared" si="14"/>
        <v>3.9999999999999996E-5</v>
      </c>
      <c r="S45" s="9">
        <f t="shared" si="10"/>
        <v>2.8798143301574769E-7</v>
      </c>
      <c r="T45" s="9">
        <f t="shared" si="11"/>
        <v>1.8595525551342452E-7</v>
      </c>
      <c r="U45" s="9">
        <f t="shared" si="12"/>
        <v>3.9712018566984249E-5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0.64458903464573347</v>
      </c>
      <c r="J46" s="94">
        <f t="shared" si="2"/>
        <v>2.21956631274778</v>
      </c>
      <c r="K46" s="95">
        <f t="shared" si="3"/>
        <v>0.22432436414834417</v>
      </c>
      <c r="L46" s="95">
        <f t="shared" si="4"/>
        <v>5.2339104290342548E-3</v>
      </c>
      <c r="M46" s="95">
        <f t="shared" si="5"/>
        <v>0.99476608957096579</v>
      </c>
      <c r="N46" s="95">
        <f t="shared" si="6"/>
        <v>4.2624763034844679E-3</v>
      </c>
      <c r="O46" s="40">
        <f t="shared" si="7"/>
        <v>2.25523983795385E-7</v>
      </c>
      <c r="P46" s="40">
        <f t="shared" si="8"/>
        <v>3.7390308403530848E-5</v>
      </c>
      <c r="Q46" s="40">
        <f t="shared" si="9"/>
        <v>6.0901043573813643E-4</v>
      </c>
      <c r="R46" s="9">
        <f t="shared" si="14"/>
        <v>3.9999999999999996E-5</v>
      </c>
      <c r="S46" s="9">
        <f t="shared" si="10"/>
        <v>2.0935641716137017E-7</v>
      </c>
      <c r="T46" s="9">
        <f t="shared" si="11"/>
        <v>8.9729745659337652E-6</v>
      </c>
      <c r="U46" s="9">
        <f t="shared" si="12"/>
        <v>3.979064358283863E-5</v>
      </c>
      <c r="V46" s="102">
        <f t="shared" si="13"/>
        <v>0.22550463521036726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1.6299602750984028</v>
      </c>
      <c r="J47" s="94">
        <f t="shared" si="2"/>
        <v>3.1296066711876311</v>
      </c>
      <c r="K47" s="95">
        <f t="shared" si="3"/>
        <v>2.3220273489619914E-2</v>
      </c>
      <c r="L47" s="95">
        <f t="shared" si="4"/>
        <v>4.4041036313018219E-3</v>
      </c>
      <c r="M47" s="95">
        <f t="shared" si="5"/>
        <v>0.99559589636869816</v>
      </c>
      <c r="N47" s="95">
        <f t="shared" si="6"/>
        <v>2.9829148951767762E-3</v>
      </c>
      <c r="O47" s="40">
        <f t="shared" si="7"/>
        <v>2.3344448571508877E-8</v>
      </c>
      <c r="P47" s="40">
        <f t="shared" si="8"/>
        <v>3.1462287184358621E-5</v>
      </c>
      <c r="Q47" s="40">
        <f t="shared" si="9"/>
        <v>4.2619035760887145E-4</v>
      </c>
      <c r="R47" s="9">
        <f t="shared" si="14"/>
        <v>3.9999999999999996E-5</v>
      </c>
      <c r="S47" s="9">
        <f t="shared" si="10"/>
        <v>1.7616414525207286E-7</v>
      </c>
      <c r="T47" s="9">
        <f t="shared" si="11"/>
        <v>9.288109395847965E-7</v>
      </c>
      <c r="U47" s="9">
        <f t="shared" si="12"/>
        <v>3.9823835854747925E-5</v>
      </c>
      <c r="V47" s="102">
        <f t="shared" si="13"/>
        <v>2.3322990356140209E-2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1.2642800792666067</v>
      </c>
      <c r="K48" s="95">
        <f t="shared" ref="K48:K50" si="17">IF(D48=0,"",1/(1+10^D48*$J$15/$J$14+10^E48*$J$16/$J$14+10^J48*$J$19/$J$14))</f>
        <v>0.62820320387010342</v>
      </c>
      <c r="L48" s="95">
        <f t="shared" ref="L48:L50" si="18">IF(D48=0,"",1/(1+10^I48/10^J48*$J$13/$J$19))</f>
        <v>1.624664736371123E-3</v>
      </c>
      <c r="M48" s="95">
        <f t="shared" ref="M48:M92" si="19">IF(D48=0,"",1-L48)</f>
        <v>0.99837533526362887</v>
      </c>
      <c r="N48" s="95">
        <f t="shared" ref="N48:N50" si="20">IF(D48=0,"",1/(1/10^E48*$J$20/$J$22+10^D48/10^E48*$J$21/$J$22+10^I48/10^E48*$J$13/$J$22+1))</f>
        <v>9.9246609510959339E-4</v>
      </c>
      <c r="O48" s="40">
        <f t="shared" ref="O48:O92" si="21">IF(D48=0,"",F48*K48*$J$7/$J$14)</f>
        <v>6.3156264682922063E-7</v>
      </c>
      <c r="P48" s="40">
        <f t="shared" ref="P48:P50" si="22">IF(D48=0,"",O48*10^J48)</f>
        <v>1.1606372781672962E-5</v>
      </c>
      <c r="Q48" s="40">
        <f t="shared" ref="Q48:Q50" si="23">IF(D48=0,"",F48*N48*$J$7/$J$22)</f>
        <v>1.4180072005184411E-4</v>
      </c>
      <c r="R48" s="9">
        <f t="shared" si="14"/>
        <v>3.9999999999999996E-5</v>
      </c>
      <c r="S48" s="9">
        <f t="shared" si="10"/>
        <v>6.4986589454844916E-8</v>
      </c>
      <c r="T48" s="9">
        <f t="shared" si="11"/>
        <v>2.5128128154804135E-5</v>
      </c>
      <c r="U48" s="9">
        <f t="shared" si="12"/>
        <v>3.9935013410545152E-5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6.5352597387686409E-2</v>
      </c>
      <c r="J49" s="94">
        <f t="shared" si="16"/>
        <v>0.79270412978539373</v>
      </c>
      <c r="K49" s="95">
        <f t="shared" si="17"/>
        <v>0.85519961141385936</v>
      </c>
      <c r="L49" s="95">
        <f t="shared" si="18"/>
        <v>7.4671547628387259E-4</v>
      </c>
      <c r="M49" s="95">
        <f t="shared" si="19"/>
        <v>0.99925328452371609</v>
      </c>
      <c r="N49" s="95">
        <f t="shared" si="20"/>
        <v>4.2818655568335344E-4</v>
      </c>
      <c r="O49" s="40">
        <f t="shared" si="21"/>
        <v>8.5977296330939994E-7</v>
      </c>
      <c r="P49" s="40">
        <f t="shared" si="22"/>
        <v>5.3344286889325155E-6</v>
      </c>
      <c r="Q49" s="40">
        <f t="shared" si="23"/>
        <v>6.1178071685878428E-5</v>
      </c>
      <c r="R49" s="9">
        <f t="shared" si="14"/>
        <v>3.9999999999999996E-5</v>
      </c>
      <c r="S49" s="9">
        <f t="shared" si="10"/>
        <v>2.9868619051354901E-8</v>
      </c>
      <c r="T49" s="9">
        <f t="shared" si="11"/>
        <v>3.4207984456554368E-5</v>
      </c>
      <c r="U49" s="9">
        <f t="shared" si="12"/>
        <v>3.997013138094864E-5</v>
      </c>
      <c r="V49" s="102">
        <f t="shared" si="13"/>
        <v>0.85583867940097047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3.7217650281818146E-4</v>
      </c>
      <c r="J57" s="54">
        <f t="shared" si="25"/>
        <v>8.6629514448579737E-3</v>
      </c>
      <c r="K57" s="55">
        <f t="shared" si="26"/>
        <v>0.99382601893086631</v>
      </c>
      <c r="L57" s="55">
        <f t="shared" si="27"/>
        <v>1.426779438228359E-4</v>
      </c>
      <c r="M57" s="55">
        <f t="shared" si="28"/>
        <v>0.99985732205617717</v>
      </c>
      <c r="N57" s="55">
        <f t="shared" si="29"/>
        <v>8.4504511364274658E-6</v>
      </c>
      <c r="O57" s="56">
        <f t="shared" si="30"/>
        <v>9.9914070341721777E-7</v>
      </c>
      <c r="P57" s="56">
        <f t="shared" si="31"/>
        <v>1.0192708481069365E-6</v>
      </c>
      <c r="Q57" s="56">
        <f t="shared" si="32"/>
        <v>1.207376314226652E-6</v>
      </c>
      <c r="R57" s="9">
        <f t="shared" ref="R57:R58" si="33">F57*$C$14</f>
        <v>3.9999999999999996E-5</v>
      </c>
      <c r="S57" s="9">
        <f t="shared" ref="S57:S58" si="34">$R57*L57</f>
        <v>5.7071177529134357E-9</v>
      </c>
      <c r="T57" s="9">
        <f t="shared" ref="T57:T58" si="35">R57*K57</f>
        <v>3.9753040757234648E-5</v>
      </c>
      <c r="U57" s="9">
        <f t="shared" ref="U57:U58" si="36">$R57*M57</f>
        <v>3.9994292882247084E-5</v>
      </c>
      <c r="V57" s="102">
        <f t="shared" ref="V57:V58" si="37">K57/M57</f>
        <v>0.99396783621796392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0.27242732253974722</v>
      </c>
      <c r="J58" s="54">
        <f t="shared" si="25"/>
        <v>1.4682817666499361</v>
      </c>
      <c r="K58" s="55">
        <f t="shared" si="26"/>
        <v>0.53010726073937664</v>
      </c>
      <c r="L58" s="55">
        <f t="shared" si="27"/>
        <v>2.1929516031021896E-3</v>
      </c>
      <c r="M58" s="55">
        <f t="shared" si="28"/>
        <v>0.99780704839689782</v>
      </c>
      <c r="N58" s="55">
        <f t="shared" si="29"/>
        <v>1.4453941241980952E-3</v>
      </c>
      <c r="O58" s="56">
        <f t="shared" si="30"/>
        <v>5.3294211591632681E-7</v>
      </c>
      <c r="P58" s="56">
        <f t="shared" si="31"/>
        <v>1.5666132973761602E-5</v>
      </c>
      <c r="Q58" s="56">
        <f t="shared" si="32"/>
        <v>2.065137827679261E-4</v>
      </c>
      <c r="R58" s="9">
        <f t="shared" si="33"/>
        <v>3.9999999999999996E-5</v>
      </c>
      <c r="S58" s="9">
        <f t="shared" si="34"/>
        <v>8.7718064124087573E-8</v>
      </c>
      <c r="T58" s="9">
        <f t="shared" si="35"/>
        <v>2.1204290429575065E-5</v>
      </c>
      <c r="U58" s="9">
        <f t="shared" si="36"/>
        <v>3.9912281935875911E-5</v>
      </c>
      <c r="V58" s="102">
        <f t="shared" si="37"/>
        <v>0.53127231521471052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0.35062624883359406</v>
      </c>
      <c r="J60" s="54">
        <f t="shared" si="25"/>
        <v>1.5210188025338833</v>
      </c>
      <c r="K60" s="55">
        <f t="shared" si="26"/>
        <v>0.44281167336450683</v>
      </c>
      <c r="L60" s="55">
        <f t="shared" si="27"/>
        <v>2.0683374314190857E-3</v>
      </c>
      <c r="M60" s="55">
        <f t="shared" si="28"/>
        <v>0.9979316625685809</v>
      </c>
      <c r="N60" s="55">
        <f t="shared" si="29"/>
        <v>1.1507357177784486E-3</v>
      </c>
      <c r="O60" s="56">
        <f t="shared" si="30"/>
        <v>4.4517969783355573E-7</v>
      </c>
      <c r="P60" s="56">
        <f t="shared" si="31"/>
        <v>1.4775907133282035E-5</v>
      </c>
      <c r="Q60" s="56">
        <f t="shared" si="32"/>
        <v>1.6441383153984821E-4</v>
      </c>
      <c r="R60" s="9">
        <f t="shared" ref="R60:R65" si="38">F60*$C$14</f>
        <v>3.9999999999999996E-5</v>
      </c>
      <c r="S60" s="9">
        <f t="shared" ref="S60:S93" si="39">$R60*L60</f>
        <v>8.273349725676342E-8</v>
      </c>
      <c r="T60" s="9">
        <f t="shared" ref="T60:T93" si="40">R60*K60</f>
        <v>1.7712466934580271E-5</v>
      </c>
      <c r="U60" s="9">
        <f t="shared" ref="U60:U93" si="41">$R60*M60</f>
        <v>3.9917266502743231E-5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1.0599296125914559</v>
      </c>
      <c r="J61" s="54">
        <f t="shared" si="25"/>
        <v>2.5091055968760121</v>
      </c>
      <c r="K61" s="55">
        <f t="shared" si="26"/>
        <v>8.6319296294797607E-2</v>
      </c>
      <c r="L61" s="55">
        <f t="shared" si="27"/>
        <v>3.9228076713060745E-3</v>
      </c>
      <c r="M61" s="55">
        <f t="shared" si="28"/>
        <v>0.99607719232869396</v>
      </c>
      <c r="N61" s="55">
        <f t="shared" si="29"/>
        <v>2.563447476179211E-3</v>
      </c>
      <c r="O61" s="56">
        <f t="shared" si="30"/>
        <v>8.6780906089824169E-8</v>
      </c>
      <c r="P61" s="56">
        <f t="shared" si="31"/>
        <v>2.8023977602714708E-5</v>
      </c>
      <c r="Q61" s="56">
        <f t="shared" si="32"/>
        <v>3.6625805126083938E-4</v>
      </c>
      <c r="R61" s="9">
        <f t="shared" si="38"/>
        <v>3.9999999999999996E-5</v>
      </c>
      <c r="S61" s="9">
        <f t="shared" si="39"/>
        <v>1.5691230685224296E-7</v>
      </c>
      <c r="T61" s="9">
        <f t="shared" si="40"/>
        <v>3.4527718517919041E-6</v>
      </c>
      <c r="U61" s="9">
        <f t="shared" si="41"/>
        <v>3.9843087693147758E-5</v>
      </c>
      <c r="V61" s="102">
        <f t="shared" si="42"/>
        <v>8.6659243841327949E-2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0.76837016932652724</v>
      </c>
      <c r="J62" s="54">
        <f t="shared" si="25"/>
        <v>2.2508102103882899</v>
      </c>
      <c r="K62" s="55">
        <f t="shared" si="26"/>
        <v>0.1688619265200676</v>
      </c>
      <c r="L62" s="55">
        <f t="shared" si="27"/>
        <v>4.2337526162886715E-3</v>
      </c>
      <c r="M62" s="55">
        <f t="shared" si="28"/>
        <v>0.99576624738371133</v>
      </c>
      <c r="N62" s="55">
        <f t="shared" si="29"/>
        <v>3.0558235392472727E-3</v>
      </c>
      <c r="O62" s="56">
        <f t="shared" si="30"/>
        <v>1.6976494962885789E-7</v>
      </c>
      <c r="P62" s="56">
        <f t="shared" si="31"/>
        <v>3.0245323868963951E-5</v>
      </c>
      <c r="Q62" s="56">
        <f t="shared" si="32"/>
        <v>4.3660733636325245E-4</v>
      </c>
      <c r="R62" s="9">
        <f t="shared" si="38"/>
        <v>3.9999999999999996E-5</v>
      </c>
      <c r="S62" s="9">
        <f t="shared" si="39"/>
        <v>1.6935010465154685E-7</v>
      </c>
      <c r="T62" s="9">
        <f t="shared" si="40"/>
        <v>6.7544770608027031E-6</v>
      </c>
      <c r="U62" s="9">
        <f t="shared" si="41"/>
        <v>3.983064989534845E-5</v>
      </c>
      <c r="V62" s="102">
        <f t="shared" si="42"/>
        <v>0.16957988580526556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0.7211484450377651</v>
      </c>
      <c r="J63" s="54">
        <f t="shared" si="25"/>
        <v>2.1782102693561023</v>
      </c>
      <c r="K63" s="55">
        <f t="shared" si="26"/>
        <v>0.18830326166719527</v>
      </c>
      <c r="L63" s="55">
        <f t="shared" si="27"/>
        <v>3.9944007986554876E-3</v>
      </c>
      <c r="M63" s="55">
        <f t="shared" si="28"/>
        <v>0.99600559920134446</v>
      </c>
      <c r="N63" s="55">
        <f t="shared" si="29"/>
        <v>2.8257866878826842E-3</v>
      </c>
      <c r="O63" s="56">
        <f t="shared" si="30"/>
        <v>1.8931025122517508E-7</v>
      </c>
      <c r="P63" s="56">
        <f t="shared" si="31"/>
        <v>2.8535428676909288E-5</v>
      </c>
      <c r="Q63" s="56">
        <f t="shared" si="32"/>
        <v>4.0374032828842675E-4</v>
      </c>
      <c r="R63" s="9">
        <f t="shared" si="38"/>
        <v>3.9999999999999996E-5</v>
      </c>
      <c r="S63" s="9">
        <f t="shared" si="39"/>
        <v>1.5977603194621949E-7</v>
      </c>
      <c r="T63" s="9">
        <f t="shared" si="40"/>
        <v>7.5321304666878098E-6</v>
      </c>
      <c r="U63" s="9">
        <f t="shared" si="41"/>
        <v>3.9840223968053777E-5</v>
      </c>
      <c r="V63" s="102">
        <f t="shared" si="42"/>
        <v>0.18905843683829474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0.2338148544799136</v>
      </c>
      <c r="J64" s="54">
        <f t="shared" si="25"/>
        <v>1.4306562944149122</v>
      </c>
      <c r="K64" s="55">
        <f t="shared" si="26"/>
        <v>0.57939408053118424</v>
      </c>
      <c r="L64" s="55">
        <f t="shared" si="27"/>
        <v>2.1979300977358405E-3</v>
      </c>
      <c r="M64" s="55">
        <f t="shared" si="28"/>
        <v>0.99780206990226417</v>
      </c>
      <c r="N64" s="55">
        <f t="shared" si="29"/>
        <v>1.5393897343150683E-3</v>
      </c>
      <c r="O64" s="56">
        <f t="shared" si="30"/>
        <v>5.824925068881392E-7</v>
      </c>
      <c r="P64" s="56">
        <f t="shared" si="31"/>
        <v>1.5701698628210883E-5</v>
      </c>
      <c r="Q64" s="56">
        <f t="shared" si="32"/>
        <v>2.199436069825532E-4</v>
      </c>
      <c r="R64" s="9">
        <f t="shared" si="38"/>
        <v>3.9999999999999996E-5</v>
      </c>
      <c r="S64" s="9">
        <f t="shared" si="39"/>
        <v>8.7917203909433614E-8</v>
      </c>
      <c r="T64" s="9">
        <f t="shared" si="40"/>
        <v>2.3175763221247369E-5</v>
      </c>
      <c r="U64" s="9">
        <f t="shared" si="41"/>
        <v>3.9912082796090561E-5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1.2834731216469764</v>
      </c>
      <c r="J65" s="54">
        <f t="shared" si="25"/>
        <v>2.9136453532291715</v>
      </c>
      <c r="K65" s="55">
        <f t="shared" si="26"/>
        <v>5.148543918480581E-2</v>
      </c>
      <c r="L65" s="55">
        <f t="shared" si="27"/>
        <v>5.9389996932906084E-3</v>
      </c>
      <c r="M65" s="55">
        <f t="shared" si="28"/>
        <v>0.99406100030670941</v>
      </c>
      <c r="N65" s="55">
        <f t="shared" si="29"/>
        <v>4.7326452734059374E-3</v>
      </c>
      <c r="O65" s="56">
        <f t="shared" si="30"/>
        <v>5.1760767924138718E-8</v>
      </c>
      <c r="P65" s="56">
        <f t="shared" si="31"/>
        <v>4.2427365380340518E-5</v>
      </c>
      <c r="Q65" s="56">
        <f t="shared" si="32"/>
        <v>6.7618683482060192E-4</v>
      </c>
      <c r="R65" s="9">
        <f t="shared" si="38"/>
        <v>3.9999999999999996E-5</v>
      </c>
      <c r="S65" s="9">
        <f t="shared" si="39"/>
        <v>2.3755998773162431E-7</v>
      </c>
      <c r="T65" s="9">
        <f t="shared" si="40"/>
        <v>2.0594175673922322E-6</v>
      </c>
      <c r="U65" s="9">
        <f t="shared" si="41"/>
        <v>3.9762440012268371E-5</v>
      </c>
      <c r="V65" s="102">
        <f t="shared" si="42"/>
        <v>5.1793038021731463E-2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0.33491051106253611</v>
      </c>
      <c r="J68" s="54">
        <f t="shared" si="25"/>
        <v>1.4630863314519809</v>
      </c>
      <c r="K68" s="55">
        <f t="shared" si="26"/>
        <v>0.45921706190728567</v>
      </c>
      <c r="L68" s="55">
        <f t="shared" si="27"/>
        <v>1.8771020108769476E-3</v>
      </c>
      <c r="M68" s="55">
        <f t="shared" si="28"/>
        <v>0.99812289798912301</v>
      </c>
      <c r="N68" s="55">
        <f t="shared" si="29"/>
        <v>9.6850874803062559E-4</v>
      </c>
      <c r="O68" s="56">
        <f t="shared" si="30"/>
        <v>4.6167281749055382E-7</v>
      </c>
      <c r="P68" s="56">
        <f t="shared" si="31"/>
        <v>1.3409748608274793E-5</v>
      </c>
      <c r="Q68" s="56">
        <f t="shared" si="32"/>
        <v>1.3837776275076424E-4</v>
      </c>
      <c r="R68" s="9">
        <f>F68*$C$14</f>
        <v>3.9999999999999996E-5</v>
      </c>
      <c r="S68" s="9">
        <f t="shared" si="39"/>
        <v>7.5084080435077903E-8</v>
      </c>
      <c r="T68" s="9">
        <f t="shared" si="40"/>
        <v>1.8368682476291424E-5</v>
      </c>
      <c r="U68" s="9">
        <f t="shared" si="41"/>
        <v>3.9924915919564916E-5</v>
      </c>
      <c r="V68" s="102">
        <f t="shared" si="42"/>
        <v>0.46008068027740001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2.1724337273682748</v>
      </c>
      <c r="J69" s="54">
        <f t="shared" si="25"/>
        <v>3.8581605774828258</v>
      </c>
      <c r="K69" s="55">
        <f t="shared" si="26"/>
        <v>6.6431183186139789E-3</v>
      </c>
      <c r="L69" s="55">
        <f t="shared" si="27"/>
        <v>6.7439771937984339E-3</v>
      </c>
      <c r="M69" s="55">
        <f t="shared" si="28"/>
        <v>0.99325602280620151</v>
      </c>
      <c r="N69" s="55">
        <f t="shared" si="29"/>
        <v>5.5431741087540098E-3</v>
      </c>
      <c r="O69" s="56">
        <f t="shared" si="30"/>
        <v>6.6786437296984222E-9</v>
      </c>
      <c r="P69" s="56">
        <f t="shared" si="31"/>
        <v>4.8178009647182648E-5</v>
      </c>
      <c r="Q69" s="56">
        <f t="shared" si="32"/>
        <v>7.9199287901846223E-4</v>
      </c>
      <c r="R69" s="9">
        <f>F69*$C$14</f>
        <v>3.9999999999999996E-5</v>
      </c>
      <c r="S69" s="9">
        <f t="shared" si="39"/>
        <v>2.6975908775193732E-7</v>
      </c>
      <c r="T69" s="9">
        <f t="shared" si="40"/>
        <v>2.6572473274455915E-7</v>
      </c>
      <c r="U69" s="9">
        <f t="shared" si="41"/>
        <v>3.9730240912248058E-5</v>
      </c>
      <c r="V69" s="102">
        <f t="shared" si="42"/>
        <v>6.6882235456730242E-3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6.2122287627494992E-2</v>
      </c>
      <c r="J70" s="54">
        <f t="shared" si="25"/>
        <v>0.63617430590334978</v>
      </c>
      <c r="K70" s="55">
        <f t="shared" si="26"/>
        <v>0.86177574097107923</v>
      </c>
      <c r="L70" s="55">
        <f t="shared" si="27"/>
        <v>5.2474957835624519E-4</v>
      </c>
      <c r="M70" s="55">
        <f t="shared" si="28"/>
        <v>0.99947525042164376</v>
      </c>
      <c r="N70" s="55">
        <f t="shared" si="29"/>
        <v>1.9429731393151863E-4</v>
      </c>
      <c r="O70" s="56">
        <f t="shared" si="30"/>
        <v>8.6638426004183194E-7</v>
      </c>
      <c r="P70" s="56">
        <f t="shared" si="31"/>
        <v>3.7487360235515363E-6</v>
      </c>
      <c r="Q70" s="56">
        <f t="shared" si="32"/>
        <v>2.7760645079352716E-5</v>
      </c>
      <c r="R70" s="9">
        <f t="shared" ref="R70:R86" si="43">F70*$C$14</f>
        <v>3.9999999999999996E-5</v>
      </c>
      <c r="S70" s="9">
        <f t="shared" si="39"/>
        <v>2.0989983134249805E-8</v>
      </c>
      <c r="T70" s="9">
        <f t="shared" si="40"/>
        <v>3.4471029638843167E-5</v>
      </c>
      <c r="U70" s="9">
        <f t="shared" si="41"/>
        <v>3.9979010016865746E-5</v>
      </c>
      <c r="V70" s="102">
        <f t="shared" si="42"/>
        <v>0.86222819485277513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1.3625600825731248</v>
      </c>
      <c r="K71" s="55">
        <f t="shared" ref="K71:K122" si="46">IF(D71=0,"",1/(1+10^D71*$J$15/$J$14+10^E71*$J$16/$J$14+10^J71*$J$19/$J$14))</f>
        <v>0.5908593269778305</v>
      </c>
      <c r="L71" s="55">
        <f t="shared" ref="L71:L122" si="47">IF(D71=0,"",1/(1+10^I71/10^J71*$J$13/$J$19))</f>
        <v>1.9161420688201718E-3</v>
      </c>
      <c r="M71" s="55">
        <f t="shared" si="19"/>
        <v>0.99808385793117982</v>
      </c>
      <c r="N71" s="55">
        <f t="shared" ref="N71:N122" si="48">IF(D71=0,"",1/(1/10^E71*$J$20/$J$22+10^D71/10^E71*$J$21/$J$22+10^I71/10^E71*$J$13/$J$22+1))</f>
        <v>1.2480604692161484E-3</v>
      </c>
      <c r="O71" s="56">
        <f t="shared" si="21"/>
        <v>5.9401906604572429E-7</v>
      </c>
      <c r="P71" s="56">
        <f t="shared" ref="P71:P122" si="49">IF(D71=0,"",O71*10^J71)</f>
        <v>1.3688645205070047E-5</v>
      </c>
      <c r="Q71" s="56">
        <f t="shared" ref="Q71:Q122" si="50">IF(D71=0,"",F71*N71*$J$7/$J$22)</f>
        <v>1.7831931395454836E-4</v>
      </c>
      <c r="R71" s="9">
        <f t="shared" si="43"/>
        <v>3.9999999999999996E-5</v>
      </c>
      <c r="S71" s="9">
        <f t="shared" si="39"/>
        <v>7.6645682752806866E-8</v>
      </c>
      <c r="T71" s="9">
        <f t="shared" si="40"/>
        <v>2.3634373079113217E-5</v>
      </c>
      <c r="U71" s="9">
        <f t="shared" si="41"/>
        <v>3.992335431724719E-5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0.32073739190116707</v>
      </c>
      <c r="J72" s="54">
        <f t="shared" si="45"/>
        <v>1.4662062884307066</v>
      </c>
      <c r="K72" s="55">
        <f t="shared" si="46"/>
        <v>0.4744145719872469</v>
      </c>
      <c r="L72" s="55">
        <f t="shared" si="47"/>
        <v>1.9532050412652143E-3</v>
      </c>
      <c r="M72" s="55">
        <f t="shared" si="19"/>
        <v>0.99804679495873483</v>
      </c>
      <c r="N72" s="55">
        <f t="shared" si="48"/>
        <v>1.0800318238341825E-3</v>
      </c>
      <c r="O72" s="56">
        <f t="shared" si="21"/>
        <v>4.7695159931176003E-7</v>
      </c>
      <c r="P72" s="56">
        <f t="shared" si="49"/>
        <v>1.3953417785507089E-5</v>
      </c>
      <c r="Q72" s="56">
        <f t="shared" si="50"/>
        <v>1.54311861184217E-4</v>
      </c>
      <c r="R72" s="9">
        <f t="shared" si="43"/>
        <v>3.9999999999999996E-5</v>
      </c>
      <c r="S72" s="9">
        <f t="shared" si="39"/>
        <v>7.8128201650608559E-8</v>
      </c>
      <c r="T72" s="9">
        <f t="shared" si="40"/>
        <v>1.8976582879489876E-5</v>
      </c>
      <c r="U72" s="9">
        <f t="shared" si="41"/>
        <v>3.9921871798349392E-5</v>
      </c>
      <c r="V72" s="102">
        <f t="shared" si="42"/>
        <v>0.47534301435922355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3.8293839195374848</v>
      </c>
      <c r="J73" s="54">
        <f t="shared" si="45"/>
        <v>5.7902923462368587</v>
      </c>
      <c r="K73" s="55">
        <f t="shared" si="46"/>
        <v>1.4549199130760247E-4</v>
      </c>
      <c r="L73" s="55">
        <f t="shared" si="47"/>
        <v>1.2633246264873152E-2</v>
      </c>
      <c r="M73" s="55">
        <f t="shared" si="19"/>
        <v>0.98736675373512683</v>
      </c>
      <c r="N73" s="55">
        <f t="shared" si="48"/>
        <v>1.2050376612293663E-2</v>
      </c>
      <c r="O73" s="56">
        <f t="shared" si="21"/>
        <v>1.4627003898834516E-10</v>
      </c>
      <c r="P73" s="56">
        <f t="shared" si="49"/>
        <v>9.0250106566787389E-5</v>
      </c>
      <c r="Q73" s="56">
        <f t="shared" si="50"/>
        <v>1.7217233807170548E-3</v>
      </c>
      <c r="R73" s="9">
        <f t="shared" si="43"/>
        <v>3.9999999999999996E-5</v>
      </c>
      <c r="S73" s="9">
        <f t="shared" si="39"/>
        <v>5.05329850594926E-7</v>
      </c>
      <c r="T73" s="9">
        <f t="shared" si="40"/>
        <v>5.8196796523040982E-9</v>
      </c>
      <c r="U73" s="9">
        <f t="shared" si="41"/>
        <v>3.949467014940507E-5</v>
      </c>
      <c r="V73" s="102">
        <f t="shared" si="42"/>
        <v>1.4735354492868865E-4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3.8037572032670899E-2</v>
      </c>
      <c r="J74" s="54">
        <f t="shared" si="45"/>
        <v>0.50735979747220017</v>
      </c>
      <c r="K74" s="55">
        <f t="shared" si="46"/>
        <v>0.91101979875130401</v>
      </c>
      <c r="L74" s="55">
        <f t="shared" si="47"/>
        <v>4.1235488205253347E-4</v>
      </c>
      <c r="M74" s="55">
        <f t="shared" si="19"/>
        <v>0.99958764511794751</v>
      </c>
      <c r="N74" s="55">
        <f t="shared" si="48"/>
        <v>1.5829505482018566E-4</v>
      </c>
      <c r="O74" s="56">
        <f t="shared" si="21"/>
        <v>9.1589166032360546E-7</v>
      </c>
      <c r="P74" s="56">
        <f t="shared" si="49"/>
        <v>2.945804369543006E-6</v>
      </c>
      <c r="Q74" s="56">
        <f t="shared" si="50"/>
        <v>2.2616745161122925E-5</v>
      </c>
      <c r="R74" s="9">
        <f t="shared" si="43"/>
        <v>3.9999999999999996E-5</v>
      </c>
      <c r="S74" s="9">
        <f t="shared" si="39"/>
        <v>1.6494195282101337E-8</v>
      </c>
      <c r="T74" s="9">
        <f t="shared" si="40"/>
        <v>3.6440791950052158E-5</v>
      </c>
      <c r="U74" s="9">
        <f t="shared" si="41"/>
        <v>3.99835058047179E-5</v>
      </c>
      <c r="V74" s="102">
        <f t="shared" si="42"/>
        <v>0.9113956171835309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4.0258976380178252E-2</v>
      </c>
      <c r="J75" s="54">
        <f t="shared" si="45"/>
        <v>0.50980800632319279</v>
      </c>
      <c r="K75" s="55">
        <f t="shared" si="46"/>
        <v>0.90637165945238707</v>
      </c>
      <c r="L75" s="55">
        <f t="shared" si="47"/>
        <v>4.1257019626438578E-4</v>
      </c>
      <c r="M75" s="55">
        <f t="shared" si="19"/>
        <v>0.99958742980373561</v>
      </c>
      <c r="N75" s="55">
        <f t="shared" si="48"/>
        <v>1.5018855874906472E-4</v>
      </c>
      <c r="O75" s="56">
        <f t="shared" si="21"/>
        <v>9.1121866416508545E-7</v>
      </c>
      <c r="P75" s="56">
        <f t="shared" si="49"/>
        <v>2.9473425435133049E-6</v>
      </c>
      <c r="Q75" s="56">
        <f t="shared" si="50"/>
        <v>2.1458512163898508E-5</v>
      </c>
      <c r="R75" s="9">
        <f t="shared" si="43"/>
        <v>3.9999999999999996E-5</v>
      </c>
      <c r="S75" s="9">
        <f t="shared" si="39"/>
        <v>1.6502807850575431E-8</v>
      </c>
      <c r="T75" s="9">
        <f t="shared" si="40"/>
        <v>3.6254866378095482E-5</v>
      </c>
      <c r="U75" s="9">
        <f t="shared" si="41"/>
        <v>3.9983497192149423E-5</v>
      </c>
      <c r="V75" s="102">
        <f t="shared" si="42"/>
        <v>0.90674575572678917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1.137117589232139</v>
      </c>
      <c r="J76" s="54">
        <f t="shared" si="45"/>
        <v>2.6948578399819088</v>
      </c>
      <c r="K76" s="55">
        <f t="shared" si="46"/>
        <v>7.21832363757548E-2</v>
      </c>
      <c r="L76" s="55">
        <f t="shared" si="47"/>
        <v>5.0312710861685562E-3</v>
      </c>
      <c r="M76" s="55">
        <f t="shared" si="19"/>
        <v>0.99496872891383148</v>
      </c>
      <c r="N76" s="55">
        <f t="shared" si="48"/>
        <v>3.7650338246459289E-3</v>
      </c>
      <c r="O76" s="56">
        <f t="shared" si="21"/>
        <v>7.256925074772061E-8</v>
      </c>
      <c r="P76" s="56">
        <f t="shared" si="49"/>
        <v>3.5942681886575879E-5</v>
      </c>
      <c r="Q76" s="56">
        <f t="shared" si="50"/>
        <v>5.3793727562591114E-4</v>
      </c>
      <c r="R76" s="9">
        <f t="shared" si="43"/>
        <v>3.9999999999999996E-5</v>
      </c>
      <c r="S76" s="9">
        <f t="shared" si="39"/>
        <v>2.0125084344674222E-7</v>
      </c>
      <c r="T76" s="9">
        <f t="shared" si="40"/>
        <v>2.8873294550301917E-6</v>
      </c>
      <c r="U76" s="9">
        <f t="shared" si="41"/>
        <v>3.9798749156553254E-5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2.0958974367173925E-3</v>
      </c>
      <c r="J77" s="54">
        <f t="shared" si="45"/>
        <v>3.5001380315971067E-2</v>
      </c>
      <c r="K77" s="55">
        <f t="shared" si="46"/>
        <v>0.98988109099453769</v>
      </c>
      <c r="L77" s="55">
        <f t="shared" si="47"/>
        <v>1.5099686706663488E-4</v>
      </c>
      <c r="M77" s="55">
        <f t="shared" si="19"/>
        <v>0.99984900313293334</v>
      </c>
      <c r="N77" s="55">
        <f t="shared" si="48"/>
        <v>1.0576368171273675E-5</v>
      </c>
      <c r="O77" s="56">
        <f t="shared" si="21"/>
        <v>9.9517467918545762E-7</v>
      </c>
      <c r="P77" s="56">
        <f t="shared" si="49"/>
        <v>1.0787000473430299E-6</v>
      </c>
      <c r="Q77" s="56">
        <f t="shared" si="50"/>
        <v>1.5111212661168074E-6</v>
      </c>
      <c r="R77" s="9">
        <f t="shared" si="43"/>
        <v>3.9999999999999996E-5</v>
      </c>
      <c r="S77" s="9">
        <f t="shared" si="39"/>
        <v>6.039874682665395E-9</v>
      </c>
      <c r="T77" s="9">
        <f t="shared" si="40"/>
        <v>3.9595243639781503E-5</v>
      </c>
      <c r="U77" s="9">
        <f t="shared" si="41"/>
        <v>3.9993960125317333E-5</v>
      </c>
      <c r="V77" s="102">
        <f t="shared" si="42"/>
        <v>0.99003058251079701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0.86614766954915146</v>
      </c>
      <c r="K78" s="55">
        <f t="shared" si="46"/>
        <v>0.81211321112999602</v>
      </c>
      <c r="L78" s="55">
        <f t="shared" si="47"/>
        <v>8.397456695032736E-4</v>
      </c>
      <c r="M78" s="55">
        <f t="shared" si="19"/>
        <v>0.99916025433049671</v>
      </c>
      <c r="N78" s="55">
        <f t="shared" si="48"/>
        <v>4.5380900320476122E-4</v>
      </c>
      <c r="O78" s="56">
        <f t="shared" si="21"/>
        <v>8.1645614983570314E-7</v>
      </c>
      <c r="P78" s="56">
        <f t="shared" si="49"/>
        <v>5.9990230992643146E-6</v>
      </c>
      <c r="Q78" s="56">
        <f t="shared" si="50"/>
        <v>6.4838933780744261E-5</v>
      </c>
      <c r="R78" s="9">
        <f t="shared" si="43"/>
        <v>3.9999999999999996E-5</v>
      </c>
      <c r="S78" s="9">
        <f t="shared" si="39"/>
        <v>3.3589826780130939E-8</v>
      </c>
      <c r="T78" s="9">
        <f t="shared" si="40"/>
        <v>3.248452844519984E-5</v>
      </c>
      <c r="U78" s="9">
        <f t="shared" si="41"/>
        <v>3.9966410173219862E-5</v>
      </c>
      <c r="V78" s="102">
        <f t="shared" si="42"/>
        <v>0.81279575284363714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1.8465793817928891</v>
      </c>
      <c r="K79" s="55">
        <f t="shared" si="46"/>
        <v>0.30884511231149997</v>
      </c>
      <c r="L79" s="55">
        <f t="shared" si="47"/>
        <v>3.0528371808982977E-3</v>
      </c>
      <c r="M79" s="55">
        <f t="shared" si="19"/>
        <v>0.99694716281910167</v>
      </c>
      <c r="N79" s="55">
        <f t="shared" si="48"/>
        <v>1.9999736091592889E-3</v>
      </c>
      <c r="O79" s="56">
        <f t="shared" si="21"/>
        <v>3.1049672365576037E-7</v>
      </c>
      <c r="P79" s="56">
        <f t="shared" si="49"/>
        <v>2.1809032700740164E-5</v>
      </c>
      <c r="Q79" s="56">
        <f t="shared" si="50"/>
        <v>2.857505150663673E-4</v>
      </c>
      <c r="R79" s="9">
        <f t="shared" si="43"/>
        <v>3.9999999999999996E-5</v>
      </c>
      <c r="S79" s="9">
        <f t="shared" si="39"/>
        <v>1.2211348723593189E-7</v>
      </c>
      <c r="T79" s="9">
        <f t="shared" si="40"/>
        <v>1.2353804492459998E-5</v>
      </c>
      <c r="U79" s="9">
        <f t="shared" si="41"/>
        <v>3.9877886512764061E-5</v>
      </c>
      <c r="V79" s="102">
        <f t="shared" si="42"/>
        <v>0.3097908533468996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4.7849539498028779</v>
      </c>
      <c r="K80" s="55">
        <f t="shared" si="46"/>
        <v>1.0376287161467041E-3</v>
      </c>
      <c r="L80" s="55">
        <f t="shared" si="47"/>
        <v>8.8997838686224219E-3</v>
      </c>
      <c r="M80" s="55">
        <f t="shared" si="19"/>
        <v>0.99110021613137755</v>
      </c>
      <c r="N80" s="55">
        <f t="shared" si="48"/>
        <v>7.9193860540396899E-3</v>
      </c>
      <c r="O80" s="56">
        <f t="shared" si="21"/>
        <v>1.0431776443647742E-9</v>
      </c>
      <c r="P80" s="56">
        <f t="shared" si="49"/>
        <v>6.3578784559743039E-5</v>
      </c>
      <c r="Q80" s="56">
        <f t="shared" si="50"/>
        <v>1.1314992525838935E-3</v>
      </c>
      <c r="R80" s="9">
        <f t="shared" si="43"/>
        <v>3.9999999999999996E-5</v>
      </c>
      <c r="S80" s="9">
        <f t="shared" si="39"/>
        <v>3.5599135474489686E-7</v>
      </c>
      <c r="T80" s="9">
        <f t="shared" si="40"/>
        <v>4.1505148645868162E-8</v>
      </c>
      <c r="U80" s="9">
        <f t="shared" si="41"/>
        <v>3.96440086452551E-5</v>
      </c>
      <c r="V80" s="102">
        <f t="shared" si="42"/>
        <v>1.0469463120459646E-3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2.1476419495508856</v>
      </c>
      <c r="K81" s="55">
        <f t="shared" si="46"/>
        <v>0.22484027087485103</v>
      </c>
      <c r="L81" s="55">
        <f t="shared" si="47"/>
        <v>4.4452846642172696E-3</v>
      </c>
      <c r="M81" s="55">
        <f t="shared" si="19"/>
        <v>0.99555471533578277</v>
      </c>
      <c r="N81" s="55">
        <f t="shared" si="48"/>
        <v>3.3904678616871018E-3</v>
      </c>
      <c r="O81" s="56">
        <f t="shared" si="21"/>
        <v>2.2604264943685643E-7</v>
      </c>
      <c r="P81" s="56">
        <f t="shared" si="49"/>
        <v>3.175647860050186E-5</v>
      </c>
      <c r="Q81" s="56">
        <f t="shared" si="50"/>
        <v>4.8442036102681971E-4</v>
      </c>
      <c r="R81" s="9">
        <f t="shared" si="43"/>
        <v>3.9999999999999996E-5</v>
      </c>
      <c r="S81" s="9">
        <f t="shared" si="39"/>
        <v>1.7781138656869077E-7</v>
      </c>
      <c r="T81" s="9">
        <f t="shared" si="40"/>
        <v>8.9936108349940413E-6</v>
      </c>
      <c r="U81" s="9">
        <f t="shared" si="41"/>
        <v>3.982218861343131E-5</v>
      </c>
      <c r="V81" s="102">
        <f t="shared" si="42"/>
        <v>0.22584421269002422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3.0007157776870899</v>
      </c>
      <c r="K82" s="55">
        <f t="shared" si="46"/>
        <v>4.800444145584961E-2</v>
      </c>
      <c r="L82" s="55">
        <f t="shared" si="47"/>
        <v>6.7667592687851753E-3</v>
      </c>
      <c r="M82" s="55">
        <f t="shared" si="19"/>
        <v>0.99323324073121477</v>
      </c>
      <c r="N82" s="55">
        <f t="shared" si="48"/>
        <v>5.6426479247596558E-3</v>
      </c>
      <c r="O82" s="56">
        <f t="shared" si="21"/>
        <v>4.8261154859827334E-8</v>
      </c>
      <c r="P82" s="56">
        <f t="shared" si="49"/>
        <v>4.8340761536305758E-5</v>
      </c>
      <c r="Q82" s="56">
        <f t="shared" si="50"/>
        <v>8.0620541363844592E-4</v>
      </c>
      <c r="R82" s="9">
        <f t="shared" si="43"/>
        <v>3.9999999999999996E-5</v>
      </c>
      <c r="S82" s="9">
        <f t="shared" si="39"/>
        <v>2.70670370751407E-7</v>
      </c>
      <c r="T82" s="9">
        <f t="shared" si="40"/>
        <v>1.9201776582339843E-6</v>
      </c>
      <c r="U82" s="9">
        <f t="shared" si="41"/>
        <v>3.9729329629248585E-5</v>
      </c>
      <c r="V82" s="102">
        <f t="shared" si="42"/>
        <v>4.8331489007062342E-2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2.3388959370141773</v>
      </c>
      <c r="K83" s="55">
        <f t="shared" si="46"/>
        <v>0.16284473193185436</v>
      </c>
      <c r="L83" s="55">
        <f t="shared" si="47"/>
        <v>5.0009576694452738E-3</v>
      </c>
      <c r="M83" s="55">
        <f t="shared" si="19"/>
        <v>0.99499904233055469</v>
      </c>
      <c r="N83" s="55">
        <f t="shared" si="48"/>
        <v>3.8942447743897618E-3</v>
      </c>
      <c r="O83" s="56">
        <f t="shared" si="21"/>
        <v>1.6371557688257655E-7</v>
      </c>
      <c r="P83" s="56">
        <f t="shared" si="49"/>
        <v>3.5726127167992841E-5</v>
      </c>
      <c r="Q83" s="56">
        <f t="shared" si="50"/>
        <v>5.5639856695116803E-4</v>
      </c>
      <c r="R83" s="9">
        <f t="shared" si="43"/>
        <v>3.9999999999999996E-5</v>
      </c>
      <c r="S83" s="9">
        <f t="shared" si="39"/>
        <v>2.0003830677781093E-7</v>
      </c>
      <c r="T83" s="9">
        <f t="shared" si="40"/>
        <v>6.5137892772741737E-6</v>
      </c>
      <c r="U83" s="9">
        <f t="shared" si="41"/>
        <v>3.9799961693222184E-5</v>
      </c>
      <c r="V83" s="102">
        <f t="shared" si="42"/>
        <v>0.16366320469055762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0.66821968451796954</v>
      </c>
      <c r="K84" s="55">
        <f t="shared" si="46"/>
        <v>0.87316307061435661</v>
      </c>
      <c r="L84" s="55">
        <f t="shared" si="47"/>
        <v>5.7239861184070994E-4</v>
      </c>
      <c r="M84" s="55">
        <f t="shared" si="19"/>
        <v>0.99942760138815934</v>
      </c>
      <c r="N84" s="55">
        <f t="shared" si="48"/>
        <v>2.6748405086429006E-4</v>
      </c>
      <c r="O84" s="56">
        <f t="shared" si="21"/>
        <v>8.7783248572027349E-7</v>
      </c>
      <c r="P84" s="56">
        <f t="shared" si="49"/>
        <v>4.0891339117597685E-6</v>
      </c>
      <c r="Q84" s="56">
        <f t="shared" si="50"/>
        <v>3.8217356947344434E-5</v>
      </c>
      <c r="R84" s="9">
        <f t="shared" si="43"/>
        <v>3.9999999999999996E-5</v>
      </c>
      <c r="S84" s="9">
        <f t="shared" si="39"/>
        <v>2.2895944473628396E-8</v>
      </c>
      <c r="T84" s="9">
        <f t="shared" si="40"/>
        <v>3.492652282457426E-5</v>
      </c>
      <c r="U84" s="9">
        <f t="shared" si="41"/>
        <v>3.9977104055526369E-5</v>
      </c>
      <c r="V84" s="102">
        <f t="shared" si="42"/>
        <v>0.87366315419103191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0.61860589125383425</v>
      </c>
      <c r="J85" s="54">
        <f t="shared" si="45"/>
        <v>2.1336193491516409</v>
      </c>
      <c r="K85" s="55">
        <f t="shared" si="46"/>
        <v>0.23831579656083132</v>
      </c>
      <c r="L85" s="55">
        <f t="shared" si="47"/>
        <v>4.5620044772834087E-3</v>
      </c>
      <c r="M85" s="55">
        <f t="shared" si="19"/>
        <v>0.99543799552271661</v>
      </c>
      <c r="N85" s="55">
        <f t="shared" si="48"/>
        <v>3.5438584135322536E-3</v>
      </c>
      <c r="O85" s="56">
        <f t="shared" si="21"/>
        <v>2.395902382062583E-7</v>
      </c>
      <c r="P85" s="56">
        <f t="shared" si="49"/>
        <v>3.2590308270787354E-5</v>
      </c>
      <c r="Q85" s="56">
        <f t="shared" si="50"/>
        <v>5.0633636481573537E-4</v>
      </c>
      <c r="R85" s="9">
        <f t="shared" si="43"/>
        <v>3.9999999999999996E-5</v>
      </c>
      <c r="S85" s="9">
        <f t="shared" si="39"/>
        <v>1.8248017909133632E-7</v>
      </c>
      <c r="T85" s="9">
        <f t="shared" si="40"/>
        <v>9.532631862433252E-6</v>
      </c>
      <c r="U85" s="9">
        <f t="shared" si="41"/>
        <v>3.9817519820908664E-5</v>
      </c>
      <c r="V85" s="102">
        <f t="shared" si="42"/>
        <v>0.23940797682299519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1.4736389783743882</v>
      </c>
      <c r="K86" s="55">
        <f t="shared" si="46"/>
        <v>0.54330637311289109</v>
      </c>
      <c r="L86" s="55">
        <f t="shared" si="47"/>
        <v>2.2754500460545283E-3</v>
      </c>
      <c r="M86" s="55">
        <f t="shared" si="19"/>
        <v>0.99772454995394544</v>
      </c>
      <c r="N86" s="55">
        <f t="shared" si="48"/>
        <v>1.5604085872302704E-3</v>
      </c>
      <c r="O86" s="56">
        <f t="shared" si="21"/>
        <v>5.4621181319748989E-7</v>
      </c>
      <c r="P86" s="56">
        <f t="shared" si="49"/>
        <v>1.6255490064721255E-5</v>
      </c>
      <c r="Q86" s="56">
        <f t="shared" si="50"/>
        <v>2.2294672063321176E-4</v>
      </c>
      <c r="R86" s="9">
        <f t="shared" si="43"/>
        <v>3.9999999999999996E-5</v>
      </c>
      <c r="S86" s="9">
        <f t="shared" si="39"/>
        <v>9.1018001842181121E-8</v>
      </c>
      <c r="T86" s="9">
        <f t="shared" si="40"/>
        <v>2.1732254924515641E-5</v>
      </c>
      <c r="U86" s="9">
        <f t="shared" si="41"/>
        <v>3.9908981998157816E-5</v>
      </c>
      <c r="V86" s="102">
        <f t="shared" si="42"/>
        <v>0.54454545910288554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3.9852799121672526</v>
      </c>
      <c r="K88" s="55">
        <f t="shared" si="46"/>
        <v>7.1963944056394492E-3</v>
      </c>
      <c r="L88" s="55">
        <f t="shared" si="47"/>
        <v>9.7899031928048771E-3</v>
      </c>
      <c r="M88" s="55">
        <f t="shared" si="19"/>
        <v>0.99021009680719507</v>
      </c>
      <c r="N88" s="55">
        <f t="shared" si="48"/>
        <v>8.915721407646033E-3</v>
      </c>
      <c r="O88" s="56">
        <f t="shared" si="21"/>
        <v>7.2348785718584653E-9</v>
      </c>
      <c r="P88" s="56">
        <f t="shared" si="49"/>
        <v>6.9937669851799047E-5</v>
      </c>
      <c r="Q88" s="56">
        <f t="shared" si="50"/>
        <v>1.273852801234729E-3</v>
      </c>
      <c r="R88" s="9">
        <f>F88*$C$14</f>
        <v>3.9999999999999996E-5</v>
      </c>
      <c r="S88" s="9">
        <f t="shared" si="39"/>
        <v>3.9159612771219506E-7</v>
      </c>
      <c r="T88" s="9">
        <f t="shared" si="40"/>
        <v>2.8785577622557796E-7</v>
      </c>
      <c r="U88" s="9">
        <f t="shared" si="41"/>
        <v>3.9608403872287797E-5</v>
      </c>
      <c r="V88" s="102">
        <f t="shared" si="42"/>
        <v>7.2675429475454719E-3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5.4568603611336437</v>
      </c>
      <c r="K89" s="55">
        <f t="shared" si="46"/>
        <v>2.9630077951532728E-4</v>
      </c>
      <c r="L89" s="55">
        <f t="shared" si="47"/>
        <v>1.1939240018276179E-2</v>
      </c>
      <c r="M89" s="55">
        <f t="shared" si="19"/>
        <v>0.98806075998172382</v>
      </c>
      <c r="N89" s="55">
        <f t="shared" si="48"/>
        <v>1.1282447628020527E-2</v>
      </c>
      <c r="O89" s="56">
        <f t="shared" si="21"/>
        <v>2.9788530751739956E-10</v>
      </c>
      <c r="P89" s="56">
        <f t="shared" si="49"/>
        <v>8.5292225084848163E-5</v>
      </c>
      <c r="Q89" s="56">
        <f t="shared" si="50"/>
        <v>1.6120038815269212E-3</v>
      </c>
      <c r="R89" s="9">
        <f>F89*$C$14</f>
        <v>3.9999999999999996E-5</v>
      </c>
      <c r="S89" s="9">
        <f t="shared" si="39"/>
        <v>4.7756960073104718E-7</v>
      </c>
      <c r="T89" s="9">
        <f t="shared" si="40"/>
        <v>1.1852031180613091E-8</v>
      </c>
      <c r="U89" s="9">
        <f t="shared" si="41"/>
        <v>3.9522430399268951E-5</v>
      </c>
      <c r="V89" s="102">
        <f t="shared" si="42"/>
        <v>2.9988113233118171E-4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5.8376711731613922</v>
      </c>
      <c r="K90" s="55">
        <f t="shared" si="46"/>
        <v>1.33488988818433E-4</v>
      </c>
      <c r="L90" s="55">
        <f t="shared" si="47"/>
        <v>1.292707130388303E-2</v>
      </c>
      <c r="M90" s="55">
        <f t="shared" si="19"/>
        <v>0.98707292869611696</v>
      </c>
      <c r="N90" s="55">
        <f t="shared" si="48"/>
        <v>1.2375591784597881E-2</v>
      </c>
      <c r="O90" s="56">
        <f t="shared" si="21"/>
        <v>1.3420284802966123E-10</v>
      </c>
      <c r="P90" s="56">
        <f t="shared" si="49"/>
        <v>9.2349150670468458E-5</v>
      </c>
      <c r="Q90" s="56">
        <f t="shared" si="50"/>
        <v>1.7681891953496747E-3</v>
      </c>
      <c r="R90" s="9">
        <f>F90*$C$14</f>
        <v>3.9999999999999996E-5</v>
      </c>
      <c r="S90" s="9">
        <f t="shared" si="39"/>
        <v>5.1708285215532111E-7</v>
      </c>
      <c r="T90" s="9">
        <f t="shared" si="40"/>
        <v>5.3395595527373197E-9</v>
      </c>
      <c r="U90" s="9">
        <f t="shared" si="41"/>
        <v>3.9482917147844675E-5</v>
      </c>
      <c r="V90" s="102">
        <f t="shared" si="42"/>
        <v>1.352372098734047E-4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6.2686756056738835</v>
      </c>
      <c r="K91" s="55">
        <f t="shared" si="46"/>
        <v>5.2973641752433383E-5</v>
      </c>
      <c r="L91" s="55">
        <f t="shared" si="47"/>
        <v>1.383945423096828E-2</v>
      </c>
      <c r="M91" s="55">
        <f t="shared" si="19"/>
        <v>0.98616054576903167</v>
      </c>
      <c r="N91" s="55">
        <f t="shared" si="48"/>
        <v>1.3385369441835429E-2</v>
      </c>
      <c r="O91" s="56">
        <f t="shared" si="21"/>
        <v>5.3256928954261801E-11</v>
      </c>
      <c r="P91" s="56">
        <f t="shared" si="49"/>
        <v>9.886708396114728E-5</v>
      </c>
      <c r="Q91" s="56">
        <f t="shared" si="50"/>
        <v>1.9124633419367548E-3</v>
      </c>
      <c r="R91" s="9">
        <f t="shared" ref="R91:R92" si="51">F91*$C$14</f>
        <v>3.9999999999999996E-5</v>
      </c>
      <c r="S91" s="9">
        <f t="shared" si="39"/>
        <v>5.5357816923873114E-7</v>
      </c>
      <c r="T91" s="9">
        <f t="shared" si="40"/>
        <v>2.1189456700973351E-9</v>
      </c>
      <c r="U91" s="9">
        <f t="shared" si="41"/>
        <v>3.9446421830761261E-5</v>
      </c>
      <c r="V91" s="102">
        <f t="shared" si="42"/>
        <v>5.3717056497249405E-5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7.5335977384937181</v>
      </c>
      <c r="K92" s="55">
        <f t="shared" si="46"/>
        <v>3.1845473657050325E-6</v>
      </c>
      <c r="L92" s="55">
        <f t="shared" si="47"/>
        <v>1.5311896299517775E-2</v>
      </c>
      <c r="M92" s="55">
        <f t="shared" si="19"/>
        <v>0.98468810370048221</v>
      </c>
      <c r="N92" s="55">
        <f t="shared" si="48"/>
        <v>1.5015135129435503E-2</v>
      </c>
      <c r="O92" s="56">
        <f t="shared" si="21"/>
        <v>3.2015773731290397E-12</v>
      </c>
      <c r="P92" s="56">
        <f t="shared" si="49"/>
        <v>1.0938599974999809E-4</v>
      </c>
      <c r="Q92" s="56">
        <f t="shared" si="50"/>
        <v>2.1453196069076601E-3</v>
      </c>
      <c r="R92" s="9">
        <f t="shared" si="51"/>
        <v>3.9999999999999996E-5</v>
      </c>
      <c r="S92" s="9">
        <f t="shared" si="39"/>
        <v>6.1247585198071097E-7</v>
      </c>
      <c r="T92" s="9">
        <f t="shared" si="40"/>
        <v>1.2738189462820128E-10</v>
      </c>
      <c r="U92" s="9">
        <f t="shared" si="41"/>
        <v>3.9387524148019286E-5</v>
      </c>
      <c r="V92" s="102">
        <f t="shared" si="42"/>
        <v>3.2340670652335748E-6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1.270819636021709</v>
      </c>
      <c r="K93" s="55">
        <f t="shared" si="46"/>
        <v>0.56046876359610232</v>
      </c>
      <c r="L93" s="55">
        <f t="shared" si="47"/>
        <v>1.471480723296454E-3</v>
      </c>
      <c r="M93" s="55">
        <f t="shared" ref="M93:M127" si="52">IF(D93=0,"",1-L93)</f>
        <v>0.9985285192767035</v>
      </c>
      <c r="N93" s="55">
        <f t="shared" si="48"/>
        <v>7.0130178684691259E-4</v>
      </c>
      <c r="O93" s="56">
        <f t="shared" ref="O93:O127" si="53">IF(D93=0,"",F93*K93*$J$7/$J$14)</f>
        <v>5.6346598301502355E-7</v>
      </c>
      <c r="P93" s="56">
        <f t="shared" si="49"/>
        <v>1.0512048075697966E-5</v>
      </c>
      <c r="Q93" s="56">
        <f t="shared" si="50"/>
        <v>1.0019999558529587E-4</v>
      </c>
      <c r="R93" s="9">
        <f>F93*$C$14</f>
        <v>3.9999999999999996E-5</v>
      </c>
      <c r="S93" s="9">
        <f t="shared" si="39"/>
        <v>5.8859228931858153E-8</v>
      </c>
      <c r="T93" s="9">
        <f t="shared" si="40"/>
        <v>2.241875054384409E-5</v>
      </c>
      <c r="U93" s="9">
        <f t="shared" si="41"/>
        <v>3.9941140771068138E-5</v>
      </c>
      <c r="V93" s="102">
        <f t="shared" si="42"/>
        <v>0.56129469792418629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0.3105773051978919</v>
      </c>
      <c r="K107" s="55">
        <f t="shared" si="46"/>
        <v>0.95183106644664917</v>
      </c>
      <c r="L107" s="55">
        <f t="shared" si="47"/>
        <v>2.7385502139065052E-4</v>
      </c>
      <c r="M107" s="55">
        <f t="shared" si="52"/>
        <v>0.99972614497860934</v>
      </c>
      <c r="N107" s="55">
        <f t="shared" si="48"/>
        <v>7.8257398691583362E-5</v>
      </c>
      <c r="O107" s="56">
        <f t="shared" si="53"/>
        <v>9.5692117447975675E-7</v>
      </c>
      <c r="P107" s="56">
        <f t="shared" si="49"/>
        <v>1.9563811506688935E-6</v>
      </c>
      <c r="Q107" s="56">
        <f t="shared" si="50"/>
        <v>1.1181193532485739E-5</v>
      </c>
      <c r="R107" s="9">
        <f>F107*$C$14</f>
        <v>3.9999999999999996E-5</v>
      </c>
      <c r="S107" s="9">
        <f t="shared" ref="S107:S108" si="54">$R107*L107</f>
        <v>1.095420085562602E-8</v>
      </c>
      <c r="T107" s="9">
        <f t="shared" ref="T107:T108" si="55">R107*K107</f>
        <v>3.8073242657865962E-5</v>
      </c>
      <c r="U107" s="9">
        <f t="shared" ref="U107:U108" si="56">$R107*M107</f>
        <v>3.998904579914437E-5</v>
      </c>
      <c r="V107" s="102">
        <f t="shared" ref="V107:V108" si="57">K107/M107</f>
        <v>0.95209180156733331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1.0376508814998808</v>
      </c>
      <c r="K108" s="55">
        <f t="shared" si="46"/>
        <v>0.72985942096108714</v>
      </c>
      <c r="L108" s="55">
        <f t="shared" si="47"/>
        <v>1.1201434084867606E-3</v>
      </c>
      <c r="M108" s="55">
        <f t="shared" si="52"/>
        <v>0.99887985659151324</v>
      </c>
      <c r="N108" s="55">
        <f t="shared" si="48"/>
        <v>6.1651230687090829E-4</v>
      </c>
      <c r="O108" s="56">
        <f t="shared" si="53"/>
        <v>7.3376249098331521E-7</v>
      </c>
      <c r="P108" s="56">
        <f t="shared" si="49"/>
        <v>8.0021444897424929E-6</v>
      </c>
      <c r="Q108" s="56">
        <f t="shared" si="50"/>
        <v>8.8085516941981444E-5</v>
      </c>
      <c r="R108" s="9">
        <f>F108*$C$14</f>
        <v>3.9999999999999996E-5</v>
      </c>
      <c r="S108" s="9">
        <f t="shared" si="54"/>
        <v>4.4805736339470416E-8</v>
      </c>
      <c r="T108" s="9">
        <f t="shared" si="55"/>
        <v>2.9194376838443481E-5</v>
      </c>
      <c r="U108" s="9">
        <f t="shared" si="56"/>
        <v>3.9955194263660523E-5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0.9134404490197624</v>
      </c>
      <c r="K114" s="55">
        <f t="shared" si="46"/>
        <v>0.80071125611030314</v>
      </c>
      <c r="L114" s="55">
        <f t="shared" si="47"/>
        <v>9.2320874704055898E-4</v>
      </c>
      <c r="M114" s="55">
        <f t="shared" si="52"/>
        <v>0.99907679125295945</v>
      </c>
      <c r="N114" s="55">
        <f t="shared" si="48"/>
        <v>5.2572480176148325E-4</v>
      </c>
      <c r="O114" s="56">
        <f t="shared" si="53"/>
        <v>8.0499322056870458E-7</v>
      </c>
      <c r="P114" s="56">
        <f t="shared" si="49"/>
        <v>6.5952714018938926E-6</v>
      </c>
      <c r="Q114" s="56">
        <f t="shared" si="50"/>
        <v>7.5114057604818538E-5</v>
      </c>
      <c r="R114" s="9">
        <f>F114*$C$14</f>
        <v>3.9999999999999996E-5</v>
      </c>
      <c r="S114" s="9">
        <f t="shared" ref="S114:S116" si="58">$R114*L114</f>
        <v>3.6928349881622358E-8</v>
      </c>
      <c r="T114" s="9">
        <f t="shared" ref="T114:T116" si="59">R114*K114</f>
        <v>3.2028450244412126E-5</v>
      </c>
      <c r="U114" s="9">
        <f t="shared" ref="U114:U116" si="60">$R114*M114</f>
        <v>3.9963071650118378E-5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0.17110445915344102</v>
      </c>
      <c r="J115" s="54">
        <f t="shared" si="45"/>
        <v>0.97331271643662465</v>
      </c>
      <c r="K115" s="55">
        <f t="shared" si="46"/>
        <v>0.67027748940738519</v>
      </c>
      <c r="L115" s="55">
        <f t="shared" si="47"/>
        <v>8.8705567488331458E-4</v>
      </c>
      <c r="M115" s="55">
        <f t="shared" si="52"/>
        <v>0.99911294432511666</v>
      </c>
      <c r="N115" s="55">
        <f t="shared" si="48"/>
        <v>2.5153832609831419E-4</v>
      </c>
      <c r="O115" s="56">
        <f t="shared" si="53"/>
        <v>6.7386193306920068E-7</v>
      </c>
      <c r="P115" s="56">
        <f t="shared" si="49"/>
        <v>6.3369990191271333E-6</v>
      </c>
      <c r="Q115" s="56">
        <f t="shared" si="50"/>
        <v>3.5939077351995417E-5</v>
      </c>
      <c r="R115" s="9">
        <f>F115*$C$14</f>
        <v>3.9999999999999996E-5</v>
      </c>
      <c r="S115" s="9">
        <f t="shared" si="58"/>
        <v>3.548222699533258E-8</v>
      </c>
      <c r="T115" s="9">
        <f t="shared" si="59"/>
        <v>2.6811099576295405E-5</v>
      </c>
      <c r="U115" s="9">
        <f t="shared" si="60"/>
        <v>3.9964517773004659E-5</v>
      </c>
      <c r="V115" s="102">
        <f t="shared" si="61"/>
        <v>0.67087259074613026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7.3650487553540506E-2</v>
      </c>
      <c r="K116" s="55">
        <f t="shared" si="46"/>
        <v>0.98144759799823533</v>
      </c>
      <c r="L116" s="55">
        <f t="shared" si="47"/>
        <v>1.6364439388948061E-4</v>
      </c>
      <c r="M116" s="55">
        <f t="shared" si="52"/>
        <v>0.99983635560611051</v>
      </c>
      <c r="N116" s="55">
        <f t="shared" si="48"/>
        <v>9.4352985953281238E-6</v>
      </c>
      <c r="O116" s="56">
        <f t="shared" si="53"/>
        <v>9.8669608638945241E-7</v>
      </c>
      <c r="P116" s="56">
        <f t="shared" si="49"/>
        <v>1.1690521721758937E-6</v>
      </c>
      <c r="Q116" s="56">
        <f t="shared" si="50"/>
        <v>1.3480885053044954E-6</v>
      </c>
      <c r="R116" s="9">
        <f>F116*$C$14</f>
        <v>3.9999999999999996E-5</v>
      </c>
      <c r="S116" s="9">
        <f t="shared" si="58"/>
        <v>6.545775755579224E-9</v>
      </c>
      <c r="T116" s="9">
        <f t="shared" si="59"/>
        <v>3.9257903919929413E-5</v>
      </c>
      <c r="U116" s="9">
        <f t="shared" si="60"/>
        <v>3.9993454224244414E-5</v>
      </c>
      <c r="V116" s="102">
        <f t="shared" si="61"/>
        <v>0.98160823268250963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3.1029128175372134</v>
      </c>
      <c r="K119" s="55">
        <f t="shared" si="46"/>
        <v>3.547865615969701E-2</v>
      </c>
      <c r="L119" s="55">
        <f t="shared" si="47"/>
        <v>6.3279568187702773E-3</v>
      </c>
      <c r="M119" s="55">
        <f t="shared" si="52"/>
        <v>0.9936720431812297</v>
      </c>
      <c r="N119" s="55">
        <f t="shared" si="48"/>
        <v>5.1344472185336811E-3</v>
      </c>
      <c r="O119" s="56">
        <f t="shared" si="53"/>
        <v>3.5668385407972664E-8</v>
      </c>
      <c r="P119" s="56">
        <f t="shared" si="49"/>
        <v>4.5206019519463622E-5</v>
      </c>
      <c r="Q119" s="56">
        <f t="shared" si="50"/>
        <v>7.3359514873489644E-4</v>
      </c>
      <c r="R119" s="9">
        <f>F119*$C$14</f>
        <v>3.9999999999999996E-5</v>
      </c>
      <c r="S119" s="9">
        <f t="shared" ref="S119:S121" si="62">$R119*L119</f>
        <v>2.5311827275081107E-7</v>
      </c>
      <c r="T119" s="9">
        <f t="shared" ref="T119:T121" si="63">R119*K119</f>
        <v>1.4191462463878802E-6</v>
      </c>
      <c r="U119" s="9">
        <f t="shared" ref="U119:U121" si="64">$R119*M119</f>
        <v>3.9746881727249185E-5</v>
      </c>
      <c r="V119" s="102">
        <f t="shared" ref="V119:V121" si="65">K119/M119</f>
        <v>3.5704593284231381E-2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1.1861747440639347</v>
      </c>
      <c r="K120" s="55">
        <f t="shared" si="46"/>
        <v>0.63831562300072142</v>
      </c>
      <c r="L120" s="55">
        <f t="shared" si="47"/>
        <v>1.3790936094601773E-3</v>
      </c>
      <c r="M120" s="55">
        <f t="shared" si="52"/>
        <v>0.9986209063905398</v>
      </c>
      <c r="N120" s="55">
        <f t="shared" si="48"/>
        <v>7.3879680101936933E-4</v>
      </c>
      <c r="O120" s="56">
        <f t="shared" si="53"/>
        <v>6.4172914415466259E-7</v>
      </c>
      <c r="P120" s="56">
        <f t="shared" si="49"/>
        <v>9.8520477326107258E-6</v>
      </c>
      <c r="Q120" s="56">
        <f t="shared" si="50"/>
        <v>1.0555717608164456E-4</v>
      </c>
      <c r="R120" s="9">
        <f>F120*$C$14</f>
        <v>3.9999999999999996E-5</v>
      </c>
      <c r="S120" s="9">
        <f t="shared" si="62"/>
        <v>5.5163744378407087E-8</v>
      </c>
      <c r="T120" s="9">
        <f t="shared" si="63"/>
        <v>2.5532624920028853E-5</v>
      </c>
      <c r="U120" s="9">
        <f t="shared" si="64"/>
        <v>3.994483625562159E-5</v>
      </c>
      <c r="V120" s="102">
        <f t="shared" si="65"/>
        <v>0.63919713568573089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3.5462712425453593</v>
      </c>
      <c r="K121" s="55">
        <f t="shared" si="46"/>
        <v>1.0028421911758541E-2</v>
      </c>
      <c r="L121" s="55">
        <f t="shared" si="47"/>
        <v>4.9646354902260327E-3</v>
      </c>
      <c r="M121" s="55">
        <f t="shared" si="52"/>
        <v>0.99503536450977392</v>
      </c>
      <c r="N121" s="55">
        <f t="shared" si="48"/>
        <v>3.5796876165549471E-3</v>
      </c>
      <c r="O121" s="56">
        <f t="shared" si="53"/>
        <v>1.0082050914563627E-8</v>
      </c>
      <c r="P121" s="56">
        <f t="shared" si="49"/>
        <v>3.5466646708533326E-5</v>
      </c>
      <c r="Q121" s="56">
        <f t="shared" si="50"/>
        <v>5.1145553897446636E-4</v>
      </c>
      <c r="R121" s="9">
        <f>F121*$C$14</f>
        <v>3.9999999999999996E-5</v>
      </c>
      <c r="S121" s="9">
        <f t="shared" si="62"/>
        <v>1.9858541960904129E-7</v>
      </c>
      <c r="T121" s="9">
        <f t="shared" si="63"/>
        <v>4.0113687647034162E-7</v>
      </c>
      <c r="U121" s="9">
        <f t="shared" si="64"/>
        <v>3.9801414580390953E-5</v>
      </c>
      <c r="V121" s="102">
        <f t="shared" si="65"/>
        <v>1.0078457780944563E-2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2.2472155850103039</v>
      </c>
      <c r="K124" s="55">
        <f t="shared" si="68"/>
        <v>0.20628264728744755</v>
      </c>
      <c r="L124" s="55">
        <f t="shared" si="69"/>
        <v>5.1293437996967079E-3</v>
      </c>
      <c r="M124" s="55">
        <f t="shared" si="52"/>
        <v>0.99487065620030324</v>
      </c>
      <c r="N124" s="55">
        <f t="shared" si="70"/>
        <v>4.1143404777804959E-3</v>
      </c>
      <c r="O124" s="56">
        <f t="shared" si="53"/>
        <v>2.0738578522553609E-7</v>
      </c>
      <c r="P124" s="56">
        <f t="shared" si="71"/>
        <v>3.6643299341633337E-5</v>
      </c>
      <c r="Q124" s="56">
        <f t="shared" si="72"/>
        <v>5.8784521220676923E-4</v>
      </c>
      <c r="R124" s="9">
        <f>F124*$C$14</f>
        <v>3.9999999999999996E-5</v>
      </c>
      <c r="S124" s="9">
        <f t="shared" ref="S124:S127" si="73">$R124*L124</f>
        <v>2.051737519878683E-7</v>
      </c>
      <c r="T124" s="9">
        <f t="shared" ref="T124:T127" si="74">R124*K124</f>
        <v>8.2513058914979016E-6</v>
      </c>
      <c r="U124" s="9">
        <f t="shared" ref="U124:U127" si="75">$R124*M124</f>
        <v>3.9794826248012126E-5</v>
      </c>
      <c r="V124" s="102">
        <f t="shared" ref="V124:V127" si="76">K124/M124</f>
        <v>0.20734619721854117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1.5520519557651959</v>
      </c>
      <c r="K126" s="55">
        <f t="shared" si="68"/>
        <v>0.45066713278496462</v>
      </c>
      <c r="L126" s="55">
        <f t="shared" si="69"/>
        <v>2.2609521423223524E-3</v>
      </c>
      <c r="M126" s="55">
        <f t="shared" si="52"/>
        <v>0.99773904785767764</v>
      </c>
      <c r="N126" s="55">
        <f t="shared" si="70"/>
        <v>1.3780450590556339E-3</v>
      </c>
      <c r="O126" s="56">
        <f t="shared" si="53"/>
        <v>4.5307716590293169E-7</v>
      </c>
      <c r="P126" s="56">
        <f t="shared" si="71"/>
        <v>1.6151919111587703E-5</v>
      </c>
      <c r="Q126" s="56">
        <f t="shared" si="72"/>
        <v>1.9689114076627167E-4</v>
      </c>
      <c r="R126" s="9">
        <f>F126*$C$14</f>
        <v>3.9999999999999996E-5</v>
      </c>
      <c r="S126" s="9">
        <f t="shared" si="73"/>
        <v>9.0438085692894083E-8</v>
      </c>
      <c r="T126" s="9">
        <f t="shared" si="74"/>
        <v>1.8026685311398582E-5</v>
      </c>
      <c r="U126" s="9">
        <f t="shared" si="75"/>
        <v>3.9909561914307104E-5</v>
      </c>
      <c r="V126" s="102">
        <f t="shared" si="76"/>
        <v>0.45168837859220479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1.0401926303760755E-2</v>
      </c>
      <c r="K127" s="55">
        <f t="shared" si="68"/>
        <v>0.99342854604128061</v>
      </c>
      <c r="L127" s="55">
        <f t="shared" si="69"/>
        <v>1.4319309938901675E-4</v>
      </c>
      <c r="M127" s="55">
        <f t="shared" si="52"/>
        <v>0.99985680690061096</v>
      </c>
      <c r="N127" s="55">
        <f t="shared" si="70"/>
        <v>8.3070948155642391E-6</v>
      </c>
      <c r="O127" s="56">
        <f t="shared" si="53"/>
        <v>9.9874110496142675E-7</v>
      </c>
      <c r="P127" s="56">
        <f t="shared" si="71"/>
        <v>1.0229510458780803E-6</v>
      </c>
      <c r="Q127" s="56">
        <f t="shared" si="72"/>
        <v>1.1868939726912024E-6</v>
      </c>
      <c r="R127" s="9">
        <f>F127*$C$14</f>
        <v>3.9999999999999996E-5</v>
      </c>
      <c r="S127" s="9">
        <f t="shared" si="73"/>
        <v>5.727723975560669E-9</v>
      </c>
      <c r="T127" s="9">
        <f t="shared" si="74"/>
        <v>3.973714184165122E-5</v>
      </c>
      <c r="U127" s="9">
        <f t="shared" si="75"/>
        <v>3.9994272276024437E-5</v>
      </c>
      <c r="V127" s="102">
        <f t="shared" si="76"/>
        <v>0.99357081852624785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0.263940988382738</v>
      </c>
      <c r="K130" s="55">
        <f t="shared" si="79"/>
        <v>0.94841889545673919</v>
      </c>
      <c r="L130" s="55">
        <f t="shared" si="80"/>
        <v>2.45089504696458E-4</v>
      </c>
      <c r="M130" s="55">
        <f t="shared" si="81"/>
        <v>0.99975491049530352</v>
      </c>
      <c r="N130" s="55">
        <f t="shared" si="82"/>
        <v>4.0290785103363156E-5</v>
      </c>
      <c r="O130" s="56">
        <f t="shared" si="83"/>
        <v>9.5349075621931916E-7</v>
      </c>
      <c r="P130" s="56">
        <f t="shared" si="84"/>
        <v>1.7508844087651107E-6</v>
      </c>
      <c r="Q130" s="56">
        <f t="shared" si="85"/>
        <v>5.7566322590396601E-6</v>
      </c>
      <c r="R130" s="9">
        <f>F130*$C$14</f>
        <v>3.9999999999999996E-5</v>
      </c>
      <c r="S130" s="9">
        <f t="shared" ref="S130:S131" si="86">$R130*L130</f>
        <v>9.8035801878583185E-9</v>
      </c>
      <c r="T130" s="9">
        <f t="shared" ref="T130:T131" si="87">R130*K130</f>
        <v>3.7936755818269561E-5</v>
      </c>
      <c r="U130" s="9">
        <f t="shared" ref="U130:U131" si="88">$R130*M130</f>
        <v>3.9990196419812139E-5</v>
      </c>
      <c r="V130" s="102">
        <f t="shared" ref="V130:V131" si="89">K130/M130</f>
        <v>0.94865139995848469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-1.6017347337335754E-2</v>
      </c>
      <c r="K131" s="55">
        <f t="shared" si="79"/>
        <v>0.9960226597378723</v>
      </c>
      <c r="L131" s="55">
        <f t="shared" si="80"/>
        <v>1.3509379422010917E-4</v>
      </c>
      <c r="M131" s="55">
        <f t="shared" si="81"/>
        <v>0.99986490620577984</v>
      </c>
      <c r="N131" s="55">
        <f t="shared" si="82"/>
        <v>3.9991505258048369E-6</v>
      </c>
      <c r="O131" s="56">
        <f t="shared" si="83"/>
        <v>1.0013490912026653E-6</v>
      </c>
      <c r="P131" s="56">
        <f t="shared" si="84"/>
        <v>9.6509076679499976E-7</v>
      </c>
      <c r="Q131" s="56">
        <f t="shared" si="85"/>
        <v>5.7138720098263561E-7</v>
      </c>
      <c r="R131" s="9">
        <f>F131*$C$14</f>
        <v>3.9999999999999996E-5</v>
      </c>
      <c r="S131" s="9">
        <f t="shared" si="86"/>
        <v>5.4037517688043666E-9</v>
      </c>
      <c r="T131" s="9">
        <f t="shared" si="87"/>
        <v>3.9840906389514887E-5</v>
      </c>
      <c r="U131" s="9">
        <f t="shared" si="88"/>
        <v>3.9994596248231192E-5</v>
      </c>
      <c r="V131" s="102">
        <f t="shared" si="89"/>
        <v>0.99615723439830706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2024-10-28T22:56:31Z</dcterms:modified>
</cp:coreProperties>
</file>