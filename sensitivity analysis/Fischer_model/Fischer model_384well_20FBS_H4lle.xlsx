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384well_1um\"/>
    </mc:Choice>
  </mc:AlternateContent>
  <xr:revisionPtr revIDLastSave="0" documentId="13_ncr:1_{55120104-A3F8-43E5-A841-4D2E15E59738}" xr6:coauthVersionLast="47" xr6:coauthVersionMax="47" xr10:uidLastSave="{00000000-0000-0000-0000-000000000000}"/>
  <bookViews>
    <workbookView minimized="1" xWindow="53160" yWindow="4485" windowWidth="16200" windowHeight="999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4" l="1"/>
  <c r="T131" i="4"/>
  <c r="S131" i="4"/>
  <c r="R131" i="4"/>
  <c r="U131" i="4" s="1"/>
  <c r="V130" i="4"/>
  <c r="R130" i="4"/>
  <c r="S130" i="4" s="1"/>
  <c r="V127" i="4"/>
  <c r="U127" i="4"/>
  <c r="R127" i="4"/>
  <c r="T127" i="4" s="1"/>
  <c r="V126" i="4"/>
  <c r="R126" i="4"/>
  <c r="U126" i="4" s="1"/>
  <c r="V124" i="4"/>
  <c r="U124" i="4"/>
  <c r="T124" i="4"/>
  <c r="S124" i="4"/>
  <c r="R124" i="4"/>
  <c r="V121" i="4"/>
  <c r="T121" i="4"/>
  <c r="R121" i="4"/>
  <c r="U121" i="4" s="1"/>
  <c r="V120" i="4"/>
  <c r="R120" i="4"/>
  <c r="U120" i="4" s="1"/>
  <c r="V119" i="4"/>
  <c r="R119" i="4"/>
  <c r="U119" i="4" s="1"/>
  <c r="V116" i="4"/>
  <c r="R116" i="4"/>
  <c r="U116" i="4" s="1"/>
  <c r="V115" i="4"/>
  <c r="U115" i="4"/>
  <c r="T115" i="4"/>
  <c r="S115" i="4"/>
  <c r="R115" i="4"/>
  <c r="V114" i="4"/>
  <c r="R114" i="4"/>
  <c r="U114" i="4" s="1"/>
  <c r="V108" i="4"/>
  <c r="R108" i="4"/>
  <c r="U108" i="4" s="1"/>
  <c r="V107" i="4"/>
  <c r="T107" i="4"/>
  <c r="S107" i="4"/>
  <c r="R107" i="4"/>
  <c r="U107" i="4" s="1"/>
  <c r="V93" i="4"/>
  <c r="R93" i="4"/>
  <c r="S93" i="4" s="1"/>
  <c r="V92" i="4"/>
  <c r="U92" i="4"/>
  <c r="R92" i="4"/>
  <c r="T92" i="4" s="1"/>
  <c r="V91" i="4"/>
  <c r="R91" i="4"/>
  <c r="U91" i="4" s="1"/>
  <c r="V90" i="4"/>
  <c r="U90" i="4"/>
  <c r="T90" i="4"/>
  <c r="S90" i="4"/>
  <c r="R90" i="4"/>
  <c r="V89" i="4"/>
  <c r="T89" i="4"/>
  <c r="R89" i="4"/>
  <c r="U89" i="4" s="1"/>
  <c r="V88" i="4"/>
  <c r="R88" i="4"/>
  <c r="T88" i="4" s="1"/>
  <c r="V86" i="4"/>
  <c r="R86" i="4"/>
  <c r="U86" i="4" s="1"/>
  <c r="V85" i="4"/>
  <c r="R85" i="4"/>
  <c r="U85" i="4" s="1"/>
  <c r="V84" i="4"/>
  <c r="U84" i="4"/>
  <c r="T84" i="4"/>
  <c r="S84" i="4"/>
  <c r="R84" i="4"/>
  <c r="V83" i="4"/>
  <c r="R83" i="4"/>
  <c r="U83" i="4" s="1"/>
  <c r="V82" i="4"/>
  <c r="R82" i="4"/>
  <c r="U82" i="4" s="1"/>
  <c r="V81" i="4"/>
  <c r="T81" i="4"/>
  <c r="S81" i="4"/>
  <c r="R81" i="4"/>
  <c r="U81" i="4" s="1"/>
  <c r="V80" i="4"/>
  <c r="R80" i="4"/>
  <c r="S80" i="4" s="1"/>
  <c r="V79" i="4"/>
  <c r="U79" i="4"/>
  <c r="R79" i="4"/>
  <c r="T79" i="4" s="1"/>
  <c r="V78" i="4"/>
  <c r="R78" i="4"/>
  <c r="U78" i="4" s="1"/>
  <c r="V77" i="4"/>
  <c r="U77" i="4"/>
  <c r="T77" i="4"/>
  <c r="S77" i="4"/>
  <c r="R77" i="4"/>
  <c r="V76" i="4"/>
  <c r="T76" i="4"/>
  <c r="R76" i="4"/>
  <c r="U76" i="4" s="1"/>
  <c r="V75" i="4"/>
  <c r="R75" i="4"/>
  <c r="T75" i="4" s="1"/>
  <c r="V74" i="4"/>
  <c r="R74" i="4"/>
  <c r="U74" i="4" s="1"/>
  <c r="V73" i="4"/>
  <c r="R73" i="4"/>
  <c r="U73" i="4" s="1"/>
  <c r="V72" i="4"/>
  <c r="U72" i="4"/>
  <c r="T72" i="4"/>
  <c r="S72" i="4"/>
  <c r="R72" i="4"/>
  <c r="V71" i="4"/>
  <c r="R71" i="4"/>
  <c r="U71" i="4" s="1"/>
  <c r="V70" i="4"/>
  <c r="R70" i="4"/>
  <c r="U70" i="4" s="1"/>
  <c r="V69" i="4"/>
  <c r="T69" i="4"/>
  <c r="S69" i="4"/>
  <c r="R69" i="4"/>
  <c r="U69" i="4" s="1"/>
  <c r="V68" i="4"/>
  <c r="R68" i="4"/>
  <c r="T68" i="4" s="1"/>
  <c r="V65" i="4"/>
  <c r="U65" i="4"/>
  <c r="R65" i="4"/>
  <c r="T65" i="4" s="1"/>
  <c r="V64" i="4"/>
  <c r="R64" i="4"/>
  <c r="U64" i="4" s="1"/>
  <c r="V63" i="4"/>
  <c r="U63" i="4"/>
  <c r="T63" i="4"/>
  <c r="S63" i="4"/>
  <c r="R63" i="4"/>
  <c r="V62" i="4"/>
  <c r="T62" i="4"/>
  <c r="R62" i="4"/>
  <c r="U62" i="4" s="1"/>
  <c r="V61" i="4"/>
  <c r="R61" i="4"/>
  <c r="T61" i="4" s="1"/>
  <c r="V60" i="4"/>
  <c r="R60" i="4"/>
  <c r="U60" i="4" s="1"/>
  <c r="V58" i="4"/>
  <c r="R58" i="4"/>
  <c r="U58" i="4" s="1"/>
  <c r="V57" i="4"/>
  <c r="U57" i="4"/>
  <c r="T57" i="4"/>
  <c r="S57" i="4"/>
  <c r="R57" i="4"/>
  <c r="V49" i="4"/>
  <c r="R49" i="4"/>
  <c r="U49" i="4" s="1"/>
  <c r="V48" i="4"/>
  <c r="R48" i="4"/>
  <c r="U48" i="4" s="1"/>
  <c r="V47" i="4"/>
  <c r="T47" i="4"/>
  <c r="S47" i="4"/>
  <c r="R47" i="4"/>
  <c r="U47" i="4" s="1"/>
  <c r="V46" i="4"/>
  <c r="R46" i="4"/>
  <c r="S46" i="4" s="1"/>
  <c r="V45" i="4"/>
  <c r="U45" i="4"/>
  <c r="R45" i="4"/>
  <c r="T45" i="4" s="1"/>
  <c r="V44" i="4"/>
  <c r="R44" i="4"/>
  <c r="U44" i="4" s="1"/>
  <c r="V43" i="4"/>
  <c r="U43" i="4"/>
  <c r="T43" i="4"/>
  <c r="S43" i="4"/>
  <c r="R43" i="4"/>
  <c r="V42" i="4"/>
  <c r="T42" i="4"/>
  <c r="R42" i="4"/>
  <c r="U42" i="4" s="1"/>
  <c r="V41" i="4"/>
  <c r="R41" i="4"/>
  <c r="T41" i="4" s="1"/>
  <c r="V40" i="4"/>
  <c r="R40" i="4"/>
  <c r="U40" i="4" s="1"/>
  <c r="V39" i="4"/>
  <c r="R39" i="4"/>
  <c r="S39" i="4" s="1"/>
  <c r="V38" i="4"/>
  <c r="U38" i="4"/>
  <c r="T38" i="4"/>
  <c r="S38" i="4"/>
  <c r="R38" i="4"/>
  <c r="V37" i="4"/>
  <c r="R37" i="4"/>
  <c r="U37" i="4" s="1"/>
  <c r="V36" i="4"/>
  <c r="R36" i="4"/>
  <c r="T36" i="4" s="1"/>
  <c r="V35" i="4"/>
  <c r="T35" i="4"/>
  <c r="S35" i="4"/>
  <c r="R35" i="4"/>
  <c r="U35" i="4" s="1"/>
  <c r="V34" i="4"/>
  <c r="R34" i="4"/>
  <c r="S34" i="4" s="1"/>
  <c r="V33" i="4"/>
  <c r="U33" i="4"/>
  <c r="R33" i="4"/>
  <c r="T33" i="4" s="1"/>
  <c r="V32" i="4"/>
  <c r="R32" i="4"/>
  <c r="U32" i="4" s="1"/>
  <c r="V31" i="4"/>
  <c r="U31" i="4"/>
  <c r="T31" i="4"/>
  <c r="S31" i="4"/>
  <c r="R31" i="4"/>
  <c r="V30" i="4"/>
  <c r="T30" i="4"/>
  <c r="R30" i="4"/>
  <c r="U30" i="4" s="1"/>
  <c r="V29" i="4"/>
  <c r="R29" i="4"/>
  <c r="T29" i="4" s="1"/>
  <c r="V28" i="4"/>
  <c r="R28" i="4"/>
  <c r="U28" i="4" s="1"/>
  <c r="I128" i="4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J130" i="4"/>
  <c r="K130" i="4"/>
  <c r="O130" i="4" s="1"/>
  <c r="P130" i="4" s="1"/>
  <c r="L130" i="4"/>
  <c r="M130" i="4"/>
  <c r="N130" i="4"/>
  <c r="Q130" i="4" s="1"/>
  <c r="I131" i="4"/>
  <c r="J131" i="4"/>
  <c r="K131" i="4"/>
  <c r="L131" i="4"/>
  <c r="M131" i="4"/>
  <c r="N131" i="4"/>
  <c r="O131" i="4"/>
  <c r="P131" i="4"/>
  <c r="Q131" i="4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S29" i="4" l="1"/>
  <c r="S41" i="4"/>
  <c r="T48" i="4"/>
  <c r="S61" i="4"/>
  <c r="T70" i="4"/>
  <c r="S75" i="4"/>
  <c r="T82" i="4"/>
  <c r="U29" i="4"/>
  <c r="T34" i="4"/>
  <c r="U41" i="4"/>
  <c r="T46" i="4"/>
  <c r="S58" i="4"/>
  <c r="U61" i="4"/>
  <c r="S73" i="4"/>
  <c r="U75" i="4"/>
  <c r="T80" i="4"/>
  <c r="S85" i="4"/>
  <c r="U88" i="4"/>
  <c r="T93" i="4"/>
  <c r="S116" i="4"/>
  <c r="T130" i="4"/>
  <c r="S32" i="4"/>
  <c r="U34" i="4"/>
  <c r="T39" i="4"/>
  <c r="S44" i="4"/>
  <c r="U46" i="4"/>
  <c r="T58" i="4"/>
  <c r="S64" i="4"/>
  <c r="U68" i="4"/>
  <c r="T73" i="4"/>
  <c r="S78" i="4"/>
  <c r="U80" i="4"/>
  <c r="T85" i="4"/>
  <c r="S91" i="4"/>
  <c r="U93" i="4"/>
  <c r="T116" i="4"/>
  <c r="S126" i="4"/>
  <c r="U130" i="4"/>
  <c r="T32" i="4"/>
  <c r="S37" i="4"/>
  <c r="U39" i="4"/>
  <c r="T44" i="4"/>
  <c r="S49" i="4"/>
  <c r="T64" i="4"/>
  <c r="S71" i="4"/>
  <c r="T78" i="4"/>
  <c r="S83" i="4"/>
  <c r="T91" i="4"/>
  <c r="S114" i="4"/>
  <c r="T126" i="4"/>
  <c r="S30" i="4"/>
  <c r="T37" i="4"/>
  <c r="S42" i="4"/>
  <c r="T49" i="4"/>
  <c r="S62" i="4"/>
  <c r="T71" i="4"/>
  <c r="S76" i="4"/>
  <c r="T83" i="4"/>
  <c r="S89" i="4"/>
  <c r="T114" i="4"/>
  <c r="S121" i="4"/>
  <c r="S36" i="4"/>
  <c r="S48" i="4"/>
  <c r="S70" i="4"/>
  <c r="S82" i="4"/>
  <c r="S108" i="4"/>
  <c r="S88" i="4"/>
  <c r="T108" i="4"/>
  <c r="U36" i="4"/>
  <c r="S68" i="4"/>
  <c r="S28" i="4"/>
  <c r="S60" i="4"/>
  <c r="S74" i="4"/>
  <c r="S86" i="4"/>
  <c r="S119" i="4"/>
  <c r="T28" i="4"/>
  <c r="S33" i="4"/>
  <c r="T40" i="4"/>
  <c r="S45" i="4"/>
  <c r="T60" i="4"/>
  <c r="S65" i="4"/>
  <c r="T74" i="4"/>
  <c r="S79" i="4"/>
  <c r="T86" i="4"/>
  <c r="S92" i="4"/>
  <c r="T119" i="4"/>
  <c r="S127" i="4"/>
  <c r="S120" i="4"/>
  <c r="T120" i="4"/>
  <c r="S40" i="4"/>
  <c r="O15" i="1" l="1"/>
  <c r="L15" i="1"/>
  <c r="N15" i="1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4" i="4"/>
  <c r="M117" i="4"/>
  <c r="M118" i="4"/>
  <c r="M122" i="4"/>
  <c r="M123" i="4"/>
  <c r="M124" i="4"/>
  <c r="M125" i="4"/>
  <c r="J16" i="4"/>
  <c r="J15" i="4"/>
  <c r="J87" i="4"/>
  <c r="K87" i="4" s="1"/>
  <c r="J122" i="4"/>
  <c r="K122" i="4"/>
  <c r="J117" i="4"/>
  <c r="K117" i="4"/>
  <c r="J120" i="4"/>
  <c r="K120" i="4"/>
  <c r="O120" i="4" s="1"/>
  <c r="P120" i="4" s="1"/>
  <c r="J101" i="4"/>
  <c r="K101" i="4"/>
  <c r="J86" i="4"/>
  <c r="K86" i="4" s="1"/>
  <c r="J85" i="4"/>
  <c r="K85" i="4" s="1"/>
  <c r="J88" i="4"/>
  <c r="K88" i="4" s="1"/>
  <c r="J119" i="4"/>
  <c r="K119" i="4"/>
  <c r="J72" i="4"/>
  <c r="K72" i="4"/>
  <c r="J103" i="4"/>
  <c r="K103" i="4"/>
  <c r="J118" i="4"/>
  <c r="K118" i="4"/>
  <c r="J104" i="4"/>
  <c r="K104" i="4"/>
  <c r="J90" i="4"/>
  <c r="K90" i="4" s="1"/>
  <c r="J71" i="4"/>
  <c r="K71" i="4"/>
  <c r="O71" i="4" s="1"/>
  <c r="P71" i="4" s="1"/>
  <c r="J110" i="4"/>
  <c r="K110" i="4"/>
  <c r="J82" i="4"/>
  <c r="K82" i="4"/>
  <c r="J113" i="4"/>
  <c r="K113" i="4"/>
  <c r="J97" i="4"/>
  <c r="K97" i="4" s="1"/>
  <c r="J81" i="4"/>
  <c r="K81" i="4" s="1"/>
  <c r="J116" i="4"/>
  <c r="K116" i="4" s="1"/>
  <c r="O116" i="4" s="1"/>
  <c r="P116" i="4" s="1"/>
  <c r="J100" i="4"/>
  <c r="K100" i="4"/>
  <c r="O100" i="4"/>
  <c r="J84" i="4"/>
  <c r="K84" i="4" s="1"/>
  <c r="J114" i="4"/>
  <c r="K114" i="4"/>
  <c r="J78" i="4"/>
  <c r="K78" i="4"/>
  <c r="J115" i="4"/>
  <c r="K115" i="4"/>
  <c r="O115" i="4" s="1"/>
  <c r="P115" i="4" s="1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 s="1"/>
  <c r="J106" i="4"/>
  <c r="K106" i="4"/>
  <c r="J127" i="4"/>
  <c r="K127" i="4" s="1"/>
  <c r="O127" i="4" s="1"/>
  <c r="P127" i="4" s="1"/>
  <c r="J111" i="4"/>
  <c r="K111" i="4"/>
  <c r="J95" i="4"/>
  <c r="K95" i="4" s="1"/>
  <c r="J79" i="4"/>
  <c r="K79" i="4"/>
  <c r="O79" i="4" s="1"/>
  <c r="P79" i="4" s="1"/>
  <c r="J126" i="4"/>
  <c r="K126" i="4"/>
  <c r="O126" i="4" s="1"/>
  <c r="P126" i="4" s="1"/>
  <c r="J94" i="4"/>
  <c r="K94" i="4" s="1"/>
  <c r="J121" i="4"/>
  <c r="L121" i="4" s="1"/>
  <c r="M121" i="4" s="1"/>
  <c r="K121" i="4"/>
  <c r="O121" i="4" s="1"/>
  <c r="P121" i="4" s="1"/>
  <c r="J105" i="4"/>
  <c r="K105" i="4"/>
  <c r="J89" i="4"/>
  <c r="K89" i="4" s="1"/>
  <c r="J73" i="4"/>
  <c r="K73" i="4"/>
  <c r="J124" i="4"/>
  <c r="K124" i="4"/>
  <c r="O124" i="4" s="1"/>
  <c r="P124" i="4" s="1"/>
  <c r="J108" i="4"/>
  <c r="K108" i="4"/>
  <c r="O108" i="4" s="1"/>
  <c r="P108" i="4" s="1"/>
  <c r="J92" i="4"/>
  <c r="K92" i="4"/>
  <c r="J76" i="4"/>
  <c r="K76" i="4" s="1"/>
  <c r="J98" i="4"/>
  <c r="K98" i="4"/>
  <c r="J123" i="4"/>
  <c r="K123" i="4"/>
  <c r="J107" i="4"/>
  <c r="K107" i="4"/>
  <c r="O107" i="4" s="1"/>
  <c r="P107" i="4" s="1"/>
  <c r="J91" i="4"/>
  <c r="K91" i="4"/>
  <c r="J75" i="4"/>
  <c r="K75" i="4"/>
  <c r="P100" i="4"/>
  <c r="O112" i="4"/>
  <c r="P112" i="4"/>
  <c r="O98" i="4"/>
  <c r="P98" i="4"/>
  <c r="O105" i="4"/>
  <c r="P105" i="4"/>
  <c r="O111" i="4"/>
  <c r="P111" i="4"/>
  <c r="O104" i="4"/>
  <c r="P104" i="4"/>
  <c r="O91" i="4"/>
  <c r="P91" i="4"/>
  <c r="O96" i="4"/>
  <c r="P96" i="4" s="1"/>
  <c r="O102" i="4"/>
  <c r="P102" i="4"/>
  <c r="O78" i="4"/>
  <c r="P78" i="4" s="1"/>
  <c r="O110" i="4"/>
  <c r="P110" i="4"/>
  <c r="O118" i="4"/>
  <c r="P118" i="4"/>
  <c r="O117" i="4"/>
  <c r="P117" i="4"/>
  <c r="O106" i="4"/>
  <c r="P106" i="4"/>
  <c r="O109" i="4"/>
  <c r="P109" i="4"/>
  <c r="O114" i="4"/>
  <c r="P114" i="4"/>
  <c r="O113" i="4"/>
  <c r="P113" i="4"/>
  <c r="O103" i="4"/>
  <c r="P103" i="4"/>
  <c r="O119" i="4"/>
  <c r="P119" i="4"/>
  <c r="O122" i="4"/>
  <c r="P122" i="4"/>
  <c r="O123" i="4"/>
  <c r="P123" i="4"/>
  <c r="O125" i="4"/>
  <c r="P125" i="4"/>
  <c r="O99" i="4"/>
  <c r="P99" i="4"/>
  <c r="O101" i="4"/>
  <c r="P101" i="4"/>
  <c r="I76" i="4"/>
  <c r="I77" i="4"/>
  <c r="L77" i="4" s="1"/>
  <c r="I81" i="4"/>
  <c r="I89" i="4"/>
  <c r="I90" i="4"/>
  <c r="L90" i="4" s="1"/>
  <c r="I96" i="4"/>
  <c r="I99" i="4"/>
  <c r="I102" i="4"/>
  <c r="I104" i="4"/>
  <c r="I108" i="4"/>
  <c r="I111" i="4"/>
  <c r="I113" i="4"/>
  <c r="I115" i="4"/>
  <c r="L115" i="4" s="1"/>
  <c r="M115" i="4" s="1"/>
  <c r="I119" i="4"/>
  <c r="N119" i="4" s="1"/>
  <c r="Q119" i="4" s="1"/>
  <c r="I120" i="4"/>
  <c r="L120" i="4" s="1"/>
  <c r="M120" i="4" s="1"/>
  <c r="I123" i="4"/>
  <c r="I125" i="4"/>
  <c r="I79" i="4"/>
  <c r="L79" i="4" s="1"/>
  <c r="I92" i="4"/>
  <c r="I100" i="4"/>
  <c r="I103" i="4"/>
  <c r="I107" i="4"/>
  <c r="L107" i="4" s="1"/>
  <c r="M107" i="4" s="1"/>
  <c r="I109" i="4"/>
  <c r="I110" i="4"/>
  <c r="I117" i="4"/>
  <c r="I124" i="4"/>
  <c r="I72" i="4"/>
  <c r="L72" i="4" s="1"/>
  <c r="I106" i="4"/>
  <c r="I71" i="4"/>
  <c r="N71" i="4" s="1"/>
  <c r="Q71" i="4" s="1"/>
  <c r="I75" i="4"/>
  <c r="N75" i="4" s="1"/>
  <c r="Q75" i="4" s="1"/>
  <c r="I80" i="4"/>
  <c r="I83" i="4"/>
  <c r="I86" i="4"/>
  <c r="I88" i="4"/>
  <c r="N88" i="4" s="1"/>
  <c r="Q88" i="4" s="1"/>
  <c r="I94" i="4"/>
  <c r="I95" i="4"/>
  <c r="I98" i="4"/>
  <c r="I101" i="4"/>
  <c r="I118" i="4"/>
  <c r="I127" i="4"/>
  <c r="N127" i="4" s="1"/>
  <c r="Q127" i="4" s="1"/>
  <c r="I73" i="4"/>
  <c r="N73" i="4" s="1"/>
  <c r="Q73" i="4" s="1"/>
  <c r="I74" i="4"/>
  <c r="L74" i="4" s="1"/>
  <c r="I78" i="4"/>
  <c r="I82" i="4"/>
  <c r="N82" i="4" s="1"/>
  <c r="Q82" i="4" s="1"/>
  <c r="I85" i="4"/>
  <c r="I93" i="4"/>
  <c r="N93" i="4" s="1"/>
  <c r="Q93" i="4" s="1"/>
  <c r="I112" i="4"/>
  <c r="I114" i="4"/>
  <c r="N114" i="4" s="1"/>
  <c r="Q114" i="4" s="1"/>
  <c r="I121" i="4"/>
  <c r="I122" i="4"/>
  <c r="I84" i="4"/>
  <c r="L84" i="4" s="1"/>
  <c r="I87" i="4"/>
  <c r="I91" i="4"/>
  <c r="N91" i="4" s="1"/>
  <c r="Q91" i="4" s="1"/>
  <c r="I97" i="4"/>
  <c r="L97" i="4" s="1"/>
  <c r="I105" i="4"/>
  <c r="I116" i="4"/>
  <c r="I126" i="4"/>
  <c r="L126" i="4" s="1"/>
  <c r="M126" i="4" s="1"/>
  <c r="L105" i="4"/>
  <c r="N105" i="4"/>
  <c r="Q105" i="4"/>
  <c r="N121" i="4"/>
  <c r="Q121" i="4"/>
  <c r="N85" i="4"/>
  <c r="Q85" i="4"/>
  <c r="L85" i="4"/>
  <c r="N101" i="4"/>
  <c r="Q101" i="4"/>
  <c r="L101" i="4"/>
  <c r="L106" i="4"/>
  <c r="N106" i="4"/>
  <c r="Q106" i="4"/>
  <c r="L124" i="4"/>
  <c r="N124" i="4"/>
  <c r="Q124" i="4"/>
  <c r="N107" i="4"/>
  <c r="Q107" i="4"/>
  <c r="N108" i="4"/>
  <c r="Q108" i="4"/>
  <c r="L108" i="4"/>
  <c r="M108" i="4" s="1"/>
  <c r="L96" i="4"/>
  <c r="N96" i="4"/>
  <c r="Q96" i="4" s="1"/>
  <c r="N77" i="4"/>
  <c r="Q77" i="4" s="1"/>
  <c r="N97" i="4"/>
  <c r="Q97" i="4"/>
  <c r="L114" i="4"/>
  <c r="N98" i="4"/>
  <c r="Q98" i="4"/>
  <c r="L98" i="4"/>
  <c r="N86" i="4"/>
  <c r="Q86" i="4" s="1"/>
  <c r="L86" i="4"/>
  <c r="N117" i="4"/>
  <c r="Q117" i="4"/>
  <c r="L117" i="4"/>
  <c r="N103" i="4"/>
  <c r="Q103" i="4"/>
  <c r="L103" i="4"/>
  <c r="L125" i="4"/>
  <c r="N125" i="4"/>
  <c r="Q125" i="4"/>
  <c r="L104" i="4"/>
  <c r="N104" i="4"/>
  <c r="Q104" i="4"/>
  <c r="N76" i="4"/>
  <c r="Q76" i="4" s="1"/>
  <c r="N126" i="4"/>
  <c r="Q126" i="4" s="1"/>
  <c r="L112" i="4"/>
  <c r="N112" i="4"/>
  <c r="Q112" i="4"/>
  <c r="L78" i="4"/>
  <c r="N78" i="4"/>
  <c r="Q78" i="4"/>
  <c r="L127" i="4"/>
  <c r="M127" i="4" s="1"/>
  <c r="N95" i="4"/>
  <c r="Q95" i="4"/>
  <c r="L95" i="4"/>
  <c r="N83" i="4"/>
  <c r="Q83" i="4" s="1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 s="1"/>
  <c r="L116" i="4"/>
  <c r="M116" i="4" s="1"/>
  <c r="N87" i="4"/>
  <c r="Q87" i="4" s="1"/>
  <c r="L87" i="4"/>
  <c r="N122" i="4"/>
  <c r="Q122" i="4"/>
  <c r="L122" i="4"/>
  <c r="N118" i="4"/>
  <c r="Q118" i="4"/>
  <c r="L118" i="4"/>
  <c r="L94" i="4"/>
  <c r="N94" i="4"/>
  <c r="Q94" i="4" s="1"/>
  <c r="N80" i="4"/>
  <c r="Q80" i="4" s="1"/>
  <c r="N109" i="4"/>
  <c r="Q109" i="4"/>
  <c r="L109" i="4"/>
  <c r="L92" i="4"/>
  <c r="N92" i="4"/>
  <c r="Q92" i="4" s="1"/>
  <c r="N120" i="4"/>
  <c r="Q120" i="4" s="1"/>
  <c r="N111" i="4"/>
  <c r="Q111" i="4"/>
  <c r="L111" i="4"/>
  <c r="N99" i="4"/>
  <c r="Q99" i="4"/>
  <c r="L99" i="4"/>
  <c r="N81" i="4"/>
  <c r="Q81" i="4" s="1"/>
  <c r="M74" i="4" l="1"/>
  <c r="O76" i="4"/>
  <c r="P76" i="4" s="1"/>
  <c r="M72" i="4"/>
  <c r="M77" i="4"/>
  <c r="M86" i="4"/>
  <c r="M85" i="4"/>
  <c r="M97" i="4"/>
  <c r="M79" i="4"/>
  <c r="L76" i="4"/>
  <c r="O97" i="4"/>
  <c r="P97" i="4" s="1"/>
  <c r="O94" i="4"/>
  <c r="P94" i="4" s="1"/>
  <c r="L81" i="4"/>
  <c r="N74" i="4"/>
  <c r="Q74" i="4" s="1"/>
  <c r="N90" i="4"/>
  <c r="Q90" i="4" s="1"/>
  <c r="M84" i="4"/>
  <c r="O82" i="4"/>
  <c r="P82" i="4" s="1"/>
  <c r="O72" i="4"/>
  <c r="P72" i="4" s="1"/>
  <c r="L119" i="4"/>
  <c r="M119" i="4" s="1"/>
  <c r="O84" i="4"/>
  <c r="P84" i="4" s="1"/>
  <c r="M89" i="4"/>
  <c r="M95" i="4"/>
  <c r="L91" i="4"/>
  <c r="M91" i="4" s="1"/>
  <c r="N72" i="4"/>
  <c r="Q72" i="4" s="1"/>
  <c r="O74" i="4"/>
  <c r="P74" i="4" s="1"/>
  <c r="O73" i="4"/>
  <c r="P73" i="4" s="1"/>
  <c r="O77" i="4"/>
  <c r="P77" i="4" s="1"/>
  <c r="O87" i="4"/>
  <c r="P87" i="4" s="1"/>
  <c r="N115" i="4"/>
  <c r="Q115" i="4" s="1"/>
  <c r="L71" i="4"/>
  <c r="M71" i="4" s="1"/>
  <c r="O89" i="4"/>
  <c r="P89" i="4" s="1"/>
  <c r="O93" i="4"/>
  <c r="P93" i="4" s="1"/>
  <c r="O88" i="4"/>
  <c r="P88" i="4" s="1"/>
  <c r="O92" i="4"/>
  <c r="P92" i="4" s="1"/>
  <c r="M92" i="4"/>
  <c r="M96" i="4"/>
  <c r="O80" i="4"/>
  <c r="P80" i="4" s="1"/>
  <c r="L80" i="4"/>
  <c r="O95" i="4"/>
  <c r="P95" i="4" s="1"/>
  <c r="M94" i="4"/>
  <c r="N79" i="4"/>
  <c r="Q79" i="4" s="1"/>
  <c r="L83" i="4"/>
  <c r="O90" i="4"/>
  <c r="P90" i="4" s="1"/>
  <c r="O85" i="4"/>
  <c r="P85" i="4" s="1"/>
  <c r="O81" i="4"/>
  <c r="P81" i="4" s="1"/>
  <c r="M90" i="4"/>
  <c r="O75" i="4"/>
  <c r="P75" i="4" s="1"/>
  <c r="M78" i="4"/>
  <c r="M87" i="4"/>
  <c r="O83" i="4"/>
  <c r="P83" i="4" s="1"/>
  <c r="L73" i="4"/>
  <c r="O86" i="4"/>
  <c r="P86" i="4" s="1"/>
  <c r="L75" i="4"/>
  <c r="L93" i="4"/>
  <c r="L88" i="4"/>
  <c r="L82" i="4"/>
  <c r="N84" i="4"/>
  <c r="Q84" i="4" s="1"/>
  <c r="J14" i="4"/>
  <c r="J13" i="4" s="1"/>
  <c r="K16" i="4" s="1"/>
  <c r="M88" i="4" l="1"/>
  <c r="M73" i="4"/>
  <c r="M75" i="4"/>
  <c r="M80" i="4"/>
  <c r="M82" i="4"/>
  <c r="M93" i="4"/>
  <c r="M76" i="4"/>
  <c r="M83" i="4"/>
  <c r="M81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7" i="4" l="1"/>
  <c r="P57" i="4" s="1"/>
  <c r="O58" i="4"/>
  <c r="P58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O64" i="4" l="1"/>
  <c r="P64" i="4" s="1"/>
  <c r="M58" i="4"/>
  <c r="O66" i="4"/>
  <c r="P66" i="4" s="1"/>
  <c r="M64" i="4"/>
  <c r="M69" i="4"/>
  <c r="O69" i="4"/>
  <c r="P69" i="4" s="1"/>
  <c r="M57" i="4"/>
  <c r="O65" i="4"/>
  <c r="P65" i="4" s="1"/>
  <c r="M65" i="4"/>
  <c r="M66" i="4"/>
  <c r="O67" i="4"/>
  <c r="P67" i="4" s="1"/>
  <c r="M67" i="4"/>
  <c r="M68" i="4"/>
  <c r="O68" i="4"/>
  <c r="P68" i="4" s="1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39" i="4" l="1"/>
  <c r="J45" i="4"/>
  <c r="J30" i="4"/>
  <c r="K30" i="4" s="1"/>
  <c r="J43" i="4"/>
  <c r="L43" i="4" s="1"/>
  <c r="J31" i="4"/>
  <c r="J44" i="4"/>
  <c r="L44" i="4" s="1"/>
  <c r="J36" i="4"/>
  <c r="L36" i="4" s="1"/>
  <c r="J46" i="4"/>
  <c r="K46" i="4" s="1"/>
  <c r="J35" i="4"/>
  <c r="L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L45" i="4"/>
  <c r="K45" i="4"/>
  <c r="K52" i="4"/>
  <c r="O52" i="4" s="1"/>
  <c r="P52" i="4" s="1"/>
  <c r="L52" i="4"/>
  <c r="M52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O49" i="4" l="1"/>
  <c r="P49" i="4" s="1"/>
  <c r="K43" i="4"/>
  <c r="O48" i="4"/>
  <c r="P48" i="4" s="1"/>
  <c r="M48" i="4"/>
  <c r="M49" i="4"/>
  <c r="M35" i="4"/>
  <c r="M43" i="4"/>
  <c r="M45" i="4"/>
  <c r="M31" i="4"/>
  <c r="O45" i="4"/>
  <c r="P45" i="4" s="1"/>
  <c r="O31" i="4"/>
  <c r="P31" i="4" s="1"/>
  <c r="O28" i="4"/>
  <c r="P28" i="4" s="1"/>
  <c r="K35" i="4"/>
  <c r="M44" i="4"/>
  <c r="O47" i="4"/>
  <c r="P47" i="4" s="1"/>
  <c r="O33" i="4"/>
  <c r="P33" i="4" s="1"/>
  <c r="O46" i="4"/>
  <c r="P46" i="4" s="1"/>
  <c r="O43" i="4"/>
  <c r="P43" i="4" s="1"/>
  <c r="O41" i="4"/>
  <c r="P41" i="4" s="1"/>
  <c r="O30" i="4"/>
  <c r="P30" i="4" s="1"/>
  <c r="O39" i="4"/>
  <c r="P39" i="4" s="1"/>
  <c r="M39" i="4"/>
  <c r="K44" i="4"/>
  <c r="K36" i="4"/>
  <c r="L30" i="4"/>
  <c r="L47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0" i="4"/>
  <c r="M36" i="4"/>
  <c r="K40" i="4"/>
  <c r="K32" i="4"/>
  <c r="L28" i="4"/>
  <c r="O34" i="4" l="1"/>
  <c r="P34" i="4" s="1"/>
  <c r="O42" i="4"/>
  <c r="P42" i="4" s="1"/>
  <c r="O37" i="4"/>
  <c r="P37" i="4" s="1"/>
  <c r="M46" i="4"/>
  <c r="M47" i="4"/>
  <c r="O36" i="4"/>
  <c r="P36" i="4" s="1"/>
  <c r="O44" i="4"/>
  <c r="P44" i="4" s="1"/>
  <c r="O29" i="4"/>
  <c r="P29" i="4" s="1"/>
  <c r="O38" i="4"/>
  <c r="P38" i="4" s="1"/>
  <c r="O35" i="4"/>
  <c r="P35" i="4" s="1"/>
  <c r="M41" i="4"/>
  <c r="O32" i="4"/>
  <c r="P32" i="4" s="1"/>
  <c r="O40" i="4"/>
  <c r="P40" i="4" s="1"/>
  <c r="M33" i="4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<sst xmlns="http://schemas.openxmlformats.org/spreadsheetml/2006/main" count="318" uniqueCount="295">
  <si>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</si>
  <si>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</si>
  <si>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</si>
  <si>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</si>
  <si>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</si>
  <si>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</si>
  <si>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</si>
  <si>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</si>
  <si>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</si>
  <si>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</si>
  <si>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</si>
  <si>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</si>
  <si>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</si>
  <si>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</si>
  <si>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</si>
  <si>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</si>
  <si>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</si>
  <si>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</si>
  <si>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</si>
  <si>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</si>
  <si>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</si>
  <si>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</si>
  <si>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</si>
  <si>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</si>
  <si>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</si>
  <si>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</si>
  <si>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</si>
  <si>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</si>
  <si>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</si>
  <si>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</si>
  <si>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</si>
  <si>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</si>
  <si>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</si>
  <si>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</si>
  <si>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</si>
  <si>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</si>
  <si>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</si>
  <si>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</si>
  <si>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</si>
  <si>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</si>
  <si>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</si>
  <si>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</si>
  <si>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</si>
  <si>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</si>
  <si>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</si>
  <si>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</si>
  <si>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</si>
  <si>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</si>
  <si>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</si>
  <si>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</si>
  <si>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</si>
  <si>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</si>
  <si>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</si>
  <si>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</si>
  <si>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</si>
  <si>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</si>
  <si>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</si>
  <si>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</si>
  <si>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</si>
  <si>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</si>
  <si>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</si>
  <si>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</si>
  <si>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</si>
  <si>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</si>
  <si>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</si>
  <si>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</si>
  <si>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</si>
  <si>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</si>
  <si>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</si>
  <si>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</si>
  <si>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</si>
  <si>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</si>
  <si>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</si>
  <si>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</si>
  <si>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</si>
  <si>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</si>
  <si>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</si>
  <si>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</si>
  <si>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</si>
  <si>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</si>
  <si>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</si>
  <si>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</si>
  <si>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</si>
  <si>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</si>
  <si>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</si>
  <si>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</si>
  <si>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</si>
  <si>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</si>
  <si>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</si>
  <si>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</si>
  <si>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</si>
  <si>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</si>
  <si>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</si>
  <si>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</si>
  <si>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</si>
  <si>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</si>
  <si>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</si>
  <si>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</si>
  <si>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</si>
  <si>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</si>
  <si>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</si>
  <si>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</si>
  <si>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</si>
  <si>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</si>
  <si>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</si>
  <si>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</si>
  <si>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</si>
  <si>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</si>
  <si>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</si>
  <si>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</si>
  <si>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</si>
  <si>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</si>
  <si>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H4lle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</si>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</sst>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N20" sqref="N20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112</v>
      </c>
      <c r="K17" s="31" t="s">
        <v>80</v>
      </c>
      <c r="L17" s="81">
        <v>3.2865000000000004E-3</v>
      </c>
      <c r="M17" s="81">
        <v>1.9250000000000002E-4</v>
      </c>
      <c r="N17" s="81">
        <v>2.1000000000000002E-5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6" zoomScale="70" zoomScaleNormal="70" workbookViewId="0">
      <selection activeCell="R28" sqref="R28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0"/>
      <c r="H1" s="17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0"/>
      <c r="H2" s="170"/>
      <c r="I2" s="115" t="s">
        <v>19</v>
      </c>
      <c r="J2" s="116"/>
      <c r="K2" s="116"/>
      <c r="L2" s="116"/>
      <c r="M2" s="116"/>
      <c r="N2" s="116"/>
      <c r="O2" s="116"/>
      <c r="P2" s="116"/>
      <c r="Q2" s="11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0"/>
      <c r="H3" s="170"/>
      <c r="I3" s="118"/>
      <c r="J3" s="119"/>
      <c r="K3" s="119"/>
      <c r="L3" s="119"/>
      <c r="M3" s="119"/>
      <c r="N3" s="119"/>
      <c r="O3" s="119"/>
      <c r="P3" s="119"/>
      <c r="Q3" s="120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0"/>
      <c r="H4" s="170"/>
      <c r="I4" s="121"/>
      <c r="J4" s="122"/>
      <c r="K4" s="122"/>
      <c r="L4" s="122"/>
      <c r="M4" s="122"/>
      <c r="N4" s="122"/>
      <c r="O4" s="122"/>
      <c r="P4" s="122"/>
      <c r="Q4" s="123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0"/>
      <c r="H5" s="170"/>
      <c r="I5" s="124" t="s">
        <v>38</v>
      </c>
      <c r="J5" s="125"/>
      <c r="K5" s="125"/>
      <c r="L5" s="125"/>
      <c r="M5" s="125"/>
      <c r="N5" s="125"/>
      <c r="O5" s="125"/>
      <c r="P5" s="125"/>
      <c r="Q5" s="12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0"/>
      <c r="H6" s="170"/>
      <c r="I6" s="49" t="s">
        <v>49</v>
      </c>
      <c r="J6" s="49" t="s">
        <v>50</v>
      </c>
      <c r="K6" s="49" t="s">
        <v>46</v>
      </c>
      <c r="L6" s="167" t="s">
        <v>39</v>
      </c>
      <c r="M6" s="168"/>
      <c r="N6" s="168"/>
      <c r="O6" s="168"/>
      <c r="P6" s="168"/>
      <c r="Q6" s="169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0"/>
      <c r="H7" s="170"/>
      <c r="I7" s="50" t="s">
        <v>20</v>
      </c>
      <c r="J7" s="37">
        <f>SUM(J13,J19)</f>
        <v>40.019599999999997</v>
      </c>
      <c r="K7" s="38">
        <f>J7/J7</f>
        <v>1</v>
      </c>
      <c r="L7" s="161" t="s">
        <v>68</v>
      </c>
      <c r="M7" s="162"/>
      <c r="N7" s="162"/>
      <c r="O7" s="162"/>
      <c r="P7" s="162"/>
      <c r="Q7" s="163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2" t="s">
        <v>3</v>
      </c>
      <c r="C8" s="143"/>
      <c r="D8" s="143"/>
      <c r="E8" s="143"/>
      <c r="F8" s="144"/>
      <c r="G8" s="170"/>
      <c r="H8" s="170"/>
      <c r="I8" s="51" t="s">
        <v>6</v>
      </c>
      <c r="J8" s="37">
        <f>SUM(J14,J20)</f>
        <v>39.811204400000001</v>
      </c>
      <c r="K8" s="39">
        <f>J8/J7</f>
        <v>0.99479266159581814</v>
      </c>
      <c r="L8" s="161" t="s">
        <v>69</v>
      </c>
      <c r="M8" s="162"/>
      <c r="N8" s="162"/>
      <c r="O8" s="162"/>
      <c r="P8" s="162"/>
      <c r="Q8" s="163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5"/>
      <c r="C9" s="146"/>
      <c r="D9" s="146"/>
      <c r="E9" s="146"/>
      <c r="F9" s="147"/>
      <c r="G9" s="170"/>
      <c r="H9" s="170"/>
      <c r="I9" s="50" t="s">
        <v>8</v>
      </c>
      <c r="J9" s="40">
        <f t="shared" ref="J9:J10" si="0">SUM(J15,J21)</f>
        <v>0.19307800000000003</v>
      </c>
      <c r="K9" s="39">
        <f>J9/J7</f>
        <v>4.8245859528830886E-3</v>
      </c>
      <c r="L9" s="161" t="s">
        <v>69</v>
      </c>
      <c r="M9" s="162"/>
      <c r="N9" s="162"/>
      <c r="O9" s="162"/>
      <c r="P9" s="162"/>
      <c r="Q9" s="163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8"/>
      <c r="C10" s="149"/>
      <c r="D10" s="149"/>
      <c r="E10" s="149"/>
      <c r="F10" s="150"/>
      <c r="G10" s="170"/>
      <c r="H10" s="170"/>
      <c r="I10" s="51" t="s">
        <v>9</v>
      </c>
      <c r="J10" s="40">
        <f t="shared" si="0"/>
        <v>1.5317600000000001E-2</v>
      </c>
      <c r="K10" s="39">
        <f>J10/J7</f>
        <v>3.8275245129886361E-4</v>
      </c>
      <c r="L10" s="161" t="s">
        <v>69</v>
      </c>
      <c r="M10" s="162"/>
      <c r="N10" s="162"/>
      <c r="O10" s="162"/>
      <c r="P10" s="162"/>
      <c r="Q10" s="16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1" t="s">
        <v>36</v>
      </c>
      <c r="C11" s="152"/>
      <c r="D11" s="152"/>
      <c r="E11" s="152"/>
      <c r="F11" s="153"/>
      <c r="G11" s="170"/>
      <c r="H11" s="170"/>
      <c r="I11" s="186"/>
      <c r="J11" s="186"/>
      <c r="K11" s="186"/>
      <c r="L11" s="186"/>
      <c r="M11" s="186"/>
      <c r="N11" s="186"/>
      <c r="O11" s="186"/>
      <c r="P11" s="186"/>
      <c r="Q11" s="18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4"/>
      <c r="C12" s="155"/>
      <c r="D12" s="155"/>
      <c r="E12" s="155"/>
      <c r="F12" s="156"/>
      <c r="G12" s="170"/>
      <c r="H12" s="170"/>
      <c r="I12" s="49" t="s">
        <v>51</v>
      </c>
      <c r="J12" s="49" t="s">
        <v>50</v>
      </c>
      <c r="K12" s="49" t="s">
        <v>46</v>
      </c>
      <c r="L12" s="167" t="s">
        <v>39</v>
      </c>
      <c r="M12" s="168"/>
      <c r="N12" s="168"/>
      <c r="O12" s="168"/>
      <c r="P12" s="168"/>
      <c r="Q12" s="169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0" t="s">
        <v>4</v>
      </c>
      <c r="C13" s="141"/>
      <c r="D13" s="130" t="s">
        <v>39</v>
      </c>
      <c r="E13" s="130"/>
      <c r="F13" s="130"/>
      <c r="G13" s="170"/>
      <c r="H13" s="170"/>
      <c r="I13" s="50" t="s">
        <v>5</v>
      </c>
      <c r="J13" s="41">
        <f>SUM(J14:J16)</f>
        <v>40</v>
      </c>
      <c r="K13" s="38">
        <f>J13/J13</f>
        <v>1</v>
      </c>
      <c r="L13" s="161" t="s">
        <v>71</v>
      </c>
      <c r="M13" s="162"/>
      <c r="N13" s="162"/>
      <c r="O13" s="162"/>
      <c r="P13" s="162"/>
      <c r="Q13" s="163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31" t="s">
        <v>17</v>
      </c>
      <c r="E14" s="131"/>
      <c r="F14" s="131"/>
      <c r="G14" s="170"/>
      <c r="H14" s="170"/>
      <c r="I14" s="51" t="s">
        <v>43</v>
      </c>
      <c r="J14" s="41">
        <f>C14-SUM(J15:J16)</f>
        <v>39.7928</v>
      </c>
      <c r="K14" s="39">
        <f>J14/J13</f>
        <v>0.99482000000000004</v>
      </c>
      <c r="L14" s="164" t="s">
        <v>70</v>
      </c>
      <c r="M14" s="165"/>
      <c r="N14" s="165"/>
      <c r="O14" s="165"/>
      <c r="P14" s="165"/>
      <c r="Q14" s="166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2" t="s">
        <v>60</v>
      </c>
      <c r="E15" s="132"/>
      <c r="F15" s="132"/>
      <c r="G15" s="170"/>
      <c r="H15" s="17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0.19200000000000003</v>
      </c>
      <c r="K15" s="39">
        <f>J15/J13</f>
        <v>4.8000000000000004E-3</v>
      </c>
      <c r="L15" s="161" t="s">
        <v>69</v>
      </c>
      <c r="M15" s="162"/>
      <c r="N15" s="162"/>
      <c r="O15" s="162"/>
      <c r="P15" s="162"/>
      <c r="Q15" s="163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33" t="s">
        <v>40</v>
      </c>
      <c r="E16" s="134"/>
      <c r="F16" s="135"/>
      <c r="G16" s="170"/>
      <c r="H16" s="17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1.52E-2</v>
      </c>
      <c r="K16" s="39">
        <f>J16/J13</f>
        <v>3.8000000000000002E-4</v>
      </c>
      <c r="L16" s="161" t="s">
        <v>69</v>
      </c>
      <c r="M16" s="162"/>
      <c r="N16" s="162"/>
      <c r="O16" s="162"/>
      <c r="P16" s="162"/>
      <c r="Q16" s="163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36" t="s">
        <v>61</v>
      </c>
      <c r="E17" s="137"/>
      <c r="F17" s="138"/>
      <c r="G17" s="170"/>
      <c r="H17" s="170"/>
      <c r="I17" s="164"/>
      <c r="J17" s="165"/>
      <c r="K17" s="165"/>
      <c r="L17" s="165"/>
      <c r="M17" s="165"/>
      <c r="N17" s="165"/>
      <c r="O17" s="165"/>
      <c r="P17" s="165"/>
      <c r="Q17" s="166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33" t="s">
        <v>41</v>
      </c>
      <c r="E18" s="134"/>
      <c r="F18" s="135"/>
      <c r="G18" s="170"/>
      <c r="H18" s="170"/>
      <c r="I18" s="49" t="s">
        <v>29</v>
      </c>
      <c r="J18" s="49" t="s">
        <v>50</v>
      </c>
      <c r="K18" s="49" t="s">
        <v>46</v>
      </c>
      <c r="L18" s="167" t="s">
        <v>39</v>
      </c>
      <c r="M18" s="168"/>
      <c r="N18" s="168"/>
      <c r="O18" s="168"/>
      <c r="P18" s="168"/>
      <c r="Q18" s="16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2"/>
      <c r="C19" s="132"/>
      <c r="D19" s="132"/>
      <c r="E19" s="132"/>
      <c r="F19" s="132"/>
      <c r="G19" s="170"/>
      <c r="H19" s="170"/>
      <c r="I19" s="50" t="s">
        <v>5</v>
      </c>
      <c r="J19" s="41">
        <f>SUM(J20:J22)</f>
        <v>1.9599999999999999E-2</v>
      </c>
      <c r="K19" s="38">
        <f>J19/J19</f>
        <v>1</v>
      </c>
      <c r="L19" s="161" t="s">
        <v>55</v>
      </c>
      <c r="M19" s="162"/>
      <c r="N19" s="162"/>
      <c r="O19" s="162"/>
      <c r="P19" s="162"/>
      <c r="Q19" s="163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0" t="s">
        <v>7</v>
      </c>
      <c r="C20" s="141"/>
      <c r="D20" s="130" t="s">
        <v>39</v>
      </c>
      <c r="E20" s="130"/>
      <c r="F20" s="130"/>
      <c r="G20" s="170"/>
      <c r="H20" s="17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1.8404400000000001E-2</v>
      </c>
      <c r="K20" s="39">
        <f>J20/J19</f>
        <v>0.93900000000000006</v>
      </c>
      <c r="L20" s="161" t="s">
        <v>69</v>
      </c>
      <c r="M20" s="162"/>
      <c r="N20" s="162"/>
      <c r="O20" s="162"/>
      <c r="P20" s="162"/>
      <c r="Q20" s="163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36" t="s">
        <v>61</v>
      </c>
      <c r="E21" s="137"/>
      <c r="F21" s="138"/>
      <c r="G21" s="170"/>
      <c r="H21" s="17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1.0780000000000002E-3</v>
      </c>
      <c r="K21" s="39">
        <f>J21/J19</f>
        <v>5.5000000000000014E-2</v>
      </c>
      <c r="L21" s="161" t="s">
        <v>69</v>
      </c>
      <c r="M21" s="162"/>
      <c r="N21" s="162"/>
      <c r="O21" s="162"/>
      <c r="P21" s="162"/>
      <c r="Q21" s="16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39" t="s">
        <v>67</v>
      </c>
      <c r="E22" s="139"/>
      <c r="F22" s="139"/>
      <c r="G22" s="170"/>
      <c r="H22" s="17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1.1760000000000001E-4</v>
      </c>
      <c r="K22" s="39">
        <f>J22/J19</f>
        <v>6.000000000000001E-3</v>
      </c>
      <c r="L22" s="161" t="s">
        <v>69</v>
      </c>
      <c r="M22" s="162"/>
      <c r="N22" s="162"/>
      <c r="O22" s="162"/>
      <c r="P22" s="162"/>
      <c r="Q22" s="163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7"/>
      <c r="C23" s="128"/>
      <c r="D23" s="128"/>
      <c r="E23" s="128"/>
      <c r="F23" s="129"/>
      <c r="G23" s="170"/>
      <c r="H23" s="170"/>
      <c r="I23" s="181"/>
      <c r="J23" s="182"/>
      <c r="K23" s="182"/>
      <c r="L23" s="182"/>
      <c r="M23" s="182"/>
      <c r="N23" s="182"/>
      <c r="O23" s="182"/>
      <c r="P23" s="182"/>
      <c r="Q23" s="183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1" t="s">
        <v>37</v>
      </c>
      <c r="C24" s="152"/>
      <c r="D24" s="152"/>
      <c r="E24" s="152"/>
      <c r="F24" s="153"/>
      <c r="G24" s="170"/>
      <c r="H24" s="170"/>
      <c r="I24" s="175" t="s">
        <v>42</v>
      </c>
      <c r="J24" s="176"/>
      <c r="K24" s="176"/>
      <c r="L24" s="176"/>
      <c r="M24" s="176"/>
      <c r="N24" s="176"/>
      <c r="O24" s="176"/>
      <c r="P24" s="176"/>
      <c r="Q24" s="17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4"/>
      <c r="C25" s="155"/>
      <c r="D25" s="155"/>
      <c r="E25" s="155"/>
      <c r="F25" s="156"/>
      <c r="G25" s="170"/>
      <c r="H25" s="170"/>
      <c r="I25" s="178"/>
      <c r="J25" s="179"/>
      <c r="K25" s="179"/>
      <c r="L25" s="179"/>
      <c r="M25" s="179"/>
      <c r="N25" s="179"/>
      <c r="O25" s="179"/>
      <c r="P25" s="179"/>
      <c r="Q25" s="180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3" t="s">
        <v>11</v>
      </c>
      <c r="C26" s="173" t="s">
        <v>12</v>
      </c>
      <c r="D26" s="157" t="s">
        <v>47</v>
      </c>
      <c r="E26" s="157" t="s">
        <v>48</v>
      </c>
      <c r="F26" s="159" t="s">
        <v>66</v>
      </c>
      <c r="G26" s="170"/>
      <c r="H26" s="170"/>
      <c r="I26" s="184" t="s">
        <v>53</v>
      </c>
      <c r="J26" s="184" t="s">
        <v>54</v>
      </c>
      <c r="K26" s="171" t="s">
        <v>73</v>
      </c>
      <c r="L26" s="171" t="s">
        <v>52</v>
      </c>
      <c r="M26" s="171" t="s">
        <v>59</v>
      </c>
      <c r="N26" s="171" t="s">
        <v>62</v>
      </c>
      <c r="O26" s="171" t="s">
        <v>72</v>
      </c>
      <c r="P26" s="171" t="s">
        <v>64</v>
      </c>
      <c r="Q26" s="171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4"/>
      <c r="C27" s="174"/>
      <c r="D27" s="158"/>
      <c r="E27" s="158"/>
      <c r="F27" s="160"/>
      <c r="G27" s="170"/>
      <c r="H27" s="170"/>
      <c r="I27" s="185"/>
      <c r="J27" s="185"/>
      <c r="K27" s="172"/>
      <c r="L27" s="172"/>
      <c r="M27" s="172"/>
      <c r="N27" s="172"/>
      <c r="O27" s="172"/>
      <c r="P27" s="172"/>
      <c r="Q27" s="172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115</v>
      </c>
      <c r="C28" s="46" t="s">
        <v>116</v>
      </c>
      <c r="D28" s="47">
        <v>1.6437199999999998</v>
      </c>
      <c r="E28" s="47">
        <v>1.9024449999999995</v>
      </c>
      <c r="F28" s="98">
        <v>9.9999999999999995E-7</v>
      </c>
      <c r="G28" s="170"/>
      <c r="H28" s="170"/>
      <c r="I28" s="94">
        <f t="shared" ref="I28:I47" si="1">IF(D28=0,"",LOG($K$15*10^D28+$K$16*10^E28+$K$14))</f>
        <v>9.2195850977354138E-2</v>
      </c>
      <c r="J28" s="94">
        <f t="shared" ref="J28:J47" si="2">IF(D28=0,"",LOG($K$21*10^D28+$K$22*10^E28+$K$20))</f>
        <v>0.584306083949519</v>
      </c>
      <c r="K28" s="95">
        <f t="shared" ref="K28:K47" si="3">IF(D28=0,"",1/(1+10^D28*$J$15/$J$14+10^E28*$J$16/$J$14+10^J28*$J$19/$J$14))</f>
        <v>0.80331953417827673</v>
      </c>
      <c r="L28" s="95">
        <f t="shared" ref="L28:L47" si="4">IF(D28=0,"",1/(1+10^I28/10^J28*$J$13/$J$19))</f>
        <v>1.5193085572225771E-3</v>
      </c>
      <c r="M28" s="95">
        <f t="shared" ref="M28:M47" si="5">IF(D28=0,"",1-L28)</f>
        <v>0.9984806914427774</v>
      </c>
      <c r="N28" s="95">
        <f t="shared" ref="N28:N47" si="6">IF(D28=0,"",1/(1/10^E28*$J$20/$J$22+10^D28/10^E28*$J$21/$J$22+10^I28/10^E28*$J$13/$J$22+1))</f>
        <v>1.8964270894796491E-4</v>
      </c>
      <c r="O28" s="40">
        <f t="shared" ref="O28:O47" si="7">IF(D28=0,"",F28*K28*$J$7/$J$14)</f>
        <v>8.0789807276695691E-7</v>
      </c>
      <c r="P28" s="40">
        <f t="shared" ref="P28:P47" si="8">IF(D28=0,"",O28*10^J28)</f>
        <v>3.1021490171747265E-6</v>
      </c>
      <c r="Q28" s="40">
        <f t="shared" ref="Q28:Q47" si="9">IF(D28=0,"",F28*N28*$J$7/$J$22)</f>
        <v>6.4535929889574607E-5</v>
      </c>
      <c r="R28" s="9">
        <f>F28*$C$14</f>
        <v>3.9999999999999996E-5</v>
      </c>
      <c r="S28" s="9">
        <f>$R28*L28</f>
        <v>6.0772342288903079E-8</v>
      </c>
      <c r="T28" s="9">
        <f>R28*K28</f>
        <v>3.2132781367131069E-5</v>
      </c>
      <c r="U28" s="9">
        <f>$R28*M28</f>
        <v>3.9939227657711095E-5</v>
      </c>
      <c r="V28" s="102">
        <f>K28/M28</f>
        <v>0.80454188154354978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117</v>
      </c>
      <c r="C29" s="46" t="s">
        <v>118</v>
      </c>
      <c r="D29" s="47">
        <v>4.7386560000000006</v>
      </c>
      <c r="E29" s="47">
        <v>5.8355820000000005</v>
      </c>
      <c r="F29" s="98">
        <v>9.9999999999999995E-7</v>
      </c>
      <c r="G29" s="170"/>
      <c r="H29" s="170"/>
      <c r="I29" s="94">
        <f t="shared" si="1"/>
        <v>2.7194923137791687</v>
      </c>
      <c r="J29" s="94">
        <f t="shared" si="2"/>
        <v>3.8526658305484736</v>
      </c>
      <c r="K29" s="95">
        <f t="shared" si="3"/>
        <v>1.8852548819062419E-3</v>
      </c>
      <c r="L29" s="95">
        <f t="shared" si="4"/>
        <v>6.614354643094093E-3</v>
      </c>
      <c r="M29" s="95">
        <f t="shared" si="5"/>
        <v>0.99338564535690588</v>
      </c>
      <c r="N29" s="95">
        <f t="shared" si="6"/>
        <v>3.8155302117027054E-3</v>
      </c>
      <c r="O29" s="40">
        <f t="shared" si="7"/>
        <v>1.8959999364692869E-9</v>
      </c>
      <c r="P29" s="40">
        <f t="shared" si="8"/>
        <v>1.3505297299733092E-5</v>
      </c>
      <c r="Q29" s="40">
        <f t="shared" si="9"/>
        <v>1.2984353134375644E-3</v>
      </c>
      <c r="R29" s="9">
        <f>F29*$C$14</f>
        <v>3.9999999999999996E-5</v>
      </c>
      <c r="S29" s="9">
        <f t="shared" ref="S29:S49" si="10">$R29*L29</f>
        <v>2.6457418572376369E-7</v>
      </c>
      <c r="T29" s="9">
        <f t="shared" ref="T29:T49" si="11">R29*K29</f>
        <v>7.5410195276249662E-8</v>
      </c>
      <c r="U29" s="9">
        <f t="shared" ref="U29:U49" si="12">$R29*M29</f>
        <v>3.9735425814276232E-5</v>
      </c>
      <c r="V29" s="102">
        <f t="shared" ref="V29:V49" si="13">K29/M29</f>
        <v>1.8978076547793311E-3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119</v>
      </c>
      <c r="C30" s="46" t="s">
        <v>120</v>
      </c>
      <c r="D30" s="91">
        <v>7.1429999999999998</v>
      </c>
      <c r="E30" s="91">
        <v>9.299925</v>
      </c>
      <c r="F30" s="98">
        <v>9.9999999999999995E-7</v>
      </c>
      <c r="G30" s="170"/>
      <c r="H30" s="170"/>
      <c r="I30" s="94">
        <f t="shared" si="1"/>
        <v>5.9163420575972845</v>
      </c>
      <c r="J30" s="94">
        <f t="shared" si="2"/>
        <v>7.1049642158418802</v>
      </c>
      <c r="K30" s="95">
        <f t="shared" si="3"/>
        <v>1.1970969035001294E-6</v>
      </c>
      <c r="L30" s="95">
        <f t="shared" si="4"/>
        <v>7.5083601403922E-3</v>
      </c>
      <c r="M30" s="95">
        <f t="shared" si="5"/>
        <v>0.99249163985960775</v>
      </c>
      <c r="N30" s="95">
        <f t="shared" si="6"/>
        <v>7.0576014560805303E-3</v>
      </c>
      <c r="O30" s="40">
        <f t="shared" si="7"/>
        <v>1.2039197854715872E-12</v>
      </c>
      <c r="P30" s="40">
        <f t="shared" si="8"/>
        <v>1.5330692320124519E-5</v>
      </c>
      <c r="Q30" s="40">
        <f t="shared" si="9"/>
        <v>2.4017209798619073E-3</v>
      </c>
      <c r="R30" s="9">
        <f t="shared" ref="R30:R49" si="14">F30*$C$14</f>
        <v>3.9999999999999996E-5</v>
      </c>
      <c r="S30" s="9">
        <f t="shared" si="10"/>
        <v>3.0033440561568795E-7</v>
      </c>
      <c r="T30" s="9">
        <f t="shared" si="11"/>
        <v>4.7883876140005167E-11</v>
      </c>
      <c r="U30" s="9">
        <f t="shared" si="12"/>
        <v>3.969966559438431E-5</v>
      </c>
      <c r="V30" s="102">
        <f t="shared" si="13"/>
        <v>1.2061531356268793E-6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113</v>
      </c>
      <c r="C31" s="46" t="s">
        <v>114</v>
      </c>
      <c r="D31" s="47">
        <v>3.3511520000000004</v>
      </c>
      <c r="E31" s="47">
        <v>4.2962190000000007</v>
      </c>
      <c r="F31" s="98">
        <v>9.9999999999999995E-7</v>
      </c>
      <c r="G31" s="170"/>
      <c r="H31" s="170"/>
      <c r="I31" s="94">
        <f t="shared" si="1"/>
        <v>1.2852308448323728</v>
      </c>
      <c r="J31" s="94">
        <f t="shared" si="2"/>
        <v>2.3857380000561275</v>
      </c>
      <c r="K31" s="95">
        <f t="shared" si="3"/>
        <v>5.1267215945602275E-2</v>
      </c>
      <c r="L31" s="95">
        <f t="shared" si="4"/>
        <v>6.1380342309382621E-3</v>
      </c>
      <c r="M31" s="95">
        <f t="shared" si="5"/>
        <v>0.99386196576906172</v>
      </c>
      <c r="N31" s="95">
        <f t="shared" si="6"/>
        <v>2.9968261967235105E-3</v>
      </c>
      <c r="O31" s="40">
        <f t="shared" si="7"/>
        <v>5.1559414649298987E-8</v>
      </c>
      <c r="P31" s="40">
        <f t="shared" si="8"/>
        <v>1.253273850553352E-5</v>
      </c>
      <c r="Q31" s="40">
        <f t="shared" si="9"/>
        <v>1.0198281093741172E-3</v>
      </c>
      <c r="R31" s="9">
        <f t="shared" si="14"/>
        <v>3.9999999999999996E-5</v>
      </c>
      <c r="S31" s="9">
        <f t="shared" si="10"/>
        <v>2.4552136923753047E-7</v>
      </c>
      <c r="T31" s="9">
        <f t="shared" si="11"/>
        <v>2.0506886378240909E-6</v>
      </c>
      <c r="U31" s="9">
        <f t="shared" si="12"/>
        <v>3.9754478630762464E-5</v>
      </c>
      <c r="V31" s="102">
        <f t="shared" si="13"/>
        <v>5.1583839317093816E-2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121</v>
      </c>
      <c r="C32" s="46" t="s">
        <v>122</v>
      </c>
      <c r="D32" s="47">
        <v>5.9183200000000005</v>
      </c>
      <c r="E32" s="47">
        <v>7.0401399999999992</v>
      </c>
      <c r="F32" s="98">
        <v>9.9999999999999995E-7</v>
      </c>
      <c r="G32" s="170"/>
      <c r="H32" s="170"/>
      <c r="I32" s="94">
        <f t="shared" si="1"/>
        <v>3.9109447814528924</v>
      </c>
      <c r="J32" s="94">
        <f t="shared" si="2"/>
        <v>5.0468119943247247</v>
      </c>
      <c r="K32" s="95">
        <f t="shared" si="3"/>
        <v>1.2131087474552621E-4</v>
      </c>
      <c r="L32" s="95">
        <f t="shared" si="4"/>
        <v>6.655233553888697E-3</v>
      </c>
      <c r="M32" s="95">
        <f t="shared" si="5"/>
        <v>0.99334476644611125</v>
      </c>
      <c r="N32" s="95">
        <f t="shared" si="6"/>
        <v>3.9322630006404288E-3</v>
      </c>
      <c r="O32" s="40">
        <f t="shared" si="7"/>
        <v>1.220022889308131E-10</v>
      </c>
      <c r="P32" s="40">
        <f t="shared" si="8"/>
        <v>1.3588764527204292E-5</v>
      </c>
      <c r="Q32" s="40">
        <f t="shared" si="9"/>
        <v>1.3381597991533134E-3</v>
      </c>
      <c r="R32" s="9">
        <f t="shared" si="14"/>
        <v>3.9999999999999996E-5</v>
      </c>
      <c r="S32" s="9">
        <f t="shared" si="10"/>
        <v>2.6620934215554785E-7</v>
      </c>
      <c r="T32" s="9">
        <f t="shared" si="11"/>
        <v>4.8524349898210478E-9</v>
      </c>
      <c r="U32" s="9">
        <f t="shared" si="12"/>
        <v>3.9733790657844447E-5</v>
      </c>
      <c r="V32" s="102">
        <f t="shared" si="13"/>
        <v>1.2212363606599552E-4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123</v>
      </c>
      <c r="C33" s="96" t="s">
        <v>124</v>
      </c>
      <c r="D33" s="97">
        <v>5.5295200000000007</v>
      </c>
      <c r="E33" s="97">
        <v>6.5305900000000001</v>
      </c>
      <c r="F33" s="98">
        <v>9.9999999999999995E-7</v>
      </c>
      <c r="G33" s="170"/>
      <c r="H33" s="170"/>
      <c r="I33" s="94">
        <f t="shared" si="1"/>
        <v>3.4646398062685493</v>
      </c>
      <c r="J33" s="94">
        <f t="shared" si="2"/>
        <v>4.5907868934066363</v>
      </c>
      <c r="K33" s="95">
        <f t="shared" si="3"/>
        <v>3.390538540434536E-4</v>
      </c>
      <c r="L33" s="95">
        <f t="shared" si="4"/>
        <v>6.5088932819036853E-3</v>
      </c>
      <c r="M33" s="95">
        <f t="shared" si="5"/>
        <v>0.99349110671809626</v>
      </c>
      <c r="N33" s="95">
        <f t="shared" si="6"/>
        <v>3.3998637110042229E-3</v>
      </c>
      <c r="O33" s="40">
        <f t="shared" si="7"/>
        <v>3.4098629946315403E-10</v>
      </c>
      <c r="P33" s="40">
        <f t="shared" si="8"/>
        <v>1.3289964570636381E-5</v>
      </c>
      <c r="Q33" s="40">
        <f t="shared" si="9"/>
        <v>1.1569828721845626E-3</v>
      </c>
      <c r="R33" s="9">
        <f t="shared" si="14"/>
        <v>3.9999999999999996E-5</v>
      </c>
      <c r="S33" s="9">
        <f t="shared" si="10"/>
        <v>2.6035573127614741E-7</v>
      </c>
      <c r="T33" s="9">
        <f t="shared" si="11"/>
        <v>1.3562154161738142E-8</v>
      </c>
      <c r="U33" s="9">
        <f t="shared" si="12"/>
        <v>3.9739644268723847E-5</v>
      </c>
      <c r="V33" s="102">
        <f t="shared" si="13"/>
        <v>3.4127517775522508E-4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125</v>
      </c>
      <c r="C34" s="46" t="s">
        <v>126</v>
      </c>
      <c r="D34" s="91">
        <v>5.4845040000000003</v>
      </c>
      <c r="E34" s="91">
        <v>6.5678879999999999</v>
      </c>
      <c r="F34" s="98">
        <v>9.9999999999999995E-7</v>
      </c>
      <c r="G34" s="170"/>
      <c r="H34" s="170"/>
      <c r="I34" s="94">
        <f t="shared" si="1"/>
        <v>3.4579829545014036</v>
      </c>
      <c r="J34" s="94">
        <f t="shared" si="2"/>
        <v>4.5907058404500249</v>
      </c>
      <c r="K34" s="95">
        <f t="shared" si="3"/>
        <v>3.4425670880189828E-4</v>
      </c>
      <c r="L34" s="95">
        <f t="shared" si="4"/>
        <v>6.6075403686531335E-3</v>
      </c>
      <c r="M34" s="95">
        <f t="shared" si="5"/>
        <v>0.99339245963134681</v>
      </c>
      <c r="N34" s="95">
        <f t="shared" si="6"/>
        <v>3.7616053984769111E-3</v>
      </c>
      <c r="O34" s="40">
        <f t="shared" si="7"/>
        <v>3.4621880801472744E-10</v>
      </c>
      <c r="P34" s="40">
        <f t="shared" si="8"/>
        <v>1.3491383802926076E-5</v>
      </c>
      <c r="Q34" s="40">
        <f t="shared" si="9"/>
        <v>1.2800845527626407E-3</v>
      </c>
      <c r="R34" s="9">
        <f t="shared" si="14"/>
        <v>3.9999999999999996E-5</v>
      </c>
      <c r="S34" s="9">
        <f t="shared" si="10"/>
        <v>2.6430161474612531E-7</v>
      </c>
      <c r="T34" s="9">
        <f t="shared" si="11"/>
        <v>1.3770268352075929E-8</v>
      </c>
      <c r="U34" s="9">
        <f t="shared" si="12"/>
        <v>3.9735698385253869E-5</v>
      </c>
      <c r="V34" s="102">
        <f t="shared" si="13"/>
        <v>3.4654652898176192E-4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127</v>
      </c>
      <c r="C35" s="46" t="s">
        <v>128</v>
      </c>
      <c r="D35" s="91">
        <v>2.7195840000000011</v>
      </c>
      <c r="E35" s="91">
        <v>3.2500779999999994</v>
      </c>
      <c r="F35" s="98">
        <v>9.9999999999999995E-7</v>
      </c>
      <c r="G35" s="170"/>
      <c r="H35" s="170"/>
      <c r="I35" s="94">
        <f t="shared" si="1"/>
        <v>0.62193942428688143</v>
      </c>
      <c r="J35" s="94">
        <f t="shared" si="2"/>
        <v>1.6068902660030964</v>
      </c>
      <c r="K35" s="95">
        <f t="shared" si="3"/>
        <v>0.23645819372674973</v>
      </c>
      <c r="L35" s="95">
        <f t="shared" si="4"/>
        <v>4.7108166999910751E-3</v>
      </c>
      <c r="M35" s="95">
        <f t="shared" si="5"/>
        <v>0.99528918330000893</v>
      </c>
      <c r="N35" s="95">
        <f t="shared" si="6"/>
        <v>1.24289714480225E-3</v>
      </c>
      <c r="O35" s="40">
        <f t="shared" si="7"/>
        <v>2.3780589276620476E-7</v>
      </c>
      <c r="P35" s="40">
        <f t="shared" si="8"/>
        <v>9.6186224493348373E-6</v>
      </c>
      <c r="Q35" s="40">
        <f t="shared" si="9"/>
        <v>4.2296128040925269E-4</v>
      </c>
      <c r="R35" s="9">
        <f t="shared" si="14"/>
        <v>3.9999999999999996E-5</v>
      </c>
      <c r="S35" s="9">
        <f t="shared" si="10"/>
        <v>1.8843266799964299E-7</v>
      </c>
      <c r="T35" s="9">
        <f t="shared" si="11"/>
        <v>9.4583277490699881E-6</v>
      </c>
      <c r="U35" s="9">
        <f t="shared" si="12"/>
        <v>3.981156733200035E-5</v>
      </c>
      <c r="V35" s="102">
        <f t="shared" si="13"/>
        <v>0.23757737720281683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81</v>
      </c>
      <c r="C36" s="46" t="s">
        <v>82</v>
      </c>
      <c r="D36" s="47">
        <v>7.5547280000000008</v>
      </c>
      <c r="E36" s="47">
        <v>9.7459910000000001</v>
      </c>
      <c r="F36" s="98">
        <v>9.9999999999999995E-7</v>
      </c>
      <c r="G36" s="170"/>
      <c r="H36" s="170"/>
      <c r="I36" s="94">
        <f t="shared" si="1"/>
        <v>6.3597288158186656</v>
      </c>
      <c r="J36" s="94">
        <f t="shared" si="2"/>
        <v>7.5490435948305725</v>
      </c>
      <c r="K36" s="95">
        <f t="shared" si="3"/>
        <v>4.3125817889664718E-7</v>
      </c>
      <c r="L36" s="95">
        <f t="shared" si="4"/>
        <v>7.5202540409299587E-3</v>
      </c>
      <c r="M36" s="95">
        <f t="shared" si="5"/>
        <v>0.99247974595907007</v>
      </c>
      <c r="N36" s="95">
        <f t="shared" si="6"/>
        <v>7.1011905629389119E-3</v>
      </c>
      <c r="O36" s="40">
        <f t="shared" si="7"/>
        <v>4.3371614503559088E-13</v>
      </c>
      <c r="P36" s="40">
        <f t="shared" si="8"/>
        <v>1.5354977480428622E-5</v>
      </c>
      <c r="Q36" s="40">
        <f t="shared" si="9"/>
        <v>2.4165544715356296E-3</v>
      </c>
      <c r="R36" s="9">
        <f t="shared" si="14"/>
        <v>3.9999999999999996E-5</v>
      </c>
      <c r="S36" s="9">
        <f t="shared" si="10"/>
        <v>3.0081016163719833E-7</v>
      </c>
      <c r="T36" s="9">
        <f t="shared" si="11"/>
        <v>1.7250327155865885E-11</v>
      </c>
      <c r="U36" s="9">
        <f t="shared" si="12"/>
        <v>3.9699189838362797E-5</v>
      </c>
      <c r="V36" s="102">
        <f t="shared" si="13"/>
        <v>4.3452592423425866E-7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129</v>
      </c>
      <c r="C37" s="96" t="s">
        <v>130</v>
      </c>
      <c r="D37" s="97">
        <v>4.10616</v>
      </c>
      <c r="E37" s="97">
        <v>5.1108449999999994</v>
      </c>
      <c r="F37" s="98">
        <v>9.9999999999999995E-7</v>
      </c>
      <c r="G37" s="170"/>
      <c r="H37" s="170"/>
      <c r="I37" s="94">
        <f t="shared" si="1"/>
        <v>2.0466328175843658</v>
      </c>
      <c r="J37" s="94">
        <f t="shared" si="2"/>
        <v>3.1695845526459681</v>
      </c>
      <c r="K37" s="95">
        <f t="shared" si="3"/>
        <v>8.8776168319446846E-3</v>
      </c>
      <c r="L37" s="95">
        <f t="shared" si="4"/>
        <v>6.461487690722207E-3</v>
      </c>
      <c r="M37" s="95">
        <f t="shared" si="5"/>
        <v>0.99353851230927781</v>
      </c>
      <c r="N37" s="95">
        <f t="shared" si="6"/>
        <v>3.3864465012816542E-3</v>
      </c>
      <c r="O37" s="40">
        <f t="shared" si="7"/>
        <v>8.9282150179855019E-9</v>
      </c>
      <c r="P37" s="40">
        <f t="shared" si="8"/>
        <v>1.3193171060593198E-5</v>
      </c>
      <c r="Q37" s="40">
        <f t="shared" si="9"/>
        <v>1.1524169592065582E-3</v>
      </c>
      <c r="R37" s="9">
        <f t="shared" si="14"/>
        <v>3.9999999999999996E-5</v>
      </c>
      <c r="S37" s="9">
        <f t="shared" si="10"/>
        <v>2.5845950762888825E-7</v>
      </c>
      <c r="T37" s="9">
        <f t="shared" si="11"/>
        <v>3.5510467327778737E-7</v>
      </c>
      <c r="U37" s="9">
        <f t="shared" si="12"/>
        <v>3.9741540492371106E-5</v>
      </c>
      <c r="V37" s="102">
        <f t="shared" si="13"/>
        <v>8.9353525021495881E-3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131</v>
      </c>
      <c r="C38" s="46" t="s">
        <v>132</v>
      </c>
      <c r="D38" s="91">
        <v>2.8295519999999996</v>
      </c>
      <c r="E38" s="91">
        <v>3.5791989999999991</v>
      </c>
      <c r="F38" s="98">
        <v>9.9999999999999995E-7</v>
      </c>
      <c r="G38" s="170"/>
      <c r="H38" s="170"/>
      <c r="I38" s="94">
        <f t="shared" si="1"/>
        <v>0.75425121724867172</v>
      </c>
      <c r="J38" s="94">
        <f t="shared" si="2"/>
        <v>1.7842930933369672</v>
      </c>
      <c r="K38" s="95">
        <f t="shared" si="3"/>
        <v>0.17426846184314138</v>
      </c>
      <c r="L38" s="95">
        <f t="shared" si="4"/>
        <v>5.2235224253374037E-3</v>
      </c>
      <c r="M38" s="95">
        <f t="shared" si="5"/>
        <v>0.99477647757466259</v>
      </c>
      <c r="N38" s="95">
        <f t="shared" si="6"/>
        <v>1.9544322512727846E-3</v>
      </c>
      <c r="O38" s="40">
        <f t="shared" si="7"/>
        <v>1.7526170904228354E-7</v>
      </c>
      <c r="P38" s="40">
        <f t="shared" si="8"/>
        <v>1.0665473370052693E-5</v>
      </c>
      <c r="Q38" s="40">
        <f t="shared" si="9"/>
        <v>6.6509861329112506E-4</v>
      </c>
      <c r="R38" s="9">
        <f t="shared" si="14"/>
        <v>3.9999999999999996E-5</v>
      </c>
      <c r="S38" s="9">
        <f t="shared" si="10"/>
        <v>2.0894089701349613E-7</v>
      </c>
      <c r="T38" s="9">
        <f t="shared" si="11"/>
        <v>6.9707384737256541E-6</v>
      </c>
      <c r="U38" s="9">
        <f t="shared" si="12"/>
        <v>3.9791059102986501E-5</v>
      </c>
      <c r="V38" s="102">
        <f t="shared" si="13"/>
        <v>0.17518353697709113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83</v>
      </c>
      <c r="C39" s="46" t="s">
        <v>84</v>
      </c>
      <c r="D39" s="91">
        <v>-2.3039999999996397E-3</v>
      </c>
      <c r="E39" s="91">
        <v>-1.314813</v>
      </c>
      <c r="F39" s="98">
        <v>9.9999999999999995E-7</v>
      </c>
      <c r="G39" s="170"/>
      <c r="H39" s="170"/>
      <c r="I39" s="94">
        <f t="shared" si="1"/>
        <v>-1.6810051832329899E-4</v>
      </c>
      <c r="J39" s="94">
        <f t="shared" si="2"/>
        <v>-2.6137826958622405E-3</v>
      </c>
      <c r="K39" s="95">
        <f t="shared" si="3"/>
        <v>0.99472045935289755</v>
      </c>
      <c r="L39" s="95">
        <f t="shared" si="4"/>
        <v>4.8701107791088247E-4</v>
      </c>
      <c r="M39" s="95">
        <f t="shared" si="5"/>
        <v>0.99951298892208906</v>
      </c>
      <c r="N39" s="95">
        <f t="shared" si="6"/>
        <v>1.4239373219138676E-7</v>
      </c>
      <c r="O39" s="40">
        <f t="shared" si="7"/>
        <v>1.0003898920186368E-6</v>
      </c>
      <c r="P39" s="40">
        <f t="shared" si="8"/>
        <v>9.9438717007971152E-7</v>
      </c>
      <c r="Q39" s="40">
        <f t="shared" si="9"/>
        <v>4.8456974530666836E-8</v>
      </c>
      <c r="R39" s="9">
        <f t="shared" si="14"/>
        <v>3.9999999999999996E-5</v>
      </c>
      <c r="S39" s="9">
        <f t="shared" si="10"/>
        <v>1.9480443116435298E-8</v>
      </c>
      <c r="T39" s="9">
        <f t="shared" si="11"/>
        <v>3.9788818374115896E-5</v>
      </c>
      <c r="U39" s="9">
        <f t="shared" si="12"/>
        <v>3.9980519556883559E-5</v>
      </c>
      <c r="V39" s="102">
        <f t="shared" si="13"/>
        <v>0.99520513527857202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133</v>
      </c>
      <c r="C40" s="46" t="s">
        <v>134</v>
      </c>
      <c r="D40" s="47">
        <v>3.2352399999999997</v>
      </c>
      <c r="E40" s="47">
        <v>3.7544849999999994</v>
      </c>
      <c r="F40" s="98">
        <v>9.9999999999999995E-7</v>
      </c>
      <c r="G40" s="170"/>
      <c r="H40" s="170"/>
      <c r="I40" s="94">
        <f t="shared" si="1"/>
        <v>1.0570731161685156</v>
      </c>
      <c r="J40" s="94">
        <f t="shared" si="2"/>
        <v>2.1124941218662863</v>
      </c>
      <c r="K40" s="95">
        <f t="shared" si="3"/>
        <v>8.6748186001972136E-2</v>
      </c>
      <c r="L40" s="95">
        <f t="shared" si="4"/>
        <v>5.5361276591489221E-3</v>
      </c>
      <c r="M40" s="95">
        <f t="shared" si="5"/>
        <v>0.9944638723408511</v>
      </c>
      <c r="N40" s="95">
        <f t="shared" si="6"/>
        <v>1.456626560081717E-3</v>
      </c>
      <c r="O40" s="40">
        <f t="shared" si="7"/>
        <v>8.7242609329439601E-8</v>
      </c>
      <c r="P40" s="40">
        <f t="shared" si="8"/>
        <v>1.1303755840207973E-5</v>
      </c>
      <c r="Q40" s="40">
        <f t="shared" si="9"/>
        <v>4.9569398200549543E-4</v>
      </c>
      <c r="R40" s="9">
        <f t="shared" si="14"/>
        <v>3.9999999999999996E-5</v>
      </c>
      <c r="S40" s="9">
        <f t="shared" si="10"/>
        <v>2.2144510636595688E-7</v>
      </c>
      <c r="T40" s="9">
        <f t="shared" si="11"/>
        <v>3.4699274400788851E-6</v>
      </c>
      <c r="U40" s="9">
        <f t="shared" si="12"/>
        <v>3.9778554893634043E-5</v>
      </c>
      <c r="V40" s="102">
        <f t="shared" si="13"/>
        <v>8.7231108554780473E-2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135</v>
      </c>
      <c r="C41" s="96" t="s">
        <v>136</v>
      </c>
      <c r="D41" s="97">
        <v>3.3303280000000011</v>
      </c>
      <c r="E41" s="97">
        <v>3.8215209999999997</v>
      </c>
      <c r="F41" s="98">
        <v>9.9999999999999995E-7</v>
      </c>
      <c r="G41" s="170"/>
      <c r="H41" s="170"/>
      <c r="I41" s="94">
        <f t="shared" si="1"/>
        <v>1.1393826628828596</v>
      </c>
      <c r="J41" s="94">
        <f t="shared" si="2"/>
        <v>2.1997454188827374</v>
      </c>
      <c r="K41" s="95">
        <f t="shared" si="3"/>
        <v>7.1766760303606181E-2</v>
      </c>
      <c r="L41" s="95">
        <f t="shared" si="4"/>
        <v>5.5991271873715078E-3</v>
      </c>
      <c r="M41" s="95">
        <f t="shared" si="5"/>
        <v>0.99440087281262846</v>
      </c>
      <c r="N41" s="95">
        <f t="shared" si="6"/>
        <v>1.4062002290997806E-3</v>
      </c>
      <c r="O41" s="40">
        <f t="shared" si="7"/>
        <v>7.2175796642764452E-8</v>
      </c>
      <c r="P41" s="40">
        <f t="shared" si="8"/>
        <v>1.143238930549657E-5</v>
      </c>
      <c r="Q41" s="40">
        <f t="shared" si="9"/>
        <v>4.7853376435783642E-4</v>
      </c>
      <c r="R41" s="9">
        <f t="shared" si="14"/>
        <v>3.9999999999999996E-5</v>
      </c>
      <c r="S41" s="9">
        <f t="shared" si="10"/>
        <v>2.2396508749486029E-7</v>
      </c>
      <c r="T41" s="9">
        <f t="shared" si="11"/>
        <v>2.8706704121442469E-6</v>
      </c>
      <c r="U41" s="9">
        <f t="shared" si="12"/>
        <v>3.9776034912505138E-5</v>
      </c>
      <c r="V41" s="102">
        <f t="shared" si="13"/>
        <v>7.2170854094904785E-2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137</v>
      </c>
      <c r="C42" s="46" t="s">
        <v>138</v>
      </c>
      <c r="D42" s="91">
        <v>4.4202640000000004</v>
      </c>
      <c r="E42" s="91">
        <v>5.6388380000000007</v>
      </c>
      <c r="F42" s="98">
        <v>9.9999999999999995E-7</v>
      </c>
      <c r="G42" s="170"/>
      <c r="H42" s="170"/>
      <c r="I42" s="94">
        <f t="shared" si="1"/>
        <v>2.466507651261447</v>
      </c>
      <c r="J42" s="94">
        <f t="shared" si="2"/>
        <v>3.6085862266525122</v>
      </c>
      <c r="K42" s="95">
        <f t="shared" si="3"/>
        <v>3.3751667300287148E-3</v>
      </c>
      <c r="L42" s="95">
        <f t="shared" si="4"/>
        <v>6.7504547482057451E-3</v>
      </c>
      <c r="M42" s="95">
        <f t="shared" si="5"/>
        <v>0.99324954525179421</v>
      </c>
      <c r="N42" s="95">
        <f t="shared" si="6"/>
        <v>4.3424622732498525E-3</v>
      </c>
      <c r="O42" s="40">
        <f t="shared" si="7"/>
        <v>3.3944035722305829E-9</v>
      </c>
      <c r="P42" s="40">
        <f t="shared" si="8"/>
        <v>1.378318871639259E-5</v>
      </c>
      <c r="Q42" s="40">
        <f t="shared" si="9"/>
        <v>1.4777517278107971E-3</v>
      </c>
      <c r="R42" s="9">
        <f t="shared" si="14"/>
        <v>3.9999999999999996E-5</v>
      </c>
      <c r="S42" s="9">
        <f t="shared" si="10"/>
        <v>2.7001818992822976E-7</v>
      </c>
      <c r="T42" s="9">
        <f t="shared" si="11"/>
        <v>1.3500666920114857E-7</v>
      </c>
      <c r="U42" s="9">
        <f t="shared" si="12"/>
        <v>3.9729981810071766E-5</v>
      </c>
      <c r="V42" s="102">
        <f t="shared" si="13"/>
        <v>3.3981054873507056E-3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139</v>
      </c>
      <c r="C43" s="46" t="s">
        <v>140</v>
      </c>
      <c r="D43" s="91">
        <v>4.2752879999999998</v>
      </c>
      <c r="E43" s="91">
        <v>5.3084609999999994</v>
      </c>
      <c r="F43" s="98">
        <v>9.9999999999999995E-7</v>
      </c>
      <c r="G43" s="170"/>
      <c r="H43" s="170"/>
      <c r="I43" s="94">
        <f t="shared" si="1"/>
        <v>2.2273249528367836</v>
      </c>
      <c r="J43" s="94">
        <f t="shared" si="2"/>
        <v>3.3537898155867572</v>
      </c>
      <c r="K43" s="95">
        <f t="shared" si="3"/>
        <v>5.8557357430446856E-3</v>
      </c>
      <c r="L43" s="95">
        <f t="shared" si="4"/>
        <v>6.51362658391291E-3</v>
      </c>
      <c r="M43" s="95">
        <f t="shared" si="5"/>
        <v>0.99348637341608714</v>
      </c>
      <c r="N43" s="95">
        <f t="shared" si="6"/>
        <v>3.5208319152030942E-3</v>
      </c>
      <c r="O43" s="40">
        <f t="shared" si="7"/>
        <v>5.8891106467087281E-9</v>
      </c>
      <c r="P43" s="40">
        <f t="shared" si="8"/>
        <v>1.3299629103957217E-5</v>
      </c>
      <c r="Q43" s="40">
        <f t="shared" si="9"/>
        <v>1.19814868123862E-3</v>
      </c>
      <c r="R43" s="9">
        <f t="shared" si="14"/>
        <v>3.9999999999999996E-5</v>
      </c>
      <c r="S43" s="9">
        <f t="shared" si="10"/>
        <v>2.6054506335651635E-7</v>
      </c>
      <c r="T43" s="9">
        <f t="shared" si="11"/>
        <v>2.3422942972178739E-7</v>
      </c>
      <c r="U43" s="9">
        <f t="shared" si="12"/>
        <v>3.9739454936643485E-5</v>
      </c>
      <c r="V43" s="102">
        <f t="shared" si="13"/>
        <v>5.894127891165564E-3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85</v>
      </c>
      <c r="C44" s="46" t="s">
        <v>86</v>
      </c>
      <c r="D44" s="91">
        <v>2.7665919999999997</v>
      </c>
      <c r="E44" s="91">
        <v>3.5255839999999989</v>
      </c>
      <c r="F44" s="98">
        <v>9.9999999999999995E-7</v>
      </c>
      <c r="G44" s="170"/>
      <c r="H44" s="170"/>
      <c r="I44" s="94">
        <f t="shared" si="1"/>
        <v>0.70532975413914478</v>
      </c>
      <c r="J44" s="94">
        <f t="shared" si="2"/>
        <v>1.7258889627774656</v>
      </c>
      <c r="K44" s="95">
        <f t="shared" si="3"/>
        <v>0.19506945019930316</v>
      </c>
      <c r="L44" s="95">
        <f t="shared" si="4"/>
        <v>5.1112814395654609E-3</v>
      </c>
      <c r="M44" s="95">
        <f t="shared" si="5"/>
        <v>0.99488871856043459</v>
      </c>
      <c r="N44" s="95">
        <f t="shared" si="6"/>
        <v>1.9336420528014192E-3</v>
      </c>
      <c r="O44" s="40">
        <f t="shared" si="7"/>
        <v>1.9618125312106795E-7</v>
      </c>
      <c r="P44" s="40">
        <f t="shared" si="8"/>
        <v>1.043629789279765E-5</v>
      </c>
      <c r="Q44" s="40">
        <f t="shared" si="9"/>
        <v>6.5802365217935087E-4</v>
      </c>
      <c r="R44" s="9">
        <f t="shared" si="14"/>
        <v>3.9999999999999996E-5</v>
      </c>
      <c r="S44" s="9">
        <f t="shared" si="10"/>
        <v>2.0445125758261842E-7</v>
      </c>
      <c r="T44" s="9">
        <f t="shared" si="11"/>
        <v>7.8027780079721258E-6</v>
      </c>
      <c r="U44" s="9">
        <f t="shared" si="12"/>
        <v>3.9795548742417378E-5</v>
      </c>
      <c r="V44" s="102">
        <f t="shared" si="13"/>
        <v>0.19607162746961398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141</v>
      </c>
      <c r="C45" s="46" t="s">
        <v>142</v>
      </c>
      <c r="D45" s="91">
        <v>4.4687359999999998</v>
      </c>
      <c r="E45" s="91">
        <v>5.2666120000000003</v>
      </c>
      <c r="F45" s="98">
        <v>9.9999999999999995E-7</v>
      </c>
      <c r="G45" s="170"/>
      <c r="H45" s="170"/>
      <c r="I45" s="94">
        <f t="shared" si="1"/>
        <v>2.3272580136650043</v>
      </c>
      <c r="J45" s="94">
        <f t="shared" si="2"/>
        <v>3.4358375366577767</v>
      </c>
      <c r="K45" s="95">
        <f t="shared" si="3"/>
        <v>4.6533161092265855E-3</v>
      </c>
      <c r="L45" s="95">
        <f t="shared" si="4"/>
        <v>6.2524706954975133E-3</v>
      </c>
      <c r="M45" s="95">
        <f t="shared" si="5"/>
        <v>0.9937475293045025</v>
      </c>
      <c r="N45" s="95">
        <f t="shared" si="6"/>
        <v>2.5408403558829945E-3</v>
      </c>
      <c r="O45" s="40">
        <f t="shared" si="7"/>
        <v>4.6798377938924689E-9</v>
      </c>
      <c r="P45" s="40">
        <f t="shared" si="8"/>
        <v>1.276639674722103E-5</v>
      </c>
      <c r="Q45" s="40">
        <f t="shared" si="9"/>
        <v>8.6465488695829128E-4</v>
      </c>
      <c r="R45" s="9">
        <f t="shared" si="14"/>
        <v>3.9999999999999996E-5</v>
      </c>
      <c r="S45" s="9">
        <f t="shared" si="10"/>
        <v>2.500988278199005E-7</v>
      </c>
      <c r="T45" s="9">
        <f t="shared" si="11"/>
        <v>1.8613264436906339E-7</v>
      </c>
      <c r="U45" s="9">
        <f t="shared" si="12"/>
        <v>3.9749901172180094E-5</v>
      </c>
      <c r="V45" s="102">
        <f t="shared" si="13"/>
        <v>4.6825938903046309E-3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87</v>
      </c>
      <c r="C46" s="46" t="s">
        <v>88</v>
      </c>
      <c r="D46" s="93">
        <v>2.6972559999999999</v>
      </c>
      <c r="E46" s="93">
        <v>3.431432</v>
      </c>
      <c r="F46" s="98">
        <v>9.9999999999999995E-7</v>
      </c>
      <c r="G46" s="170"/>
      <c r="H46" s="170"/>
      <c r="I46" s="94">
        <f t="shared" si="1"/>
        <v>0.64458903464573347</v>
      </c>
      <c r="J46" s="94">
        <f t="shared" si="2"/>
        <v>1.6486841643977077</v>
      </c>
      <c r="K46" s="95">
        <f t="shared" si="3"/>
        <v>0.22439468429307646</v>
      </c>
      <c r="L46" s="95">
        <f t="shared" si="4"/>
        <v>4.9220758422787135E-3</v>
      </c>
      <c r="M46" s="95">
        <f t="shared" si="5"/>
        <v>0.99507792415772134</v>
      </c>
      <c r="N46" s="95">
        <f t="shared" si="6"/>
        <v>1.7908012434785469E-3</v>
      </c>
      <c r="O46" s="40">
        <f t="shared" si="7"/>
        <v>2.2567362707663701E-7</v>
      </c>
      <c r="P46" s="40">
        <f t="shared" si="8"/>
        <v>1.004997481518659E-5</v>
      </c>
      <c r="Q46" s="40">
        <f t="shared" si="9"/>
        <v>6.0941453608430311E-4</v>
      </c>
      <c r="R46" s="9">
        <f t="shared" si="14"/>
        <v>3.9999999999999996E-5</v>
      </c>
      <c r="S46" s="9">
        <f t="shared" si="10"/>
        <v>1.9688303369114851E-7</v>
      </c>
      <c r="T46" s="9">
        <f t="shared" si="11"/>
        <v>8.9757873717230575E-6</v>
      </c>
      <c r="U46" s="9">
        <f t="shared" si="12"/>
        <v>3.9803116966308849E-5</v>
      </c>
      <c r="V46" s="102">
        <f t="shared" si="13"/>
        <v>0.22550463521036726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143</v>
      </c>
      <c r="C47" s="46" t="s">
        <v>144</v>
      </c>
      <c r="D47" s="91">
        <v>3.859360000000001</v>
      </c>
      <c r="E47" s="91">
        <v>4.2614199999999993</v>
      </c>
      <c r="F47" s="98">
        <v>9.9999999999999995E-7</v>
      </c>
      <c r="G47" s="170"/>
      <c r="H47" s="170"/>
      <c r="I47" s="94">
        <f t="shared" si="1"/>
        <v>1.6299602750984028</v>
      </c>
      <c r="J47" s="94">
        <f t="shared" si="2"/>
        <v>2.7061471704995403</v>
      </c>
      <c r="K47" s="95">
        <f t="shared" si="3"/>
        <v>2.3187584178378878E-2</v>
      </c>
      <c r="L47" s="95">
        <f t="shared" si="4"/>
        <v>5.8056953972748454E-3</v>
      </c>
      <c r="M47" s="95">
        <f t="shared" si="5"/>
        <v>0.99419430460272518</v>
      </c>
      <c r="N47" s="95">
        <f t="shared" si="6"/>
        <v>1.2510605402259295E-3</v>
      </c>
      <c r="O47" s="40">
        <f t="shared" si="7"/>
        <v>2.3319742360051346E-8</v>
      </c>
      <c r="P47" s="40">
        <f t="shared" si="8"/>
        <v>1.1854163649019414E-5</v>
      </c>
      <c r="Q47" s="40">
        <f t="shared" si="9"/>
        <v>4.2573930608525167E-4</v>
      </c>
      <c r="R47" s="9">
        <f t="shared" si="14"/>
        <v>3.9999999999999996E-5</v>
      </c>
      <c r="S47" s="9">
        <f t="shared" si="10"/>
        <v>2.322278158909938E-7</v>
      </c>
      <c r="T47" s="9">
        <f t="shared" si="11"/>
        <v>9.2750336713515506E-7</v>
      </c>
      <c r="U47" s="9">
        <f t="shared" si="12"/>
        <v>3.9767772184109007E-5</v>
      </c>
      <c r="V47" s="102">
        <f t="shared" si="13"/>
        <v>2.3322990356140206E-2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145</v>
      </c>
      <c r="C48" s="46" t="s">
        <v>146</v>
      </c>
      <c r="D48" s="91">
        <v>2.0184960000000003</v>
      </c>
      <c r="E48" s="91">
        <v>2.3512620000000002</v>
      </c>
      <c r="F48" s="98">
        <v>9.9999999999999995E-7</v>
      </c>
      <c r="G48" s="170"/>
      <c r="H48" s="170"/>
      <c r="I48" s="94">
        <f t="shared" ref="I48:I50" si="15">IF(D48=0,"",LOG($K$15*10^D48+$K$16*10^E48+$K$14))</f>
        <v>0.19893820408979257</v>
      </c>
      <c r="J48" s="94">
        <f t="shared" ref="J48:J50" si="16">IF(D48=0,"",LOG($K$21*10^D48+$K$22*10^E48+$K$20))</f>
        <v>0.90446876984667568</v>
      </c>
      <c r="K48" s="95">
        <f t="shared" ref="K48:K50" si="17">IF(D48=0,"",1/(1+10^D48*$J$15/$J$14+10^E48*$J$16/$J$14+10^J48*$J$19/$J$14))</f>
        <v>0.62766430039006038</v>
      </c>
      <c r="L48" s="95">
        <f t="shared" ref="L48:L50" si="18">IF(D48=0,"",1/(1+10^I48/10^J48*$J$13/$J$19))</f>
        <v>2.481120003151485E-3</v>
      </c>
      <c r="M48" s="95">
        <f t="shared" ref="M48:M92" si="19">IF(D48=0,"",1-L48)</f>
        <v>0.99751887999684852</v>
      </c>
      <c r="N48" s="95">
        <f t="shared" ref="N48:N50" si="20">IF(D48=0,"",1/(1/10^E48*$J$20/$J$22+10^D48/10^E48*$J$21/$J$22+10^I48/10^E48*$J$13/$J$22+1))</f>
        <v>4.164781778129592E-4</v>
      </c>
      <c r="O48" s="40">
        <f t="shared" ref="O48:O92" si="21">IF(D48=0,"",F48*K48*$J$7/$J$14)</f>
        <v>6.3124168784026411E-7</v>
      </c>
      <c r="P48" s="40">
        <f t="shared" ref="P48:P50" si="22">IF(D48=0,"",O48*10^J48)</f>
        <v>5.0659913305163877E-6</v>
      </c>
      <c r="Q48" s="40">
        <f t="shared" ref="Q48:Q50" si="23">IF(D48=0,"",F48*N48*$J$7/$J$22)</f>
        <v>1.4172865718370322E-4</v>
      </c>
      <c r="R48" s="9">
        <f t="shared" si="14"/>
        <v>3.9999999999999996E-5</v>
      </c>
      <c r="S48" s="9">
        <f t="shared" si="10"/>
        <v>9.9244800126059389E-8</v>
      </c>
      <c r="T48" s="9">
        <f t="shared" si="11"/>
        <v>2.5106572015602412E-5</v>
      </c>
      <c r="U48" s="9">
        <f t="shared" si="12"/>
        <v>3.9900755199873937E-5</v>
      </c>
      <c r="V48" s="102">
        <f t="shared" si="13"/>
        <v>0.62922548432571357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147</v>
      </c>
      <c r="C49" s="46" t="s">
        <v>148</v>
      </c>
      <c r="D49" s="91">
        <v>1.4665360000000003</v>
      </c>
      <c r="E49" s="91">
        <v>1.8522119999999997</v>
      </c>
      <c r="F49" s="98">
        <v>9.9999999999999995E-7</v>
      </c>
      <c r="G49" s="170"/>
      <c r="H49" s="170"/>
      <c r="I49" s="94">
        <f t="shared" si="15"/>
        <v>6.5352597387686409E-2</v>
      </c>
      <c r="J49" s="94">
        <f t="shared" si="16"/>
        <v>0.47366304909312146</v>
      </c>
      <c r="K49" s="95">
        <f t="shared" si="17"/>
        <v>0.85476628653491682</v>
      </c>
      <c r="L49" s="95">
        <f t="shared" si="18"/>
        <v>1.253031548894622E-3</v>
      </c>
      <c r="M49" s="95">
        <f t="shared" si="19"/>
        <v>0.99874696845110533</v>
      </c>
      <c r="N49" s="95">
        <f t="shared" si="20"/>
        <v>1.7974723029519384E-4</v>
      </c>
      <c r="O49" s="40">
        <f t="shared" si="21"/>
        <v>8.5963804709929317E-7</v>
      </c>
      <c r="P49" s="40">
        <f t="shared" si="22"/>
        <v>2.5584602741909799E-6</v>
      </c>
      <c r="Q49" s="40">
        <f t="shared" si="23"/>
        <v>6.1168471577564102E-5</v>
      </c>
      <c r="R49" s="9">
        <f t="shared" si="14"/>
        <v>3.9999999999999996E-5</v>
      </c>
      <c r="S49" s="9">
        <f t="shared" si="10"/>
        <v>5.0121261955784874E-8</v>
      </c>
      <c r="T49" s="9">
        <f t="shared" si="11"/>
        <v>3.4190651461396672E-5</v>
      </c>
      <c r="U49" s="9">
        <f t="shared" si="12"/>
        <v>3.994987873804421E-5</v>
      </c>
      <c r="V49" s="102">
        <f t="shared" si="13"/>
        <v>0.85583867940097058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149</v>
      </c>
      <c r="C50" s="46" t="s">
        <v>150</v>
      </c>
      <c r="D50" s="91"/>
      <c r="E50" s="91"/>
      <c r="F50" s="92"/>
      <c r="G50" s="170"/>
      <c r="H50" s="17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151</v>
      </c>
      <c r="C51" s="46" t="s">
        <v>152</v>
      </c>
      <c r="D51" s="91"/>
      <c r="E51" s="91"/>
      <c r="F51" s="92"/>
      <c r="G51" s="170"/>
      <c r="H51" s="17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153</v>
      </c>
      <c r="C52" s="46" t="s">
        <v>154</v>
      </c>
      <c r="D52" s="47"/>
      <c r="E52" s="47"/>
      <c r="F52" s="92"/>
      <c r="G52" s="170"/>
      <c r="H52" s="17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155</v>
      </c>
      <c r="C53" s="46" t="s">
        <v>156</v>
      </c>
      <c r="D53" s="47"/>
      <c r="E53" s="47"/>
      <c r="F53" s="92"/>
      <c r="G53" s="170"/>
      <c r="H53" s="17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157</v>
      </c>
      <c r="C54" s="46" t="s">
        <v>158</v>
      </c>
      <c r="D54" s="47"/>
      <c r="E54" s="47"/>
      <c r="F54" s="92"/>
      <c r="G54" s="170"/>
      <c r="H54" s="17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159</v>
      </c>
      <c r="C55" s="46" t="s">
        <v>160</v>
      </c>
      <c r="D55" s="47"/>
      <c r="E55" s="47"/>
      <c r="F55" s="57"/>
      <c r="G55" s="170"/>
      <c r="H55" s="17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161</v>
      </c>
      <c r="C56" s="46" t="s">
        <v>162</v>
      </c>
      <c r="D56" s="47"/>
      <c r="E56" s="47"/>
      <c r="F56" s="57"/>
      <c r="G56" s="170"/>
      <c r="H56" s="17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89</v>
      </c>
      <c r="C57" s="88" t="s">
        <v>90</v>
      </c>
      <c r="D57" s="91">
        <v>6.5247999999999973E-2</v>
      </c>
      <c r="E57" s="91">
        <v>8.2216000000000289E-2</v>
      </c>
      <c r="F57" s="98">
        <v>9.9999999999999995E-7</v>
      </c>
      <c r="G57" s="170"/>
      <c r="H57" s="170"/>
      <c r="I57" s="54">
        <f t="shared" si="24"/>
        <v>3.7217650281818146E-4</v>
      </c>
      <c r="J57" s="54">
        <f t="shared" si="25"/>
        <v>4.3930265911812484E-3</v>
      </c>
      <c r="K57" s="55">
        <f t="shared" si="26"/>
        <v>0.9934765048055848</v>
      </c>
      <c r="L57" s="55">
        <f t="shared" si="27"/>
        <v>4.9431319050369563E-4</v>
      </c>
      <c r="M57" s="55">
        <f t="shared" si="28"/>
        <v>0.99950568680949625</v>
      </c>
      <c r="N57" s="55">
        <f t="shared" si="29"/>
        <v>3.5479412790918144E-6</v>
      </c>
      <c r="O57" s="56">
        <f t="shared" si="30"/>
        <v>9.99138847523109E-7</v>
      </c>
      <c r="P57" s="56">
        <f t="shared" si="31"/>
        <v>1.0092967427898822E-6</v>
      </c>
      <c r="Q57" s="56">
        <f t="shared" si="32"/>
        <v>1.207374071536928E-6</v>
      </c>
      <c r="R57" s="9">
        <f t="shared" ref="R57:R58" si="33">F57*$C$14</f>
        <v>3.9999999999999996E-5</v>
      </c>
      <c r="S57" s="9">
        <f t="shared" ref="S57:S58" si="34">$R57*L57</f>
        <v>1.9772527620147823E-8</v>
      </c>
      <c r="T57" s="9">
        <f t="shared" ref="T57:T58" si="35">R57*K57</f>
        <v>3.9739060192223391E-5</v>
      </c>
      <c r="U57" s="9">
        <f t="shared" ref="U57:U58" si="36">$R57*M57</f>
        <v>3.9980227472379847E-5</v>
      </c>
      <c r="V57" s="102">
        <f t="shared" ref="V57:V58" si="37">K57/M57</f>
        <v>0.99396783621796381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163</v>
      </c>
      <c r="C58" s="46" t="s">
        <v>164</v>
      </c>
      <c r="D58" s="47">
        <v>2.1823520000000003</v>
      </c>
      <c r="E58" s="47">
        <v>2.5882690000000008</v>
      </c>
      <c r="F58" s="98">
        <v>9.9999999999999995E-7</v>
      </c>
      <c r="G58" s="170"/>
      <c r="H58" s="170"/>
      <c r="I58" s="54">
        <f t="shared" si="24"/>
        <v>0.27242732253974722</v>
      </c>
      <c r="J58" s="54">
        <f t="shared" si="25"/>
        <v>1.0657207712099643</v>
      </c>
      <c r="K58" s="55">
        <f t="shared" si="26"/>
        <v>0.52965986396444131</v>
      </c>
      <c r="L58" s="55">
        <f t="shared" si="27"/>
        <v>3.0350748647942584E-3</v>
      </c>
      <c r="M58" s="55">
        <f t="shared" si="28"/>
        <v>0.99696492513520574</v>
      </c>
      <c r="N58" s="55">
        <f t="shared" si="29"/>
        <v>6.0655318460379212E-4</v>
      </c>
      <c r="O58" s="56">
        <f t="shared" si="30"/>
        <v>5.3267867282300699E-7</v>
      </c>
      <c r="P58" s="56">
        <f t="shared" si="31"/>
        <v>6.1970654111796069E-6</v>
      </c>
      <c r="Q58" s="56">
        <f t="shared" si="32"/>
        <v>2.064116992055265E-4</v>
      </c>
      <c r="R58" s="9">
        <f t="shared" si="33"/>
        <v>3.9999999999999996E-5</v>
      </c>
      <c r="S58" s="9">
        <f t="shared" si="34"/>
        <v>1.2140299459177033E-7</v>
      </c>
      <c r="T58" s="9">
        <f t="shared" si="35"/>
        <v>2.118639455857765E-5</v>
      </c>
      <c r="U58" s="9">
        <f t="shared" si="36"/>
        <v>3.9878597005408224E-5</v>
      </c>
      <c r="V58" s="102">
        <f t="shared" si="37"/>
        <v>0.53127231521471052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165</v>
      </c>
      <c r="C59" s="46" t="s">
        <v>166</v>
      </c>
      <c r="D59" s="47"/>
      <c r="E59" s="47"/>
      <c r="F59" s="57"/>
      <c r="G59" s="170"/>
      <c r="H59" s="17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91</v>
      </c>
      <c r="C60" s="46" t="s">
        <v>92</v>
      </c>
      <c r="D60" s="47">
        <v>2.3628240000000003</v>
      </c>
      <c r="E60" s="47">
        <v>2.5674030000000005</v>
      </c>
      <c r="F60" s="98">
        <v>9.9999999999999995E-7</v>
      </c>
      <c r="G60" s="170"/>
      <c r="H60" s="170"/>
      <c r="I60" s="54">
        <f t="shared" si="24"/>
        <v>0.35062624883359406</v>
      </c>
      <c r="J60" s="54">
        <f t="shared" si="25"/>
        <v>1.1996698987962189</v>
      </c>
      <c r="K60" s="55">
        <f t="shared" si="26"/>
        <v>0.44219887093647942</v>
      </c>
      <c r="L60" s="55">
        <f t="shared" si="27"/>
        <v>3.4493645872323143E-3</v>
      </c>
      <c r="M60" s="55">
        <f t="shared" si="28"/>
        <v>0.99655063541276767</v>
      </c>
      <c r="N60" s="55">
        <f t="shared" si="29"/>
        <v>4.8264015521152766E-4</v>
      </c>
      <c r="O60" s="56">
        <f t="shared" si="30"/>
        <v>4.4471919380715941E-7</v>
      </c>
      <c r="P60" s="56">
        <f t="shared" si="31"/>
        <v>7.0429689303674682E-6</v>
      </c>
      <c r="Q60" s="56">
        <f t="shared" si="32"/>
        <v>1.6424375812502763E-4</v>
      </c>
      <c r="R60" s="9">
        <f t="shared" ref="R60:R65" si="38">F60*$C$14</f>
        <v>3.9999999999999996E-5</v>
      </c>
      <c r="S60" s="9">
        <f t="shared" ref="S60:S93" si="39">$R60*L60</f>
        <v>1.3797458348929256E-7</v>
      </c>
      <c r="T60" s="9">
        <f t="shared" ref="T60:T93" si="40">R60*K60</f>
        <v>1.7687954837459176E-5</v>
      </c>
      <c r="U60" s="9">
        <f t="shared" ref="U60:U93" si="41">$R60*M60</f>
        <v>3.9862025416510705E-5</v>
      </c>
      <c r="V60" s="102">
        <f t="shared" ref="V60:V93" si="42">K60/M60</f>
        <v>0.44372945560696198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93</v>
      </c>
      <c r="C61" s="46" t="s">
        <v>94</v>
      </c>
      <c r="D61" s="47">
        <v>3.2672240000000001</v>
      </c>
      <c r="E61" s="47">
        <v>3.6253630000000006</v>
      </c>
      <c r="F61" s="98">
        <v>9.9999999999999995E-7</v>
      </c>
      <c r="G61" s="170"/>
      <c r="H61" s="170"/>
      <c r="I61" s="54">
        <f t="shared" si="24"/>
        <v>1.0599296125914559</v>
      </c>
      <c r="J61" s="54">
        <f t="shared" si="25"/>
        <v>2.1072920523713812</v>
      </c>
      <c r="K61" s="55">
        <f t="shared" si="26"/>
        <v>8.6188259325397726E-2</v>
      </c>
      <c r="L61" s="55">
        <f t="shared" si="27"/>
        <v>5.4349022106930812E-3</v>
      </c>
      <c r="M61" s="55">
        <f t="shared" si="28"/>
        <v>0.99456509778930691</v>
      </c>
      <c r="N61" s="55">
        <f t="shared" si="29"/>
        <v>1.0750135350681735E-3</v>
      </c>
      <c r="O61" s="56">
        <f t="shared" si="30"/>
        <v>8.6679491337595899E-8</v>
      </c>
      <c r="P61" s="56">
        <f t="shared" si="31"/>
        <v>1.1097072066890452E-5</v>
      </c>
      <c r="Q61" s="56">
        <f t="shared" si="32"/>
        <v>3.6583003119059751E-4</v>
      </c>
      <c r="R61" s="9">
        <f t="shared" si="38"/>
        <v>3.9999999999999996E-5</v>
      </c>
      <c r="S61" s="9">
        <f t="shared" si="39"/>
        <v>2.1739608842772323E-7</v>
      </c>
      <c r="T61" s="9">
        <f t="shared" si="40"/>
        <v>3.4475303730159085E-6</v>
      </c>
      <c r="U61" s="9">
        <f t="shared" si="41"/>
        <v>3.9782603911572273E-5</v>
      </c>
      <c r="V61" s="102">
        <f t="shared" si="42"/>
        <v>8.6659243841327949E-2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167</v>
      </c>
      <c r="C62" s="46" t="s">
        <v>111</v>
      </c>
      <c r="D62" s="47">
        <v>2.9091840000000002</v>
      </c>
      <c r="E62" s="47">
        <v>3.4102429999999995</v>
      </c>
      <c r="F62" s="98">
        <v>9.9999999999999995E-7</v>
      </c>
      <c r="G62" s="170"/>
      <c r="H62" s="170"/>
      <c r="I62" s="54">
        <f t="shared" si="24"/>
        <v>0.76837016932652724</v>
      </c>
      <c r="J62" s="54">
        <f t="shared" si="25"/>
        <v>1.7852712062489944</v>
      </c>
      <c r="K62" s="55">
        <f t="shared" si="26"/>
        <v>0.16872034879488348</v>
      </c>
      <c r="L62" s="55">
        <f t="shared" si="27"/>
        <v>5.0686259534879485E-3</v>
      </c>
      <c r="M62" s="55">
        <f t="shared" si="28"/>
        <v>0.994931374046512</v>
      </c>
      <c r="N62" s="55">
        <f t="shared" si="29"/>
        <v>1.282369815916913E-3</v>
      </c>
      <c r="O62" s="56">
        <f t="shared" si="30"/>
        <v>1.6968197439314945E-7</v>
      </c>
      <c r="P62" s="56">
        <f t="shared" si="31"/>
        <v>1.0349203224908487E-5</v>
      </c>
      <c r="Q62" s="56">
        <f t="shared" si="32"/>
        <v>4.3639393779820138E-4</v>
      </c>
      <c r="R62" s="9">
        <f t="shared" si="38"/>
        <v>3.9999999999999996E-5</v>
      </c>
      <c r="S62" s="9">
        <f t="shared" si="39"/>
        <v>2.0274503813951793E-7</v>
      </c>
      <c r="T62" s="9">
        <f t="shared" si="40"/>
        <v>6.7488139517953385E-6</v>
      </c>
      <c r="U62" s="9">
        <f t="shared" si="41"/>
        <v>3.9797254961860474E-5</v>
      </c>
      <c r="V62" s="102">
        <f t="shared" si="42"/>
        <v>0.16957988580526559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95</v>
      </c>
      <c r="C63" s="46" t="s">
        <v>96</v>
      </c>
      <c r="D63" s="47">
        <v>2.857424</v>
      </c>
      <c r="E63" s="47">
        <v>3.3289280000000003</v>
      </c>
      <c r="F63" s="98">
        <v>9.9999999999999995E-7</v>
      </c>
      <c r="G63" s="170"/>
      <c r="H63" s="170"/>
      <c r="I63" s="54">
        <f t="shared" si="24"/>
        <v>0.7211484450377651</v>
      </c>
      <c r="J63" s="54">
        <f t="shared" si="25"/>
        <v>1.7270814445025908</v>
      </c>
      <c r="K63" s="55">
        <f t="shared" si="26"/>
        <v>0.18812395004392821</v>
      </c>
      <c r="L63" s="55">
        <f t="shared" si="27"/>
        <v>4.9428462965964677E-3</v>
      </c>
      <c r="M63" s="55">
        <f t="shared" si="28"/>
        <v>0.99505715370340353</v>
      </c>
      <c r="N63" s="55">
        <f t="shared" si="29"/>
        <v>1.1857002506475073E-3</v>
      </c>
      <c r="O63" s="56">
        <f t="shared" si="30"/>
        <v>1.8919616692411664E-7</v>
      </c>
      <c r="P63" s="56">
        <f t="shared" si="31"/>
        <v>1.0092384267922042E-5</v>
      </c>
      <c r="Q63" s="56">
        <f t="shared" si="32"/>
        <v>4.034970216905865E-4</v>
      </c>
      <c r="R63" s="9">
        <f t="shared" si="38"/>
        <v>3.9999999999999996E-5</v>
      </c>
      <c r="S63" s="9">
        <f t="shared" si="39"/>
        <v>1.9771385186385868E-7</v>
      </c>
      <c r="T63" s="9">
        <f t="shared" si="40"/>
        <v>7.5249580017571276E-6</v>
      </c>
      <c r="U63" s="9">
        <f t="shared" si="41"/>
        <v>3.980228614813614E-5</v>
      </c>
      <c r="V63" s="102">
        <f t="shared" si="42"/>
        <v>0.18905843683829468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97</v>
      </c>
      <c r="C64" s="46" t="s">
        <v>98</v>
      </c>
      <c r="D64" s="47">
        <v>2.0783680000000002</v>
      </c>
      <c r="E64" s="47">
        <v>2.5770209999999998</v>
      </c>
      <c r="F64" s="98">
        <v>9.9999999999999995E-7</v>
      </c>
      <c r="G64" s="170"/>
      <c r="H64" s="170"/>
      <c r="I64" s="54">
        <f t="shared" si="24"/>
        <v>0.2338148544799136</v>
      </c>
      <c r="J64" s="54">
        <f t="shared" si="25"/>
        <v>0.99088006690224351</v>
      </c>
      <c r="K64" s="55">
        <f t="shared" si="26"/>
        <v>0.57904863166221821</v>
      </c>
      <c r="L64" s="55">
        <f t="shared" si="27"/>
        <v>2.7928440053542618E-3</v>
      </c>
      <c r="M64" s="55">
        <f t="shared" si="28"/>
        <v>0.99720715599464571</v>
      </c>
      <c r="N64" s="55">
        <f t="shared" si="29"/>
        <v>6.4615820331090259E-4</v>
      </c>
      <c r="O64" s="56">
        <f t="shared" si="30"/>
        <v>5.8234893296448864E-7</v>
      </c>
      <c r="P64" s="56">
        <f t="shared" si="31"/>
        <v>5.7024744875854822E-6</v>
      </c>
      <c r="Q64" s="56">
        <f t="shared" si="32"/>
        <v>2.1988939484031457E-4</v>
      </c>
      <c r="R64" s="9">
        <f t="shared" si="38"/>
        <v>3.9999999999999996E-5</v>
      </c>
      <c r="S64" s="9">
        <f t="shared" si="39"/>
        <v>1.1171376021417046E-7</v>
      </c>
      <c r="T64" s="9">
        <f t="shared" si="40"/>
        <v>2.3161945266488728E-5</v>
      </c>
      <c r="U64" s="9">
        <f t="shared" si="41"/>
        <v>3.9888286239785822E-5</v>
      </c>
      <c r="V64" s="102">
        <f t="shared" si="42"/>
        <v>0.5806703533777362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168</v>
      </c>
      <c r="C65" s="46" t="s">
        <v>169</v>
      </c>
      <c r="D65" s="47">
        <v>3.4409280000000009</v>
      </c>
      <c r="E65" s="47">
        <v>4.1160660000000009</v>
      </c>
      <c r="F65" s="98">
        <v>9.9999999999999995E-7</v>
      </c>
      <c r="G65" s="170"/>
      <c r="H65" s="170"/>
      <c r="I65" s="54">
        <f t="shared" si="24"/>
        <v>1.2834731216469764</v>
      </c>
      <c r="J65" s="54">
        <f t="shared" si="25"/>
        <v>2.3638521417655052</v>
      </c>
      <c r="K65" s="55">
        <f t="shared" si="26"/>
        <v>5.1489443939529519E-2</v>
      </c>
      <c r="L65" s="55">
        <f t="shared" si="27"/>
        <v>5.8616774338389674E-3</v>
      </c>
      <c r="M65" s="55">
        <f t="shared" si="28"/>
        <v>0.99413832256616108</v>
      </c>
      <c r="N65" s="55">
        <f t="shared" si="29"/>
        <v>1.9878656273811888E-3</v>
      </c>
      <c r="O65" s="56">
        <f t="shared" si="30"/>
        <v>5.1782909236907057E-8</v>
      </c>
      <c r="P65" s="56">
        <f t="shared" si="31"/>
        <v>1.196846868526847E-5</v>
      </c>
      <c r="Q65" s="56">
        <f t="shared" si="32"/>
        <v>6.7647608215598814E-4</v>
      </c>
      <c r="R65" s="9">
        <f t="shared" si="38"/>
        <v>3.9999999999999996E-5</v>
      </c>
      <c r="S65" s="9">
        <f t="shared" si="39"/>
        <v>2.3446709735355868E-7</v>
      </c>
      <c r="T65" s="9">
        <f t="shared" si="40"/>
        <v>2.0595777575811805E-6</v>
      </c>
      <c r="U65" s="9">
        <f t="shared" si="41"/>
        <v>3.9765532902646439E-5</v>
      </c>
      <c r="V65" s="102">
        <f t="shared" si="42"/>
        <v>5.1793038021731463E-2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170</v>
      </c>
      <c r="C66" s="46" t="s">
        <v>171</v>
      </c>
      <c r="D66" s="47"/>
      <c r="E66" s="47"/>
      <c r="F66" s="57"/>
      <c r="G66" s="170"/>
      <c r="H66" s="17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172</v>
      </c>
      <c r="C67" s="46" t="s">
        <v>173</v>
      </c>
      <c r="D67" s="47"/>
      <c r="E67" s="47"/>
      <c r="F67" s="57"/>
      <c r="G67" s="170"/>
      <c r="H67" s="17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99</v>
      </c>
      <c r="C68" s="46" t="s">
        <v>100</v>
      </c>
      <c r="D68" s="47">
        <v>2.3414159999999997</v>
      </c>
      <c r="E68" s="47">
        <v>2.4767320000000002</v>
      </c>
      <c r="F68" s="98">
        <v>9.9999999999999995E-7</v>
      </c>
      <c r="G68" s="170"/>
      <c r="H68" s="170"/>
      <c r="I68" s="54">
        <f t="shared" si="24"/>
        <v>0.33491051106253611</v>
      </c>
      <c r="J68" s="54">
        <f t="shared" si="25"/>
        <v>1.1705366559659578</v>
      </c>
      <c r="K68" s="55">
        <f t="shared" si="26"/>
        <v>0.45854181298647312</v>
      </c>
      <c r="L68" s="55">
        <f t="shared" si="27"/>
        <v>3.3447770291049049E-3</v>
      </c>
      <c r="M68" s="55">
        <f t="shared" si="28"/>
        <v>0.99665522297089515</v>
      </c>
      <c r="N68" s="55">
        <f t="shared" si="29"/>
        <v>4.0617553985407387E-4</v>
      </c>
      <c r="O68" s="56">
        <f t="shared" si="30"/>
        <v>4.6115528283994732E-7</v>
      </c>
      <c r="P68" s="56">
        <f t="shared" si="31"/>
        <v>6.8294203466309482E-6</v>
      </c>
      <c r="Q68" s="56">
        <f t="shared" si="32"/>
        <v>1.3822264145190553E-4</v>
      </c>
      <c r="R68" s="9">
        <f>F68*$C$14</f>
        <v>3.9999999999999996E-5</v>
      </c>
      <c r="S68" s="9">
        <f t="shared" si="39"/>
        <v>1.3379108116419618E-7</v>
      </c>
      <c r="T68" s="9">
        <f t="shared" si="40"/>
        <v>1.8341672519458924E-5</v>
      </c>
      <c r="U68" s="9">
        <f t="shared" si="41"/>
        <v>3.9866208918835805E-5</v>
      </c>
      <c r="V68" s="102">
        <f t="shared" si="42"/>
        <v>0.4600806802773999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174</v>
      </c>
      <c r="C69" s="46" t="s">
        <v>175</v>
      </c>
      <c r="D69" s="47">
        <v>4.3302640000000006</v>
      </c>
      <c r="E69" s="47">
        <v>5.074033</v>
      </c>
      <c r="F69" s="98">
        <v>9.9999999999999995E-7</v>
      </c>
      <c r="G69" s="170"/>
      <c r="H69" s="170"/>
      <c r="I69" s="54">
        <f t="shared" si="24"/>
        <v>2.1724337273682748</v>
      </c>
      <c r="J69" s="54">
        <f t="shared" si="25"/>
        <v>3.2762431023863434</v>
      </c>
      <c r="K69" s="55">
        <f t="shared" si="26"/>
        <v>6.6468595998710111E-3</v>
      </c>
      <c r="L69" s="55">
        <f t="shared" si="27"/>
        <v>6.1845937892988723E-3</v>
      </c>
      <c r="M69" s="55">
        <f t="shared" si="28"/>
        <v>0.99381540621070108</v>
      </c>
      <c r="N69" s="55">
        <f t="shared" si="29"/>
        <v>2.3294442871537521E-3</v>
      </c>
      <c r="O69" s="56">
        <f t="shared" si="30"/>
        <v>6.6847435325736794E-9</v>
      </c>
      <c r="P69" s="56">
        <f t="shared" si="31"/>
        <v>1.2627804571950274E-5</v>
      </c>
      <c r="Q69" s="56">
        <f t="shared" si="32"/>
        <v>7.9271622954233236E-4</v>
      </c>
      <c r="R69" s="9">
        <f>F69*$C$14</f>
        <v>3.9999999999999996E-5</v>
      </c>
      <c r="S69" s="9">
        <f t="shared" si="39"/>
        <v>2.4738375157195485E-7</v>
      </c>
      <c r="T69" s="9">
        <f t="shared" si="40"/>
        <v>2.6587438399484041E-7</v>
      </c>
      <c r="U69" s="9">
        <f t="shared" si="41"/>
        <v>3.9752616248428041E-5</v>
      </c>
      <c r="V69" s="102">
        <f t="shared" si="42"/>
        <v>6.6882235456730233E-3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176</v>
      </c>
      <c r="C70" s="46" t="s">
        <v>177</v>
      </c>
      <c r="D70" s="47">
        <v>1.4854320000000003</v>
      </c>
      <c r="E70" s="47">
        <v>1.5057189999999996</v>
      </c>
      <c r="F70" s="98">
        <v>9.9999999999999995E-7</v>
      </c>
      <c r="G70" s="170"/>
      <c r="H70" s="170"/>
      <c r="I70" s="54">
        <f t="shared" si="24"/>
        <v>6.2122287627494992E-2</v>
      </c>
      <c r="J70" s="54">
        <f t="shared" si="25"/>
        <v>0.44918987949517519</v>
      </c>
      <c r="K70" s="55">
        <f t="shared" si="26"/>
        <v>0.86119930864769179</v>
      </c>
      <c r="L70" s="55">
        <f t="shared" si="27"/>
        <v>1.1932875904839778E-3</v>
      </c>
      <c r="M70" s="55">
        <f t="shared" si="28"/>
        <v>0.99880671240951602</v>
      </c>
      <c r="N70" s="55">
        <f t="shared" si="29"/>
        <v>8.1550287249183549E-5</v>
      </c>
      <c r="O70" s="56">
        <f t="shared" si="30"/>
        <v>8.6610773437298106E-7</v>
      </c>
      <c r="P70" s="56">
        <f t="shared" si="31"/>
        <v>2.4364740844965607E-6</v>
      </c>
      <c r="Q70" s="56">
        <f t="shared" si="32"/>
        <v>2.7751784656440689E-5</v>
      </c>
      <c r="R70" s="9">
        <f t="shared" ref="R70:R86" si="43">F70*$C$14</f>
        <v>3.9999999999999996E-5</v>
      </c>
      <c r="S70" s="9">
        <f t="shared" si="39"/>
        <v>4.7731503619359111E-8</v>
      </c>
      <c r="T70" s="9">
        <f t="shared" si="40"/>
        <v>3.4447972345907666E-5</v>
      </c>
      <c r="U70" s="9">
        <f t="shared" si="41"/>
        <v>3.9952268496380639E-5</v>
      </c>
      <c r="V70" s="102">
        <f t="shared" si="42"/>
        <v>0.86222819485277502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178</v>
      </c>
      <c r="C71" s="46" t="s">
        <v>179</v>
      </c>
      <c r="D71" s="47">
        <v>2.0758240000000003</v>
      </c>
      <c r="E71" s="47">
        <v>2.477398</v>
      </c>
      <c r="F71" s="98">
        <v>9.9999999999999995E-7</v>
      </c>
      <c r="G71" s="170"/>
      <c r="H71" s="170"/>
      <c r="I71" s="54">
        <f t="shared" ref="I71:I122" si="44">IF(D71=0,"",LOG($K$15*10^D71+$K$16*10^E71+$K$14))</f>
        <v>0.22542744412672311</v>
      </c>
      <c r="J71" s="54">
        <f t="shared" ref="J71:J122" si="45">IF(D71=0,"",LOG($K$21*10^D71+$K$22*10^E71+$K$20))</f>
        <v>0.96798410137931934</v>
      </c>
      <c r="K71" s="55">
        <f t="shared" ref="K71:K122" si="46">IF(D71=0,"",1/(1+10^D71*$J$15/$J$14+10^E71*$J$16/$J$14+10^J71*$J$19/$J$14))</f>
        <v>0.59039449946032474</v>
      </c>
      <c r="L71" s="55">
        <f t="shared" ref="L71:L122" si="47">IF(D71=0,"",1/(1+10^I71/10^J71*$J$13/$J$19))</f>
        <v>2.7013320806587946E-3</v>
      </c>
      <c r="M71" s="55">
        <f t="shared" si="19"/>
        <v>0.99729866791934119</v>
      </c>
      <c r="N71" s="55">
        <f t="shared" ref="N71:N122" si="48">IF(D71=0,"",1/(1/10^E71*$J$20/$J$22+10^D71/10^E71*$J$21/$J$22+10^I71/10^E71*$J$13/$J$22+1))</f>
        <v>5.2377302176297516E-4</v>
      </c>
      <c r="O71" s="56">
        <f t="shared" si="21"/>
        <v>5.9375946680310027E-7</v>
      </c>
      <c r="P71" s="56">
        <f t="shared" ref="P71:P122" si="49">IF(D71=0,"",O71*10^J71)</f>
        <v>5.5156239456700337E-6</v>
      </c>
      <c r="Q71" s="56">
        <f t="shared" ref="Q71:Q122" si="50">IF(D71=0,"",F71*N71*$J$7/$J$22)</f>
        <v>1.782413845386527E-4</v>
      </c>
      <c r="R71" s="9">
        <f t="shared" si="43"/>
        <v>3.9999999999999996E-5</v>
      </c>
      <c r="S71" s="9">
        <f t="shared" si="39"/>
        <v>1.0805328322635177E-7</v>
      </c>
      <c r="T71" s="9">
        <f t="shared" si="40"/>
        <v>2.3615779978412986E-5</v>
      </c>
      <c r="U71" s="9">
        <f t="shared" si="41"/>
        <v>3.9891946716773641E-5</v>
      </c>
      <c r="V71" s="102">
        <f t="shared" si="42"/>
        <v>0.59199367095522304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180</v>
      </c>
      <c r="C72" s="46" t="s">
        <v>181</v>
      </c>
      <c r="D72" s="47">
        <v>2.3078000000000003</v>
      </c>
      <c r="E72" s="47">
        <v>2.5099249999999995</v>
      </c>
      <c r="F72" s="98">
        <v>9.9999999999999995E-7</v>
      </c>
      <c r="G72" s="170"/>
      <c r="H72" s="170"/>
      <c r="I72" s="54">
        <f t="shared" si="44"/>
        <v>0.32073739190116707</v>
      </c>
      <c r="J72" s="54">
        <f t="shared" si="45"/>
        <v>1.1477703991585055</v>
      </c>
      <c r="K72" s="55">
        <f t="shared" si="46"/>
        <v>0.47378414539468089</v>
      </c>
      <c r="L72" s="55">
        <f t="shared" si="47"/>
        <v>3.279461183718141E-3</v>
      </c>
      <c r="M72" s="55">
        <f t="shared" si="19"/>
        <v>0.99672053881628186</v>
      </c>
      <c r="N72" s="55">
        <f t="shared" si="48"/>
        <v>4.5301058113492919E-4</v>
      </c>
      <c r="O72" s="56">
        <f t="shared" si="21"/>
        <v>4.7648448928039667E-7</v>
      </c>
      <c r="P72" s="56">
        <f t="shared" si="49"/>
        <v>6.6960573871391097E-6</v>
      </c>
      <c r="Q72" s="56">
        <f t="shared" si="50"/>
        <v>1.5416073344206977E-4</v>
      </c>
      <c r="R72" s="9">
        <f t="shared" si="43"/>
        <v>3.9999999999999996E-5</v>
      </c>
      <c r="S72" s="9">
        <f t="shared" si="39"/>
        <v>1.3117844734872563E-7</v>
      </c>
      <c r="T72" s="9">
        <f t="shared" si="40"/>
        <v>1.8951365815787234E-5</v>
      </c>
      <c r="U72" s="9">
        <f t="shared" si="41"/>
        <v>3.9868821552651272E-5</v>
      </c>
      <c r="V72" s="102">
        <f t="shared" si="42"/>
        <v>0.47534301435922355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182</v>
      </c>
      <c r="C73" s="46" t="s">
        <v>183</v>
      </c>
      <c r="D73" s="47">
        <v>5.676184000000001</v>
      </c>
      <c r="E73" s="47">
        <v>7.0708080000000004</v>
      </c>
      <c r="F73" s="98">
        <v>9.9999999999999995E-7</v>
      </c>
      <c r="G73" s="170"/>
      <c r="H73" s="170"/>
      <c r="I73" s="54">
        <f t="shared" si="44"/>
        <v>3.8293839195374848</v>
      </c>
      <c r="J73" s="54">
        <f t="shared" si="45"/>
        <v>4.9855182177090152</v>
      </c>
      <c r="K73" s="55">
        <f t="shared" si="46"/>
        <v>1.4632634987977376E-4</v>
      </c>
      <c r="L73" s="55">
        <f t="shared" si="47"/>
        <v>6.970955801653681E-3</v>
      </c>
      <c r="M73" s="55">
        <f t="shared" si="19"/>
        <v>0.99302904419834637</v>
      </c>
      <c r="N73" s="55">
        <f t="shared" si="48"/>
        <v>5.0901825974924483E-3</v>
      </c>
      <c r="O73" s="56">
        <f t="shared" si="21"/>
        <v>1.4716034035424984E-10</v>
      </c>
      <c r="P73" s="56">
        <f t="shared" si="49"/>
        <v>1.4233411367339778E-5</v>
      </c>
      <c r="Q73" s="56">
        <f t="shared" si="50"/>
        <v>1.7322029887636798E-3</v>
      </c>
      <c r="R73" s="9">
        <f t="shared" si="43"/>
        <v>3.9999999999999996E-5</v>
      </c>
      <c r="S73" s="9">
        <f t="shared" si="39"/>
        <v>2.788382320661472E-7</v>
      </c>
      <c r="T73" s="9">
        <f t="shared" si="40"/>
        <v>5.85305399519095E-9</v>
      </c>
      <c r="U73" s="9">
        <f t="shared" si="41"/>
        <v>3.9721161767933848E-5</v>
      </c>
      <c r="V73" s="102">
        <f t="shared" si="42"/>
        <v>1.4735354492868862E-4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184</v>
      </c>
      <c r="C74" s="46" t="s">
        <v>185</v>
      </c>
      <c r="D74" s="47">
        <v>1.2599279999999999</v>
      </c>
      <c r="E74" s="47">
        <v>1.3925860000000003</v>
      </c>
      <c r="F74" s="98">
        <v>9.9999999999999995E-7</v>
      </c>
      <c r="G74" s="170"/>
      <c r="H74" s="170"/>
      <c r="I74" s="54">
        <f t="shared" si="44"/>
        <v>3.8037572032670899E-2</v>
      </c>
      <c r="J74" s="54">
        <f t="shared" si="45"/>
        <v>0.3196954881504116</v>
      </c>
      <c r="K74" s="55">
        <f t="shared" si="46"/>
        <v>0.9105422143482268</v>
      </c>
      <c r="L74" s="55">
        <f t="shared" si="47"/>
        <v>9.363692552542762E-4</v>
      </c>
      <c r="M74" s="55">
        <f t="shared" si="19"/>
        <v>0.99906363074474569</v>
      </c>
      <c r="N74" s="55">
        <f t="shared" si="48"/>
        <v>6.6449070121461589E-5</v>
      </c>
      <c r="O74" s="56">
        <f t="shared" si="21"/>
        <v>9.1573187112568833E-7</v>
      </c>
      <c r="P74" s="56">
        <f t="shared" si="49"/>
        <v>1.9118940330394913E-6</v>
      </c>
      <c r="Q74" s="56">
        <f t="shared" si="50"/>
        <v>2.2612799376129627E-5</v>
      </c>
      <c r="R74" s="9">
        <f t="shared" si="43"/>
        <v>3.9999999999999996E-5</v>
      </c>
      <c r="S74" s="9">
        <f t="shared" si="39"/>
        <v>3.7454770210171042E-8</v>
      </c>
      <c r="T74" s="9">
        <f t="shared" si="40"/>
        <v>3.6421688573929072E-5</v>
      </c>
      <c r="U74" s="9">
        <f t="shared" si="41"/>
        <v>3.9962545229789825E-5</v>
      </c>
      <c r="V74" s="102">
        <f t="shared" si="42"/>
        <v>0.91139561718353101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186</v>
      </c>
      <c r="C75" s="46" t="s">
        <v>187</v>
      </c>
      <c r="D75" s="47">
        <v>1.2889359999999999</v>
      </c>
      <c r="E75" s="47">
        <v>1.371977</v>
      </c>
      <c r="F75" s="98">
        <v>9.9999999999999995E-7</v>
      </c>
      <c r="G75" s="170"/>
      <c r="H75" s="170"/>
      <c r="I75" s="54">
        <f t="shared" si="44"/>
        <v>4.0258976380178252E-2</v>
      </c>
      <c r="J75" s="54">
        <f t="shared" si="45"/>
        <v>0.33245580247164885</v>
      </c>
      <c r="K75" s="55">
        <f t="shared" si="46"/>
        <v>0.90587587121543356</v>
      </c>
      <c r="L75" s="55">
        <f t="shared" si="47"/>
        <v>9.5934776188557485E-4</v>
      </c>
      <c r="M75" s="55">
        <f t="shared" si="19"/>
        <v>0.99904065223811445</v>
      </c>
      <c r="N75" s="55">
        <f t="shared" si="48"/>
        <v>6.3044690150563395E-5</v>
      </c>
      <c r="O75" s="56">
        <f t="shared" si="21"/>
        <v>9.1103893206040195E-7</v>
      </c>
      <c r="P75" s="56">
        <f t="shared" si="49"/>
        <v>1.9588119230385692E-6</v>
      </c>
      <c r="Q75" s="56">
        <f t="shared" si="50"/>
        <v>2.1454279608414E-5</v>
      </c>
      <c r="R75" s="9">
        <f t="shared" si="43"/>
        <v>3.9999999999999996E-5</v>
      </c>
      <c r="S75" s="9">
        <f t="shared" si="39"/>
        <v>3.8373910475422991E-8</v>
      </c>
      <c r="T75" s="9">
        <f t="shared" si="40"/>
        <v>3.623503484861734E-5</v>
      </c>
      <c r="U75" s="9">
        <f t="shared" si="41"/>
        <v>3.9961626089524577E-5</v>
      </c>
      <c r="V75" s="102">
        <f t="shared" si="42"/>
        <v>0.90674575572678928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188</v>
      </c>
      <c r="C76" s="46" t="s">
        <v>189</v>
      </c>
      <c r="D76" s="47">
        <v>3.3144320000000005</v>
      </c>
      <c r="E76" s="47">
        <v>3.8699789999999998</v>
      </c>
      <c r="F76" s="98">
        <v>9.9999999999999995E-7</v>
      </c>
      <c r="G76" s="170"/>
      <c r="H76" s="170"/>
      <c r="I76" s="54">
        <f t="shared" si="44"/>
        <v>1.137117589232139</v>
      </c>
      <c r="J76" s="54">
        <f t="shared" si="45"/>
        <v>2.2010224889171561</v>
      </c>
      <c r="K76" s="55">
        <f t="shared" si="46"/>
        <v>7.2138731583067467E-2</v>
      </c>
      <c r="L76" s="55">
        <f t="shared" si="47"/>
        <v>5.6447220650104463E-3</v>
      </c>
      <c r="M76" s="55">
        <f t="shared" si="19"/>
        <v>0.99435527793498957</v>
      </c>
      <c r="N76" s="55">
        <f t="shared" si="48"/>
        <v>1.5803392422950814E-3</v>
      </c>
      <c r="O76" s="56">
        <f t="shared" si="21"/>
        <v>7.2549887981286225E-8</v>
      </c>
      <c r="P76" s="56">
        <f t="shared" si="49"/>
        <v>1.1525485671065924E-5</v>
      </c>
      <c r="Q76" s="56">
        <f t="shared" si="50"/>
        <v>5.3779374439585231E-4</v>
      </c>
      <c r="R76" s="9">
        <f t="shared" si="43"/>
        <v>3.9999999999999996E-5</v>
      </c>
      <c r="S76" s="9">
        <f t="shared" si="39"/>
        <v>2.2578888260041783E-7</v>
      </c>
      <c r="T76" s="9">
        <f t="shared" si="40"/>
        <v>2.8855492633226986E-6</v>
      </c>
      <c r="U76" s="9">
        <f t="shared" si="41"/>
        <v>3.9774211117399579E-5</v>
      </c>
      <c r="V76" s="102">
        <f t="shared" si="42"/>
        <v>7.2548246269563077E-2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101</v>
      </c>
      <c r="C77" s="46" t="s">
        <v>102</v>
      </c>
      <c r="D77" s="47">
        <v>0.29376000000000013</v>
      </c>
      <c r="E77" s="47">
        <v>0.18140000000000034</v>
      </c>
      <c r="F77" s="98">
        <v>9.9999999999999995E-7</v>
      </c>
      <c r="G77" s="170"/>
      <c r="H77" s="170"/>
      <c r="I77" s="54">
        <f t="shared" si="44"/>
        <v>2.0958974367173925E-3</v>
      </c>
      <c r="J77" s="54">
        <f t="shared" si="45"/>
        <v>2.378096447640075E-2</v>
      </c>
      <c r="K77" s="55">
        <f t="shared" si="46"/>
        <v>0.9895208925080009</v>
      </c>
      <c r="L77" s="55">
        <f t="shared" si="47"/>
        <v>5.1482248306263868E-4</v>
      </c>
      <c r="M77" s="55">
        <f t="shared" si="19"/>
        <v>0.99948517751693733</v>
      </c>
      <c r="N77" s="55">
        <f t="shared" si="48"/>
        <v>4.4404582473266675E-6</v>
      </c>
      <c r="O77" s="56">
        <f t="shared" si="21"/>
        <v>9.9516069012015198E-7</v>
      </c>
      <c r="P77" s="56">
        <f t="shared" si="49"/>
        <v>1.0511729511823249E-6</v>
      </c>
      <c r="Q77" s="56">
        <f t="shared" si="50"/>
        <v>1.5111000244448489E-6</v>
      </c>
      <c r="R77" s="9">
        <f t="shared" si="43"/>
        <v>3.9999999999999996E-5</v>
      </c>
      <c r="S77" s="9">
        <f t="shared" si="39"/>
        <v>2.0592899322505547E-8</v>
      </c>
      <c r="T77" s="9">
        <f t="shared" si="40"/>
        <v>3.9580835700320032E-5</v>
      </c>
      <c r="U77" s="9">
        <f t="shared" si="41"/>
        <v>3.9979407100677487E-5</v>
      </c>
      <c r="V77" s="102">
        <f t="shared" si="42"/>
        <v>0.99003058251079712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190</v>
      </c>
      <c r="C78" s="46" t="s">
        <v>191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44"/>
        <v>8.7763082204907472E-2</v>
      </c>
      <c r="J78" s="54">
        <f t="shared" si="45"/>
        <v>0.56763004094837877</v>
      </c>
      <c r="K78" s="55">
        <f t="shared" si="46"/>
        <v>0.81159514140352207</v>
      </c>
      <c r="L78" s="55">
        <f t="shared" si="47"/>
        <v>1.4771379352249018E-3</v>
      </c>
      <c r="M78" s="55">
        <f t="shared" si="19"/>
        <v>0.99852286206477514</v>
      </c>
      <c r="N78" s="55">
        <f t="shared" si="48"/>
        <v>1.9047819241574388E-4</v>
      </c>
      <c r="O78" s="56">
        <f t="shared" si="21"/>
        <v>8.1622084701032315E-7</v>
      </c>
      <c r="P78" s="56">
        <f t="shared" si="49"/>
        <v>3.0160443526799226E-6</v>
      </c>
      <c r="Q78" s="56">
        <f t="shared" si="50"/>
        <v>6.4820247187084203E-5</v>
      </c>
      <c r="R78" s="9">
        <f t="shared" si="43"/>
        <v>3.9999999999999996E-5</v>
      </c>
      <c r="S78" s="9">
        <f t="shared" si="39"/>
        <v>5.9085517408996064E-8</v>
      </c>
      <c r="T78" s="9">
        <f t="shared" si="40"/>
        <v>3.2463805656140879E-5</v>
      </c>
      <c r="U78" s="9">
        <f t="shared" si="41"/>
        <v>3.9940914482591005E-5</v>
      </c>
      <c r="V78" s="102">
        <f t="shared" si="42"/>
        <v>0.81279575284363703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192</v>
      </c>
      <c r="C79" s="46" t="s">
        <v>193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44"/>
        <v>0.50667591684415281</v>
      </c>
      <c r="J79" s="54">
        <f t="shared" si="45"/>
        <v>1.4448315719926916</v>
      </c>
      <c r="K79" s="55">
        <f t="shared" si="46"/>
        <v>0.30847992594000223</v>
      </c>
      <c r="L79" s="55">
        <f t="shared" si="47"/>
        <v>4.2316530418327926E-3</v>
      </c>
      <c r="M79" s="55">
        <f t="shared" si="19"/>
        <v>0.99576834695816718</v>
      </c>
      <c r="N79" s="55">
        <f t="shared" si="48"/>
        <v>8.3899569143748597E-4</v>
      </c>
      <c r="O79" s="56">
        <f t="shared" si="21"/>
        <v>3.1023811453701459E-7</v>
      </c>
      <c r="P79" s="56">
        <f t="shared" si="49"/>
        <v>8.6402582690271248E-6</v>
      </c>
      <c r="Q79" s="56">
        <f t="shared" si="50"/>
        <v>2.8551251677764973E-4</v>
      </c>
      <c r="R79" s="9">
        <f t="shared" si="43"/>
        <v>3.9999999999999996E-5</v>
      </c>
      <c r="S79" s="9">
        <f t="shared" si="39"/>
        <v>1.692661216733117E-7</v>
      </c>
      <c r="T79" s="9">
        <f t="shared" si="40"/>
        <v>1.2339197037600088E-5</v>
      </c>
      <c r="U79" s="9">
        <f t="shared" si="41"/>
        <v>3.9830733878326683E-5</v>
      </c>
      <c r="V79" s="102">
        <f t="shared" si="42"/>
        <v>0.3097908533468996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194</v>
      </c>
      <c r="C80" s="46" t="s">
        <v>195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44"/>
        <v>2.9778200964006376</v>
      </c>
      <c r="J80" s="54">
        <f t="shared" si="45"/>
        <v>4.1025213383811421</v>
      </c>
      <c r="K80" s="55">
        <f t="shared" si="46"/>
        <v>1.040154352155023E-3</v>
      </c>
      <c r="L80" s="55">
        <f t="shared" si="47"/>
        <v>6.487400368857984E-3</v>
      </c>
      <c r="M80" s="55">
        <f t="shared" si="19"/>
        <v>0.99351259963114202</v>
      </c>
      <c r="N80" s="55">
        <f t="shared" si="48"/>
        <v>3.3342381256177842E-3</v>
      </c>
      <c r="O80" s="56">
        <f t="shared" si="21"/>
        <v>1.0460827363619337E-9</v>
      </c>
      <c r="P80" s="56">
        <f t="shared" si="49"/>
        <v>1.3246079989874945E-5</v>
      </c>
      <c r="Q80" s="56">
        <f t="shared" si="50"/>
        <v>1.1346503069045361E-3</v>
      </c>
      <c r="R80" s="9">
        <f t="shared" si="43"/>
        <v>3.9999999999999996E-5</v>
      </c>
      <c r="S80" s="9">
        <f t="shared" si="39"/>
        <v>2.5949601475431932E-7</v>
      </c>
      <c r="T80" s="9">
        <f t="shared" si="40"/>
        <v>4.1606174086200913E-8</v>
      </c>
      <c r="U80" s="9">
        <f t="shared" si="41"/>
        <v>3.9740503985245676E-5</v>
      </c>
      <c r="V80" s="102">
        <f t="shared" si="42"/>
        <v>1.0469463120459644E-3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196</v>
      </c>
      <c r="C81" s="46" t="s">
        <v>197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44"/>
        <v>0.64393554165863076</v>
      </c>
      <c r="J81" s="54">
        <f t="shared" si="45"/>
        <v>1.6388871729377374</v>
      </c>
      <c r="K81" s="55">
        <f t="shared" si="46"/>
        <v>0.22475563781633523</v>
      </c>
      <c r="L81" s="55">
        <f t="shared" si="47"/>
        <v>4.8200255420452415E-3</v>
      </c>
      <c r="M81" s="55">
        <f t="shared" si="19"/>
        <v>0.99517997445795481</v>
      </c>
      <c r="N81" s="55">
        <f t="shared" si="48"/>
        <v>1.423460489481612E-3</v>
      </c>
      <c r="O81" s="56">
        <f t="shared" si="21"/>
        <v>2.2603663786299553E-7</v>
      </c>
      <c r="P81" s="56">
        <f t="shared" si="49"/>
        <v>9.8416068460425393E-6</v>
      </c>
      <c r="Q81" s="56">
        <f t="shared" si="50"/>
        <v>4.8440747793246862E-4</v>
      </c>
      <c r="R81" s="9">
        <f t="shared" si="43"/>
        <v>3.9999999999999996E-5</v>
      </c>
      <c r="S81" s="9">
        <f t="shared" si="39"/>
        <v>1.9280102168180965E-7</v>
      </c>
      <c r="T81" s="9">
        <f t="shared" si="40"/>
        <v>8.990225512653409E-6</v>
      </c>
      <c r="U81" s="9">
        <f t="shared" si="41"/>
        <v>3.9807198978318191E-5</v>
      </c>
      <c r="V81" s="102">
        <f t="shared" si="42"/>
        <v>0.22584421269002422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198</v>
      </c>
      <c r="C82" s="46" t="s">
        <v>199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44"/>
        <v>1.3135143326183101</v>
      </c>
      <c r="J82" s="54">
        <f t="shared" si="45"/>
        <v>2.4029208557650041</v>
      </c>
      <c r="K82" s="55">
        <f t="shared" si="46"/>
        <v>4.8042270468636607E-2</v>
      </c>
      <c r="L82" s="55">
        <f t="shared" si="47"/>
        <v>5.9840601721059313E-3</v>
      </c>
      <c r="M82" s="55">
        <f t="shared" si="19"/>
        <v>0.99401593982789405</v>
      </c>
      <c r="N82" s="55">
        <f t="shared" si="48"/>
        <v>2.3717796938469669E-3</v>
      </c>
      <c r="O82" s="56">
        <f t="shared" si="21"/>
        <v>4.8316088519698271E-8</v>
      </c>
      <c r="P82" s="56">
        <f t="shared" si="49"/>
        <v>1.2218351758347477E-5</v>
      </c>
      <c r="Q82" s="56">
        <f t="shared" si="50"/>
        <v>8.0712308363841876E-4</v>
      </c>
      <c r="R82" s="9">
        <f t="shared" si="43"/>
        <v>3.9999999999999996E-5</v>
      </c>
      <c r="S82" s="9">
        <f t="shared" si="39"/>
        <v>2.3936240688423722E-7</v>
      </c>
      <c r="T82" s="9">
        <f t="shared" si="40"/>
        <v>1.9216908187454641E-6</v>
      </c>
      <c r="U82" s="9">
        <f t="shared" si="41"/>
        <v>3.9760637593115761E-5</v>
      </c>
      <c r="V82" s="102">
        <f t="shared" si="42"/>
        <v>4.8331489007062342E-2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200</v>
      </c>
      <c r="C83" s="46" t="s">
        <v>201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44"/>
        <v>0.78379345695532832</v>
      </c>
      <c r="J83" s="54">
        <f t="shared" si="45"/>
        <v>1.8114577144785693</v>
      </c>
      <c r="K83" s="55">
        <f t="shared" si="46"/>
        <v>0.16281294952006731</v>
      </c>
      <c r="L83" s="55">
        <f t="shared" si="47"/>
        <v>5.1951516658731876E-3</v>
      </c>
      <c r="M83" s="55">
        <f t="shared" si="19"/>
        <v>0.99480484833412686</v>
      </c>
      <c r="N83" s="55">
        <f t="shared" si="48"/>
        <v>1.6352635884928019E-3</v>
      </c>
      <c r="O83" s="56">
        <f t="shared" si="21"/>
        <v>1.6374090575715416E-7</v>
      </c>
      <c r="P83" s="56">
        <f t="shared" si="49"/>
        <v>1.0607545490182584E-5</v>
      </c>
      <c r="Q83" s="56">
        <f t="shared" si="50"/>
        <v>5.5648464886093969E-4</v>
      </c>
      <c r="R83" s="9">
        <f t="shared" si="43"/>
        <v>3.9999999999999996E-5</v>
      </c>
      <c r="S83" s="9">
        <f t="shared" si="39"/>
        <v>2.0780606663492748E-7</v>
      </c>
      <c r="T83" s="9">
        <f t="shared" si="40"/>
        <v>6.5125179808026919E-6</v>
      </c>
      <c r="U83" s="9">
        <f t="shared" si="41"/>
        <v>3.9792193933365069E-5</v>
      </c>
      <c r="V83" s="102">
        <f t="shared" si="42"/>
        <v>0.16366320469055759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103</v>
      </c>
      <c r="C84" s="46" t="s">
        <v>104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44"/>
        <v>5.6400487609719711E-2</v>
      </c>
      <c r="J84" s="54">
        <f t="shared" si="45"/>
        <v>0.42472041295711477</v>
      </c>
      <c r="K84" s="55">
        <f t="shared" si="46"/>
        <v>0.872664619003093</v>
      </c>
      <c r="L84" s="55">
        <f t="shared" si="47"/>
        <v>1.1429292664441703E-3</v>
      </c>
      <c r="M84" s="55">
        <f t="shared" si="19"/>
        <v>0.99885707073355579</v>
      </c>
      <c r="N84" s="55">
        <f t="shared" si="48"/>
        <v>1.1227916935666347E-4</v>
      </c>
      <c r="O84" s="56">
        <f t="shared" si="21"/>
        <v>8.7763839153455339E-7</v>
      </c>
      <c r="P84" s="56">
        <f t="shared" si="49"/>
        <v>2.333651636295363E-6</v>
      </c>
      <c r="Q84" s="56">
        <f t="shared" si="50"/>
        <v>3.8208906853621843E-5</v>
      </c>
      <c r="R84" s="9">
        <f t="shared" si="43"/>
        <v>3.9999999999999996E-5</v>
      </c>
      <c r="S84" s="9">
        <f t="shared" si="39"/>
        <v>4.571717065776681E-8</v>
      </c>
      <c r="T84" s="9">
        <f t="shared" si="40"/>
        <v>3.490658476012372E-5</v>
      </c>
      <c r="U84" s="9">
        <f t="shared" si="41"/>
        <v>3.9954282829342226E-5</v>
      </c>
      <c r="V84" s="102">
        <f t="shared" si="42"/>
        <v>0.87366315419103191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202</v>
      </c>
      <c r="C85" s="46" t="s">
        <v>203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44"/>
        <v>0.61860589125383425</v>
      </c>
      <c r="J85" s="54">
        <f t="shared" si="45"/>
        <v>1.6088620889783689</v>
      </c>
      <c r="K85" s="55">
        <f t="shared" si="46"/>
        <v>0.23826637400164938</v>
      </c>
      <c r="L85" s="55">
        <f t="shared" si="47"/>
        <v>4.7684410373255515E-3</v>
      </c>
      <c r="M85" s="55">
        <f t="shared" si="19"/>
        <v>0.99523155896267446</v>
      </c>
      <c r="N85" s="55">
        <f t="shared" si="48"/>
        <v>1.4881118611029824E-3</v>
      </c>
      <c r="O85" s="56">
        <f t="shared" si="21"/>
        <v>2.396243788071311E-7</v>
      </c>
      <c r="P85" s="56">
        <f t="shared" si="49"/>
        <v>9.7362807621098802E-6</v>
      </c>
      <c r="Q85" s="56">
        <f t="shared" si="50"/>
        <v>5.0640851561732062E-4</v>
      </c>
      <c r="R85" s="9">
        <f t="shared" si="43"/>
        <v>3.9999999999999996E-5</v>
      </c>
      <c r="S85" s="9">
        <f t="shared" si="39"/>
        <v>1.9073764149302203E-7</v>
      </c>
      <c r="T85" s="9">
        <f t="shared" si="40"/>
        <v>9.5306549600659747E-6</v>
      </c>
      <c r="U85" s="9">
        <f t="shared" si="41"/>
        <v>3.9809262358506974E-5</v>
      </c>
      <c r="V85" s="102">
        <f t="shared" si="42"/>
        <v>0.23940797682299522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105</v>
      </c>
      <c r="C86" s="46" t="s">
        <v>106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44"/>
        <v>0.26171036693668792</v>
      </c>
      <c r="J86" s="54">
        <f t="shared" si="45"/>
        <v>1.0470728875357567</v>
      </c>
      <c r="K86" s="55">
        <f t="shared" si="46"/>
        <v>0.54292254148800612</v>
      </c>
      <c r="L86" s="55">
        <f t="shared" si="47"/>
        <v>2.9803161292596804E-3</v>
      </c>
      <c r="M86" s="55">
        <f t="shared" si="19"/>
        <v>0.99701968387074036</v>
      </c>
      <c r="N86" s="55">
        <f t="shared" si="48"/>
        <v>6.5490860387965467E-4</v>
      </c>
      <c r="O86" s="56">
        <f t="shared" si="21"/>
        <v>5.4601694128921335E-7</v>
      </c>
      <c r="P86" s="56">
        <f t="shared" si="49"/>
        <v>6.0852581309449351E-6</v>
      </c>
      <c r="Q86" s="56">
        <f t="shared" si="50"/>
        <v>2.2286717996447468E-4</v>
      </c>
      <c r="R86" s="9">
        <f t="shared" si="43"/>
        <v>3.9999999999999996E-5</v>
      </c>
      <c r="S86" s="9">
        <f t="shared" si="39"/>
        <v>1.192126451703872E-7</v>
      </c>
      <c r="T86" s="9">
        <f t="shared" si="40"/>
        <v>2.1716901659520244E-5</v>
      </c>
      <c r="U86" s="9">
        <f t="shared" si="41"/>
        <v>3.9880787354829614E-5</v>
      </c>
      <c r="V86" s="102">
        <f t="shared" si="42"/>
        <v>0.54454545910288554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204</v>
      </c>
      <c r="C87" s="46" t="s">
        <v>205</v>
      </c>
      <c r="D87" s="47"/>
      <c r="E87" s="47"/>
      <c r="F87" s="57"/>
      <c r="G87" s="7"/>
      <c r="H87" s="7"/>
      <c r="I87" s="54" t="str">
        <f t="shared" si="44"/>
        <v/>
      </c>
      <c r="J87" s="54" t="str">
        <f t="shared" si="45"/>
        <v/>
      </c>
      <c r="K87" s="55" t="str">
        <f t="shared" si="46"/>
        <v/>
      </c>
      <c r="L87" s="55" t="str">
        <f t="shared" si="47"/>
        <v/>
      </c>
      <c r="M87" s="55" t="str">
        <f t="shared" si="19"/>
        <v/>
      </c>
      <c r="N87" s="55" t="str">
        <f t="shared" si="48"/>
        <v/>
      </c>
      <c r="O87" s="56" t="str">
        <f t="shared" si="21"/>
        <v/>
      </c>
      <c r="P87" s="56" t="str">
        <f t="shared" si="49"/>
        <v/>
      </c>
      <c r="Q87" s="56" t="str">
        <f t="shared" si="50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206</v>
      </c>
      <c r="C88" s="46" t="s">
        <v>207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44"/>
        <v>2.1363569008891736</v>
      </c>
      <c r="J88" s="54">
        <f t="shared" si="45"/>
        <v>3.2666552850062547</v>
      </c>
      <c r="K88" s="55">
        <f t="shared" si="46"/>
        <v>7.2197879413370093E-3</v>
      </c>
      <c r="L88" s="55">
        <f t="shared" si="47"/>
        <v>6.5709974544547883E-3</v>
      </c>
      <c r="M88" s="55">
        <f t="shared" si="19"/>
        <v>0.99342900254554523</v>
      </c>
      <c r="N88" s="55">
        <f t="shared" si="48"/>
        <v>3.7567756847590142E-3</v>
      </c>
      <c r="O88" s="56">
        <f t="shared" si="21"/>
        <v>7.2609372926039527E-9</v>
      </c>
      <c r="P88" s="56">
        <f t="shared" si="49"/>
        <v>1.3416769884096876E-5</v>
      </c>
      <c r="Q88" s="56">
        <f t="shared" si="50"/>
        <v>1.2784409880423624E-3</v>
      </c>
      <c r="R88" s="9">
        <f>F88*$C$14</f>
        <v>3.9999999999999996E-5</v>
      </c>
      <c r="S88" s="9">
        <f t="shared" si="39"/>
        <v>2.6283989817819153E-7</v>
      </c>
      <c r="T88" s="9">
        <f t="shared" si="40"/>
        <v>2.8879151765348034E-7</v>
      </c>
      <c r="U88" s="9">
        <f t="shared" si="41"/>
        <v>3.9737160101821804E-5</v>
      </c>
      <c r="V88" s="102">
        <f t="shared" si="42"/>
        <v>7.267542947545471E-3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208</v>
      </c>
      <c r="C89" s="46" t="s">
        <v>209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44"/>
        <v>3.5207953657582807</v>
      </c>
      <c r="J89" s="54">
        <f t="shared" si="45"/>
        <v>4.6712433234986683</v>
      </c>
      <c r="K89" s="55">
        <f t="shared" si="46"/>
        <v>2.9781767965347003E-4</v>
      </c>
      <c r="L89" s="55">
        <f t="shared" si="47"/>
        <v>6.8809019816319945E-3</v>
      </c>
      <c r="M89" s="55">
        <f t="shared" si="19"/>
        <v>0.99311909801836795</v>
      </c>
      <c r="N89" s="55">
        <f t="shared" si="48"/>
        <v>4.7628872226788176E-3</v>
      </c>
      <c r="O89" s="56">
        <f t="shared" si="21"/>
        <v>2.995150985268694E-10</v>
      </c>
      <c r="P89" s="56">
        <f t="shared" si="49"/>
        <v>1.4049538007353058E-5</v>
      </c>
      <c r="Q89" s="56">
        <f t="shared" si="50"/>
        <v>1.6208234821149419E-3</v>
      </c>
      <c r="R89" s="9">
        <f>F89*$C$14</f>
        <v>3.9999999999999996E-5</v>
      </c>
      <c r="S89" s="9">
        <f t="shared" si="39"/>
        <v>2.7523607926527975E-7</v>
      </c>
      <c r="T89" s="9">
        <f t="shared" si="40"/>
        <v>1.19127071861388E-8</v>
      </c>
      <c r="U89" s="9">
        <f t="shared" si="41"/>
        <v>3.9724763920734715E-5</v>
      </c>
      <c r="V89" s="102">
        <f t="shared" si="42"/>
        <v>2.9988113233118171E-4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210</v>
      </c>
      <c r="C90" s="46" t="s">
        <v>211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44"/>
        <v>3.8666483056990257</v>
      </c>
      <c r="J90" s="54">
        <f t="shared" si="45"/>
        <v>5.0251542040134112</v>
      </c>
      <c r="K90" s="55">
        <f t="shared" si="46"/>
        <v>1.3428935127480918E-4</v>
      </c>
      <c r="L90" s="55">
        <f t="shared" si="47"/>
        <v>7.0088594661394084E-3</v>
      </c>
      <c r="M90" s="55">
        <f t="shared" si="19"/>
        <v>0.99299114053386062</v>
      </c>
      <c r="N90" s="55">
        <f t="shared" si="48"/>
        <v>5.2289127888706325E-3</v>
      </c>
      <c r="O90" s="56">
        <f t="shared" si="21"/>
        <v>1.3505473659248288E-10</v>
      </c>
      <c r="P90" s="56">
        <f t="shared" si="49"/>
        <v>1.4310803688322084E-5</v>
      </c>
      <c r="Q90" s="56">
        <f t="shared" si="50"/>
        <v>1.7794132503867952E-3</v>
      </c>
      <c r="R90" s="9">
        <f>F90*$C$14</f>
        <v>3.9999999999999996E-5</v>
      </c>
      <c r="S90" s="9">
        <f t="shared" si="39"/>
        <v>2.8035437864557632E-7</v>
      </c>
      <c r="T90" s="9">
        <f t="shared" si="40"/>
        <v>5.3715740509923669E-9</v>
      </c>
      <c r="U90" s="9">
        <f t="shared" si="41"/>
        <v>3.9719645621354423E-5</v>
      </c>
      <c r="V90" s="102">
        <f t="shared" si="42"/>
        <v>1.3523720987340467E-4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107</v>
      </c>
      <c r="C91" s="46" t="s">
        <v>108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44"/>
        <v>4.2676323009395754</v>
      </c>
      <c r="J91" s="54">
        <f t="shared" si="45"/>
        <v>5.4334429478670883</v>
      </c>
      <c r="K91" s="55">
        <f t="shared" si="46"/>
        <v>5.333422057680657E-5</v>
      </c>
      <c r="L91" s="55">
        <f t="shared" si="47"/>
        <v>7.1268968444397167E-3</v>
      </c>
      <c r="M91" s="55">
        <f t="shared" si="19"/>
        <v>0.99287310315556032</v>
      </c>
      <c r="N91" s="55">
        <f t="shared" si="48"/>
        <v>5.6601217800481595E-3</v>
      </c>
      <c r="O91" s="56">
        <f t="shared" si="21"/>
        <v>5.3638200222039365E-11</v>
      </c>
      <c r="P91" s="56">
        <f t="shared" si="49"/>
        <v>1.4551814334476519E-5</v>
      </c>
      <c r="Q91" s="56">
        <f t="shared" si="50"/>
        <v>1.9261548434423069E-3</v>
      </c>
      <c r="R91" s="9">
        <f t="shared" ref="R91:R92" si="51">F91*$C$14</f>
        <v>3.9999999999999996E-5</v>
      </c>
      <c r="S91" s="9">
        <f t="shared" si="39"/>
        <v>2.8507587377758865E-7</v>
      </c>
      <c r="T91" s="9">
        <f t="shared" si="40"/>
        <v>2.1333688230722627E-9</v>
      </c>
      <c r="U91" s="9">
        <f t="shared" si="41"/>
        <v>3.9714924126222411E-5</v>
      </c>
      <c r="V91" s="102">
        <f t="shared" si="42"/>
        <v>5.3717056497249405E-5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109</v>
      </c>
      <c r="C92" s="46" t="s">
        <v>110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44"/>
        <v>5.487995486122375</v>
      </c>
      <c r="J92" s="54">
        <f t="shared" si="45"/>
        <v>6.6653455439762812</v>
      </c>
      <c r="K92" s="55">
        <f t="shared" si="46"/>
        <v>3.2104021163404838E-6</v>
      </c>
      <c r="L92" s="55">
        <f t="shared" si="47"/>
        <v>7.3173958411346645E-3</v>
      </c>
      <c r="M92" s="55">
        <f t="shared" si="19"/>
        <v>0.99268260415886533</v>
      </c>
      <c r="N92" s="55">
        <f t="shared" si="48"/>
        <v>6.3575568976103189E-3</v>
      </c>
      <c r="O92" s="56">
        <f t="shared" si="21"/>
        <v>3.2286998787494127E-12</v>
      </c>
      <c r="P92" s="56">
        <f t="shared" si="49"/>
        <v>1.4940778296115982E-5</v>
      </c>
      <c r="Q92" s="56">
        <f t="shared" si="50"/>
        <v>2.1634939117313422E-3</v>
      </c>
      <c r="R92" s="9">
        <f t="shared" si="51"/>
        <v>3.9999999999999996E-5</v>
      </c>
      <c r="S92" s="9">
        <f t="shared" si="39"/>
        <v>2.9269583364538653E-7</v>
      </c>
      <c r="T92" s="9">
        <f t="shared" si="40"/>
        <v>1.2841608465361935E-10</v>
      </c>
      <c r="U92" s="9">
        <f t="shared" si="41"/>
        <v>3.9707304166354611E-5</v>
      </c>
      <c r="V92" s="102">
        <f t="shared" si="42"/>
        <v>3.2340670652335744E-6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212</v>
      </c>
      <c r="C93" s="46" t="s">
        <v>213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44"/>
        <v>0.24855356797573289</v>
      </c>
      <c r="J93" s="54">
        <f t="shared" si="45"/>
        <v>1.0060835141653472</v>
      </c>
      <c r="K93" s="55">
        <f t="shared" si="46"/>
        <v>0.55972541570574175</v>
      </c>
      <c r="L93" s="55">
        <f t="shared" si="47"/>
        <v>2.7958258366739949E-3</v>
      </c>
      <c r="M93" s="55">
        <f t="shared" ref="M93:M127" si="52">IF(D93=0,"",1-L93)</f>
        <v>0.99720417416332596</v>
      </c>
      <c r="N93" s="55">
        <f t="shared" si="48"/>
        <v>2.941560940826978E-4</v>
      </c>
      <c r="O93" s="56">
        <f t="shared" ref="O93:O127" si="53">IF(D93=0,"",F93*K93*$J$7/$J$14)</f>
        <v>5.6291558388395642E-7</v>
      </c>
      <c r="P93" s="56">
        <f t="shared" si="49"/>
        <v>5.7085628394570711E-6</v>
      </c>
      <c r="Q93" s="56">
        <f t="shared" si="50"/>
        <v>1.0010211924108784E-4</v>
      </c>
      <c r="R93" s="9">
        <f>F93*$C$14</f>
        <v>3.9999999999999996E-5</v>
      </c>
      <c r="S93" s="9">
        <f t="shared" si="39"/>
        <v>1.1183303346695978E-7</v>
      </c>
      <c r="T93" s="9">
        <f t="shared" si="40"/>
        <v>2.2389016628229669E-5</v>
      </c>
      <c r="U93" s="9">
        <f t="shared" si="41"/>
        <v>3.9888166966533035E-5</v>
      </c>
      <c r="V93" s="102">
        <f t="shared" si="42"/>
        <v>0.56129469792418629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214</v>
      </c>
      <c r="C94" s="46" t="s">
        <v>215</v>
      </c>
      <c r="D94" s="47"/>
      <c r="E94" s="47"/>
      <c r="F94" s="57"/>
      <c r="G94" s="7"/>
      <c r="H94" s="7"/>
      <c r="I94" s="54" t="str">
        <f t="shared" si="44"/>
        <v/>
      </c>
      <c r="J94" s="54" t="str">
        <f t="shared" si="45"/>
        <v/>
      </c>
      <c r="K94" s="55" t="str">
        <f t="shared" si="46"/>
        <v/>
      </c>
      <c r="L94" s="55" t="str">
        <f t="shared" si="47"/>
        <v/>
      </c>
      <c r="M94" s="55" t="str">
        <f t="shared" si="52"/>
        <v/>
      </c>
      <c r="N94" s="55" t="str">
        <f t="shared" si="48"/>
        <v/>
      </c>
      <c r="O94" s="56" t="str">
        <f t="shared" si="53"/>
        <v/>
      </c>
      <c r="P94" s="56" t="str">
        <f t="shared" si="49"/>
        <v/>
      </c>
      <c r="Q94" s="56" t="str">
        <f t="shared" si="50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216</v>
      </c>
      <c r="C95" s="46" t="s">
        <v>217</v>
      </c>
      <c r="D95" s="47"/>
      <c r="E95" s="47"/>
      <c r="F95" s="57"/>
      <c r="G95" s="7"/>
      <c r="H95" s="7"/>
      <c r="I95" s="54" t="str">
        <f t="shared" si="44"/>
        <v/>
      </c>
      <c r="J95" s="54" t="str">
        <f t="shared" si="45"/>
        <v/>
      </c>
      <c r="K95" s="55" t="str">
        <f t="shared" si="46"/>
        <v/>
      </c>
      <c r="L95" s="55" t="str">
        <f t="shared" si="47"/>
        <v/>
      </c>
      <c r="M95" s="55" t="str">
        <f t="shared" si="52"/>
        <v/>
      </c>
      <c r="N95" s="55" t="str">
        <f t="shared" si="48"/>
        <v/>
      </c>
      <c r="O95" s="56" t="str">
        <f t="shared" si="53"/>
        <v/>
      </c>
      <c r="P95" s="56" t="str">
        <f t="shared" si="49"/>
        <v/>
      </c>
      <c r="Q95" s="56" t="str">
        <f t="shared" si="50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218</v>
      </c>
      <c r="C96" s="46" t="s">
        <v>219</v>
      </c>
      <c r="D96" s="47"/>
      <c r="E96" s="47"/>
      <c r="F96" s="57"/>
      <c r="G96" s="7"/>
      <c r="H96" s="7"/>
      <c r="I96" s="54" t="str">
        <f t="shared" si="44"/>
        <v/>
      </c>
      <c r="J96" s="54" t="str">
        <f t="shared" si="45"/>
        <v/>
      </c>
      <c r="K96" s="55" t="str">
        <f t="shared" si="46"/>
        <v/>
      </c>
      <c r="L96" s="55" t="str">
        <f t="shared" si="47"/>
        <v/>
      </c>
      <c r="M96" s="55" t="str">
        <f t="shared" si="52"/>
        <v/>
      </c>
      <c r="N96" s="55" t="str">
        <f t="shared" si="48"/>
        <v/>
      </c>
      <c r="O96" s="56" t="str">
        <f t="shared" si="53"/>
        <v/>
      </c>
      <c r="P96" s="56" t="str">
        <f t="shared" si="49"/>
        <v/>
      </c>
      <c r="Q96" s="56" t="str">
        <f t="shared" si="50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220</v>
      </c>
      <c r="C97" s="46" t="s">
        <v>221</v>
      </c>
      <c r="D97" s="47"/>
      <c r="E97" s="47"/>
      <c r="F97" s="57"/>
      <c r="G97" s="7"/>
      <c r="H97" s="7"/>
      <c r="I97" s="54" t="str">
        <f t="shared" si="44"/>
        <v/>
      </c>
      <c r="J97" s="54" t="str">
        <f t="shared" si="45"/>
        <v/>
      </c>
      <c r="K97" s="55" t="str">
        <f t="shared" si="46"/>
        <v/>
      </c>
      <c r="L97" s="55" t="str">
        <f t="shared" si="47"/>
        <v/>
      </c>
      <c r="M97" s="55" t="str">
        <f t="shared" si="52"/>
        <v/>
      </c>
      <c r="N97" s="55" t="str">
        <f t="shared" si="48"/>
        <v/>
      </c>
      <c r="O97" s="56" t="str">
        <f t="shared" si="53"/>
        <v/>
      </c>
      <c r="P97" s="56" t="str">
        <f t="shared" si="49"/>
        <v/>
      </c>
      <c r="Q97" s="56" t="str">
        <f t="shared" si="50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222</v>
      </c>
      <c r="C98" s="46" t="s">
        <v>223</v>
      </c>
      <c r="D98" s="47"/>
      <c r="E98" s="47"/>
      <c r="F98" s="57"/>
      <c r="G98" s="7"/>
      <c r="H98" s="7"/>
      <c r="I98" s="54" t="str">
        <f t="shared" si="44"/>
        <v/>
      </c>
      <c r="J98" s="54" t="str">
        <f t="shared" si="45"/>
        <v/>
      </c>
      <c r="K98" s="55" t="str">
        <f t="shared" si="46"/>
        <v/>
      </c>
      <c r="L98" s="55" t="str">
        <f t="shared" si="47"/>
        <v/>
      </c>
      <c r="M98" s="55" t="str">
        <f t="shared" si="52"/>
        <v/>
      </c>
      <c r="N98" s="55" t="str">
        <f t="shared" si="48"/>
        <v/>
      </c>
      <c r="O98" s="56" t="str">
        <f t="shared" si="53"/>
        <v/>
      </c>
      <c r="P98" s="56" t="str">
        <f t="shared" si="49"/>
        <v/>
      </c>
      <c r="Q98" s="56" t="str">
        <f t="shared" si="50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224</v>
      </c>
      <c r="C99" s="46" t="s">
        <v>225</v>
      </c>
      <c r="D99" s="47"/>
      <c r="E99" s="47"/>
      <c r="F99" s="57"/>
      <c r="G99" s="7"/>
      <c r="H99" s="7"/>
      <c r="I99" s="54" t="str">
        <f t="shared" si="44"/>
        <v/>
      </c>
      <c r="J99" s="54" t="str">
        <f t="shared" si="45"/>
        <v/>
      </c>
      <c r="K99" s="55" t="str">
        <f t="shared" si="46"/>
        <v/>
      </c>
      <c r="L99" s="55" t="str">
        <f t="shared" si="47"/>
        <v/>
      </c>
      <c r="M99" s="55" t="str">
        <f t="shared" si="52"/>
        <v/>
      </c>
      <c r="N99" s="55" t="str">
        <f t="shared" si="48"/>
        <v/>
      </c>
      <c r="O99" s="56" t="str">
        <f t="shared" si="53"/>
        <v/>
      </c>
      <c r="P99" s="56" t="str">
        <f t="shared" si="49"/>
        <v/>
      </c>
      <c r="Q99" s="56" t="str">
        <f t="shared" si="50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226</v>
      </c>
      <c r="C100" s="46" t="s">
        <v>227</v>
      </c>
      <c r="D100" s="47"/>
      <c r="E100" s="47"/>
      <c r="F100" s="57"/>
      <c r="G100" s="7"/>
      <c r="H100" s="7"/>
      <c r="I100" s="54" t="str">
        <f t="shared" si="44"/>
        <v/>
      </c>
      <c r="J100" s="54" t="str">
        <f t="shared" si="45"/>
        <v/>
      </c>
      <c r="K100" s="55" t="str">
        <f t="shared" si="46"/>
        <v/>
      </c>
      <c r="L100" s="55" t="str">
        <f t="shared" si="47"/>
        <v/>
      </c>
      <c r="M100" s="55" t="str">
        <f t="shared" si="52"/>
        <v/>
      </c>
      <c r="N100" s="55" t="str">
        <f t="shared" si="48"/>
        <v/>
      </c>
      <c r="O100" s="56" t="str">
        <f t="shared" si="53"/>
        <v/>
      </c>
      <c r="P100" s="56" t="str">
        <f t="shared" si="49"/>
        <v/>
      </c>
      <c r="Q100" s="56" t="str">
        <f t="shared" si="50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228</v>
      </c>
      <c r="C101" s="46" t="s">
        <v>229</v>
      </c>
      <c r="D101" s="47"/>
      <c r="E101" s="47"/>
      <c r="F101" s="57"/>
      <c r="G101" s="7"/>
      <c r="H101" s="7"/>
      <c r="I101" s="54" t="str">
        <f t="shared" si="44"/>
        <v/>
      </c>
      <c r="J101" s="54" t="str">
        <f t="shared" si="45"/>
        <v/>
      </c>
      <c r="K101" s="55" t="str">
        <f t="shared" si="46"/>
        <v/>
      </c>
      <c r="L101" s="55" t="str">
        <f t="shared" si="47"/>
        <v/>
      </c>
      <c r="M101" s="55" t="str">
        <f t="shared" si="52"/>
        <v/>
      </c>
      <c r="N101" s="55" t="str">
        <f t="shared" si="48"/>
        <v/>
      </c>
      <c r="O101" s="56" t="str">
        <f t="shared" si="53"/>
        <v/>
      </c>
      <c r="P101" s="56" t="str">
        <f t="shared" si="49"/>
        <v/>
      </c>
      <c r="Q101" s="56" t="str">
        <f t="shared" si="50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230</v>
      </c>
      <c r="C102" s="46" t="s">
        <v>231</v>
      </c>
      <c r="D102" s="47"/>
      <c r="E102" s="47"/>
      <c r="F102" s="57"/>
      <c r="G102" s="7"/>
      <c r="H102" s="7"/>
      <c r="I102" s="54" t="str">
        <f t="shared" si="44"/>
        <v/>
      </c>
      <c r="J102" s="54" t="str">
        <f t="shared" si="45"/>
        <v/>
      </c>
      <c r="K102" s="55" t="str">
        <f t="shared" si="46"/>
        <v/>
      </c>
      <c r="L102" s="55" t="str">
        <f t="shared" si="47"/>
        <v/>
      </c>
      <c r="M102" s="55" t="str">
        <f t="shared" si="52"/>
        <v/>
      </c>
      <c r="N102" s="55" t="str">
        <f t="shared" si="48"/>
        <v/>
      </c>
      <c r="O102" s="56" t="str">
        <f t="shared" si="53"/>
        <v/>
      </c>
      <c r="P102" s="56" t="str">
        <f t="shared" si="49"/>
        <v/>
      </c>
      <c r="Q102" s="56" t="str">
        <f t="shared" si="50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232</v>
      </c>
      <c r="C103" s="46" t="s">
        <v>233</v>
      </c>
      <c r="D103" s="47"/>
      <c r="E103" s="47"/>
      <c r="F103" s="57"/>
      <c r="G103" s="7"/>
      <c r="H103" s="7"/>
      <c r="I103" s="54" t="str">
        <f t="shared" si="44"/>
        <v/>
      </c>
      <c r="J103" s="54" t="str">
        <f t="shared" si="45"/>
        <v/>
      </c>
      <c r="K103" s="55" t="str">
        <f t="shared" si="46"/>
        <v/>
      </c>
      <c r="L103" s="55" t="str">
        <f t="shared" si="47"/>
        <v/>
      </c>
      <c r="M103" s="55" t="str">
        <f t="shared" si="52"/>
        <v/>
      </c>
      <c r="N103" s="55" t="str">
        <f t="shared" si="48"/>
        <v/>
      </c>
      <c r="O103" s="56" t="str">
        <f t="shared" si="53"/>
        <v/>
      </c>
      <c r="P103" s="56" t="str">
        <f t="shared" si="49"/>
        <v/>
      </c>
      <c r="Q103" s="56" t="str">
        <f t="shared" si="50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234</v>
      </c>
      <c r="C104" s="46" t="s">
        <v>235</v>
      </c>
      <c r="D104" s="47"/>
      <c r="E104" s="47"/>
      <c r="F104" s="57"/>
      <c r="G104" s="7"/>
      <c r="H104" s="7"/>
      <c r="I104" s="54" t="str">
        <f t="shared" si="44"/>
        <v/>
      </c>
      <c r="J104" s="54" t="str">
        <f t="shared" si="45"/>
        <v/>
      </c>
      <c r="K104" s="55" t="str">
        <f t="shared" si="46"/>
        <v/>
      </c>
      <c r="L104" s="55" t="str">
        <f t="shared" si="47"/>
        <v/>
      </c>
      <c r="M104" s="55" t="str">
        <f t="shared" si="52"/>
        <v/>
      </c>
      <c r="N104" s="55" t="str">
        <f t="shared" si="48"/>
        <v/>
      </c>
      <c r="O104" s="56" t="str">
        <f t="shared" si="53"/>
        <v/>
      </c>
      <c r="P104" s="56" t="str">
        <f t="shared" si="49"/>
        <v/>
      </c>
      <c r="Q104" s="56" t="str">
        <f t="shared" si="50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236</v>
      </c>
      <c r="C105" s="46" t="s">
        <v>237</v>
      </c>
      <c r="D105" s="47"/>
      <c r="E105" s="47"/>
      <c r="F105" s="57"/>
      <c r="G105" s="7"/>
      <c r="H105" s="7"/>
      <c r="I105" s="54" t="str">
        <f t="shared" si="44"/>
        <v/>
      </c>
      <c r="J105" s="54" t="str">
        <f t="shared" si="45"/>
        <v/>
      </c>
      <c r="K105" s="55" t="str">
        <f t="shared" si="46"/>
        <v/>
      </c>
      <c r="L105" s="55" t="str">
        <f t="shared" si="47"/>
        <v/>
      </c>
      <c r="M105" s="55" t="str">
        <f t="shared" si="52"/>
        <v/>
      </c>
      <c r="N105" s="55" t="str">
        <f t="shared" si="48"/>
        <v/>
      </c>
      <c r="O105" s="56" t="str">
        <f t="shared" si="53"/>
        <v/>
      </c>
      <c r="P105" s="56" t="str">
        <f t="shared" si="49"/>
        <v/>
      </c>
      <c r="Q105" s="56" t="str">
        <f t="shared" si="50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238</v>
      </c>
      <c r="C106" s="46" t="s">
        <v>239</v>
      </c>
      <c r="D106" s="47"/>
      <c r="E106" s="47"/>
      <c r="F106" s="57"/>
      <c r="G106" s="7"/>
      <c r="H106" s="7"/>
      <c r="I106" s="54" t="str">
        <f t="shared" si="44"/>
        <v/>
      </c>
      <c r="J106" s="54" t="str">
        <f t="shared" si="45"/>
        <v/>
      </c>
      <c r="K106" s="55" t="str">
        <f t="shared" si="46"/>
        <v/>
      </c>
      <c r="L106" s="55" t="str">
        <f t="shared" si="47"/>
        <v/>
      </c>
      <c r="M106" s="55" t="str">
        <f t="shared" si="52"/>
        <v/>
      </c>
      <c r="N106" s="55" t="str">
        <f t="shared" si="48"/>
        <v/>
      </c>
      <c r="O106" s="56" t="str">
        <f t="shared" si="53"/>
        <v/>
      </c>
      <c r="P106" s="56" t="str">
        <f t="shared" si="49"/>
        <v/>
      </c>
      <c r="Q106" s="56" t="str">
        <f t="shared" si="50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240</v>
      </c>
      <c r="C107" s="46" t="s">
        <v>241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44"/>
        <v>1.9065682325616583E-2</v>
      </c>
      <c r="J107" s="54">
        <f t="shared" si="45"/>
        <v>0.1852062472921594</v>
      </c>
      <c r="K107" s="55">
        <f t="shared" si="46"/>
        <v>0.95140835651064093</v>
      </c>
      <c r="L107" s="55">
        <f t="shared" si="47"/>
        <v>7.1783525030607264E-4</v>
      </c>
      <c r="M107" s="55">
        <f t="shared" si="52"/>
        <v>0.99928216474969389</v>
      </c>
      <c r="N107" s="55">
        <f t="shared" si="48"/>
        <v>3.285351066319165E-5</v>
      </c>
      <c r="O107" s="56">
        <f t="shared" si="53"/>
        <v>9.5683093082701487E-7</v>
      </c>
      <c r="P107" s="56">
        <f t="shared" si="49"/>
        <v>1.4656877338341274E-6</v>
      </c>
      <c r="Q107" s="56">
        <f t="shared" si="50"/>
        <v>1.1180139075992042E-5</v>
      </c>
      <c r="R107" s="9">
        <f>F107*$C$14</f>
        <v>3.9999999999999996E-5</v>
      </c>
      <c r="S107" s="9">
        <f t="shared" ref="S107:S108" si="54">$R107*L107</f>
        <v>2.8713410012242904E-8</v>
      </c>
      <c r="T107" s="9">
        <f t="shared" ref="T107:T108" si="55">R107*K107</f>
        <v>3.8056334260425636E-5</v>
      </c>
      <c r="U107" s="9">
        <f t="shared" ref="U107:U108" si="56">$R107*M107</f>
        <v>3.9971286589987751E-5</v>
      </c>
      <c r="V107" s="102">
        <f t="shared" ref="V107:V108" si="57">K107/M107</f>
        <v>0.95209180156733342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242</v>
      </c>
      <c r="C108" s="46" t="s">
        <v>243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44"/>
        <v>0.13401854480859055</v>
      </c>
      <c r="J108" s="54">
        <f t="shared" si="45"/>
        <v>0.72739079489951752</v>
      </c>
      <c r="K108" s="55">
        <f t="shared" si="46"/>
        <v>0.72927681207032602</v>
      </c>
      <c r="L108" s="55">
        <f t="shared" si="47"/>
        <v>1.91749734890191E-3</v>
      </c>
      <c r="M108" s="55">
        <f t="shared" si="52"/>
        <v>0.9980825026510981</v>
      </c>
      <c r="N108" s="55">
        <f t="shared" si="48"/>
        <v>2.5872847438107132E-4</v>
      </c>
      <c r="O108" s="56">
        <f t="shared" si="53"/>
        <v>7.3343334242198628E-7</v>
      </c>
      <c r="P108" s="56">
        <f t="shared" si="49"/>
        <v>3.9151773930670857E-6</v>
      </c>
      <c r="Q108" s="56">
        <f t="shared" si="50"/>
        <v>8.8046003854938101E-5</v>
      </c>
      <c r="R108" s="9">
        <f>F108*$C$14</f>
        <v>3.9999999999999996E-5</v>
      </c>
      <c r="S108" s="9">
        <f t="shared" si="54"/>
        <v>7.6699893956076396E-8</v>
      </c>
      <c r="T108" s="9">
        <f t="shared" si="55"/>
        <v>2.9171072482813038E-5</v>
      </c>
      <c r="U108" s="9">
        <f t="shared" si="56"/>
        <v>3.9923300106043922E-5</v>
      </c>
      <c r="V108" s="102">
        <f t="shared" si="57"/>
        <v>0.73067788497767194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244</v>
      </c>
      <c r="C109" s="46" t="s">
        <v>245</v>
      </c>
      <c r="D109" s="47"/>
      <c r="E109" s="47"/>
      <c r="F109" s="98"/>
      <c r="G109" s="7"/>
      <c r="H109" s="7"/>
      <c r="I109" s="54" t="str">
        <f t="shared" si="44"/>
        <v/>
      </c>
      <c r="J109" s="54" t="str">
        <f t="shared" si="45"/>
        <v/>
      </c>
      <c r="K109" s="55" t="str">
        <f t="shared" si="46"/>
        <v/>
      </c>
      <c r="L109" s="55" t="str">
        <f t="shared" si="47"/>
        <v/>
      </c>
      <c r="M109" s="55" t="str">
        <f t="shared" si="52"/>
        <v/>
      </c>
      <c r="N109" s="55" t="str">
        <f t="shared" si="48"/>
        <v/>
      </c>
      <c r="O109" s="56" t="str">
        <f t="shared" si="53"/>
        <v/>
      </c>
      <c r="P109" s="56" t="str">
        <f t="shared" si="49"/>
        <v/>
      </c>
      <c r="Q109" s="56" t="str">
        <f t="shared" si="50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246</v>
      </c>
      <c r="C110" s="46" t="s">
        <v>247</v>
      </c>
      <c r="D110" s="47"/>
      <c r="E110" s="47"/>
      <c r="F110" s="98"/>
      <c r="G110" s="7"/>
      <c r="H110" s="7"/>
      <c r="I110" s="54" t="str">
        <f t="shared" si="44"/>
        <v/>
      </c>
      <c r="J110" s="54" t="str">
        <f t="shared" si="45"/>
        <v/>
      </c>
      <c r="K110" s="55" t="str">
        <f t="shared" si="46"/>
        <v/>
      </c>
      <c r="L110" s="55" t="str">
        <f t="shared" si="47"/>
        <v/>
      </c>
      <c r="M110" s="55" t="str">
        <f t="shared" si="52"/>
        <v/>
      </c>
      <c r="N110" s="55" t="str">
        <f t="shared" si="48"/>
        <v/>
      </c>
      <c r="O110" s="56" t="str">
        <f t="shared" si="53"/>
        <v/>
      </c>
      <c r="P110" s="56" t="str">
        <f t="shared" si="49"/>
        <v/>
      </c>
      <c r="Q110" s="56" t="str">
        <f t="shared" si="50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248</v>
      </c>
      <c r="C111" s="46" t="s">
        <v>249</v>
      </c>
      <c r="D111" s="47"/>
      <c r="E111" s="47"/>
      <c r="F111" s="98"/>
      <c r="G111" s="7"/>
      <c r="H111" s="7"/>
      <c r="I111" s="54" t="str">
        <f t="shared" si="44"/>
        <v/>
      </c>
      <c r="J111" s="54" t="str">
        <f t="shared" si="45"/>
        <v/>
      </c>
      <c r="K111" s="55" t="str">
        <f t="shared" si="46"/>
        <v/>
      </c>
      <c r="L111" s="55" t="str">
        <f t="shared" si="47"/>
        <v/>
      </c>
      <c r="M111" s="55" t="str">
        <f t="shared" si="52"/>
        <v/>
      </c>
      <c r="N111" s="55" t="str">
        <f t="shared" si="48"/>
        <v/>
      </c>
      <c r="O111" s="56" t="str">
        <f t="shared" si="53"/>
        <v/>
      </c>
      <c r="P111" s="56" t="str">
        <f t="shared" si="49"/>
        <v/>
      </c>
      <c r="Q111" s="56" t="str">
        <f t="shared" si="50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250</v>
      </c>
      <c r="C112" s="46" t="s">
        <v>251</v>
      </c>
      <c r="D112" s="47"/>
      <c r="E112" s="47"/>
      <c r="F112" s="98"/>
      <c r="G112" s="7"/>
      <c r="H112" s="7"/>
      <c r="I112" s="54" t="str">
        <f t="shared" si="44"/>
        <v/>
      </c>
      <c r="J112" s="54" t="str">
        <f t="shared" si="45"/>
        <v/>
      </c>
      <c r="K112" s="55" t="str">
        <f t="shared" si="46"/>
        <v/>
      </c>
      <c r="L112" s="55" t="str">
        <f t="shared" si="47"/>
        <v/>
      </c>
      <c r="M112" s="55" t="str">
        <f t="shared" si="52"/>
        <v/>
      </c>
      <c r="N112" s="55" t="str">
        <f t="shared" si="48"/>
        <v/>
      </c>
      <c r="O112" s="56" t="str">
        <f t="shared" si="53"/>
        <v/>
      </c>
      <c r="P112" s="56" t="str">
        <f t="shared" si="49"/>
        <v/>
      </c>
      <c r="Q112" s="56" t="str">
        <f t="shared" si="50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252</v>
      </c>
      <c r="C113" s="46" t="s">
        <v>253</v>
      </c>
      <c r="D113" s="47"/>
      <c r="E113" s="47"/>
      <c r="F113" s="57"/>
      <c r="G113" s="7"/>
      <c r="H113" s="7"/>
      <c r="I113" s="54" t="str">
        <f t="shared" si="44"/>
        <v/>
      </c>
      <c r="J113" s="54" t="str">
        <f t="shared" si="45"/>
        <v/>
      </c>
      <c r="K113" s="55" t="str">
        <f t="shared" si="46"/>
        <v/>
      </c>
      <c r="L113" s="55" t="str">
        <f t="shared" si="47"/>
        <v/>
      </c>
      <c r="M113" s="55" t="str">
        <f t="shared" si="52"/>
        <v/>
      </c>
      <c r="N113" s="55" t="str">
        <f t="shared" si="48"/>
        <v/>
      </c>
      <c r="O113" s="56" t="str">
        <f t="shared" si="53"/>
        <v/>
      </c>
      <c r="P113" s="56" t="str">
        <f t="shared" si="49"/>
        <v/>
      </c>
      <c r="Q113" s="56" t="str">
        <f t="shared" si="50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254</v>
      </c>
      <c r="C114" s="46" t="s">
        <v>255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44"/>
        <v>9.3867444440884892E-2</v>
      </c>
      <c r="J114" s="54">
        <f t="shared" si="45"/>
        <v>0.59290013383231599</v>
      </c>
      <c r="K114" s="55">
        <f t="shared" si="46"/>
        <v>0.80021397710381037</v>
      </c>
      <c r="L114" s="55">
        <f t="shared" si="47"/>
        <v>1.5436819955091648E-3</v>
      </c>
      <c r="M114" s="55">
        <f t="shared" si="52"/>
        <v>0.99845631800449086</v>
      </c>
      <c r="N114" s="55">
        <f t="shared" si="48"/>
        <v>2.2066728690663069E-4</v>
      </c>
      <c r="O114" s="56">
        <f t="shared" si="53"/>
        <v>8.0477481549686489E-7</v>
      </c>
      <c r="P114" s="56">
        <f t="shared" si="49"/>
        <v>3.1519151014019678E-6</v>
      </c>
      <c r="Q114" s="56">
        <f t="shared" si="50"/>
        <v>7.5093678189528876E-5</v>
      </c>
      <c r="R114" s="9">
        <f>F114*$C$14</f>
        <v>3.9999999999999996E-5</v>
      </c>
      <c r="S114" s="9">
        <f t="shared" ref="S114:S116" si="58">$R114*L114</f>
        <v>6.1747279820366586E-8</v>
      </c>
      <c r="T114" s="9">
        <f t="shared" ref="T114:T116" si="59">R114*K114</f>
        <v>3.200855908415241E-5</v>
      </c>
      <c r="U114" s="9">
        <f t="shared" ref="U114:U116" si="60">$R114*M114</f>
        <v>3.9938252720179632E-5</v>
      </c>
      <c r="V114" s="102">
        <f t="shared" ref="V114:V116" si="61">K114/M114</f>
        <v>0.80145116283415729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256</v>
      </c>
      <c r="C115" s="46" t="s">
        <v>257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44"/>
        <v>0.17110445915344102</v>
      </c>
      <c r="J115" s="54">
        <f t="shared" si="45"/>
        <v>0.82079702681253675</v>
      </c>
      <c r="K115" s="55">
        <f t="shared" si="46"/>
        <v>0.66940846005504129</v>
      </c>
      <c r="L115" s="55">
        <f t="shared" si="47"/>
        <v>2.1824273510124498E-3</v>
      </c>
      <c r="M115" s="55">
        <f t="shared" si="52"/>
        <v>0.99781757264898752</v>
      </c>
      <c r="N115" s="55">
        <f t="shared" si="48"/>
        <v>1.0550912449739332E-4</v>
      </c>
      <c r="O115" s="56">
        <f t="shared" si="53"/>
        <v>6.7322376932557459E-7</v>
      </c>
      <c r="P115" s="56">
        <f t="shared" si="49"/>
        <v>4.4561157967641759E-6</v>
      </c>
      <c r="Q115" s="56">
        <f t="shared" si="50"/>
        <v>3.5905042166121434E-5</v>
      </c>
      <c r="R115" s="9">
        <f>F115*$C$14</f>
        <v>3.9999999999999996E-5</v>
      </c>
      <c r="S115" s="9">
        <f t="shared" si="58"/>
        <v>8.7297094040497983E-8</v>
      </c>
      <c r="T115" s="9">
        <f t="shared" si="59"/>
        <v>2.6776338402201649E-5</v>
      </c>
      <c r="U115" s="9">
        <f t="shared" si="60"/>
        <v>3.9912702905959498E-5</v>
      </c>
      <c r="V115" s="102">
        <f t="shared" si="61"/>
        <v>0.67087259074613026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258</v>
      </c>
      <c r="C116" s="46" t="s">
        <v>259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44"/>
        <v>5.8063156695311677E-3</v>
      </c>
      <c r="J116" s="54">
        <f t="shared" si="45"/>
        <v>6.251581841145204E-2</v>
      </c>
      <c r="K116" s="55">
        <f t="shared" si="46"/>
        <v>0.98106045875808534</v>
      </c>
      <c r="L116" s="55">
        <f t="shared" si="47"/>
        <v>5.580372150378282E-4</v>
      </c>
      <c r="M116" s="55">
        <f t="shared" si="52"/>
        <v>0.99944196278496222</v>
      </c>
      <c r="N116" s="55">
        <f t="shared" si="48"/>
        <v>3.9612622443413267E-6</v>
      </c>
      <c r="O116" s="56">
        <f t="shared" si="53"/>
        <v>9.8665203592898887E-7</v>
      </c>
      <c r="P116" s="56">
        <f t="shared" si="49"/>
        <v>1.1394094964759118E-6</v>
      </c>
      <c r="Q116" s="56">
        <f t="shared" si="50"/>
        <v>1.3480283206942357E-6</v>
      </c>
      <c r="R116" s="9">
        <f>F116*$C$14</f>
        <v>3.9999999999999996E-5</v>
      </c>
      <c r="S116" s="9">
        <f t="shared" si="58"/>
        <v>2.2321488601513127E-8</v>
      </c>
      <c r="T116" s="9">
        <f t="shared" si="59"/>
        <v>3.9242418350323413E-5</v>
      </c>
      <c r="U116" s="9">
        <f t="shared" si="60"/>
        <v>3.9977678511398488E-5</v>
      </c>
      <c r="V116" s="102">
        <f t="shared" si="61"/>
        <v>0.98160823268250963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260</v>
      </c>
      <c r="C117" s="46" t="s">
        <v>261</v>
      </c>
      <c r="D117" s="47"/>
      <c r="E117" s="47"/>
      <c r="F117" s="98"/>
      <c r="G117" s="7"/>
      <c r="H117" s="7"/>
      <c r="I117" s="54" t="str">
        <f t="shared" si="44"/>
        <v/>
      </c>
      <c r="J117" s="54" t="str">
        <f t="shared" si="45"/>
        <v/>
      </c>
      <c r="K117" s="55" t="str">
        <f t="shared" si="46"/>
        <v/>
      </c>
      <c r="L117" s="55" t="str">
        <f t="shared" si="47"/>
        <v/>
      </c>
      <c r="M117" s="55" t="str">
        <f t="shared" si="52"/>
        <v/>
      </c>
      <c r="N117" s="55" t="str">
        <f t="shared" si="48"/>
        <v/>
      </c>
      <c r="O117" s="56" t="str">
        <f t="shared" si="53"/>
        <v/>
      </c>
      <c r="P117" s="56" t="str">
        <f t="shared" si="49"/>
        <v/>
      </c>
      <c r="Q117" s="56" t="str">
        <f t="shared" si="50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262</v>
      </c>
      <c r="C118" s="46" t="s">
        <v>263</v>
      </c>
      <c r="D118" s="47"/>
      <c r="E118" s="47"/>
      <c r="F118" s="57"/>
      <c r="G118" s="7"/>
      <c r="H118" s="7"/>
      <c r="I118" s="54" t="str">
        <f t="shared" si="44"/>
        <v/>
      </c>
      <c r="J118" s="54" t="str">
        <f t="shared" si="45"/>
        <v/>
      </c>
      <c r="K118" s="55" t="str">
        <f t="shared" si="46"/>
        <v/>
      </c>
      <c r="L118" s="55" t="str">
        <f t="shared" si="47"/>
        <v/>
      </c>
      <c r="M118" s="55" t="str">
        <f t="shared" si="52"/>
        <v/>
      </c>
      <c r="N118" s="55" t="str">
        <f t="shared" si="48"/>
        <v/>
      </c>
      <c r="O118" s="56" t="str">
        <f t="shared" si="53"/>
        <v/>
      </c>
      <c r="P118" s="56" t="str">
        <f t="shared" si="49"/>
        <v/>
      </c>
      <c r="Q118" s="56" t="str">
        <f t="shared" si="50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264</v>
      </c>
      <c r="C119" s="46" t="s">
        <v>265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44"/>
        <v>1.4450204174697026</v>
      </c>
      <c r="J119" s="54">
        <f t="shared" si="45"/>
        <v>2.5348483209025892</v>
      </c>
      <c r="K119" s="55">
        <f t="shared" si="46"/>
        <v>3.5490728686240744E-2</v>
      </c>
      <c r="L119" s="55">
        <f t="shared" si="47"/>
        <v>5.9898343131410898E-3</v>
      </c>
      <c r="M119" s="55">
        <f t="shared" si="52"/>
        <v>0.99401016568685896</v>
      </c>
      <c r="N119" s="55">
        <f t="shared" si="48"/>
        <v>2.1572016255057215E-3</v>
      </c>
      <c r="O119" s="56">
        <f t="shared" si="53"/>
        <v>3.5693008929552078E-8</v>
      </c>
      <c r="P119" s="56">
        <f t="shared" si="49"/>
        <v>1.2230141493784757E-5</v>
      </c>
      <c r="Q119" s="56">
        <f t="shared" si="50"/>
        <v>7.3410158309599285E-4</v>
      </c>
      <c r="R119" s="9">
        <f>F119*$C$14</f>
        <v>3.9999999999999996E-5</v>
      </c>
      <c r="S119" s="9">
        <f t="shared" ref="S119:S121" si="62">$R119*L119</f>
        <v>2.3959337252564355E-7</v>
      </c>
      <c r="T119" s="9">
        <f t="shared" ref="T119:T121" si="63">R119*K119</f>
        <v>1.4196291474496295E-6</v>
      </c>
      <c r="U119" s="9">
        <f t="shared" ref="U119:U121" si="64">$R119*M119</f>
        <v>3.9760406627474353E-5</v>
      </c>
      <c r="V119" s="102">
        <f t="shared" ref="V119:V121" si="65">K119/M119</f>
        <v>3.5704593284231381E-2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266</v>
      </c>
      <c r="C120" s="46" t="s">
        <v>267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44"/>
        <v>0.19210968761462099</v>
      </c>
      <c r="J120" s="54">
        <f t="shared" si="45"/>
        <v>0.88332170856564252</v>
      </c>
      <c r="K120" s="55">
        <f t="shared" si="46"/>
        <v>0.63766252225893871</v>
      </c>
      <c r="L120" s="55">
        <f t="shared" si="47"/>
        <v>2.4008452809254231E-3</v>
      </c>
      <c r="M120" s="55">
        <f t="shared" si="52"/>
        <v>0.99759915471907457</v>
      </c>
      <c r="N120" s="55">
        <f t="shared" si="48"/>
        <v>3.0997717450699432E-4</v>
      </c>
      <c r="O120" s="56">
        <f t="shared" si="53"/>
        <v>6.4129689480996114E-7</v>
      </c>
      <c r="P120" s="56">
        <f t="shared" si="49"/>
        <v>4.902085092067504E-6</v>
      </c>
      <c r="Q120" s="56">
        <f t="shared" si="50"/>
        <v>1.0548607596003492E-4</v>
      </c>
      <c r="R120" s="9">
        <f>F120*$C$14</f>
        <v>3.9999999999999996E-5</v>
      </c>
      <c r="S120" s="9">
        <f t="shared" si="62"/>
        <v>9.6033811237016919E-8</v>
      </c>
      <c r="T120" s="9">
        <f t="shared" si="63"/>
        <v>2.5506500890357548E-5</v>
      </c>
      <c r="U120" s="9">
        <f t="shared" si="64"/>
        <v>3.9903966188762976E-5</v>
      </c>
      <c r="V120" s="102">
        <f t="shared" si="65"/>
        <v>0.63919713568573089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268</v>
      </c>
      <c r="C121" s="46" t="s">
        <v>269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44"/>
        <v>1.9943504269299017</v>
      </c>
      <c r="J121" s="54">
        <f t="shared" si="45"/>
        <v>3.0806467478593547</v>
      </c>
      <c r="K121" s="55">
        <f t="shared" si="46"/>
        <v>1.0018575494261765E-2</v>
      </c>
      <c r="L121" s="55">
        <f t="shared" si="47"/>
        <v>5.94161209823371E-3</v>
      </c>
      <c r="M121" s="55">
        <f t="shared" si="52"/>
        <v>0.99405838790176626</v>
      </c>
      <c r="N121" s="55">
        <f t="shared" si="48"/>
        <v>1.5019926163973248E-3</v>
      </c>
      <c r="O121" s="56">
        <f t="shared" si="53"/>
        <v>1.0075676601047376E-8</v>
      </c>
      <c r="P121" s="56">
        <f t="shared" si="49"/>
        <v>1.2131680588085397E-5</v>
      </c>
      <c r="Q121" s="56">
        <f t="shared" si="50"/>
        <v>5.1113217441474813E-4</v>
      </c>
      <c r="R121" s="9">
        <f>F121*$C$14</f>
        <v>3.9999999999999996E-5</v>
      </c>
      <c r="S121" s="9">
        <f t="shared" si="62"/>
        <v>2.3766448392934838E-7</v>
      </c>
      <c r="T121" s="9">
        <f t="shared" si="63"/>
        <v>4.0074301977047056E-7</v>
      </c>
      <c r="U121" s="9">
        <f t="shared" si="64"/>
        <v>3.9762335516070645E-5</v>
      </c>
      <c r="V121" s="102">
        <f t="shared" si="65"/>
        <v>1.0078457780944563E-2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270</v>
      </c>
      <c r="C122" s="46" t="s">
        <v>271</v>
      </c>
      <c r="D122" s="47"/>
      <c r="E122" s="47"/>
      <c r="F122" s="57"/>
      <c r="G122" s="7"/>
      <c r="H122" s="7"/>
      <c r="I122" s="54" t="str">
        <f t="shared" si="44"/>
        <v/>
      </c>
      <c r="J122" s="54" t="str">
        <f t="shared" si="45"/>
        <v/>
      </c>
      <c r="K122" s="55" t="str">
        <f t="shared" si="46"/>
        <v/>
      </c>
      <c r="L122" s="55" t="str">
        <f t="shared" si="47"/>
        <v/>
      </c>
      <c r="M122" s="55" t="str">
        <f t="shared" si="52"/>
        <v/>
      </c>
      <c r="N122" s="55" t="str">
        <f t="shared" si="48"/>
        <v/>
      </c>
      <c r="O122" s="56" t="str">
        <f t="shared" si="53"/>
        <v/>
      </c>
      <c r="P122" s="56" t="str">
        <f t="shared" si="49"/>
        <v/>
      </c>
      <c r="Q122" s="56" t="str">
        <f t="shared" si="50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272</v>
      </c>
      <c r="C123" s="46" t="s">
        <v>273</v>
      </c>
      <c r="D123" s="46"/>
      <c r="E123" s="46"/>
      <c r="F123" s="46"/>
      <c r="G123" s="7"/>
      <c r="H123" s="7"/>
      <c r="I123" s="54" t="str">
        <f t="shared" ref="I123:I127" si="66">IF(D123=0,"",LOG($K$15*10^D123+$K$16*10^E123+$K$14))</f>
        <v/>
      </c>
      <c r="J123" s="54" t="str">
        <f t="shared" ref="J123:J127" si="67">IF(D123=0,"",LOG($K$21*10^D123+$K$22*10^E123+$K$20))</f>
        <v/>
      </c>
      <c r="K123" s="55" t="str">
        <f t="shared" ref="K123:K127" si="68">IF(D123=0,"",1/(1+10^D123*$J$15/$J$14+10^E123*$J$16/$J$14+10^J123*$J$19/$J$14))</f>
        <v/>
      </c>
      <c r="L123" s="55" t="str">
        <f t="shared" ref="L123:L127" si="69">IF(D123=0,"",1/(1+10^I123/10^J123*$J$13/$J$19))</f>
        <v/>
      </c>
      <c r="M123" s="55" t="str">
        <f t="shared" si="52"/>
        <v/>
      </c>
      <c r="N123" s="55" t="str">
        <f t="shared" ref="N123:N127" si="70">IF(D123=0,"",1/(1/10^E123*$J$20/$J$22+10^D123/10^E123*$J$21/$J$22+10^I123/10^E123*$J$13/$J$22+1))</f>
        <v/>
      </c>
      <c r="O123" s="56" t="str">
        <f t="shared" si="53"/>
        <v/>
      </c>
      <c r="P123" s="56" t="str">
        <f t="shared" ref="P123:P127" si="71">IF(D123=0,"",O123*10^J123)</f>
        <v/>
      </c>
      <c r="Q123" s="56" t="str">
        <f t="shared" ref="Q123:Q127" si="72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274</v>
      </c>
      <c r="C124" s="46" t="s">
        <v>275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66"/>
        <v>0.68104843309954888</v>
      </c>
      <c r="J124" s="54">
        <f t="shared" si="67"/>
        <v>1.6917956300821193</v>
      </c>
      <c r="K124" s="55">
        <f t="shared" si="68"/>
        <v>0.20630994982674089</v>
      </c>
      <c r="L124" s="55">
        <f t="shared" si="69"/>
        <v>4.9976676963507209E-3</v>
      </c>
      <c r="M124" s="55">
        <f t="shared" si="52"/>
        <v>0.99500233230364932</v>
      </c>
      <c r="N124" s="55">
        <f t="shared" si="70"/>
        <v>1.7282517131479707E-3</v>
      </c>
      <c r="O124" s="56">
        <f t="shared" si="53"/>
        <v>2.0748581824064247E-7</v>
      </c>
      <c r="P124" s="56">
        <f t="shared" si="71"/>
        <v>1.0204319496983536E-5</v>
      </c>
      <c r="Q124" s="56">
        <f t="shared" si="72"/>
        <v>5.8812876071000436E-4</v>
      </c>
      <c r="R124" s="9">
        <f>F124*$C$14</f>
        <v>3.9999999999999996E-5</v>
      </c>
      <c r="S124" s="9">
        <f t="shared" ref="S124:S127" si="73">$R124*L124</f>
        <v>1.9990670785402882E-7</v>
      </c>
      <c r="T124" s="9">
        <f t="shared" ref="T124:T127" si="74">R124*K124</f>
        <v>8.2523979930696344E-6</v>
      </c>
      <c r="U124" s="9">
        <f t="shared" ref="U124:U127" si="75">$R124*M124</f>
        <v>3.9800093292145966E-5</v>
      </c>
      <c r="V124" s="102">
        <f t="shared" ref="V124:V127" si="76">K124/M124</f>
        <v>0.20734619721854114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276</v>
      </c>
      <c r="C125" s="46" t="s">
        <v>277</v>
      </c>
      <c r="D125" s="46"/>
      <c r="E125" s="46"/>
      <c r="F125" s="46"/>
      <c r="G125" s="7"/>
      <c r="H125" s="7"/>
      <c r="I125" s="54" t="str">
        <f t="shared" si="66"/>
        <v/>
      </c>
      <c r="J125" s="54" t="str">
        <f t="shared" si="67"/>
        <v/>
      </c>
      <c r="K125" s="55" t="str">
        <f t="shared" si="68"/>
        <v/>
      </c>
      <c r="L125" s="55" t="str">
        <f t="shared" si="69"/>
        <v/>
      </c>
      <c r="M125" s="55" t="str">
        <f t="shared" si="52"/>
        <v/>
      </c>
      <c r="N125" s="55" t="str">
        <f t="shared" si="70"/>
        <v/>
      </c>
      <c r="O125" s="56" t="str">
        <f t="shared" si="53"/>
        <v/>
      </c>
      <c r="P125" s="56" t="str">
        <f t="shared" si="71"/>
        <v/>
      </c>
      <c r="Q125" s="56" t="str">
        <f t="shared" si="72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278</v>
      </c>
      <c r="C126" s="46" t="s">
        <v>279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66"/>
        <v>0.34290559098075568</v>
      </c>
      <c r="J126" s="54">
        <f t="shared" si="67"/>
        <v>1.1900968435828847</v>
      </c>
      <c r="K126" s="55">
        <f t="shared" si="68"/>
        <v>0.45013694926830411</v>
      </c>
      <c r="L126" s="55">
        <f t="shared" si="69"/>
        <v>3.4347337621040727E-3</v>
      </c>
      <c r="M126" s="55">
        <f t="shared" si="52"/>
        <v>0.99656526623789587</v>
      </c>
      <c r="N126" s="55">
        <f t="shared" si="70"/>
        <v>5.7809802525822973E-4</v>
      </c>
      <c r="O126" s="56">
        <f t="shared" si="53"/>
        <v>4.5270251540323426E-7</v>
      </c>
      <c r="P126" s="56">
        <f t="shared" si="71"/>
        <v>7.013095472750009E-6</v>
      </c>
      <c r="Q126" s="56">
        <f t="shared" si="72"/>
        <v>1.967283310512266E-4</v>
      </c>
      <c r="R126" s="9">
        <f>F126*$C$14</f>
        <v>3.9999999999999996E-5</v>
      </c>
      <c r="S126" s="9">
        <f t="shared" si="73"/>
        <v>1.3738935048416291E-7</v>
      </c>
      <c r="T126" s="9">
        <f t="shared" si="74"/>
        <v>1.8005477970732164E-5</v>
      </c>
      <c r="U126" s="9">
        <f t="shared" si="75"/>
        <v>3.9862610649515829E-5</v>
      </c>
      <c r="V126" s="102">
        <f t="shared" si="76"/>
        <v>0.45168837859220484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280</v>
      </c>
      <c r="C127" s="46" t="s">
        <v>281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 t="shared" si="66"/>
        <v>5.456801422185465E-4</v>
      </c>
      <c r="J127" s="54">
        <f t="shared" si="67"/>
        <v>6.3446008618617666E-3</v>
      </c>
      <c r="K127" s="55">
        <f t="shared" si="68"/>
        <v>0.9930776694577631</v>
      </c>
      <c r="L127" s="55">
        <f t="shared" si="69"/>
        <v>4.9634012924856829E-4</v>
      </c>
      <c r="M127" s="55">
        <f t="shared" si="52"/>
        <v>0.9995036598707514</v>
      </c>
      <c r="N127" s="55">
        <f t="shared" si="70"/>
        <v>3.487747523218652E-6</v>
      </c>
      <c r="O127" s="56">
        <f t="shared" si="53"/>
        <v>9.9873773900383712E-7</v>
      </c>
      <c r="P127" s="56">
        <f t="shared" si="71"/>
        <v>1.0134353794120411E-6</v>
      </c>
      <c r="Q127" s="56">
        <f t="shared" si="72"/>
        <v>1.1868899726207579E-6</v>
      </c>
      <c r="R127" s="9">
        <f>F127*$C$14</f>
        <v>3.9999999999999996E-5</v>
      </c>
      <c r="S127" s="9">
        <f t="shared" si="73"/>
        <v>1.9853605169942728E-8</v>
      </c>
      <c r="T127" s="9">
        <f t="shared" si="74"/>
        <v>3.9723106778310524E-5</v>
      </c>
      <c r="U127" s="9">
        <f t="shared" si="75"/>
        <v>3.9980146394830056E-5</v>
      </c>
      <c r="V127" s="102">
        <f t="shared" si="76"/>
        <v>0.99357081852624807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282</v>
      </c>
      <c r="C128" s="46" t="s">
        <v>283</v>
      </c>
      <c r="D128" s="46"/>
      <c r="E128" s="46"/>
      <c r="F128" s="46"/>
      <c r="G128" s="7"/>
      <c r="H128" s="7"/>
      <c r="I128" s="54" t="str">
        <f t="shared" ref="I128:I134" si="77">IF(D128=0,"",LOG($K$15*10^D128+$K$16*10^E128+$K$14))</f>
        <v/>
      </c>
      <c r="J128" s="54" t="str">
        <f t="shared" ref="J128:J134" si="78">IF(D128=0,"",LOG($K$21*10^D128+$K$22*10^E128+$K$20))</f>
        <v/>
      </c>
      <c r="K128" s="55" t="str">
        <f t="shared" ref="K128:K134" si="79">IF(D128=0,"",1/(1+10^D128*$J$15/$J$14+10^E128*$J$16/$J$14+10^J128*$J$19/$J$14))</f>
        <v/>
      </c>
      <c r="L128" s="55" t="str">
        <f t="shared" ref="L128:L134" si="80">IF(D128=0,"",1/(1+10^I128/10^J128*$J$13/$J$19))</f>
        <v/>
      </c>
      <c r="M128" s="55" t="str">
        <f t="shared" ref="M128:M134" si="81">IF(D128=0,"",1-L128)</f>
        <v/>
      </c>
      <c r="N128" s="55" t="str">
        <f t="shared" ref="N128:N134" si="82">IF(D128=0,"",1/(1/10^E128*$J$20/$J$22+10^D128/10^E128*$J$21/$J$22+10^I128/10^E128*$J$13/$J$22+1))</f>
        <v/>
      </c>
      <c r="O128" s="56" t="str">
        <f t="shared" ref="O128:O134" si="83">IF(D128=0,"",F128*K128*$J$7/$J$14)</f>
        <v/>
      </c>
      <c r="P128" s="56" t="str">
        <f t="shared" ref="P128:P134" si="84">IF(D128=0,"",O128*10^J128)</f>
        <v/>
      </c>
      <c r="Q128" s="56" t="str">
        <f t="shared" ref="Q128:Q134" si="85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284</v>
      </c>
      <c r="C129" s="46" t="s">
        <v>285</v>
      </c>
      <c r="D129" s="46"/>
      <c r="E129" s="46"/>
      <c r="F129" s="46"/>
      <c r="G129" s="7"/>
      <c r="H129" s="7"/>
      <c r="I129" s="54" t="str">
        <f t="shared" si="77"/>
        <v/>
      </c>
      <c r="J129" s="54" t="str">
        <f t="shared" si="78"/>
        <v/>
      </c>
      <c r="K129" s="55" t="str">
        <f t="shared" si="79"/>
        <v/>
      </c>
      <c r="L129" s="55" t="str">
        <f t="shared" si="80"/>
        <v/>
      </c>
      <c r="M129" s="55" t="str">
        <f t="shared" si="81"/>
        <v/>
      </c>
      <c r="N129" s="55" t="str">
        <f t="shared" si="82"/>
        <v/>
      </c>
      <c r="O129" s="56" t="str">
        <f t="shared" si="83"/>
        <v/>
      </c>
      <c r="P129" s="56" t="str">
        <f t="shared" si="84"/>
        <v/>
      </c>
      <c r="Q129" s="56" t="str">
        <f t="shared" si="85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286</v>
      </c>
      <c r="C130" s="46" t="s">
        <v>287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77"/>
        <v>2.0637855846763784E-2</v>
      </c>
      <c r="J130" s="54">
        <f t="shared" si="78"/>
        <v>0.1947752592439376</v>
      </c>
      <c r="K130" s="55">
        <f t="shared" si="79"/>
        <v>0.94795777856771213</v>
      </c>
      <c r="L130" s="55">
        <f t="shared" si="80"/>
        <v>7.3116572726597757E-4</v>
      </c>
      <c r="M130" s="55">
        <f t="shared" si="81"/>
        <v>0.99926883427273405</v>
      </c>
      <c r="N130" s="55">
        <f t="shared" si="82"/>
        <v>1.6913902282044587E-5</v>
      </c>
      <c r="O130" s="56">
        <f t="shared" si="83"/>
        <v>9.5336068623390186E-7</v>
      </c>
      <c r="P130" s="56">
        <f t="shared" si="84"/>
        <v>1.4929061193313021E-6</v>
      </c>
      <c r="Q130" s="56">
        <f t="shared" si="85"/>
        <v>5.7558469708036673E-6</v>
      </c>
      <c r="R130" s="9">
        <f>F130*$C$14</f>
        <v>3.9999999999999996E-5</v>
      </c>
      <c r="S130" s="9">
        <f t="shared" ref="S130:S131" si="86">$R130*L130</f>
        <v>2.9246629090639101E-8</v>
      </c>
      <c r="T130" s="9">
        <f t="shared" ref="T130:T131" si="87">R130*K130</f>
        <v>3.7918311142708479E-5</v>
      </c>
      <c r="U130" s="9">
        <f t="shared" ref="U130:U131" si="88">$R130*M130</f>
        <v>3.9970753370909356E-5</v>
      </c>
      <c r="V130" s="102">
        <f t="shared" ref="V130:V131" si="89">K130/M130</f>
        <v>0.94865139995848469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288</v>
      </c>
      <c r="C131" s="46" t="s">
        <v>289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77"/>
        <v>-5.8338548275705044E-4</v>
      </c>
      <c r="J131" s="54">
        <f t="shared" si="78"/>
        <v>-7.0438651482898611E-3</v>
      </c>
      <c r="K131" s="55">
        <f t="shared" si="79"/>
        <v>0.99567655680045886</v>
      </c>
      <c r="L131" s="55">
        <f t="shared" si="80"/>
        <v>4.8253185466099629E-4</v>
      </c>
      <c r="M131" s="55">
        <f t="shared" si="81"/>
        <v>0.99951746814533904</v>
      </c>
      <c r="N131" s="55">
        <f t="shared" si="82"/>
        <v>1.6790595700075456E-6</v>
      </c>
      <c r="O131" s="56">
        <f t="shared" si="83"/>
        <v>1.0013514387660992E-6</v>
      </c>
      <c r="P131" s="56">
        <f t="shared" si="84"/>
        <v>9.8524141891791839E-7</v>
      </c>
      <c r="Q131" s="56">
        <f t="shared" si="85"/>
        <v>5.7138854054314588E-7</v>
      </c>
      <c r="R131" s="9">
        <f>F131*$C$14</f>
        <v>3.9999999999999996E-5</v>
      </c>
      <c r="S131" s="9">
        <f t="shared" si="86"/>
        <v>1.930127418643985E-8</v>
      </c>
      <c r="T131" s="9">
        <f t="shared" si="87"/>
        <v>3.9827062272018349E-5</v>
      </c>
      <c r="U131" s="9">
        <f t="shared" si="88"/>
        <v>3.9980698725813557E-5</v>
      </c>
      <c r="V131" s="102">
        <f t="shared" si="89"/>
        <v>0.99615723439830706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290</v>
      </c>
      <c r="C132" s="46" t="s">
        <v>291</v>
      </c>
      <c r="D132" s="46"/>
      <c r="E132" s="46"/>
      <c r="F132" s="46"/>
      <c r="G132" s="7"/>
      <c r="H132" s="7"/>
      <c r="I132" s="54" t="str">
        <f t="shared" si="77"/>
        <v/>
      </c>
      <c r="J132" s="54" t="str">
        <f t="shared" si="78"/>
        <v/>
      </c>
      <c r="K132" s="55" t="str">
        <f t="shared" si="79"/>
        <v/>
      </c>
      <c r="L132" s="55" t="str">
        <f t="shared" si="80"/>
        <v/>
      </c>
      <c r="M132" s="55" t="str">
        <f t="shared" si="81"/>
        <v/>
      </c>
      <c r="N132" s="55" t="str">
        <f t="shared" si="82"/>
        <v/>
      </c>
      <c r="O132" s="56" t="str">
        <f t="shared" si="83"/>
        <v/>
      </c>
      <c r="P132" s="56" t="str">
        <f t="shared" si="84"/>
        <v/>
      </c>
      <c r="Q132" s="56" t="str">
        <f t="shared" si="85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292</v>
      </c>
      <c r="C133" s="46" t="s">
        <v>293</v>
      </c>
      <c r="D133" s="46"/>
      <c r="E133" s="46"/>
      <c r="F133" s="46"/>
      <c r="G133" s="7"/>
      <c r="H133" s="7"/>
      <c r="I133" s="54" t="str">
        <f t="shared" si="77"/>
        <v/>
      </c>
      <c r="J133" s="54" t="str">
        <f t="shared" si="78"/>
        <v/>
      </c>
      <c r="K133" s="55" t="str">
        <f t="shared" si="79"/>
        <v/>
      </c>
      <c r="L133" s="55" t="str">
        <f t="shared" si="80"/>
        <v/>
      </c>
      <c r="M133" s="55" t="str">
        <f t="shared" si="81"/>
        <v/>
      </c>
      <c r="N133" s="55" t="str">
        <f t="shared" si="82"/>
        <v/>
      </c>
      <c r="O133" s="56" t="str">
        <f t="shared" si="83"/>
        <v/>
      </c>
      <c r="P133" s="56" t="str">
        <f t="shared" si="84"/>
        <v/>
      </c>
      <c r="Q133" s="56" t="str">
        <f t="shared" si="85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97</v>
      </c>
      <c r="C134" s="46" t="s">
        <v>294</v>
      </c>
      <c r="D134" s="46"/>
      <c r="E134" s="46"/>
      <c r="F134" s="46"/>
      <c r="G134" s="7"/>
      <c r="H134" s="7"/>
      <c r="I134" s="54" t="str">
        <f t="shared" si="77"/>
        <v/>
      </c>
      <c r="J134" s="54" t="str">
        <f t="shared" si="78"/>
        <v/>
      </c>
      <c r="K134" s="55" t="str">
        <f t="shared" si="79"/>
        <v/>
      </c>
      <c r="L134" s="55" t="str">
        <f t="shared" si="80"/>
        <v/>
      </c>
      <c r="M134" s="55" t="str">
        <f t="shared" si="81"/>
        <v/>
      </c>
      <c r="N134" s="55" t="str">
        <f t="shared" si="82"/>
        <v/>
      </c>
      <c r="O134" s="56" t="str">
        <f t="shared" si="83"/>
        <v/>
      </c>
      <c r="P134" s="56" t="str">
        <f t="shared" si="84"/>
        <v/>
      </c>
      <c r="Q134" s="56" t="str">
        <f t="shared" si="85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2024-10-28T22:56:26Z</dcterms:modified>
</cp:coreProperties>
</file>