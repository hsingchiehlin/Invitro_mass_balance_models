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384well_1um\"/>
    </mc:Choice>
  </mc:AlternateContent>
  <xr:revisionPtr revIDLastSave="0" documentId="13_ncr:1_{CF5ABF72-6B43-4CF1-BFFC-1661BCC480B5}" xr6:coauthVersionLast="47" xr6:coauthVersionMax="47" xr10:uidLastSave="{00000000-0000-0000-0000-000000000000}"/>
  <bookViews>
    <workbookView minimized="1" xWindow="53835" yWindow="5160" windowWidth="16200" windowHeight="999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R131" i="4"/>
  <c r="U131" i="4" s="1"/>
  <c r="V130" i="4"/>
  <c r="U130" i="4"/>
  <c r="T130" i="4"/>
  <c r="S130" i="4"/>
  <c r="R130" i="4"/>
  <c r="V127" i="4"/>
  <c r="U127" i="4"/>
  <c r="T127" i="4"/>
  <c r="R127" i="4"/>
  <c r="S127" i="4" s="1"/>
  <c r="V126" i="4"/>
  <c r="S126" i="4"/>
  <c r="R126" i="4"/>
  <c r="V124" i="4"/>
  <c r="R124" i="4"/>
  <c r="U124" i="4" s="1"/>
  <c r="V121" i="4"/>
  <c r="R121" i="4"/>
  <c r="U121" i="4" s="1"/>
  <c r="V120" i="4"/>
  <c r="U120" i="4"/>
  <c r="T120" i="4"/>
  <c r="R120" i="4"/>
  <c r="S120" i="4" s="1"/>
  <c r="V119" i="4"/>
  <c r="U119" i="4"/>
  <c r="R119" i="4"/>
  <c r="T119" i="4" s="1"/>
  <c r="V116" i="4"/>
  <c r="R116" i="4"/>
  <c r="U116" i="4" s="1"/>
  <c r="V115" i="4"/>
  <c r="U115" i="4"/>
  <c r="T115" i="4"/>
  <c r="S115" i="4"/>
  <c r="R115" i="4"/>
  <c r="V114" i="4"/>
  <c r="R114" i="4"/>
  <c r="V108" i="4"/>
  <c r="U108" i="4"/>
  <c r="R108" i="4"/>
  <c r="T108" i="4" s="1"/>
  <c r="V107" i="4"/>
  <c r="R107" i="4"/>
  <c r="U107" i="4" s="1"/>
  <c r="V93" i="4"/>
  <c r="U93" i="4"/>
  <c r="T93" i="4"/>
  <c r="S93" i="4"/>
  <c r="R93" i="4"/>
  <c r="V92" i="4"/>
  <c r="U92" i="4"/>
  <c r="T92" i="4"/>
  <c r="R92" i="4"/>
  <c r="S92" i="4" s="1"/>
  <c r="V91" i="4"/>
  <c r="R91" i="4"/>
  <c r="V90" i="4"/>
  <c r="R90" i="4"/>
  <c r="U90" i="4" s="1"/>
  <c r="V89" i="4"/>
  <c r="R89" i="4"/>
  <c r="U89" i="4" s="1"/>
  <c r="V88" i="4"/>
  <c r="U88" i="4"/>
  <c r="T88" i="4"/>
  <c r="R88" i="4"/>
  <c r="S88" i="4" s="1"/>
  <c r="V86" i="4"/>
  <c r="U86" i="4"/>
  <c r="R86" i="4"/>
  <c r="T86" i="4" s="1"/>
  <c r="V85" i="4"/>
  <c r="R85" i="4"/>
  <c r="U85" i="4" s="1"/>
  <c r="V84" i="4"/>
  <c r="U84" i="4"/>
  <c r="T84" i="4"/>
  <c r="S84" i="4"/>
  <c r="R84" i="4"/>
  <c r="V83" i="4"/>
  <c r="R83" i="4"/>
  <c r="V82" i="4"/>
  <c r="U82" i="4"/>
  <c r="R82" i="4"/>
  <c r="T82" i="4" s="1"/>
  <c r="V81" i="4"/>
  <c r="R81" i="4"/>
  <c r="U81" i="4" s="1"/>
  <c r="V80" i="4"/>
  <c r="U80" i="4"/>
  <c r="T80" i="4"/>
  <c r="S80" i="4"/>
  <c r="R80" i="4"/>
  <c r="V79" i="4"/>
  <c r="U79" i="4"/>
  <c r="T79" i="4"/>
  <c r="R79" i="4"/>
  <c r="S79" i="4" s="1"/>
  <c r="V78" i="4"/>
  <c r="R78" i="4"/>
  <c r="V77" i="4"/>
  <c r="R77" i="4"/>
  <c r="U77" i="4" s="1"/>
  <c r="V76" i="4"/>
  <c r="R76" i="4"/>
  <c r="U76" i="4" s="1"/>
  <c r="V75" i="4"/>
  <c r="U75" i="4"/>
  <c r="T75" i="4"/>
  <c r="R75" i="4"/>
  <c r="S75" i="4" s="1"/>
  <c r="V74" i="4"/>
  <c r="U74" i="4"/>
  <c r="R74" i="4"/>
  <c r="T74" i="4" s="1"/>
  <c r="V73" i="4"/>
  <c r="R73" i="4"/>
  <c r="U73" i="4" s="1"/>
  <c r="V72" i="4"/>
  <c r="U72" i="4"/>
  <c r="T72" i="4"/>
  <c r="S72" i="4"/>
  <c r="R72" i="4"/>
  <c r="V71" i="4"/>
  <c r="R71" i="4"/>
  <c r="V70" i="4"/>
  <c r="U70" i="4"/>
  <c r="R70" i="4"/>
  <c r="T70" i="4" s="1"/>
  <c r="V69" i="4"/>
  <c r="R69" i="4"/>
  <c r="U69" i="4" s="1"/>
  <c r="V68" i="4"/>
  <c r="U68" i="4"/>
  <c r="T68" i="4"/>
  <c r="S68" i="4"/>
  <c r="R68" i="4"/>
  <c r="V65" i="4"/>
  <c r="U65" i="4"/>
  <c r="T65" i="4"/>
  <c r="R65" i="4"/>
  <c r="S65" i="4" s="1"/>
  <c r="V64" i="4"/>
  <c r="R64" i="4"/>
  <c r="V63" i="4"/>
  <c r="R63" i="4"/>
  <c r="U63" i="4" s="1"/>
  <c r="V62" i="4"/>
  <c r="R62" i="4"/>
  <c r="U62" i="4" s="1"/>
  <c r="V61" i="4"/>
  <c r="U61" i="4"/>
  <c r="T61" i="4"/>
  <c r="R61" i="4"/>
  <c r="S61" i="4" s="1"/>
  <c r="V60" i="4"/>
  <c r="U60" i="4"/>
  <c r="R60" i="4"/>
  <c r="T60" i="4" s="1"/>
  <c r="V58" i="4"/>
  <c r="T58" i="4"/>
  <c r="S58" i="4"/>
  <c r="R58" i="4"/>
  <c r="U58" i="4" s="1"/>
  <c r="V57" i="4"/>
  <c r="U57" i="4"/>
  <c r="T57" i="4"/>
  <c r="S57" i="4"/>
  <c r="R57" i="4"/>
  <c r="V49" i="4"/>
  <c r="R49" i="4"/>
  <c r="V48" i="4"/>
  <c r="U48" i="4"/>
  <c r="R48" i="4"/>
  <c r="T48" i="4" s="1"/>
  <c r="V47" i="4"/>
  <c r="R47" i="4"/>
  <c r="U47" i="4" s="1"/>
  <c r="V46" i="4"/>
  <c r="U46" i="4"/>
  <c r="T46" i="4"/>
  <c r="S46" i="4"/>
  <c r="R46" i="4"/>
  <c r="V45" i="4"/>
  <c r="U45" i="4"/>
  <c r="T45" i="4"/>
  <c r="R45" i="4"/>
  <c r="S45" i="4" s="1"/>
  <c r="V44" i="4"/>
  <c r="S44" i="4"/>
  <c r="R44" i="4"/>
  <c r="V43" i="4"/>
  <c r="R43" i="4"/>
  <c r="U43" i="4" s="1"/>
  <c r="V42" i="4"/>
  <c r="R42" i="4"/>
  <c r="U42" i="4" s="1"/>
  <c r="V41" i="4"/>
  <c r="U41" i="4"/>
  <c r="T41" i="4"/>
  <c r="R41" i="4"/>
  <c r="S41" i="4" s="1"/>
  <c r="V40" i="4"/>
  <c r="U40" i="4"/>
  <c r="R40" i="4"/>
  <c r="T40" i="4" s="1"/>
  <c r="V39" i="4"/>
  <c r="R39" i="4"/>
  <c r="U39" i="4" s="1"/>
  <c r="V38" i="4"/>
  <c r="U38" i="4"/>
  <c r="T38" i="4"/>
  <c r="S38" i="4"/>
  <c r="R38" i="4"/>
  <c r="V37" i="4"/>
  <c r="R37" i="4"/>
  <c r="V36" i="4"/>
  <c r="U36" i="4"/>
  <c r="R36" i="4"/>
  <c r="T36" i="4" s="1"/>
  <c r="V35" i="4"/>
  <c r="R35" i="4"/>
  <c r="U35" i="4" s="1"/>
  <c r="V34" i="4"/>
  <c r="U34" i="4"/>
  <c r="T34" i="4"/>
  <c r="S34" i="4"/>
  <c r="R34" i="4"/>
  <c r="V33" i="4"/>
  <c r="U33" i="4"/>
  <c r="T33" i="4"/>
  <c r="R33" i="4"/>
  <c r="S33" i="4" s="1"/>
  <c r="V32" i="4"/>
  <c r="R32" i="4"/>
  <c r="U32" i="4" s="1"/>
  <c r="V31" i="4"/>
  <c r="R31" i="4"/>
  <c r="U31" i="4" s="1"/>
  <c r="V30" i="4"/>
  <c r="R30" i="4"/>
  <c r="V29" i="4"/>
  <c r="U29" i="4"/>
  <c r="T29" i="4"/>
  <c r="R29" i="4"/>
  <c r="S29" i="4" s="1"/>
  <c r="V28" i="4"/>
  <c r="U28" i="4"/>
  <c r="R28" i="4"/>
  <c r="T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O130" i="4" s="1"/>
  <c r="P130" i="4" s="1"/>
  <c r="L130" i="4"/>
  <c r="M130" i="4"/>
  <c r="N130" i="4"/>
  <c r="Q130" i="4" s="1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U37" i="4" l="1"/>
  <c r="T37" i="4"/>
  <c r="S37" i="4"/>
  <c r="U114" i="4"/>
  <c r="T114" i="4"/>
  <c r="S114" i="4"/>
  <c r="U64" i="4"/>
  <c r="T64" i="4"/>
  <c r="U30" i="4"/>
  <c r="T30" i="4"/>
  <c r="S30" i="4"/>
  <c r="S64" i="4"/>
  <c r="S73" i="4"/>
  <c r="U49" i="4"/>
  <c r="T49" i="4"/>
  <c r="S49" i="4"/>
  <c r="T73" i="4"/>
  <c r="U78" i="4"/>
  <c r="T78" i="4"/>
  <c r="S78" i="4"/>
  <c r="S85" i="4"/>
  <c r="U71" i="4"/>
  <c r="T71" i="4"/>
  <c r="S71" i="4"/>
  <c r="T85" i="4"/>
  <c r="S32" i="4"/>
  <c r="U91" i="4"/>
  <c r="T91" i="4"/>
  <c r="T32" i="4"/>
  <c r="S39" i="4"/>
  <c r="S91" i="4"/>
  <c r="S116" i="4"/>
  <c r="T39" i="4"/>
  <c r="U83" i="4"/>
  <c r="T83" i="4"/>
  <c r="S83" i="4"/>
  <c r="T116" i="4"/>
  <c r="U44" i="4"/>
  <c r="T44" i="4"/>
  <c r="U126" i="4"/>
  <c r="T126" i="4"/>
  <c r="S31" i="4"/>
  <c r="S43" i="4"/>
  <c r="S63" i="4"/>
  <c r="S77" i="4"/>
  <c r="S90" i="4"/>
  <c r="S124" i="4"/>
  <c r="T31" i="4"/>
  <c r="S36" i="4"/>
  <c r="T43" i="4"/>
  <c r="S48" i="4"/>
  <c r="T63" i="4"/>
  <c r="S70" i="4"/>
  <c r="T77" i="4"/>
  <c r="S82" i="4"/>
  <c r="T90" i="4"/>
  <c r="S108" i="4"/>
  <c r="T124" i="4"/>
  <c r="S42" i="4"/>
  <c r="S62" i="4"/>
  <c r="S76" i="4"/>
  <c r="S89" i="4"/>
  <c r="S121" i="4"/>
  <c r="S35" i="4"/>
  <c r="T42" i="4"/>
  <c r="S47" i="4"/>
  <c r="T62" i="4"/>
  <c r="S69" i="4"/>
  <c r="T76" i="4"/>
  <c r="S81" i="4"/>
  <c r="T89" i="4"/>
  <c r="S107" i="4"/>
  <c r="T121" i="4"/>
  <c r="S131" i="4"/>
  <c r="S28" i="4"/>
  <c r="T35" i="4"/>
  <c r="S40" i="4"/>
  <c r="T47" i="4"/>
  <c r="S60" i="4"/>
  <c r="T69" i="4"/>
  <c r="S74" i="4"/>
  <c r="T81" i="4"/>
  <c r="S86" i="4"/>
  <c r="T107" i="4"/>
  <c r="S119" i="4"/>
  <c r="T131" i="4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 s="1"/>
  <c r="J122" i="4"/>
  <c r="K122" i="4"/>
  <c r="J117" i="4"/>
  <c r="K117" i="4"/>
  <c r="J120" i="4"/>
  <c r="L120" i="4" s="1"/>
  <c r="M120" i="4" s="1"/>
  <c r="K120" i="4"/>
  <c r="O120" i="4" s="1"/>
  <c r="P120" i="4" s="1"/>
  <c r="J101" i="4"/>
  <c r="K101" i="4"/>
  <c r="J86" i="4"/>
  <c r="K86" i="4" s="1"/>
  <c r="J85" i="4"/>
  <c r="K85" i="4" s="1"/>
  <c r="J88" i="4"/>
  <c r="K88" i="4" s="1"/>
  <c r="J119" i="4"/>
  <c r="K119" i="4" s="1"/>
  <c r="O119" i="4" s="1"/>
  <c r="P119" i="4" s="1"/>
  <c r="J72" i="4"/>
  <c r="K72" i="4" s="1"/>
  <c r="J103" i="4"/>
  <c r="K103" i="4"/>
  <c r="J118" i="4"/>
  <c r="K118" i="4"/>
  <c r="J104" i="4"/>
  <c r="K104" i="4"/>
  <c r="J90" i="4"/>
  <c r="K90" i="4" s="1"/>
  <c r="J71" i="4"/>
  <c r="K71" i="4"/>
  <c r="J110" i="4"/>
  <c r="K110" i="4"/>
  <c r="J82" i="4"/>
  <c r="K82" i="4"/>
  <c r="J113" i="4"/>
  <c r="K113" i="4"/>
  <c r="J97" i="4"/>
  <c r="L97" i="4" s="1"/>
  <c r="K97" i="4"/>
  <c r="J81" i="4"/>
  <c r="K81" i="4" s="1"/>
  <c r="J116" i="4"/>
  <c r="K116" i="4" s="1"/>
  <c r="O116" i="4" s="1"/>
  <c r="P116" i="4" s="1"/>
  <c r="J100" i="4"/>
  <c r="K100" i="4"/>
  <c r="O100" i="4"/>
  <c r="J84" i="4"/>
  <c r="K84" i="4" s="1"/>
  <c r="J114" i="4"/>
  <c r="K114" i="4"/>
  <c r="O114" i="4" s="1"/>
  <c r="P114" i="4" s="1"/>
  <c r="J78" i="4"/>
  <c r="K78" i="4" s="1"/>
  <c r="J115" i="4"/>
  <c r="K115" i="4"/>
  <c r="O115" i="4"/>
  <c r="P115" i="4" s="1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 s="1"/>
  <c r="J77" i="4"/>
  <c r="K77" i="4"/>
  <c r="J112" i="4"/>
  <c r="K112" i="4"/>
  <c r="J96" i="4"/>
  <c r="K96" i="4"/>
  <c r="J80" i="4"/>
  <c r="K80" i="4" s="1"/>
  <c r="J106" i="4"/>
  <c r="K106" i="4"/>
  <c r="J127" i="4"/>
  <c r="K127" i="4"/>
  <c r="O127" i="4" s="1"/>
  <c r="P127" i="4" s="1"/>
  <c r="J111" i="4"/>
  <c r="K111" i="4"/>
  <c r="J95" i="4"/>
  <c r="K95" i="4" s="1"/>
  <c r="J79" i="4"/>
  <c r="K79" i="4" s="1"/>
  <c r="J126" i="4"/>
  <c r="K126" i="4"/>
  <c r="J94" i="4"/>
  <c r="K94" i="4" s="1"/>
  <c r="J121" i="4"/>
  <c r="K121" i="4"/>
  <c r="J105" i="4"/>
  <c r="K105" i="4"/>
  <c r="J89" i="4"/>
  <c r="K89" i="4" s="1"/>
  <c r="J73" i="4"/>
  <c r="K73" i="4"/>
  <c r="J124" i="4"/>
  <c r="L124" i="4" s="1"/>
  <c r="M124" i="4" s="1"/>
  <c r="J108" i="4"/>
  <c r="K108" i="4"/>
  <c r="O108" i="4" s="1"/>
  <c r="P108" i="4" s="1"/>
  <c r="J92" i="4"/>
  <c r="K92" i="4" s="1"/>
  <c r="J76" i="4"/>
  <c r="K76" i="4"/>
  <c r="J98" i="4"/>
  <c r="K98" i="4"/>
  <c r="J123" i="4"/>
  <c r="K123" i="4"/>
  <c r="J107" i="4"/>
  <c r="K107" i="4"/>
  <c r="J91" i="4"/>
  <c r="K91" i="4"/>
  <c r="J75" i="4"/>
  <c r="K75" i="4" s="1"/>
  <c r="P100" i="4"/>
  <c r="O107" i="4"/>
  <c r="P107" i="4"/>
  <c r="O112" i="4"/>
  <c r="P112" i="4"/>
  <c r="O98" i="4"/>
  <c r="P98" i="4"/>
  <c r="O105" i="4"/>
  <c r="P105" i="4"/>
  <c r="O126" i="4"/>
  <c r="P126" i="4"/>
  <c r="O111" i="4"/>
  <c r="P111" i="4"/>
  <c r="O74" i="4"/>
  <c r="P74" i="4" s="1"/>
  <c r="O104" i="4"/>
  <c r="P104" i="4"/>
  <c r="O91" i="4"/>
  <c r="P91" i="4"/>
  <c r="O121" i="4"/>
  <c r="P121" i="4"/>
  <c r="O102" i="4"/>
  <c r="P102" i="4"/>
  <c r="O110" i="4"/>
  <c r="P110" i="4"/>
  <c r="O118" i="4"/>
  <c r="P118" i="4"/>
  <c r="O117" i="4"/>
  <c r="P117" i="4"/>
  <c r="O106" i="4"/>
  <c r="P106" i="4"/>
  <c r="O109" i="4"/>
  <c r="P109" i="4"/>
  <c r="O113" i="4"/>
  <c r="P113" i="4"/>
  <c r="O71" i="4"/>
  <c r="P71" i="4"/>
  <c r="O103" i="4"/>
  <c r="P103" i="4"/>
  <c r="O122" i="4"/>
  <c r="P122" i="4"/>
  <c r="O123" i="4"/>
  <c r="P123" i="4"/>
  <c r="O125" i="4"/>
  <c r="P125" i="4"/>
  <c r="O99" i="4"/>
  <c r="P99" i="4"/>
  <c r="O101" i="4"/>
  <c r="P101" i="4"/>
  <c r="I76" i="4"/>
  <c r="N76" i="4" s="1"/>
  <c r="Q76" i="4" s="1"/>
  <c r="I77" i="4"/>
  <c r="I81" i="4"/>
  <c r="I89" i="4"/>
  <c r="I90" i="4"/>
  <c r="L90" i="4" s="1"/>
  <c r="I96" i="4"/>
  <c r="L96" i="4" s="1"/>
  <c r="I99" i="4"/>
  <c r="I102" i="4"/>
  <c r="I104" i="4"/>
  <c r="I108" i="4"/>
  <c r="L108" i="4" s="1"/>
  <c r="M108" i="4" s="1"/>
  <c r="I111" i="4"/>
  <c r="I113" i="4"/>
  <c r="I115" i="4"/>
  <c r="N115" i="4" s="1"/>
  <c r="Q115" i="4" s="1"/>
  <c r="I119" i="4"/>
  <c r="I120" i="4"/>
  <c r="I123" i="4"/>
  <c r="I125" i="4"/>
  <c r="I79" i="4"/>
  <c r="I92" i="4"/>
  <c r="I100" i="4"/>
  <c r="I103" i="4"/>
  <c r="I107" i="4"/>
  <c r="N107" i="4" s="1"/>
  <c r="Q107" i="4" s="1"/>
  <c r="I109" i="4"/>
  <c r="I110" i="4"/>
  <c r="I117" i="4"/>
  <c r="I124" i="4"/>
  <c r="N124" i="4" s="1"/>
  <c r="Q124" i="4" s="1"/>
  <c r="I72" i="4"/>
  <c r="I106" i="4"/>
  <c r="I71" i="4"/>
  <c r="I75" i="4"/>
  <c r="N75" i="4" s="1"/>
  <c r="Q75" i="4" s="1"/>
  <c r="I80" i="4"/>
  <c r="L80" i="4" s="1"/>
  <c r="I83" i="4"/>
  <c r="I86" i="4"/>
  <c r="L86" i="4" s="1"/>
  <c r="I88" i="4"/>
  <c r="N88" i="4" s="1"/>
  <c r="Q88" i="4" s="1"/>
  <c r="I94" i="4"/>
  <c r="I95" i="4"/>
  <c r="I98" i="4"/>
  <c r="I101" i="4"/>
  <c r="I118" i="4"/>
  <c r="I127" i="4"/>
  <c r="L127" i="4" s="1"/>
  <c r="M127" i="4" s="1"/>
  <c r="I73" i="4"/>
  <c r="N73" i="4" s="1"/>
  <c r="Q73" i="4" s="1"/>
  <c r="I74" i="4"/>
  <c r="I78" i="4"/>
  <c r="N78" i="4" s="1"/>
  <c r="Q78" i="4" s="1"/>
  <c r="I82" i="4"/>
  <c r="I85" i="4"/>
  <c r="N85" i="4" s="1"/>
  <c r="Q85" i="4" s="1"/>
  <c r="I93" i="4"/>
  <c r="L93" i="4" s="1"/>
  <c r="I112" i="4"/>
  <c r="I114" i="4"/>
  <c r="N114" i="4" s="1"/>
  <c r="Q114" i="4" s="1"/>
  <c r="I121" i="4"/>
  <c r="N121" i="4" s="1"/>
  <c r="Q121" i="4" s="1"/>
  <c r="I122" i="4"/>
  <c r="I84" i="4"/>
  <c r="I87" i="4"/>
  <c r="I91" i="4"/>
  <c r="I97" i="4"/>
  <c r="I105" i="4"/>
  <c r="I116" i="4"/>
  <c r="N116" i="4" s="1"/>
  <c r="Q116" i="4" s="1"/>
  <c r="I126" i="4"/>
  <c r="N126" i="4" s="1"/>
  <c r="Q126" i="4" s="1"/>
  <c r="L105" i="4"/>
  <c r="N105" i="4"/>
  <c r="Q105" i="4"/>
  <c r="N84" i="4"/>
  <c r="Q84" i="4" s="1"/>
  <c r="N101" i="4"/>
  <c r="Q101" i="4"/>
  <c r="L101" i="4"/>
  <c r="L75" i="4"/>
  <c r="L106" i="4"/>
  <c r="N106" i="4"/>
  <c r="Q106" i="4"/>
  <c r="N79" i="4"/>
  <c r="Q79" i="4" s="1"/>
  <c r="L79" i="4"/>
  <c r="N119" i="4"/>
  <c r="Q119" i="4"/>
  <c r="L119" i="4"/>
  <c r="M119" i="4" s="1"/>
  <c r="N108" i="4"/>
  <c r="Q108" i="4" s="1"/>
  <c r="N96" i="4"/>
  <c r="Q96" i="4" s="1"/>
  <c r="N77" i="4"/>
  <c r="Q77" i="4" s="1"/>
  <c r="L77" i="4"/>
  <c r="N97" i="4"/>
  <c r="Q97" i="4"/>
  <c r="N82" i="4"/>
  <c r="Q82" i="4" s="1"/>
  <c r="N98" i="4"/>
  <c r="Q98" i="4"/>
  <c r="L98" i="4"/>
  <c r="N71" i="4"/>
  <c r="Q71" i="4" s="1"/>
  <c r="L71" i="4"/>
  <c r="M71" i="4" s="1"/>
  <c r="L72" i="4"/>
  <c r="N72" i="4"/>
  <c r="Q72" i="4" s="1"/>
  <c r="N117" i="4"/>
  <c r="Q117" i="4"/>
  <c r="L117" i="4"/>
  <c r="N103" i="4"/>
  <c r="Q103" i="4"/>
  <c r="L103" i="4"/>
  <c r="L125" i="4"/>
  <c r="N125" i="4"/>
  <c r="Q125" i="4"/>
  <c r="L104" i="4"/>
  <c r="N104" i="4"/>
  <c r="Q104" i="4"/>
  <c r="N90" i="4"/>
  <c r="Q90" i="4" s="1"/>
  <c r="N91" i="4"/>
  <c r="Q91" i="4"/>
  <c r="L91" i="4"/>
  <c r="M91" i="4" s="1"/>
  <c r="L112" i="4"/>
  <c r="N112" i="4"/>
  <c r="Q112" i="4"/>
  <c r="L78" i="4"/>
  <c r="N127" i="4"/>
  <c r="Q127" i="4"/>
  <c r="N95" i="4"/>
  <c r="Q95" i="4" s="1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87" i="4"/>
  <c r="Q87" i="4" s="1"/>
  <c r="L87" i="4"/>
  <c r="N122" i="4"/>
  <c r="Q122" i="4"/>
  <c r="L122" i="4"/>
  <c r="N74" i="4"/>
  <c r="Q74" i="4" s="1"/>
  <c r="L74" i="4"/>
  <c r="N118" i="4"/>
  <c r="Q118" i="4"/>
  <c r="L118" i="4"/>
  <c r="L94" i="4"/>
  <c r="N94" i="4"/>
  <c r="Q94" i="4" s="1"/>
  <c r="N80" i="4"/>
  <c r="Q80" i="4" s="1"/>
  <c r="N109" i="4"/>
  <c r="Q109" i="4"/>
  <c r="L109" i="4"/>
  <c r="L92" i="4"/>
  <c r="N92" i="4"/>
  <c r="Q92" i="4" s="1"/>
  <c r="N120" i="4"/>
  <c r="Q120" i="4" s="1"/>
  <c r="N111" i="4"/>
  <c r="Q111" i="4"/>
  <c r="L111" i="4"/>
  <c r="N99" i="4"/>
  <c r="Q99" i="4"/>
  <c r="L99" i="4"/>
  <c r="N81" i="4"/>
  <c r="Q81" i="4" s="1"/>
  <c r="O79" i="4" l="1"/>
  <c r="P79" i="4" s="1"/>
  <c r="M80" i="4"/>
  <c r="O81" i="4"/>
  <c r="P81" i="4" s="1"/>
  <c r="M74" i="4"/>
  <c r="L114" i="4"/>
  <c r="M114" i="4" s="1"/>
  <c r="L81" i="4"/>
  <c r="O96" i="4"/>
  <c r="P96" i="4" s="1"/>
  <c r="L107" i="4"/>
  <c r="M107" i="4" s="1"/>
  <c r="O84" i="4"/>
  <c r="P84" i="4" s="1"/>
  <c r="L82" i="4"/>
  <c r="O72" i="4"/>
  <c r="P72" i="4" s="1"/>
  <c r="M79" i="4"/>
  <c r="L126" i="4"/>
  <c r="M126" i="4" s="1"/>
  <c r="M77" i="4"/>
  <c r="L73" i="4"/>
  <c r="M96" i="4"/>
  <c r="K124" i="4"/>
  <c r="O124" i="4" s="1"/>
  <c r="P124" i="4" s="1"/>
  <c r="M78" i="4"/>
  <c r="O97" i="4"/>
  <c r="P97" i="4" s="1"/>
  <c r="M75" i="4"/>
  <c r="L76" i="4"/>
  <c r="O78" i="4"/>
  <c r="P78" i="4" s="1"/>
  <c r="L115" i="4"/>
  <c r="M115" i="4" s="1"/>
  <c r="M86" i="4"/>
  <c r="O92" i="4"/>
  <c r="P92" i="4" s="1"/>
  <c r="O94" i="4"/>
  <c r="P94" i="4" s="1"/>
  <c r="M72" i="4"/>
  <c r="O82" i="4"/>
  <c r="P82" i="4" s="1"/>
  <c r="M95" i="4"/>
  <c r="L116" i="4"/>
  <c r="M116" i="4" s="1"/>
  <c r="L85" i="4"/>
  <c r="O87" i="4"/>
  <c r="P87" i="4" s="1"/>
  <c r="M94" i="4"/>
  <c r="N86" i="4"/>
  <c r="Q86" i="4" s="1"/>
  <c r="L121" i="4"/>
  <c r="M121" i="4" s="1"/>
  <c r="O73" i="4"/>
  <c r="P73" i="4" s="1"/>
  <c r="O95" i="4"/>
  <c r="P95" i="4" s="1"/>
  <c r="O77" i="4"/>
  <c r="P77" i="4" s="1"/>
  <c r="L83" i="4"/>
  <c r="O88" i="4"/>
  <c r="P88" i="4" s="1"/>
  <c r="L84" i="4"/>
  <c r="O85" i="4"/>
  <c r="P85" i="4" s="1"/>
  <c r="M92" i="4"/>
  <c r="O76" i="4"/>
  <c r="P76" i="4" s="1"/>
  <c r="M97" i="4"/>
  <c r="M93" i="4"/>
  <c r="O80" i="4"/>
  <c r="P80" i="4" s="1"/>
  <c r="O75" i="4"/>
  <c r="P75" i="4" s="1"/>
  <c r="M87" i="4"/>
  <c r="M90" i="4"/>
  <c r="O83" i="4"/>
  <c r="P83" i="4" s="1"/>
  <c r="M89" i="4"/>
  <c r="O89" i="4"/>
  <c r="P89" i="4" s="1"/>
  <c r="O93" i="4"/>
  <c r="P93" i="4" s="1"/>
  <c r="O90" i="4"/>
  <c r="P90" i="4" s="1"/>
  <c r="O86" i="4"/>
  <c r="P86" i="4" s="1"/>
  <c r="L88" i="4"/>
  <c r="N93" i="4"/>
  <c r="Q93" i="4" s="1"/>
  <c r="J14" i="4"/>
  <c r="J13" i="4" s="1"/>
  <c r="K16" i="4" s="1"/>
  <c r="M81" i="4" l="1"/>
  <c r="M84" i="4"/>
  <c r="M82" i="4"/>
  <c r="M83" i="4"/>
  <c r="M88" i="4"/>
  <c r="M76" i="4"/>
  <c r="M73" i="4"/>
  <c r="M85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8" i="4" l="1"/>
  <c r="P58" i="4" s="1"/>
  <c r="O57" i="4"/>
  <c r="P57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64" i="4" l="1"/>
  <c r="O64" i="4"/>
  <c r="P64" i="4" s="1"/>
  <c r="O65" i="4"/>
  <c r="P65" i="4" s="1"/>
  <c r="O66" i="4"/>
  <c r="P66" i="4" s="1"/>
  <c r="M67" i="4"/>
  <c r="M69" i="4"/>
  <c r="O69" i="4"/>
  <c r="P69" i="4" s="1"/>
  <c r="M66" i="4"/>
  <c r="O67" i="4"/>
  <c r="P67" i="4" s="1"/>
  <c r="M68" i="4"/>
  <c r="O68" i="4"/>
  <c r="P68" i="4" s="1"/>
  <c r="M58" i="4"/>
  <c r="M57" i="4"/>
  <c r="M65" i="4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J45" i="4"/>
  <c r="J30" i="4"/>
  <c r="K30" i="4" s="1"/>
  <c r="J43" i="4"/>
  <c r="L43" i="4" s="1"/>
  <c r="J31" i="4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L30" i="4"/>
  <c r="O49" i="4" l="1"/>
  <c r="P49" i="4" s="1"/>
  <c r="O48" i="4"/>
  <c r="P48" i="4" s="1"/>
  <c r="M48" i="4"/>
  <c r="M49" i="4"/>
  <c r="K43" i="4"/>
  <c r="M43" i="4"/>
  <c r="O45" i="4"/>
  <c r="P45" i="4" s="1"/>
  <c r="M45" i="4"/>
  <c r="M31" i="4"/>
  <c r="O47" i="4"/>
  <c r="P47" i="4" s="1"/>
  <c r="O31" i="4"/>
  <c r="P31" i="4" s="1"/>
  <c r="O33" i="4"/>
  <c r="P33" i="4" s="1"/>
  <c r="M35" i="4"/>
  <c r="O28" i="4"/>
  <c r="P28" i="4" s="1"/>
  <c r="O46" i="4"/>
  <c r="P46" i="4" s="1"/>
  <c r="M44" i="4"/>
  <c r="K35" i="4"/>
  <c r="O43" i="4"/>
  <c r="P43" i="4" s="1"/>
  <c r="O41" i="4"/>
  <c r="P41" i="4" s="1"/>
  <c r="O30" i="4"/>
  <c r="P30" i="4" s="1"/>
  <c r="O39" i="4"/>
  <c r="P39" i="4" s="1"/>
  <c r="M39" i="4"/>
  <c r="K44" i="4"/>
  <c r="L47" i="4"/>
  <c r="K36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37" i="4" l="1"/>
  <c r="P37" i="4" s="1"/>
  <c r="M46" i="4"/>
  <c r="O36" i="4"/>
  <c r="P36" i="4" s="1"/>
  <c r="M47" i="4"/>
  <c r="O44" i="4"/>
  <c r="P44" i="4" s="1"/>
  <c r="O29" i="4"/>
  <c r="P29" i="4" s="1"/>
  <c r="O32" i="4"/>
  <c r="P32" i="4" s="1"/>
  <c r="O38" i="4"/>
  <c r="P38" i="4" s="1"/>
  <c r="O35" i="4"/>
  <c r="P35" i="4" s="1"/>
  <c r="O40" i="4"/>
  <c r="P40" i="4" s="1"/>
  <c r="M33" i="4"/>
  <c r="O34" i="4"/>
  <c r="P34" i="4" s="1"/>
  <c r="O42" i="4"/>
  <c r="P42" i="4" s="1"/>
  <c r="M41" i="4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<sst xmlns="http://schemas.openxmlformats.org/spreadsheetml/2006/main" count="318" uniqueCount="294">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</sst>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31</v>
      </c>
      <c r="K17" s="31" t="s">
        <v>80</v>
      </c>
      <c r="L17" s="81">
        <v>2.2349599999999998E-3</v>
      </c>
      <c r="M17" s="81">
        <v>2.99E-4</v>
      </c>
      <c r="N17" s="81">
        <v>6.6039999999999998E-5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4" zoomScale="70" zoomScaleNormal="70" workbookViewId="0">
      <selection activeCell="R28" sqref="R28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40.014560000000003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39.805315776</v>
      </c>
      <c r="K8" s="39">
        <f>J8/J7</f>
        <v>0.99477079782958999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0.19367440000000002</v>
      </c>
      <c r="K9" s="39">
        <f>J9/J7</f>
        <v>4.8400982042536523E-3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1.5569823999999999E-2</v>
      </c>
      <c r="K10" s="39">
        <f>J10/J7</f>
        <v>3.8910396615631908E-4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40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39.7928</v>
      </c>
      <c r="K14" s="39">
        <f>J14/J13</f>
        <v>0.99482000000000004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0.19200000000000003</v>
      </c>
      <c r="K15" s="39">
        <f>J15/J13</f>
        <v>4.8000000000000004E-3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1.52E-2</v>
      </c>
      <c r="K16" s="39">
        <f>J16/J13</f>
        <v>3.8000000000000002E-4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1.4559999999999998E-2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1.2515775999999999E-2</v>
      </c>
      <c r="K20" s="39">
        <f>J20/J19</f>
        <v>0.85960000000000003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1.6743999999999999E-3</v>
      </c>
      <c r="K21" s="39">
        <f>J21/J19</f>
        <v>0.115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3.6982399999999999E-4</v>
      </c>
      <c r="K22" s="39">
        <f>J22/J19</f>
        <v>2.5400000000000002E-2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114</v>
      </c>
      <c r="C28" s="46" t="s">
        <v>115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0.90045998711992936</v>
      </c>
      <c r="K28" s="95">
        <f t="shared" ref="K28:K47" si="3">IF(D28=0,"",1/(1+10^D28*$J$15/$J$14+10^E28*$J$16/$J$14+10^J28*$J$19/$J$14))</f>
        <v>0.80266300274755764</v>
      </c>
      <c r="L28" s="95">
        <f t="shared" ref="L28:L47" si="4">IF(D28=0,"",1/(1+10^I28/10^J28*$J$13/$J$19))</f>
        <v>2.3353399482292565E-3</v>
      </c>
      <c r="M28" s="95">
        <f t="shared" ref="M28:M47" si="5">IF(D28=0,"",1-L28)</f>
        <v>0.99766466005177079</v>
      </c>
      <c r="N28" s="95">
        <f t="shared" ref="N28:N47" si="6">IF(D28=0,"",1/(1/10^E28*$J$20/$J$22+10^D28/10^E28*$J$21/$J$22+10^I28/10^E28*$J$13/$J$22+1))</f>
        <v>5.9589376034192409E-4</v>
      </c>
      <c r="O28" s="40">
        <f t="shared" ref="O28:O47" si="7">IF(D28=0,"",F28*K28*$J$7/$J$14)</f>
        <v>8.0713613727162481E-7</v>
      </c>
      <c r="P28" s="40">
        <f t="shared" ref="P28:P47" si="8">IF(D28=0,"",O28*10^J28)</f>
        <v>6.4181044284901449E-6</v>
      </c>
      <c r="Q28" s="40">
        <f t="shared" ref="Q28:Q47" si="9">IF(D28=0,"",F28*N28*$J$7/$J$22)</f>
        <v>6.4475065509073354E-5</v>
      </c>
      <c r="R28" s="9">
        <f>F28*$C$14</f>
        <v>3.9999999999999996E-5</v>
      </c>
      <c r="S28" s="9">
        <f>$R28*L28</f>
        <v>9.3413597929170247E-8</v>
      </c>
      <c r="T28" s="9">
        <f>R28*K28</f>
        <v>3.2106520109902304E-5</v>
      </c>
      <c r="U28" s="9">
        <f>$R28*M28</f>
        <v>3.9906586402070829E-5</v>
      </c>
      <c r="V28" s="102">
        <f>K28/M28</f>
        <v>0.80454188154354978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116</v>
      </c>
      <c r="C29" s="46" t="s">
        <v>117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2.7194923137791687</v>
      </c>
      <c r="J29" s="94">
        <f t="shared" si="2"/>
        <v>4.3746696029949694</v>
      </c>
      <c r="K29" s="95">
        <f t="shared" si="3"/>
        <v>1.8670861119983789E-3</v>
      </c>
      <c r="L29" s="95">
        <f t="shared" si="4"/>
        <v>1.6187911722025414E-2</v>
      </c>
      <c r="M29" s="95">
        <f t="shared" si="5"/>
        <v>0.98381208827797462</v>
      </c>
      <c r="N29" s="95">
        <f t="shared" si="6"/>
        <v>1.1883296709737439E-2</v>
      </c>
      <c r="O29" s="40">
        <f t="shared" si="7"/>
        <v>1.8774911354246461E-9</v>
      </c>
      <c r="P29" s="40">
        <f t="shared" si="8"/>
        <v>4.4488472862341336E-5</v>
      </c>
      <c r="Q29" s="40">
        <f t="shared" si="9"/>
        <v>1.2857599538958838E-3</v>
      </c>
      <c r="R29" s="9">
        <f>F29*$C$14</f>
        <v>3.9999999999999996E-5</v>
      </c>
      <c r="S29" s="9">
        <f t="shared" ref="S29:S49" si="10">$R29*L29</f>
        <v>6.4751646888101651E-7</v>
      </c>
      <c r="T29" s="9">
        <f t="shared" ref="T29:T49" si="11">R29*K29</f>
        <v>7.4683444479935145E-8</v>
      </c>
      <c r="U29" s="9">
        <f t="shared" ref="U29:U49" si="12">$R29*M29</f>
        <v>3.9352483531118979E-5</v>
      </c>
      <c r="V29" s="102">
        <f t="shared" ref="V29:V49" si="13">K29/M29</f>
        <v>1.8978076547793306E-3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118</v>
      </c>
      <c r="C30" s="46" t="s">
        <v>119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5.9163420575972845</v>
      </c>
      <c r="J30" s="94">
        <f t="shared" si="2"/>
        <v>7.7182471648455051</v>
      </c>
      <c r="K30" s="95">
        <f t="shared" si="3"/>
        <v>1.1789571678379282E-6</v>
      </c>
      <c r="L30" s="95">
        <f t="shared" si="4"/>
        <v>2.2547690658546581E-2</v>
      </c>
      <c r="M30" s="95">
        <f t="shared" si="5"/>
        <v>0.97745230934145344</v>
      </c>
      <c r="N30" s="95">
        <f t="shared" si="6"/>
        <v>2.1858160958917766E-2</v>
      </c>
      <c r="O30" s="40">
        <f t="shared" si="7"/>
        <v>1.1855273398675351E-12</v>
      </c>
      <c r="P30" s="40">
        <f t="shared" si="8"/>
        <v>6.1966752796555909E-5</v>
      </c>
      <c r="Q30" s="40">
        <f t="shared" si="9"/>
        <v>2.3650295631983662E-3</v>
      </c>
      <c r="R30" s="9">
        <f t="shared" ref="R30:R49" si="14">F30*$C$14</f>
        <v>3.9999999999999996E-5</v>
      </c>
      <c r="S30" s="9">
        <f t="shared" si="10"/>
        <v>9.0190762634186316E-7</v>
      </c>
      <c r="T30" s="9">
        <f t="shared" si="11"/>
        <v>4.7158286713517125E-11</v>
      </c>
      <c r="U30" s="9">
        <f t="shared" si="12"/>
        <v>3.9098092373658131E-5</v>
      </c>
      <c r="V30" s="102">
        <f t="shared" si="13"/>
        <v>1.2061531356268791E-6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112</v>
      </c>
      <c r="C31" s="46" t="s">
        <v>113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1.2852308448323728</v>
      </c>
      <c r="J31" s="94">
        <f t="shared" si="2"/>
        <v>2.8816128275856783</v>
      </c>
      <c r="K31" s="95">
        <f t="shared" si="3"/>
        <v>5.085303642714719E-2</v>
      </c>
      <c r="L31" s="95">
        <f t="shared" si="4"/>
        <v>1.416728377766271E-2</v>
      </c>
      <c r="M31" s="95">
        <f t="shared" si="5"/>
        <v>0.98583271622233726</v>
      </c>
      <c r="N31" s="95">
        <f t="shared" si="6"/>
        <v>9.3481674289845711E-3</v>
      </c>
      <c r="O31" s="40">
        <f t="shared" si="7"/>
        <v>5.1136433658759047E-8</v>
      </c>
      <c r="P31" s="40">
        <f t="shared" si="8"/>
        <v>3.8935276563070845E-5</v>
      </c>
      <c r="Q31" s="40">
        <f t="shared" si="9"/>
        <v>1.0114616857671455E-3</v>
      </c>
      <c r="R31" s="9">
        <f t="shared" si="14"/>
        <v>3.9999999999999996E-5</v>
      </c>
      <c r="S31" s="9">
        <f t="shared" si="10"/>
        <v>5.6669135110650834E-7</v>
      </c>
      <c r="T31" s="9">
        <f t="shared" si="11"/>
        <v>2.0341214570858874E-6</v>
      </c>
      <c r="U31" s="9">
        <f t="shared" si="12"/>
        <v>3.9433308648893485E-5</v>
      </c>
      <c r="V31" s="102">
        <f t="shared" si="13"/>
        <v>5.1583839317093816E-2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120</v>
      </c>
      <c r="C32" s="46" t="s">
        <v>121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3.9109447814528924</v>
      </c>
      <c r="J32" s="94">
        <f t="shared" si="2"/>
        <v>5.5727318227152489</v>
      </c>
      <c r="K32" s="95">
        <f t="shared" si="3"/>
        <v>1.2011688961910906E-4</v>
      </c>
      <c r="L32" s="95">
        <f t="shared" si="4"/>
        <v>1.643208891849569E-2</v>
      </c>
      <c r="M32" s="95">
        <f t="shared" si="5"/>
        <v>0.98356791108150432</v>
      </c>
      <c r="N32" s="95">
        <f t="shared" si="6"/>
        <v>1.2244319974000861E-2</v>
      </c>
      <c r="O32" s="40">
        <f t="shared" si="7"/>
        <v>1.2078628512387208E-10</v>
      </c>
      <c r="P32" s="40">
        <f t="shared" si="8"/>
        <v>4.515953351335721E-5</v>
      </c>
      <c r="Q32" s="40">
        <f t="shared" si="9"/>
        <v>1.3248222837318724E-3</v>
      </c>
      <c r="R32" s="9">
        <f t="shared" si="14"/>
        <v>3.9999999999999996E-5</v>
      </c>
      <c r="S32" s="9">
        <f t="shared" si="10"/>
        <v>6.5728355673982759E-7</v>
      </c>
      <c r="T32" s="9">
        <f t="shared" si="11"/>
        <v>4.804675584764362E-9</v>
      </c>
      <c r="U32" s="9">
        <f t="shared" si="12"/>
        <v>3.934271644326017E-5</v>
      </c>
      <c r="V32" s="102">
        <f t="shared" si="13"/>
        <v>1.221236360659955E-4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122</v>
      </c>
      <c r="C33" s="96" t="s">
        <v>123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3.4646398062685493</v>
      </c>
      <c r="J33" s="94">
        <f t="shared" si="2"/>
        <v>5.0972861639869835</v>
      </c>
      <c r="K33" s="95">
        <f t="shared" si="3"/>
        <v>3.3602565077402868E-4</v>
      </c>
      <c r="L33" s="95">
        <f t="shared" si="4"/>
        <v>1.5382094343121495E-2</v>
      </c>
      <c r="M33" s="95">
        <f t="shared" si="5"/>
        <v>0.98461790565687846</v>
      </c>
      <c r="N33" s="95">
        <f t="shared" si="6"/>
        <v>1.0596270181618409E-2</v>
      </c>
      <c r="O33" s="40">
        <f t="shared" si="7"/>
        <v>3.3789827718673773E-10</v>
      </c>
      <c r="P33" s="40">
        <f t="shared" si="8"/>
        <v>4.2273883036984652E-5</v>
      </c>
      <c r="Q33" s="40">
        <f t="shared" si="9"/>
        <v>1.1465050644592584E-3</v>
      </c>
      <c r="R33" s="9">
        <f t="shared" si="14"/>
        <v>3.9999999999999996E-5</v>
      </c>
      <c r="S33" s="9">
        <f t="shared" si="10"/>
        <v>6.1528377372485974E-7</v>
      </c>
      <c r="T33" s="9">
        <f t="shared" si="11"/>
        <v>1.3441026030961146E-8</v>
      </c>
      <c r="U33" s="9">
        <f t="shared" si="12"/>
        <v>3.9384716226275134E-5</v>
      </c>
      <c r="V33" s="102">
        <f t="shared" si="13"/>
        <v>3.4127517775522513E-4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124</v>
      </c>
      <c r="C34" s="46" t="s">
        <v>125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3.4579829545014036</v>
      </c>
      <c r="J34" s="94">
        <f t="shared" si="2"/>
        <v>5.1106048185108754</v>
      </c>
      <c r="K34" s="95">
        <f t="shared" si="3"/>
        <v>3.4096904665316413E-4</v>
      </c>
      <c r="L34" s="95">
        <f t="shared" si="4"/>
        <v>1.609446888700853E-2</v>
      </c>
      <c r="M34" s="95">
        <f t="shared" si="5"/>
        <v>0.9839055311129915</v>
      </c>
      <c r="N34" s="95">
        <f t="shared" si="6"/>
        <v>1.171638266977023E-2</v>
      </c>
      <c r="O34" s="40">
        <f t="shared" si="7"/>
        <v>3.4286922195587736E-10</v>
      </c>
      <c r="P34" s="40">
        <f t="shared" si="8"/>
        <v>4.4231668334295096E-5</v>
      </c>
      <c r="Q34" s="40">
        <f t="shared" si="9"/>
        <v>1.26770003386065E-3</v>
      </c>
      <c r="R34" s="9">
        <f t="shared" si="14"/>
        <v>3.9999999999999996E-5</v>
      </c>
      <c r="S34" s="9">
        <f t="shared" si="10"/>
        <v>6.4377875548034116E-7</v>
      </c>
      <c r="T34" s="9">
        <f t="shared" si="11"/>
        <v>1.3638761866126564E-8</v>
      </c>
      <c r="U34" s="9">
        <f t="shared" si="12"/>
        <v>3.9356221244519654E-5</v>
      </c>
      <c r="V34" s="102">
        <f t="shared" si="13"/>
        <v>3.4654652898176186E-4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126</v>
      </c>
      <c r="C35" s="46" t="s">
        <v>127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0.62193942428688143</v>
      </c>
      <c r="J35" s="94">
        <f t="shared" si="2"/>
        <v>2.0266602459751883</v>
      </c>
      <c r="K35" s="95">
        <f t="shared" si="3"/>
        <v>0.23540151464838327</v>
      </c>
      <c r="L35" s="95">
        <f t="shared" si="4"/>
        <v>9.1585427032309218E-3</v>
      </c>
      <c r="M35" s="95">
        <f t="shared" si="5"/>
        <v>0.99084145729676909</v>
      </c>
      <c r="N35" s="95">
        <f t="shared" si="6"/>
        <v>3.8911488587227484E-3</v>
      </c>
      <c r="O35" s="40">
        <f t="shared" si="7"/>
        <v>2.3671337608785036E-7</v>
      </c>
      <c r="P35" s="40">
        <f t="shared" si="8"/>
        <v>2.516999014498599E-5</v>
      </c>
      <c r="Q35" s="40">
        <f t="shared" si="9"/>
        <v>4.2101813153362937E-4</v>
      </c>
      <c r="R35" s="9">
        <f t="shared" si="14"/>
        <v>3.9999999999999996E-5</v>
      </c>
      <c r="S35" s="9">
        <f t="shared" si="10"/>
        <v>3.6634170812923683E-7</v>
      </c>
      <c r="T35" s="9">
        <f t="shared" si="11"/>
        <v>9.4160605859353294E-6</v>
      </c>
      <c r="U35" s="9">
        <f t="shared" si="12"/>
        <v>3.963365829187076E-5</v>
      </c>
      <c r="V35" s="102">
        <f t="shared" si="13"/>
        <v>0.23757737720281685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6.3597288158186656</v>
      </c>
      <c r="J36" s="94">
        <f t="shared" si="2"/>
        <v>8.1633023372775089</v>
      </c>
      <c r="K36" s="95">
        <f t="shared" si="3"/>
        <v>4.2469151028762909E-7</v>
      </c>
      <c r="L36" s="95">
        <f t="shared" si="4"/>
        <v>2.2632513730821025E-2</v>
      </c>
      <c r="M36" s="95">
        <f t="shared" si="5"/>
        <v>0.97736748626917902</v>
      </c>
      <c r="N36" s="95">
        <f t="shared" si="6"/>
        <v>2.1991516156431582E-2</v>
      </c>
      <c r="O36" s="40">
        <f t="shared" si="7"/>
        <v>4.2705825978304996E-13</v>
      </c>
      <c r="P36" s="40">
        <f t="shared" si="8"/>
        <v>6.2199868037964511E-5</v>
      </c>
      <c r="Q36" s="40">
        <f t="shared" si="9"/>
        <v>2.3794584524868614E-3</v>
      </c>
      <c r="R36" s="9">
        <f t="shared" si="14"/>
        <v>3.9999999999999996E-5</v>
      </c>
      <c r="S36" s="9">
        <f t="shared" si="10"/>
        <v>9.0530054923284091E-7</v>
      </c>
      <c r="T36" s="9">
        <f t="shared" si="11"/>
        <v>1.6987660411505162E-11</v>
      </c>
      <c r="U36" s="9">
        <f t="shared" si="12"/>
        <v>3.9094699450767157E-5</v>
      </c>
      <c r="V36" s="102">
        <f t="shared" si="13"/>
        <v>4.3452592423425861E-7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128</v>
      </c>
      <c r="C37" s="96" t="s">
        <v>129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2.0466328175843658</v>
      </c>
      <c r="J37" s="94">
        <f t="shared" si="2"/>
        <v>3.6764953216012835</v>
      </c>
      <c r="K37" s="95">
        <f t="shared" si="3"/>
        <v>8.7987728526544903E-3</v>
      </c>
      <c r="L37" s="95">
        <f t="shared" si="4"/>
        <v>1.5285311851126207E-2</v>
      </c>
      <c r="M37" s="95">
        <f t="shared" si="5"/>
        <v>0.98471468814887375</v>
      </c>
      <c r="N37" s="95">
        <f t="shared" si="6"/>
        <v>1.05549869004864E-2</v>
      </c>
      <c r="O37" s="40">
        <f t="shared" si="7"/>
        <v>8.8478072475149855E-9</v>
      </c>
      <c r="P37" s="40">
        <f t="shared" si="8"/>
        <v>4.200790028747263E-5</v>
      </c>
      <c r="Q37" s="40">
        <f t="shared" si="9"/>
        <v>1.1420382577353744E-3</v>
      </c>
      <c r="R37" s="9">
        <f t="shared" si="14"/>
        <v>3.9999999999999996E-5</v>
      </c>
      <c r="S37" s="9">
        <f t="shared" si="10"/>
        <v>6.114124740450482E-7</v>
      </c>
      <c r="T37" s="9">
        <f t="shared" si="11"/>
        <v>3.5195091410617956E-7</v>
      </c>
      <c r="U37" s="9">
        <f t="shared" si="12"/>
        <v>3.9388587525954946E-5</v>
      </c>
      <c r="V37" s="102">
        <f t="shared" si="13"/>
        <v>8.9353525021495881E-3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130</v>
      </c>
      <c r="C38" s="46" t="s">
        <v>131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0.75425121724867172</v>
      </c>
      <c r="J38" s="94">
        <f t="shared" si="2"/>
        <v>2.2428373428324342</v>
      </c>
      <c r="K38" s="95">
        <f t="shared" si="3"/>
        <v>0.17324113757344525</v>
      </c>
      <c r="L38" s="95">
        <f t="shared" si="4"/>
        <v>1.1087796474276445E-2</v>
      </c>
      <c r="M38" s="95">
        <f t="shared" si="5"/>
        <v>0.98891220352572351</v>
      </c>
      <c r="N38" s="95">
        <f t="shared" si="6"/>
        <v>6.1099916860445818E-3</v>
      </c>
      <c r="O38" s="40">
        <f t="shared" si="7"/>
        <v>1.7420658747061982E-7</v>
      </c>
      <c r="P38" s="40">
        <f t="shared" si="8"/>
        <v>3.0472067121409578E-5</v>
      </c>
      <c r="Q38" s="40">
        <f t="shared" si="9"/>
        <v>6.6109454475840428E-4</v>
      </c>
      <c r="R38" s="9">
        <f t="shared" si="14"/>
        <v>3.9999999999999996E-5</v>
      </c>
      <c r="S38" s="9">
        <f t="shared" si="10"/>
        <v>4.4351185897105778E-7</v>
      </c>
      <c r="T38" s="9">
        <f t="shared" si="11"/>
        <v>6.9296455029378093E-6</v>
      </c>
      <c r="U38" s="9">
        <f t="shared" si="12"/>
        <v>3.955648814102894E-5</v>
      </c>
      <c r="V38" s="102">
        <f t="shared" si="13"/>
        <v>0.17518353697709113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-1.6810051832329899E-4</v>
      </c>
      <c r="J39" s="94">
        <f t="shared" si="2"/>
        <v>-1.0896576855994921E-2</v>
      </c>
      <c r="K39" s="95">
        <f t="shared" si="3"/>
        <v>0.99485184530102755</v>
      </c>
      <c r="L39" s="95">
        <f t="shared" si="4"/>
        <v>3.5499211672121607E-4</v>
      </c>
      <c r="M39" s="95">
        <f t="shared" si="5"/>
        <v>0.99964500788327881</v>
      </c>
      <c r="N39" s="95">
        <f t="shared" si="6"/>
        <v>4.4785353062663886E-7</v>
      </c>
      <c r="O39" s="40">
        <f t="shared" si="7"/>
        <v>1.0003960227706693E-6</v>
      </c>
      <c r="P39" s="40">
        <f t="shared" si="8"/>
        <v>9.7560806003215002E-7</v>
      </c>
      <c r="Q39" s="40">
        <f t="shared" si="9"/>
        <v>4.8457271492578847E-8</v>
      </c>
      <c r="R39" s="9">
        <f t="shared" si="14"/>
        <v>3.9999999999999996E-5</v>
      </c>
      <c r="S39" s="9">
        <f t="shared" si="10"/>
        <v>1.4199684668848641E-8</v>
      </c>
      <c r="T39" s="9">
        <f t="shared" si="11"/>
        <v>3.97940738120411E-5</v>
      </c>
      <c r="U39" s="9">
        <f t="shared" si="12"/>
        <v>3.9985800315331148E-5</v>
      </c>
      <c r="V39" s="102">
        <f t="shared" si="13"/>
        <v>0.99520513527857191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132</v>
      </c>
      <c r="C40" s="46" t="s">
        <v>133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1.0570731161685156</v>
      </c>
      <c r="J40" s="94">
        <f t="shared" si="2"/>
        <v>2.5350986776322402</v>
      </c>
      <c r="K40" s="95">
        <f t="shared" si="3"/>
        <v>8.6286891654187389E-2</v>
      </c>
      <c r="L40" s="95">
        <f t="shared" si="4"/>
        <v>1.0824313897147483E-2</v>
      </c>
      <c r="M40" s="95">
        <f t="shared" si="5"/>
        <v>0.98917568610285256</v>
      </c>
      <c r="N40" s="95">
        <f t="shared" si="6"/>
        <v>4.5563850369781658E-3</v>
      </c>
      <c r="O40" s="40">
        <f t="shared" si="7"/>
        <v>8.6767757064342798E-8</v>
      </c>
      <c r="P40" s="40">
        <f t="shared" si="8"/>
        <v>2.9747950404961672E-5</v>
      </c>
      <c r="Q40" s="40">
        <f t="shared" si="9"/>
        <v>4.9299597226049431E-4</v>
      </c>
      <c r="R40" s="9">
        <f t="shared" si="14"/>
        <v>3.9999999999999996E-5</v>
      </c>
      <c r="S40" s="9">
        <f t="shared" si="10"/>
        <v>4.3297255588589931E-7</v>
      </c>
      <c r="T40" s="9">
        <f t="shared" si="11"/>
        <v>3.4514756661674952E-6</v>
      </c>
      <c r="U40" s="9">
        <f t="shared" si="12"/>
        <v>3.9567027444114102E-5</v>
      </c>
      <c r="V40" s="102">
        <f t="shared" si="13"/>
        <v>8.7231108554780473E-2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134</v>
      </c>
      <c r="C41" s="96" t="s">
        <v>135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1.1393826628828596</v>
      </c>
      <c r="J41" s="94">
        <f t="shared" si="2"/>
        <v>2.6183785550286847</v>
      </c>
      <c r="K41" s="95">
        <f t="shared" si="3"/>
        <v>7.1387925709621089E-2</v>
      </c>
      <c r="L41" s="95">
        <f t="shared" si="4"/>
        <v>1.0848262710791153E-2</v>
      </c>
      <c r="M41" s="95">
        <f t="shared" si="5"/>
        <v>0.9891517372892088</v>
      </c>
      <c r="N41" s="95">
        <f t="shared" si="6"/>
        <v>4.3988216662198586E-3</v>
      </c>
      <c r="O41" s="40">
        <f t="shared" si="7"/>
        <v>7.1785761157374604E-8</v>
      </c>
      <c r="P41" s="40">
        <f t="shared" si="8"/>
        <v>2.9813767797851343E-5</v>
      </c>
      <c r="Q41" s="40">
        <f t="shared" si="9"/>
        <v>4.7594778460093045E-4</v>
      </c>
      <c r="R41" s="9">
        <f t="shared" si="14"/>
        <v>3.9999999999999996E-5</v>
      </c>
      <c r="S41" s="9">
        <f t="shared" si="10"/>
        <v>4.3393050843164604E-7</v>
      </c>
      <c r="T41" s="9">
        <f t="shared" si="11"/>
        <v>2.8555170283848434E-6</v>
      </c>
      <c r="U41" s="9">
        <f t="shared" si="12"/>
        <v>3.956606949156835E-5</v>
      </c>
      <c r="V41" s="102">
        <f t="shared" si="13"/>
        <v>7.2170854094904799E-2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136</v>
      </c>
      <c r="C42" s="46" t="s">
        <v>137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2.466507651261447</v>
      </c>
      <c r="J42" s="94">
        <f t="shared" si="2"/>
        <v>4.1487686637317767</v>
      </c>
      <c r="K42" s="95">
        <f t="shared" si="3"/>
        <v>3.3396184996346218E-3</v>
      </c>
      <c r="L42" s="95">
        <f t="shared" si="4"/>
        <v>1.7211645704878313E-2</v>
      </c>
      <c r="M42" s="95">
        <f t="shared" si="5"/>
        <v>0.98278835429512168</v>
      </c>
      <c r="N42" s="95">
        <f t="shared" si="6"/>
        <v>1.3512180890780996E-2</v>
      </c>
      <c r="O42" s="40">
        <f t="shared" si="7"/>
        <v>3.3582297508780367E-9</v>
      </c>
      <c r="P42" s="40">
        <f t="shared" si="8"/>
        <v>4.73019525931728E-5</v>
      </c>
      <c r="Q42" s="40">
        <f t="shared" si="9"/>
        <v>1.4620034745852343E-3</v>
      </c>
      <c r="R42" s="9">
        <f t="shared" si="14"/>
        <v>3.9999999999999996E-5</v>
      </c>
      <c r="S42" s="9">
        <f t="shared" si="10"/>
        <v>6.8846582819513244E-7</v>
      </c>
      <c r="T42" s="9">
        <f t="shared" si="11"/>
        <v>1.3358473998538487E-7</v>
      </c>
      <c r="U42" s="9">
        <f t="shared" si="12"/>
        <v>3.9311534171804863E-5</v>
      </c>
      <c r="V42" s="102">
        <f t="shared" si="13"/>
        <v>3.3981054873507052E-3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138</v>
      </c>
      <c r="C43" s="46" t="s">
        <v>139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2.2273249528367836</v>
      </c>
      <c r="J43" s="94">
        <f t="shared" si="2"/>
        <v>3.8654689347124402</v>
      </c>
      <c r="K43" s="95">
        <f t="shared" si="3"/>
        <v>5.8023268608084254E-3</v>
      </c>
      <c r="L43" s="95">
        <f t="shared" si="4"/>
        <v>1.5574998040801839E-2</v>
      </c>
      <c r="M43" s="95">
        <f t="shared" si="5"/>
        <v>0.98442500195919813</v>
      </c>
      <c r="N43" s="95">
        <f t="shared" si="6"/>
        <v>1.0971191170562937E-2</v>
      </c>
      <c r="O43" s="40">
        <f t="shared" si="7"/>
        <v>5.834662459325064E-9</v>
      </c>
      <c r="P43" s="40">
        <f t="shared" si="8"/>
        <v>4.2804031154089879E-5</v>
      </c>
      <c r="Q43" s="40">
        <f t="shared" si="9"/>
        <v>1.1870711131942786E-3</v>
      </c>
      <c r="R43" s="9">
        <f t="shared" si="14"/>
        <v>3.9999999999999996E-5</v>
      </c>
      <c r="S43" s="9">
        <f t="shared" si="10"/>
        <v>6.2299992163207349E-7</v>
      </c>
      <c r="T43" s="9">
        <f t="shared" si="11"/>
        <v>2.3209307443233699E-7</v>
      </c>
      <c r="U43" s="9">
        <f t="shared" si="12"/>
        <v>3.9377000078367921E-5</v>
      </c>
      <c r="V43" s="102">
        <f t="shared" si="13"/>
        <v>5.8941278911655648E-3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0.70532975413914478</v>
      </c>
      <c r="J44" s="94">
        <f t="shared" si="2"/>
        <v>2.1853806972032932</v>
      </c>
      <c r="K44" s="95">
        <f t="shared" si="3"/>
        <v>0.19393947361795397</v>
      </c>
      <c r="L44" s="95">
        <f t="shared" si="4"/>
        <v>1.0874361982793578E-2</v>
      </c>
      <c r="M44" s="95">
        <f t="shared" si="5"/>
        <v>0.98912563801720643</v>
      </c>
      <c r="N44" s="95">
        <f t="shared" si="6"/>
        <v>6.0456194301295087E-3</v>
      </c>
      <c r="O44" s="40">
        <f t="shared" si="7"/>
        <v>1.9502027259841069E-7</v>
      </c>
      <c r="P44" s="40">
        <f t="shared" si="8"/>
        <v>2.9885495193833292E-5</v>
      </c>
      <c r="Q44" s="40">
        <f t="shared" si="9"/>
        <v>6.5412953573614223E-4</v>
      </c>
      <c r="R44" s="9">
        <f t="shared" si="14"/>
        <v>3.9999999999999996E-5</v>
      </c>
      <c r="S44" s="9">
        <f t="shared" si="10"/>
        <v>4.349744793117431E-7</v>
      </c>
      <c r="T44" s="9">
        <f t="shared" si="11"/>
        <v>7.7575789447181585E-6</v>
      </c>
      <c r="U44" s="9">
        <f t="shared" si="12"/>
        <v>3.9565025520688256E-5</v>
      </c>
      <c r="V44" s="102">
        <f t="shared" si="13"/>
        <v>0.19607162746961401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140</v>
      </c>
      <c r="C45" s="46" t="s">
        <v>141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2.3272580136650043</v>
      </c>
      <c r="J45" s="94">
        <f t="shared" si="2"/>
        <v>3.9072949503750687</v>
      </c>
      <c r="K45" s="95">
        <f t="shared" si="3"/>
        <v>4.6186711532807635E-3</v>
      </c>
      <c r="L45" s="95">
        <f t="shared" si="4"/>
        <v>1.3651138347961334E-2</v>
      </c>
      <c r="M45" s="95">
        <f t="shared" si="5"/>
        <v>0.98634886165203861</v>
      </c>
      <c r="N45" s="95">
        <f t="shared" si="6"/>
        <v>7.9308481439715871E-3</v>
      </c>
      <c r="O45" s="40">
        <f t="shared" si="7"/>
        <v>4.6444103954288794E-9</v>
      </c>
      <c r="P45" s="40">
        <f t="shared" si="8"/>
        <v>3.7516778467912058E-5</v>
      </c>
      <c r="Q45" s="40">
        <f t="shared" si="9"/>
        <v>8.5810925983127045E-4</v>
      </c>
      <c r="R45" s="9">
        <f t="shared" si="14"/>
        <v>3.9999999999999996E-5</v>
      </c>
      <c r="S45" s="9">
        <f t="shared" si="10"/>
        <v>5.4604553391845333E-7</v>
      </c>
      <c r="T45" s="9">
        <f t="shared" si="11"/>
        <v>1.8474684613123053E-7</v>
      </c>
      <c r="U45" s="9">
        <f t="shared" si="12"/>
        <v>3.9453954466081539E-5</v>
      </c>
      <c r="V45" s="102">
        <f t="shared" si="13"/>
        <v>4.6825938903046309E-3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0.64458903464573347</v>
      </c>
      <c r="J46" s="94">
        <f t="shared" si="2"/>
        <v>2.1028585007358584</v>
      </c>
      <c r="K46" s="95">
        <f t="shared" si="3"/>
        <v>0.2231711295361358</v>
      </c>
      <c r="L46" s="95">
        <f t="shared" si="4"/>
        <v>1.0347927757913348E-2</v>
      </c>
      <c r="M46" s="95">
        <f t="shared" si="5"/>
        <v>0.98965207224208662</v>
      </c>
      <c r="N46" s="95">
        <f t="shared" si="6"/>
        <v>5.6009359204784205E-3</v>
      </c>
      <c r="O46" s="40">
        <f t="shared" si="7"/>
        <v>2.2441483266046816E-7</v>
      </c>
      <c r="P46" s="40">
        <f t="shared" si="8"/>
        <v>2.8438720889058328E-5</v>
      </c>
      <c r="Q46" s="40">
        <f t="shared" si="9"/>
        <v>6.0601525711186674E-4</v>
      </c>
      <c r="R46" s="9">
        <f t="shared" si="14"/>
        <v>3.9999999999999996E-5</v>
      </c>
      <c r="S46" s="9">
        <f t="shared" si="10"/>
        <v>4.1391711031653387E-7</v>
      </c>
      <c r="T46" s="9">
        <f t="shared" si="11"/>
        <v>8.9268451814454319E-6</v>
      </c>
      <c r="U46" s="9">
        <f t="shared" si="12"/>
        <v>3.9586082889683463E-5</v>
      </c>
      <c r="V46" s="102">
        <f t="shared" si="13"/>
        <v>0.22550463521036729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142</v>
      </c>
      <c r="C47" s="46" t="s">
        <v>143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1.6299602750984028</v>
      </c>
      <c r="J47" s="94">
        <f t="shared" si="2"/>
        <v>3.1127564089177628</v>
      </c>
      <c r="K47" s="95">
        <f t="shared" si="3"/>
        <v>2.3067777079538325E-2</v>
      </c>
      <c r="L47" s="95">
        <f t="shared" si="4"/>
        <v>1.0942562368924234E-2</v>
      </c>
      <c r="M47" s="95">
        <f t="shared" si="5"/>
        <v>0.98905743763107579</v>
      </c>
      <c r="N47" s="95">
        <f t="shared" si="6"/>
        <v>3.9139595980303169E-3</v>
      </c>
      <c r="O47" s="40">
        <f t="shared" si="7"/>
        <v>2.3196330743647372E-8</v>
      </c>
      <c r="P47" s="40">
        <f t="shared" si="8"/>
        <v>3.007292709238058E-5</v>
      </c>
      <c r="Q47" s="40">
        <f t="shared" si="9"/>
        <v>4.2348622905208962E-4</v>
      </c>
      <c r="R47" s="9">
        <f t="shared" si="14"/>
        <v>3.9999999999999996E-5</v>
      </c>
      <c r="S47" s="9">
        <f t="shared" si="10"/>
        <v>4.3770249475696931E-7</v>
      </c>
      <c r="T47" s="9">
        <f t="shared" si="11"/>
        <v>9.2271108318153286E-7</v>
      </c>
      <c r="U47" s="9">
        <f t="shared" si="12"/>
        <v>3.9562297505243028E-5</v>
      </c>
      <c r="V47" s="102">
        <f t="shared" si="13"/>
        <v>2.3322990356140206E-2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144</v>
      </c>
      <c r="C48" s="46" t="s">
        <v>145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1.2686445962783865</v>
      </c>
      <c r="K48" s="95">
        <f t="shared" ref="K48:K50" si="17">IF(D48=0,"",1/(1+10^D48*$J$15/$J$14+10^E48*$J$16/$J$14+10^J48*$J$19/$J$14))</f>
        <v>0.62654778398334077</v>
      </c>
      <c r="L48" s="95">
        <f t="shared" ref="L48:L50" si="18">IF(D48=0,"",1/(1+10^I48/10^J48*$J$13/$J$19))</f>
        <v>4.2555497338799056E-3</v>
      </c>
      <c r="M48" s="95">
        <f t="shared" ref="M48:M92" si="19">IF(D48=0,"",1-L48)</f>
        <v>0.99574445026612013</v>
      </c>
      <c r="N48" s="95">
        <f t="shared" ref="N48:N50" si="20">IF(D48=0,"",1/(1/10^E48*$J$20/$J$22+10^D48/10^E48*$J$21/$J$22+10^I48/10^E48*$J$13/$J$22+1))</f>
        <v>1.3073949127894639E-3</v>
      </c>
      <c r="O48" s="40">
        <f t="shared" ref="O48:O92" si="21">IF(D48=0,"",F48*K48*$J$7/$J$14)</f>
        <v>6.3003945173670687E-7</v>
      </c>
      <c r="P48" s="40">
        <f t="shared" ref="P48:P50" si="22">IF(D48=0,"",O48*10^J48)</f>
        <v>1.1695326247206151E-5</v>
      </c>
      <c r="Q48" s="40">
        <f t="shared" ref="Q48:Q50" si="23">IF(D48=0,"",F48*N48*$J$7/$J$22)</f>
        <v>1.4145872680385474E-4</v>
      </c>
      <c r="R48" s="9">
        <f t="shared" si="14"/>
        <v>3.9999999999999996E-5</v>
      </c>
      <c r="S48" s="9">
        <f t="shared" si="10"/>
        <v>1.7022198935519621E-7</v>
      </c>
      <c r="T48" s="9">
        <f t="shared" si="11"/>
        <v>2.5061911359333628E-5</v>
      </c>
      <c r="U48" s="9">
        <f t="shared" si="12"/>
        <v>3.9829778010644801E-5</v>
      </c>
      <c r="V48" s="102">
        <f t="shared" si="13"/>
        <v>0.62922548432571346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146</v>
      </c>
      <c r="C49" s="46" t="s">
        <v>147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6.5352597387686409E-2</v>
      </c>
      <c r="J49" s="94">
        <f t="shared" si="16"/>
        <v>0.78059756535561797</v>
      </c>
      <c r="K49" s="95">
        <f t="shared" si="17"/>
        <v>0.85422462399806731</v>
      </c>
      <c r="L49" s="95">
        <f t="shared" si="18"/>
        <v>1.8859341623038051E-3</v>
      </c>
      <c r="M49" s="95">
        <f t="shared" si="19"/>
        <v>0.99811406583769624</v>
      </c>
      <c r="N49" s="95">
        <f t="shared" si="20"/>
        <v>5.6490403752645967E-4</v>
      </c>
      <c r="O49" s="40">
        <f t="shared" si="21"/>
        <v>8.589851046030465E-7</v>
      </c>
      <c r="P49" s="40">
        <f t="shared" si="22"/>
        <v>5.1830237426892418E-6</v>
      </c>
      <c r="Q49" s="40">
        <f t="shared" si="23"/>
        <v>6.1122010750640235E-5</v>
      </c>
      <c r="R49" s="9">
        <f t="shared" si="14"/>
        <v>3.9999999999999996E-5</v>
      </c>
      <c r="S49" s="9">
        <f t="shared" si="10"/>
        <v>7.5437366492152195E-8</v>
      </c>
      <c r="T49" s="9">
        <f t="shared" si="11"/>
        <v>3.4168984959922687E-5</v>
      </c>
      <c r="U49" s="9">
        <f t="shared" si="12"/>
        <v>3.9924562633507844E-5</v>
      </c>
      <c r="V49" s="102">
        <f t="shared" si="13"/>
        <v>0.85583867940097058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148</v>
      </c>
      <c r="C50" s="46" t="s">
        <v>149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150</v>
      </c>
      <c r="C51" s="46" t="s">
        <v>151</v>
      </c>
      <c r="D51" s="91"/>
      <c r="E51" s="91"/>
      <c r="F51" s="92"/>
      <c r="G51" s="170"/>
      <c r="H51" s="17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152</v>
      </c>
      <c r="C52" s="46" t="s">
        <v>153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154</v>
      </c>
      <c r="C53" s="46" t="s">
        <v>155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156</v>
      </c>
      <c r="C54" s="46" t="s">
        <v>157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158</v>
      </c>
      <c r="C55" s="46" t="s">
        <v>159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160</v>
      </c>
      <c r="C56" s="46" t="s">
        <v>161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3.7217650281818146E-4</v>
      </c>
      <c r="J57" s="54">
        <f t="shared" si="25"/>
        <v>1.0273074416240108E-2</v>
      </c>
      <c r="K57" s="55">
        <f t="shared" si="26"/>
        <v>0.99359782668411722</v>
      </c>
      <c r="L57" s="55">
        <f t="shared" si="27"/>
        <v>3.7225503719973385E-4</v>
      </c>
      <c r="M57" s="55">
        <f t="shared" si="28"/>
        <v>0.99962774496280027</v>
      </c>
      <c r="N57" s="55">
        <f t="shared" si="29"/>
        <v>1.1158793103707742E-5</v>
      </c>
      <c r="O57" s="56">
        <f t="shared" si="30"/>
        <v>9.9913501567422272E-7</v>
      </c>
      <c r="P57" s="56">
        <f t="shared" si="31"/>
        <v>1.0230509286628423E-6</v>
      </c>
      <c r="Q57" s="56">
        <f t="shared" si="32"/>
        <v>1.207369441074402E-6</v>
      </c>
      <c r="R57" s="9">
        <f t="shared" ref="R57:R58" si="33">F57*$C$14</f>
        <v>3.9999999999999996E-5</v>
      </c>
      <c r="S57" s="9">
        <f t="shared" ref="S57:S58" si="34">$R57*L57</f>
        <v>1.4890201487989352E-8</v>
      </c>
      <c r="T57" s="9">
        <f t="shared" ref="T57:T58" si="35">R57*K57</f>
        <v>3.9743913067364686E-5</v>
      </c>
      <c r="U57" s="9">
        <f t="shared" ref="U57:U58" si="36">$R57*M57</f>
        <v>3.9985109798512009E-5</v>
      </c>
      <c r="V57" s="102">
        <f t="shared" ref="V57:V58" si="37">K57/M57</f>
        <v>0.99396783621796392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162</v>
      </c>
      <c r="C58" s="46" t="s">
        <v>163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0.27242732253974722</v>
      </c>
      <c r="J58" s="54">
        <f t="shared" si="25"/>
        <v>1.450287820543547</v>
      </c>
      <c r="K58" s="55">
        <f t="shared" si="26"/>
        <v>0.52837560772659686</v>
      </c>
      <c r="L58" s="55">
        <f t="shared" si="27"/>
        <v>5.4523968314499445E-3</v>
      </c>
      <c r="M58" s="55">
        <f t="shared" si="28"/>
        <v>0.99454760316855007</v>
      </c>
      <c r="N58" s="55">
        <f t="shared" si="29"/>
        <v>1.9028403530609364E-3</v>
      </c>
      <c r="O58" s="56">
        <f t="shared" si="30"/>
        <v>5.3132017495407146E-7</v>
      </c>
      <c r="P58" s="56">
        <f t="shared" si="31"/>
        <v>1.4984564571144491E-5</v>
      </c>
      <c r="Q58" s="56">
        <f t="shared" si="32"/>
        <v>2.0588528456232704E-4</v>
      </c>
      <c r="R58" s="9">
        <f t="shared" si="33"/>
        <v>3.9999999999999996E-5</v>
      </c>
      <c r="S58" s="9">
        <f t="shared" si="34"/>
        <v>2.1809587325799775E-7</v>
      </c>
      <c r="T58" s="9">
        <f t="shared" si="35"/>
        <v>2.1135024309063873E-5</v>
      </c>
      <c r="U58" s="9">
        <f t="shared" si="36"/>
        <v>3.9781904126741998E-5</v>
      </c>
      <c r="V58" s="102">
        <f t="shared" si="37"/>
        <v>0.53127231521471063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164</v>
      </c>
      <c r="C59" s="46" t="s">
        <v>165</v>
      </c>
      <c r="D59" s="47"/>
      <c r="E59" s="47"/>
      <c r="F59" s="57"/>
      <c r="G59" s="170"/>
      <c r="H59" s="17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24"/>
        <v>0.35062624883359406</v>
      </c>
      <c r="J60" s="54">
        <f t="shared" si="25"/>
        <v>1.5653421395421836</v>
      </c>
      <c r="K60" s="55">
        <f t="shared" si="26"/>
        <v>0.44109705831215124</v>
      </c>
      <c r="L60" s="55">
        <f t="shared" si="27"/>
        <v>5.9324375732727648E-3</v>
      </c>
      <c r="M60" s="55">
        <f t="shared" si="28"/>
        <v>0.99406756242672722</v>
      </c>
      <c r="N60" s="55">
        <f t="shared" si="29"/>
        <v>1.5140065496175616E-3</v>
      </c>
      <c r="O60" s="56">
        <f t="shared" si="30"/>
        <v>4.4355523375221333E-7</v>
      </c>
      <c r="P60" s="56">
        <f t="shared" si="31"/>
        <v>1.63038378586523E-5</v>
      </c>
      <c r="Q60" s="56">
        <f t="shared" si="32"/>
        <v>1.6381388422618569E-4</v>
      </c>
      <c r="R60" s="9">
        <f t="shared" ref="R60:R65" si="38">F60*$C$14</f>
        <v>3.9999999999999996E-5</v>
      </c>
      <c r="S60" s="9">
        <f t="shared" ref="S60:S93" si="39">$R60*L60</f>
        <v>2.3729750293091058E-7</v>
      </c>
      <c r="T60" s="9">
        <f t="shared" ref="T60:T93" si="40">R60*K60</f>
        <v>1.7643882332486049E-5</v>
      </c>
      <c r="U60" s="9">
        <f t="shared" ref="U60:U93" si="41">$R60*M60</f>
        <v>3.9762702497069085E-5</v>
      </c>
      <c r="V60" s="102">
        <f t="shared" ref="V60:V93" si="42">K60/M60</f>
        <v>0.44372945560696186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24"/>
        <v>1.0599296125914559</v>
      </c>
      <c r="J61" s="54">
        <f t="shared" si="25"/>
        <v>2.5062826664965989</v>
      </c>
      <c r="K61" s="55">
        <f t="shared" si="26"/>
        <v>8.5786526668222521E-2</v>
      </c>
      <c r="L61" s="55">
        <f t="shared" si="27"/>
        <v>1.0070676068941463E-2</v>
      </c>
      <c r="M61" s="55">
        <f t="shared" si="28"/>
        <v>0.98992932393105859</v>
      </c>
      <c r="N61" s="55">
        <f t="shared" si="29"/>
        <v>3.3649039883156557E-3</v>
      </c>
      <c r="O61" s="56">
        <f t="shared" si="30"/>
        <v>8.6264603610632842E-8</v>
      </c>
      <c r="P61" s="56">
        <f t="shared" si="31"/>
        <v>2.7676763173160881E-5</v>
      </c>
      <c r="Q61" s="56">
        <f t="shared" si="32"/>
        <v>3.640790011862294E-4</v>
      </c>
      <c r="R61" s="9">
        <f t="shared" si="38"/>
        <v>3.9999999999999996E-5</v>
      </c>
      <c r="S61" s="9">
        <f t="shared" si="39"/>
        <v>4.0282704275765846E-7</v>
      </c>
      <c r="T61" s="9">
        <f t="shared" si="40"/>
        <v>3.4314610667289003E-6</v>
      </c>
      <c r="U61" s="9">
        <f t="shared" si="41"/>
        <v>3.959717295724234E-5</v>
      </c>
      <c r="V61" s="102">
        <f t="shared" si="42"/>
        <v>8.6659243841327935E-2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166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24"/>
        <v>0.76837016932652724</v>
      </c>
      <c r="J62" s="54">
        <f t="shared" si="25"/>
        <v>2.2027177618564382</v>
      </c>
      <c r="K62" s="55">
        <f t="shared" si="26"/>
        <v>0.16791820819725273</v>
      </c>
      <c r="L62" s="55">
        <f t="shared" si="27"/>
        <v>9.7987895210698665E-3</v>
      </c>
      <c r="M62" s="55">
        <f t="shared" si="28"/>
        <v>0.99020121047893017</v>
      </c>
      <c r="N62" s="55">
        <f t="shared" si="29"/>
        <v>4.0135750090250968E-3</v>
      </c>
      <c r="O62" s="56">
        <f t="shared" si="30"/>
        <v>1.6885399411454989E-7</v>
      </c>
      <c r="P62" s="56">
        <f t="shared" si="31"/>
        <v>2.6929550221031706E-5</v>
      </c>
      <c r="Q62" s="56">
        <f t="shared" si="32"/>
        <v>4.3426450964008639E-4</v>
      </c>
      <c r="R62" s="9">
        <f t="shared" si="38"/>
        <v>3.9999999999999996E-5</v>
      </c>
      <c r="S62" s="9">
        <f t="shared" si="39"/>
        <v>3.9195158084279463E-7</v>
      </c>
      <c r="T62" s="9">
        <f t="shared" si="40"/>
        <v>6.7167283278901083E-6</v>
      </c>
      <c r="U62" s="9">
        <f t="shared" si="41"/>
        <v>3.9608048419157204E-5</v>
      </c>
      <c r="V62" s="102">
        <f t="shared" si="42"/>
        <v>0.16957988580526559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24"/>
        <v>0.7211484450377651</v>
      </c>
      <c r="J63" s="54">
        <f t="shared" si="25"/>
        <v>2.1393986002694843</v>
      </c>
      <c r="K63" s="55">
        <f t="shared" si="26"/>
        <v>0.18727266516357438</v>
      </c>
      <c r="L63" s="55">
        <f t="shared" si="27"/>
        <v>9.4456068958599388E-3</v>
      </c>
      <c r="M63" s="55">
        <f t="shared" si="28"/>
        <v>0.99055439310414006</v>
      </c>
      <c r="N63" s="55">
        <f t="shared" si="29"/>
        <v>3.711871931850973E-3</v>
      </c>
      <c r="O63" s="56">
        <f t="shared" si="30"/>
        <v>1.8831631090417759E-7</v>
      </c>
      <c r="P63" s="56">
        <f t="shared" si="31"/>
        <v>2.5958915101016581E-5</v>
      </c>
      <c r="Q63" s="56">
        <f t="shared" si="32"/>
        <v>4.0162056039999203E-4</v>
      </c>
      <c r="R63" s="9">
        <f t="shared" si="38"/>
        <v>3.9999999999999996E-5</v>
      </c>
      <c r="S63" s="9">
        <f t="shared" si="39"/>
        <v>3.7782427583439752E-7</v>
      </c>
      <c r="T63" s="9">
        <f t="shared" si="40"/>
        <v>7.4909066065429746E-6</v>
      </c>
      <c r="U63" s="9">
        <f t="shared" si="41"/>
        <v>3.96221757241656E-5</v>
      </c>
      <c r="V63" s="102">
        <f t="shared" si="42"/>
        <v>0.18905843683829468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24"/>
        <v>0.2338148544799136</v>
      </c>
      <c r="J64" s="54">
        <f t="shared" si="25"/>
        <v>1.3842562584741676</v>
      </c>
      <c r="K64" s="55">
        <f t="shared" si="26"/>
        <v>0.57769702470811413</v>
      </c>
      <c r="L64" s="55">
        <f t="shared" si="27"/>
        <v>5.1205105484139575E-3</v>
      </c>
      <c r="M64" s="55">
        <f t="shared" si="28"/>
        <v>0.994879489451586</v>
      </c>
      <c r="N64" s="55">
        <f t="shared" si="29"/>
        <v>2.0272706051816893E-3</v>
      </c>
      <c r="O64" s="56">
        <f t="shared" si="30"/>
        <v>5.8091645365504106E-7</v>
      </c>
      <c r="P64" s="56">
        <f t="shared" si="31"/>
        <v>1.4072457182015336E-5</v>
      </c>
      <c r="Q64" s="56">
        <f t="shared" si="32"/>
        <v>2.1934850433524871E-4</v>
      </c>
      <c r="R64" s="9">
        <f t="shared" si="38"/>
        <v>3.9999999999999996E-5</v>
      </c>
      <c r="S64" s="9">
        <f t="shared" si="39"/>
        <v>2.0482042193655829E-7</v>
      </c>
      <c r="T64" s="9">
        <f t="shared" si="40"/>
        <v>2.3107880988324563E-5</v>
      </c>
      <c r="U64" s="9">
        <f t="shared" si="41"/>
        <v>3.9795179578063439E-5</v>
      </c>
      <c r="V64" s="102">
        <f t="shared" si="42"/>
        <v>0.58067035337773609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167</v>
      </c>
      <c r="C65" s="46" t="s">
        <v>168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24"/>
        <v>1.2834731216469764</v>
      </c>
      <c r="J65" s="54">
        <f t="shared" si="25"/>
        <v>2.8129743237059617</v>
      </c>
      <c r="K65" s="55">
        <f t="shared" si="26"/>
        <v>5.1162725037414307E-2</v>
      </c>
      <c r="L65" s="55">
        <f t="shared" si="27"/>
        <v>1.2169839970628656E-2</v>
      </c>
      <c r="M65" s="55">
        <f t="shared" si="28"/>
        <v>0.9878301600293713</v>
      </c>
      <c r="N65" s="55">
        <f t="shared" si="29"/>
        <v>6.2116969600144751E-3</v>
      </c>
      <c r="O65" s="56">
        <f t="shared" si="30"/>
        <v>5.1447848122603019E-8</v>
      </c>
      <c r="P65" s="56">
        <f t="shared" si="31"/>
        <v>3.3445796132906523E-5</v>
      </c>
      <c r="Q65" s="56">
        <f t="shared" si="32"/>
        <v>6.7209894627800462E-4</v>
      </c>
      <c r="R65" s="9">
        <f t="shared" si="38"/>
        <v>3.9999999999999996E-5</v>
      </c>
      <c r="S65" s="9">
        <f t="shared" si="39"/>
        <v>4.8679359882514615E-7</v>
      </c>
      <c r="T65" s="9">
        <f t="shared" si="40"/>
        <v>2.046509001496572E-6</v>
      </c>
      <c r="U65" s="9">
        <f t="shared" si="41"/>
        <v>3.9513206401174851E-5</v>
      </c>
      <c r="V65" s="102">
        <f t="shared" si="42"/>
        <v>5.1793038021731463E-2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169</v>
      </c>
      <c r="C66" s="46" t="s">
        <v>170</v>
      </c>
      <c r="D66" s="47"/>
      <c r="E66" s="47"/>
      <c r="F66" s="57"/>
      <c r="G66" s="170"/>
      <c r="H66" s="17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171</v>
      </c>
      <c r="C67" s="46" t="s">
        <v>172</v>
      </c>
      <c r="D67" s="47"/>
      <c r="E67" s="47"/>
      <c r="F67" s="57"/>
      <c r="G67" s="170"/>
      <c r="H67" s="17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24"/>
        <v>0.33491051106253611</v>
      </c>
      <c r="J68" s="54">
        <f t="shared" si="25"/>
        <v>1.5278128154398603</v>
      </c>
      <c r="K68" s="55">
        <f t="shared" si="26"/>
        <v>0.4574842311539527</v>
      </c>
      <c r="L68" s="55">
        <f t="shared" si="27"/>
        <v>5.6434647981344404E-3</v>
      </c>
      <c r="M68" s="55">
        <f t="shared" si="28"/>
        <v>0.99435653520186551</v>
      </c>
      <c r="N68" s="55">
        <f t="shared" si="29"/>
        <v>1.2743793383869567E-3</v>
      </c>
      <c r="O68" s="56">
        <f t="shared" si="30"/>
        <v>4.6003373013619819E-7</v>
      </c>
      <c r="P68" s="56">
        <f t="shared" si="31"/>
        <v>1.5509667635497143E-5</v>
      </c>
      <c r="Q68" s="56">
        <f t="shared" si="32"/>
        <v>1.3788647707732647E-4</v>
      </c>
      <c r="R68" s="9">
        <f>F68*$C$14</f>
        <v>3.9999999999999996E-5</v>
      </c>
      <c r="S68" s="9">
        <f t="shared" si="39"/>
        <v>2.257385919253776E-7</v>
      </c>
      <c r="T68" s="9">
        <f t="shared" si="40"/>
        <v>1.8299369246158106E-5</v>
      </c>
      <c r="U68" s="9">
        <f t="shared" si="41"/>
        <v>3.9774261408074619E-5</v>
      </c>
      <c r="V68" s="102">
        <f t="shared" si="42"/>
        <v>0.46008068027739996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173</v>
      </c>
      <c r="C69" s="46" t="s">
        <v>174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24"/>
        <v>2.1724337273682748</v>
      </c>
      <c r="J69" s="54">
        <f t="shared" si="25"/>
        <v>3.7382327895049081</v>
      </c>
      <c r="K69" s="55">
        <f t="shared" si="26"/>
        <v>6.5998274613019098E-3</v>
      </c>
      <c r="L69" s="55">
        <f t="shared" si="27"/>
        <v>1.321667611249357E-2</v>
      </c>
      <c r="M69" s="55">
        <f t="shared" si="28"/>
        <v>0.98678332388750645</v>
      </c>
      <c r="N69" s="55">
        <f t="shared" si="29"/>
        <v>7.2737132244564537E-3</v>
      </c>
      <c r="O69" s="56">
        <f t="shared" si="30"/>
        <v>6.6366074249591111E-9</v>
      </c>
      <c r="P69" s="56">
        <f t="shared" si="31"/>
        <v>3.6322766435710242E-5</v>
      </c>
      <c r="Q69" s="56">
        <f t="shared" si="32"/>
        <v>7.870079666079168E-4</v>
      </c>
      <c r="R69" s="9">
        <f>F69*$C$14</f>
        <v>3.9999999999999996E-5</v>
      </c>
      <c r="S69" s="9">
        <f t="shared" si="39"/>
        <v>5.2866704449974277E-7</v>
      </c>
      <c r="T69" s="9">
        <f t="shared" si="40"/>
        <v>2.6399309845207635E-7</v>
      </c>
      <c r="U69" s="9">
        <f t="shared" si="41"/>
        <v>3.9471332955500256E-5</v>
      </c>
      <c r="V69" s="102">
        <f t="shared" si="42"/>
        <v>6.6882235456730233E-3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175</v>
      </c>
      <c r="C70" s="46" t="s">
        <v>176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24"/>
        <v>6.2122287627494992E-2</v>
      </c>
      <c r="J70" s="54">
        <f t="shared" si="25"/>
        <v>0.71517750488405019</v>
      </c>
      <c r="K70" s="55">
        <f t="shared" si="26"/>
        <v>0.86081868444873655</v>
      </c>
      <c r="L70" s="55">
        <f t="shared" si="27"/>
        <v>1.6347301241745481E-3</v>
      </c>
      <c r="M70" s="55">
        <f t="shared" si="28"/>
        <v>0.99836526987582541</v>
      </c>
      <c r="N70" s="55">
        <f t="shared" si="29"/>
        <v>2.5634289071841949E-4</v>
      </c>
      <c r="O70" s="56">
        <f t="shared" si="30"/>
        <v>8.6561591287858697E-7</v>
      </c>
      <c r="P70" s="56">
        <f t="shared" si="31"/>
        <v>4.4926515547795265E-6</v>
      </c>
      <c r="Q70" s="56">
        <f t="shared" si="32"/>
        <v>2.7736025734472723E-5</v>
      </c>
      <c r="R70" s="9">
        <f t="shared" ref="R70:R86" si="43">F70*$C$14</f>
        <v>3.9999999999999996E-5</v>
      </c>
      <c r="S70" s="9">
        <f t="shared" si="39"/>
        <v>6.5389204966981921E-8</v>
      </c>
      <c r="T70" s="9">
        <f t="shared" si="40"/>
        <v>3.4432747377949457E-5</v>
      </c>
      <c r="U70" s="9">
        <f t="shared" si="41"/>
        <v>3.9934610795033015E-5</v>
      </c>
      <c r="V70" s="102">
        <f t="shared" si="42"/>
        <v>0.86222819485277502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177</v>
      </c>
      <c r="C71" s="46" t="s">
        <v>178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1.345926094870141</v>
      </c>
      <c r="K71" s="55">
        <f t="shared" ref="K71:K122" si="46">IF(D71=0,"",1/(1+10^D71*$J$15/$J$14+10^E71*$J$16/$J$14+10^J71*$J$19/$J$14))</f>
        <v>0.58916334954284422</v>
      </c>
      <c r="L71" s="55">
        <f t="shared" ref="L71:L122" si="47">IF(D71=0,"",1/(1+10^I71/10^J71*$J$13/$J$19))</f>
        <v>4.7809994451663146E-3</v>
      </c>
      <c r="M71" s="55">
        <f t="shared" si="19"/>
        <v>0.9952190005548337</v>
      </c>
      <c r="N71" s="55">
        <f t="shared" ref="N71:N122" si="48">IF(D71=0,"",1/(1/10^E71*$J$20/$J$22+10^D71/10^E71*$J$21/$J$22+10^I71/10^E71*$J$13/$J$22+1))</f>
        <v>1.6437066607787477E-3</v>
      </c>
      <c r="O71" s="56">
        <f t="shared" si="21"/>
        <v>5.924466787982528E-7</v>
      </c>
      <c r="P71" s="56">
        <f t="shared" ref="P71:P122" si="49">IF(D71=0,"",O71*10^J71)</f>
        <v>1.3139394859792186E-5</v>
      </c>
      <c r="Q71" s="56">
        <f t="shared" ref="Q71:Q122" si="50">IF(D71=0,"",F71*N71*$J$7/$J$22)</f>
        <v>1.7784729709302492E-4</v>
      </c>
      <c r="R71" s="9">
        <f t="shared" si="43"/>
        <v>3.9999999999999996E-5</v>
      </c>
      <c r="S71" s="9">
        <f t="shared" si="39"/>
        <v>1.9123997780665256E-7</v>
      </c>
      <c r="T71" s="9">
        <f t="shared" si="40"/>
        <v>2.3566533981713767E-5</v>
      </c>
      <c r="U71" s="9">
        <f t="shared" si="41"/>
        <v>3.9808760022193342E-5</v>
      </c>
      <c r="V71" s="102">
        <f t="shared" si="42"/>
        <v>0.59199367095522315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179</v>
      </c>
      <c r="C72" s="46" t="s">
        <v>180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44"/>
        <v>0.32073739190116707</v>
      </c>
      <c r="J72" s="54">
        <f t="shared" si="45"/>
        <v>1.511064839547366</v>
      </c>
      <c r="K72" s="55">
        <f t="shared" si="46"/>
        <v>0.47267620133205074</v>
      </c>
      <c r="L72" s="55">
        <f t="shared" si="47"/>
        <v>5.6102918242477056E-3</v>
      </c>
      <c r="M72" s="55">
        <f t="shared" si="19"/>
        <v>0.99438970817575234</v>
      </c>
      <c r="N72" s="55">
        <f t="shared" si="48"/>
        <v>1.4212789670299028E-3</v>
      </c>
      <c r="O72" s="56">
        <f t="shared" si="21"/>
        <v>4.75310363150455E-7</v>
      </c>
      <c r="P72" s="56">
        <f t="shared" si="49"/>
        <v>1.5418499918878392E-5</v>
      </c>
      <c r="Q72" s="56">
        <f t="shared" si="50"/>
        <v>1.5378085928159361E-4</v>
      </c>
      <c r="R72" s="9">
        <f t="shared" si="43"/>
        <v>3.9999999999999996E-5</v>
      </c>
      <c r="S72" s="9">
        <f t="shared" si="39"/>
        <v>2.2441167296990819E-7</v>
      </c>
      <c r="T72" s="9">
        <f t="shared" si="40"/>
        <v>1.8907048053282027E-5</v>
      </c>
      <c r="U72" s="9">
        <f t="shared" si="41"/>
        <v>3.977558832703009E-5</v>
      </c>
      <c r="V72" s="102">
        <f t="shared" si="42"/>
        <v>0.47534301435922355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181</v>
      </c>
      <c r="C73" s="46" t="s">
        <v>182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44"/>
        <v>3.8293839195374848</v>
      </c>
      <c r="J73" s="54">
        <f t="shared" si="45"/>
        <v>5.5484404117146227</v>
      </c>
      <c r="K73" s="55">
        <f t="shared" si="46"/>
        <v>1.4459729843223831E-4</v>
      </c>
      <c r="L73" s="55">
        <f t="shared" si="47"/>
        <v>1.870498940343936E-2</v>
      </c>
      <c r="M73" s="55">
        <f t="shared" si="19"/>
        <v>0.98129501059656066</v>
      </c>
      <c r="N73" s="55">
        <f t="shared" si="48"/>
        <v>1.5818262250041785E-2</v>
      </c>
      <c r="O73" s="56">
        <f t="shared" si="21"/>
        <v>1.4540312001052213E-10</v>
      </c>
      <c r="P73" s="56">
        <f t="shared" si="49"/>
        <v>5.1406038515335766E-5</v>
      </c>
      <c r="Q73" s="56">
        <f t="shared" si="50"/>
        <v>1.7115190033638488E-3</v>
      </c>
      <c r="R73" s="9">
        <f t="shared" si="43"/>
        <v>3.9999999999999996E-5</v>
      </c>
      <c r="S73" s="9">
        <f t="shared" si="39"/>
        <v>7.4819957613757428E-7</v>
      </c>
      <c r="T73" s="9">
        <f t="shared" si="40"/>
        <v>5.7838919372895321E-9</v>
      </c>
      <c r="U73" s="9">
        <f t="shared" si="41"/>
        <v>3.9251800423862425E-5</v>
      </c>
      <c r="V73" s="102">
        <f t="shared" si="42"/>
        <v>1.4735354492868865E-4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183</v>
      </c>
      <c r="C74" s="46" t="s">
        <v>184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44"/>
        <v>3.8037572032670899E-2</v>
      </c>
      <c r="J74" s="54">
        <f t="shared" si="45"/>
        <v>0.55377732988068606</v>
      </c>
      <c r="K74" s="55">
        <f t="shared" si="46"/>
        <v>0.91030911642574786</v>
      </c>
      <c r="L74" s="55">
        <f t="shared" si="47"/>
        <v>1.192128574351359E-3</v>
      </c>
      <c r="M74" s="55">
        <f t="shared" si="19"/>
        <v>0.99880787142564864</v>
      </c>
      <c r="N74" s="55">
        <f t="shared" si="48"/>
        <v>2.0891300910268337E-4</v>
      </c>
      <c r="O74" s="56">
        <f t="shared" si="21"/>
        <v>9.1538214847321814E-7</v>
      </c>
      <c r="P74" s="56">
        <f t="shared" si="49"/>
        <v>3.2762706295396247E-6</v>
      </c>
      <c r="Q74" s="56">
        <f t="shared" si="50"/>
        <v>2.2604163433200305E-5</v>
      </c>
      <c r="R74" s="9">
        <f t="shared" si="43"/>
        <v>3.9999999999999996E-5</v>
      </c>
      <c r="S74" s="9">
        <f t="shared" si="39"/>
        <v>4.7685142974054358E-8</v>
      </c>
      <c r="T74" s="9">
        <f t="shared" si="40"/>
        <v>3.641236465702991E-5</v>
      </c>
      <c r="U74" s="9">
        <f t="shared" si="41"/>
        <v>3.9952314857025942E-5</v>
      </c>
      <c r="V74" s="102">
        <f t="shared" si="42"/>
        <v>0.9113956171835309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185</v>
      </c>
      <c r="C75" s="46" t="s">
        <v>186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44"/>
        <v>4.0258976380178252E-2</v>
      </c>
      <c r="J75" s="54">
        <f t="shared" si="45"/>
        <v>0.56756569522901157</v>
      </c>
      <c r="K75" s="55">
        <f t="shared" si="46"/>
        <v>0.90563565697108794</v>
      </c>
      <c r="L75" s="55">
        <f t="shared" si="47"/>
        <v>1.2242668341044896E-3</v>
      </c>
      <c r="M75" s="55">
        <f t="shared" si="19"/>
        <v>0.99877573316589552</v>
      </c>
      <c r="N75" s="55">
        <f t="shared" si="48"/>
        <v>1.9820796644851968E-4</v>
      </c>
      <c r="O75" s="56">
        <f t="shared" si="21"/>
        <v>9.1068264444846854E-7</v>
      </c>
      <c r="P75" s="56">
        <f t="shared" si="49"/>
        <v>3.3645946901980875E-6</v>
      </c>
      <c r="Q75" s="56">
        <f t="shared" si="50"/>
        <v>2.1445889303918292E-5</v>
      </c>
      <c r="R75" s="9">
        <f t="shared" si="43"/>
        <v>3.9999999999999996E-5</v>
      </c>
      <c r="S75" s="9">
        <f t="shared" si="39"/>
        <v>4.897067336417958E-8</v>
      </c>
      <c r="T75" s="9">
        <f t="shared" si="40"/>
        <v>3.6225426278843516E-5</v>
      </c>
      <c r="U75" s="9">
        <f t="shared" si="41"/>
        <v>3.9951029326635817E-5</v>
      </c>
      <c r="V75" s="102">
        <f t="shared" si="42"/>
        <v>0.90674575572678928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187</v>
      </c>
      <c r="C76" s="46" t="s">
        <v>188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44"/>
        <v>1.137117589232139</v>
      </c>
      <c r="J76" s="54">
        <f t="shared" si="45"/>
        <v>2.6297678711619401</v>
      </c>
      <c r="K76" s="55">
        <f t="shared" si="46"/>
        <v>7.1736367754470079E-2</v>
      </c>
      <c r="L76" s="55">
        <f t="shared" si="47"/>
        <v>1.1190877200206258E-2</v>
      </c>
      <c r="M76" s="55">
        <f t="shared" si="19"/>
        <v>0.98880912279979372</v>
      </c>
      <c r="N76" s="55">
        <f t="shared" si="48"/>
        <v>4.9420709458572474E-3</v>
      </c>
      <c r="O76" s="56">
        <f t="shared" si="21"/>
        <v>7.2136145023554717E-8</v>
      </c>
      <c r="P76" s="56">
        <f t="shared" si="49"/>
        <v>3.0755359009634988E-5</v>
      </c>
      <c r="Q76" s="56">
        <f t="shared" si="50"/>
        <v>5.3472677378228989E-4</v>
      </c>
      <c r="R76" s="9">
        <f t="shared" si="43"/>
        <v>3.9999999999999996E-5</v>
      </c>
      <c r="S76" s="9">
        <f t="shared" si="39"/>
        <v>4.4763508800825029E-7</v>
      </c>
      <c r="T76" s="9">
        <f t="shared" si="40"/>
        <v>2.8694547101788028E-6</v>
      </c>
      <c r="U76" s="9">
        <f t="shared" si="41"/>
        <v>3.9552364911991747E-5</v>
      </c>
      <c r="V76" s="102">
        <f t="shared" si="42"/>
        <v>7.2548246269563077E-2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44"/>
        <v>2.0958974367173925E-3</v>
      </c>
      <c r="J77" s="54">
        <f t="shared" si="45"/>
        <v>5.0901710407050667E-2</v>
      </c>
      <c r="K77" s="55">
        <f t="shared" si="46"/>
        <v>0.98962751391924986</v>
      </c>
      <c r="L77" s="55">
        <f t="shared" si="47"/>
        <v>4.0712741471589934E-4</v>
      </c>
      <c r="M77" s="55">
        <f t="shared" si="19"/>
        <v>0.99959287258528406</v>
      </c>
      <c r="N77" s="55">
        <f t="shared" si="48"/>
        <v>1.396568858424891E-5</v>
      </c>
      <c r="O77" s="56">
        <f t="shared" si="21"/>
        <v>9.9514257688256839E-7</v>
      </c>
      <c r="P77" s="56">
        <f t="shared" si="49"/>
        <v>1.1188890359748796E-6</v>
      </c>
      <c r="Q77" s="56">
        <f t="shared" si="50"/>
        <v>1.5110725204306456E-6</v>
      </c>
      <c r="R77" s="9">
        <f t="shared" si="43"/>
        <v>3.9999999999999996E-5</v>
      </c>
      <c r="S77" s="9">
        <f t="shared" si="39"/>
        <v>1.6285096588635972E-8</v>
      </c>
      <c r="T77" s="9">
        <f t="shared" si="40"/>
        <v>3.9585100556769991E-5</v>
      </c>
      <c r="U77" s="9">
        <f t="shared" si="41"/>
        <v>3.9983714903411358E-5</v>
      </c>
      <c r="V77" s="102">
        <f t="shared" si="42"/>
        <v>0.99003058251079723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189</v>
      </c>
      <c r="C78" s="46" t="s">
        <v>190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0.88327907371680614</v>
      </c>
      <c r="K78" s="55">
        <f t="shared" si="46"/>
        <v>0.81095238193680175</v>
      </c>
      <c r="L78" s="55">
        <f t="shared" si="47"/>
        <v>2.2679386554200444E-3</v>
      </c>
      <c r="M78" s="55">
        <f t="shared" si="19"/>
        <v>0.99773206134457992</v>
      </c>
      <c r="N78" s="55">
        <f t="shared" si="48"/>
        <v>5.9853416604372875E-4</v>
      </c>
      <c r="O78" s="56">
        <f t="shared" si="21"/>
        <v>8.1547171207236165E-7</v>
      </c>
      <c r="P78" s="56">
        <f t="shared" si="49"/>
        <v>6.2328686403588402E-6</v>
      </c>
      <c r="Q78" s="56">
        <f t="shared" si="50"/>
        <v>6.476075457300431E-5</v>
      </c>
      <c r="R78" s="9">
        <f t="shared" si="43"/>
        <v>3.9999999999999996E-5</v>
      </c>
      <c r="S78" s="9">
        <f t="shared" si="39"/>
        <v>9.0717546216801762E-8</v>
      </c>
      <c r="T78" s="9">
        <f t="shared" si="40"/>
        <v>3.2438095277472066E-5</v>
      </c>
      <c r="U78" s="9">
        <f t="shared" si="41"/>
        <v>3.9909282453783195E-5</v>
      </c>
      <c r="V78" s="102">
        <f t="shared" si="42"/>
        <v>0.81279575284363714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191</v>
      </c>
      <c r="C79" s="46" t="s">
        <v>192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1.8385907214946637</v>
      </c>
      <c r="K79" s="55">
        <f t="shared" si="46"/>
        <v>0.30738813267431908</v>
      </c>
      <c r="L79" s="55">
        <f t="shared" si="47"/>
        <v>7.7559445239332725E-3</v>
      </c>
      <c r="M79" s="55">
        <f t="shared" si="19"/>
        <v>0.99224405547606676</v>
      </c>
      <c r="N79" s="55">
        <f t="shared" si="48"/>
        <v>2.6291035352972855E-3</v>
      </c>
      <c r="O79" s="56">
        <f t="shared" si="21"/>
        <v>3.0910116599446387E-7</v>
      </c>
      <c r="P79" s="56">
        <f t="shared" si="49"/>
        <v>2.1315295845439518E-5</v>
      </c>
      <c r="Q79" s="56">
        <f t="shared" si="50"/>
        <v>2.8446618164144395E-4</v>
      </c>
      <c r="R79" s="9">
        <f t="shared" si="43"/>
        <v>3.9999999999999996E-5</v>
      </c>
      <c r="S79" s="9">
        <f t="shared" si="39"/>
        <v>3.1023778095733088E-7</v>
      </c>
      <c r="T79" s="9">
        <f t="shared" si="40"/>
        <v>1.2295525306972763E-5</v>
      </c>
      <c r="U79" s="9">
        <f t="shared" si="41"/>
        <v>3.9689762219042669E-5</v>
      </c>
      <c r="V79" s="102">
        <f t="shared" si="42"/>
        <v>0.3097908533468996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193</v>
      </c>
      <c r="C80" s="46" t="s">
        <v>194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4.6065751929206069</v>
      </c>
      <c r="K80" s="55">
        <f t="shared" si="46"/>
        <v>1.0309835436180653E-3</v>
      </c>
      <c r="L80" s="55">
        <f t="shared" si="47"/>
        <v>1.5246978994275641E-2</v>
      </c>
      <c r="M80" s="55">
        <f t="shared" si="19"/>
        <v>0.98475302100572437</v>
      </c>
      <c r="N80" s="55">
        <f t="shared" si="48"/>
        <v>1.0392937741551405E-2</v>
      </c>
      <c r="O80" s="56">
        <f t="shared" si="21"/>
        <v>1.0367290782532944E-9</v>
      </c>
      <c r="P80" s="56">
        <f t="shared" si="49"/>
        <v>4.1902551908322957E-5</v>
      </c>
      <c r="Q80" s="56">
        <f t="shared" si="50"/>
        <v>1.124504712608087E-3</v>
      </c>
      <c r="R80" s="9">
        <f t="shared" si="43"/>
        <v>3.9999999999999996E-5</v>
      </c>
      <c r="S80" s="9">
        <f t="shared" si="39"/>
        <v>6.0987915977102558E-7</v>
      </c>
      <c r="T80" s="9">
        <f t="shared" si="40"/>
        <v>4.1239341744722613E-8</v>
      </c>
      <c r="U80" s="9">
        <f t="shared" si="41"/>
        <v>3.9390120840228971E-5</v>
      </c>
      <c r="V80" s="102">
        <f t="shared" si="42"/>
        <v>1.0469463120459646E-3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195</v>
      </c>
      <c r="C81" s="46" t="s">
        <v>196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2.0699715906138327</v>
      </c>
      <c r="K81" s="55">
        <f t="shared" si="46"/>
        <v>0.22367275921947227</v>
      </c>
      <c r="L81" s="55">
        <f t="shared" si="47"/>
        <v>9.6148289331299021E-3</v>
      </c>
      <c r="M81" s="55">
        <f t="shared" si="19"/>
        <v>0.99038517106687007</v>
      </c>
      <c r="N81" s="55">
        <f t="shared" si="48"/>
        <v>4.4548766933361116E-3</v>
      </c>
      <c r="O81" s="56">
        <f t="shared" si="21"/>
        <v>2.2491925785954059E-7</v>
      </c>
      <c r="P81" s="56">
        <f t="shared" si="49"/>
        <v>2.6423980029839458E-5</v>
      </c>
      <c r="Q81" s="56">
        <f t="shared" si="50"/>
        <v>4.8201287839107096E-4</v>
      </c>
      <c r="R81" s="9">
        <f t="shared" si="43"/>
        <v>3.9999999999999996E-5</v>
      </c>
      <c r="S81" s="9">
        <f t="shared" si="39"/>
        <v>3.8459315732519606E-7</v>
      </c>
      <c r="T81" s="9">
        <f t="shared" si="40"/>
        <v>8.9469103687788902E-6</v>
      </c>
      <c r="U81" s="9">
        <f t="shared" si="41"/>
        <v>3.9615406842674797E-5</v>
      </c>
      <c r="V81" s="102">
        <f t="shared" si="42"/>
        <v>0.22584421269002428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197</v>
      </c>
      <c r="C82" s="46" t="s">
        <v>198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2.8706315398293074</v>
      </c>
      <c r="K82" s="55">
        <f t="shared" si="46"/>
        <v>4.7705186444878853E-2</v>
      </c>
      <c r="L82" s="55">
        <f t="shared" si="47"/>
        <v>1.295847852094878E-2</v>
      </c>
      <c r="M82" s="55">
        <f t="shared" si="19"/>
        <v>0.98704152147905122</v>
      </c>
      <c r="N82" s="55">
        <f t="shared" si="48"/>
        <v>7.4063492914797436E-3</v>
      </c>
      <c r="O82" s="56">
        <f t="shared" si="21"/>
        <v>4.7971041125776309E-8</v>
      </c>
      <c r="P82" s="56">
        <f t="shared" si="49"/>
        <v>3.5613174195413207E-5</v>
      </c>
      <c r="Q82" s="56">
        <f t="shared" si="50"/>
        <v>8.0135904674892306E-4</v>
      </c>
      <c r="R82" s="9">
        <f t="shared" si="43"/>
        <v>3.9999999999999996E-5</v>
      </c>
      <c r="S82" s="9">
        <f t="shared" si="39"/>
        <v>5.1833914083795114E-7</v>
      </c>
      <c r="T82" s="9">
        <f t="shared" si="40"/>
        <v>1.9082074577951539E-6</v>
      </c>
      <c r="U82" s="9">
        <f t="shared" si="41"/>
        <v>3.9481660859162048E-5</v>
      </c>
      <c r="V82" s="102">
        <f t="shared" si="42"/>
        <v>4.8331489007062342E-2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199</v>
      </c>
      <c r="C83" s="46" t="s">
        <v>200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2.250511751652323</v>
      </c>
      <c r="K83" s="55">
        <f t="shared" si="46"/>
        <v>0.16193671101135576</v>
      </c>
      <c r="L83" s="55">
        <f t="shared" si="47"/>
        <v>1.0549064357294927E-2</v>
      </c>
      <c r="M83" s="55">
        <f t="shared" si="19"/>
        <v>0.98945093564270503</v>
      </c>
      <c r="N83" s="55">
        <f t="shared" si="48"/>
        <v>5.1148382800802489E-3</v>
      </c>
      <c r="O83" s="56">
        <f t="shared" si="21"/>
        <v>1.6283916283766299E-7</v>
      </c>
      <c r="P83" s="56">
        <f t="shared" si="49"/>
        <v>2.8991495100881829E-5</v>
      </c>
      <c r="Q83" s="56">
        <f t="shared" si="50"/>
        <v>5.5342001397575046E-4</v>
      </c>
      <c r="R83" s="9">
        <f t="shared" si="43"/>
        <v>3.9999999999999996E-5</v>
      </c>
      <c r="S83" s="9">
        <f t="shared" si="39"/>
        <v>4.2196257429179705E-7</v>
      </c>
      <c r="T83" s="9">
        <f t="shared" si="40"/>
        <v>6.47746844045423E-6</v>
      </c>
      <c r="U83" s="9">
        <f t="shared" si="41"/>
        <v>3.9578037425708196E-5</v>
      </c>
      <c r="V83" s="102">
        <f t="shared" si="42"/>
        <v>0.16366320469055759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0.70032517200595135</v>
      </c>
      <c r="K84" s="55">
        <f t="shared" si="46"/>
        <v>0.87226461602274596</v>
      </c>
      <c r="L84" s="55">
        <f t="shared" si="47"/>
        <v>1.6007750373549694E-3</v>
      </c>
      <c r="M84" s="55">
        <f t="shared" si="19"/>
        <v>0.99839922496264499</v>
      </c>
      <c r="N84" s="55">
        <f t="shared" si="48"/>
        <v>3.5292940817463931E-4</v>
      </c>
      <c r="O84" s="56">
        <f t="shared" si="21"/>
        <v>8.7712563111213917E-7</v>
      </c>
      <c r="P84" s="56">
        <f t="shared" si="49"/>
        <v>4.3993343941444136E-6</v>
      </c>
      <c r="Q84" s="56">
        <f t="shared" si="50"/>
        <v>3.8186583291426725E-5</v>
      </c>
      <c r="R84" s="9">
        <f t="shared" si="43"/>
        <v>3.9999999999999996E-5</v>
      </c>
      <c r="S84" s="9">
        <f t="shared" si="39"/>
        <v>6.4031001494198769E-8</v>
      </c>
      <c r="T84" s="9">
        <f t="shared" si="40"/>
        <v>3.4890584640909835E-5</v>
      </c>
      <c r="U84" s="9">
        <f t="shared" si="41"/>
        <v>3.9935968998505794E-5</v>
      </c>
      <c r="V84" s="102">
        <f t="shared" si="42"/>
        <v>0.8736631541910318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201</v>
      </c>
      <c r="C85" s="46" t="s">
        <v>202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0.61860589125383425</v>
      </c>
      <c r="J85" s="54">
        <f t="shared" si="45"/>
        <v>2.0453970116067448</v>
      </c>
      <c r="K85" s="55">
        <f t="shared" si="46"/>
        <v>0.23710214311588121</v>
      </c>
      <c r="L85" s="55">
        <f t="shared" si="47"/>
        <v>9.6313988268604232E-3</v>
      </c>
      <c r="M85" s="55">
        <f t="shared" si="19"/>
        <v>0.99036860117313963</v>
      </c>
      <c r="N85" s="55">
        <f t="shared" si="48"/>
        <v>4.6568909901175404E-3</v>
      </c>
      <c r="O85" s="56">
        <f t="shared" si="21"/>
        <v>2.3842348193238514E-7</v>
      </c>
      <c r="P85" s="56">
        <f t="shared" si="49"/>
        <v>2.6469518285806051E-5</v>
      </c>
      <c r="Q85" s="56">
        <f t="shared" si="50"/>
        <v>5.0387060855303534E-4</v>
      </c>
      <c r="R85" s="9">
        <f t="shared" si="43"/>
        <v>3.9999999999999996E-5</v>
      </c>
      <c r="S85" s="9">
        <f t="shared" si="39"/>
        <v>3.8525595307441691E-7</v>
      </c>
      <c r="T85" s="9">
        <f t="shared" si="40"/>
        <v>9.4840857246352483E-6</v>
      </c>
      <c r="U85" s="9">
        <f t="shared" si="41"/>
        <v>3.9614744046925584E-5</v>
      </c>
      <c r="V85" s="102">
        <f t="shared" si="42"/>
        <v>0.23940797682299522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1.4384768340970948</v>
      </c>
      <c r="K86" s="55">
        <f t="shared" si="46"/>
        <v>0.54158381052848192</v>
      </c>
      <c r="L86" s="55">
        <f t="shared" si="47"/>
        <v>5.4387535969591984E-3</v>
      </c>
      <c r="M86" s="55">
        <f t="shared" si="19"/>
        <v>0.99456124640304078</v>
      </c>
      <c r="N86" s="55">
        <f t="shared" si="48"/>
        <v>2.0544532637272401E-3</v>
      </c>
      <c r="O86" s="56">
        <f t="shared" si="21"/>
        <v>5.4460198531946911E-7</v>
      </c>
      <c r="P86" s="56">
        <f t="shared" si="49"/>
        <v>1.4947069514473875E-5</v>
      </c>
      <c r="Q86" s="56">
        <f t="shared" si="50"/>
        <v>2.2228963882443942E-4</v>
      </c>
      <c r="R86" s="9">
        <f t="shared" si="43"/>
        <v>3.9999999999999996E-5</v>
      </c>
      <c r="S86" s="9">
        <f t="shared" si="39"/>
        <v>2.1755014387836793E-7</v>
      </c>
      <c r="T86" s="9">
        <f t="shared" si="40"/>
        <v>2.1663352421139274E-5</v>
      </c>
      <c r="U86" s="9">
        <f t="shared" si="41"/>
        <v>3.9782449856121626E-5</v>
      </c>
      <c r="V86" s="102">
        <f t="shared" si="42"/>
        <v>0.54454545910288554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203</v>
      </c>
      <c r="C87" s="46" t="s">
        <v>204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205</v>
      </c>
      <c r="C88" s="46" t="s">
        <v>206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3.7871624218496818</v>
      </c>
      <c r="K88" s="55">
        <f t="shared" si="46"/>
        <v>7.1510560478805982E-3</v>
      </c>
      <c r="L88" s="55">
        <f t="shared" si="47"/>
        <v>1.6028374445893761E-2</v>
      </c>
      <c r="M88" s="55">
        <f t="shared" si="19"/>
        <v>0.98397162555410622</v>
      </c>
      <c r="N88" s="55">
        <f t="shared" si="48"/>
        <v>1.1701695004938343E-2</v>
      </c>
      <c r="O88" s="56">
        <f t="shared" si="21"/>
        <v>7.1909079353873326E-9</v>
      </c>
      <c r="P88" s="56">
        <f t="shared" si="49"/>
        <v>4.4050024104923251E-5</v>
      </c>
      <c r="Q88" s="56">
        <f t="shared" si="50"/>
        <v>1.2661108442848642E-3</v>
      </c>
      <c r="R88" s="9">
        <f>F88*$C$14</f>
        <v>3.9999999999999996E-5</v>
      </c>
      <c r="S88" s="9">
        <f t="shared" si="39"/>
        <v>6.4113497783575039E-7</v>
      </c>
      <c r="T88" s="9">
        <f t="shared" si="40"/>
        <v>2.8604224191522388E-7</v>
      </c>
      <c r="U88" s="9">
        <f t="shared" si="41"/>
        <v>3.9358865022164248E-5</v>
      </c>
      <c r="V88" s="102">
        <f t="shared" si="42"/>
        <v>7.2675429475454719E-3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207</v>
      </c>
      <c r="C89" s="46" t="s">
        <v>208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5.2243795044903081</v>
      </c>
      <c r="K89" s="55">
        <f t="shared" si="46"/>
        <v>2.9446463337522312E-4</v>
      </c>
      <c r="L89" s="55">
        <f t="shared" si="47"/>
        <v>1.8062153206680399E-2</v>
      </c>
      <c r="M89" s="55">
        <f t="shared" si="19"/>
        <v>0.98193784679331964</v>
      </c>
      <c r="N89" s="55">
        <f t="shared" si="48"/>
        <v>1.480951151858846E-2</v>
      </c>
      <c r="O89" s="56">
        <f t="shared" si="21"/>
        <v>2.9610564574673984E-10</v>
      </c>
      <c r="P89" s="56">
        <f t="shared" si="49"/>
        <v>4.963936217155945E-5</v>
      </c>
      <c r="Q89" s="56">
        <f t="shared" si="50"/>
        <v>1.6023732565524386E-3</v>
      </c>
      <c r="R89" s="9">
        <f>F89*$C$14</f>
        <v>3.9999999999999996E-5</v>
      </c>
      <c r="S89" s="9">
        <f t="shared" si="39"/>
        <v>7.2248612826721596E-7</v>
      </c>
      <c r="T89" s="9">
        <f t="shared" si="40"/>
        <v>1.1778585335008923E-8</v>
      </c>
      <c r="U89" s="9">
        <f t="shared" si="41"/>
        <v>3.9277513871732781E-5</v>
      </c>
      <c r="V89" s="102">
        <f t="shared" si="42"/>
        <v>2.9988113233118171E-4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209</v>
      </c>
      <c r="C90" s="46" t="s">
        <v>210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5.592091109253353</v>
      </c>
      <c r="K90" s="55">
        <f t="shared" si="46"/>
        <v>1.3267083757903035E-4</v>
      </c>
      <c r="L90" s="55">
        <f t="shared" si="47"/>
        <v>1.8976820778665193E-2</v>
      </c>
      <c r="M90" s="55">
        <f t="shared" si="19"/>
        <v>0.98102317922133486</v>
      </c>
      <c r="N90" s="55">
        <f t="shared" si="48"/>
        <v>1.6245499285953084E-2</v>
      </c>
      <c r="O90" s="56">
        <f t="shared" si="21"/>
        <v>1.3341019457179098E-10</v>
      </c>
      <c r="P90" s="56">
        <f t="shared" si="49"/>
        <v>5.2153099839089666E-5</v>
      </c>
      <c r="Q90" s="56">
        <f t="shared" si="50"/>
        <v>1.7577455922485477E-3</v>
      </c>
      <c r="R90" s="9">
        <f>F90*$C$14</f>
        <v>3.9999999999999996E-5</v>
      </c>
      <c r="S90" s="9">
        <f t="shared" si="39"/>
        <v>7.5907283114660762E-7</v>
      </c>
      <c r="T90" s="9">
        <f t="shared" si="40"/>
        <v>5.3068335031612137E-9</v>
      </c>
      <c r="U90" s="9">
        <f t="shared" si="41"/>
        <v>3.9240927168853388E-5</v>
      </c>
      <c r="V90" s="102">
        <f t="shared" si="42"/>
        <v>1.3523720987340467E-4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6.012357132853051</v>
      </c>
      <c r="K91" s="55">
        <f t="shared" si="46"/>
        <v>5.2652316187527099E-5</v>
      </c>
      <c r="L91" s="55">
        <f t="shared" si="47"/>
        <v>1.9821270545172638E-2</v>
      </c>
      <c r="M91" s="55">
        <f t="shared" si="19"/>
        <v>0.98017872945482731</v>
      </c>
      <c r="N91" s="55">
        <f t="shared" si="48"/>
        <v>1.7572156929973864E-2</v>
      </c>
      <c r="O91" s="56">
        <f t="shared" si="21"/>
        <v>5.2945740566755158E-11</v>
      </c>
      <c r="P91" s="56">
        <f t="shared" si="49"/>
        <v>5.4473861229810691E-5</v>
      </c>
      <c r="Q91" s="56">
        <f t="shared" si="50"/>
        <v>1.9012885259038219E-3</v>
      </c>
      <c r="R91" s="9">
        <f t="shared" ref="R91:R92" si="51">F91*$C$14</f>
        <v>3.9999999999999996E-5</v>
      </c>
      <c r="S91" s="9">
        <f t="shared" si="39"/>
        <v>7.9285082180690547E-7</v>
      </c>
      <c r="T91" s="9">
        <f t="shared" si="40"/>
        <v>2.1060926475010838E-9</v>
      </c>
      <c r="U91" s="9">
        <f t="shared" si="41"/>
        <v>3.9207149178193086E-5</v>
      </c>
      <c r="V91" s="102">
        <f t="shared" si="42"/>
        <v>5.3717056497249405E-5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7.2621961698150477</v>
      </c>
      <c r="K92" s="55">
        <f t="shared" si="46"/>
        <v>3.1655573359509022E-6</v>
      </c>
      <c r="L92" s="55">
        <f t="shared" si="47"/>
        <v>2.1183768889382788E-2</v>
      </c>
      <c r="M92" s="55">
        <f t="shared" si="19"/>
        <v>0.97881623111061722</v>
      </c>
      <c r="N92" s="55">
        <f t="shared" si="48"/>
        <v>1.9713728746275513E-2</v>
      </c>
      <c r="O92" s="56">
        <f t="shared" si="21"/>
        <v>3.1831985674003221E-12</v>
      </c>
      <c r="P92" s="56">
        <f t="shared" si="49"/>
        <v>5.8218351047413615E-5</v>
      </c>
      <c r="Q92" s="56">
        <f t="shared" si="50"/>
        <v>2.1330042986435881E-3</v>
      </c>
      <c r="R92" s="9">
        <f t="shared" si="51"/>
        <v>3.9999999999999996E-5</v>
      </c>
      <c r="S92" s="9">
        <f t="shared" si="39"/>
        <v>8.4735075557531146E-7</v>
      </c>
      <c r="T92" s="9">
        <f t="shared" si="40"/>
        <v>1.2662229343803608E-10</v>
      </c>
      <c r="U92" s="9">
        <f t="shared" si="41"/>
        <v>3.9152649244424688E-5</v>
      </c>
      <c r="V92" s="102">
        <f t="shared" si="42"/>
        <v>3.2340670652335748E-6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211</v>
      </c>
      <c r="C93" s="46" t="s">
        <v>212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1.3499799170682918</v>
      </c>
      <c r="K93" s="55">
        <f t="shared" si="46"/>
        <v>0.55872592004860056</v>
      </c>
      <c r="L93" s="55">
        <f t="shared" si="47"/>
        <v>4.5765226093989232E-3</v>
      </c>
      <c r="M93" s="55">
        <f t="shared" ref="M93:M127" si="52">IF(D93=0,"",1-L93)</f>
        <v>0.99542347739060111</v>
      </c>
      <c r="N93" s="55">
        <f t="shared" si="48"/>
        <v>9.2339902531603636E-4</v>
      </c>
      <c r="O93" s="56">
        <f t="shared" ref="O93:O127" si="53">IF(D93=0,"",F93*K93*$J$7/$J$14)</f>
        <v>5.6183962554381529E-7</v>
      </c>
      <c r="P93" s="56">
        <f t="shared" si="49"/>
        <v>1.2577440834144909E-5</v>
      </c>
      <c r="Q93" s="56">
        <f t="shared" si="50"/>
        <v>9.9910783784854575E-5</v>
      </c>
      <c r="R93" s="9">
        <f>F93*$C$14</f>
        <v>3.9999999999999996E-5</v>
      </c>
      <c r="S93" s="9">
        <f t="shared" si="39"/>
        <v>1.8306090437595692E-7</v>
      </c>
      <c r="T93" s="9">
        <f t="shared" si="40"/>
        <v>2.2349036801944019E-5</v>
      </c>
      <c r="U93" s="9">
        <f t="shared" si="41"/>
        <v>3.9816939095624038E-5</v>
      </c>
      <c r="V93" s="102">
        <f t="shared" si="42"/>
        <v>0.56129469792418629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213</v>
      </c>
      <c r="C94" s="46" t="s">
        <v>214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215</v>
      </c>
      <c r="C95" s="46" t="s">
        <v>216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217</v>
      </c>
      <c r="C96" s="46" t="s">
        <v>218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219</v>
      </c>
      <c r="C97" s="46" t="s">
        <v>220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221</v>
      </c>
      <c r="C98" s="46" t="s">
        <v>222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223</v>
      </c>
      <c r="C99" s="46" t="s">
        <v>224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225</v>
      </c>
      <c r="C100" s="46" t="s">
        <v>226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227</v>
      </c>
      <c r="C101" s="46" t="s">
        <v>228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229</v>
      </c>
      <c r="C102" s="46" t="s">
        <v>230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231</v>
      </c>
      <c r="C103" s="46" t="s">
        <v>232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233</v>
      </c>
      <c r="C104" s="46" t="s">
        <v>234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235</v>
      </c>
      <c r="C105" s="46" t="s">
        <v>236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237</v>
      </c>
      <c r="C106" s="46" t="s">
        <v>238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239</v>
      </c>
      <c r="C107" s="46" t="s">
        <v>240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0.3520515023383351</v>
      </c>
      <c r="K107" s="55">
        <f t="shared" si="46"/>
        <v>0.95134633897556453</v>
      </c>
      <c r="L107" s="55">
        <f t="shared" si="47"/>
        <v>7.8297343863440306E-4</v>
      </c>
      <c r="M107" s="55">
        <f t="shared" si="52"/>
        <v>0.99921702656136557</v>
      </c>
      <c r="N107" s="55">
        <f t="shared" si="48"/>
        <v>1.0330973408930174E-4</v>
      </c>
      <c r="O107" s="56">
        <f t="shared" si="53"/>
        <v>9.5664806602496095E-7</v>
      </c>
      <c r="P107" s="56">
        <f t="shared" si="49"/>
        <v>2.1518089037529281E-6</v>
      </c>
      <c r="Q107" s="56">
        <f t="shared" si="50"/>
        <v>1.1178002383026548E-5</v>
      </c>
      <c r="R107" s="9">
        <f>F107*$C$14</f>
        <v>3.9999999999999996E-5</v>
      </c>
      <c r="S107" s="9">
        <f t="shared" ref="S107:S108" si="54">$R107*L107</f>
        <v>3.131893754537612E-8</v>
      </c>
      <c r="T107" s="9">
        <f t="shared" ref="T107:T108" si="55">R107*K107</f>
        <v>3.8053853559022578E-5</v>
      </c>
      <c r="U107" s="9">
        <f t="shared" ref="U107:U108" si="56">$R107*M107</f>
        <v>3.9968681062454616E-5</v>
      </c>
      <c r="V107" s="102">
        <f t="shared" ref="V107:V108" si="57">K107/M107</f>
        <v>0.95209180156733331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241</v>
      </c>
      <c r="C108" s="46" t="s">
        <v>242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1.0644941049967591</v>
      </c>
      <c r="K108" s="55">
        <f t="shared" si="46"/>
        <v>0.72841866764625418</v>
      </c>
      <c r="L108" s="55">
        <f t="shared" si="47"/>
        <v>3.091947050630602E-3</v>
      </c>
      <c r="M108" s="55">
        <f t="shared" si="52"/>
        <v>0.99690805294936935</v>
      </c>
      <c r="N108" s="55">
        <f t="shared" si="48"/>
        <v>8.1268203546182945E-4</v>
      </c>
      <c r="O108" s="56">
        <f t="shared" si="53"/>
        <v>7.3247804833163528E-7</v>
      </c>
      <c r="P108" s="56">
        <f t="shared" si="49"/>
        <v>8.4974519762555827E-6</v>
      </c>
      <c r="Q108" s="56">
        <f t="shared" si="50"/>
        <v>8.7931324275627071E-5</v>
      </c>
      <c r="R108" s="9">
        <f>F108*$C$14</f>
        <v>3.9999999999999996E-5</v>
      </c>
      <c r="S108" s="9">
        <f t="shared" si="54"/>
        <v>1.2367788202522406E-7</v>
      </c>
      <c r="T108" s="9">
        <f t="shared" si="55"/>
        <v>2.9136746705850164E-5</v>
      </c>
      <c r="U108" s="9">
        <f t="shared" si="56"/>
        <v>3.9876322117974772E-5</v>
      </c>
      <c r="V108" s="102">
        <f t="shared" si="57"/>
        <v>0.73067788497767194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243</v>
      </c>
      <c r="C109" s="46" t="s">
        <v>244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245</v>
      </c>
      <c r="C110" s="46" t="s">
        <v>246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247</v>
      </c>
      <c r="C111" s="46" t="s">
        <v>248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249</v>
      </c>
      <c r="C112" s="46" t="s">
        <v>250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251</v>
      </c>
      <c r="C113" s="46" t="s">
        <v>252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253</v>
      </c>
      <c r="C114" s="46" t="s">
        <v>254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0.91828095208380334</v>
      </c>
      <c r="K114" s="55">
        <f t="shared" si="46"/>
        <v>0.7995087652881312</v>
      </c>
      <c r="L114" s="55">
        <f t="shared" si="47"/>
        <v>2.4236006335773713E-3</v>
      </c>
      <c r="M114" s="55">
        <f t="shared" si="52"/>
        <v>0.99757639936642262</v>
      </c>
      <c r="N114" s="55">
        <f t="shared" si="48"/>
        <v>6.9333451734935876E-4</v>
      </c>
      <c r="O114" s="56">
        <f t="shared" si="53"/>
        <v>8.0396432166492024E-7</v>
      </c>
      <c r="P114" s="56">
        <f t="shared" si="49"/>
        <v>6.6606670994725103E-6</v>
      </c>
      <c r="Q114" s="56">
        <f t="shared" si="50"/>
        <v>7.5018050868918621E-5</v>
      </c>
      <c r="R114" s="9">
        <f>F114*$C$14</f>
        <v>3.9999999999999996E-5</v>
      </c>
      <c r="S114" s="9">
        <f t="shared" ref="S114:S116" si="58">$R114*L114</f>
        <v>9.6944025343094847E-8</v>
      </c>
      <c r="T114" s="9">
        <f t="shared" ref="T114:T116" si="59">R114*K114</f>
        <v>3.1980350611525248E-5</v>
      </c>
      <c r="U114" s="9">
        <f t="shared" ref="U114:U116" si="60">$R114*M114</f>
        <v>3.9903055974656903E-5</v>
      </c>
      <c r="V114" s="102">
        <f t="shared" ref="V114:V116" si="61">K114/M114</f>
        <v>0.8014511628341574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255</v>
      </c>
      <c r="C115" s="46" t="s">
        <v>256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0.17110445915344102</v>
      </c>
      <c r="J115" s="54">
        <f t="shared" si="45"/>
        <v>1.1278069815675698</v>
      </c>
      <c r="K115" s="55">
        <f t="shared" si="46"/>
        <v>0.66866958578097724</v>
      </c>
      <c r="L115" s="55">
        <f t="shared" si="47"/>
        <v>3.2837903881315182E-3</v>
      </c>
      <c r="M115" s="55">
        <f t="shared" si="52"/>
        <v>0.99671620961186846</v>
      </c>
      <c r="N115" s="55">
        <f t="shared" si="48"/>
        <v>3.314348426078481E-4</v>
      </c>
      <c r="O115" s="56">
        <f t="shared" si="53"/>
        <v>6.7239599275266033E-7</v>
      </c>
      <c r="P115" s="56">
        <f t="shared" si="49"/>
        <v>9.0246859555846147E-6</v>
      </c>
      <c r="Q115" s="56">
        <f t="shared" si="50"/>
        <v>3.5860894359539388E-5</v>
      </c>
      <c r="R115" s="9">
        <f>F115*$C$14</f>
        <v>3.9999999999999996E-5</v>
      </c>
      <c r="S115" s="9">
        <f t="shared" si="58"/>
        <v>1.3135161552526072E-7</v>
      </c>
      <c r="T115" s="9">
        <f t="shared" si="59"/>
        <v>2.6746783431239086E-5</v>
      </c>
      <c r="U115" s="9">
        <f t="shared" si="60"/>
        <v>3.9868648384474737E-5</v>
      </c>
      <c r="V115" s="102">
        <f t="shared" si="61"/>
        <v>0.67087259074613026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257</v>
      </c>
      <c r="C116" s="46" t="s">
        <v>258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0.12333905997992552</v>
      </c>
      <c r="K116" s="55">
        <f t="shared" si="46"/>
        <v>0.98114010410303576</v>
      </c>
      <c r="L116" s="55">
        <f t="shared" si="47"/>
        <v>4.7689960606240672E-4</v>
      </c>
      <c r="M116" s="55">
        <f t="shared" si="52"/>
        <v>0.99952310039393755</v>
      </c>
      <c r="N116" s="55">
        <f t="shared" si="48"/>
        <v>1.2458237914707905E-5</v>
      </c>
      <c r="O116" s="56">
        <f t="shared" si="53"/>
        <v>9.8660786785642555E-7</v>
      </c>
      <c r="P116" s="56">
        <f t="shared" si="49"/>
        <v>1.3106406525247626E-6</v>
      </c>
      <c r="Q116" s="56">
        <f t="shared" si="50"/>
        <v>1.3479679753946592E-6</v>
      </c>
      <c r="R116" s="9">
        <f>F116*$C$14</f>
        <v>3.9999999999999996E-5</v>
      </c>
      <c r="S116" s="9">
        <f t="shared" si="58"/>
        <v>1.9075984242496268E-8</v>
      </c>
      <c r="T116" s="9">
        <f t="shared" si="59"/>
        <v>3.9245604164121429E-5</v>
      </c>
      <c r="U116" s="9">
        <f t="shared" si="60"/>
        <v>3.9980924015757497E-5</v>
      </c>
      <c r="V116" s="102">
        <f t="shared" si="61"/>
        <v>0.98160823268250974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259</v>
      </c>
      <c r="C117" s="46" t="s">
        <v>260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261</v>
      </c>
      <c r="C118" s="46" t="s">
        <v>262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263</v>
      </c>
      <c r="C119" s="46" t="s">
        <v>264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2.99110327595359</v>
      </c>
      <c r="K119" s="55">
        <f t="shared" si="46"/>
        <v>3.5253376792056118E-2</v>
      </c>
      <c r="L119" s="55">
        <f t="shared" si="47"/>
        <v>1.2637491444960397E-2</v>
      </c>
      <c r="M119" s="55">
        <f t="shared" si="52"/>
        <v>0.9873625085550396</v>
      </c>
      <c r="N119" s="55">
        <f t="shared" si="48"/>
        <v>6.7385167970327843E-3</v>
      </c>
      <c r="O119" s="56">
        <f t="shared" si="53"/>
        <v>3.5449839188203317E-8</v>
      </c>
      <c r="P119" s="56">
        <f t="shared" si="49"/>
        <v>3.4731020581995516E-5</v>
      </c>
      <c r="Q119" s="56">
        <f t="shared" si="50"/>
        <v>7.2910028739583195E-4</v>
      </c>
      <c r="R119" s="9">
        <f>F119*$C$14</f>
        <v>3.9999999999999996E-5</v>
      </c>
      <c r="S119" s="9">
        <f t="shared" ref="S119:S121" si="62">$R119*L119</f>
        <v>5.054996577984159E-7</v>
      </c>
      <c r="T119" s="9">
        <f t="shared" ref="T119:T121" si="63">R119*K119</f>
        <v>1.4101350716822445E-6</v>
      </c>
      <c r="U119" s="9">
        <f t="shared" ref="U119:U121" si="64">$R119*M119</f>
        <v>3.9494500342201581E-5</v>
      </c>
      <c r="V119" s="102">
        <f t="shared" ref="V119:V121" si="65">K119/M119</f>
        <v>3.5704593284231381E-2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265</v>
      </c>
      <c r="C120" s="46" t="s">
        <v>266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1.230285659988247</v>
      </c>
      <c r="K120" s="55">
        <f t="shared" si="46"/>
        <v>0.63666673373158966</v>
      </c>
      <c r="L120" s="55">
        <f t="shared" si="47"/>
        <v>3.9587191695196373E-3</v>
      </c>
      <c r="M120" s="55">
        <f t="shared" si="52"/>
        <v>0.99604128083048038</v>
      </c>
      <c r="N120" s="55">
        <f t="shared" si="48"/>
        <v>9.7328213264715217E-4</v>
      </c>
      <c r="O120" s="56">
        <f t="shared" si="53"/>
        <v>6.4021479305067047E-7</v>
      </c>
      <c r="P120" s="56">
        <f t="shared" si="49"/>
        <v>1.0879560833234461E-5</v>
      </c>
      <c r="Q120" s="56">
        <f t="shared" si="50"/>
        <v>1.0530808247636019E-4</v>
      </c>
      <c r="R120" s="9">
        <f>F120*$C$14</f>
        <v>3.9999999999999996E-5</v>
      </c>
      <c r="S120" s="9">
        <f t="shared" si="62"/>
        <v>1.5834876678078548E-7</v>
      </c>
      <c r="T120" s="9">
        <f t="shared" si="63"/>
        <v>2.5466669349263583E-5</v>
      </c>
      <c r="U120" s="9">
        <f t="shared" si="64"/>
        <v>3.9841651233219213E-5</v>
      </c>
      <c r="V120" s="102">
        <f t="shared" si="65"/>
        <v>0.63919713568573078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267</v>
      </c>
      <c r="C121" s="46" t="s">
        <v>268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3.5008633770815112</v>
      </c>
      <c r="K121" s="55">
        <f t="shared" si="46"/>
        <v>9.9620550230803042E-3</v>
      </c>
      <c r="L121" s="55">
        <f t="shared" si="47"/>
        <v>1.1549659719202538E-2</v>
      </c>
      <c r="M121" s="55">
        <f t="shared" si="52"/>
        <v>0.98845034028079748</v>
      </c>
      <c r="N121" s="55">
        <f t="shared" si="48"/>
        <v>4.6967617290645525E-3</v>
      </c>
      <c r="O121" s="56">
        <f t="shared" si="53"/>
        <v>1.0017572235287495E-8</v>
      </c>
      <c r="P121" s="56">
        <f t="shared" si="49"/>
        <v>3.1741384053132788E-5</v>
      </c>
      <c r="Q121" s="56">
        <f t="shared" si="50"/>
        <v>5.0818457972807952E-4</v>
      </c>
      <c r="R121" s="9">
        <f>F121*$C$14</f>
        <v>3.9999999999999996E-5</v>
      </c>
      <c r="S121" s="9">
        <f t="shared" si="62"/>
        <v>4.6198638876810149E-7</v>
      </c>
      <c r="T121" s="9">
        <f t="shared" si="63"/>
        <v>3.9848220092321212E-7</v>
      </c>
      <c r="U121" s="9">
        <f t="shared" si="64"/>
        <v>3.9538013611231892E-5</v>
      </c>
      <c r="V121" s="102">
        <f t="shared" si="65"/>
        <v>1.0078457780944563E-2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269</v>
      </c>
      <c r="C122" s="46" t="s">
        <v>270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271</v>
      </c>
      <c r="C123" s="46" t="s">
        <v>272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273</v>
      </c>
      <c r="C124" s="46" t="s">
        <v>274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2.1404001457997324</v>
      </c>
      <c r="K124" s="55">
        <f t="shared" si="68"/>
        <v>0.20519529584652399</v>
      </c>
      <c r="L124" s="55">
        <f t="shared" si="69"/>
        <v>1.0373478756160216E-2</v>
      </c>
      <c r="M124" s="55">
        <f t="shared" si="52"/>
        <v>0.98962652124383976</v>
      </c>
      <c r="N124" s="55">
        <f t="shared" si="70"/>
        <v>5.4055761866551892E-3</v>
      </c>
      <c r="O124" s="56">
        <f t="shared" si="53"/>
        <v>2.0633882203233966E-7</v>
      </c>
      <c r="P124" s="56">
        <f t="shared" si="71"/>
        <v>2.8508941490185332E-5</v>
      </c>
      <c r="Q124" s="56">
        <f t="shared" si="72"/>
        <v>5.8487754352201389E-4</v>
      </c>
      <c r="R124" s="9">
        <f>F124*$C$14</f>
        <v>3.9999999999999996E-5</v>
      </c>
      <c r="S124" s="9">
        <f t="shared" ref="S124:S127" si="73">$R124*L124</f>
        <v>4.1493915024640863E-7</v>
      </c>
      <c r="T124" s="9">
        <f t="shared" ref="T124:T127" si="74">R124*K124</f>
        <v>8.2078118338609595E-6</v>
      </c>
      <c r="U124" s="9">
        <f t="shared" ref="U124:U127" si="75">$R124*M124</f>
        <v>3.9585060849753589E-5</v>
      </c>
      <c r="V124" s="102">
        <f t="shared" ref="V124:V127" si="76">K124/M124</f>
        <v>0.20734619721854114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275</v>
      </c>
      <c r="C125" s="46" t="s">
        <v>276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277</v>
      </c>
      <c r="C126" s="46" t="s">
        <v>278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1.5667194506995812</v>
      </c>
      <c r="K126" s="55">
        <f t="shared" si="68"/>
        <v>0.44895238217919298</v>
      </c>
      <c r="L126" s="55">
        <f t="shared" si="69"/>
        <v>6.057265457081718E-3</v>
      </c>
      <c r="M126" s="55">
        <f t="shared" si="52"/>
        <v>0.99394273454291826</v>
      </c>
      <c r="N126" s="55">
        <f t="shared" si="70"/>
        <v>1.8131965029210581E-3</v>
      </c>
      <c r="O126" s="56">
        <f t="shared" si="53"/>
        <v>4.5145433429796971E-7</v>
      </c>
      <c r="P126" s="56">
        <f t="shared" si="71"/>
        <v>1.6646896433264007E-5</v>
      </c>
      <c r="Q126" s="56">
        <f t="shared" si="72"/>
        <v>1.9618591615991625E-4</v>
      </c>
      <c r="R126" s="9">
        <f>F126*$C$14</f>
        <v>3.9999999999999996E-5</v>
      </c>
      <c r="S126" s="9">
        <f t="shared" si="73"/>
        <v>2.4229061828326868E-7</v>
      </c>
      <c r="T126" s="9">
        <f t="shared" si="74"/>
        <v>1.7958095287167716E-5</v>
      </c>
      <c r="U126" s="9">
        <f t="shared" si="75"/>
        <v>3.9757709381716724E-5</v>
      </c>
      <c r="V126" s="102">
        <f t="shared" si="76"/>
        <v>0.45168837859220479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279</v>
      </c>
      <c r="C127" s="46" t="s">
        <v>280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1.4181008827978875E-2</v>
      </c>
      <c r="K127" s="55">
        <f t="shared" si="68"/>
        <v>0.99319776388677683</v>
      </c>
      <c r="L127" s="55">
        <f t="shared" si="69"/>
        <v>3.7546859520726288E-4</v>
      </c>
      <c r="M127" s="55">
        <f t="shared" si="52"/>
        <v>0.99962453140479268</v>
      </c>
      <c r="N127" s="55">
        <f t="shared" si="70"/>
        <v>1.0969461938156959E-5</v>
      </c>
      <c r="O127" s="56">
        <f t="shared" si="53"/>
        <v>9.9873272337993967E-7</v>
      </c>
      <c r="P127" s="56">
        <f t="shared" si="71"/>
        <v>1.0318825982854899E-6</v>
      </c>
      <c r="Q127" s="56">
        <f t="shared" si="72"/>
        <v>1.1868840121033192E-6</v>
      </c>
      <c r="R127" s="9">
        <f>F127*$C$14</f>
        <v>3.9999999999999996E-5</v>
      </c>
      <c r="S127" s="9">
        <f t="shared" si="73"/>
        <v>1.5018743808290515E-8</v>
      </c>
      <c r="T127" s="9">
        <f t="shared" si="74"/>
        <v>3.9727910555471071E-5</v>
      </c>
      <c r="U127" s="9">
        <f t="shared" si="75"/>
        <v>3.9984981256191707E-5</v>
      </c>
      <c r="V127" s="102">
        <f t="shared" si="76"/>
        <v>0.99357081852624785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281</v>
      </c>
      <c r="C128" s="46" t="s">
        <v>282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283</v>
      </c>
      <c r="C129" s="46" t="s">
        <v>284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285</v>
      </c>
      <c r="C130" s="46" t="s">
        <v>286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0.35181253681606744</v>
      </c>
      <c r="K130" s="55">
        <f t="shared" si="79"/>
        <v>0.94791171981989986</v>
      </c>
      <c r="L130" s="55">
        <f t="shared" si="80"/>
        <v>7.7971754283723282E-4</v>
      </c>
      <c r="M130" s="55">
        <f t="shared" si="81"/>
        <v>0.99922028245716277</v>
      </c>
      <c r="N130" s="55">
        <f t="shared" si="82"/>
        <v>5.3187611187271465E-5</v>
      </c>
      <c r="O130" s="56">
        <f t="shared" si="83"/>
        <v>9.5319430619198884E-7</v>
      </c>
      <c r="P130" s="56">
        <f t="shared" si="84"/>
        <v>2.1428608791835875E-6</v>
      </c>
      <c r="Q130" s="56">
        <f t="shared" si="85"/>
        <v>5.7548424631980227E-6</v>
      </c>
      <c r="R130" s="9">
        <f>F130*$C$14</f>
        <v>3.9999999999999996E-5</v>
      </c>
      <c r="S130" s="9">
        <f t="shared" ref="S130:S131" si="86">$R130*L130</f>
        <v>3.1188701713489312E-8</v>
      </c>
      <c r="T130" s="9">
        <f t="shared" ref="T130:T131" si="87">R130*K130</f>
        <v>3.7916468792795992E-5</v>
      </c>
      <c r="U130" s="9">
        <f t="shared" ref="U130:U131" si="88">$R130*M130</f>
        <v>3.9968811298286507E-5</v>
      </c>
      <c r="V130" s="102">
        <f t="shared" ref="V130:V131" si="89">K130/M130</f>
        <v>0.94865139995848458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287</v>
      </c>
      <c r="C131" s="46" t="s">
        <v>288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-1.7348312570192835E-2</v>
      </c>
      <c r="K131" s="55">
        <f t="shared" si="79"/>
        <v>0.99580848595364513</v>
      </c>
      <c r="L131" s="55">
        <f t="shared" si="80"/>
        <v>3.5009377296999492E-4</v>
      </c>
      <c r="M131" s="55">
        <f t="shared" si="81"/>
        <v>0.99964990622702998</v>
      </c>
      <c r="N131" s="55">
        <f t="shared" si="82"/>
        <v>5.2809422143826138E-6</v>
      </c>
      <c r="O131" s="56">
        <f t="shared" si="83"/>
        <v>1.0013579946548443E-6</v>
      </c>
      <c r="P131" s="56">
        <f t="shared" si="84"/>
        <v>9.6214617336086797E-7</v>
      </c>
      <c r="Q131" s="56">
        <f t="shared" si="85"/>
        <v>5.7139228144724515E-7</v>
      </c>
      <c r="R131" s="9">
        <f>F131*$C$14</f>
        <v>3.9999999999999996E-5</v>
      </c>
      <c r="S131" s="9">
        <f t="shared" si="86"/>
        <v>1.4003750918799796E-8</v>
      </c>
      <c r="T131" s="9">
        <f t="shared" si="87"/>
        <v>3.9832339438145805E-5</v>
      </c>
      <c r="U131" s="9">
        <f t="shared" si="88"/>
        <v>3.9985996249081194E-5</v>
      </c>
      <c r="V131" s="102">
        <f t="shared" si="89"/>
        <v>0.99615723439830706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289</v>
      </c>
      <c r="C132" s="46" t="s">
        <v>290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291</v>
      </c>
      <c r="C133" s="46" t="s">
        <v>292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293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2024-10-28T22:56:22Z</dcterms:modified>
</cp:coreProperties>
</file>