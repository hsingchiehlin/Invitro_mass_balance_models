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A49CC513-AAC3-4142-B197-AE48C8EB1561}" xr6:coauthVersionLast="47" xr6:coauthVersionMax="47" xr10:uidLastSave="{00000000-0000-0000-0000-000000000000}"/>
  <bookViews>
    <workbookView minimized="1" xWindow="44670" yWindow="1470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S131" i="4"/>
  <c r="R131" i="4"/>
  <c r="U131" i="4" s="1"/>
  <c r="V130" i="4"/>
  <c r="R130" i="4"/>
  <c r="U130" i="4" s="1"/>
  <c r="V127" i="4"/>
  <c r="U127" i="4"/>
  <c r="T127" i="4"/>
  <c r="R127" i="4"/>
  <c r="S127" i="4" s="1"/>
  <c r="V126" i="4"/>
  <c r="R126" i="4"/>
  <c r="S126" i="4" s="1"/>
  <c r="V124" i="4"/>
  <c r="U124" i="4"/>
  <c r="T124" i="4"/>
  <c r="S124" i="4"/>
  <c r="R124" i="4"/>
  <c r="V121" i="4"/>
  <c r="R121" i="4"/>
  <c r="U121" i="4" s="1"/>
  <c r="V120" i="4"/>
  <c r="R120" i="4"/>
  <c r="V119" i="4"/>
  <c r="R119" i="4"/>
  <c r="U119" i="4" s="1"/>
  <c r="V116" i="4"/>
  <c r="R116" i="4"/>
  <c r="S116" i="4" s="1"/>
  <c r="V115" i="4"/>
  <c r="U115" i="4"/>
  <c r="T115" i="4"/>
  <c r="S115" i="4"/>
  <c r="R115" i="4"/>
  <c r="V114" i="4"/>
  <c r="R114" i="4"/>
  <c r="U114" i="4" s="1"/>
  <c r="V108" i="4"/>
  <c r="R108" i="4"/>
  <c r="V107" i="4"/>
  <c r="S107" i="4"/>
  <c r="R107" i="4"/>
  <c r="U107" i="4" s="1"/>
  <c r="V93" i="4"/>
  <c r="R93" i="4"/>
  <c r="V92" i="4"/>
  <c r="U92" i="4"/>
  <c r="T92" i="4"/>
  <c r="R92" i="4"/>
  <c r="S92" i="4" s="1"/>
  <c r="V91" i="4"/>
  <c r="R91" i="4"/>
  <c r="S91" i="4" s="1"/>
  <c r="V90" i="4"/>
  <c r="U90" i="4"/>
  <c r="T90" i="4"/>
  <c r="S90" i="4"/>
  <c r="R90" i="4"/>
  <c r="V89" i="4"/>
  <c r="R89" i="4"/>
  <c r="U89" i="4" s="1"/>
  <c r="V88" i="4"/>
  <c r="R88" i="4"/>
  <c r="V86" i="4"/>
  <c r="R86" i="4"/>
  <c r="U86" i="4" s="1"/>
  <c r="V85" i="4"/>
  <c r="R85" i="4"/>
  <c r="U85" i="4" s="1"/>
  <c r="V84" i="4"/>
  <c r="U84" i="4"/>
  <c r="T84" i="4"/>
  <c r="S84" i="4"/>
  <c r="R84" i="4"/>
  <c r="V83" i="4"/>
  <c r="R83" i="4"/>
  <c r="U83" i="4" s="1"/>
  <c r="V82" i="4"/>
  <c r="R82" i="4"/>
  <c r="V81" i="4"/>
  <c r="S81" i="4"/>
  <c r="R81" i="4"/>
  <c r="U81" i="4" s="1"/>
  <c r="V80" i="4"/>
  <c r="R80" i="4"/>
  <c r="U80" i="4" s="1"/>
  <c r="V79" i="4"/>
  <c r="U79" i="4"/>
  <c r="T79" i="4"/>
  <c r="R79" i="4"/>
  <c r="S79" i="4" s="1"/>
  <c r="V78" i="4"/>
  <c r="R78" i="4"/>
  <c r="T78" i="4" s="1"/>
  <c r="V77" i="4"/>
  <c r="U77" i="4"/>
  <c r="T77" i="4"/>
  <c r="S77" i="4"/>
  <c r="R77" i="4"/>
  <c r="V76" i="4"/>
  <c r="R76" i="4"/>
  <c r="U76" i="4" s="1"/>
  <c r="V75" i="4"/>
  <c r="R75" i="4"/>
  <c r="V74" i="4"/>
  <c r="R74" i="4"/>
  <c r="U74" i="4" s="1"/>
  <c r="V73" i="4"/>
  <c r="R73" i="4"/>
  <c r="U73" i="4" s="1"/>
  <c r="V72" i="4"/>
  <c r="U72" i="4"/>
  <c r="T72" i="4"/>
  <c r="S72" i="4"/>
  <c r="R72" i="4"/>
  <c r="V71" i="4"/>
  <c r="R71" i="4"/>
  <c r="U71" i="4" s="1"/>
  <c r="V70" i="4"/>
  <c r="R70" i="4"/>
  <c r="V69" i="4"/>
  <c r="S69" i="4"/>
  <c r="R69" i="4"/>
  <c r="U69" i="4" s="1"/>
  <c r="V68" i="4"/>
  <c r="R68" i="4"/>
  <c r="V65" i="4"/>
  <c r="U65" i="4"/>
  <c r="T65" i="4"/>
  <c r="R65" i="4"/>
  <c r="S65" i="4" s="1"/>
  <c r="V64" i="4"/>
  <c r="R64" i="4"/>
  <c r="U64" i="4" s="1"/>
  <c r="V63" i="4"/>
  <c r="U63" i="4"/>
  <c r="T63" i="4"/>
  <c r="S63" i="4"/>
  <c r="R63" i="4"/>
  <c r="V62" i="4"/>
  <c r="R62" i="4"/>
  <c r="U62" i="4" s="1"/>
  <c r="V61" i="4"/>
  <c r="R61" i="4"/>
  <c r="V60" i="4"/>
  <c r="R60" i="4"/>
  <c r="U60" i="4" s="1"/>
  <c r="V58" i="4"/>
  <c r="R58" i="4"/>
  <c r="U58" i="4" s="1"/>
  <c r="V57" i="4"/>
  <c r="U57" i="4"/>
  <c r="T57" i="4"/>
  <c r="S57" i="4"/>
  <c r="R57" i="4"/>
  <c r="V49" i="4"/>
  <c r="R49" i="4"/>
  <c r="U49" i="4" s="1"/>
  <c r="V48" i="4"/>
  <c r="T48" i="4"/>
  <c r="R48" i="4"/>
  <c r="U48" i="4" s="1"/>
  <c r="V47" i="4"/>
  <c r="S47" i="4"/>
  <c r="R47" i="4"/>
  <c r="U47" i="4" s="1"/>
  <c r="V46" i="4"/>
  <c r="R46" i="4"/>
  <c r="V45" i="4"/>
  <c r="U45" i="4"/>
  <c r="T45" i="4"/>
  <c r="R45" i="4"/>
  <c r="S45" i="4" s="1"/>
  <c r="V44" i="4"/>
  <c r="R44" i="4"/>
  <c r="U44" i="4" s="1"/>
  <c r="V43" i="4"/>
  <c r="U43" i="4"/>
  <c r="T43" i="4"/>
  <c r="S43" i="4"/>
  <c r="R43" i="4"/>
  <c r="V42" i="4"/>
  <c r="R42" i="4"/>
  <c r="U42" i="4" s="1"/>
  <c r="V41" i="4"/>
  <c r="R41" i="4"/>
  <c r="V40" i="4"/>
  <c r="R40" i="4"/>
  <c r="U40" i="4" s="1"/>
  <c r="V39" i="4"/>
  <c r="R39" i="4"/>
  <c r="U39" i="4" s="1"/>
  <c r="V38" i="4"/>
  <c r="U38" i="4"/>
  <c r="T38" i="4"/>
  <c r="S38" i="4"/>
  <c r="R38" i="4"/>
  <c r="V37" i="4"/>
  <c r="R37" i="4"/>
  <c r="U37" i="4" s="1"/>
  <c r="V36" i="4"/>
  <c r="T36" i="4"/>
  <c r="R36" i="4"/>
  <c r="U36" i="4" s="1"/>
  <c r="V35" i="4"/>
  <c r="S35" i="4"/>
  <c r="R35" i="4"/>
  <c r="U35" i="4" s="1"/>
  <c r="V34" i="4"/>
  <c r="R34" i="4"/>
  <c r="V33" i="4"/>
  <c r="U33" i="4"/>
  <c r="T33" i="4"/>
  <c r="R33" i="4"/>
  <c r="S33" i="4" s="1"/>
  <c r="V32" i="4"/>
  <c r="R32" i="4"/>
  <c r="U32" i="4" s="1"/>
  <c r="V31" i="4"/>
  <c r="U31" i="4"/>
  <c r="T31" i="4"/>
  <c r="S31" i="4"/>
  <c r="R31" i="4"/>
  <c r="V30" i="4"/>
  <c r="R30" i="4"/>
  <c r="U30" i="4" s="1"/>
  <c r="V29" i="4"/>
  <c r="R29" i="4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 s="1"/>
  <c r="I131" i="4"/>
  <c r="J131" i="4"/>
  <c r="K131" i="4"/>
  <c r="L131" i="4"/>
  <c r="M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120" i="4" l="1"/>
  <c r="T120" i="4"/>
  <c r="S120" i="4"/>
  <c r="U70" i="4"/>
  <c r="T70" i="4"/>
  <c r="T88" i="4"/>
  <c r="U88" i="4"/>
  <c r="S88" i="4"/>
  <c r="U34" i="4"/>
  <c r="T34" i="4"/>
  <c r="S34" i="4"/>
  <c r="U46" i="4"/>
  <c r="T46" i="4"/>
  <c r="S46" i="4"/>
  <c r="U68" i="4"/>
  <c r="T68" i="4"/>
  <c r="S68" i="4"/>
  <c r="U108" i="4"/>
  <c r="T108" i="4"/>
  <c r="S108" i="4"/>
  <c r="U82" i="4"/>
  <c r="T82" i="4"/>
  <c r="S82" i="4"/>
  <c r="S36" i="4"/>
  <c r="S48" i="4"/>
  <c r="S70" i="4"/>
  <c r="U75" i="4"/>
  <c r="T75" i="4"/>
  <c r="S75" i="4"/>
  <c r="U29" i="4"/>
  <c r="T29" i="4"/>
  <c r="U41" i="4"/>
  <c r="T41" i="4"/>
  <c r="U61" i="4"/>
  <c r="T61" i="4"/>
  <c r="U93" i="4"/>
  <c r="T93" i="4"/>
  <c r="S93" i="4"/>
  <c r="S29" i="4"/>
  <c r="S41" i="4"/>
  <c r="S61" i="4"/>
  <c r="S80" i="4"/>
  <c r="S130" i="4"/>
  <c r="S39" i="4"/>
  <c r="S58" i="4"/>
  <c r="S73" i="4"/>
  <c r="T80" i="4"/>
  <c r="S85" i="4"/>
  <c r="T130" i="4"/>
  <c r="S32" i="4"/>
  <c r="T39" i="4"/>
  <c r="S44" i="4"/>
  <c r="T58" i="4"/>
  <c r="S64" i="4"/>
  <c r="T73" i="4"/>
  <c r="S78" i="4"/>
  <c r="T85" i="4"/>
  <c r="T116" i="4"/>
  <c r="T32" i="4"/>
  <c r="S37" i="4"/>
  <c r="T44" i="4"/>
  <c r="S49" i="4"/>
  <c r="T64" i="4"/>
  <c r="S71" i="4"/>
  <c r="S83" i="4"/>
  <c r="T91" i="4"/>
  <c r="S114" i="4"/>
  <c r="U116" i="4"/>
  <c r="T126" i="4"/>
  <c r="S30" i="4"/>
  <c r="T37" i="4"/>
  <c r="S42" i="4"/>
  <c r="T49" i="4"/>
  <c r="S62" i="4"/>
  <c r="T71" i="4"/>
  <c r="S76" i="4"/>
  <c r="U78" i="4"/>
  <c r="T83" i="4"/>
  <c r="S89" i="4"/>
  <c r="U91" i="4"/>
  <c r="T114" i="4"/>
  <c r="S121" i="4"/>
  <c r="U126" i="4"/>
  <c r="T30" i="4"/>
  <c r="T42" i="4"/>
  <c r="T62" i="4"/>
  <c r="T76" i="4"/>
  <c r="T89" i="4"/>
  <c r="T121" i="4"/>
  <c r="S28" i="4"/>
  <c r="T35" i="4"/>
  <c r="S40" i="4"/>
  <c r="T47" i="4"/>
  <c r="S60" i="4"/>
  <c r="T69" i="4"/>
  <c r="S74" i="4"/>
  <c r="T81" i="4"/>
  <c r="S86" i="4"/>
  <c r="T107" i="4"/>
  <c r="S119" i="4"/>
  <c r="T131" i="4"/>
  <c r="T28" i="4"/>
  <c r="T40" i="4"/>
  <c r="T60" i="4"/>
  <c r="T74" i="4"/>
  <c r="T86" i="4"/>
  <c r="T119" i="4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 s="1"/>
  <c r="J122" i="4"/>
  <c r="K122" i="4"/>
  <c r="J117" i="4"/>
  <c r="K117" i="4"/>
  <c r="J120" i="4"/>
  <c r="K120" i="4"/>
  <c r="O120" i="4" s="1"/>
  <c r="P120" i="4" s="1"/>
  <c r="J101" i="4"/>
  <c r="K101" i="4"/>
  <c r="J86" i="4"/>
  <c r="K86" i="4" s="1"/>
  <c r="J85" i="4"/>
  <c r="K85" i="4" s="1"/>
  <c r="J88" i="4"/>
  <c r="K88" i="4" s="1"/>
  <c r="J119" i="4"/>
  <c r="K119" i="4"/>
  <c r="O119" i="4" s="1"/>
  <c r="P119" i="4" s="1"/>
  <c r="J72" i="4"/>
  <c r="K72" i="4"/>
  <c r="J103" i="4"/>
  <c r="K103" i="4"/>
  <c r="J118" i="4"/>
  <c r="K118" i="4"/>
  <c r="J104" i="4"/>
  <c r="K104" i="4"/>
  <c r="J90" i="4"/>
  <c r="K90" i="4" s="1"/>
  <c r="J71" i="4"/>
  <c r="K71" i="4"/>
  <c r="O71" i="4" s="1"/>
  <c r="P71" i="4" s="1"/>
  <c r="J110" i="4"/>
  <c r="K110" i="4"/>
  <c r="J82" i="4"/>
  <c r="K82" i="4"/>
  <c r="J113" i="4"/>
  <c r="K113" i="4"/>
  <c r="J97" i="4"/>
  <c r="K97" i="4" s="1"/>
  <c r="J81" i="4"/>
  <c r="K81" i="4" s="1"/>
  <c r="J116" i="4"/>
  <c r="L116" i="4" s="1"/>
  <c r="M116" i="4" s="1"/>
  <c r="K116" i="4"/>
  <c r="J100" i="4"/>
  <c r="K100" i="4"/>
  <c r="O100" i="4"/>
  <c r="J84" i="4"/>
  <c r="K84" i="4" s="1"/>
  <c r="J114" i="4"/>
  <c r="L114" i="4" s="1"/>
  <c r="M114" i="4" s="1"/>
  <c r="K114" i="4"/>
  <c r="O114" i="4" s="1"/>
  <c r="P114" i="4" s="1"/>
  <c r="J78" i="4"/>
  <c r="L78" i="4" s="1"/>
  <c r="K78" i="4"/>
  <c r="J115" i="4"/>
  <c r="K115" i="4" s="1"/>
  <c r="O115" i="4" s="1"/>
  <c r="P115" i="4" s="1"/>
  <c r="J99" i="4"/>
  <c r="K99" i="4"/>
  <c r="J83" i="4"/>
  <c r="K83" i="4"/>
  <c r="J102" i="4"/>
  <c r="K102" i="4"/>
  <c r="J74" i="4"/>
  <c r="K74" i="4" s="1"/>
  <c r="J125" i="4"/>
  <c r="K125" i="4"/>
  <c r="J109" i="4"/>
  <c r="K109" i="4"/>
  <c r="J93" i="4"/>
  <c r="K93" i="4"/>
  <c r="J77" i="4"/>
  <c r="K77" i="4"/>
  <c r="J112" i="4"/>
  <c r="K112" i="4"/>
  <c r="J96" i="4"/>
  <c r="K96" i="4" s="1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 s="1"/>
  <c r="J126" i="4"/>
  <c r="K126" i="4"/>
  <c r="O126" i="4" s="1"/>
  <c r="P126" i="4" s="1"/>
  <c r="J94" i="4"/>
  <c r="K94" i="4"/>
  <c r="J121" i="4"/>
  <c r="L121" i="4" s="1"/>
  <c r="M121" i="4" s="1"/>
  <c r="K121" i="4"/>
  <c r="O121" i="4" s="1"/>
  <c r="P121" i="4" s="1"/>
  <c r="J105" i="4"/>
  <c r="K105" i="4"/>
  <c r="J89" i="4"/>
  <c r="K89" i="4" s="1"/>
  <c r="J73" i="4"/>
  <c r="K73" i="4" s="1"/>
  <c r="J124" i="4"/>
  <c r="K124" i="4"/>
  <c r="J108" i="4"/>
  <c r="K108" i="4"/>
  <c r="J92" i="4"/>
  <c r="K92" i="4"/>
  <c r="J76" i="4"/>
  <c r="L76" i="4" s="1"/>
  <c r="K76" i="4"/>
  <c r="J98" i="4"/>
  <c r="K98" i="4"/>
  <c r="J123" i="4"/>
  <c r="K123" i="4"/>
  <c r="J107" i="4"/>
  <c r="K107" i="4"/>
  <c r="O107" i="4" s="1"/>
  <c r="P107" i="4" s="1"/>
  <c r="J91" i="4"/>
  <c r="K91" i="4"/>
  <c r="J75" i="4"/>
  <c r="K75" i="4"/>
  <c r="P100" i="4"/>
  <c r="O112" i="4"/>
  <c r="P112" i="4"/>
  <c r="O98" i="4"/>
  <c r="P98" i="4"/>
  <c r="O108" i="4"/>
  <c r="P108" i="4"/>
  <c r="O105" i="4"/>
  <c r="P105" i="4"/>
  <c r="O111" i="4"/>
  <c r="P111" i="4"/>
  <c r="O104" i="4"/>
  <c r="P104" i="4"/>
  <c r="O91" i="4"/>
  <c r="P91" i="4"/>
  <c r="O124" i="4"/>
  <c r="P124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6" i="4"/>
  <c r="P116" i="4"/>
  <c r="O113" i="4"/>
  <c r="P113" i="4"/>
  <c r="O103" i="4"/>
  <c r="P103" i="4"/>
  <c r="O122" i="4"/>
  <c r="P122" i="4"/>
  <c r="O123" i="4"/>
  <c r="P123" i="4"/>
  <c r="O94" i="4"/>
  <c r="P94" i="4"/>
  <c r="O125" i="4"/>
  <c r="P125" i="4"/>
  <c r="O99" i="4"/>
  <c r="P99" i="4"/>
  <c r="O101" i="4"/>
  <c r="P101" i="4"/>
  <c r="I76" i="4"/>
  <c r="I77" i="4"/>
  <c r="L77" i="4" s="1"/>
  <c r="I81" i="4"/>
  <c r="I89" i="4"/>
  <c r="I90" i="4"/>
  <c r="L90" i="4" s="1"/>
  <c r="I96" i="4"/>
  <c r="I99" i="4"/>
  <c r="I102" i="4"/>
  <c r="I104" i="4"/>
  <c r="I108" i="4"/>
  <c r="I111" i="4"/>
  <c r="I113" i="4"/>
  <c r="I115" i="4"/>
  <c r="N115" i="4" s="1"/>
  <c r="Q115" i="4" s="1"/>
  <c r="I119" i="4"/>
  <c r="N119" i="4" s="1"/>
  <c r="Q119" i="4" s="1"/>
  <c r="I120" i="4"/>
  <c r="N120" i="4" s="1"/>
  <c r="Q120" i="4" s="1"/>
  <c r="I123" i="4"/>
  <c r="I125" i="4"/>
  <c r="I79" i="4"/>
  <c r="L79" i="4" s="1"/>
  <c r="I92" i="4"/>
  <c r="I100" i="4"/>
  <c r="I103" i="4"/>
  <c r="I107" i="4"/>
  <c r="I109" i="4"/>
  <c r="I110" i="4"/>
  <c r="I117" i="4"/>
  <c r="I124" i="4"/>
  <c r="L124" i="4" s="1"/>
  <c r="M124" i="4" s="1"/>
  <c r="I72" i="4"/>
  <c r="L72" i="4" s="1"/>
  <c r="I106" i="4"/>
  <c r="I71" i="4"/>
  <c r="L71" i="4" s="1"/>
  <c r="M71" i="4" s="1"/>
  <c r="I75" i="4"/>
  <c r="N75" i="4" s="1"/>
  <c r="Q75" i="4" s="1"/>
  <c r="I80" i="4"/>
  <c r="I83" i="4"/>
  <c r="I86" i="4"/>
  <c r="L86" i="4" s="1"/>
  <c r="I88" i="4"/>
  <c r="N88" i="4" s="1"/>
  <c r="Q88" i="4" s="1"/>
  <c r="I94" i="4"/>
  <c r="I95" i="4"/>
  <c r="I98" i="4"/>
  <c r="I101" i="4"/>
  <c r="I118" i="4"/>
  <c r="I127" i="4"/>
  <c r="N127" i="4" s="1"/>
  <c r="Q127" i="4" s="1"/>
  <c r="I73" i="4"/>
  <c r="N73" i="4" s="1"/>
  <c r="Q73" i="4" s="1"/>
  <c r="I74" i="4"/>
  <c r="L74" i="4" s="1"/>
  <c r="I78" i="4"/>
  <c r="I82" i="4"/>
  <c r="I85" i="4"/>
  <c r="I93" i="4"/>
  <c r="N93" i="4" s="1"/>
  <c r="Q93" i="4" s="1"/>
  <c r="I112" i="4"/>
  <c r="I114" i="4"/>
  <c r="N114" i="4" s="1"/>
  <c r="Q114" i="4" s="1"/>
  <c r="I121" i="4"/>
  <c r="N121" i="4" s="1"/>
  <c r="Q121" i="4" s="1"/>
  <c r="I122" i="4"/>
  <c r="I84" i="4"/>
  <c r="L84" i="4" s="1"/>
  <c r="I87" i="4"/>
  <c r="I91" i="4"/>
  <c r="N91" i="4" s="1"/>
  <c r="Q91" i="4" s="1"/>
  <c r="I97" i="4"/>
  <c r="L97" i="4" s="1"/>
  <c r="I105" i="4"/>
  <c r="I116" i="4"/>
  <c r="I126" i="4"/>
  <c r="L126" i="4" s="1"/>
  <c r="M126" i="4" s="1"/>
  <c r="L105" i="4"/>
  <c r="N105" i="4"/>
  <c r="Q105" i="4"/>
  <c r="N101" i="4"/>
  <c r="Q101" i="4"/>
  <c r="L101" i="4"/>
  <c r="L106" i="4"/>
  <c r="N106" i="4"/>
  <c r="Q106" i="4"/>
  <c r="N107" i="4"/>
  <c r="Q107" i="4"/>
  <c r="L107" i="4"/>
  <c r="M107" i="4" s="1"/>
  <c r="N79" i="4"/>
  <c r="Q79" i="4" s="1"/>
  <c r="N108" i="4"/>
  <c r="Q108" i="4"/>
  <c r="L108" i="4"/>
  <c r="M108" i="4" s="1"/>
  <c r="L96" i="4"/>
  <c r="N96" i="4"/>
  <c r="Q96" i="4"/>
  <c r="N77" i="4"/>
  <c r="Q77" i="4" s="1"/>
  <c r="N97" i="4"/>
  <c r="Q97" i="4"/>
  <c r="N98" i="4"/>
  <c r="Q98" i="4"/>
  <c r="L98" i="4"/>
  <c r="N86" i="4"/>
  <c r="Q86" i="4" s="1"/>
  <c r="N71" i="4"/>
  <c r="Q71" i="4" s="1"/>
  <c r="N117" i="4"/>
  <c r="Q117" i="4"/>
  <c r="L117" i="4"/>
  <c r="N103" i="4"/>
  <c r="Q103" i="4"/>
  <c r="L103" i="4"/>
  <c r="L125" i="4"/>
  <c r="N125" i="4"/>
  <c r="Q125" i="4"/>
  <c r="L104" i="4"/>
  <c r="N104" i="4"/>
  <c r="Q104" i="4"/>
  <c r="N76" i="4"/>
  <c r="Q76" i="4" s="1"/>
  <c r="N126" i="4"/>
  <c r="Q126" i="4" s="1"/>
  <c r="L112" i="4"/>
  <c r="N112" i="4"/>
  <c r="Q112" i="4"/>
  <c r="N78" i="4"/>
  <c r="Q78" i="4"/>
  <c r="L127" i="4"/>
  <c r="M127" i="4" s="1"/>
  <c r="N95" i="4"/>
  <c r="Q95" i="4"/>
  <c r="L95" i="4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L89" i="4"/>
  <c r="N116" i="4"/>
  <c r="Q116" i="4" s="1"/>
  <c r="N87" i="4"/>
  <c r="Q87" i="4" s="1"/>
  <c r="L87" i="4"/>
  <c r="N122" i="4"/>
  <c r="Q122" i="4"/>
  <c r="L122" i="4"/>
  <c r="N118" i="4"/>
  <c r="Q118" i="4"/>
  <c r="L118" i="4"/>
  <c r="L94" i="4"/>
  <c r="N94" i="4"/>
  <c r="Q94" i="4"/>
  <c r="N80" i="4"/>
  <c r="Q80" i="4"/>
  <c r="N109" i="4"/>
  <c r="Q109" i="4"/>
  <c r="L109" i="4"/>
  <c r="L92" i="4"/>
  <c r="N92" i="4"/>
  <c r="Q92" i="4" s="1"/>
  <c r="N111" i="4"/>
  <c r="Q111" i="4"/>
  <c r="L111" i="4"/>
  <c r="N99" i="4"/>
  <c r="Q99" i="4"/>
  <c r="L99" i="4"/>
  <c r="L81" i="4"/>
  <c r="N81" i="4"/>
  <c r="Q81" i="4" s="1"/>
  <c r="M74" i="4" l="1"/>
  <c r="M79" i="4"/>
  <c r="M90" i="4"/>
  <c r="M78" i="4"/>
  <c r="M72" i="4"/>
  <c r="M77" i="4"/>
  <c r="M97" i="4"/>
  <c r="M92" i="4"/>
  <c r="M76" i="4"/>
  <c r="M81" i="4"/>
  <c r="L73" i="4"/>
  <c r="O92" i="4"/>
  <c r="P92" i="4" s="1"/>
  <c r="O74" i="4"/>
  <c r="P74" i="4" s="1"/>
  <c r="N90" i="4"/>
  <c r="Q90" i="4" s="1"/>
  <c r="M84" i="4"/>
  <c r="O72" i="4"/>
  <c r="P72" i="4" s="1"/>
  <c r="N74" i="4"/>
  <c r="Q74" i="4" s="1"/>
  <c r="O84" i="4"/>
  <c r="P84" i="4" s="1"/>
  <c r="N124" i="4"/>
  <c r="Q124" i="4" s="1"/>
  <c r="O78" i="4"/>
  <c r="P78" i="4" s="1"/>
  <c r="O83" i="4"/>
  <c r="P83" i="4" s="1"/>
  <c r="M89" i="4"/>
  <c r="O77" i="4"/>
  <c r="P77" i="4" s="1"/>
  <c r="O87" i="4"/>
  <c r="P87" i="4" s="1"/>
  <c r="L91" i="4"/>
  <c r="M91" i="4" s="1"/>
  <c r="L115" i="4"/>
  <c r="M115" i="4" s="1"/>
  <c r="L119" i="4"/>
  <c r="M119" i="4" s="1"/>
  <c r="O88" i="4"/>
  <c r="P88" i="4" s="1"/>
  <c r="M87" i="4"/>
  <c r="N72" i="4"/>
  <c r="Q72" i="4" s="1"/>
  <c r="O93" i="4"/>
  <c r="P93" i="4" s="1"/>
  <c r="O90" i="4"/>
  <c r="P90" i="4" s="1"/>
  <c r="O85" i="4"/>
  <c r="P85" i="4" s="1"/>
  <c r="L120" i="4"/>
  <c r="M120" i="4" s="1"/>
  <c r="L85" i="4"/>
  <c r="M86" i="4"/>
  <c r="O89" i="4"/>
  <c r="P89" i="4" s="1"/>
  <c r="O86" i="4"/>
  <c r="P86" i="4" s="1"/>
  <c r="M94" i="4"/>
  <c r="L75" i="4"/>
  <c r="L82" i="4"/>
  <c r="L83" i="4"/>
  <c r="O81" i="4"/>
  <c r="P81" i="4" s="1"/>
  <c r="O76" i="4"/>
  <c r="P76" i="4" s="1"/>
  <c r="O80" i="4"/>
  <c r="P80" i="4" s="1"/>
  <c r="O82" i="4"/>
  <c r="P82" i="4" s="1"/>
  <c r="M96" i="4"/>
  <c r="O96" i="4"/>
  <c r="P96" i="4" s="1"/>
  <c r="O79" i="4"/>
  <c r="P79" i="4" s="1"/>
  <c r="L80" i="4"/>
  <c r="M95" i="4"/>
  <c r="O75" i="4"/>
  <c r="P75" i="4" s="1"/>
  <c r="O95" i="4"/>
  <c r="P95" i="4" s="1"/>
  <c r="O73" i="4"/>
  <c r="P73" i="4" s="1"/>
  <c r="O97" i="4"/>
  <c r="P97" i="4" s="1"/>
  <c r="N85" i="4"/>
  <c r="Q85" i="4" s="1"/>
  <c r="L88" i="4"/>
  <c r="N82" i="4"/>
  <c r="Q82" i="4" s="1"/>
  <c r="N84" i="4"/>
  <c r="Q84" i="4" s="1"/>
  <c r="L93" i="4"/>
  <c r="J14" i="4"/>
  <c r="J13" i="4" s="1"/>
  <c r="K16" i="4" s="1"/>
  <c r="M73" i="4" l="1"/>
  <c r="M93" i="4"/>
  <c r="M83" i="4"/>
  <c r="M88" i="4"/>
  <c r="M82" i="4"/>
  <c r="M85" i="4"/>
  <c r="M75" i="4"/>
  <c r="M80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8" i="4" l="1"/>
  <c r="P58" i="4" s="1"/>
  <c r="O57" i="4"/>
  <c r="P57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4" i="4" l="1"/>
  <c r="O64" i="4"/>
  <c r="P64" i="4" s="1"/>
  <c r="M69" i="4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L45" i="4" s="1"/>
  <c r="J30" i="4"/>
  <c r="K30" i="4" s="1"/>
  <c r="J43" i="4"/>
  <c r="L43" i="4" s="1"/>
  <c r="J31" i="4"/>
  <c r="K31" i="4" s="1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L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47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M49" i="4" l="1"/>
  <c r="O48" i="4"/>
  <c r="P48" i="4" s="1"/>
  <c r="M48" i="4"/>
  <c r="O49" i="4"/>
  <c r="P49" i="4" s="1"/>
  <c r="O31" i="4"/>
  <c r="P31" i="4" s="1"/>
  <c r="O30" i="4"/>
  <c r="P30" i="4" s="1"/>
  <c r="O39" i="4"/>
  <c r="P39" i="4" s="1"/>
  <c r="M39" i="4"/>
  <c r="O47" i="4"/>
  <c r="P47" i="4" s="1"/>
  <c r="M47" i="4"/>
  <c r="L31" i="4"/>
  <c r="O33" i="4"/>
  <c r="P33" i="4" s="1"/>
  <c r="M35" i="4"/>
  <c r="O28" i="4"/>
  <c r="P28" i="4" s="1"/>
  <c r="O46" i="4"/>
  <c r="P46" i="4" s="1"/>
  <c r="M44" i="4"/>
  <c r="M43" i="4"/>
  <c r="K43" i="4"/>
  <c r="O41" i="4"/>
  <c r="P41" i="4" s="1"/>
  <c r="M45" i="4"/>
  <c r="K35" i="4"/>
  <c r="K45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5" i="4" l="1"/>
  <c r="P45" i="4" s="1"/>
  <c r="O40" i="4"/>
  <c r="P40" i="4" s="1"/>
  <c r="M33" i="4"/>
  <c r="O34" i="4"/>
  <c r="P34" i="4" s="1"/>
  <c r="O42" i="4"/>
  <c r="P42" i="4" s="1"/>
  <c r="M41" i="4"/>
  <c r="O43" i="4"/>
  <c r="P43" i="4" s="1"/>
  <c r="O37" i="4"/>
  <c r="P37" i="4" s="1"/>
  <c r="M46" i="4"/>
  <c r="O44" i="4"/>
  <c r="P44" i="4" s="1"/>
  <c r="O36" i="4"/>
  <c r="P36" i="4" s="1"/>
  <c r="M31" i="4"/>
  <c r="O35" i="4"/>
  <c r="P35" i="4" s="1"/>
  <c r="O29" i="4"/>
  <c r="P29" i="4" s="1"/>
  <c r="O32" i="4"/>
  <c r="P32" i="4" s="1"/>
  <c r="O38" i="4"/>
  <c r="P38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<sst xmlns="http://schemas.openxmlformats.org/spreadsheetml/2006/main" count="318" uniqueCount="294">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</sst>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30</v>
      </c>
      <c r="K17" s="31" t="s">
        <v>80</v>
      </c>
      <c r="L17" s="81">
        <v>2.5693999999999999E-3</v>
      </c>
      <c r="M17" s="81">
        <v>2.32E-4</v>
      </c>
      <c r="N17" s="81">
        <v>9.8599999999999998E-5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22" zoomScale="70" zoomScaleNormal="70" workbookViewId="0">
      <selection activeCell="R28" sqref="R28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40.016240000000003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39.80718864</v>
      </c>
      <c r="K8" s="39">
        <f>J8/J7</f>
        <v>0.9947758370101738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0.19329920000000003</v>
      </c>
      <c r="K9" s="39">
        <f>J9/J7</f>
        <v>4.830518809363399E-3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1.5752160000000001E-2</v>
      </c>
      <c r="K10" s="39">
        <f>J10/J7</f>
        <v>3.9364418046273212E-4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39.7928</v>
      </c>
      <c r="K14" s="39">
        <f>J14/J13</f>
        <v>0.99482000000000004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1.6239999999999997E-2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1.4388639999999999E-2</v>
      </c>
      <c r="K20" s="39">
        <f>J20/J19</f>
        <v>0.88600000000000012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1.2991999999999999E-3</v>
      </c>
      <c r="K21" s="39">
        <f>J21/J19</f>
        <v>0.08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5.5215999999999989E-4</v>
      </c>
      <c r="K22" s="39">
        <f>J22/J19</f>
        <v>3.3999999999999996E-2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9.2195850977354138E-2</v>
      </c>
      <c r="J28" s="94">
        <f t="shared" ref="J28:J47" si="2">IF(D28=0,"",LOG($K$21*10^D28+$K$22*10^E28+$K$20))</f>
        <v>0.85273188304651748</v>
      </c>
      <c r="K28" s="95">
        <f t="shared" ref="K28:K47" si="3">IF(D28=0,"",1/(1+10^D28*$J$15/$J$14+10^E28*$J$16/$J$14+10^J28*$J$19/$J$14))</f>
        <v>0.80266431205340416</v>
      </c>
      <c r="L28" s="95">
        <f t="shared" ref="L28:L47" si="4">IF(D28=0,"",1/(1+10^I28/10^J28*$J$13/$J$19))</f>
        <v>2.3337125552039062E-3</v>
      </c>
      <c r="M28" s="95">
        <f t="shared" ref="M28:M47" si="5">IF(D28=0,"",1-L28)</f>
        <v>0.99766628744479613</v>
      </c>
      <c r="N28" s="95">
        <f t="shared" ref="N28:N47" si="6">IF(D28=0,"",1/(1/10^E28*$J$20/$J$22+10^D28/10^E28*$J$21/$J$22+10^I28/10^E28*$J$13/$J$22+1))</f>
        <v>8.8969140840727498E-4</v>
      </c>
      <c r="O28" s="40">
        <f t="shared" ref="O28:O47" si="7">IF(D28=0,"",F28*K28*$J$7/$J$14)</f>
        <v>8.0717134131209447E-7</v>
      </c>
      <c r="P28" s="40">
        <f t="shared" ref="P28:P47" si="8">IF(D28=0,"",O28*10^J28)</f>
        <v>5.7503941933530023E-6</v>
      </c>
      <c r="Q28" s="40">
        <f t="shared" ref="Q28:Q47" si="9">IF(D28=0,"",F28*N28*$J$7/$J$22)</f>
        <v>6.4477877652788226E-5</v>
      </c>
      <c r="R28" s="9">
        <f>F28*$C$14</f>
        <v>3.9999999999999996E-5</v>
      </c>
      <c r="S28" s="9">
        <f>$R28*L28</f>
        <v>9.3348502208156247E-8</v>
      </c>
      <c r="T28" s="9">
        <f>R28*K28</f>
        <v>3.2106572482136167E-5</v>
      </c>
      <c r="U28" s="9">
        <f>$R28*M28</f>
        <v>3.9906651497791839E-5</v>
      </c>
      <c r="V28" s="102">
        <f>K28/M28</f>
        <v>0.80454188154354966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2.7194923137791687</v>
      </c>
      <c r="J29" s="94">
        <f t="shared" si="2"/>
        <v>4.4419747400947829</v>
      </c>
      <c r="K29" s="95">
        <f t="shared" si="3"/>
        <v>1.8579921402526465E-3</v>
      </c>
      <c r="L29" s="95">
        <f t="shared" si="4"/>
        <v>2.0979741770150124E-2</v>
      </c>
      <c r="M29" s="95">
        <f t="shared" si="5"/>
        <v>0.97902025822984984</v>
      </c>
      <c r="N29" s="95">
        <f t="shared" si="6"/>
        <v>1.7655755878112325E-2</v>
      </c>
      <c r="O29" s="40">
        <f t="shared" si="7"/>
        <v>1.8684249261791976E-9</v>
      </c>
      <c r="P29" s="40">
        <f t="shared" si="8"/>
        <v>5.1695220554947853E-5</v>
      </c>
      <c r="Q29" s="40">
        <f t="shared" si="9"/>
        <v>1.2795511529266042E-3</v>
      </c>
      <c r="R29" s="9">
        <f>F29*$C$14</f>
        <v>3.9999999999999996E-5</v>
      </c>
      <c r="S29" s="9">
        <f t="shared" ref="S29:S49" si="10">$R29*L29</f>
        <v>8.3918967080600485E-7</v>
      </c>
      <c r="T29" s="9">
        <f t="shared" ref="T29:T49" si="11">R29*K29</f>
        <v>7.4319685610105856E-8</v>
      </c>
      <c r="U29" s="9">
        <f t="shared" ref="U29:U49" si="12">$R29*M29</f>
        <v>3.9160810329193988E-5</v>
      </c>
      <c r="V29" s="102">
        <f t="shared" ref="V29:V49" si="13">K29/M29</f>
        <v>1.8978076547793311E-3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5.9163420575972845</v>
      </c>
      <c r="J30" s="94">
        <f t="shared" si="2"/>
        <v>7.8384660336474994</v>
      </c>
      <c r="K30" s="95">
        <f t="shared" si="3"/>
        <v>1.1665655375730945E-6</v>
      </c>
      <c r="L30" s="95">
        <f t="shared" si="4"/>
        <v>3.2821369761816842E-2</v>
      </c>
      <c r="M30" s="95">
        <f t="shared" si="5"/>
        <v>0.96717863023818318</v>
      </c>
      <c r="N30" s="95">
        <f t="shared" si="6"/>
        <v>3.2291973340398648E-2</v>
      </c>
      <c r="O30" s="40">
        <f t="shared" si="7"/>
        <v>1.1731159035617993E-12</v>
      </c>
      <c r="P30" s="40">
        <f t="shared" si="8"/>
        <v>8.0873633590985798E-5</v>
      </c>
      <c r="Q30" s="40">
        <f t="shared" si="9"/>
        <v>2.3402697682972226E-3</v>
      </c>
      <c r="R30" s="9">
        <f t="shared" ref="R30:R49" si="14">F30*$C$14</f>
        <v>3.9999999999999996E-5</v>
      </c>
      <c r="S30" s="9">
        <f t="shared" si="10"/>
        <v>1.3128547904726735E-6</v>
      </c>
      <c r="T30" s="9">
        <f t="shared" si="11"/>
        <v>4.6662621502923775E-11</v>
      </c>
      <c r="U30" s="9">
        <f t="shared" si="12"/>
        <v>3.8687145209527322E-5</v>
      </c>
      <c r="V30" s="102">
        <f t="shared" si="13"/>
        <v>1.2061531356268791E-6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1.2852308448323728</v>
      </c>
      <c r="J31" s="94">
        <f t="shared" si="2"/>
        <v>2.9309327933636746</v>
      </c>
      <c r="K31" s="95">
        <f t="shared" si="3"/>
        <v>5.0673900243861272E-2</v>
      </c>
      <c r="L31" s="95">
        <f t="shared" si="4"/>
        <v>1.7640002862892825E-2</v>
      </c>
      <c r="M31" s="95">
        <f t="shared" si="5"/>
        <v>0.9823599971371072</v>
      </c>
      <c r="N31" s="95">
        <f t="shared" si="6"/>
        <v>1.3907970952250871E-2</v>
      </c>
      <c r="O31" s="40">
        <f t="shared" si="7"/>
        <v>5.0958438559096405E-8</v>
      </c>
      <c r="P31" s="40">
        <f t="shared" si="8"/>
        <v>4.3465922916392037E-5</v>
      </c>
      <c r="Q31" s="40">
        <f t="shared" si="9"/>
        <v>1.0079410017717683E-3</v>
      </c>
      <c r="R31" s="9">
        <f t="shared" si="14"/>
        <v>3.9999999999999996E-5</v>
      </c>
      <c r="S31" s="9">
        <f t="shared" si="10"/>
        <v>7.0560011451571289E-7</v>
      </c>
      <c r="T31" s="9">
        <f t="shared" si="11"/>
        <v>2.0269560097544508E-6</v>
      </c>
      <c r="U31" s="9">
        <f t="shared" si="12"/>
        <v>3.9294399885484284E-5</v>
      </c>
      <c r="V31" s="102">
        <f t="shared" si="13"/>
        <v>5.1583839317093809E-2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3.9109447814528924</v>
      </c>
      <c r="J32" s="94">
        <f t="shared" si="2"/>
        <v>5.6426701080559019</v>
      </c>
      <c r="K32" s="95">
        <f t="shared" si="3"/>
        <v>1.1950758138539026E-4</v>
      </c>
      <c r="L32" s="95">
        <f t="shared" si="4"/>
        <v>2.1421362521432962E-2</v>
      </c>
      <c r="M32" s="95">
        <f t="shared" si="5"/>
        <v>0.97857863747856699</v>
      </c>
      <c r="N32" s="95">
        <f t="shared" si="6"/>
        <v>1.8188458771600056E-2</v>
      </c>
      <c r="O32" s="40">
        <f t="shared" si="7"/>
        <v>1.2017862674999772E-10</v>
      </c>
      <c r="P32" s="40">
        <f t="shared" si="8"/>
        <v>5.2783398016297207E-5</v>
      </c>
      <c r="Q32" s="40">
        <f t="shared" si="9"/>
        <v>1.3181572939627159E-3</v>
      </c>
      <c r="R32" s="9">
        <f t="shared" si="14"/>
        <v>3.9999999999999996E-5</v>
      </c>
      <c r="S32" s="9">
        <f t="shared" si="10"/>
        <v>8.5685450085731838E-7</v>
      </c>
      <c r="T32" s="9">
        <f t="shared" si="11"/>
        <v>4.7803032554156097E-9</v>
      </c>
      <c r="U32" s="9">
        <f t="shared" si="12"/>
        <v>3.9143145499142676E-5</v>
      </c>
      <c r="V32" s="102">
        <f t="shared" si="13"/>
        <v>1.221236360659955E-4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3.4646398062685493</v>
      </c>
      <c r="J33" s="94">
        <f t="shared" si="2"/>
        <v>5.1536383853683807</v>
      </c>
      <c r="K33" s="95">
        <f t="shared" si="3"/>
        <v>3.3463625517424342E-4</v>
      </c>
      <c r="L33" s="95">
        <f t="shared" si="4"/>
        <v>1.945328290398941E-2</v>
      </c>
      <c r="M33" s="95">
        <f t="shared" si="5"/>
        <v>0.9805467170960106</v>
      </c>
      <c r="N33" s="95">
        <f t="shared" si="6"/>
        <v>1.5755182360590887E-2</v>
      </c>
      <c r="O33" s="40">
        <f t="shared" si="7"/>
        <v>3.3651526657470114E-10</v>
      </c>
      <c r="P33" s="40">
        <f t="shared" si="8"/>
        <v>4.7933943194208022E-5</v>
      </c>
      <c r="Q33" s="40">
        <f t="shared" si="9"/>
        <v>1.1418124431055701E-3</v>
      </c>
      <c r="R33" s="9">
        <f t="shared" si="14"/>
        <v>3.9999999999999996E-5</v>
      </c>
      <c r="S33" s="9">
        <f t="shared" si="10"/>
        <v>7.7813131615957635E-7</v>
      </c>
      <c r="T33" s="9">
        <f t="shared" si="11"/>
        <v>1.3385450206969736E-8</v>
      </c>
      <c r="U33" s="9">
        <f t="shared" si="12"/>
        <v>3.9221868683840419E-5</v>
      </c>
      <c r="V33" s="102">
        <f t="shared" si="13"/>
        <v>3.4127517775522508E-4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3.4579829545014036</v>
      </c>
      <c r="J34" s="94">
        <f t="shared" si="2"/>
        <v>5.1764429441964488</v>
      </c>
      <c r="K34" s="95">
        <f t="shared" si="3"/>
        <v>3.3934170685733216E-4</v>
      </c>
      <c r="L34" s="95">
        <f t="shared" si="4"/>
        <v>2.0790345658919927E-2</v>
      </c>
      <c r="M34" s="95">
        <f t="shared" si="5"/>
        <v>0.97920965434108009</v>
      </c>
      <c r="N34" s="95">
        <f t="shared" si="6"/>
        <v>1.7409475322907347E-2</v>
      </c>
      <c r="O34" s="40">
        <f t="shared" si="7"/>
        <v>3.4124713977434737E-10</v>
      </c>
      <c r="P34" s="40">
        <f t="shared" si="8"/>
        <v>5.1228538274033173E-5</v>
      </c>
      <c r="Q34" s="40">
        <f t="shared" si="9"/>
        <v>1.2617026637125797E-3</v>
      </c>
      <c r="R34" s="9">
        <f t="shared" si="14"/>
        <v>3.9999999999999996E-5</v>
      </c>
      <c r="S34" s="9">
        <f t="shared" si="10"/>
        <v>8.3161382635679704E-7</v>
      </c>
      <c r="T34" s="9">
        <f t="shared" si="11"/>
        <v>1.3573668274293286E-8</v>
      </c>
      <c r="U34" s="9">
        <f t="shared" si="12"/>
        <v>3.9168386173643202E-5</v>
      </c>
      <c r="V34" s="102">
        <f t="shared" si="13"/>
        <v>3.4654652898176192E-4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0.62193942428688143</v>
      </c>
      <c r="J35" s="94">
        <f t="shared" si="2"/>
        <v>2.0141119248188848</v>
      </c>
      <c r="K35" s="95">
        <f t="shared" si="3"/>
        <v>0.23522137700731538</v>
      </c>
      <c r="L35" s="95">
        <f t="shared" si="4"/>
        <v>9.9167699519226004E-3</v>
      </c>
      <c r="M35" s="95">
        <f t="shared" si="5"/>
        <v>0.99008323004807741</v>
      </c>
      <c r="N35" s="95">
        <f t="shared" si="6"/>
        <v>5.8051738578939159E-3</v>
      </c>
      <c r="O35" s="40">
        <f t="shared" si="7"/>
        <v>2.3654216530264809E-7</v>
      </c>
      <c r="P35" s="40">
        <f t="shared" si="8"/>
        <v>2.4435458523455874E-5</v>
      </c>
      <c r="Q35" s="40">
        <f t="shared" si="9"/>
        <v>4.2071361623299207E-4</v>
      </c>
      <c r="R35" s="9">
        <f t="shared" si="14"/>
        <v>3.9999999999999996E-5</v>
      </c>
      <c r="S35" s="9">
        <f t="shared" si="10"/>
        <v>3.9667079807690397E-7</v>
      </c>
      <c r="T35" s="9">
        <f t="shared" si="11"/>
        <v>9.4088550802926138E-6</v>
      </c>
      <c r="U35" s="9">
        <f t="shared" si="12"/>
        <v>3.9603329201923093E-5</v>
      </c>
      <c r="V35" s="102">
        <f t="shared" si="13"/>
        <v>0.23757737720281685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6.3597288158186656</v>
      </c>
      <c r="J36" s="94">
        <f t="shared" si="2"/>
        <v>8.2839991745411492</v>
      </c>
      <c r="K36" s="95">
        <f t="shared" si="3"/>
        <v>4.2019585922258266E-7</v>
      </c>
      <c r="L36" s="95">
        <f t="shared" si="4"/>
        <v>3.2978619254832947E-2</v>
      </c>
      <c r="M36" s="95">
        <f t="shared" si="5"/>
        <v>0.96702138074516708</v>
      </c>
      <c r="N36" s="95">
        <f t="shared" si="6"/>
        <v>3.2486521464146156E-2</v>
      </c>
      <c r="O36" s="40">
        <f t="shared" si="7"/>
        <v>4.225552951704098E-13</v>
      </c>
      <c r="P36" s="40">
        <f t="shared" si="8"/>
        <v>8.1261104862685884E-5</v>
      </c>
      <c r="Q36" s="40">
        <f t="shared" si="9"/>
        <v>2.3543690953245879E-3</v>
      </c>
      <c r="R36" s="9">
        <f t="shared" si="14"/>
        <v>3.9999999999999996E-5</v>
      </c>
      <c r="S36" s="9">
        <f t="shared" si="10"/>
        <v>1.3191447701933177E-6</v>
      </c>
      <c r="T36" s="9">
        <f t="shared" si="11"/>
        <v>1.6807834368903306E-11</v>
      </c>
      <c r="U36" s="9">
        <f t="shared" si="12"/>
        <v>3.8680855229806681E-5</v>
      </c>
      <c r="V36" s="102">
        <f t="shared" si="13"/>
        <v>4.3452592423425866E-7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2.0466328175843658</v>
      </c>
      <c r="J37" s="94">
        <f t="shared" si="2"/>
        <v>3.7332769148114004</v>
      </c>
      <c r="K37" s="95">
        <f t="shared" si="3"/>
        <v>8.7624521842084701E-3</v>
      </c>
      <c r="L37" s="95">
        <f t="shared" si="4"/>
        <v>1.9350139560753044E-2</v>
      </c>
      <c r="M37" s="95">
        <f t="shared" si="5"/>
        <v>0.98064986043924696</v>
      </c>
      <c r="N37" s="95">
        <f t="shared" si="6"/>
        <v>1.5693908054775704E-2</v>
      </c>
      <c r="O37" s="40">
        <f t="shared" si="7"/>
        <v>8.811654108075088E-9</v>
      </c>
      <c r="P37" s="40">
        <f t="shared" si="8"/>
        <v>4.7679792407425452E-5</v>
      </c>
      <c r="Q37" s="40">
        <f t="shared" si="9"/>
        <v>1.1373717604640646E-3</v>
      </c>
      <c r="R37" s="9">
        <f t="shared" si="14"/>
        <v>3.9999999999999996E-5</v>
      </c>
      <c r="S37" s="9">
        <f t="shared" si="10"/>
        <v>7.7400558243012168E-7</v>
      </c>
      <c r="T37" s="9">
        <f t="shared" si="11"/>
        <v>3.5049808736833875E-7</v>
      </c>
      <c r="U37" s="9">
        <f t="shared" si="12"/>
        <v>3.9225994417569872E-5</v>
      </c>
      <c r="V37" s="102">
        <f t="shared" si="13"/>
        <v>8.9353525021495881E-3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0.75425121724867172</v>
      </c>
      <c r="J38" s="94">
        <f t="shared" si="2"/>
        <v>2.264683445445602</v>
      </c>
      <c r="K38" s="95">
        <f t="shared" si="3"/>
        <v>0.17290960545741713</v>
      </c>
      <c r="L38" s="95">
        <f t="shared" si="4"/>
        <v>1.298028090374369E-2</v>
      </c>
      <c r="M38" s="95">
        <f t="shared" si="5"/>
        <v>0.9870197190962563</v>
      </c>
      <c r="N38" s="95">
        <f t="shared" si="6"/>
        <v>9.1049709113609299E-3</v>
      </c>
      <c r="O38" s="40">
        <f t="shared" si="7"/>
        <v>1.7388050778757246E-7</v>
      </c>
      <c r="P38" s="40">
        <f t="shared" si="8"/>
        <v>3.1984115511799538E-5</v>
      </c>
      <c r="Q38" s="40">
        <f t="shared" si="9"/>
        <v>6.5985710877651006E-4</v>
      </c>
      <c r="R38" s="9">
        <f t="shared" si="14"/>
        <v>3.9999999999999996E-5</v>
      </c>
      <c r="S38" s="9">
        <f t="shared" si="10"/>
        <v>5.1921123614974752E-7</v>
      </c>
      <c r="T38" s="9">
        <f t="shared" si="11"/>
        <v>6.9163842182966848E-6</v>
      </c>
      <c r="U38" s="9">
        <f t="shared" si="12"/>
        <v>3.948078876385025E-5</v>
      </c>
      <c r="V38" s="102">
        <f t="shared" si="13"/>
        <v>0.17518353697709113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-1.6810051832329899E-4</v>
      </c>
      <c r="J39" s="94">
        <f t="shared" si="2"/>
        <v>-1.4473112501902132E-2</v>
      </c>
      <c r="K39" s="95">
        <f t="shared" si="3"/>
        <v>0.99481432763153677</v>
      </c>
      <c r="L39" s="95">
        <f t="shared" si="4"/>
        <v>3.9269054507634735E-4</v>
      </c>
      <c r="M39" s="95">
        <f t="shared" si="5"/>
        <v>0.9996073094549236</v>
      </c>
      <c r="N39" s="95">
        <f t="shared" si="6"/>
        <v>6.6863556674623327E-7</v>
      </c>
      <c r="O39" s="40">
        <f t="shared" si="7"/>
        <v>1.0004002957806991E-6</v>
      </c>
      <c r="P39" s="40">
        <f t="shared" si="8"/>
        <v>9.6761078186612919E-7</v>
      </c>
      <c r="Q39" s="40">
        <f t="shared" si="9"/>
        <v>4.8457478469018576E-8</v>
      </c>
      <c r="R39" s="9">
        <f t="shared" si="14"/>
        <v>3.9999999999999996E-5</v>
      </c>
      <c r="S39" s="9">
        <f t="shared" si="10"/>
        <v>1.5707621803053894E-8</v>
      </c>
      <c r="T39" s="9">
        <f t="shared" si="11"/>
        <v>3.9792573105261464E-5</v>
      </c>
      <c r="U39" s="9">
        <f t="shared" si="12"/>
        <v>3.9984292378196939E-5</v>
      </c>
      <c r="V39" s="102">
        <f t="shared" si="13"/>
        <v>0.99520513527857213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1.0570731161685156</v>
      </c>
      <c r="J40" s="94">
        <f t="shared" si="2"/>
        <v>2.5205823295230894</v>
      </c>
      <c r="K40" s="95">
        <f t="shared" si="3"/>
        <v>8.6213431047030956E-2</v>
      </c>
      <c r="L40" s="95">
        <f t="shared" si="4"/>
        <v>1.1666451620415113E-2</v>
      </c>
      <c r="M40" s="95">
        <f t="shared" si="5"/>
        <v>0.98833354837958487</v>
      </c>
      <c r="N40" s="95">
        <f t="shared" si="6"/>
        <v>6.7970485486347609E-3</v>
      </c>
      <c r="O40" s="40">
        <f t="shared" si="7"/>
        <v>8.6697526889322749E-8</v>
      </c>
      <c r="P40" s="40">
        <f t="shared" si="8"/>
        <v>2.8746768964958144E-5</v>
      </c>
      <c r="Q40" s="40">
        <f t="shared" si="9"/>
        <v>4.9259693931798818E-4</v>
      </c>
      <c r="R40" s="9">
        <f t="shared" si="14"/>
        <v>3.9999999999999996E-5</v>
      </c>
      <c r="S40" s="9">
        <f t="shared" si="10"/>
        <v>4.666580648166045E-7</v>
      </c>
      <c r="T40" s="9">
        <f t="shared" si="11"/>
        <v>3.4485372418812378E-6</v>
      </c>
      <c r="U40" s="9">
        <f t="shared" si="12"/>
        <v>3.953334193518339E-5</v>
      </c>
      <c r="V40" s="102">
        <f t="shared" si="13"/>
        <v>8.7231108554780487E-2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1.1393826628828596</v>
      </c>
      <c r="J41" s="94">
        <f t="shared" si="2"/>
        <v>2.5993109864972253</v>
      </c>
      <c r="K41" s="95">
        <f t="shared" si="3"/>
        <v>7.1335710131863225E-2</v>
      </c>
      <c r="L41" s="95">
        <f t="shared" si="4"/>
        <v>1.1571762223339463E-2</v>
      </c>
      <c r="M41" s="95">
        <f t="shared" si="5"/>
        <v>0.98842823777666056</v>
      </c>
      <c r="N41" s="95">
        <f t="shared" si="6"/>
        <v>6.5627888523859378E-3</v>
      </c>
      <c r="O41" s="40">
        <f t="shared" si="7"/>
        <v>7.1736266289556678E-8</v>
      </c>
      <c r="P41" s="40">
        <f t="shared" si="8"/>
        <v>2.8513449159611197E-5</v>
      </c>
      <c r="Q41" s="40">
        <f t="shared" si="9"/>
        <v>4.7561962798174499E-4</v>
      </c>
      <c r="R41" s="9">
        <f t="shared" si="14"/>
        <v>3.9999999999999996E-5</v>
      </c>
      <c r="S41" s="9">
        <f t="shared" si="10"/>
        <v>4.6287048893357847E-7</v>
      </c>
      <c r="T41" s="9">
        <f t="shared" si="11"/>
        <v>2.8534284052745286E-6</v>
      </c>
      <c r="U41" s="9">
        <f t="shared" si="12"/>
        <v>3.953712951106642E-5</v>
      </c>
      <c r="V41" s="102">
        <f t="shared" si="13"/>
        <v>7.2170854094904785E-2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2.466507651261447</v>
      </c>
      <c r="J42" s="94">
        <f t="shared" si="2"/>
        <v>4.2280989480409303</v>
      </c>
      <c r="K42" s="95">
        <f t="shared" si="3"/>
        <v>3.320250194755966E-3</v>
      </c>
      <c r="L42" s="95">
        <f t="shared" si="4"/>
        <v>2.2911381911053557E-2</v>
      </c>
      <c r="M42" s="95">
        <f t="shared" si="5"/>
        <v>0.97708861808894643</v>
      </c>
      <c r="N42" s="95">
        <f t="shared" si="6"/>
        <v>2.0057151441803228E-2</v>
      </c>
      <c r="O42" s="40">
        <f t="shared" si="7"/>
        <v>3.3388936856265827E-9</v>
      </c>
      <c r="P42" s="40">
        <f t="shared" si="8"/>
        <v>5.6454886532289303E-5</v>
      </c>
      <c r="Q42" s="40">
        <f t="shared" si="9"/>
        <v>1.4535855292153439E-3</v>
      </c>
      <c r="R42" s="9">
        <f t="shared" si="14"/>
        <v>3.9999999999999996E-5</v>
      </c>
      <c r="S42" s="9">
        <f t="shared" si="10"/>
        <v>9.164552764421422E-7</v>
      </c>
      <c r="T42" s="9">
        <f t="shared" si="11"/>
        <v>1.3281000779023863E-7</v>
      </c>
      <c r="U42" s="9">
        <f t="shared" si="12"/>
        <v>3.9083544723557851E-5</v>
      </c>
      <c r="V42" s="102">
        <f t="shared" si="13"/>
        <v>3.3981054873507047E-3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2.2273249528367836</v>
      </c>
      <c r="J43" s="94">
        <f t="shared" si="2"/>
        <v>3.9256295758213415</v>
      </c>
      <c r="K43" s="95">
        <f t="shared" si="3"/>
        <v>5.7770336454263686E-3</v>
      </c>
      <c r="L43" s="95">
        <f t="shared" si="4"/>
        <v>1.9866254669279E-2</v>
      </c>
      <c r="M43" s="95">
        <f t="shared" si="5"/>
        <v>0.98013374533072095</v>
      </c>
      <c r="N43" s="95">
        <f t="shared" si="6"/>
        <v>1.6308962708884021E-2</v>
      </c>
      <c r="O43" s="40">
        <f t="shared" si="7"/>
        <v>5.8094721870151504E-9</v>
      </c>
      <c r="P43" s="40">
        <f t="shared" si="8"/>
        <v>4.8951528001661957E-5</v>
      </c>
      <c r="Q43" s="40">
        <f t="shared" si="9"/>
        <v>1.1819461132819352E-3</v>
      </c>
      <c r="R43" s="9">
        <f t="shared" si="14"/>
        <v>3.9999999999999996E-5</v>
      </c>
      <c r="S43" s="9">
        <f t="shared" si="10"/>
        <v>7.9465018677115989E-7</v>
      </c>
      <c r="T43" s="9">
        <f t="shared" si="11"/>
        <v>2.3108134581705471E-7</v>
      </c>
      <c r="U43" s="9">
        <f t="shared" si="12"/>
        <v>3.9205349813228834E-5</v>
      </c>
      <c r="V43" s="102">
        <f t="shared" si="13"/>
        <v>5.894127891165564E-3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0.70532975413914478</v>
      </c>
      <c r="J44" s="94">
        <f t="shared" si="2"/>
        <v>2.2086207765897057</v>
      </c>
      <c r="K44" s="95">
        <f t="shared" si="3"/>
        <v>0.19356753947769934</v>
      </c>
      <c r="L44" s="95">
        <f t="shared" si="4"/>
        <v>1.2771291921380755E-2</v>
      </c>
      <c r="M44" s="95">
        <f t="shared" si="5"/>
        <v>0.98722870807861929</v>
      </c>
      <c r="N44" s="95">
        <f t="shared" si="6"/>
        <v>9.0090079964765379E-3</v>
      </c>
      <c r="O44" s="40">
        <f t="shared" si="7"/>
        <v>1.9465443788698184E-7</v>
      </c>
      <c r="P44" s="40">
        <f t="shared" si="8"/>
        <v>3.1469155334731134E-5</v>
      </c>
      <c r="Q44" s="40">
        <f t="shared" si="9"/>
        <v>6.5290246694603806E-4</v>
      </c>
      <c r="R44" s="9">
        <f t="shared" si="14"/>
        <v>3.9999999999999996E-5</v>
      </c>
      <c r="S44" s="9">
        <f t="shared" si="10"/>
        <v>5.108516768552302E-7</v>
      </c>
      <c r="T44" s="9">
        <f t="shared" si="11"/>
        <v>7.7427015791079733E-6</v>
      </c>
      <c r="U44" s="9">
        <f t="shared" si="12"/>
        <v>3.9489148323144769E-5</v>
      </c>
      <c r="V44" s="102">
        <f t="shared" si="13"/>
        <v>0.19607162746961398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2.3272580136650043</v>
      </c>
      <c r="J45" s="94">
        <f t="shared" si="2"/>
        <v>3.9363574076389534</v>
      </c>
      <c r="K45" s="95">
        <f t="shared" si="3"/>
        <v>4.6065608701402177E-3</v>
      </c>
      <c r="L45" s="95">
        <f t="shared" si="4"/>
        <v>1.6237372265367905E-2</v>
      </c>
      <c r="M45" s="95">
        <f t="shared" si="5"/>
        <v>0.98376262773463208</v>
      </c>
      <c r="N45" s="95">
        <f t="shared" si="6"/>
        <v>1.1809982580309361E-2</v>
      </c>
      <c r="O45" s="40">
        <f t="shared" si="7"/>
        <v>4.632427106263942E-9</v>
      </c>
      <c r="P45" s="40">
        <f t="shared" si="8"/>
        <v>4.000976511947696E-5</v>
      </c>
      <c r="Q45" s="40">
        <f t="shared" si="9"/>
        <v>8.5589520669639022E-4</v>
      </c>
      <c r="R45" s="9">
        <f t="shared" si="14"/>
        <v>3.9999999999999996E-5</v>
      </c>
      <c r="S45" s="9">
        <f t="shared" si="10"/>
        <v>6.4949489061471614E-7</v>
      </c>
      <c r="T45" s="9">
        <f t="shared" si="11"/>
        <v>1.8426243480560869E-7</v>
      </c>
      <c r="U45" s="9">
        <f t="shared" si="12"/>
        <v>3.9350505109385282E-5</v>
      </c>
      <c r="V45" s="102">
        <f t="shared" si="13"/>
        <v>4.6825938903046318E-3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0.64458903464573347</v>
      </c>
      <c r="J46" s="94">
        <f t="shared" si="2"/>
        <v>2.1223563706849542</v>
      </c>
      <c r="K46" s="95">
        <f t="shared" si="3"/>
        <v>0.22278704912120417</v>
      </c>
      <c r="L46" s="95">
        <f t="shared" si="4"/>
        <v>1.2051131838722333E-2</v>
      </c>
      <c r="M46" s="95">
        <f t="shared" si="5"/>
        <v>0.98794886816127769</v>
      </c>
      <c r="N46" s="95">
        <f t="shared" si="6"/>
        <v>8.3479989158622217E-3</v>
      </c>
      <c r="O46" s="40">
        <f t="shared" si="7"/>
        <v>2.240380175942858E-7</v>
      </c>
      <c r="P46" s="40">
        <f t="shared" si="8"/>
        <v>2.9694641867608025E-5</v>
      </c>
      <c r="Q46" s="40">
        <f t="shared" si="9"/>
        <v>6.0499769656781105E-4</v>
      </c>
      <c r="R46" s="9">
        <f t="shared" si="14"/>
        <v>3.9999999999999996E-5</v>
      </c>
      <c r="S46" s="9">
        <f t="shared" si="10"/>
        <v>4.8204527354889324E-7</v>
      </c>
      <c r="T46" s="9">
        <f t="shared" si="11"/>
        <v>8.9114819648481666E-6</v>
      </c>
      <c r="U46" s="9">
        <f t="shared" si="12"/>
        <v>3.9517954726451103E-5</v>
      </c>
      <c r="V46" s="102">
        <f t="shared" si="13"/>
        <v>0.22550463521036729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1.6299602750984028</v>
      </c>
      <c r="J47" s="94">
        <f t="shared" si="2"/>
        <v>3.0792919353710997</v>
      </c>
      <c r="K47" s="95">
        <f t="shared" si="3"/>
        <v>2.3059534276125879E-2</v>
      </c>
      <c r="L47" s="95">
        <f t="shared" si="4"/>
        <v>1.1295982032808634E-2</v>
      </c>
      <c r="M47" s="95">
        <f t="shared" si="5"/>
        <v>0.98870401796719132</v>
      </c>
      <c r="N47" s="95">
        <f t="shared" si="6"/>
        <v>5.8415886878042198E-3</v>
      </c>
      <c r="O47" s="40">
        <f t="shared" si="7"/>
        <v>2.3189015547578443E-8</v>
      </c>
      <c r="P47" s="40">
        <f t="shared" si="8"/>
        <v>2.7833911826389068E-5</v>
      </c>
      <c r="Q47" s="40">
        <f t="shared" si="9"/>
        <v>4.2335267841288538E-4</v>
      </c>
      <c r="R47" s="9">
        <f t="shared" si="14"/>
        <v>3.9999999999999996E-5</v>
      </c>
      <c r="S47" s="9">
        <f t="shared" si="10"/>
        <v>4.5183928131234529E-7</v>
      </c>
      <c r="T47" s="9">
        <f t="shared" si="11"/>
        <v>9.2238137104503508E-7</v>
      </c>
      <c r="U47" s="9">
        <f t="shared" si="12"/>
        <v>3.9548160718687648E-5</v>
      </c>
      <c r="V47" s="102">
        <f t="shared" si="13"/>
        <v>2.3322990356140209E-2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0.19893820408979257</v>
      </c>
      <c r="J48" s="94">
        <f t="shared" ref="J48:J50" si="16">IF(D48=0,"",LOG($K$21*10^D48+$K$22*10^E48+$K$20))</f>
        <v>1.2270602613474699</v>
      </c>
      <c r="K48" s="95">
        <f t="shared" ref="K48:K50" si="17">IF(D48=0,"",1/(1+10^D48*$J$15/$J$14+10^E48*$J$16/$J$14+10^J48*$J$19/$J$14))</f>
        <v>0.62651168788693645</v>
      </c>
      <c r="L48" s="95">
        <f t="shared" ref="L48:L50" si="18">IF(D48=0,"",1/(1+10^I48/10^J48*$J$13/$J$19))</f>
        <v>4.3129156500792765E-3</v>
      </c>
      <c r="M48" s="95">
        <f t="shared" ref="M48:M92" si="19">IF(D48=0,"",1-L48)</f>
        <v>0.9956870843499207</v>
      </c>
      <c r="N48" s="95">
        <f t="shared" ref="N48:N50" si="20">IF(D48=0,"",1/(1/10^E48*$J$20/$J$22+10^D48/10^E48*$J$21/$J$22+10^I48/10^E48*$J$13/$J$22+1))</f>
        <v>1.9518732859776736E-3</v>
      </c>
      <c r="O48" s="40">
        <f t="shared" ref="O48:O92" si="21">IF(D48=0,"",F48*K48*$J$7/$J$14)</f>
        <v>6.3002960498604633E-7</v>
      </c>
      <c r="P48" s="40">
        <f t="shared" ref="P48:P50" si="22">IF(D48=0,"",O48*10^J48)</f>
        <v>1.0627257866584263E-5</v>
      </c>
      <c r="Q48" s="40">
        <f t="shared" ref="Q48:Q50" si="23">IF(D48=0,"",F48*N48*$J$7/$J$22)</f>
        <v>1.4145651597593316E-4</v>
      </c>
      <c r="R48" s="9">
        <f t="shared" si="14"/>
        <v>3.9999999999999996E-5</v>
      </c>
      <c r="S48" s="9">
        <f t="shared" si="10"/>
        <v>1.7251662600317106E-7</v>
      </c>
      <c r="T48" s="9">
        <f t="shared" si="11"/>
        <v>2.5060467515477456E-5</v>
      </c>
      <c r="U48" s="9">
        <f t="shared" si="12"/>
        <v>3.9827483373996825E-5</v>
      </c>
      <c r="V48" s="102">
        <f t="shared" si="13"/>
        <v>0.62922548432571357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6.5352597387686409E-2</v>
      </c>
      <c r="J49" s="94">
        <f t="shared" si="16"/>
        <v>0.7518575838149909</v>
      </c>
      <c r="K49" s="95">
        <f t="shared" si="17"/>
        <v>0.8541538066727915</v>
      </c>
      <c r="L49" s="95">
        <f t="shared" si="18"/>
        <v>1.9686802767063145E-3</v>
      </c>
      <c r="M49" s="95">
        <f t="shared" si="19"/>
        <v>0.99803131972329373</v>
      </c>
      <c r="N49" s="95">
        <f t="shared" si="20"/>
        <v>8.4335130937633282E-4</v>
      </c>
      <c r="O49" s="40">
        <f t="shared" si="21"/>
        <v>8.5894995387939595E-7</v>
      </c>
      <c r="P49" s="40">
        <f t="shared" si="22"/>
        <v>4.8509348790607335E-6</v>
      </c>
      <c r="Q49" s="40">
        <f t="shared" si="23"/>
        <v>6.1119509563020843E-5</v>
      </c>
      <c r="R49" s="9">
        <f t="shared" si="14"/>
        <v>3.9999999999999996E-5</v>
      </c>
      <c r="S49" s="9">
        <f t="shared" si="10"/>
        <v>7.8747211068252573E-8</v>
      </c>
      <c r="T49" s="9">
        <f t="shared" si="11"/>
        <v>3.4166152266911656E-5</v>
      </c>
      <c r="U49" s="9">
        <f t="shared" si="12"/>
        <v>3.9921252788931748E-5</v>
      </c>
      <c r="V49" s="102">
        <f t="shared" si="13"/>
        <v>0.85583867940097058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3.7217650281818146E-4</v>
      </c>
      <c r="J57" s="54">
        <f t="shared" si="25"/>
        <v>8.6236157418987745E-3</v>
      </c>
      <c r="K57" s="55">
        <f t="shared" si="26"/>
        <v>0.99355671476871699</v>
      </c>
      <c r="L57" s="55">
        <f t="shared" si="27"/>
        <v>4.136164514247035E-4</v>
      </c>
      <c r="M57" s="55">
        <f t="shared" si="28"/>
        <v>0.99958638354857532</v>
      </c>
      <c r="N57" s="55">
        <f t="shared" si="29"/>
        <v>1.6659773998986848E-5</v>
      </c>
      <c r="O57" s="56">
        <f t="shared" si="30"/>
        <v>9.9913562131331625E-7</v>
      </c>
      <c r="P57" s="56">
        <f t="shared" si="31"/>
        <v>1.0191733490245863E-6</v>
      </c>
      <c r="Q57" s="56">
        <f t="shared" si="32"/>
        <v>1.2073701729375864E-6</v>
      </c>
      <c r="R57" s="9">
        <f t="shared" ref="R57:R58" si="33">F57*$C$14</f>
        <v>3.9999999999999996E-5</v>
      </c>
      <c r="S57" s="9">
        <f t="shared" ref="S57:S58" si="34">$R57*L57</f>
        <v>1.6544658056988139E-8</v>
      </c>
      <c r="T57" s="9">
        <f t="shared" ref="T57:T58" si="35">R57*K57</f>
        <v>3.9742268590748675E-5</v>
      </c>
      <c r="U57" s="9">
        <f t="shared" ref="U57:U58" si="36">$R57*M57</f>
        <v>3.9983455341943011E-5</v>
      </c>
      <c r="V57" s="102">
        <f t="shared" ref="V57:V58" si="37">K57/M57</f>
        <v>0.9939678362179637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0.27242732253974722</v>
      </c>
      <c r="J58" s="54">
        <f t="shared" si="25"/>
        <v>1.4188837414976314</v>
      </c>
      <c r="K58" s="55">
        <f t="shared" si="26"/>
        <v>0.52826737220101982</v>
      </c>
      <c r="L58" s="55">
        <f t="shared" si="27"/>
        <v>5.6561257337046878E-3</v>
      </c>
      <c r="M58" s="55">
        <f t="shared" si="28"/>
        <v>0.99434387426629534</v>
      </c>
      <c r="N58" s="55">
        <f t="shared" si="29"/>
        <v>2.8404243735649318E-3</v>
      </c>
      <c r="O58" s="56">
        <f t="shared" si="30"/>
        <v>5.3123363900417507E-7</v>
      </c>
      <c r="P58" s="56">
        <f t="shared" si="31"/>
        <v>1.3937000297420131E-5</v>
      </c>
      <c r="Q58" s="56">
        <f t="shared" si="32"/>
        <v>2.0585175209074179E-4</v>
      </c>
      <c r="R58" s="9">
        <f t="shared" si="33"/>
        <v>3.9999999999999996E-5</v>
      </c>
      <c r="S58" s="9">
        <f t="shared" si="34"/>
        <v>2.262450293481875E-7</v>
      </c>
      <c r="T58" s="9">
        <f t="shared" si="35"/>
        <v>2.1130694888040791E-5</v>
      </c>
      <c r="U58" s="9">
        <f t="shared" si="36"/>
        <v>3.9773754970651812E-5</v>
      </c>
      <c r="V58" s="102">
        <f t="shared" si="37"/>
        <v>0.53127231521471063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0.35062624883359406</v>
      </c>
      <c r="J60" s="54">
        <f t="shared" si="25"/>
        <v>1.5036461500927543</v>
      </c>
      <c r="K60" s="55">
        <f t="shared" si="26"/>
        <v>0.44118166699451089</v>
      </c>
      <c r="L60" s="55">
        <f t="shared" si="27"/>
        <v>5.7417612922855635E-3</v>
      </c>
      <c r="M60" s="55">
        <f t="shared" si="28"/>
        <v>0.99425823870771446</v>
      </c>
      <c r="N60" s="55">
        <f t="shared" si="29"/>
        <v>2.260897638062987E-3</v>
      </c>
      <c r="O60" s="56">
        <f t="shared" si="30"/>
        <v>4.4365894006082571E-7</v>
      </c>
      <c r="P60" s="56">
        <f t="shared" si="31"/>
        <v>1.4148010954113871E-5</v>
      </c>
      <c r="Q60" s="56">
        <f t="shared" si="32"/>
        <v>1.6385218505534925E-4</v>
      </c>
      <c r="R60" s="9">
        <f t="shared" ref="R60:R65" si="38">F60*$C$14</f>
        <v>3.9999999999999996E-5</v>
      </c>
      <c r="S60" s="9">
        <f t="shared" ref="S60:S93" si="39">$R60*L60</f>
        <v>2.2967045169142253E-7</v>
      </c>
      <c r="T60" s="9">
        <f t="shared" ref="T60:T93" si="40">R60*K60</f>
        <v>1.7647266679780434E-5</v>
      </c>
      <c r="U60" s="9">
        <f t="shared" ref="U60:U93" si="41">$R60*M60</f>
        <v>3.9770329548308578E-5</v>
      </c>
      <c r="V60" s="102">
        <f t="shared" ref="V60:V93" si="42">K60/M60</f>
        <v>0.44372945560696186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1.0599296125914559</v>
      </c>
      <c r="J61" s="54">
        <f t="shared" si="25"/>
        <v>2.465978133838072</v>
      </c>
      <c r="K61" s="55">
        <f t="shared" si="26"/>
        <v>8.5772248477474264E-2</v>
      </c>
      <c r="L61" s="55">
        <f t="shared" si="27"/>
        <v>1.0235438535302165E-2</v>
      </c>
      <c r="M61" s="55">
        <f t="shared" si="28"/>
        <v>0.98976456146469782</v>
      </c>
      <c r="N61" s="55">
        <f t="shared" si="29"/>
        <v>5.0230816523573162E-3</v>
      </c>
      <c r="O61" s="56">
        <f t="shared" si="30"/>
        <v>8.6253867041631769E-8</v>
      </c>
      <c r="P61" s="56">
        <f t="shared" si="31"/>
        <v>2.5220675180658865E-5</v>
      </c>
      <c r="Q61" s="56">
        <f t="shared" si="32"/>
        <v>3.6403368759114568E-4</v>
      </c>
      <c r="R61" s="9">
        <f t="shared" si="38"/>
        <v>3.9999999999999996E-5</v>
      </c>
      <c r="S61" s="9">
        <f t="shared" si="39"/>
        <v>4.0941754141208655E-7</v>
      </c>
      <c r="T61" s="9">
        <f t="shared" si="40"/>
        <v>3.4308899390989704E-6</v>
      </c>
      <c r="U61" s="9">
        <f t="shared" si="41"/>
        <v>3.9590582458587911E-5</v>
      </c>
      <c r="V61" s="102">
        <f t="shared" si="42"/>
        <v>8.6659243841327935E-2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0.76837016932652724</v>
      </c>
      <c r="J62" s="54">
        <f t="shared" si="25"/>
        <v>2.1853515861255404</v>
      </c>
      <c r="K62" s="55">
        <f t="shared" si="26"/>
        <v>0.16780037602161432</v>
      </c>
      <c r="L62" s="55">
        <f t="shared" si="27"/>
        <v>1.0493637115045218E-2</v>
      </c>
      <c r="M62" s="55">
        <f t="shared" si="28"/>
        <v>0.98950636288495475</v>
      </c>
      <c r="N62" s="55">
        <f t="shared" si="29"/>
        <v>5.9882010423010137E-3</v>
      </c>
      <c r="O62" s="56">
        <f t="shared" si="30"/>
        <v>1.6874258958834674E-7</v>
      </c>
      <c r="P62" s="56">
        <f t="shared" si="31"/>
        <v>2.5856890472201805E-5</v>
      </c>
      <c r="Q62" s="56">
        <f t="shared" si="32"/>
        <v>4.339779956479418E-4</v>
      </c>
      <c r="R62" s="9">
        <f t="shared" si="38"/>
        <v>3.9999999999999996E-5</v>
      </c>
      <c r="S62" s="9">
        <f t="shared" si="39"/>
        <v>4.1974548460180872E-7</v>
      </c>
      <c r="T62" s="9">
        <f t="shared" si="40"/>
        <v>6.7120150408645722E-6</v>
      </c>
      <c r="U62" s="9">
        <f t="shared" si="41"/>
        <v>3.9580254515398188E-5</v>
      </c>
      <c r="V62" s="102">
        <f t="shared" si="42"/>
        <v>0.16957988580526559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0.7211484450377651</v>
      </c>
      <c r="J63" s="54">
        <f t="shared" si="25"/>
        <v>2.1173032596981405</v>
      </c>
      <c r="K63" s="55">
        <f t="shared" si="26"/>
        <v>0.18716648993460566</v>
      </c>
      <c r="L63" s="55">
        <f t="shared" si="27"/>
        <v>1.0007206953198533E-2</v>
      </c>
      <c r="M63" s="55">
        <f t="shared" si="28"/>
        <v>0.98999279304680143</v>
      </c>
      <c r="N63" s="55">
        <f t="shared" si="29"/>
        <v>5.5388109053273772E-3</v>
      </c>
      <c r="O63" s="56">
        <f t="shared" si="30"/>
        <v>1.8821744589927738E-7</v>
      </c>
      <c r="P63" s="56">
        <f t="shared" si="31"/>
        <v>2.4658300195126935E-5</v>
      </c>
      <c r="Q63" s="56">
        <f t="shared" si="32"/>
        <v>4.0140971186286155E-4</v>
      </c>
      <c r="R63" s="9">
        <f t="shared" si="38"/>
        <v>3.9999999999999996E-5</v>
      </c>
      <c r="S63" s="9">
        <f t="shared" si="39"/>
        <v>4.002882781279413E-7</v>
      </c>
      <c r="T63" s="9">
        <f t="shared" si="40"/>
        <v>7.4866595973842257E-6</v>
      </c>
      <c r="U63" s="9">
        <f t="shared" si="41"/>
        <v>3.9599711721872055E-5</v>
      </c>
      <c r="V63" s="102">
        <f t="shared" si="42"/>
        <v>0.18905843683829471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0.2338148544799136</v>
      </c>
      <c r="J64" s="54">
        <f t="shared" si="25"/>
        <v>1.3674698928675459</v>
      </c>
      <c r="K64" s="55">
        <f t="shared" si="26"/>
        <v>0.57748088219045679</v>
      </c>
      <c r="L64" s="55">
        <f t="shared" si="27"/>
        <v>5.4927398458114009E-3</v>
      </c>
      <c r="M64" s="55">
        <f t="shared" si="28"/>
        <v>0.99450726015418855</v>
      </c>
      <c r="N64" s="55">
        <f t="shared" si="29"/>
        <v>3.0256525472897753E-3</v>
      </c>
      <c r="O64" s="56">
        <f t="shared" si="30"/>
        <v>5.8072348709176149E-7</v>
      </c>
      <c r="P64" s="56">
        <f t="shared" si="31"/>
        <v>1.3534408616228577E-5</v>
      </c>
      <c r="Q64" s="56">
        <f t="shared" si="32"/>
        <v>2.1927564200405507E-4</v>
      </c>
      <c r="R64" s="9">
        <f t="shared" si="38"/>
        <v>3.9999999999999996E-5</v>
      </c>
      <c r="S64" s="9">
        <f t="shared" si="39"/>
        <v>2.1970959383245602E-7</v>
      </c>
      <c r="T64" s="9">
        <f t="shared" si="40"/>
        <v>2.309923528761827E-5</v>
      </c>
      <c r="U64" s="9">
        <f t="shared" si="41"/>
        <v>3.978029040616754E-5</v>
      </c>
      <c r="V64" s="102">
        <f t="shared" si="42"/>
        <v>0.58067035337773609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1.2834731216469764</v>
      </c>
      <c r="J65" s="54">
        <f t="shared" si="25"/>
        <v>2.8233837190602822</v>
      </c>
      <c r="K65" s="55">
        <f t="shared" si="26"/>
        <v>5.1074188307611137E-2</v>
      </c>
      <c r="L65" s="55">
        <f t="shared" si="27"/>
        <v>1.3879272998404066E-2</v>
      </c>
      <c r="M65" s="55">
        <f t="shared" si="28"/>
        <v>0.98612072700159592</v>
      </c>
      <c r="N65" s="55">
        <f t="shared" si="29"/>
        <v>9.2582289454365713E-3</v>
      </c>
      <c r="O65" s="56">
        <f t="shared" si="30"/>
        <v>5.1360974274807535E-8</v>
      </c>
      <c r="P65" s="56">
        <f t="shared" si="31"/>
        <v>3.4199280746900075E-5</v>
      </c>
      <c r="Q65" s="56">
        <f t="shared" si="32"/>
        <v>6.7096405291136054E-4</v>
      </c>
      <c r="R65" s="9">
        <f t="shared" si="38"/>
        <v>3.9999999999999996E-5</v>
      </c>
      <c r="S65" s="9">
        <f t="shared" si="39"/>
        <v>5.5517091993616258E-7</v>
      </c>
      <c r="T65" s="9">
        <f t="shared" si="40"/>
        <v>2.0429675323044454E-6</v>
      </c>
      <c r="U65" s="9">
        <f t="shared" si="41"/>
        <v>3.9444829080063836E-5</v>
      </c>
      <c r="V65" s="102">
        <f t="shared" si="42"/>
        <v>5.179303802173147E-2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0.33491051106253611</v>
      </c>
      <c r="J68" s="54">
        <f t="shared" si="25"/>
        <v>1.4569140663004096</v>
      </c>
      <c r="K68" s="55">
        <f t="shared" si="26"/>
        <v>0.45762011610669029</v>
      </c>
      <c r="L68" s="55">
        <f t="shared" si="27"/>
        <v>5.3481145290127357E-3</v>
      </c>
      <c r="M68" s="55">
        <f t="shared" si="28"/>
        <v>0.99465188547098726</v>
      </c>
      <c r="N68" s="55">
        <f t="shared" si="29"/>
        <v>1.9032574996623798E-3</v>
      </c>
      <c r="O68" s="56">
        <f t="shared" si="30"/>
        <v>4.6018969248088055E-7</v>
      </c>
      <c r="P68" s="56">
        <f t="shared" si="31"/>
        <v>1.3178043998796832E-5</v>
      </c>
      <c r="Q68" s="56">
        <f t="shared" si="32"/>
        <v>1.3793322386317319E-4</v>
      </c>
      <c r="R68" s="9">
        <f>F68*$C$14</f>
        <v>3.9999999999999996E-5</v>
      </c>
      <c r="S68" s="9">
        <f t="shared" si="39"/>
        <v>2.139245811605094E-7</v>
      </c>
      <c r="T68" s="9">
        <f t="shared" si="40"/>
        <v>1.8304804644267611E-5</v>
      </c>
      <c r="U68" s="9">
        <f t="shared" si="41"/>
        <v>3.978607541883949E-5</v>
      </c>
      <c r="V68" s="102">
        <f t="shared" si="42"/>
        <v>0.4600806802773999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2.1724337273682748</v>
      </c>
      <c r="J69" s="54">
        <f t="shared" si="25"/>
        <v>3.7592307464751822</v>
      </c>
      <c r="K69" s="55">
        <f t="shared" si="26"/>
        <v>6.5849765822578229E-3</v>
      </c>
      <c r="L69" s="55">
        <f t="shared" si="27"/>
        <v>1.5437128066988182E-2</v>
      </c>
      <c r="M69" s="55">
        <f t="shared" si="28"/>
        <v>0.98456287193301184</v>
      </c>
      <c r="N69" s="55">
        <f t="shared" si="29"/>
        <v>1.0835468094226806E-2</v>
      </c>
      <c r="O69" s="56">
        <f t="shared" si="30"/>
        <v>6.6219517930381568E-9</v>
      </c>
      <c r="P69" s="56">
        <f t="shared" si="31"/>
        <v>3.8037920051683232E-5</v>
      </c>
      <c r="Q69" s="56">
        <f t="shared" si="32"/>
        <v>7.8527001552253434E-4</v>
      </c>
      <c r="R69" s="9">
        <f>F69*$C$14</f>
        <v>3.9999999999999996E-5</v>
      </c>
      <c r="S69" s="9">
        <f t="shared" si="39"/>
        <v>6.1748512267952725E-7</v>
      </c>
      <c r="T69" s="9">
        <f t="shared" si="40"/>
        <v>2.633990632903129E-7</v>
      </c>
      <c r="U69" s="9">
        <f t="shared" si="41"/>
        <v>3.938251487732047E-5</v>
      </c>
      <c r="V69" s="102">
        <f t="shared" si="42"/>
        <v>6.6882235456730233E-3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6.2122287627494992E-2</v>
      </c>
      <c r="J70" s="54">
        <f t="shared" si="25"/>
        <v>0.64559866119554743</v>
      </c>
      <c r="K70" s="55">
        <f t="shared" si="26"/>
        <v>0.86088867423853932</v>
      </c>
      <c r="L70" s="55">
        <f t="shared" si="27"/>
        <v>1.5535569611758756E-3</v>
      </c>
      <c r="M70" s="55">
        <f t="shared" si="28"/>
        <v>0.99844644303882413</v>
      </c>
      <c r="N70" s="55">
        <f t="shared" si="29"/>
        <v>3.8275990413651846E-4</v>
      </c>
      <c r="O70" s="56">
        <f t="shared" si="30"/>
        <v>8.6572263830670892E-7</v>
      </c>
      <c r="P70" s="56">
        <f t="shared" si="31"/>
        <v>3.8280485352268795E-6</v>
      </c>
      <c r="Q70" s="56">
        <f t="shared" si="32"/>
        <v>2.773944542578948E-5</v>
      </c>
      <c r="R70" s="9">
        <f t="shared" ref="R70:R86" si="43">F70*$C$14</f>
        <v>3.9999999999999996E-5</v>
      </c>
      <c r="S70" s="9">
        <f t="shared" si="39"/>
        <v>6.2142278447035022E-8</v>
      </c>
      <c r="T70" s="9">
        <f t="shared" si="40"/>
        <v>3.443554696954157E-5</v>
      </c>
      <c r="U70" s="9">
        <f t="shared" si="41"/>
        <v>3.9937857721552963E-5</v>
      </c>
      <c r="V70" s="102">
        <f t="shared" si="42"/>
        <v>0.86222819485277491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0.22542744412672311</v>
      </c>
      <c r="J71" s="54">
        <f t="shared" ref="J71:J122" si="45">IF(D71=0,"",LOG($K$21*10^D71+$K$22*10^E71+$K$20))</f>
        <v>1.314258680650835</v>
      </c>
      <c r="K71" s="55">
        <f t="shared" ref="K71:K122" si="46">IF(D71=0,"",1/(1+10^D71*$J$15/$J$14+10^E71*$J$16/$J$14+10^J71*$J$19/$J$14))</f>
        <v>0.5890592914497349</v>
      </c>
      <c r="L71" s="55">
        <f t="shared" ref="L71:L122" si="47">IF(D71=0,"",1/(1+10^I71/10^J71*$J$13/$J$19))</f>
        <v>4.9567751303040471E-3</v>
      </c>
      <c r="M71" s="55">
        <f t="shared" si="19"/>
        <v>0.99504322486969599</v>
      </c>
      <c r="N71" s="55">
        <f t="shared" ref="N71:N122" si="48">IF(D71=0,"",1/(1/10^E71*$J$20/$J$22+10^D71/10^E71*$J$21/$J$22+10^I71/10^E71*$J$13/$J$22+1))</f>
        <v>2.453677347435782E-3</v>
      </c>
      <c r="O71" s="56">
        <f t="shared" si="21"/>
        <v>5.9236691011646689E-7</v>
      </c>
      <c r="P71" s="56">
        <f t="shared" ref="P71:P122" si="49">IF(D71=0,"",O71*10^J71)</f>
        <v>1.2213762514795447E-5</v>
      </c>
      <c r="Q71" s="56">
        <f t="shared" ref="Q71:Q122" si="50">IF(D71=0,"",F71*N71*$J$7/$J$22)</f>
        <v>1.778233512343409E-4</v>
      </c>
      <c r="R71" s="9">
        <f t="shared" si="43"/>
        <v>3.9999999999999996E-5</v>
      </c>
      <c r="S71" s="9">
        <f t="shared" si="39"/>
        <v>1.9827100521216186E-7</v>
      </c>
      <c r="T71" s="9">
        <f t="shared" si="40"/>
        <v>2.3562371657989394E-5</v>
      </c>
      <c r="U71" s="9">
        <f t="shared" si="41"/>
        <v>3.9801728994787835E-5</v>
      </c>
      <c r="V71" s="102">
        <f t="shared" si="42"/>
        <v>0.59199367095522315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0.32073739190116707</v>
      </c>
      <c r="J72" s="54">
        <f t="shared" si="45"/>
        <v>1.4492878976223589</v>
      </c>
      <c r="K72" s="55">
        <f t="shared" si="46"/>
        <v>0.47276242152040515</v>
      </c>
      <c r="L72" s="55">
        <f t="shared" si="47"/>
        <v>5.4289066229300338E-3</v>
      </c>
      <c r="M72" s="55">
        <f t="shared" si="19"/>
        <v>0.99457109337706995</v>
      </c>
      <c r="N72" s="55">
        <f t="shared" si="48"/>
        <v>2.1224056411298935E-3</v>
      </c>
      <c r="O72" s="56">
        <f t="shared" si="21"/>
        <v>4.7541702324394613E-7</v>
      </c>
      <c r="P72" s="56">
        <f t="shared" si="49"/>
        <v>1.337712009610578E-5</v>
      </c>
      <c r="Q72" s="56">
        <f t="shared" si="50"/>
        <v>1.5381536785136142E-4</v>
      </c>
      <c r="R72" s="9">
        <f t="shared" si="43"/>
        <v>3.9999999999999996E-5</v>
      </c>
      <c r="S72" s="9">
        <f t="shared" si="39"/>
        <v>2.1715626491720134E-7</v>
      </c>
      <c r="T72" s="9">
        <f t="shared" si="40"/>
        <v>1.8910496860816203E-5</v>
      </c>
      <c r="U72" s="9">
        <f t="shared" si="41"/>
        <v>3.9782843735082797E-5</v>
      </c>
      <c r="V72" s="102">
        <f t="shared" si="42"/>
        <v>0.47534301435922349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3.8293839195374848</v>
      </c>
      <c r="J73" s="54">
        <f t="shared" si="45"/>
        <v>5.6416380635271075</v>
      </c>
      <c r="K73" s="55">
        <f t="shared" si="46"/>
        <v>1.4357046697396721E-4</v>
      </c>
      <c r="L73" s="55">
        <f t="shared" si="47"/>
        <v>2.5673477733788065E-2</v>
      </c>
      <c r="M73" s="55">
        <f t="shared" si="19"/>
        <v>0.97432652226621197</v>
      </c>
      <c r="N73" s="55">
        <f t="shared" si="48"/>
        <v>2.344949831731238E-2</v>
      </c>
      <c r="O73" s="56">
        <f t="shared" si="21"/>
        <v>1.4437662751408158E-10</v>
      </c>
      <c r="P73" s="56">
        <f t="shared" si="49"/>
        <v>6.3260840309724108E-5</v>
      </c>
      <c r="Q73" s="56">
        <f t="shared" si="50"/>
        <v>1.6994363093037681E-3</v>
      </c>
      <c r="R73" s="9">
        <f t="shared" si="43"/>
        <v>3.9999999999999996E-5</v>
      </c>
      <c r="S73" s="9">
        <f t="shared" si="39"/>
        <v>1.0269391093515224E-6</v>
      </c>
      <c r="T73" s="9">
        <f t="shared" si="40"/>
        <v>5.7428186789586881E-9</v>
      </c>
      <c r="U73" s="9">
        <f t="shared" si="41"/>
        <v>3.8973060890648475E-5</v>
      </c>
      <c r="V73" s="102">
        <f t="shared" si="42"/>
        <v>1.4735354492868862E-4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3.8037572032670899E-2</v>
      </c>
      <c r="J74" s="54">
        <f t="shared" si="45"/>
        <v>0.50257798213592542</v>
      </c>
      <c r="K74" s="55">
        <f t="shared" si="46"/>
        <v>0.91031850778311585</v>
      </c>
      <c r="L74" s="55">
        <f t="shared" si="47"/>
        <v>1.1818242046672547E-3</v>
      </c>
      <c r="M74" s="55">
        <f t="shared" si="19"/>
        <v>0.99881817579533272</v>
      </c>
      <c r="N74" s="55">
        <f t="shared" si="48"/>
        <v>3.1191755313066946E-4</v>
      </c>
      <c r="O74" s="56">
        <f t="shared" si="21"/>
        <v>9.1543002462483251E-7</v>
      </c>
      <c r="P74" s="56">
        <f t="shared" si="49"/>
        <v>2.9120788800353446E-6</v>
      </c>
      <c r="Q74" s="56">
        <f t="shared" si="50"/>
        <v>2.2605345672069007E-5</v>
      </c>
      <c r="R74" s="9">
        <f t="shared" si="43"/>
        <v>3.9999999999999996E-5</v>
      </c>
      <c r="S74" s="9">
        <f t="shared" si="39"/>
        <v>4.7272968186690183E-8</v>
      </c>
      <c r="T74" s="9">
        <f t="shared" si="40"/>
        <v>3.6412740311324629E-5</v>
      </c>
      <c r="U74" s="9">
        <f t="shared" si="41"/>
        <v>3.9952727031813306E-5</v>
      </c>
      <c r="V74" s="102">
        <f t="shared" si="42"/>
        <v>0.91139561718353101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4.0258976380178252E-2</v>
      </c>
      <c r="J75" s="54">
        <f t="shared" si="45"/>
        <v>0.51091120344487984</v>
      </c>
      <c r="K75" s="55">
        <f t="shared" si="46"/>
        <v>0.90565897243061033</v>
      </c>
      <c r="L75" s="55">
        <f t="shared" si="47"/>
        <v>1.1985534967382033E-3</v>
      </c>
      <c r="M75" s="55">
        <f t="shared" si="19"/>
        <v>0.99880144650326175</v>
      </c>
      <c r="N75" s="55">
        <f t="shared" si="48"/>
        <v>2.9593895565427781E-4</v>
      </c>
      <c r="O75" s="56">
        <f t="shared" si="21"/>
        <v>9.1074432557992119E-7</v>
      </c>
      <c r="P75" s="56">
        <f t="shared" si="49"/>
        <v>2.9533007622115251E-6</v>
      </c>
      <c r="Q75" s="56">
        <f t="shared" si="50"/>
        <v>2.1447341848034885E-5</v>
      </c>
      <c r="R75" s="9">
        <f t="shared" si="43"/>
        <v>3.9999999999999996E-5</v>
      </c>
      <c r="S75" s="9">
        <f t="shared" si="39"/>
        <v>4.7942139869528125E-8</v>
      </c>
      <c r="T75" s="9">
        <f t="shared" si="40"/>
        <v>3.6226358897224407E-5</v>
      </c>
      <c r="U75" s="9">
        <f t="shared" si="41"/>
        <v>3.9952057860130464E-5</v>
      </c>
      <c r="V75" s="102">
        <f t="shared" si="42"/>
        <v>0.90674575572678928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1.137117589232139</v>
      </c>
      <c r="J76" s="54">
        <f t="shared" si="45"/>
        <v>2.621107442671748</v>
      </c>
      <c r="K76" s="55">
        <f t="shared" si="46"/>
        <v>7.1661495136631101E-2</v>
      </c>
      <c r="L76" s="55">
        <f t="shared" si="47"/>
        <v>1.2222916176872595E-2</v>
      </c>
      <c r="M76" s="55">
        <f t="shared" si="19"/>
        <v>0.98777708382312746</v>
      </c>
      <c r="N76" s="55">
        <f t="shared" si="48"/>
        <v>7.3709812728727587E-3</v>
      </c>
      <c r="O76" s="56">
        <f t="shared" si="21"/>
        <v>7.2063880605191479E-8</v>
      </c>
      <c r="P76" s="56">
        <f t="shared" si="49"/>
        <v>3.0117927785321209E-5</v>
      </c>
      <c r="Q76" s="56">
        <f t="shared" si="50"/>
        <v>5.341910961510828E-4</v>
      </c>
      <c r="R76" s="9">
        <f t="shared" si="43"/>
        <v>3.9999999999999996E-5</v>
      </c>
      <c r="S76" s="9">
        <f t="shared" si="39"/>
        <v>4.8891664707490379E-7</v>
      </c>
      <c r="T76" s="9">
        <f t="shared" si="40"/>
        <v>2.8664598054652436E-6</v>
      </c>
      <c r="U76" s="9">
        <f t="shared" si="41"/>
        <v>3.9511083352925095E-5</v>
      </c>
      <c r="V76" s="102">
        <f t="shared" si="42"/>
        <v>7.2548246269563077E-2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2.0958974367173925E-3</v>
      </c>
      <c r="J77" s="54">
        <f t="shared" si="45"/>
        <v>3.9402684082655473E-2</v>
      </c>
      <c r="K77" s="55">
        <f t="shared" si="46"/>
        <v>0.9895927688248628</v>
      </c>
      <c r="L77" s="55">
        <f t="shared" si="47"/>
        <v>4.4222238551866314E-4</v>
      </c>
      <c r="M77" s="55">
        <f t="shared" si="19"/>
        <v>0.99955777761448139</v>
      </c>
      <c r="N77" s="55">
        <f t="shared" si="48"/>
        <v>2.0850523142886665E-5</v>
      </c>
      <c r="O77" s="56">
        <f t="shared" si="21"/>
        <v>9.9514941747150811E-7</v>
      </c>
      <c r="P77" s="56">
        <f t="shared" si="49"/>
        <v>1.0896599207073492E-6</v>
      </c>
      <c r="Q77" s="56">
        <f t="shared" si="50"/>
        <v>1.5110829075110607E-6</v>
      </c>
      <c r="R77" s="9">
        <f t="shared" si="43"/>
        <v>3.9999999999999996E-5</v>
      </c>
      <c r="S77" s="9">
        <f t="shared" si="39"/>
        <v>1.7688895420746524E-8</v>
      </c>
      <c r="T77" s="9">
        <f t="shared" si="40"/>
        <v>3.9583710752994508E-5</v>
      </c>
      <c r="U77" s="9">
        <f t="shared" si="41"/>
        <v>3.998231110457925E-5</v>
      </c>
      <c r="V77" s="102">
        <f t="shared" si="42"/>
        <v>0.99003058251079712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8.7763082204907472E-2</v>
      </c>
      <c r="J78" s="54">
        <f t="shared" si="45"/>
        <v>0.83897219078208807</v>
      </c>
      <c r="K78" s="55">
        <f t="shared" si="46"/>
        <v>0.81093913123988093</v>
      </c>
      <c r="L78" s="55">
        <f t="shared" si="47"/>
        <v>2.2842412712672316E-3</v>
      </c>
      <c r="M78" s="55">
        <f t="shared" si="19"/>
        <v>0.99771575872873275</v>
      </c>
      <c r="N78" s="55">
        <f t="shared" si="48"/>
        <v>8.9361757235670444E-4</v>
      </c>
      <c r="O78" s="56">
        <f t="shared" si="21"/>
        <v>8.1549262432114798E-7</v>
      </c>
      <c r="P78" s="56">
        <f t="shared" si="49"/>
        <v>5.6284942690230713E-6</v>
      </c>
      <c r="Q78" s="56">
        <f t="shared" si="50"/>
        <v>6.4762415320999815E-5</v>
      </c>
      <c r="R78" s="9">
        <f t="shared" si="43"/>
        <v>3.9999999999999996E-5</v>
      </c>
      <c r="S78" s="9">
        <f t="shared" si="39"/>
        <v>9.1369650850689249E-8</v>
      </c>
      <c r="T78" s="9">
        <f t="shared" si="40"/>
        <v>3.2437565249595233E-5</v>
      </c>
      <c r="U78" s="9">
        <f t="shared" si="41"/>
        <v>3.9908630349149307E-5</v>
      </c>
      <c r="V78" s="102">
        <f t="shared" si="42"/>
        <v>0.81279575284363714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0.50667591684415281</v>
      </c>
      <c r="J79" s="54">
        <f t="shared" si="45"/>
        <v>1.8013240408300564</v>
      </c>
      <c r="K79" s="55">
        <f t="shared" si="46"/>
        <v>0.30733172300522849</v>
      </c>
      <c r="L79" s="55">
        <f t="shared" si="47"/>
        <v>7.938034048143347E-3</v>
      </c>
      <c r="M79" s="55">
        <f t="shared" si="19"/>
        <v>0.99206196595185669</v>
      </c>
      <c r="N79" s="55">
        <f t="shared" si="48"/>
        <v>3.9246219960437584E-3</v>
      </c>
      <c r="O79" s="56">
        <f t="shared" si="21"/>
        <v>3.0905741710537449E-7</v>
      </c>
      <c r="P79" s="56">
        <f t="shared" si="49"/>
        <v>1.9559746034401214E-5</v>
      </c>
      <c r="Q79" s="56">
        <f t="shared" si="50"/>
        <v>2.8442591948523273E-4</v>
      </c>
      <c r="R79" s="9">
        <f t="shared" si="43"/>
        <v>3.9999999999999996E-5</v>
      </c>
      <c r="S79" s="9">
        <f t="shared" si="39"/>
        <v>3.1752136192573386E-7</v>
      </c>
      <c r="T79" s="9">
        <f t="shared" si="40"/>
        <v>1.2293268920209139E-5</v>
      </c>
      <c r="U79" s="9">
        <f t="shared" si="41"/>
        <v>3.9682478638074268E-5</v>
      </c>
      <c r="V79" s="102">
        <f t="shared" si="42"/>
        <v>0.30979085334689954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2.9778200964006376</v>
      </c>
      <c r="J80" s="54">
        <f t="shared" si="45"/>
        <v>4.6611522076147738</v>
      </c>
      <c r="K80" s="55">
        <f t="shared" si="46"/>
        <v>1.0268387056492599E-3</v>
      </c>
      <c r="L80" s="55">
        <f t="shared" si="47"/>
        <v>1.9205957521746978E-2</v>
      </c>
      <c r="M80" s="55">
        <f t="shared" si="19"/>
        <v>0.98079404247825297</v>
      </c>
      <c r="N80" s="55">
        <f t="shared" si="48"/>
        <v>1.5454632183443831E-2</v>
      </c>
      <c r="O80" s="56">
        <f t="shared" si="21"/>
        <v>1.0326044934397715E-9</v>
      </c>
      <c r="P80" s="56">
        <f t="shared" si="49"/>
        <v>4.7324520050494587E-5</v>
      </c>
      <c r="Q80" s="56">
        <f t="shared" si="50"/>
        <v>1.1200309159743779E-3</v>
      </c>
      <c r="R80" s="9">
        <f t="shared" si="43"/>
        <v>3.9999999999999996E-5</v>
      </c>
      <c r="S80" s="9">
        <f t="shared" si="39"/>
        <v>7.6823830086987904E-7</v>
      </c>
      <c r="T80" s="9">
        <f t="shared" si="40"/>
        <v>4.1073548225970393E-8</v>
      </c>
      <c r="U80" s="9">
        <f t="shared" si="41"/>
        <v>3.9231761699130118E-5</v>
      </c>
      <c r="V80" s="102">
        <f t="shared" si="42"/>
        <v>1.0469463120459644E-3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0.64393554165863076</v>
      </c>
      <c r="J81" s="54">
        <f t="shared" si="45"/>
        <v>2.0682288758066103</v>
      </c>
      <c r="K81" s="55">
        <f t="shared" si="46"/>
        <v>0.22343447620162676</v>
      </c>
      <c r="L81" s="55">
        <f t="shared" si="47"/>
        <v>1.0669905859863275E-2</v>
      </c>
      <c r="M81" s="55">
        <f t="shared" si="19"/>
        <v>0.98933009414013673</v>
      </c>
      <c r="N81" s="55">
        <f t="shared" si="48"/>
        <v>6.6441989604228953E-3</v>
      </c>
      <c r="O81" s="56">
        <f t="shared" si="21"/>
        <v>2.2468908003353838E-7</v>
      </c>
      <c r="P81" s="56">
        <f t="shared" si="49"/>
        <v>2.6291226210941834E-5</v>
      </c>
      <c r="Q81" s="56">
        <f t="shared" si="50"/>
        <v>4.8151959614610456E-4</v>
      </c>
      <c r="R81" s="9">
        <f t="shared" si="43"/>
        <v>3.9999999999999996E-5</v>
      </c>
      <c r="S81" s="9">
        <f t="shared" si="39"/>
        <v>4.2679623439453093E-7</v>
      </c>
      <c r="T81" s="9">
        <f t="shared" si="40"/>
        <v>8.9373790480650703E-6</v>
      </c>
      <c r="U81" s="9">
        <f t="shared" si="41"/>
        <v>3.9573203765605465E-5</v>
      </c>
      <c r="V81" s="102">
        <f t="shared" si="42"/>
        <v>0.22584421269002425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1.3135143326183101</v>
      </c>
      <c r="J82" s="54">
        <f t="shared" si="45"/>
        <v>2.8973705182690765</v>
      </c>
      <c r="K82" s="55">
        <f t="shared" si="46"/>
        <v>4.759034756900294E-2</v>
      </c>
      <c r="L82" s="55">
        <f t="shared" si="47"/>
        <v>1.5334545930316917E-2</v>
      </c>
      <c r="M82" s="55">
        <f t="shared" si="19"/>
        <v>0.98466545406968309</v>
      </c>
      <c r="N82" s="55">
        <f t="shared" si="48"/>
        <v>1.1031315847266339E-2</v>
      </c>
      <c r="O82" s="56">
        <f t="shared" si="21"/>
        <v>4.7857571470332279E-8</v>
      </c>
      <c r="P82" s="56">
        <f t="shared" si="49"/>
        <v>3.7785152108287268E-5</v>
      </c>
      <c r="Q82" s="56">
        <f t="shared" si="50"/>
        <v>7.9946352952045292E-4</v>
      </c>
      <c r="R82" s="9">
        <f t="shared" si="43"/>
        <v>3.9999999999999996E-5</v>
      </c>
      <c r="S82" s="9">
        <f t="shared" si="39"/>
        <v>6.1338183721267663E-7</v>
      </c>
      <c r="T82" s="9">
        <f t="shared" si="40"/>
        <v>1.9036139027601175E-6</v>
      </c>
      <c r="U82" s="9">
        <f t="shared" si="41"/>
        <v>3.9386618162787321E-5</v>
      </c>
      <c r="V82" s="102">
        <f t="shared" si="42"/>
        <v>4.8331489007062342E-2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0.78379345695532832</v>
      </c>
      <c r="J83" s="54">
        <f t="shared" si="45"/>
        <v>2.2544039273222234</v>
      </c>
      <c r="K83" s="55">
        <f t="shared" si="46"/>
        <v>0.16172273183124708</v>
      </c>
      <c r="L83" s="55">
        <f t="shared" si="47"/>
        <v>1.1856500445408046E-2</v>
      </c>
      <c r="M83" s="55">
        <f t="shared" si="19"/>
        <v>0.98814349955459191</v>
      </c>
      <c r="N83" s="55">
        <f t="shared" si="48"/>
        <v>7.6265392846365347E-3</v>
      </c>
      <c r="O83" s="56">
        <f t="shared" si="21"/>
        <v>1.626308189022844E-7</v>
      </c>
      <c r="P83" s="56">
        <f t="shared" si="49"/>
        <v>2.9215059567952923E-5</v>
      </c>
      <c r="Q83" s="56">
        <f t="shared" si="50"/>
        <v>5.5271194288511298E-4</v>
      </c>
      <c r="R83" s="9">
        <f t="shared" si="43"/>
        <v>3.9999999999999996E-5</v>
      </c>
      <c r="S83" s="9">
        <f t="shared" si="39"/>
        <v>4.7426001781632183E-7</v>
      </c>
      <c r="T83" s="9">
        <f t="shared" si="40"/>
        <v>6.4689092732498824E-6</v>
      </c>
      <c r="U83" s="9">
        <f t="shared" si="41"/>
        <v>3.9525739982183674E-5</v>
      </c>
      <c r="V83" s="102">
        <f t="shared" si="42"/>
        <v>0.16366320469055759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5.6400487609719711E-2</v>
      </c>
      <c r="J84" s="54">
        <f t="shared" si="45"/>
        <v>0.65206362088681824</v>
      </c>
      <c r="K84" s="55">
        <f t="shared" si="46"/>
        <v>0.8722673041596819</v>
      </c>
      <c r="L84" s="55">
        <f t="shared" si="47"/>
        <v>1.5976981799609524E-3</v>
      </c>
      <c r="M84" s="55">
        <f t="shared" si="19"/>
        <v>0.99840230182003908</v>
      </c>
      <c r="N84" s="55">
        <f t="shared" si="48"/>
        <v>5.2693741503267717E-4</v>
      </c>
      <c r="O84" s="56">
        <f t="shared" si="21"/>
        <v>8.7716516021508494E-7</v>
      </c>
      <c r="P84" s="56">
        <f t="shared" si="49"/>
        <v>3.9368148902020112E-6</v>
      </c>
      <c r="Q84" s="56">
        <f t="shared" si="50"/>
        <v>3.8188304232337044E-5</v>
      </c>
      <c r="R84" s="9">
        <f t="shared" si="43"/>
        <v>3.9999999999999996E-5</v>
      </c>
      <c r="S84" s="9">
        <f t="shared" si="39"/>
        <v>6.3907927198438093E-8</v>
      </c>
      <c r="T84" s="9">
        <f t="shared" si="40"/>
        <v>3.4890692166387275E-5</v>
      </c>
      <c r="U84" s="9">
        <f t="shared" si="41"/>
        <v>3.9936092072801557E-5</v>
      </c>
      <c r="V84" s="102">
        <f t="shared" si="42"/>
        <v>0.8736631541910318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0.61860589125383425</v>
      </c>
      <c r="J85" s="54">
        <f t="shared" si="45"/>
        <v>2.0493358233382901</v>
      </c>
      <c r="K85" s="55">
        <f t="shared" si="46"/>
        <v>0.23681578809172976</v>
      </c>
      <c r="L85" s="55">
        <f t="shared" si="47"/>
        <v>1.0827495247503677E-2</v>
      </c>
      <c r="M85" s="55">
        <f t="shared" si="19"/>
        <v>0.9891725047524963</v>
      </c>
      <c r="N85" s="55">
        <f t="shared" si="48"/>
        <v>6.9445018106612981E-3</v>
      </c>
      <c r="O85" s="56">
        <f t="shared" si="21"/>
        <v>2.3814552914265396E-7</v>
      </c>
      <c r="P85" s="56">
        <f t="shared" si="49"/>
        <v>2.6679535001414206E-5</v>
      </c>
      <c r="Q85" s="56">
        <f t="shared" si="50"/>
        <v>5.032831989565654E-4</v>
      </c>
      <c r="R85" s="9">
        <f t="shared" si="43"/>
        <v>3.9999999999999996E-5</v>
      </c>
      <c r="S85" s="9">
        <f t="shared" si="39"/>
        <v>4.3309980990014702E-7</v>
      </c>
      <c r="T85" s="9">
        <f t="shared" si="40"/>
        <v>9.4726315236691898E-6</v>
      </c>
      <c r="U85" s="9">
        <f t="shared" si="41"/>
        <v>3.9566900190099851E-5</v>
      </c>
      <c r="V85" s="102">
        <f t="shared" si="42"/>
        <v>0.23940797682299522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0.26171036693668792</v>
      </c>
      <c r="J86" s="54">
        <f t="shared" si="45"/>
        <v>1.4157471407554194</v>
      </c>
      <c r="K86" s="55">
        <f t="shared" si="46"/>
        <v>0.54141152181878027</v>
      </c>
      <c r="L86" s="55">
        <f t="shared" si="47"/>
        <v>5.7551435453494027E-3</v>
      </c>
      <c r="M86" s="55">
        <f t="shared" si="19"/>
        <v>0.99424485645465055</v>
      </c>
      <c r="N86" s="55">
        <f t="shared" si="48"/>
        <v>3.0663938597611439E-3</v>
      </c>
      <c r="O86" s="56">
        <f t="shared" si="21"/>
        <v>5.444515941543583E-7</v>
      </c>
      <c r="P86" s="56">
        <f t="shared" si="49"/>
        <v>1.418098555080989E-5</v>
      </c>
      <c r="Q86" s="56">
        <f t="shared" si="50"/>
        <v>2.2222825381543087E-4</v>
      </c>
      <c r="R86" s="9">
        <f t="shared" si="43"/>
        <v>3.9999999999999996E-5</v>
      </c>
      <c r="S86" s="9">
        <f t="shared" si="39"/>
        <v>2.3020574181397609E-7</v>
      </c>
      <c r="T86" s="9">
        <f t="shared" si="40"/>
        <v>2.1656460872751208E-5</v>
      </c>
      <c r="U86" s="9">
        <f t="shared" si="41"/>
        <v>3.976979425818602E-5</v>
      </c>
      <c r="V86" s="102">
        <f t="shared" si="42"/>
        <v>0.54454545910288554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2.1363569008891736</v>
      </c>
      <c r="J88" s="54">
        <f t="shared" si="45"/>
        <v>3.853517361878346</v>
      </c>
      <c r="K88" s="55">
        <f t="shared" si="46"/>
        <v>7.1168903007078404E-3</v>
      </c>
      <c r="L88" s="55">
        <f t="shared" si="47"/>
        <v>2.0729515865952054E-2</v>
      </c>
      <c r="M88" s="55">
        <f t="shared" si="19"/>
        <v>0.97927048413404794</v>
      </c>
      <c r="N88" s="55">
        <f t="shared" si="48"/>
        <v>1.7387562917319452E-2</v>
      </c>
      <c r="O88" s="56">
        <f t="shared" si="21"/>
        <v>7.1568522528396366E-9</v>
      </c>
      <c r="P88" s="56">
        <f t="shared" si="49"/>
        <v>5.1078650367964596E-5</v>
      </c>
      <c r="Q88" s="56">
        <f t="shared" si="50"/>
        <v>1.2601146238672767E-3</v>
      </c>
      <c r="R88" s="9">
        <f>F88*$C$14</f>
        <v>3.9999999999999996E-5</v>
      </c>
      <c r="S88" s="9">
        <f t="shared" si="39"/>
        <v>8.2918063463808208E-7</v>
      </c>
      <c r="T88" s="9">
        <f t="shared" si="40"/>
        <v>2.8467561202831361E-7</v>
      </c>
      <c r="U88" s="9">
        <f t="shared" si="41"/>
        <v>3.9170819365361915E-5</v>
      </c>
      <c r="V88" s="102">
        <f t="shared" si="42"/>
        <v>7.2675429475454727E-3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3.5207953657582807</v>
      </c>
      <c r="J89" s="54">
        <f t="shared" si="45"/>
        <v>5.3117367618268752</v>
      </c>
      <c r="K89" s="55">
        <f t="shared" si="46"/>
        <v>2.9254181969160041E-4</v>
      </c>
      <c r="L89" s="55">
        <f t="shared" si="47"/>
        <v>2.4474072718506126E-2</v>
      </c>
      <c r="M89" s="55">
        <f t="shared" si="19"/>
        <v>0.9755259272814939</v>
      </c>
      <c r="N89" s="55">
        <f t="shared" si="48"/>
        <v>2.1966729458924639E-2</v>
      </c>
      <c r="O89" s="56">
        <f t="shared" si="21"/>
        <v>2.9418446721054583E-10</v>
      </c>
      <c r="P89" s="56">
        <f t="shared" si="49"/>
        <v>6.0305441359679435E-5</v>
      </c>
      <c r="Q89" s="56">
        <f t="shared" si="50"/>
        <v>1.5919768147699919E-3</v>
      </c>
      <c r="R89" s="9">
        <f>F89*$C$14</f>
        <v>3.9999999999999996E-5</v>
      </c>
      <c r="S89" s="9">
        <f t="shared" si="39"/>
        <v>9.7896290874024495E-7</v>
      </c>
      <c r="T89" s="9">
        <f t="shared" si="40"/>
        <v>1.1701672787664015E-8</v>
      </c>
      <c r="U89" s="9">
        <f t="shared" si="41"/>
        <v>3.9021037091259756E-5</v>
      </c>
      <c r="V89" s="102">
        <f t="shared" si="42"/>
        <v>2.9988113233118171E-4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3.8666483056990257</v>
      </c>
      <c r="J90" s="54">
        <f t="shared" si="45"/>
        <v>5.6876254788112171</v>
      </c>
      <c r="K90" s="55">
        <f t="shared" si="46"/>
        <v>1.3169660243296771E-4</v>
      </c>
      <c r="L90" s="55">
        <f t="shared" si="47"/>
        <v>2.6180719372658704E-2</v>
      </c>
      <c r="M90" s="55">
        <f t="shared" si="19"/>
        <v>0.97381928062734124</v>
      </c>
      <c r="N90" s="55">
        <f t="shared" si="48"/>
        <v>2.4076980099667643E-2</v>
      </c>
      <c r="O90" s="56">
        <f t="shared" si="21"/>
        <v>1.3243609020079563E-10</v>
      </c>
      <c r="P90" s="56">
        <f t="shared" si="49"/>
        <v>6.4510711193901545E-5</v>
      </c>
      <c r="Q90" s="56">
        <f t="shared" si="50"/>
        <v>1.7449112832213934E-3</v>
      </c>
      <c r="R90" s="9">
        <f>F90*$C$14</f>
        <v>3.9999999999999996E-5</v>
      </c>
      <c r="S90" s="9">
        <f t="shared" si="39"/>
        <v>1.047228774906348E-6</v>
      </c>
      <c r="T90" s="9">
        <f t="shared" si="40"/>
        <v>5.2678640973187082E-9</v>
      </c>
      <c r="U90" s="9">
        <f t="shared" si="41"/>
        <v>3.8952771225093644E-5</v>
      </c>
      <c r="V90" s="102">
        <f t="shared" si="42"/>
        <v>1.3523720987340467E-4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4.2676323009395754</v>
      </c>
      <c r="J91" s="54">
        <f t="shared" si="45"/>
        <v>6.1146638337723394</v>
      </c>
      <c r="K91" s="55">
        <f t="shared" si="46"/>
        <v>5.2226166118140095E-5</v>
      </c>
      <c r="L91" s="55">
        <f t="shared" si="47"/>
        <v>2.7754506228122242E-2</v>
      </c>
      <c r="M91" s="55">
        <f t="shared" si="19"/>
        <v>0.97224549377187774</v>
      </c>
      <c r="N91" s="55">
        <f t="shared" si="48"/>
        <v>2.6023492960931004E-2</v>
      </c>
      <c r="O91" s="56">
        <f t="shared" si="21"/>
        <v>5.2519420539981162E-11</v>
      </c>
      <c r="P91" s="56">
        <f t="shared" si="49"/>
        <v>6.8388607284854372E-5</v>
      </c>
      <c r="Q91" s="56">
        <f t="shared" si="50"/>
        <v>1.8859793175219608E-3</v>
      </c>
      <c r="R91" s="9">
        <f t="shared" ref="R91:R92" si="51">F91*$C$14</f>
        <v>3.9999999999999996E-5</v>
      </c>
      <c r="S91" s="9">
        <f t="shared" si="39"/>
        <v>1.1101802491248895E-6</v>
      </c>
      <c r="T91" s="9">
        <f t="shared" si="40"/>
        <v>2.0890466447256037E-9</v>
      </c>
      <c r="U91" s="9">
        <f t="shared" si="41"/>
        <v>3.8889819750875104E-5</v>
      </c>
      <c r="V91" s="102">
        <f t="shared" si="42"/>
        <v>5.3717056497249398E-5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5.487995486122375</v>
      </c>
      <c r="J92" s="54">
        <f t="shared" si="45"/>
        <v>7.3741192893466714</v>
      </c>
      <c r="K92" s="55">
        <f t="shared" si="46"/>
        <v>3.136108827905722E-6</v>
      </c>
      <c r="L92" s="55">
        <f t="shared" si="47"/>
        <v>3.0289488545525208E-2</v>
      </c>
      <c r="M92" s="55">
        <f t="shared" si="19"/>
        <v>0.96971051145447484</v>
      </c>
      <c r="N92" s="55">
        <f t="shared" si="48"/>
        <v>2.9159466090527521E-2</v>
      </c>
      <c r="O92" s="56">
        <f t="shared" si="21"/>
        <v>3.1537183491383883E-12</v>
      </c>
      <c r="P92" s="56">
        <f t="shared" si="49"/>
        <v>7.4634941078509192E-5</v>
      </c>
      <c r="Q92" s="56">
        <f t="shared" si="50"/>
        <v>2.1132501328426749E-3</v>
      </c>
      <c r="R92" s="9">
        <f t="shared" si="51"/>
        <v>3.9999999999999996E-5</v>
      </c>
      <c r="S92" s="9">
        <f t="shared" si="39"/>
        <v>1.2115795418210083E-6</v>
      </c>
      <c r="T92" s="9">
        <f t="shared" si="40"/>
        <v>1.2544435311622886E-10</v>
      </c>
      <c r="U92" s="9">
        <f t="shared" si="41"/>
        <v>3.8788420458178991E-5</v>
      </c>
      <c r="V92" s="102">
        <f t="shared" si="42"/>
        <v>3.2340670652335744E-6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0.24855356797573289</v>
      </c>
      <c r="J93" s="54">
        <f t="shared" si="45"/>
        <v>1.2733489644967995</v>
      </c>
      <c r="K93" s="55">
        <f t="shared" si="46"/>
        <v>0.55889227459434188</v>
      </c>
      <c r="L93" s="55">
        <f t="shared" si="47"/>
        <v>4.2801461313089475E-3</v>
      </c>
      <c r="M93" s="55">
        <f t="shared" ref="M93:M127" si="52">IF(D93=0,"",1-L93)</f>
        <v>0.99571985386869111</v>
      </c>
      <c r="N93" s="55">
        <f t="shared" si="48"/>
        <v>1.3790771076578993E-3</v>
      </c>
      <c r="O93" s="56">
        <f t="shared" ref="O93:O127" si="53">IF(D93=0,"",F93*K93*$J$7/$J$14)</f>
        <v>5.6203050286265571E-7</v>
      </c>
      <c r="P93" s="56">
        <f t="shared" si="49"/>
        <v>1.0546511996645959E-5</v>
      </c>
      <c r="Q93" s="56">
        <f t="shared" si="50"/>
        <v>9.9944727105448337E-5</v>
      </c>
      <c r="R93" s="9">
        <f>F93*$C$14</f>
        <v>3.9999999999999996E-5</v>
      </c>
      <c r="S93" s="9">
        <f t="shared" si="39"/>
        <v>1.7120584525235787E-7</v>
      </c>
      <c r="T93" s="9">
        <f t="shared" si="40"/>
        <v>2.2355690983773673E-5</v>
      </c>
      <c r="U93" s="9">
        <f t="shared" si="41"/>
        <v>3.9828794154747638E-5</v>
      </c>
      <c r="V93" s="102">
        <f t="shared" si="42"/>
        <v>0.56129469792418629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1.9065682325616583E-2</v>
      </c>
      <c r="J107" s="54">
        <f t="shared" si="45"/>
        <v>0.31039088979163149</v>
      </c>
      <c r="K107" s="55">
        <f t="shared" si="46"/>
        <v>0.95133638701099632</v>
      </c>
      <c r="L107" s="55">
        <f t="shared" si="47"/>
        <v>7.9342617496913018E-4</v>
      </c>
      <c r="M107" s="55">
        <f t="shared" si="52"/>
        <v>0.99920657382503086</v>
      </c>
      <c r="N107" s="55">
        <f t="shared" si="48"/>
        <v>1.5424338616972563E-4</v>
      </c>
      <c r="O107" s="56">
        <f t="shared" si="53"/>
        <v>9.5667822277811334E-7</v>
      </c>
      <c r="P107" s="56">
        <f t="shared" si="49"/>
        <v>1.9550450886605112E-6</v>
      </c>
      <c r="Q107" s="56">
        <f t="shared" si="50"/>
        <v>1.1178354751123629E-5</v>
      </c>
      <c r="R107" s="9">
        <f>F107*$C$14</f>
        <v>3.9999999999999996E-5</v>
      </c>
      <c r="S107" s="9">
        <f t="shared" ref="S107:S108" si="54">$R107*L107</f>
        <v>3.1737046998765205E-8</v>
      </c>
      <c r="T107" s="9">
        <f t="shared" ref="T107:T108" si="55">R107*K107</f>
        <v>3.8053455480439847E-5</v>
      </c>
      <c r="U107" s="9">
        <f t="shared" ref="U107:U108" si="56">$R107*M107</f>
        <v>3.9968262953001232E-5</v>
      </c>
      <c r="V107" s="102">
        <f t="shared" ref="V107:V108" si="57">K107/M107</f>
        <v>0.95209180156733342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0.13401854480859055</v>
      </c>
      <c r="J108" s="54">
        <f t="shared" si="45"/>
        <v>1.0136234276499627</v>
      </c>
      <c r="K108" s="55">
        <f t="shared" si="46"/>
        <v>0.72843646831305919</v>
      </c>
      <c r="L108" s="55">
        <f t="shared" si="47"/>
        <v>3.0675851982043456E-3</v>
      </c>
      <c r="M108" s="55">
        <f t="shared" si="52"/>
        <v>0.99693241480179562</v>
      </c>
      <c r="N108" s="55">
        <f t="shared" si="48"/>
        <v>1.213391987845148E-3</v>
      </c>
      <c r="O108" s="56">
        <f t="shared" si="53"/>
        <v>7.3252670183469809E-7</v>
      </c>
      <c r="P108" s="56">
        <f t="shared" si="49"/>
        <v>7.5586961522039856E-6</v>
      </c>
      <c r="Q108" s="56">
        <f t="shared" si="50"/>
        <v>8.7937164951623699E-5</v>
      </c>
      <c r="R108" s="9">
        <f>F108*$C$14</f>
        <v>3.9999999999999996E-5</v>
      </c>
      <c r="S108" s="9">
        <f t="shared" si="54"/>
        <v>1.2270340792817381E-7</v>
      </c>
      <c r="T108" s="9">
        <f t="shared" si="55"/>
        <v>2.9137458732522365E-5</v>
      </c>
      <c r="U108" s="9">
        <f t="shared" si="56"/>
        <v>3.9877296592071823E-5</v>
      </c>
      <c r="V108" s="102">
        <f t="shared" si="57"/>
        <v>0.73067788497767194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9.3867444440884892E-2</v>
      </c>
      <c r="J114" s="54">
        <f t="shared" si="45"/>
        <v>0.87939054598043731</v>
      </c>
      <c r="K114" s="55">
        <f t="shared" si="46"/>
        <v>0.7994703133491925</v>
      </c>
      <c r="L114" s="55">
        <f t="shared" si="47"/>
        <v>2.4715785275800884E-3</v>
      </c>
      <c r="M114" s="55">
        <f t="shared" si="52"/>
        <v>0.99752842147241993</v>
      </c>
      <c r="N114" s="55">
        <f t="shared" si="48"/>
        <v>1.0351225853995252E-3</v>
      </c>
      <c r="O114" s="56">
        <f t="shared" si="53"/>
        <v>8.039594080300076E-7</v>
      </c>
      <c r="P114" s="56">
        <f t="shared" si="49"/>
        <v>6.090103419857848E-6</v>
      </c>
      <c r="Q114" s="56">
        <f t="shared" si="50"/>
        <v>7.5017592376789172E-5</v>
      </c>
      <c r="R114" s="9">
        <f>F114*$C$14</f>
        <v>3.9999999999999996E-5</v>
      </c>
      <c r="S114" s="9">
        <f t="shared" ref="S114:S116" si="58">$R114*L114</f>
        <v>9.8863141103203525E-8</v>
      </c>
      <c r="T114" s="9">
        <f t="shared" ref="T114:T116" si="59">R114*K114</f>
        <v>3.1978812533967699E-5</v>
      </c>
      <c r="U114" s="9">
        <f t="shared" ref="U114:U116" si="60">$R114*M114</f>
        <v>3.9901136858896791E-5</v>
      </c>
      <c r="V114" s="102">
        <f t="shared" ref="V114:V116" si="61">K114/M114</f>
        <v>0.80145116283415752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0.17110445915344102</v>
      </c>
      <c r="J115" s="54">
        <f t="shared" si="45"/>
        <v>1.0210151944953776</v>
      </c>
      <c r="K115" s="55">
        <f t="shared" si="46"/>
        <v>0.6689502490382333</v>
      </c>
      <c r="L115" s="55">
        <f t="shared" si="47"/>
        <v>2.8654348596340142E-3</v>
      </c>
      <c r="M115" s="55">
        <f t="shared" si="52"/>
        <v>0.99713456514036602</v>
      </c>
      <c r="N115" s="55">
        <f t="shared" si="48"/>
        <v>4.9505136527980124E-4</v>
      </c>
      <c r="O115" s="56">
        <f t="shared" si="53"/>
        <v>6.7270646231413008E-7</v>
      </c>
      <c r="P115" s="56">
        <f t="shared" si="49"/>
        <v>7.0605867640074552E-6</v>
      </c>
      <c r="Q115" s="56">
        <f t="shared" si="50"/>
        <v>3.5877452632143215E-5</v>
      </c>
      <c r="R115" s="9">
        <f>F115*$C$14</f>
        <v>3.9999999999999996E-5</v>
      </c>
      <c r="S115" s="9">
        <f t="shared" si="58"/>
        <v>1.1461739438536055E-7</v>
      </c>
      <c r="T115" s="9">
        <f t="shared" si="59"/>
        <v>2.675800996152933E-5</v>
      </c>
      <c r="U115" s="9">
        <f t="shared" si="60"/>
        <v>3.9885382605614639E-5</v>
      </c>
      <c r="V115" s="102">
        <f t="shared" si="61"/>
        <v>0.67087259074613026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5.8063156695311677E-3</v>
      </c>
      <c r="J116" s="54">
        <f t="shared" si="45"/>
        <v>9.1475309817773021E-2</v>
      </c>
      <c r="K116" s="55">
        <f t="shared" si="46"/>
        <v>0.98112303524324418</v>
      </c>
      <c r="L116" s="55">
        <f t="shared" si="47"/>
        <v>4.9428827419207687E-4</v>
      </c>
      <c r="M116" s="55">
        <f t="shared" si="52"/>
        <v>0.99950571172580793</v>
      </c>
      <c r="N116" s="55">
        <f t="shared" si="48"/>
        <v>1.8600255727852344E-5</v>
      </c>
      <c r="O116" s="56">
        <f t="shared" si="53"/>
        <v>9.8663212560619307E-7</v>
      </c>
      <c r="P116" s="56">
        <f t="shared" si="49"/>
        <v>1.2179530917029531E-6</v>
      </c>
      <c r="Q116" s="56">
        <f t="shared" si="50"/>
        <v>1.3480011179134928E-6</v>
      </c>
      <c r="R116" s="9">
        <f>F116*$C$14</f>
        <v>3.9999999999999996E-5</v>
      </c>
      <c r="S116" s="9">
        <f t="shared" si="58"/>
        <v>1.9771530967683072E-8</v>
      </c>
      <c r="T116" s="9">
        <f t="shared" si="59"/>
        <v>3.9244921409729764E-5</v>
      </c>
      <c r="U116" s="9">
        <f t="shared" si="60"/>
        <v>3.9980228469032315E-5</v>
      </c>
      <c r="V116" s="102">
        <f t="shared" si="61"/>
        <v>0.98160823268250952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1.4450204174697026</v>
      </c>
      <c r="J119" s="54">
        <f t="shared" si="45"/>
        <v>3.0076215018515007</v>
      </c>
      <c r="K119" s="55">
        <f t="shared" si="46"/>
        <v>3.5182848500041122E-2</v>
      </c>
      <c r="L119" s="55">
        <f t="shared" si="47"/>
        <v>1.4612819701847253E-2</v>
      </c>
      <c r="M119" s="55">
        <f t="shared" si="52"/>
        <v>0.98538718029815275</v>
      </c>
      <c r="N119" s="55">
        <f t="shared" si="48"/>
        <v>1.0040710398877368E-2</v>
      </c>
      <c r="O119" s="56">
        <f t="shared" si="53"/>
        <v>3.5380403225238875E-8</v>
      </c>
      <c r="P119" s="56">
        <f t="shared" si="49"/>
        <v>3.600677957302022E-5</v>
      </c>
      <c r="Q119" s="56">
        <f t="shared" si="50"/>
        <v>7.2767219119815373E-4</v>
      </c>
      <c r="R119" s="9">
        <f>F119*$C$14</f>
        <v>3.9999999999999996E-5</v>
      </c>
      <c r="S119" s="9">
        <f t="shared" ref="S119:S121" si="62">$R119*L119</f>
        <v>5.8451278807389006E-7</v>
      </c>
      <c r="T119" s="9">
        <f t="shared" ref="T119:T121" si="63">R119*K119</f>
        <v>1.4073139400016447E-6</v>
      </c>
      <c r="U119" s="9">
        <f t="shared" ref="U119:U121" si="64">$R119*M119</f>
        <v>3.9415487211926105E-5</v>
      </c>
      <c r="V119" s="102">
        <f t="shared" ref="V119:V121" si="65">K119/M119</f>
        <v>3.5704593284231381E-2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0.19210968761462099</v>
      </c>
      <c r="J120" s="54">
        <f t="shared" si="45"/>
        <v>1.1701393635089397</v>
      </c>
      <c r="K120" s="55">
        <f t="shared" si="46"/>
        <v>0.63673950001673074</v>
      </c>
      <c r="L120" s="55">
        <f t="shared" si="47"/>
        <v>3.8448790393334799E-3</v>
      </c>
      <c r="M120" s="55">
        <f t="shared" si="52"/>
        <v>0.9961551209606665</v>
      </c>
      <c r="N120" s="55">
        <f t="shared" si="48"/>
        <v>1.4533099097114798E-3</v>
      </c>
      <c r="O120" s="56">
        <f t="shared" si="53"/>
        <v>6.4031484716203687E-7</v>
      </c>
      <c r="P120" s="56">
        <f t="shared" si="49"/>
        <v>9.4739902961168709E-6</v>
      </c>
      <c r="Q120" s="56">
        <f t="shared" si="50"/>
        <v>1.0532454024448154E-4</v>
      </c>
      <c r="R120" s="9">
        <f>F120*$C$14</f>
        <v>3.9999999999999996E-5</v>
      </c>
      <c r="S120" s="9">
        <f t="shared" si="62"/>
        <v>1.5379516157333919E-7</v>
      </c>
      <c r="T120" s="9">
        <f t="shared" si="63"/>
        <v>2.5469580000669227E-5</v>
      </c>
      <c r="U120" s="9">
        <f t="shared" si="64"/>
        <v>3.9846204838426654E-5</v>
      </c>
      <c r="V120" s="102">
        <f t="shared" si="65"/>
        <v>0.63919713568573078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1.9943504269299017</v>
      </c>
      <c r="J121" s="54">
        <f t="shared" si="45"/>
        <v>3.4818642141609106</v>
      </c>
      <c r="K121" s="55">
        <f t="shared" si="46"/>
        <v>9.9542783680322284E-3</v>
      </c>
      <c r="L121" s="55">
        <f t="shared" si="47"/>
        <v>1.2321271330532513E-2</v>
      </c>
      <c r="M121" s="55">
        <f t="shared" si="52"/>
        <v>0.98767872866946749</v>
      </c>
      <c r="N121" s="55">
        <f t="shared" si="48"/>
        <v>7.0069533206433953E-3</v>
      </c>
      <c r="O121" s="56">
        <f t="shared" si="53"/>
        <v>1.0010172498592357E-8</v>
      </c>
      <c r="P121" s="56">
        <f t="shared" si="49"/>
        <v>3.0360280213528847E-5</v>
      </c>
      <c r="Q121" s="56">
        <f t="shared" si="50"/>
        <v>5.0780919615267886E-4</v>
      </c>
      <c r="R121" s="9">
        <f>F121*$C$14</f>
        <v>3.9999999999999996E-5</v>
      </c>
      <c r="S121" s="9">
        <f t="shared" si="62"/>
        <v>4.9285085322130048E-7</v>
      </c>
      <c r="T121" s="9">
        <f t="shared" si="63"/>
        <v>3.9817113472128911E-7</v>
      </c>
      <c r="U121" s="9">
        <f t="shared" si="64"/>
        <v>3.9507149146778694E-5</v>
      </c>
      <c r="V121" s="102">
        <f t="shared" si="65"/>
        <v>1.0078457780944563E-2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0.68104843309954888</v>
      </c>
      <c r="J124" s="54">
        <f t="shared" si="67"/>
        <v>2.1544017149863013</v>
      </c>
      <c r="K124" s="55">
        <f t="shared" si="68"/>
        <v>0.20487240746494892</v>
      </c>
      <c r="L124" s="55">
        <f t="shared" si="69"/>
        <v>1.193072159883839E-2</v>
      </c>
      <c r="M124" s="55">
        <f t="shared" si="52"/>
        <v>0.98806927840116165</v>
      </c>
      <c r="N124" s="55">
        <f t="shared" si="70"/>
        <v>8.0580120722598906E-3</v>
      </c>
      <c r="O124" s="56">
        <f t="shared" si="53"/>
        <v>2.0602278368185167E-7</v>
      </c>
      <c r="P124" s="56">
        <f t="shared" si="71"/>
        <v>2.9397944511841189E-5</v>
      </c>
      <c r="Q124" s="56">
        <f t="shared" si="72"/>
        <v>5.8398171726754778E-4</v>
      </c>
      <c r="R124" s="9">
        <f>F124*$C$14</f>
        <v>3.9999999999999996E-5</v>
      </c>
      <c r="S124" s="9">
        <f t="shared" ref="S124:S127" si="73">$R124*L124</f>
        <v>4.7722886395353553E-7</v>
      </c>
      <c r="T124" s="9">
        <f t="shared" ref="T124:T127" si="74">R124*K124</f>
        <v>8.1948962985979561E-6</v>
      </c>
      <c r="U124" s="9">
        <f t="shared" ref="U124:U127" si="75">$R124*M124</f>
        <v>3.9522771136046462E-5</v>
      </c>
      <c r="V124" s="102">
        <f t="shared" ref="V124:V127" si="76">K124/M124</f>
        <v>0.20734619721854117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0.34290559098075568</v>
      </c>
      <c r="J126" s="54">
        <f t="shared" si="67"/>
        <v>1.5189883983942118</v>
      </c>
      <c r="K126" s="55">
        <f t="shared" si="68"/>
        <v>0.44895430011191806</v>
      </c>
      <c r="L126" s="55">
        <f t="shared" si="69"/>
        <v>6.0530193156798804E-3</v>
      </c>
      <c r="M126" s="55">
        <f t="shared" si="52"/>
        <v>0.99394698068432008</v>
      </c>
      <c r="N126" s="55">
        <f t="shared" si="70"/>
        <v>2.7071765436771887E-3</v>
      </c>
      <c r="O126" s="56">
        <f t="shared" si="53"/>
        <v>4.5147521718277026E-7</v>
      </c>
      <c r="P126" s="56">
        <f t="shared" si="71"/>
        <v>1.491496758995579E-5</v>
      </c>
      <c r="Q126" s="56">
        <f t="shared" si="72"/>
        <v>1.9619499111517838E-4</v>
      </c>
      <c r="R126" s="9">
        <f>F126*$C$14</f>
        <v>3.9999999999999996E-5</v>
      </c>
      <c r="S126" s="9">
        <f t="shared" si="73"/>
        <v>2.4212077262719518E-7</v>
      </c>
      <c r="T126" s="9">
        <f t="shared" si="74"/>
        <v>1.7958172004476722E-5</v>
      </c>
      <c r="U126" s="9">
        <f t="shared" si="75"/>
        <v>3.9757879227372798E-5</v>
      </c>
      <c r="V126" s="102">
        <f t="shared" si="76"/>
        <v>0.45168837859220484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5.456801422185465E-4</v>
      </c>
      <c r="J127" s="54">
        <f t="shared" si="67"/>
        <v>1.1217847539260454E-2</v>
      </c>
      <c r="K127" s="55">
        <f t="shared" si="68"/>
        <v>0.99315756520169307</v>
      </c>
      <c r="L127" s="55">
        <f t="shared" si="69"/>
        <v>4.1592739727184619E-4</v>
      </c>
      <c r="M127" s="55">
        <f t="shared" si="52"/>
        <v>0.99958407260272819</v>
      </c>
      <c r="N127" s="55">
        <f t="shared" si="70"/>
        <v>1.6377122514726689E-5</v>
      </c>
      <c r="O127" s="56">
        <f t="shared" si="53"/>
        <v>9.9873423048708814E-7</v>
      </c>
      <c r="P127" s="56">
        <f t="shared" si="71"/>
        <v>1.0248676448156128E-6</v>
      </c>
      <c r="Q127" s="56">
        <f t="shared" si="72"/>
        <v>1.1868858031344299E-6</v>
      </c>
      <c r="R127" s="9">
        <f>F127*$C$14</f>
        <v>3.9999999999999996E-5</v>
      </c>
      <c r="S127" s="9">
        <f t="shared" si="73"/>
        <v>1.6637095890873846E-8</v>
      </c>
      <c r="T127" s="9">
        <f t="shared" si="74"/>
        <v>3.9726302608067719E-5</v>
      </c>
      <c r="U127" s="9">
        <f t="shared" si="75"/>
        <v>3.9983362904109128E-5</v>
      </c>
      <c r="V127" s="102">
        <f t="shared" si="76"/>
        <v>0.99357081852624796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2.0637855846763784E-2</v>
      </c>
      <c r="J130" s="54">
        <f t="shared" si="78"/>
        <v>0.29014500901604634</v>
      </c>
      <c r="K130" s="55">
        <f t="shared" si="79"/>
        <v>0.94793556648136135</v>
      </c>
      <c r="L130" s="55">
        <f t="shared" si="80"/>
        <v>7.5458010935791089E-4</v>
      </c>
      <c r="M130" s="55">
        <f t="shared" si="81"/>
        <v>0.99924541989064208</v>
      </c>
      <c r="N130" s="55">
        <f t="shared" si="82"/>
        <v>7.9412937524798576E-5</v>
      </c>
      <c r="O130" s="56">
        <f t="shared" si="83"/>
        <v>9.5325830634823673E-7</v>
      </c>
      <c r="P130" s="56">
        <f t="shared" si="84"/>
        <v>1.8593262780352475E-6</v>
      </c>
      <c r="Q130" s="56">
        <f t="shared" si="85"/>
        <v>5.7552288595648839E-6</v>
      </c>
      <c r="R130" s="9">
        <f>F130*$C$14</f>
        <v>3.9999999999999996E-5</v>
      </c>
      <c r="S130" s="9">
        <f t="shared" ref="S130:S131" si="86">$R130*L130</f>
        <v>3.0183204374316431E-8</v>
      </c>
      <c r="T130" s="9">
        <f t="shared" ref="T130:T131" si="87">R130*K130</f>
        <v>3.7917422659254448E-5</v>
      </c>
      <c r="U130" s="9">
        <f t="shared" ref="U130:U131" si="88">$R130*M130</f>
        <v>3.9969816795625679E-5</v>
      </c>
      <c r="V130" s="102">
        <f t="shared" ref="V130:V131" si="89">K130/M130</f>
        <v>0.94865139995848458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-5.8338548275705044E-4</v>
      </c>
      <c r="J131" s="54">
        <f t="shared" si="78"/>
        <v>-1.5136542625182691E-2</v>
      </c>
      <c r="K131" s="55">
        <f t="shared" si="79"/>
        <v>0.99576627623089098</v>
      </c>
      <c r="L131" s="55">
        <f t="shared" si="80"/>
        <v>3.9246632350376111E-4</v>
      </c>
      <c r="M131" s="55">
        <f t="shared" si="81"/>
        <v>0.99960753367649624</v>
      </c>
      <c r="N131" s="55">
        <f t="shared" si="82"/>
        <v>7.8842948392770328E-6</v>
      </c>
      <c r="O131" s="56">
        <f t="shared" si="83"/>
        <v>1.0013575896534455E-6</v>
      </c>
      <c r="P131" s="56">
        <f t="shared" si="84"/>
        <v>9.6705828776133885E-7</v>
      </c>
      <c r="Q131" s="56">
        <f t="shared" si="85"/>
        <v>5.7139205034640546E-7</v>
      </c>
      <c r="R131" s="9">
        <f>F131*$C$14</f>
        <v>3.9999999999999996E-5</v>
      </c>
      <c r="S131" s="9">
        <f t="shared" si="86"/>
        <v>1.5698652940150444E-8</v>
      </c>
      <c r="T131" s="9">
        <f t="shared" si="87"/>
        <v>3.9830651049235637E-5</v>
      </c>
      <c r="U131" s="9">
        <f t="shared" si="88"/>
        <v>3.9984301347059843E-5</v>
      </c>
      <c r="V131" s="102">
        <f t="shared" si="89"/>
        <v>0.99615723439830695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2024-10-28T22:56:16Z</dcterms:modified>
</cp:coreProperties>
</file>