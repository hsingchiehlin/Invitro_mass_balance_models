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384well_1um\"/>
    </mc:Choice>
  </mc:AlternateContent>
  <xr:revisionPtr revIDLastSave="0" documentId="13_ncr:1_{1FB08811-869C-4DDB-B216-FB759A16FAFC}" xr6:coauthVersionLast="47" xr6:coauthVersionMax="47" xr10:uidLastSave="{00000000-0000-0000-0000-000000000000}"/>
  <bookViews>
    <workbookView minimized="1" xWindow="45345" yWindow="2145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S131" i="4"/>
  <c r="R131" i="4"/>
  <c r="U131" i="4" s="1"/>
  <c r="V130" i="4"/>
  <c r="U130" i="4"/>
  <c r="R130" i="4"/>
  <c r="T130" i="4" s="1"/>
  <c r="V127" i="4"/>
  <c r="U127" i="4"/>
  <c r="S127" i="4"/>
  <c r="R127" i="4"/>
  <c r="T127" i="4" s="1"/>
  <c r="V126" i="4"/>
  <c r="U126" i="4"/>
  <c r="T126" i="4"/>
  <c r="S126" i="4"/>
  <c r="R126" i="4"/>
  <c r="V124" i="4"/>
  <c r="T124" i="4"/>
  <c r="S124" i="4"/>
  <c r="R124" i="4"/>
  <c r="U124" i="4" s="1"/>
  <c r="V121" i="4"/>
  <c r="T121" i="4"/>
  <c r="S121" i="4"/>
  <c r="R121" i="4"/>
  <c r="U121" i="4" s="1"/>
  <c r="V120" i="4"/>
  <c r="R120" i="4"/>
  <c r="U120" i="4" s="1"/>
  <c r="V119" i="4"/>
  <c r="R119" i="4"/>
  <c r="U119" i="4" s="1"/>
  <c r="V116" i="4"/>
  <c r="U116" i="4"/>
  <c r="T116" i="4"/>
  <c r="R116" i="4"/>
  <c r="S116" i="4" s="1"/>
  <c r="V115" i="4"/>
  <c r="R115" i="4"/>
  <c r="S115" i="4" s="1"/>
  <c r="V114" i="4"/>
  <c r="U114" i="4"/>
  <c r="R114" i="4"/>
  <c r="T114" i="4" s="1"/>
  <c r="V108" i="4"/>
  <c r="R108" i="4"/>
  <c r="U108" i="4" s="1"/>
  <c r="V107" i="4"/>
  <c r="S107" i="4"/>
  <c r="R107" i="4"/>
  <c r="U107" i="4" s="1"/>
  <c r="V93" i="4"/>
  <c r="U93" i="4"/>
  <c r="R93" i="4"/>
  <c r="T93" i="4" s="1"/>
  <c r="V92" i="4"/>
  <c r="U92" i="4"/>
  <c r="S92" i="4"/>
  <c r="R92" i="4"/>
  <c r="T92" i="4" s="1"/>
  <c r="V91" i="4"/>
  <c r="U91" i="4"/>
  <c r="T91" i="4"/>
  <c r="S91" i="4"/>
  <c r="R91" i="4"/>
  <c r="V90" i="4"/>
  <c r="T90" i="4"/>
  <c r="S90" i="4"/>
  <c r="R90" i="4"/>
  <c r="U90" i="4" s="1"/>
  <c r="V89" i="4"/>
  <c r="T89" i="4"/>
  <c r="S89" i="4"/>
  <c r="R89" i="4"/>
  <c r="U89" i="4" s="1"/>
  <c r="V88" i="4"/>
  <c r="R88" i="4"/>
  <c r="U88" i="4" s="1"/>
  <c r="V86" i="4"/>
  <c r="R86" i="4"/>
  <c r="U86" i="4" s="1"/>
  <c r="V85" i="4"/>
  <c r="U85" i="4"/>
  <c r="T85" i="4"/>
  <c r="R85" i="4"/>
  <c r="S85" i="4" s="1"/>
  <c r="V84" i="4"/>
  <c r="R84" i="4"/>
  <c r="S84" i="4" s="1"/>
  <c r="V83" i="4"/>
  <c r="U83" i="4"/>
  <c r="R83" i="4"/>
  <c r="T83" i="4" s="1"/>
  <c r="V82" i="4"/>
  <c r="R82" i="4"/>
  <c r="U82" i="4" s="1"/>
  <c r="V81" i="4"/>
  <c r="U81" i="4"/>
  <c r="S81" i="4"/>
  <c r="R81" i="4"/>
  <c r="T81" i="4" s="1"/>
  <c r="V80" i="4"/>
  <c r="U80" i="4"/>
  <c r="R80" i="4"/>
  <c r="T80" i="4" s="1"/>
  <c r="V79" i="4"/>
  <c r="U79" i="4"/>
  <c r="S79" i="4"/>
  <c r="R79" i="4"/>
  <c r="T79" i="4" s="1"/>
  <c r="V78" i="4"/>
  <c r="U78" i="4"/>
  <c r="T78" i="4"/>
  <c r="S78" i="4"/>
  <c r="R78" i="4"/>
  <c r="V77" i="4"/>
  <c r="T77" i="4"/>
  <c r="S77" i="4"/>
  <c r="R77" i="4"/>
  <c r="U77" i="4" s="1"/>
  <c r="V76" i="4"/>
  <c r="T76" i="4"/>
  <c r="S76" i="4"/>
  <c r="R76" i="4"/>
  <c r="U76" i="4" s="1"/>
  <c r="V75" i="4"/>
  <c r="R75" i="4"/>
  <c r="U75" i="4" s="1"/>
  <c r="V74" i="4"/>
  <c r="R74" i="4"/>
  <c r="U74" i="4" s="1"/>
  <c r="V73" i="4"/>
  <c r="U73" i="4"/>
  <c r="T73" i="4"/>
  <c r="R73" i="4"/>
  <c r="S73" i="4" s="1"/>
  <c r="V72" i="4"/>
  <c r="R72" i="4"/>
  <c r="S72" i="4" s="1"/>
  <c r="V71" i="4"/>
  <c r="U71" i="4"/>
  <c r="R71" i="4"/>
  <c r="T71" i="4" s="1"/>
  <c r="V70" i="4"/>
  <c r="R70" i="4"/>
  <c r="U70" i="4" s="1"/>
  <c r="V69" i="4"/>
  <c r="U69" i="4"/>
  <c r="S69" i="4"/>
  <c r="R69" i="4"/>
  <c r="T69" i="4" s="1"/>
  <c r="V68" i="4"/>
  <c r="U68" i="4"/>
  <c r="R68" i="4"/>
  <c r="T68" i="4" s="1"/>
  <c r="V65" i="4"/>
  <c r="U65" i="4"/>
  <c r="S65" i="4"/>
  <c r="R65" i="4"/>
  <c r="T65" i="4" s="1"/>
  <c r="V64" i="4"/>
  <c r="U64" i="4"/>
  <c r="T64" i="4"/>
  <c r="S64" i="4"/>
  <c r="R64" i="4"/>
  <c r="V63" i="4"/>
  <c r="T63" i="4"/>
  <c r="S63" i="4"/>
  <c r="R63" i="4"/>
  <c r="U63" i="4" s="1"/>
  <c r="V62" i="4"/>
  <c r="T62" i="4"/>
  <c r="S62" i="4"/>
  <c r="R62" i="4"/>
  <c r="U62" i="4" s="1"/>
  <c r="V61" i="4"/>
  <c r="R61" i="4"/>
  <c r="U61" i="4" s="1"/>
  <c r="V60" i="4"/>
  <c r="R60" i="4"/>
  <c r="U60" i="4" s="1"/>
  <c r="V58" i="4"/>
  <c r="U58" i="4"/>
  <c r="T58" i="4"/>
  <c r="R58" i="4"/>
  <c r="S58" i="4" s="1"/>
  <c r="V57" i="4"/>
  <c r="R57" i="4"/>
  <c r="S57" i="4" s="1"/>
  <c r="V49" i="4"/>
  <c r="U49" i="4"/>
  <c r="R49" i="4"/>
  <c r="T49" i="4" s="1"/>
  <c r="V48" i="4"/>
  <c r="R48" i="4"/>
  <c r="U48" i="4" s="1"/>
  <c r="V47" i="4"/>
  <c r="U47" i="4"/>
  <c r="S47" i="4"/>
  <c r="R47" i="4"/>
  <c r="T47" i="4" s="1"/>
  <c r="V46" i="4"/>
  <c r="U46" i="4"/>
  <c r="R46" i="4"/>
  <c r="T46" i="4" s="1"/>
  <c r="V45" i="4"/>
  <c r="U45" i="4"/>
  <c r="S45" i="4"/>
  <c r="R45" i="4"/>
  <c r="T45" i="4" s="1"/>
  <c r="V44" i="4"/>
  <c r="U44" i="4"/>
  <c r="T44" i="4"/>
  <c r="S44" i="4"/>
  <c r="R44" i="4"/>
  <c r="V43" i="4"/>
  <c r="T43" i="4"/>
  <c r="S43" i="4"/>
  <c r="R43" i="4"/>
  <c r="U43" i="4" s="1"/>
  <c r="V42" i="4"/>
  <c r="T42" i="4"/>
  <c r="S42" i="4"/>
  <c r="R42" i="4"/>
  <c r="U42" i="4" s="1"/>
  <c r="V41" i="4"/>
  <c r="R41" i="4"/>
  <c r="U41" i="4" s="1"/>
  <c r="V40" i="4"/>
  <c r="R40" i="4"/>
  <c r="U40" i="4" s="1"/>
  <c r="V39" i="4"/>
  <c r="U39" i="4"/>
  <c r="T39" i="4"/>
  <c r="R39" i="4"/>
  <c r="S39" i="4" s="1"/>
  <c r="V38" i="4"/>
  <c r="R38" i="4"/>
  <c r="S38" i="4" s="1"/>
  <c r="V37" i="4"/>
  <c r="U37" i="4"/>
  <c r="R37" i="4"/>
  <c r="T37" i="4" s="1"/>
  <c r="V36" i="4"/>
  <c r="R36" i="4"/>
  <c r="U36" i="4" s="1"/>
  <c r="V35" i="4"/>
  <c r="U35" i="4"/>
  <c r="S35" i="4"/>
  <c r="R35" i="4"/>
  <c r="T35" i="4" s="1"/>
  <c r="V34" i="4"/>
  <c r="U34" i="4"/>
  <c r="R34" i="4"/>
  <c r="T34" i="4" s="1"/>
  <c r="V33" i="4"/>
  <c r="U33" i="4"/>
  <c r="S33" i="4"/>
  <c r="R33" i="4"/>
  <c r="T33" i="4" s="1"/>
  <c r="V32" i="4"/>
  <c r="U32" i="4"/>
  <c r="T32" i="4"/>
  <c r="S32" i="4"/>
  <c r="R32" i="4"/>
  <c r="V31" i="4"/>
  <c r="T31" i="4"/>
  <c r="S31" i="4"/>
  <c r="R31" i="4"/>
  <c r="U31" i="4" s="1"/>
  <c r="V30" i="4"/>
  <c r="T30" i="4"/>
  <c r="S30" i="4"/>
  <c r="R30" i="4"/>
  <c r="U30" i="4" s="1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L130" i="4"/>
  <c r="M130" i="4"/>
  <c r="N130" i="4"/>
  <c r="O130" i="4"/>
  <c r="P130" i="4"/>
  <c r="Q130" i="4"/>
  <c r="I131" i="4"/>
  <c r="L131" i="4" s="1"/>
  <c r="M131" i="4" s="1"/>
  <c r="J131" i="4"/>
  <c r="K131" i="4"/>
  <c r="O131" i="4"/>
  <c r="P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T38" i="4" l="1"/>
  <c r="T57" i="4"/>
  <c r="T72" i="4"/>
  <c r="T84" i="4"/>
  <c r="T115" i="4"/>
  <c r="S36" i="4"/>
  <c r="U38" i="4"/>
  <c r="S48" i="4"/>
  <c r="U57" i="4"/>
  <c r="S70" i="4"/>
  <c r="U72" i="4"/>
  <c r="S82" i="4"/>
  <c r="U84" i="4"/>
  <c r="S108" i="4"/>
  <c r="U115" i="4"/>
  <c r="S29" i="4"/>
  <c r="T36" i="4"/>
  <c r="S41" i="4"/>
  <c r="T48" i="4"/>
  <c r="S61" i="4"/>
  <c r="T70" i="4"/>
  <c r="S75" i="4"/>
  <c r="T82" i="4"/>
  <c r="S88" i="4"/>
  <c r="T108" i="4"/>
  <c r="S120" i="4"/>
  <c r="T29" i="4"/>
  <c r="S34" i="4"/>
  <c r="T41" i="4"/>
  <c r="S46" i="4"/>
  <c r="T61" i="4"/>
  <c r="S68" i="4"/>
  <c r="T75" i="4"/>
  <c r="S80" i="4"/>
  <c r="T88" i="4"/>
  <c r="S93" i="4"/>
  <c r="T120" i="4"/>
  <c r="S130" i="4"/>
  <c r="S37" i="4"/>
  <c r="S49" i="4"/>
  <c r="S71" i="4"/>
  <c r="S83" i="4"/>
  <c r="S114" i="4"/>
  <c r="S28" i="4"/>
  <c r="S40" i="4"/>
  <c r="S60" i="4"/>
  <c r="S74" i="4"/>
  <c r="S86" i="4"/>
  <c r="T107" i="4"/>
  <c r="S119" i="4"/>
  <c r="T131" i="4"/>
  <c r="T28" i="4"/>
  <c r="T40" i="4"/>
  <c r="T60" i="4"/>
  <c r="T74" i="4"/>
  <c r="T86" i="4"/>
  <c r="T119" i="4"/>
  <c r="N131" i="4"/>
  <c r="Q131" i="4" s="1"/>
  <c r="O15" i="1" l="1"/>
  <c r="L15" i="1"/>
  <c r="N15" i="1"/>
  <c r="M87" i="4"/>
  <c r="M91" i="4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 s="1"/>
  <c r="J122" i="4"/>
  <c r="K122" i="4"/>
  <c r="J117" i="4"/>
  <c r="K117" i="4"/>
  <c r="J120" i="4"/>
  <c r="K120" i="4"/>
  <c r="J101" i="4"/>
  <c r="K101" i="4"/>
  <c r="J86" i="4"/>
  <c r="K86" i="4" s="1"/>
  <c r="J85" i="4"/>
  <c r="K85" i="4" s="1"/>
  <c r="J88" i="4"/>
  <c r="K88" i="4" s="1"/>
  <c r="J119" i="4"/>
  <c r="K119" i="4"/>
  <c r="J72" i="4"/>
  <c r="K72" i="4" s="1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/>
  <c r="J113" i="4"/>
  <c r="K113" i="4"/>
  <c r="J97" i="4"/>
  <c r="K97" i="4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/>
  <c r="J78" i="4"/>
  <c r="K78" i="4"/>
  <c r="J115" i="4"/>
  <c r="K115" i="4"/>
  <c r="O115" i="4"/>
  <c r="P115" i="4" s="1"/>
  <c r="J99" i="4"/>
  <c r="K99" i="4"/>
  <c r="J83" i="4"/>
  <c r="K83" i="4"/>
  <c r="J102" i="4"/>
  <c r="K102" i="4"/>
  <c r="J74" i="4"/>
  <c r="K74" i="4" s="1"/>
  <c r="J125" i="4"/>
  <c r="K125" i="4"/>
  <c r="J109" i="4"/>
  <c r="K109" i="4"/>
  <c r="J93" i="4"/>
  <c r="K93" i="4" s="1"/>
  <c r="J77" i="4"/>
  <c r="K77" i="4"/>
  <c r="J112" i="4"/>
  <c r="K112" i="4"/>
  <c r="J96" i="4"/>
  <c r="K96" i="4" s="1"/>
  <c r="J80" i="4"/>
  <c r="K80" i="4" s="1"/>
  <c r="J106" i="4"/>
  <c r="K106" i="4"/>
  <c r="J127" i="4"/>
  <c r="K127" i="4"/>
  <c r="O127" i="4" s="1"/>
  <c r="P127" i="4" s="1"/>
  <c r="J111" i="4"/>
  <c r="K111" i="4"/>
  <c r="J95" i="4"/>
  <c r="K95" i="4" s="1"/>
  <c r="J79" i="4"/>
  <c r="K79" i="4" s="1"/>
  <c r="J126" i="4"/>
  <c r="K126" i="4"/>
  <c r="J94" i="4"/>
  <c r="K94" i="4"/>
  <c r="J121" i="4"/>
  <c r="K121" i="4"/>
  <c r="O121" i="4" s="1"/>
  <c r="P121" i="4" s="1"/>
  <c r="J105" i="4"/>
  <c r="K105" i="4"/>
  <c r="J89" i="4"/>
  <c r="K89" i="4" s="1"/>
  <c r="J73" i="4"/>
  <c r="K73" i="4" s="1"/>
  <c r="J124" i="4"/>
  <c r="K124" i="4"/>
  <c r="J108" i="4"/>
  <c r="K108" i="4"/>
  <c r="O108" i="4" s="1"/>
  <c r="P108" i="4" s="1"/>
  <c r="J92" i="4"/>
  <c r="K92" i="4" s="1"/>
  <c r="J76" i="4"/>
  <c r="K76" i="4"/>
  <c r="J98" i="4"/>
  <c r="K98" i="4"/>
  <c r="J123" i="4"/>
  <c r="K123" i="4"/>
  <c r="J107" i="4"/>
  <c r="K107" i="4" s="1"/>
  <c r="O107" i="4" s="1"/>
  <c r="P107" i="4" s="1"/>
  <c r="J91" i="4"/>
  <c r="K91" i="4"/>
  <c r="O91" i="4" s="1"/>
  <c r="P91" i="4" s="1"/>
  <c r="J75" i="4"/>
  <c r="K75" i="4" s="1"/>
  <c r="P100" i="4"/>
  <c r="O112" i="4"/>
  <c r="P112" i="4"/>
  <c r="O98" i="4"/>
  <c r="P98" i="4"/>
  <c r="O105" i="4"/>
  <c r="P105" i="4"/>
  <c r="O126" i="4"/>
  <c r="P126" i="4"/>
  <c r="O111" i="4"/>
  <c r="P111" i="4"/>
  <c r="O104" i="4"/>
  <c r="P104" i="4"/>
  <c r="O120" i="4"/>
  <c r="P120" i="4"/>
  <c r="O124" i="4"/>
  <c r="P124" i="4"/>
  <c r="O102" i="4"/>
  <c r="P102" i="4"/>
  <c r="O78" i="4"/>
  <c r="P78" i="4"/>
  <c r="O110" i="4"/>
  <c r="P110" i="4"/>
  <c r="O118" i="4"/>
  <c r="P118" i="4"/>
  <c r="O117" i="4"/>
  <c r="P117" i="4"/>
  <c r="O106" i="4"/>
  <c r="P106" i="4"/>
  <c r="O109" i="4"/>
  <c r="P109" i="4"/>
  <c r="O114" i="4"/>
  <c r="P114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125" i="4"/>
  <c r="P125" i="4"/>
  <c r="O99" i="4"/>
  <c r="P99" i="4"/>
  <c r="O101" i="4"/>
  <c r="P101" i="4"/>
  <c r="I76" i="4"/>
  <c r="I77" i="4"/>
  <c r="N77" i="4" s="1"/>
  <c r="Q77" i="4" s="1"/>
  <c r="I81" i="4"/>
  <c r="L81" i="4" s="1"/>
  <c r="I89" i="4"/>
  <c r="N89" i="4" s="1"/>
  <c r="Q89" i="4" s="1"/>
  <c r="I90" i="4"/>
  <c r="I96" i="4"/>
  <c r="L96" i="4" s="1"/>
  <c r="I99" i="4"/>
  <c r="I102" i="4"/>
  <c r="I104" i="4"/>
  <c r="I108" i="4"/>
  <c r="N108" i="4" s="1"/>
  <c r="Q108" i="4" s="1"/>
  <c r="I111" i="4"/>
  <c r="I113" i="4"/>
  <c r="I115" i="4"/>
  <c r="N115" i="4" s="1"/>
  <c r="Q115" i="4" s="1"/>
  <c r="I119" i="4"/>
  <c r="N119" i="4" s="1"/>
  <c r="Q119" i="4" s="1"/>
  <c r="I120" i="4"/>
  <c r="N120" i="4" s="1"/>
  <c r="Q120" i="4" s="1"/>
  <c r="I123" i="4"/>
  <c r="I125" i="4"/>
  <c r="I79" i="4"/>
  <c r="N79" i="4" s="1"/>
  <c r="Q79" i="4" s="1"/>
  <c r="I92" i="4"/>
  <c r="I100" i="4"/>
  <c r="I103" i="4"/>
  <c r="I107" i="4"/>
  <c r="L107" i="4" s="1"/>
  <c r="M107" i="4" s="1"/>
  <c r="I109" i="4"/>
  <c r="I110" i="4"/>
  <c r="I117" i="4"/>
  <c r="I124" i="4"/>
  <c r="L124" i="4" s="1"/>
  <c r="M124" i="4" s="1"/>
  <c r="I72" i="4"/>
  <c r="L72" i="4" s="1"/>
  <c r="I106" i="4"/>
  <c r="I71" i="4"/>
  <c r="I75" i="4"/>
  <c r="N75" i="4" s="1"/>
  <c r="Q75" i="4" s="1"/>
  <c r="I80" i="4"/>
  <c r="L80" i="4" s="1"/>
  <c r="I83" i="4"/>
  <c r="I86" i="4"/>
  <c r="I88" i="4"/>
  <c r="L88" i="4" s="1"/>
  <c r="I94" i="4"/>
  <c r="I95" i="4"/>
  <c r="I98" i="4"/>
  <c r="I101" i="4"/>
  <c r="I118" i="4"/>
  <c r="I127" i="4"/>
  <c r="L127" i="4" s="1"/>
  <c r="M127" i="4" s="1"/>
  <c r="I73" i="4"/>
  <c r="N73" i="4" s="1"/>
  <c r="Q73" i="4" s="1"/>
  <c r="I74" i="4"/>
  <c r="N74" i="4" s="1"/>
  <c r="Q74" i="4" s="1"/>
  <c r="I78" i="4"/>
  <c r="I82" i="4"/>
  <c r="L82" i="4" s="1"/>
  <c r="I85" i="4"/>
  <c r="N85" i="4" s="1"/>
  <c r="Q85" i="4" s="1"/>
  <c r="I93" i="4"/>
  <c r="N93" i="4" s="1"/>
  <c r="Q93" i="4" s="1"/>
  <c r="I112" i="4"/>
  <c r="I114" i="4"/>
  <c r="L114" i="4" s="1"/>
  <c r="M114" i="4" s="1"/>
  <c r="I121" i="4"/>
  <c r="I122" i="4"/>
  <c r="I84" i="4"/>
  <c r="L84" i="4" s="1"/>
  <c r="I87" i="4"/>
  <c r="I91" i="4"/>
  <c r="I97" i="4"/>
  <c r="L97" i="4" s="1"/>
  <c r="I105" i="4"/>
  <c r="I116" i="4"/>
  <c r="L116" i="4" s="1"/>
  <c r="M116" i="4" s="1"/>
  <c r="I126" i="4"/>
  <c r="L126" i="4" s="1"/>
  <c r="M126" i="4" s="1"/>
  <c r="L105" i="4"/>
  <c r="N105" i="4"/>
  <c r="Q105" i="4"/>
  <c r="N121" i="4"/>
  <c r="Q121" i="4"/>
  <c r="L121" i="4"/>
  <c r="M121" i="4" s="1"/>
  <c r="L85" i="4"/>
  <c r="N101" i="4"/>
  <c r="Q101" i="4"/>
  <c r="L101" i="4"/>
  <c r="L106" i="4"/>
  <c r="N106" i="4"/>
  <c r="Q106" i="4"/>
  <c r="N107" i="4"/>
  <c r="Q107" i="4"/>
  <c r="L108" i="4"/>
  <c r="M108" i="4" s="1"/>
  <c r="N97" i="4"/>
  <c r="Q97" i="4"/>
  <c r="N114" i="4"/>
  <c r="Q114" i="4" s="1"/>
  <c r="N82" i="4"/>
  <c r="Q82" i="4"/>
  <c r="N98" i="4"/>
  <c r="Q98" i="4"/>
  <c r="L98" i="4"/>
  <c r="N86" i="4"/>
  <c r="Q86" i="4" s="1"/>
  <c r="N71" i="4"/>
  <c r="Q71" i="4"/>
  <c r="L71" i="4"/>
  <c r="M71" i="4" s="1"/>
  <c r="N117" i="4"/>
  <c r="Q117" i="4"/>
  <c r="L117" i="4"/>
  <c r="N103" i="4"/>
  <c r="Q103" i="4"/>
  <c r="L103" i="4"/>
  <c r="L125" i="4"/>
  <c r="N125" i="4"/>
  <c r="Q125" i="4"/>
  <c r="L104" i="4"/>
  <c r="N104" i="4"/>
  <c r="Q104" i="4"/>
  <c r="N90" i="4"/>
  <c r="Q90" i="4" s="1"/>
  <c r="N76" i="4"/>
  <c r="Q76" i="4" s="1"/>
  <c r="L76" i="4"/>
  <c r="N126" i="4"/>
  <c r="Q126" i="4"/>
  <c r="N91" i="4"/>
  <c r="Q91" i="4"/>
  <c r="L91" i="4"/>
  <c r="L112" i="4"/>
  <c r="N112" i="4"/>
  <c r="Q112" i="4"/>
  <c r="L78" i="4"/>
  <c r="N78" i="4"/>
  <c r="Q78" i="4"/>
  <c r="N127" i="4"/>
  <c r="Q127" i="4" s="1"/>
  <c r="N95" i="4"/>
  <c r="Q95" i="4" s="1"/>
  <c r="L95" i="4"/>
  <c r="N83" i="4"/>
  <c r="Q83" i="4" s="1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116" i="4"/>
  <c r="Q116" i="4"/>
  <c r="N87" i="4"/>
  <c r="Q87" i="4" s="1"/>
  <c r="L87" i="4"/>
  <c r="N122" i="4"/>
  <c r="Q122" i="4"/>
  <c r="L122" i="4"/>
  <c r="N118" i="4"/>
  <c r="Q118" i="4"/>
  <c r="L118" i="4"/>
  <c r="L94" i="4"/>
  <c r="N94" i="4"/>
  <c r="Q94" i="4"/>
  <c r="N109" i="4"/>
  <c r="Q109" i="4"/>
  <c r="L109" i="4"/>
  <c r="L92" i="4"/>
  <c r="N92" i="4"/>
  <c r="Q92" i="4"/>
  <c r="L120" i="4"/>
  <c r="M120" i="4" s="1"/>
  <c r="N111" i="4"/>
  <c r="Q111" i="4"/>
  <c r="L111" i="4"/>
  <c r="N99" i="4"/>
  <c r="Q99" i="4"/>
  <c r="L99" i="4"/>
  <c r="M80" i="4" l="1"/>
  <c r="M72" i="4"/>
  <c r="M81" i="4"/>
  <c r="M82" i="4"/>
  <c r="M85" i="4"/>
  <c r="O73" i="4"/>
  <c r="P73" i="4" s="1"/>
  <c r="O93" i="4"/>
  <c r="P93" i="4" s="1"/>
  <c r="O90" i="4"/>
  <c r="P90" i="4" s="1"/>
  <c r="O86" i="4"/>
  <c r="P86" i="4" s="1"/>
  <c r="M84" i="4"/>
  <c r="O89" i="4"/>
  <c r="P89" i="4" s="1"/>
  <c r="O81" i="4"/>
  <c r="P81" i="4" s="1"/>
  <c r="M94" i="4"/>
  <c r="L89" i="4"/>
  <c r="M76" i="4"/>
  <c r="O97" i="4"/>
  <c r="P97" i="4" s="1"/>
  <c r="L77" i="4"/>
  <c r="N124" i="4"/>
  <c r="Q124" i="4" s="1"/>
  <c r="N81" i="4"/>
  <c r="Q81" i="4" s="1"/>
  <c r="M78" i="4"/>
  <c r="L90" i="4"/>
  <c r="M92" i="4"/>
  <c r="O76" i="4"/>
  <c r="P76" i="4" s="1"/>
  <c r="O74" i="4"/>
  <c r="P74" i="4" s="1"/>
  <c r="M88" i="4"/>
  <c r="O94" i="4"/>
  <c r="P94" i="4" s="1"/>
  <c r="O80" i="4"/>
  <c r="P80" i="4" s="1"/>
  <c r="O82" i="4"/>
  <c r="P82" i="4" s="1"/>
  <c r="M83" i="4"/>
  <c r="L86" i="4"/>
  <c r="O92" i="4"/>
  <c r="P92" i="4" s="1"/>
  <c r="O96" i="4"/>
  <c r="P96" i="4" s="1"/>
  <c r="O84" i="4"/>
  <c r="P84" i="4" s="1"/>
  <c r="O72" i="4"/>
  <c r="P72" i="4" s="1"/>
  <c r="L119" i="4"/>
  <c r="M119" i="4" s="1"/>
  <c r="O75" i="4"/>
  <c r="P75" i="4" s="1"/>
  <c r="O83" i="4"/>
  <c r="P83" i="4" s="1"/>
  <c r="M95" i="4"/>
  <c r="L115" i="4"/>
  <c r="M115" i="4" s="1"/>
  <c r="O87" i="4"/>
  <c r="P87" i="4" s="1"/>
  <c r="N80" i="4"/>
  <c r="Q80" i="4" s="1"/>
  <c r="N72" i="4"/>
  <c r="Q72" i="4" s="1"/>
  <c r="M97" i="4"/>
  <c r="M96" i="4"/>
  <c r="O79" i="4"/>
  <c r="P79" i="4" s="1"/>
  <c r="O77" i="4"/>
  <c r="P77" i="4" s="1"/>
  <c r="O88" i="4"/>
  <c r="P88" i="4" s="1"/>
  <c r="L73" i="4"/>
  <c r="O95" i="4"/>
  <c r="P95" i="4" s="1"/>
  <c r="O85" i="4"/>
  <c r="P85" i="4" s="1"/>
  <c r="L79" i="4"/>
  <c r="L75" i="4"/>
  <c r="L74" i="4"/>
  <c r="N96" i="4"/>
  <c r="Q96" i="4" s="1"/>
  <c r="L93" i="4"/>
  <c r="N88" i="4"/>
  <c r="Q88" i="4" s="1"/>
  <c r="N84" i="4"/>
  <c r="Q84" i="4" s="1"/>
  <c r="J14" i="4"/>
  <c r="J13" i="4" s="1"/>
  <c r="K16" i="4" s="1"/>
  <c r="M93" i="4" l="1"/>
  <c r="M74" i="4"/>
  <c r="M90" i="4"/>
  <c r="M75" i="4"/>
  <c r="M89" i="4"/>
  <c r="M79" i="4"/>
  <c r="M86" i="4"/>
  <c r="M77" i="4"/>
  <c r="M73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M64" i="4" l="1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J45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L39" i="4" s="1"/>
  <c r="J30" i="4"/>
  <c r="K30" i="4" s="1"/>
  <c r="J43" i="4"/>
  <c r="K43" i="4" s="1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L47" i="4"/>
  <c r="K52" i="4"/>
  <c r="O52" i="4" s="1"/>
  <c r="P52" i="4" s="1"/>
  <c r="L52" i="4"/>
  <c r="M52" i="4" s="1"/>
  <c r="L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50" i="4"/>
  <c r="M50" i="4" s="1"/>
  <c r="K50" i="4"/>
  <c r="O50" i="4" s="1"/>
  <c r="P50" i="4" s="1"/>
  <c r="L49" i="4"/>
  <c r="K49" i="4"/>
  <c r="O48" i="4" l="1"/>
  <c r="P48" i="4" s="1"/>
  <c r="M48" i="4"/>
  <c r="O49" i="4"/>
  <c r="P49" i="4" s="1"/>
  <c r="M49" i="4"/>
  <c r="O30" i="4"/>
  <c r="P30" i="4" s="1"/>
  <c r="O35" i="4"/>
  <c r="P35" i="4" s="1"/>
  <c r="O43" i="4"/>
  <c r="P43" i="4" s="1"/>
  <c r="M39" i="4"/>
  <c r="K39" i="4"/>
  <c r="M47" i="4"/>
  <c r="L30" i="4"/>
  <c r="M31" i="4"/>
  <c r="O46" i="4"/>
  <c r="P46" i="4" s="1"/>
  <c r="L35" i="4"/>
  <c r="M44" i="4"/>
  <c r="M43" i="4"/>
  <c r="O41" i="4"/>
  <c r="P41" i="4" s="1"/>
  <c r="O45" i="4"/>
  <c r="P45" i="4" s="1"/>
  <c r="M45" i="4"/>
  <c r="O47" i="4"/>
  <c r="P47" i="4" s="1"/>
  <c r="O31" i="4"/>
  <c r="P31" i="4" s="1"/>
  <c r="O33" i="4"/>
  <c r="P33" i="4" s="1"/>
  <c r="O28" i="4"/>
  <c r="P28" i="4" s="1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M30" i="4" l="1"/>
  <c r="O29" i="4"/>
  <c r="P29" i="4" s="1"/>
  <c r="O32" i="4"/>
  <c r="P32" i="4" s="1"/>
  <c r="O40" i="4"/>
  <c r="P40" i="4" s="1"/>
  <c r="M33" i="4"/>
  <c r="M46" i="4"/>
  <c r="O39" i="4"/>
  <c r="P39" i="4" s="1"/>
  <c r="O44" i="4"/>
  <c r="P44" i="4" s="1"/>
  <c r="O36" i="4"/>
  <c r="P36" i="4" s="1"/>
  <c r="M35" i="4"/>
  <c r="O38" i="4"/>
  <c r="P38" i="4" s="1"/>
  <c r="O34" i="4"/>
  <c r="P34" i="4" s="1"/>
  <c r="O42" i="4"/>
  <c r="P42" i="4" s="1"/>
  <c r="M41" i="4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<sst xmlns="http://schemas.openxmlformats.org/spreadsheetml/2006/main" count="318" uniqueCount="295">
  <si>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</si>
  <si>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</si>
  <si>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</si>
  <si>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</si>
  <si>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</si>
  <si>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</si>
  <si>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</si>
  <si>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</si>
  <si>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</si>
  <si>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</si>
  <si>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</si>
  <si>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</si>
  <si>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</si>
  <si>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</si>
  <si>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</si>
  <si>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</si>
  <si>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</si>
  <si>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</si>
  <si>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</si>
  <si>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</si>
  <si>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</si>
  <si>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</si>
  <si>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</si>
  <si>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</si>
  <si>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</si>
  <si>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</si>
  <si>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</si>
  <si>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</si>
  <si>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</si>
  <si>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</si>
  <si>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</si>
  <si>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</si>
  <si>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</si>
  <si>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</si>
  <si>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</si>
  <si>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</si>
  <si>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</si>
  <si>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</si>
  <si>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</si>
  <si>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</si>
  <si>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</si>
  <si>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</si>
  <si>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</si>
  <si>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</si>
  <si>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</si>
  <si>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</si>
  <si>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</si>
  <si>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</si>
  <si>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</si>
  <si>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</si>
  <si>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</si>
  <si>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</si>
  <si>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</si>
  <si>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</si>
  <si>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</si>
  <si>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</si>
  <si>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</si>
  <si>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</si>
  <si>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</si>
  <si>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</si>
  <si>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</si>
  <si>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</si>
  <si>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</si>
  <si>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</si>
  <si>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</si>
  <si>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</si>
  <si>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</si>
  <si>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</si>
  <si>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</si>
  <si>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</si>
  <si>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</si>
  <si>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</si>
  <si>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</si>
  <si>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</si>
  <si>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</si>
  <si>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</si>
  <si>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</si>
  <si>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</si>
  <si>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</si>
  <si>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</si>
  <si>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</si>
  <si>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</si>
  <si>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</si>
  <si>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</si>
  <si>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</si>
  <si>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</si>
  <si>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</si>
  <si>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</si>
  <si>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</si>
  <si>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</si>
  <si>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</si>
  <si>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</si>
  <si>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</si>
  <si>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</si>
  <si>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</si>
  <si>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</si>
  <si>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</si>
  <si>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</si>
  <si>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</si>
  <si>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</si>
  <si>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</si>
  <si>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</si>
  <si>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</si>
  <si>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</si>
  <si>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</si>
  <si>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</si>
  <si>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</si>
  <si>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</si>
  <si>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</si>
  <si>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</si>
  <si>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</si>
  <si>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</si>
  <si>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HEK293T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</si>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</sst>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112</v>
      </c>
      <c r="K17" s="31" t="s">
        <v>80</v>
      </c>
      <c r="L17" s="81">
        <v>6.6116099999999995E-3</v>
      </c>
      <c r="M17" s="81">
        <v>6.1539000000000006E-4</v>
      </c>
      <c r="N17" s="81">
        <v>7.2999999999999999E-5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6" zoomScale="70" zoomScaleNormal="70" workbookViewId="0">
      <selection activeCell="R28" sqref="R28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0"/>
      <c r="H1" s="17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0"/>
      <c r="H2" s="170"/>
      <c r="I2" s="115" t="s">
        <v>19</v>
      </c>
      <c r="J2" s="116"/>
      <c r="K2" s="116"/>
      <c r="L2" s="116"/>
      <c r="M2" s="116"/>
      <c r="N2" s="116"/>
      <c r="O2" s="116"/>
      <c r="P2" s="116"/>
      <c r="Q2" s="11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0"/>
      <c r="H3" s="170"/>
      <c r="I3" s="118"/>
      <c r="J3" s="119"/>
      <c r="K3" s="119"/>
      <c r="L3" s="119"/>
      <c r="M3" s="119"/>
      <c r="N3" s="119"/>
      <c r="O3" s="119"/>
      <c r="P3" s="119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0"/>
      <c r="H4" s="170"/>
      <c r="I4" s="121"/>
      <c r="J4" s="122"/>
      <c r="K4" s="122"/>
      <c r="L4" s="122"/>
      <c r="M4" s="122"/>
      <c r="N4" s="122"/>
      <c r="O4" s="122"/>
      <c r="P4" s="122"/>
      <c r="Q4" s="12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0"/>
      <c r="H5" s="170"/>
      <c r="I5" s="124" t="s">
        <v>38</v>
      </c>
      <c r="J5" s="125"/>
      <c r="K5" s="125"/>
      <c r="L5" s="125"/>
      <c r="M5" s="125"/>
      <c r="N5" s="125"/>
      <c r="O5" s="125"/>
      <c r="P5" s="125"/>
      <c r="Q5" s="12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0"/>
      <c r="H6" s="170"/>
      <c r="I6" s="49" t="s">
        <v>49</v>
      </c>
      <c r="J6" s="49" t="s">
        <v>50</v>
      </c>
      <c r="K6" s="49" t="s">
        <v>46</v>
      </c>
      <c r="L6" s="167" t="s">
        <v>39</v>
      </c>
      <c r="M6" s="168"/>
      <c r="N6" s="168"/>
      <c r="O6" s="168"/>
      <c r="P6" s="168"/>
      <c r="Q6" s="16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0"/>
      <c r="H7" s="170"/>
      <c r="I7" s="50" t="s">
        <v>20</v>
      </c>
      <c r="J7" s="37">
        <f>SUM(J13,J19)</f>
        <v>40.040880000000001</v>
      </c>
      <c r="K7" s="38">
        <f>J7/J7</f>
        <v>1</v>
      </c>
      <c r="L7" s="161" t="s">
        <v>68</v>
      </c>
      <c r="M7" s="162"/>
      <c r="N7" s="162"/>
      <c r="O7" s="162"/>
      <c r="P7" s="162"/>
      <c r="Q7" s="16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2" t="s">
        <v>3</v>
      </c>
      <c r="C8" s="143"/>
      <c r="D8" s="143"/>
      <c r="E8" s="143"/>
      <c r="F8" s="144"/>
      <c r="G8" s="170"/>
      <c r="H8" s="170"/>
      <c r="I8" s="51" t="s">
        <v>6</v>
      </c>
      <c r="J8" s="37">
        <f>SUM(J14,J20)</f>
        <v>39.829825016000001</v>
      </c>
      <c r="K8" s="39">
        <f>J8/J7</f>
        <v>0.99472901234937894</v>
      </c>
      <c r="L8" s="161" t="s">
        <v>69</v>
      </c>
      <c r="M8" s="162"/>
      <c r="N8" s="162"/>
      <c r="O8" s="162"/>
      <c r="P8" s="162"/>
      <c r="Q8" s="16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5"/>
      <c r="C9" s="146"/>
      <c r="D9" s="146"/>
      <c r="E9" s="146"/>
      <c r="F9" s="147"/>
      <c r="G9" s="170"/>
      <c r="H9" s="170"/>
      <c r="I9" s="50" t="s">
        <v>8</v>
      </c>
      <c r="J9" s="40">
        <f t="shared" ref="J9:J10" si="0">SUM(J15,J21)</f>
        <v>0.19544618400000002</v>
      </c>
      <c r="K9" s="39">
        <f>J9/J7</f>
        <v>4.8811660482986395E-3</v>
      </c>
      <c r="L9" s="161" t="s">
        <v>69</v>
      </c>
      <c r="M9" s="162"/>
      <c r="N9" s="162"/>
      <c r="O9" s="162"/>
      <c r="P9" s="162"/>
      <c r="Q9" s="16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8"/>
      <c r="C10" s="149"/>
      <c r="D10" s="149"/>
      <c r="E10" s="149"/>
      <c r="F10" s="150"/>
      <c r="G10" s="170"/>
      <c r="H10" s="170"/>
      <c r="I10" s="51" t="s">
        <v>9</v>
      </c>
      <c r="J10" s="40">
        <f t="shared" si="0"/>
        <v>1.5608800000000001E-2</v>
      </c>
      <c r="K10" s="39">
        <f>J10/J7</f>
        <v>3.8982160232242647E-4</v>
      </c>
      <c r="L10" s="161" t="s">
        <v>69</v>
      </c>
      <c r="M10" s="162"/>
      <c r="N10" s="162"/>
      <c r="O10" s="162"/>
      <c r="P10" s="162"/>
      <c r="Q10" s="16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1" t="s">
        <v>36</v>
      </c>
      <c r="C11" s="152"/>
      <c r="D11" s="152"/>
      <c r="E11" s="152"/>
      <c r="F11" s="153"/>
      <c r="G11" s="170"/>
      <c r="H11" s="170"/>
      <c r="I11" s="186"/>
      <c r="J11" s="186"/>
      <c r="K11" s="186"/>
      <c r="L11" s="186"/>
      <c r="M11" s="186"/>
      <c r="N11" s="186"/>
      <c r="O11" s="186"/>
      <c r="P11" s="186"/>
      <c r="Q11" s="18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4"/>
      <c r="C12" s="155"/>
      <c r="D12" s="155"/>
      <c r="E12" s="155"/>
      <c r="F12" s="156"/>
      <c r="G12" s="170"/>
      <c r="H12" s="170"/>
      <c r="I12" s="49" t="s">
        <v>51</v>
      </c>
      <c r="J12" s="49" t="s">
        <v>50</v>
      </c>
      <c r="K12" s="49" t="s">
        <v>46</v>
      </c>
      <c r="L12" s="167" t="s">
        <v>39</v>
      </c>
      <c r="M12" s="168"/>
      <c r="N12" s="168"/>
      <c r="O12" s="168"/>
      <c r="P12" s="168"/>
      <c r="Q12" s="16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0" t="s">
        <v>4</v>
      </c>
      <c r="C13" s="141"/>
      <c r="D13" s="130" t="s">
        <v>39</v>
      </c>
      <c r="E13" s="130"/>
      <c r="F13" s="130"/>
      <c r="G13" s="170"/>
      <c r="H13" s="170"/>
      <c r="I13" s="50" t="s">
        <v>5</v>
      </c>
      <c r="J13" s="41">
        <f>SUM(J14:J16)</f>
        <v>40</v>
      </c>
      <c r="K13" s="38">
        <f>J13/J13</f>
        <v>1</v>
      </c>
      <c r="L13" s="161" t="s">
        <v>71</v>
      </c>
      <c r="M13" s="162"/>
      <c r="N13" s="162"/>
      <c r="O13" s="162"/>
      <c r="P13" s="162"/>
      <c r="Q13" s="16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31" t="s">
        <v>17</v>
      </c>
      <c r="E14" s="131"/>
      <c r="F14" s="131"/>
      <c r="G14" s="170"/>
      <c r="H14" s="170"/>
      <c r="I14" s="51" t="s">
        <v>43</v>
      </c>
      <c r="J14" s="41">
        <f>C14-SUM(J15:J16)</f>
        <v>39.7928</v>
      </c>
      <c r="K14" s="39">
        <f>J14/J13</f>
        <v>0.99482000000000004</v>
      </c>
      <c r="L14" s="164" t="s">
        <v>70</v>
      </c>
      <c r="M14" s="165"/>
      <c r="N14" s="165"/>
      <c r="O14" s="165"/>
      <c r="P14" s="165"/>
      <c r="Q14" s="16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2" t="s">
        <v>60</v>
      </c>
      <c r="E15" s="132"/>
      <c r="F15" s="132"/>
      <c r="G15" s="170"/>
      <c r="H15" s="17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61" t="s">
        <v>69</v>
      </c>
      <c r="M15" s="162"/>
      <c r="N15" s="162"/>
      <c r="O15" s="162"/>
      <c r="P15" s="162"/>
      <c r="Q15" s="16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33" t="s">
        <v>40</v>
      </c>
      <c r="E16" s="134"/>
      <c r="F16" s="135"/>
      <c r="G16" s="170"/>
      <c r="H16" s="17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61" t="s">
        <v>69</v>
      </c>
      <c r="M16" s="162"/>
      <c r="N16" s="162"/>
      <c r="O16" s="162"/>
      <c r="P16" s="162"/>
      <c r="Q16" s="16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36" t="s">
        <v>61</v>
      </c>
      <c r="E17" s="137"/>
      <c r="F17" s="138"/>
      <c r="G17" s="170"/>
      <c r="H17" s="170"/>
      <c r="I17" s="164"/>
      <c r="J17" s="165"/>
      <c r="K17" s="165"/>
      <c r="L17" s="165"/>
      <c r="M17" s="165"/>
      <c r="N17" s="165"/>
      <c r="O17" s="165"/>
      <c r="P17" s="165"/>
      <c r="Q17" s="16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33" t="s">
        <v>41</v>
      </c>
      <c r="E18" s="134"/>
      <c r="F18" s="135"/>
      <c r="G18" s="170"/>
      <c r="H18" s="170"/>
      <c r="I18" s="49" t="s">
        <v>29</v>
      </c>
      <c r="J18" s="49" t="s">
        <v>50</v>
      </c>
      <c r="K18" s="49" t="s">
        <v>46</v>
      </c>
      <c r="L18" s="167" t="s">
        <v>39</v>
      </c>
      <c r="M18" s="168"/>
      <c r="N18" s="168"/>
      <c r="O18" s="168"/>
      <c r="P18" s="168"/>
      <c r="Q18" s="16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2"/>
      <c r="C19" s="132"/>
      <c r="D19" s="132"/>
      <c r="E19" s="132"/>
      <c r="F19" s="132"/>
      <c r="G19" s="170"/>
      <c r="H19" s="170"/>
      <c r="I19" s="50" t="s">
        <v>5</v>
      </c>
      <c r="J19" s="41">
        <f>SUM(J20:J22)</f>
        <v>4.0879999999999993E-2</v>
      </c>
      <c r="K19" s="38">
        <f>J19/J19</f>
        <v>1</v>
      </c>
      <c r="L19" s="161" t="s">
        <v>55</v>
      </c>
      <c r="M19" s="162"/>
      <c r="N19" s="162"/>
      <c r="O19" s="162"/>
      <c r="P19" s="162"/>
      <c r="Q19" s="16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0" t="s">
        <v>7</v>
      </c>
      <c r="C20" s="141"/>
      <c r="D20" s="130" t="s">
        <v>39</v>
      </c>
      <c r="E20" s="130"/>
      <c r="F20" s="130"/>
      <c r="G20" s="170"/>
      <c r="H20" s="17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3.7025015999999994E-2</v>
      </c>
      <c r="K20" s="39">
        <f>J20/J19</f>
        <v>0.90570000000000006</v>
      </c>
      <c r="L20" s="161" t="s">
        <v>69</v>
      </c>
      <c r="M20" s="162"/>
      <c r="N20" s="162"/>
      <c r="O20" s="162"/>
      <c r="P20" s="162"/>
      <c r="Q20" s="16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36" t="s">
        <v>61</v>
      </c>
      <c r="E21" s="137"/>
      <c r="F21" s="138"/>
      <c r="G21" s="170"/>
      <c r="H21" s="17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3.4461840000000001E-3</v>
      </c>
      <c r="K21" s="39">
        <f>J21/J19</f>
        <v>8.4300000000000014E-2</v>
      </c>
      <c r="L21" s="161" t="s">
        <v>69</v>
      </c>
      <c r="M21" s="162"/>
      <c r="N21" s="162"/>
      <c r="O21" s="162"/>
      <c r="P21" s="162"/>
      <c r="Q21" s="16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39" t="s">
        <v>67</v>
      </c>
      <c r="E22" s="139"/>
      <c r="F22" s="139"/>
      <c r="G22" s="170"/>
      <c r="H22" s="17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4.0880000000000002E-4</v>
      </c>
      <c r="K22" s="39">
        <f>J22/J19</f>
        <v>1.0000000000000002E-2</v>
      </c>
      <c r="L22" s="161" t="s">
        <v>69</v>
      </c>
      <c r="M22" s="162"/>
      <c r="N22" s="162"/>
      <c r="O22" s="162"/>
      <c r="P22" s="162"/>
      <c r="Q22" s="16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7"/>
      <c r="C23" s="128"/>
      <c r="D23" s="128"/>
      <c r="E23" s="128"/>
      <c r="F23" s="129"/>
      <c r="G23" s="170"/>
      <c r="H23" s="170"/>
      <c r="I23" s="181"/>
      <c r="J23" s="182"/>
      <c r="K23" s="182"/>
      <c r="L23" s="182"/>
      <c r="M23" s="182"/>
      <c r="N23" s="182"/>
      <c r="O23" s="182"/>
      <c r="P23" s="182"/>
      <c r="Q23" s="18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1" t="s">
        <v>37</v>
      </c>
      <c r="C24" s="152"/>
      <c r="D24" s="152"/>
      <c r="E24" s="152"/>
      <c r="F24" s="153"/>
      <c r="G24" s="170"/>
      <c r="H24" s="170"/>
      <c r="I24" s="175" t="s">
        <v>42</v>
      </c>
      <c r="J24" s="176"/>
      <c r="K24" s="176"/>
      <c r="L24" s="176"/>
      <c r="M24" s="176"/>
      <c r="N24" s="176"/>
      <c r="O24" s="176"/>
      <c r="P24" s="176"/>
      <c r="Q24" s="17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4"/>
      <c r="C25" s="155"/>
      <c r="D25" s="155"/>
      <c r="E25" s="155"/>
      <c r="F25" s="156"/>
      <c r="G25" s="170"/>
      <c r="H25" s="170"/>
      <c r="I25" s="178"/>
      <c r="J25" s="179"/>
      <c r="K25" s="179"/>
      <c r="L25" s="179"/>
      <c r="M25" s="179"/>
      <c r="N25" s="179"/>
      <c r="O25" s="179"/>
      <c r="P25" s="179"/>
      <c r="Q25" s="18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3" t="s">
        <v>11</v>
      </c>
      <c r="C26" s="173" t="s">
        <v>12</v>
      </c>
      <c r="D26" s="157" t="s">
        <v>47</v>
      </c>
      <c r="E26" s="157" t="s">
        <v>48</v>
      </c>
      <c r="F26" s="159" t="s">
        <v>66</v>
      </c>
      <c r="G26" s="170"/>
      <c r="H26" s="170"/>
      <c r="I26" s="184" t="s">
        <v>53</v>
      </c>
      <c r="J26" s="184" t="s">
        <v>54</v>
      </c>
      <c r="K26" s="171" t="s">
        <v>73</v>
      </c>
      <c r="L26" s="171" t="s">
        <v>52</v>
      </c>
      <c r="M26" s="171" t="s">
        <v>59</v>
      </c>
      <c r="N26" s="171" t="s">
        <v>62</v>
      </c>
      <c r="O26" s="171" t="s">
        <v>72</v>
      </c>
      <c r="P26" s="171" t="s">
        <v>64</v>
      </c>
      <c r="Q26" s="171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4"/>
      <c r="C27" s="174"/>
      <c r="D27" s="158"/>
      <c r="E27" s="158"/>
      <c r="F27" s="160"/>
      <c r="G27" s="170"/>
      <c r="H27" s="170"/>
      <c r="I27" s="185"/>
      <c r="J27" s="185"/>
      <c r="K27" s="172"/>
      <c r="L27" s="172"/>
      <c r="M27" s="172"/>
      <c r="N27" s="172"/>
      <c r="O27" s="172"/>
      <c r="P27" s="172"/>
      <c r="Q27" s="172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115</v>
      </c>
      <c r="C28" s="46" t="s">
        <v>116</v>
      </c>
      <c r="D28" s="47">
        <v>1.6437199999999998</v>
      </c>
      <c r="E28" s="47">
        <v>1.9024449999999995</v>
      </c>
      <c r="F28" s="98">
        <v>9.9999999999999995E-7</v>
      </c>
      <c r="G28" s="170"/>
      <c r="H28" s="17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0.73367838445348477</v>
      </c>
      <c r="K28" s="95">
        <f t="shared" ref="K28:K47" si="3">IF(D28=0,"",1/(1+10^D28*$J$15/$J$14+10^E28*$J$16/$J$14+10^J28*$J$19/$J$14))</f>
        <v>0.80095644262452836</v>
      </c>
      <c r="L28" s="95">
        <f t="shared" ref="L28:L47" si="4">IF(D28=0,"",1/(1+10^I28/10^J28*$J$13/$J$19))</f>
        <v>4.4564975438475748E-3</v>
      </c>
      <c r="M28" s="95">
        <f t="shared" ref="M28:M47" si="5">IF(D28=0,"",1-L28)</f>
        <v>0.99554350245615242</v>
      </c>
      <c r="N28" s="95">
        <f t="shared" ref="N28:N47" si="6">IF(D28=0,"",1/(1/10^E28*$J$20/$J$22+10^D28/10^E28*$J$21/$J$22+10^I28/10^E28*$J$13/$J$22+1))</f>
        <v>6.5729493704805091E-4</v>
      </c>
      <c r="O28" s="40">
        <f t="shared" ref="O28:O47" si="7">IF(D28=0,"",F28*K28*$J$7/$J$14)</f>
        <v>8.0594984028154903E-7</v>
      </c>
      <c r="P28" s="40">
        <f t="shared" ref="P28:P47" si="8">IF(D28=0,"",O28*10^J28)</f>
        <v>4.3650216089406912E-6</v>
      </c>
      <c r="Q28" s="40">
        <f t="shared" ref="Q28:Q47" si="9">IF(D28=0,"",F28*N28*$J$7/$J$22)</f>
        <v>6.438030259038297E-5</v>
      </c>
      <c r="R28" s="9">
        <f>F28*$C$14</f>
        <v>3.9999999999999996E-5</v>
      </c>
      <c r="S28" s="9">
        <f>$R28*L28</f>
        <v>1.7825990175390297E-7</v>
      </c>
      <c r="T28" s="9">
        <f>R28*K28</f>
        <v>3.2038257704981135E-5</v>
      </c>
      <c r="U28" s="9">
        <f>$R28*M28</f>
        <v>3.9821740098246093E-5</v>
      </c>
      <c r="V28" s="102">
        <f>K28/M28</f>
        <v>0.80454188154354966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117</v>
      </c>
      <c r="C29" s="46" t="s">
        <v>118</v>
      </c>
      <c r="D29" s="47">
        <v>4.7386560000000006</v>
      </c>
      <c r="E29" s="47">
        <v>5.8355820000000005</v>
      </c>
      <c r="F29" s="98">
        <v>9.9999999999999995E-7</v>
      </c>
      <c r="G29" s="170"/>
      <c r="H29" s="170"/>
      <c r="I29" s="94">
        <f t="shared" si="1"/>
        <v>2.7194923137791687</v>
      </c>
      <c r="J29" s="94">
        <f t="shared" si="2"/>
        <v>4.0594690780898786</v>
      </c>
      <c r="K29" s="95">
        <f t="shared" si="3"/>
        <v>1.8563048956209036E-3</v>
      </c>
      <c r="L29" s="95">
        <f t="shared" si="4"/>
        <v>2.1868791104255967E-2</v>
      </c>
      <c r="M29" s="95">
        <f t="shared" si="5"/>
        <v>0.97813120889574401</v>
      </c>
      <c r="N29" s="95">
        <f t="shared" si="6"/>
        <v>1.3059835240634459E-2</v>
      </c>
      <c r="O29" s="40">
        <f t="shared" si="7"/>
        <v>1.8678776454275429E-9</v>
      </c>
      <c r="P29" s="40">
        <f t="shared" si="8"/>
        <v>2.1419903139691325E-5</v>
      </c>
      <c r="Q29" s="40">
        <f t="shared" si="9"/>
        <v>1.2791763593199988E-3</v>
      </c>
      <c r="R29" s="9">
        <f>F29*$C$14</f>
        <v>3.9999999999999996E-5</v>
      </c>
      <c r="S29" s="9">
        <f t="shared" ref="S29:S49" si="10">$R29*L29</f>
        <v>8.7475164417023859E-7</v>
      </c>
      <c r="T29" s="9">
        <f t="shared" ref="T29:T49" si="11">R29*K29</f>
        <v>7.4252195824836133E-8</v>
      </c>
      <c r="U29" s="9">
        <f t="shared" ref="U29:U49" si="12">$R29*M29</f>
        <v>3.912524835582976E-5</v>
      </c>
      <c r="V29" s="102">
        <f t="shared" ref="V29:V49" si="13">K29/M29</f>
        <v>1.8978076547793309E-3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119</v>
      </c>
      <c r="C30" s="46" t="s">
        <v>120</v>
      </c>
      <c r="D30" s="91">
        <v>7.1429999999999998</v>
      </c>
      <c r="E30" s="91">
        <v>9.299925</v>
      </c>
      <c r="F30" s="98">
        <v>9.9999999999999995E-7</v>
      </c>
      <c r="G30" s="170"/>
      <c r="H30" s="170"/>
      <c r="I30" s="94">
        <f t="shared" si="1"/>
        <v>5.9163420575972845</v>
      </c>
      <c r="J30" s="94">
        <f t="shared" si="2"/>
        <v>7.3247125997419902</v>
      </c>
      <c r="K30" s="95">
        <f t="shared" si="3"/>
        <v>1.1753918754885634E-6</v>
      </c>
      <c r="L30" s="95">
        <f t="shared" si="4"/>
        <v>2.5503610801731285E-2</v>
      </c>
      <c r="M30" s="95">
        <f t="shared" si="5"/>
        <v>0.97449638919826875</v>
      </c>
      <c r="N30" s="95">
        <f t="shared" si="6"/>
        <v>2.4088739353278994E-2</v>
      </c>
      <c r="O30" s="40">
        <f t="shared" si="7"/>
        <v>1.1827196135836761E-12</v>
      </c>
      <c r="P30" s="40">
        <f t="shared" si="8"/>
        <v>2.49801130058422E-5</v>
      </c>
      <c r="Q30" s="40">
        <f t="shared" si="9"/>
        <v>2.3594283801270104E-3</v>
      </c>
      <c r="R30" s="9">
        <f t="shared" ref="R30:R49" si="14">F30*$C$14</f>
        <v>3.9999999999999996E-5</v>
      </c>
      <c r="S30" s="9">
        <f t="shared" si="10"/>
        <v>1.0201444320692513E-6</v>
      </c>
      <c r="T30" s="9">
        <f t="shared" si="11"/>
        <v>4.701567501954253E-11</v>
      </c>
      <c r="U30" s="9">
        <f t="shared" si="12"/>
        <v>3.8979855567930746E-5</v>
      </c>
      <c r="V30" s="102">
        <f t="shared" si="13"/>
        <v>1.2061531356268791E-6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113</v>
      </c>
      <c r="C31" s="46" t="s">
        <v>114</v>
      </c>
      <c r="D31" s="47">
        <v>3.3511520000000004</v>
      </c>
      <c r="E31" s="47">
        <v>4.2962190000000007</v>
      </c>
      <c r="F31" s="98">
        <v>9.9999999999999995E-7</v>
      </c>
      <c r="G31" s="170"/>
      <c r="H31" s="170"/>
      <c r="I31" s="94">
        <f t="shared" si="1"/>
        <v>1.2852308448323728</v>
      </c>
      <c r="J31" s="94">
        <f t="shared" si="2"/>
        <v>2.588750951841865</v>
      </c>
      <c r="K31" s="95">
        <f t="shared" si="3"/>
        <v>5.0544763654205828E-2</v>
      </c>
      <c r="L31" s="95">
        <f t="shared" si="4"/>
        <v>2.0143434002665678E-2</v>
      </c>
      <c r="M31" s="95">
        <f t="shared" si="5"/>
        <v>0.97985656599733428</v>
      </c>
      <c r="N31" s="95">
        <f t="shared" si="6"/>
        <v>1.0270735808871854E-2</v>
      </c>
      <c r="O31" s="40">
        <f t="shared" si="7"/>
        <v>5.0859874552844157E-8</v>
      </c>
      <c r="P31" s="40">
        <f t="shared" si="8"/>
        <v>1.9729961440524864E-5</v>
      </c>
      <c r="Q31" s="40">
        <f t="shared" si="9"/>
        <v>1.005991438441147E-3</v>
      </c>
      <c r="R31" s="9">
        <f t="shared" si="14"/>
        <v>3.9999999999999996E-5</v>
      </c>
      <c r="S31" s="9">
        <f t="shared" si="10"/>
        <v>8.0573736010662701E-7</v>
      </c>
      <c r="T31" s="9">
        <f t="shared" si="11"/>
        <v>2.0217905461682331E-6</v>
      </c>
      <c r="U31" s="9">
        <f t="shared" si="12"/>
        <v>3.9194262639893365E-5</v>
      </c>
      <c r="V31" s="102">
        <f t="shared" si="13"/>
        <v>5.1583839317093823E-2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121</v>
      </c>
      <c r="C32" s="46" t="s">
        <v>122</v>
      </c>
      <c r="D32" s="47">
        <v>5.9183200000000005</v>
      </c>
      <c r="E32" s="47">
        <v>7.0401399999999992</v>
      </c>
      <c r="F32" s="98">
        <v>9.9999999999999995E-7</v>
      </c>
      <c r="G32" s="170"/>
      <c r="H32" s="170"/>
      <c r="I32" s="94">
        <f t="shared" si="1"/>
        <v>3.9109447814528924</v>
      </c>
      <c r="J32" s="94">
        <f t="shared" si="2"/>
        <v>5.2541395657856595</v>
      </c>
      <c r="K32" s="95">
        <f t="shared" si="3"/>
        <v>1.1943351458338318E-4</v>
      </c>
      <c r="L32" s="95">
        <f t="shared" si="4"/>
        <v>2.202785283234264E-2</v>
      </c>
      <c r="M32" s="95">
        <f t="shared" si="5"/>
        <v>0.97797214716765735</v>
      </c>
      <c r="N32" s="95">
        <f t="shared" si="6"/>
        <v>1.3457754468977682E-2</v>
      </c>
      <c r="O32" s="40">
        <f t="shared" si="7"/>
        <v>1.2017809818387992E-10</v>
      </c>
      <c r="P32" s="40">
        <f t="shared" si="8"/>
        <v>2.1575699900134345E-5</v>
      </c>
      <c r="Q32" s="40">
        <f t="shared" si="9"/>
        <v>1.318151496481896E-3</v>
      </c>
      <c r="R32" s="9">
        <f t="shared" si="14"/>
        <v>3.9999999999999996E-5</v>
      </c>
      <c r="S32" s="9">
        <f t="shared" si="10"/>
        <v>8.8111411329370547E-7</v>
      </c>
      <c r="T32" s="9">
        <f t="shared" si="11"/>
        <v>4.7773405833353271E-9</v>
      </c>
      <c r="U32" s="9">
        <f t="shared" si="12"/>
        <v>3.9118885886706291E-5</v>
      </c>
      <c r="V32" s="102">
        <f t="shared" si="13"/>
        <v>1.221236360659955E-4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123</v>
      </c>
      <c r="C33" s="96" t="s">
        <v>124</v>
      </c>
      <c r="D33" s="97">
        <v>5.5295200000000007</v>
      </c>
      <c r="E33" s="97">
        <v>6.5305900000000001</v>
      </c>
      <c r="F33" s="98">
        <v>9.9999999999999995E-7</v>
      </c>
      <c r="G33" s="170"/>
      <c r="H33" s="170"/>
      <c r="I33" s="94">
        <f t="shared" si="1"/>
        <v>3.4646398062685493</v>
      </c>
      <c r="J33" s="94">
        <f t="shared" si="2"/>
        <v>4.7956325345638788</v>
      </c>
      <c r="K33" s="95">
        <f t="shared" si="3"/>
        <v>3.3396143068759331E-4</v>
      </c>
      <c r="L33" s="95">
        <f t="shared" si="4"/>
        <v>2.1430644665512252E-2</v>
      </c>
      <c r="M33" s="95">
        <f t="shared" si="5"/>
        <v>0.97856935533448774</v>
      </c>
      <c r="N33" s="95">
        <f t="shared" si="6"/>
        <v>1.1641064643302621E-2</v>
      </c>
      <c r="O33" s="40">
        <f t="shared" si="7"/>
        <v>3.3604344431128849E-10</v>
      </c>
      <c r="P33" s="40">
        <f t="shared" si="8"/>
        <v>2.0990750278239172E-5</v>
      </c>
      <c r="Q33" s="40">
        <f t="shared" si="9"/>
        <v>1.1402115275311229E-3</v>
      </c>
      <c r="R33" s="9">
        <f t="shared" si="14"/>
        <v>3.9999999999999996E-5</v>
      </c>
      <c r="S33" s="9">
        <f t="shared" si="10"/>
        <v>8.5722578662049004E-7</v>
      </c>
      <c r="T33" s="9">
        <f t="shared" si="11"/>
        <v>1.335845722750373E-8</v>
      </c>
      <c r="U33" s="9">
        <f t="shared" si="12"/>
        <v>3.9142774213379508E-5</v>
      </c>
      <c r="V33" s="102">
        <f t="shared" si="13"/>
        <v>3.4127517775522508E-4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125</v>
      </c>
      <c r="C34" s="46" t="s">
        <v>126</v>
      </c>
      <c r="D34" s="91">
        <v>5.4845040000000003</v>
      </c>
      <c r="E34" s="91">
        <v>6.5678879999999999</v>
      </c>
      <c r="F34" s="98">
        <v>9.9999999999999995E-7</v>
      </c>
      <c r="G34" s="170"/>
      <c r="H34" s="170"/>
      <c r="I34" s="94">
        <f t="shared" si="1"/>
        <v>3.4579829545014036</v>
      </c>
      <c r="J34" s="94">
        <f t="shared" si="2"/>
        <v>4.7972521440478495</v>
      </c>
      <c r="K34" s="95">
        <f t="shared" si="3"/>
        <v>3.3898004327292627E-4</v>
      </c>
      <c r="L34" s="95">
        <f t="shared" si="4"/>
        <v>2.1833967666817524E-2</v>
      </c>
      <c r="M34" s="95">
        <f t="shared" si="5"/>
        <v>0.97816603233318244</v>
      </c>
      <c r="N34" s="95">
        <f t="shared" si="6"/>
        <v>1.2875630909658905E-2</v>
      </c>
      <c r="O34" s="40">
        <f t="shared" si="7"/>
        <v>3.4109334440114917E-10</v>
      </c>
      <c r="P34" s="40">
        <f t="shared" si="8"/>
        <v>2.1385794502713341E-5</v>
      </c>
      <c r="Q34" s="40">
        <f t="shared" si="9"/>
        <v>1.2611340317464359E-3</v>
      </c>
      <c r="R34" s="9">
        <f t="shared" si="14"/>
        <v>3.9999999999999996E-5</v>
      </c>
      <c r="S34" s="9">
        <f t="shared" si="10"/>
        <v>8.7335870667270086E-7</v>
      </c>
      <c r="T34" s="9">
        <f t="shared" si="11"/>
        <v>1.3559201730917049E-8</v>
      </c>
      <c r="U34" s="9">
        <f t="shared" si="12"/>
        <v>3.9126641293327297E-5</v>
      </c>
      <c r="V34" s="102">
        <f t="shared" si="13"/>
        <v>3.4654652898176192E-4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127</v>
      </c>
      <c r="C35" s="46" t="s">
        <v>128</v>
      </c>
      <c r="D35" s="91">
        <v>2.7195840000000011</v>
      </c>
      <c r="E35" s="91">
        <v>3.2500779999999994</v>
      </c>
      <c r="F35" s="98">
        <v>9.9999999999999995E-7</v>
      </c>
      <c r="G35" s="170"/>
      <c r="H35" s="170"/>
      <c r="I35" s="94">
        <f t="shared" si="1"/>
        <v>0.62193942428688143</v>
      </c>
      <c r="J35" s="94">
        <f t="shared" si="2"/>
        <v>1.798585736505889</v>
      </c>
      <c r="K35" s="95">
        <f t="shared" si="3"/>
        <v>0.23398578775209275</v>
      </c>
      <c r="L35" s="95">
        <f t="shared" si="4"/>
        <v>1.5117556616756516E-2</v>
      </c>
      <c r="M35" s="95">
        <f t="shared" si="5"/>
        <v>0.98488244338324349</v>
      </c>
      <c r="N35" s="95">
        <f t="shared" si="6"/>
        <v>4.2753715923637596E-3</v>
      </c>
      <c r="O35" s="40">
        <f t="shared" si="7"/>
        <v>2.3544452386077422E-7</v>
      </c>
      <c r="P35" s="40">
        <f t="shared" si="8"/>
        <v>1.4807247318609439E-5</v>
      </c>
      <c r="Q35" s="40">
        <f t="shared" si="9"/>
        <v>4.1876135245901713E-4</v>
      </c>
      <c r="R35" s="9">
        <f t="shared" si="14"/>
        <v>3.9999999999999996E-5</v>
      </c>
      <c r="S35" s="9">
        <f t="shared" si="10"/>
        <v>6.0470226467026063E-7</v>
      </c>
      <c r="T35" s="9">
        <f t="shared" si="11"/>
        <v>9.3594315100837087E-6</v>
      </c>
      <c r="U35" s="9">
        <f t="shared" si="12"/>
        <v>3.9395297735329736E-5</v>
      </c>
      <c r="V35" s="102">
        <f t="shared" si="13"/>
        <v>0.23757737720281685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70"/>
      <c r="H36" s="170"/>
      <c r="I36" s="94">
        <f t="shared" si="1"/>
        <v>6.3597288158186656</v>
      </c>
      <c r="J36" s="94">
        <f t="shared" si="2"/>
        <v>7.7689430999035345</v>
      </c>
      <c r="K36" s="95">
        <f t="shared" si="3"/>
        <v>4.2342294398445155E-7</v>
      </c>
      <c r="L36" s="95">
        <f t="shared" si="4"/>
        <v>2.555193978212765E-2</v>
      </c>
      <c r="M36" s="95">
        <f t="shared" si="5"/>
        <v>0.97444806021787234</v>
      </c>
      <c r="N36" s="95">
        <f t="shared" si="6"/>
        <v>2.4236604468329936E-2</v>
      </c>
      <c r="O36" s="40">
        <f t="shared" si="7"/>
        <v>4.2606268695161302E-13</v>
      </c>
      <c r="P36" s="40">
        <f t="shared" si="8"/>
        <v>2.5027449965347384E-5</v>
      </c>
      <c r="Q36" s="40">
        <f t="shared" si="9"/>
        <v>2.3739113775045565E-3</v>
      </c>
      <c r="R36" s="9">
        <f t="shared" si="14"/>
        <v>3.9999999999999996E-5</v>
      </c>
      <c r="S36" s="9">
        <f t="shared" si="10"/>
        <v>1.0220775912851058E-6</v>
      </c>
      <c r="T36" s="9">
        <f t="shared" si="11"/>
        <v>1.6936917759378061E-11</v>
      </c>
      <c r="U36" s="9">
        <f t="shared" si="12"/>
        <v>3.897792240871489E-5</v>
      </c>
      <c r="V36" s="102">
        <f t="shared" si="13"/>
        <v>4.3452592423425871E-7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129</v>
      </c>
      <c r="C37" s="96" t="s">
        <v>130</v>
      </c>
      <c r="D37" s="97">
        <v>4.10616</v>
      </c>
      <c r="E37" s="97">
        <v>5.1108449999999994</v>
      </c>
      <c r="F37" s="98">
        <v>9.9999999999999995E-7</v>
      </c>
      <c r="G37" s="170"/>
      <c r="H37" s="170"/>
      <c r="I37" s="94">
        <f t="shared" si="1"/>
        <v>2.0466328175843658</v>
      </c>
      <c r="J37" s="94">
        <f t="shared" si="2"/>
        <v>3.3743997874095357</v>
      </c>
      <c r="K37" s="95">
        <f t="shared" si="3"/>
        <v>8.7452490310802912E-3</v>
      </c>
      <c r="L37" s="95">
        <f t="shared" si="4"/>
        <v>2.1275430490690118E-2</v>
      </c>
      <c r="M37" s="95">
        <f t="shared" si="5"/>
        <v>0.97872456950930986</v>
      </c>
      <c r="N37" s="95">
        <f t="shared" si="6"/>
        <v>1.1596410193710046E-2</v>
      </c>
      <c r="O37" s="40">
        <f t="shared" si="7"/>
        <v>8.7997694815042468E-9</v>
      </c>
      <c r="P37" s="40">
        <f t="shared" si="8"/>
        <v>2.0838722094571067E-5</v>
      </c>
      <c r="Q37" s="40">
        <f t="shared" si="9"/>
        <v>1.1358377421651681E-3</v>
      </c>
      <c r="R37" s="9">
        <f t="shared" si="14"/>
        <v>3.9999999999999996E-5</v>
      </c>
      <c r="S37" s="9">
        <f t="shared" si="10"/>
        <v>8.510172196276047E-7</v>
      </c>
      <c r="T37" s="9">
        <f t="shared" si="11"/>
        <v>3.4980996124321164E-7</v>
      </c>
      <c r="U37" s="9">
        <f t="shared" si="12"/>
        <v>3.9148982780372394E-5</v>
      </c>
      <c r="V37" s="102">
        <f t="shared" si="13"/>
        <v>8.9353525021495898E-3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131</v>
      </c>
      <c r="C38" s="46" t="s">
        <v>132</v>
      </c>
      <c r="D38" s="91">
        <v>2.8295519999999996</v>
      </c>
      <c r="E38" s="91">
        <v>3.5791989999999991</v>
      </c>
      <c r="F38" s="98">
        <v>9.9999999999999995E-7</v>
      </c>
      <c r="G38" s="170"/>
      <c r="H38" s="170"/>
      <c r="I38" s="94">
        <f t="shared" si="1"/>
        <v>0.75425121724867172</v>
      </c>
      <c r="J38" s="94">
        <f t="shared" si="2"/>
        <v>1.9813184321206099</v>
      </c>
      <c r="K38" s="95">
        <f t="shared" si="3"/>
        <v>0.17221468669689752</v>
      </c>
      <c r="L38" s="95">
        <f t="shared" si="4"/>
        <v>1.6947084934024543E-2</v>
      </c>
      <c r="M38" s="95">
        <f t="shared" si="5"/>
        <v>0.98305291506597547</v>
      </c>
      <c r="N38" s="95">
        <f t="shared" si="6"/>
        <v>6.7139109070238302E-3</v>
      </c>
      <c r="O38" s="40">
        <f t="shared" si="7"/>
        <v>1.7328832362306922E-7</v>
      </c>
      <c r="P38" s="40">
        <f t="shared" si="8"/>
        <v>1.6599221971455107E-5</v>
      </c>
      <c r="Q38" s="40">
        <f t="shared" si="9"/>
        <v>6.5760983600497149E-4</v>
      </c>
      <c r="R38" s="9">
        <f t="shared" si="14"/>
        <v>3.9999999999999996E-5</v>
      </c>
      <c r="S38" s="9">
        <f t="shared" si="10"/>
        <v>6.7788339736098164E-7</v>
      </c>
      <c r="T38" s="9">
        <f t="shared" si="11"/>
        <v>6.8885874678758998E-6</v>
      </c>
      <c r="U38" s="9">
        <f t="shared" si="12"/>
        <v>3.9322116602639017E-5</v>
      </c>
      <c r="V38" s="102">
        <f t="shared" si="13"/>
        <v>0.1751835369770911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70"/>
      <c r="H39" s="170"/>
      <c r="I39" s="94">
        <f t="shared" si="1"/>
        <v>-1.6810051832329899E-4</v>
      </c>
      <c r="J39" s="94">
        <f t="shared" si="2"/>
        <v>-4.3479864956087882E-3</v>
      </c>
      <c r="K39" s="95">
        <f t="shared" si="3"/>
        <v>0.99419879641979014</v>
      </c>
      <c r="L39" s="95">
        <f t="shared" si="4"/>
        <v>1.0111873654070321E-3</v>
      </c>
      <c r="M39" s="95">
        <f t="shared" si="5"/>
        <v>0.99898881263459294</v>
      </c>
      <c r="N39" s="95">
        <f t="shared" si="6"/>
        <v>4.947281484573846E-7</v>
      </c>
      <c r="O39" s="40">
        <f t="shared" si="7"/>
        <v>1.0003969236542605E-6</v>
      </c>
      <c r="P39" s="40">
        <f t="shared" si="8"/>
        <v>9.9043131007287506E-7</v>
      </c>
      <c r="Q39" s="40">
        <f t="shared" si="9"/>
        <v>4.8457315129658324E-8</v>
      </c>
      <c r="R39" s="9">
        <f t="shared" si="14"/>
        <v>3.9999999999999996E-5</v>
      </c>
      <c r="S39" s="9">
        <f t="shared" si="10"/>
        <v>4.0447494616281277E-8</v>
      </c>
      <c r="T39" s="9">
        <f t="shared" si="11"/>
        <v>3.9767951856791602E-5</v>
      </c>
      <c r="U39" s="9">
        <f t="shared" si="12"/>
        <v>3.9959552505383717E-5</v>
      </c>
      <c r="V39" s="102">
        <f t="shared" si="13"/>
        <v>0.99520513527857202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133</v>
      </c>
      <c r="C40" s="46" t="s">
        <v>134</v>
      </c>
      <c r="D40" s="47">
        <v>3.2352399999999997</v>
      </c>
      <c r="E40" s="47">
        <v>3.7544849999999994</v>
      </c>
      <c r="F40" s="98">
        <v>9.9999999999999995E-7</v>
      </c>
      <c r="G40" s="170"/>
      <c r="H40" s="170"/>
      <c r="I40" s="94">
        <f t="shared" si="1"/>
        <v>1.0570731161685156</v>
      </c>
      <c r="J40" s="94">
        <f t="shared" si="2"/>
        <v>2.306689397381505</v>
      </c>
      <c r="K40" s="95">
        <f t="shared" si="3"/>
        <v>8.5675417317305519E-2</v>
      </c>
      <c r="L40" s="95">
        <f t="shared" si="4"/>
        <v>1.7834133524715998E-2</v>
      </c>
      <c r="M40" s="95">
        <f t="shared" si="5"/>
        <v>0.98216586647528403</v>
      </c>
      <c r="N40" s="95">
        <f t="shared" si="6"/>
        <v>5.0008936230542299E-3</v>
      </c>
      <c r="O40" s="40">
        <f t="shared" si="7"/>
        <v>8.6209543026682013E-8</v>
      </c>
      <c r="P40" s="40">
        <f t="shared" si="8"/>
        <v>1.7468062631289884E-5</v>
      </c>
      <c r="Q40" s="40">
        <f t="shared" si="9"/>
        <v>4.8982431862397175E-4</v>
      </c>
      <c r="R40" s="9">
        <f t="shared" si="14"/>
        <v>3.9999999999999996E-5</v>
      </c>
      <c r="S40" s="9">
        <f t="shared" si="10"/>
        <v>7.1336534098863989E-7</v>
      </c>
      <c r="T40" s="9">
        <f t="shared" si="11"/>
        <v>3.4270166926922203E-6</v>
      </c>
      <c r="U40" s="9">
        <f t="shared" si="12"/>
        <v>3.9286634659011356E-5</v>
      </c>
      <c r="V40" s="102">
        <f t="shared" si="13"/>
        <v>8.7231108554780473E-2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135</v>
      </c>
      <c r="C41" s="96" t="s">
        <v>136</v>
      </c>
      <c r="D41" s="97">
        <v>3.3303280000000011</v>
      </c>
      <c r="E41" s="97">
        <v>3.8215209999999997</v>
      </c>
      <c r="F41" s="98">
        <v>9.9999999999999995E-7</v>
      </c>
      <c r="G41" s="170"/>
      <c r="H41" s="170"/>
      <c r="I41" s="94">
        <f t="shared" si="1"/>
        <v>1.1393826628828596</v>
      </c>
      <c r="J41" s="94">
        <f t="shared" si="2"/>
        <v>2.3937036559113518</v>
      </c>
      <c r="K41" s="95">
        <f t="shared" si="3"/>
        <v>7.0869983136620282E-2</v>
      </c>
      <c r="L41" s="95">
        <f t="shared" si="4"/>
        <v>1.8024879635951885E-2</v>
      </c>
      <c r="M41" s="95">
        <f t="shared" si="5"/>
        <v>0.9819751203640481</v>
      </c>
      <c r="N41" s="95">
        <f t="shared" si="6"/>
        <v>4.8271380294691033E-3</v>
      </c>
      <c r="O41" s="40">
        <f t="shared" si="7"/>
        <v>7.1311807421830982E-8</v>
      </c>
      <c r="P41" s="40">
        <f t="shared" si="8"/>
        <v>1.765489340796461E-5</v>
      </c>
      <c r="Q41" s="40">
        <f t="shared" si="9"/>
        <v>4.7280541727350489E-4</v>
      </c>
      <c r="R41" s="9">
        <f t="shared" si="14"/>
        <v>3.9999999999999996E-5</v>
      </c>
      <c r="S41" s="9">
        <f t="shared" si="10"/>
        <v>7.2099518543807534E-7</v>
      </c>
      <c r="T41" s="9">
        <f t="shared" si="11"/>
        <v>2.834799325464811E-6</v>
      </c>
      <c r="U41" s="9">
        <f t="shared" si="12"/>
        <v>3.9279004814561918E-5</v>
      </c>
      <c r="V41" s="102">
        <f t="shared" si="13"/>
        <v>7.2170854094904785E-2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137</v>
      </c>
      <c r="C42" s="46" t="s">
        <v>138</v>
      </c>
      <c r="D42" s="91">
        <v>4.4202640000000004</v>
      </c>
      <c r="E42" s="91">
        <v>5.6388380000000007</v>
      </c>
      <c r="F42" s="98">
        <v>9.9999999999999995E-7</v>
      </c>
      <c r="G42" s="170"/>
      <c r="H42" s="170"/>
      <c r="I42" s="94">
        <f t="shared" si="1"/>
        <v>2.466507651261447</v>
      </c>
      <c r="J42" s="94">
        <f t="shared" si="2"/>
        <v>3.8177678868718958</v>
      </c>
      <c r="K42" s="95">
        <f t="shared" si="3"/>
        <v>3.3218808816384425E-3</v>
      </c>
      <c r="L42" s="95">
        <f t="shared" si="4"/>
        <v>2.2431500727686418E-2</v>
      </c>
      <c r="M42" s="95">
        <f t="shared" si="5"/>
        <v>0.9775684992723136</v>
      </c>
      <c r="N42" s="95">
        <f t="shared" si="6"/>
        <v>1.485690831179738E-2</v>
      </c>
      <c r="O42" s="40">
        <f t="shared" si="7"/>
        <v>3.3425904624952024E-9</v>
      </c>
      <c r="P42" s="40">
        <f t="shared" si="8"/>
        <v>2.197106234973594E-5</v>
      </c>
      <c r="Q42" s="40">
        <f t="shared" si="9"/>
        <v>1.4551949189913931E-3</v>
      </c>
      <c r="R42" s="9">
        <f t="shared" si="14"/>
        <v>3.9999999999999996E-5</v>
      </c>
      <c r="S42" s="9">
        <f t="shared" si="10"/>
        <v>8.9726002910745664E-7</v>
      </c>
      <c r="T42" s="9">
        <f t="shared" si="11"/>
        <v>1.3287523526553769E-7</v>
      </c>
      <c r="U42" s="9">
        <f t="shared" si="12"/>
        <v>3.9102739970892543E-5</v>
      </c>
      <c r="V42" s="102">
        <f t="shared" si="13"/>
        <v>3.3981054873507052E-3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139</v>
      </c>
      <c r="C43" s="46" t="s">
        <v>140</v>
      </c>
      <c r="D43" s="91">
        <v>4.2752879999999998</v>
      </c>
      <c r="E43" s="91">
        <v>5.3084609999999994</v>
      </c>
      <c r="F43" s="98">
        <v>9.9999999999999995E-7</v>
      </c>
      <c r="G43" s="170"/>
      <c r="H43" s="170"/>
      <c r="I43" s="94">
        <f t="shared" si="1"/>
        <v>2.2273249528367836</v>
      </c>
      <c r="J43" s="94">
        <f t="shared" si="2"/>
        <v>3.5592350116770111</v>
      </c>
      <c r="K43" s="95">
        <f t="shared" si="3"/>
        <v>5.7675515780043971E-3</v>
      </c>
      <c r="L43" s="95">
        <f t="shared" si="4"/>
        <v>2.1474985867016322E-2</v>
      </c>
      <c r="M43" s="95">
        <f t="shared" si="5"/>
        <v>0.97852501413298365</v>
      </c>
      <c r="N43" s="95">
        <f t="shared" si="6"/>
        <v>1.2054768511574651E-2</v>
      </c>
      <c r="O43" s="40">
        <f t="shared" si="7"/>
        <v>5.8035081881316388E-9</v>
      </c>
      <c r="P43" s="40">
        <f t="shared" si="8"/>
        <v>2.1034181313671666E-5</v>
      </c>
      <c r="Q43" s="40">
        <f t="shared" si="9"/>
        <v>1.1807327284729433E-3</v>
      </c>
      <c r="R43" s="9">
        <f t="shared" si="14"/>
        <v>3.9999999999999996E-5</v>
      </c>
      <c r="S43" s="9">
        <f t="shared" si="10"/>
        <v>8.5899943468065282E-7</v>
      </c>
      <c r="T43" s="9">
        <f t="shared" si="11"/>
        <v>2.3070206312017586E-7</v>
      </c>
      <c r="U43" s="9">
        <f t="shared" si="12"/>
        <v>3.914100056531934E-5</v>
      </c>
      <c r="V43" s="102">
        <f t="shared" si="13"/>
        <v>5.8941278911655648E-3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70"/>
      <c r="H44" s="170"/>
      <c r="I44" s="94">
        <f t="shared" si="1"/>
        <v>0.70532975413914478</v>
      </c>
      <c r="J44" s="94">
        <f t="shared" si="2"/>
        <v>1.9227193878324027</v>
      </c>
      <c r="K44" s="95">
        <f t="shared" si="3"/>
        <v>0.1928207964005379</v>
      </c>
      <c r="L44" s="95">
        <f t="shared" si="4"/>
        <v>1.6579813770250446E-2</v>
      </c>
      <c r="M44" s="95">
        <f t="shared" si="5"/>
        <v>0.98342018622974958</v>
      </c>
      <c r="N44" s="95">
        <f t="shared" si="6"/>
        <v>6.6442239183818761E-3</v>
      </c>
      <c r="O44" s="40">
        <f t="shared" si="7"/>
        <v>1.9402289786540201E-7</v>
      </c>
      <c r="P44" s="40">
        <f t="shared" si="8"/>
        <v>1.6239489569396919E-5</v>
      </c>
      <c r="Q44" s="40">
        <f t="shared" si="9"/>
        <v>6.5078417957206084E-4</v>
      </c>
      <c r="R44" s="9">
        <f t="shared" si="14"/>
        <v>3.9999999999999996E-5</v>
      </c>
      <c r="S44" s="9">
        <f t="shared" si="10"/>
        <v>6.6319255081001775E-7</v>
      </c>
      <c r="T44" s="9">
        <f t="shared" si="11"/>
        <v>7.7128318560215151E-6</v>
      </c>
      <c r="U44" s="9">
        <f t="shared" si="12"/>
        <v>3.933680744918998E-5</v>
      </c>
      <c r="V44" s="102">
        <f t="shared" si="13"/>
        <v>0.19607162746961401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141</v>
      </c>
      <c r="C45" s="46" t="s">
        <v>142</v>
      </c>
      <c r="D45" s="91">
        <v>4.4687359999999998</v>
      </c>
      <c r="E45" s="91">
        <v>5.2666120000000003</v>
      </c>
      <c r="F45" s="98">
        <v>9.9999999999999995E-7</v>
      </c>
      <c r="G45" s="170"/>
      <c r="H45" s="170"/>
      <c r="I45" s="94">
        <f t="shared" si="1"/>
        <v>2.3272580136650043</v>
      </c>
      <c r="J45" s="94">
        <f t="shared" si="2"/>
        <v>3.6364038333307582</v>
      </c>
      <c r="K45" s="95">
        <f t="shared" si="3"/>
        <v>4.5870656729616356E-3</v>
      </c>
      <c r="L45" s="95">
        <f t="shared" si="4"/>
        <v>2.0400705160613656E-2</v>
      </c>
      <c r="M45" s="95">
        <f t="shared" si="5"/>
        <v>0.97959929483938635</v>
      </c>
      <c r="N45" s="95">
        <f t="shared" si="6"/>
        <v>8.7066952965936199E-3</v>
      </c>
      <c r="O45" s="40">
        <f t="shared" si="7"/>
        <v>4.6156627873177089E-9</v>
      </c>
      <c r="P45" s="40">
        <f t="shared" si="8"/>
        <v>1.9981951742943063E-5</v>
      </c>
      <c r="Q45" s="40">
        <f t="shared" si="9"/>
        <v>8.5279780226876105E-4</v>
      </c>
      <c r="R45" s="9">
        <f t="shared" si="14"/>
        <v>3.9999999999999996E-5</v>
      </c>
      <c r="S45" s="9">
        <f t="shared" si="10"/>
        <v>8.1602820642454619E-7</v>
      </c>
      <c r="T45" s="9">
        <f t="shared" si="11"/>
        <v>1.834826269184654E-7</v>
      </c>
      <c r="U45" s="9">
        <f t="shared" si="12"/>
        <v>3.9183971793575448E-5</v>
      </c>
      <c r="V45" s="102">
        <f t="shared" si="13"/>
        <v>4.6825938903046309E-3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70"/>
      <c r="H46" s="170"/>
      <c r="I46" s="94">
        <f t="shared" si="1"/>
        <v>0.64458903464573347</v>
      </c>
      <c r="J46" s="94">
        <f t="shared" si="2"/>
        <v>1.8444393952218296</v>
      </c>
      <c r="K46" s="95">
        <f t="shared" si="3"/>
        <v>0.22191143889378487</v>
      </c>
      <c r="L46" s="95">
        <f t="shared" si="4"/>
        <v>1.5934024208550893E-2</v>
      </c>
      <c r="M46" s="95">
        <f t="shared" si="5"/>
        <v>0.98406597579144905</v>
      </c>
      <c r="N46" s="95">
        <f t="shared" si="6"/>
        <v>6.1562759350198152E-3</v>
      </c>
      <c r="O46" s="40">
        <f t="shared" si="7"/>
        <v>2.2329489996615902E-7</v>
      </c>
      <c r="P46" s="40">
        <f t="shared" si="8"/>
        <v>1.5606955754688878E-5</v>
      </c>
      <c r="Q46" s="40">
        <f t="shared" si="9"/>
        <v>6.0299096370111595E-4</v>
      </c>
      <c r="R46" s="9">
        <f t="shared" si="14"/>
        <v>3.9999999999999996E-5</v>
      </c>
      <c r="S46" s="9">
        <f t="shared" si="10"/>
        <v>6.3736096834203572E-7</v>
      </c>
      <c r="T46" s="9">
        <f t="shared" si="11"/>
        <v>8.8764575557513944E-6</v>
      </c>
      <c r="U46" s="9">
        <f t="shared" si="12"/>
        <v>3.936263903165796E-5</v>
      </c>
      <c r="V46" s="102">
        <f t="shared" si="13"/>
        <v>0.22550463521036732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143</v>
      </c>
      <c r="C47" s="46" t="s">
        <v>144</v>
      </c>
      <c r="D47" s="91">
        <v>3.859360000000001</v>
      </c>
      <c r="E47" s="91">
        <v>4.2614199999999993</v>
      </c>
      <c r="F47" s="98">
        <v>9.9999999999999995E-7</v>
      </c>
      <c r="G47" s="170"/>
      <c r="H47" s="170"/>
      <c r="I47" s="94">
        <f t="shared" si="1"/>
        <v>1.6299602750984028</v>
      </c>
      <c r="J47" s="94">
        <f t="shared" si="2"/>
        <v>2.8994221028694125</v>
      </c>
      <c r="K47" s="95">
        <f t="shared" si="3"/>
        <v>2.2887959757616944E-2</v>
      </c>
      <c r="L47" s="95">
        <f t="shared" si="4"/>
        <v>1.8652436582118345E-2</v>
      </c>
      <c r="M47" s="95">
        <f t="shared" si="5"/>
        <v>0.98134756341788165</v>
      </c>
      <c r="N47" s="95">
        <f t="shared" si="6"/>
        <v>4.292728969067231E-3</v>
      </c>
      <c r="O47" s="40">
        <f t="shared" si="7"/>
        <v>2.3030650019590708E-8</v>
      </c>
      <c r="P47" s="40">
        <f t="shared" si="8"/>
        <v>1.8269568857441567E-5</v>
      </c>
      <c r="Q47" s="40">
        <f t="shared" si="9"/>
        <v>4.2046146165103891E-4</v>
      </c>
      <c r="R47" s="9">
        <f t="shared" si="14"/>
        <v>3.9999999999999996E-5</v>
      </c>
      <c r="S47" s="9">
        <f t="shared" si="10"/>
        <v>7.4609746328473367E-7</v>
      </c>
      <c r="T47" s="9">
        <f t="shared" si="11"/>
        <v>9.1551839030467772E-7</v>
      </c>
      <c r="U47" s="9">
        <f t="shared" si="12"/>
        <v>3.9253902536715264E-5</v>
      </c>
      <c r="V47" s="102">
        <f t="shared" si="13"/>
        <v>2.3322990356140206E-2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145</v>
      </c>
      <c r="C48" s="46" t="s">
        <v>146</v>
      </c>
      <c r="D48" s="91">
        <v>2.0184960000000003</v>
      </c>
      <c r="E48" s="91">
        <v>2.3512620000000002</v>
      </c>
      <c r="F48" s="98">
        <v>9.9999999999999995E-7</v>
      </c>
      <c r="G48" s="170"/>
      <c r="H48" s="17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1.0772847763604276</v>
      </c>
      <c r="K48" s="95">
        <f t="shared" ref="K48:K50" si="17">IF(D48=0,"",1/(1+10^D48*$J$15/$J$14+10^E48*$J$16/$J$14+10^J48*$J$19/$J$14))</f>
        <v>0.62440309229138735</v>
      </c>
      <c r="L48" s="95">
        <f t="shared" ref="L48:L50" si="18">IF(D48=0,"",1/(1+10^I48/10^J48*$J$13/$J$19))</f>
        <v>7.6640125908025722E-3</v>
      </c>
      <c r="M48" s="95">
        <f t="shared" ref="M48:M92" si="19">IF(D48=0,"",1-L48)</f>
        <v>0.99233598740919737</v>
      </c>
      <c r="N48" s="95">
        <f t="shared" ref="N48:N50" si="20">IF(D48=0,"",1/(1/10^E48*$J$20/$J$22+10^D48/10^E48*$J$21/$J$22+10^I48/10^E48*$J$13/$J$22+1))</f>
        <v>1.4402352401994951E-3</v>
      </c>
      <c r="O48" s="40">
        <f t="shared" ref="O48:O92" si="21">IF(D48=0,"",F48*K48*$J$7/$J$14)</f>
        <v>6.2829580451911812E-7</v>
      </c>
      <c r="P48" s="40">
        <f t="shared" ref="P48:P50" si="22">IF(D48=0,"",O48*10^J48)</f>
        <v>7.5066978587772714E-6</v>
      </c>
      <c r="Q48" s="40">
        <f t="shared" ref="Q48:Q50" si="23">IF(D48=0,"",F48*N48*$J$7/$J$22)</f>
        <v>1.410672368507807E-4</v>
      </c>
      <c r="R48" s="9">
        <f t="shared" si="14"/>
        <v>3.9999999999999996E-5</v>
      </c>
      <c r="S48" s="9">
        <f t="shared" si="10"/>
        <v>3.0656050363210287E-7</v>
      </c>
      <c r="T48" s="9">
        <f t="shared" si="11"/>
        <v>2.4976123691655493E-5</v>
      </c>
      <c r="U48" s="9">
        <f t="shared" si="12"/>
        <v>3.9693439496367889E-5</v>
      </c>
      <c r="V48" s="102">
        <f t="shared" si="13"/>
        <v>0.62922548432571346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147</v>
      </c>
      <c r="C49" s="46" t="s">
        <v>148</v>
      </c>
      <c r="D49" s="91">
        <v>1.4665360000000003</v>
      </c>
      <c r="E49" s="91">
        <v>1.8522119999999997</v>
      </c>
      <c r="F49" s="98">
        <v>9.9999999999999995E-7</v>
      </c>
      <c r="G49" s="170"/>
      <c r="H49" s="170"/>
      <c r="I49" s="94">
        <f t="shared" si="15"/>
        <v>6.5352597387686409E-2</v>
      </c>
      <c r="J49" s="94">
        <f t="shared" si="16"/>
        <v>0.61123091181973244</v>
      </c>
      <c r="K49" s="95">
        <f t="shared" si="17"/>
        <v>0.8527755597928649</v>
      </c>
      <c r="L49" s="95">
        <f t="shared" si="18"/>
        <v>3.5790852666877588E-3</v>
      </c>
      <c r="M49" s="95">
        <f t="shared" si="19"/>
        <v>0.99642091473331229</v>
      </c>
      <c r="N49" s="95">
        <f t="shared" si="20"/>
        <v>6.2338038543756748E-4</v>
      </c>
      <c r="O49" s="40">
        <f t="shared" si="21"/>
        <v>8.5809201304253347E-7</v>
      </c>
      <c r="P49" s="40">
        <f t="shared" si="22"/>
        <v>3.5056194636304436E-6</v>
      </c>
      <c r="Q49" s="40">
        <f t="shared" si="23"/>
        <v>6.1058461858266595E-5</v>
      </c>
      <c r="R49" s="9">
        <f t="shared" si="14"/>
        <v>3.9999999999999996E-5</v>
      </c>
      <c r="S49" s="9">
        <f t="shared" si="10"/>
        <v>1.4316341066751035E-7</v>
      </c>
      <c r="T49" s="9">
        <f t="shared" si="11"/>
        <v>3.4111022391714594E-5</v>
      </c>
      <c r="U49" s="9">
        <f t="shared" si="12"/>
        <v>3.985683658933249E-5</v>
      </c>
      <c r="V49" s="102">
        <f t="shared" si="13"/>
        <v>0.85583867940097036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149</v>
      </c>
      <c r="C50" s="46" t="s">
        <v>150</v>
      </c>
      <c r="D50" s="91"/>
      <c r="E50" s="91"/>
      <c r="F50" s="92"/>
      <c r="G50" s="170"/>
      <c r="H50" s="17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151</v>
      </c>
      <c r="C51" s="46" t="s">
        <v>152</v>
      </c>
      <c r="D51" s="91"/>
      <c r="E51" s="91"/>
      <c r="F51" s="92"/>
      <c r="G51" s="170"/>
      <c r="H51" s="17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153</v>
      </c>
      <c r="C52" s="46" t="s">
        <v>154</v>
      </c>
      <c r="D52" s="47"/>
      <c r="E52" s="47"/>
      <c r="F52" s="92"/>
      <c r="G52" s="170"/>
      <c r="H52" s="17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155</v>
      </c>
      <c r="C53" s="46" t="s">
        <v>156</v>
      </c>
      <c r="D53" s="47"/>
      <c r="E53" s="47"/>
      <c r="F53" s="92"/>
      <c r="G53" s="170"/>
      <c r="H53" s="17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157</v>
      </c>
      <c r="C54" s="46" t="s">
        <v>158</v>
      </c>
      <c r="D54" s="47"/>
      <c r="E54" s="47"/>
      <c r="F54" s="92"/>
      <c r="G54" s="170"/>
      <c r="H54" s="17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159</v>
      </c>
      <c r="C55" s="46" t="s">
        <v>160</v>
      </c>
      <c r="D55" s="47"/>
      <c r="E55" s="47"/>
      <c r="F55" s="57"/>
      <c r="G55" s="170"/>
      <c r="H55" s="17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161</v>
      </c>
      <c r="C56" s="46" t="s">
        <v>162</v>
      </c>
      <c r="D56" s="47"/>
      <c r="E56" s="47"/>
      <c r="F56" s="57"/>
      <c r="G56" s="170"/>
      <c r="H56" s="17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70"/>
      <c r="H57" s="170"/>
      <c r="I57" s="54">
        <f t="shared" si="24"/>
        <v>3.7217650281818146E-4</v>
      </c>
      <c r="J57" s="54">
        <f t="shared" si="25"/>
        <v>6.7869130147026708E-3</v>
      </c>
      <c r="K57" s="55">
        <f t="shared" si="26"/>
        <v>0.99293795356381831</v>
      </c>
      <c r="L57" s="55">
        <f t="shared" si="27"/>
        <v>1.036132776754803E-3</v>
      </c>
      <c r="M57" s="55">
        <f t="shared" si="28"/>
        <v>0.99896386722324515</v>
      </c>
      <c r="N57" s="55">
        <f t="shared" si="29"/>
        <v>1.2326633945444498E-5</v>
      </c>
      <c r="O57" s="56">
        <f t="shared" si="30"/>
        <v>9.9912822033368924E-7</v>
      </c>
      <c r="P57" s="56">
        <f t="shared" si="31"/>
        <v>1.0148646814605156E-6</v>
      </c>
      <c r="Q57" s="56">
        <f t="shared" si="32"/>
        <v>1.2073612294850042E-6</v>
      </c>
      <c r="R57" s="9">
        <f t="shared" ref="R57:R58" si="33">F57*$C$14</f>
        <v>3.9999999999999996E-5</v>
      </c>
      <c r="S57" s="9">
        <f t="shared" ref="S57:S58" si="34">$R57*L57</f>
        <v>4.1445311070192113E-8</v>
      </c>
      <c r="T57" s="9">
        <f t="shared" ref="T57:T58" si="35">R57*K57</f>
        <v>3.9717518142552728E-5</v>
      </c>
      <c r="U57" s="9">
        <f t="shared" ref="U57:U58" si="36">$R57*M57</f>
        <v>3.9958554688929804E-5</v>
      </c>
      <c r="V57" s="102">
        <f t="shared" ref="V57:V58" si="37">K57/M57</f>
        <v>0.99396783621796381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163</v>
      </c>
      <c r="C58" s="46" t="s">
        <v>164</v>
      </c>
      <c r="D58" s="47">
        <v>2.1823520000000003</v>
      </c>
      <c r="E58" s="47">
        <v>2.5882690000000008</v>
      </c>
      <c r="F58" s="98">
        <v>9.9999999999999995E-7</v>
      </c>
      <c r="G58" s="170"/>
      <c r="H58" s="170"/>
      <c r="I58" s="54">
        <f t="shared" si="24"/>
        <v>0.27242732253974722</v>
      </c>
      <c r="J58" s="54">
        <f t="shared" si="25"/>
        <v>1.2457417230734267</v>
      </c>
      <c r="K58" s="55">
        <f t="shared" si="26"/>
        <v>0.52621490199845311</v>
      </c>
      <c r="L58" s="55">
        <f t="shared" si="27"/>
        <v>9.5194367773776961E-3</v>
      </c>
      <c r="M58" s="55">
        <f t="shared" si="28"/>
        <v>0.99048056322262235</v>
      </c>
      <c r="N58" s="55">
        <f t="shared" si="29"/>
        <v>2.0947805402168371E-3</v>
      </c>
      <c r="O58" s="56">
        <f t="shared" si="30"/>
        <v>5.2949548021581339E-7</v>
      </c>
      <c r="P58" s="56">
        <f t="shared" si="31"/>
        <v>9.3240368314717994E-6</v>
      </c>
      <c r="Q58" s="56">
        <f t="shared" si="32"/>
        <v>2.0517821975821318E-4</v>
      </c>
      <c r="R58" s="9">
        <f t="shared" si="33"/>
        <v>3.9999999999999996E-5</v>
      </c>
      <c r="S58" s="9">
        <f t="shared" si="34"/>
        <v>3.8077747109510781E-7</v>
      </c>
      <c r="T58" s="9">
        <f t="shared" si="35"/>
        <v>2.1048596079938124E-5</v>
      </c>
      <c r="U58" s="9">
        <f t="shared" si="36"/>
        <v>3.9619222528904891E-5</v>
      </c>
      <c r="V58" s="102">
        <f t="shared" si="37"/>
        <v>0.53127231521471063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165</v>
      </c>
      <c r="C59" s="46" t="s">
        <v>166</v>
      </c>
      <c r="D59" s="47"/>
      <c r="E59" s="47"/>
      <c r="F59" s="57"/>
      <c r="G59" s="170"/>
      <c r="H59" s="17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70"/>
      <c r="H60" s="170"/>
      <c r="I60" s="54">
        <f t="shared" si="24"/>
        <v>0.35062624883359406</v>
      </c>
      <c r="J60" s="54">
        <f t="shared" si="25"/>
        <v>1.3808784807262005</v>
      </c>
      <c r="K60" s="55">
        <f t="shared" si="26"/>
        <v>0.43892008130292343</v>
      </c>
      <c r="L60" s="55">
        <f t="shared" si="27"/>
        <v>1.0838528394424327E-2</v>
      </c>
      <c r="M60" s="55">
        <f t="shared" si="28"/>
        <v>0.98916147160557566</v>
      </c>
      <c r="N60" s="55">
        <f t="shared" si="29"/>
        <v>1.6653090376165527E-3</v>
      </c>
      <c r="O60" s="56">
        <f t="shared" si="30"/>
        <v>4.4165643797472411E-7</v>
      </c>
      <c r="P60" s="56">
        <f t="shared" si="31"/>
        <v>1.0616052221568915E-5</v>
      </c>
      <c r="Q60" s="56">
        <f t="shared" si="32"/>
        <v>1.6311262069011709E-4</v>
      </c>
      <c r="R60" s="9">
        <f t="shared" ref="R60:R65" si="38">F60*$C$14</f>
        <v>3.9999999999999996E-5</v>
      </c>
      <c r="S60" s="9">
        <f t="shared" ref="S60:S93" si="39">$R60*L60</f>
        <v>4.3354113577697304E-7</v>
      </c>
      <c r="T60" s="9">
        <f t="shared" ref="T60:T93" si="40">R60*K60</f>
        <v>1.7556803252116937E-5</v>
      </c>
      <c r="U60" s="9">
        <f t="shared" ref="U60:U93" si="41">$R60*M60</f>
        <v>3.956645886422302E-5</v>
      </c>
      <c r="V60" s="102">
        <f t="shared" ref="V60:V93" si="42">K60/M60</f>
        <v>0.44372945560696192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70"/>
      <c r="H61" s="170"/>
      <c r="I61" s="54">
        <f t="shared" si="24"/>
        <v>1.0599296125914559</v>
      </c>
      <c r="J61" s="54">
        <f t="shared" si="25"/>
        <v>2.2990371955470583</v>
      </c>
      <c r="K61" s="55">
        <f t="shared" si="26"/>
        <v>8.5150055593693361E-2</v>
      </c>
      <c r="L61" s="55">
        <f t="shared" si="27"/>
        <v>1.7415202126594732E-2</v>
      </c>
      <c r="M61" s="55">
        <f t="shared" si="28"/>
        <v>0.98258479787340525</v>
      </c>
      <c r="N61" s="55">
        <f t="shared" si="29"/>
        <v>3.6919373597481373E-3</v>
      </c>
      <c r="O61" s="56">
        <f t="shared" si="30"/>
        <v>8.5680906043817082E-8</v>
      </c>
      <c r="P61" s="56">
        <f t="shared" si="31"/>
        <v>1.7057730394489352E-5</v>
      </c>
      <c r="Q61" s="56">
        <f t="shared" si="32"/>
        <v>3.6161551073677099E-4</v>
      </c>
      <c r="R61" s="9">
        <f t="shared" si="38"/>
        <v>3.9999999999999996E-5</v>
      </c>
      <c r="S61" s="9">
        <f t="shared" si="39"/>
        <v>6.9660808506378923E-7</v>
      </c>
      <c r="T61" s="9">
        <f t="shared" si="40"/>
        <v>3.4060022237477342E-6</v>
      </c>
      <c r="U61" s="9">
        <f t="shared" si="41"/>
        <v>3.9303391914936207E-5</v>
      </c>
      <c r="V61" s="102">
        <f t="shared" si="42"/>
        <v>8.6659243841327949E-2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167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70"/>
      <c r="H62" s="170"/>
      <c r="I62" s="54">
        <f t="shared" si="24"/>
        <v>0.76837016932652724</v>
      </c>
      <c r="J62" s="54">
        <f t="shared" si="25"/>
        <v>1.9778014578217622</v>
      </c>
      <c r="K62" s="55">
        <f t="shared" si="26"/>
        <v>0.16681850432817752</v>
      </c>
      <c r="L62" s="55">
        <f t="shared" si="27"/>
        <v>1.6283661614556359E-2</v>
      </c>
      <c r="M62" s="55">
        <f t="shared" si="28"/>
        <v>0.98371633838544359</v>
      </c>
      <c r="N62" s="55">
        <f t="shared" si="29"/>
        <v>4.4075130925462398E-3</v>
      </c>
      <c r="O62" s="56">
        <f t="shared" si="30"/>
        <v>1.6785849986892195E-7</v>
      </c>
      <c r="P62" s="56">
        <f t="shared" si="31"/>
        <v>1.5949416356875188E-5</v>
      </c>
      <c r="Q62" s="56">
        <f t="shared" si="32"/>
        <v>4.317042633000804E-4</v>
      </c>
      <c r="R62" s="9">
        <f t="shared" si="38"/>
        <v>3.9999999999999996E-5</v>
      </c>
      <c r="S62" s="9">
        <f t="shared" si="39"/>
        <v>6.5134646458225426E-7</v>
      </c>
      <c r="T62" s="9">
        <f t="shared" si="40"/>
        <v>6.6727401731271003E-6</v>
      </c>
      <c r="U62" s="9">
        <f t="shared" si="41"/>
        <v>3.9348653535417742E-5</v>
      </c>
      <c r="V62" s="102">
        <f t="shared" si="42"/>
        <v>0.16957988580526559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70"/>
      <c r="H63" s="170"/>
      <c r="I63" s="54">
        <f t="shared" si="24"/>
        <v>0.7211484450377651</v>
      </c>
      <c r="J63" s="54">
        <f t="shared" si="25"/>
        <v>1.9187713764182222</v>
      </c>
      <c r="K63" s="55">
        <f t="shared" si="26"/>
        <v>0.18606114170370877</v>
      </c>
      <c r="L63" s="55">
        <f t="shared" si="27"/>
        <v>1.5853802584592163E-2</v>
      </c>
      <c r="M63" s="55">
        <f t="shared" si="28"/>
        <v>0.98414619741540788</v>
      </c>
      <c r="N63" s="55">
        <f t="shared" si="29"/>
        <v>4.076524619633164E-3</v>
      </c>
      <c r="O63" s="56">
        <f t="shared" si="30"/>
        <v>1.8722110149628071E-7</v>
      </c>
      <c r="P63" s="56">
        <f t="shared" si="31"/>
        <v>1.5528380793379272E-5</v>
      </c>
      <c r="Q63" s="56">
        <f t="shared" si="32"/>
        <v>3.9928481680963102E-4</v>
      </c>
      <c r="R63" s="9">
        <f t="shared" si="38"/>
        <v>3.9999999999999996E-5</v>
      </c>
      <c r="S63" s="9">
        <f t="shared" si="39"/>
        <v>6.3415210338368645E-7</v>
      </c>
      <c r="T63" s="9">
        <f t="shared" si="40"/>
        <v>7.4424456681483504E-6</v>
      </c>
      <c r="U63" s="9">
        <f t="shared" si="41"/>
        <v>3.9365847896616315E-5</v>
      </c>
      <c r="V63" s="102">
        <f t="shared" si="42"/>
        <v>0.18905843683829468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70"/>
      <c r="H64" s="170"/>
      <c r="I64" s="54">
        <f t="shared" si="24"/>
        <v>0.2338148544799136</v>
      </c>
      <c r="J64" s="54">
        <f t="shared" si="25"/>
        <v>1.1696356252833553</v>
      </c>
      <c r="K64" s="55">
        <f t="shared" si="26"/>
        <v>0.57559589893842089</v>
      </c>
      <c r="L64" s="55">
        <f t="shared" si="27"/>
        <v>8.7389590493079216E-3</v>
      </c>
      <c r="M64" s="55">
        <f t="shared" si="28"/>
        <v>0.99126104095069212</v>
      </c>
      <c r="N64" s="55">
        <f t="shared" si="29"/>
        <v>2.2327756075897188E-3</v>
      </c>
      <c r="O64" s="56">
        <f t="shared" si="30"/>
        <v>5.7918433279099337E-7</v>
      </c>
      <c r="P64" s="56">
        <f t="shared" si="31"/>
        <v>8.5595795161020717E-6</v>
      </c>
      <c r="Q64" s="56">
        <f t="shared" si="32"/>
        <v>2.1869447204116198E-4</v>
      </c>
      <c r="R64" s="9">
        <f t="shared" si="38"/>
        <v>3.9999999999999996E-5</v>
      </c>
      <c r="S64" s="9">
        <f t="shared" si="39"/>
        <v>3.4955836197231685E-7</v>
      </c>
      <c r="T64" s="9">
        <f t="shared" si="40"/>
        <v>2.3023835957536832E-5</v>
      </c>
      <c r="U64" s="9">
        <f t="shared" si="41"/>
        <v>3.9650441638027684E-5</v>
      </c>
      <c r="V64" s="102">
        <f t="shared" si="42"/>
        <v>0.58067035337773609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168</v>
      </c>
      <c r="C65" s="46" t="s">
        <v>169</v>
      </c>
      <c r="D65" s="47">
        <v>3.4409280000000009</v>
      </c>
      <c r="E65" s="47">
        <v>4.1160660000000009</v>
      </c>
      <c r="F65" s="98">
        <v>9.9999999999999995E-7</v>
      </c>
      <c r="G65" s="170"/>
      <c r="H65" s="170"/>
      <c r="I65" s="54">
        <f t="shared" si="24"/>
        <v>1.2834731216469764</v>
      </c>
      <c r="J65" s="54">
        <f t="shared" si="25"/>
        <v>2.5613647148029952</v>
      </c>
      <c r="K65" s="55">
        <f t="shared" si="26"/>
        <v>5.0808396873423624E-2</v>
      </c>
      <c r="L65" s="55">
        <f t="shared" si="27"/>
        <v>1.9011071485992039E-2</v>
      </c>
      <c r="M65" s="55">
        <f t="shared" si="28"/>
        <v>0.98098892851400799</v>
      </c>
      <c r="N65" s="55">
        <f t="shared" si="29"/>
        <v>6.8187988634197073E-3</v>
      </c>
      <c r="O65" s="56">
        <f t="shared" si="30"/>
        <v>5.1125151338964098E-8</v>
      </c>
      <c r="P65" s="56">
        <f t="shared" si="31"/>
        <v>1.8620842271086828E-5</v>
      </c>
      <c r="Q65" s="56">
        <f t="shared" si="32"/>
        <v>6.6788333423269293E-4</v>
      </c>
      <c r="R65" s="9">
        <f t="shared" si="38"/>
        <v>3.9999999999999996E-5</v>
      </c>
      <c r="S65" s="9">
        <f t="shared" si="39"/>
        <v>7.6044285943968146E-7</v>
      </c>
      <c r="T65" s="9">
        <f t="shared" si="40"/>
        <v>2.032335874936945E-6</v>
      </c>
      <c r="U65" s="9">
        <f t="shared" si="41"/>
        <v>3.9239557140560319E-5</v>
      </c>
      <c r="V65" s="102">
        <f t="shared" si="42"/>
        <v>5.1793038021731463E-2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170</v>
      </c>
      <c r="C66" s="46" t="s">
        <v>171</v>
      </c>
      <c r="D66" s="47"/>
      <c r="E66" s="47"/>
      <c r="F66" s="57"/>
      <c r="G66" s="170"/>
      <c r="H66" s="17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172</v>
      </c>
      <c r="C67" s="46" t="s">
        <v>173</v>
      </c>
      <c r="D67" s="47"/>
      <c r="E67" s="47"/>
      <c r="F67" s="57"/>
      <c r="G67" s="170"/>
      <c r="H67" s="17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70"/>
      <c r="H68" s="170"/>
      <c r="I68" s="54">
        <f t="shared" si="24"/>
        <v>0.33491051106253611</v>
      </c>
      <c r="J68" s="54">
        <f t="shared" si="25"/>
        <v>1.3503657480277556</v>
      </c>
      <c r="K68" s="55">
        <f t="shared" si="26"/>
        <v>0.45525937061243804</v>
      </c>
      <c r="L68" s="55">
        <f t="shared" si="27"/>
        <v>1.0479269988157182E-2</v>
      </c>
      <c r="M68" s="55">
        <f t="shared" si="28"/>
        <v>0.98952073001184282</v>
      </c>
      <c r="N68" s="55">
        <f t="shared" si="29"/>
        <v>1.4018362353424977E-3</v>
      </c>
      <c r="O68" s="56">
        <f t="shared" si="30"/>
        <v>4.5809759121168042E-7</v>
      </c>
      <c r="P68" s="56">
        <f t="shared" si="31"/>
        <v>1.0264168103801446E-5</v>
      </c>
      <c r="Q68" s="56">
        <f t="shared" si="32"/>
        <v>1.3730615577054969E-4</v>
      </c>
      <c r="R68" s="9">
        <f>F68*$C$14</f>
        <v>3.9999999999999996E-5</v>
      </c>
      <c r="S68" s="9">
        <f t="shared" si="39"/>
        <v>4.1917079952628725E-7</v>
      </c>
      <c r="T68" s="9">
        <f t="shared" si="40"/>
        <v>1.821037482449752E-5</v>
      </c>
      <c r="U68" s="9">
        <f t="shared" si="41"/>
        <v>3.958082920047371E-5</v>
      </c>
      <c r="V68" s="102">
        <f t="shared" si="42"/>
        <v>0.46008068027739996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174</v>
      </c>
      <c r="C69" s="46" t="s">
        <v>175</v>
      </c>
      <c r="D69" s="47">
        <v>4.3302640000000006</v>
      </c>
      <c r="E69" s="47">
        <v>5.074033</v>
      </c>
      <c r="F69" s="98">
        <v>9.9999999999999995E-7</v>
      </c>
      <c r="G69" s="170"/>
      <c r="H69" s="170"/>
      <c r="I69" s="54">
        <f t="shared" si="24"/>
        <v>2.1724337273682748</v>
      </c>
      <c r="J69" s="54">
        <f t="shared" si="25"/>
        <v>3.475694792810029</v>
      </c>
      <c r="K69" s="55">
        <f t="shared" si="26"/>
        <v>6.5535784729250845E-3</v>
      </c>
      <c r="L69" s="55">
        <f t="shared" si="27"/>
        <v>2.0131664533708502E-2</v>
      </c>
      <c r="M69" s="55">
        <f t="shared" si="28"/>
        <v>0.97986833546629148</v>
      </c>
      <c r="N69" s="55">
        <f t="shared" si="29"/>
        <v>7.9839515363084243E-3</v>
      </c>
      <c r="O69" s="56">
        <f t="shared" si="30"/>
        <v>6.594435405525033E-9</v>
      </c>
      <c r="P69" s="56">
        <f t="shared" si="31"/>
        <v>1.971843355661641E-5</v>
      </c>
      <c r="Q69" s="56">
        <f t="shared" si="32"/>
        <v>7.820069603501499E-4</v>
      </c>
      <c r="R69" s="9">
        <f>F69*$C$14</f>
        <v>3.9999999999999996E-5</v>
      </c>
      <c r="S69" s="9">
        <f t="shared" si="39"/>
        <v>8.0526658134834002E-7</v>
      </c>
      <c r="T69" s="9">
        <f t="shared" si="40"/>
        <v>2.6214313891700337E-7</v>
      </c>
      <c r="U69" s="9">
        <f t="shared" si="41"/>
        <v>3.9194733418651655E-5</v>
      </c>
      <c r="V69" s="102">
        <f t="shared" si="42"/>
        <v>6.6882235456730242E-3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176</v>
      </c>
      <c r="C70" s="46" t="s">
        <v>177</v>
      </c>
      <c r="D70" s="47">
        <v>1.4854320000000003</v>
      </c>
      <c r="E70" s="47">
        <v>1.5057189999999996</v>
      </c>
      <c r="F70" s="98">
        <v>9.9999999999999995E-7</v>
      </c>
      <c r="G70" s="170"/>
      <c r="H70" s="170"/>
      <c r="I70" s="54">
        <f t="shared" si="24"/>
        <v>6.2122287627494992E-2</v>
      </c>
      <c r="J70" s="54">
        <f t="shared" si="25"/>
        <v>0.58023834032426458</v>
      </c>
      <c r="K70" s="55">
        <f t="shared" si="26"/>
        <v>0.85933266352365989</v>
      </c>
      <c r="L70" s="55">
        <f t="shared" si="27"/>
        <v>3.3581960627135955E-3</v>
      </c>
      <c r="M70" s="55">
        <f t="shared" si="28"/>
        <v>0.99664180393728641</v>
      </c>
      <c r="N70" s="55">
        <f t="shared" si="29"/>
        <v>2.8286988101783561E-4</v>
      </c>
      <c r="O70" s="56">
        <f t="shared" si="30"/>
        <v>8.6468999568342121E-7</v>
      </c>
      <c r="P70" s="56">
        <f t="shared" si="31"/>
        <v>3.2892643239625143E-6</v>
      </c>
      <c r="Q70" s="56">
        <f t="shared" si="32"/>
        <v>2.7706357537792157E-5</v>
      </c>
      <c r="R70" s="9">
        <f t="shared" ref="R70:R86" si="43">F70*$C$14</f>
        <v>3.9999999999999996E-5</v>
      </c>
      <c r="S70" s="9">
        <f t="shared" si="39"/>
        <v>1.343278425085438E-7</v>
      </c>
      <c r="T70" s="9">
        <f t="shared" si="40"/>
        <v>3.4373306540946392E-5</v>
      </c>
      <c r="U70" s="9">
        <f t="shared" si="41"/>
        <v>3.9865672157491455E-5</v>
      </c>
      <c r="V70" s="102">
        <f t="shared" si="42"/>
        <v>0.86222819485277513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178</v>
      </c>
      <c r="C71" s="46" t="s">
        <v>179</v>
      </c>
      <c r="D71" s="47">
        <v>2.0758240000000003</v>
      </c>
      <c r="E71" s="47">
        <v>2.477398</v>
      </c>
      <c r="F71" s="98">
        <v>9.9999999999999995E-7</v>
      </c>
      <c r="G71" s="170"/>
      <c r="H71" s="17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1.1444407422837011</v>
      </c>
      <c r="K71" s="55">
        <f t="shared" ref="K71:K122" si="46">IF(D71=0,"",1/(1+10^D71*$J$15/$J$14+10^E71*$J$16/$J$14+10^J71*$J$19/$J$14))</f>
        <v>0.58701500035739596</v>
      </c>
      <c r="L71" s="55">
        <f t="shared" ref="L71:L122" si="47">IF(D71=0,"",1/(1+10^I71/10^J71*$J$13/$J$19))</f>
        <v>8.4100064613760375E-3</v>
      </c>
      <c r="M71" s="55">
        <f t="shared" si="19"/>
        <v>0.99158999353862398</v>
      </c>
      <c r="N71" s="55">
        <f t="shared" ref="N71:N122" si="48">IF(D71=0,"",1/(1/10^E71*$J$20/$J$22+10^D71/10^E71*$J$21/$J$22+10^I71/10^E71*$J$13/$J$22+1))</f>
        <v>1.8103126542390496E-3</v>
      </c>
      <c r="O71" s="56">
        <f t="shared" si="21"/>
        <v>5.9067462424133131E-7</v>
      </c>
      <c r="P71" s="56">
        <f t="shared" ref="P71:P122" si="49">IF(D71=0,"",O71*10^J71)</f>
        <v>8.2373791467510409E-6</v>
      </c>
      <c r="Q71" s="56">
        <f t="shared" ref="Q71:Q122" si="50">IF(D71=0,"",F71*N71*$J$7/$J$22)</f>
        <v>1.7731534185632894E-4</v>
      </c>
      <c r="R71" s="9">
        <f t="shared" si="43"/>
        <v>3.9999999999999996E-5</v>
      </c>
      <c r="S71" s="9">
        <f t="shared" si="39"/>
        <v>3.3640025845504146E-7</v>
      </c>
      <c r="T71" s="9">
        <f t="shared" si="40"/>
        <v>2.3480600014295836E-5</v>
      </c>
      <c r="U71" s="9">
        <f t="shared" si="41"/>
        <v>3.9663599741544956E-5</v>
      </c>
      <c r="V71" s="102">
        <f t="shared" si="42"/>
        <v>0.59199367095522304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180</v>
      </c>
      <c r="C72" s="46" t="s">
        <v>181</v>
      </c>
      <c r="D72" s="47">
        <v>2.3078000000000003</v>
      </c>
      <c r="E72" s="47">
        <v>2.5099249999999995</v>
      </c>
      <c r="F72" s="98">
        <v>9.9999999999999995E-7</v>
      </c>
      <c r="G72" s="170"/>
      <c r="H72" s="170"/>
      <c r="I72" s="54">
        <f t="shared" si="44"/>
        <v>0.32073739190116707</v>
      </c>
      <c r="J72" s="54">
        <f t="shared" si="45"/>
        <v>1.3276849779101709</v>
      </c>
      <c r="K72" s="55">
        <f t="shared" si="46"/>
        <v>0.47045740442580974</v>
      </c>
      <c r="L72" s="55">
        <f t="shared" si="47"/>
        <v>1.0278072435754076E-2</v>
      </c>
      <c r="M72" s="55">
        <f t="shared" si="19"/>
        <v>0.98972192756424593</v>
      </c>
      <c r="N72" s="55">
        <f t="shared" si="48"/>
        <v>1.5636937351196374E-3</v>
      </c>
      <c r="O72" s="56">
        <f t="shared" si="21"/>
        <v>4.7339037403061147E-7</v>
      </c>
      <c r="P72" s="56">
        <f t="shared" si="49"/>
        <v>1.0067100416617828E-5</v>
      </c>
      <c r="Q72" s="56">
        <f t="shared" si="50"/>
        <v>1.5315967026584439E-4</v>
      </c>
      <c r="R72" s="9">
        <f t="shared" si="43"/>
        <v>3.9999999999999996E-5</v>
      </c>
      <c r="S72" s="9">
        <f t="shared" si="39"/>
        <v>4.11122897430163E-7</v>
      </c>
      <c r="T72" s="9">
        <f t="shared" si="40"/>
        <v>1.8818296177032388E-5</v>
      </c>
      <c r="U72" s="9">
        <f t="shared" si="41"/>
        <v>3.9588877102569835E-5</v>
      </c>
      <c r="V72" s="102">
        <f t="shared" si="42"/>
        <v>0.47534301435922355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182</v>
      </c>
      <c r="C73" s="46" t="s">
        <v>183</v>
      </c>
      <c r="D73" s="47">
        <v>5.676184000000001</v>
      </c>
      <c r="E73" s="47">
        <v>7.0708080000000004</v>
      </c>
      <c r="F73" s="98">
        <v>9.9999999999999995E-7</v>
      </c>
      <c r="G73" s="170"/>
      <c r="H73" s="170"/>
      <c r="I73" s="54">
        <f t="shared" si="44"/>
        <v>3.8293839195374848</v>
      </c>
      <c r="J73" s="54">
        <f t="shared" si="45"/>
        <v>5.1978454460498824</v>
      </c>
      <c r="K73" s="55">
        <f t="shared" si="46"/>
        <v>1.4391775348746358E-4</v>
      </c>
      <c r="L73" s="55">
        <f t="shared" si="47"/>
        <v>2.3316652767924901E-2</v>
      </c>
      <c r="M73" s="55">
        <f t="shared" si="19"/>
        <v>0.97668334723207506</v>
      </c>
      <c r="N73" s="55">
        <f t="shared" si="48"/>
        <v>1.7403185894244406E-2</v>
      </c>
      <c r="O73" s="56">
        <f t="shared" si="21"/>
        <v>1.4481497902286622E-10</v>
      </c>
      <c r="P73" s="56">
        <f t="shared" si="49"/>
        <v>2.2838045388506583E-5</v>
      </c>
      <c r="Q73" s="56">
        <f t="shared" si="50"/>
        <v>1.704596081235648E-3</v>
      </c>
      <c r="R73" s="9">
        <f t="shared" si="43"/>
        <v>3.9999999999999996E-5</v>
      </c>
      <c r="S73" s="9">
        <f t="shared" si="39"/>
        <v>9.32666110716996E-7</v>
      </c>
      <c r="T73" s="9">
        <f t="shared" si="40"/>
        <v>5.7567101394985427E-9</v>
      </c>
      <c r="U73" s="9">
        <f t="shared" si="41"/>
        <v>3.9067333889283E-5</v>
      </c>
      <c r="V73" s="102">
        <f t="shared" si="42"/>
        <v>1.4735354492868865E-4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184</v>
      </c>
      <c r="C74" s="46" t="s">
        <v>185</v>
      </c>
      <c r="D74" s="47">
        <v>1.2599279999999999</v>
      </c>
      <c r="E74" s="47">
        <v>1.3925860000000003</v>
      </c>
      <c r="F74" s="98">
        <v>9.9999999999999995E-7</v>
      </c>
      <c r="G74" s="170"/>
      <c r="H74" s="170"/>
      <c r="I74" s="54">
        <f t="shared" si="44"/>
        <v>3.8037572032670899E-2</v>
      </c>
      <c r="J74" s="54">
        <f t="shared" si="45"/>
        <v>0.42916913204398671</v>
      </c>
      <c r="K74" s="55">
        <f t="shared" si="46"/>
        <v>0.90910897400173984</v>
      </c>
      <c r="L74" s="55">
        <f t="shared" si="47"/>
        <v>2.5089468707974972E-3</v>
      </c>
      <c r="M74" s="55">
        <f t="shared" si="19"/>
        <v>0.9974910531292025</v>
      </c>
      <c r="N74" s="55">
        <f t="shared" si="48"/>
        <v>2.3062603514060706E-4</v>
      </c>
      <c r="O74" s="56">
        <f t="shared" si="21"/>
        <v>9.1477662629739012E-7</v>
      </c>
      <c r="P74" s="56">
        <f t="shared" si="49"/>
        <v>2.4574471766139468E-6</v>
      </c>
      <c r="Q74" s="56">
        <f t="shared" si="50"/>
        <v>2.2589210856019643E-5</v>
      </c>
      <c r="R74" s="9">
        <f t="shared" si="43"/>
        <v>3.9999999999999996E-5</v>
      </c>
      <c r="S74" s="9">
        <f t="shared" si="39"/>
        <v>1.0035787483189988E-7</v>
      </c>
      <c r="T74" s="9">
        <f t="shared" si="40"/>
        <v>3.6364358960069588E-5</v>
      </c>
      <c r="U74" s="9">
        <f t="shared" si="41"/>
        <v>3.98996421251681E-5</v>
      </c>
      <c r="V74" s="102">
        <f t="shared" si="42"/>
        <v>0.91139561718353101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186</v>
      </c>
      <c r="C75" s="46" t="s">
        <v>187</v>
      </c>
      <c r="D75" s="47">
        <v>1.2889359999999999</v>
      </c>
      <c r="E75" s="47">
        <v>1.371977</v>
      </c>
      <c r="F75" s="98">
        <v>9.9999999999999995E-7</v>
      </c>
      <c r="G75" s="170"/>
      <c r="H75" s="170"/>
      <c r="I75" s="54">
        <f t="shared" si="44"/>
        <v>4.0258976380178252E-2</v>
      </c>
      <c r="J75" s="54">
        <f t="shared" si="45"/>
        <v>0.44418370932270096</v>
      </c>
      <c r="K75" s="55">
        <f t="shared" si="46"/>
        <v>0.90440294288658152</v>
      </c>
      <c r="L75" s="55">
        <f t="shared" si="47"/>
        <v>2.5837593673983779E-3</v>
      </c>
      <c r="M75" s="55">
        <f t="shared" si="19"/>
        <v>0.99741624063260159</v>
      </c>
      <c r="N75" s="55">
        <f t="shared" si="48"/>
        <v>2.1879901112510265E-4</v>
      </c>
      <c r="O75" s="56">
        <f t="shared" si="21"/>
        <v>9.1004125640237593E-7</v>
      </c>
      <c r="P75" s="56">
        <f t="shared" si="49"/>
        <v>2.5307240405791191E-6</v>
      </c>
      <c r="Q75" s="56">
        <f t="shared" si="50"/>
        <v>2.1430785099263449E-5</v>
      </c>
      <c r="R75" s="9">
        <f t="shared" si="43"/>
        <v>3.9999999999999996E-5</v>
      </c>
      <c r="S75" s="9">
        <f t="shared" si="39"/>
        <v>1.0335037469593511E-7</v>
      </c>
      <c r="T75" s="9">
        <f t="shared" si="40"/>
        <v>3.6176117715463259E-5</v>
      </c>
      <c r="U75" s="9">
        <f t="shared" si="41"/>
        <v>3.9896649625304063E-5</v>
      </c>
      <c r="V75" s="102">
        <f t="shared" si="42"/>
        <v>0.90674575572678939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188</v>
      </c>
      <c r="C76" s="46" t="s">
        <v>189</v>
      </c>
      <c r="D76" s="47">
        <v>3.3144320000000005</v>
      </c>
      <c r="E76" s="47">
        <v>3.8699789999999998</v>
      </c>
      <c r="F76" s="98">
        <v>9.9999999999999995E-7</v>
      </c>
      <c r="G76" s="170"/>
      <c r="H76" s="170"/>
      <c r="I76" s="54">
        <f t="shared" si="44"/>
        <v>1.137117589232139</v>
      </c>
      <c r="J76" s="54">
        <f t="shared" si="45"/>
        <v>2.3960547686651839</v>
      </c>
      <c r="K76" s="55">
        <f t="shared" si="46"/>
        <v>7.1226853772968945E-2</v>
      </c>
      <c r="L76" s="55">
        <f t="shared" si="47"/>
        <v>1.8213982619019003E-2</v>
      </c>
      <c r="M76" s="55">
        <f t="shared" si="19"/>
        <v>0.98178601738098104</v>
      </c>
      <c r="N76" s="55">
        <f t="shared" si="48"/>
        <v>5.4241182527787262E-3</v>
      </c>
      <c r="O76" s="56">
        <f t="shared" si="21"/>
        <v>7.1670902894518523E-8</v>
      </c>
      <c r="P76" s="56">
        <f t="shared" si="49"/>
        <v>1.7840114784007483E-5</v>
      </c>
      <c r="Q76" s="56">
        <f t="shared" si="50"/>
        <v>5.3127805299736457E-4</v>
      </c>
      <c r="R76" s="9">
        <f t="shared" si="43"/>
        <v>3.9999999999999996E-5</v>
      </c>
      <c r="S76" s="9">
        <f t="shared" si="39"/>
        <v>7.2855930476076007E-7</v>
      </c>
      <c r="T76" s="9">
        <f t="shared" si="40"/>
        <v>2.8490741509187576E-6</v>
      </c>
      <c r="U76" s="9">
        <f t="shared" si="41"/>
        <v>3.9271440695239237E-5</v>
      </c>
      <c r="V76" s="102">
        <f t="shared" si="42"/>
        <v>7.2548246269563077E-2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70"/>
      <c r="H77" s="170"/>
      <c r="I77" s="54">
        <f t="shared" si="44"/>
        <v>2.0958974367173925E-3</v>
      </c>
      <c r="J77" s="54">
        <f t="shared" si="45"/>
        <v>3.6103930695935905E-2</v>
      </c>
      <c r="K77" s="55">
        <f t="shared" si="46"/>
        <v>0.98893756328202675</v>
      </c>
      <c r="L77" s="55">
        <f t="shared" si="47"/>
        <v>1.1040257221129038E-3</v>
      </c>
      <c r="M77" s="55">
        <f t="shared" si="19"/>
        <v>0.99889597427788712</v>
      </c>
      <c r="N77" s="55">
        <f t="shared" si="48"/>
        <v>1.5426779114913716E-5</v>
      </c>
      <c r="O77" s="56">
        <f t="shared" si="21"/>
        <v>9.9510289044420219E-7</v>
      </c>
      <c r="P77" s="56">
        <f t="shared" si="49"/>
        <v>1.0813640277895338E-6</v>
      </c>
      <c r="Q77" s="56">
        <f t="shared" si="50"/>
        <v>1.5110122586271191E-6</v>
      </c>
      <c r="R77" s="9">
        <f t="shared" si="43"/>
        <v>3.9999999999999996E-5</v>
      </c>
      <c r="S77" s="9">
        <f t="shared" si="39"/>
        <v>4.416102888451615E-8</v>
      </c>
      <c r="T77" s="9">
        <f t="shared" si="40"/>
        <v>3.9557502531281068E-5</v>
      </c>
      <c r="U77" s="9">
        <f t="shared" si="41"/>
        <v>3.995583897111548E-5</v>
      </c>
      <c r="V77" s="102">
        <f t="shared" si="42"/>
        <v>0.99003058251079712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190</v>
      </c>
      <c r="C78" s="46" t="s">
        <v>191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0.71549530837913433</v>
      </c>
      <c r="K78" s="55">
        <f t="shared" si="46"/>
        <v>0.80928593067855903</v>
      </c>
      <c r="L78" s="55">
        <f t="shared" si="47"/>
        <v>4.3182092829578056E-3</v>
      </c>
      <c r="M78" s="55">
        <f t="shared" si="19"/>
        <v>0.99568179071704221</v>
      </c>
      <c r="N78" s="55">
        <f t="shared" si="48"/>
        <v>6.6025451286141684E-4</v>
      </c>
      <c r="O78" s="56">
        <f t="shared" si="21"/>
        <v>8.1433125680998814E-7</v>
      </c>
      <c r="P78" s="56">
        <f t="shared" si="49"/>
        <v>4.2295719108072293E-6</v>
      </c>
      <c r="Q78" s="56">
        <f t="shared" si="50"/>
        <v>6.467018522246195E-5</v>
      </c>
      <c r="R78" s="9">
        <f t="shared" si="43"/>
        <v>3.9999999999999996E-5</v>
      </c>
      <c r="S78" s="9">
        <f t="shared" si="39"/>
        <v>1.7272837131831221E-7</v>
      </c>
      <c r="T78" s="9">
        <f t="shared" si="40"/>
        <v>3.2371437227142355E-5</v>
      </c>
      <c r="U78" s="9">
        <f t="shared" si="41"/>
        <v>3.9827271628681682E-5</v>
      </c>
      <c r="V78" s="102">
        <f t="shared" si="42"/>
        <v>0.81279575284363703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192</v>
      </c>
      <c r="C79" s="46" t="s">
        <v>193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1.6323878148666418</v>
      </c>
      <c r="K79" s="55">
        <f t="shared" si="46"/>
        <v>0.30561886627328855</v>
      </c>
      <c r="L79" s="55">
        <f t="shared" si="47"/>
        <v>1.3467108626797607E-2</v>
      </c>
      <c r="M79" s="55">
        <f t="shared" si="19"/>
        <v>0.98653289137320244</v>
      </c>
      <c r="N79" s="55">
        <f t="shared" si="48"/>
        <v>2.8894590791880875E-3</v>
      </c>
      <c r="O79" s="56">
        <f t="shared" si="21"/>
        <v>3.075241840278843E-7</v>
      </c>
      <c r="P79" s="56">
        <f t="shared" si="49"/>
        <v>1.3190677115278078E-5</v>
      </c>
      <c r="Q79" s="56">
        <f t="shared" si="50"/>
        <v>2.8301488320616613E-4</v>
      </c>
      <c r="R79" s="9">
        <f t="shared" si="43"/>
        <v>3.9999999999999996E-5</v>
      </c>
      <c r="S79" s="9">
        <f t="shared" si="39"/>
        <v>5.3868434507190419E-7</v>
      </c>
      <c r="T79" s="9">
        <f t="shared" si="40"/>
        <v>1.2224754650931541E-5</v>
      </c>
      <c r="U79" s="9">
        <f t="shared" si="41"/>
        <v>3.9461315654928093E-5</v>
      </c>
      <c r="V79" s="102">
        <f t="shared" si="42"/>
        <v>0.30979085334689954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194</v>
      </c>
      <c r="C80" s="46" t="s">
        <v>195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4.3070548137368689</v>
      </c>
      <c r="K80" s="55">
        <f t="shared" si="46"/>
        <v>1.0245982825090479E-3</v>
      </c>
      <c r="L80" s="55">
        <f t="shared" si="47"/>
        <v>2.1345917436055958E-2</v>
      </c>
      <c r="M80" s="55">
        <f t="shared" si="19"/>
        <v>0.97865408256394404</v>
      </c>
      <c r="N80" s="55">
        <f t="shared" si="48"/>
        <v>1.1417105430790735E-2</v>
      </c>
      <c r="O80" s="56">
        <f t="shared" si="21"/>
        <v>1.0309859290663358E-9</v>
      </c>
      <c r="P80" s="56">
        <f t="shared" si="49"/>
        <v>2.0907762195377303E-5</v>
      </c>
      <c r="Q80" s="56">
        <f t="shared" si="50"/>
        <v>1.1182753143386499E-3</v>
      </c>
      <c r="R80" s="9">
        <f t="shared" si="43"/>
        <v>3.9999999999999996E-5</v>
      </c>
      <c r="S80" s="9">
        <f t="shared" si="39"/>
        <v>8.5383669744223824E-7</v>
      </c>
      <c r="T80" s="9">
        <f t="shared" si="40"/>
        <v>4.0983931300361913E-8</v>
      </c>
      <c r="U80" s="9">
        <f t="shared" si="41"/>
        <v>3.9146163302557757E-5</v>
      </c>
      <c r="V80" s="102">
        <f t="shared" si="42"/>
        <v>1.0469463120459644E-3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196</v>
      </c>
      <c r="C81" s="46" t="s">
        <v>197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1.8320197616226608</v>
      </c>
      <c r="K81" s="55">
        <f t="shared" si="46"/>
        <v>0.22234029978451947</v>
      </c>
      <c r="L81" s="55">
        <f t="shared" si="47"/>
        <v>1.5514734089352012E-2</v>
      </c>
      <c r="M81" s="55">
        <f t="shared" si="19"/>
        <v>0.984485265910648</v>
      </c>
      <c r="N81" s="55">
        <f t="shared" si="48"/>
        <v>4.895043718157817E-3</v>
      </c>
      <c r="O81" s="56">
        <f t="shared" si="21"/>
        <v>2.2372643450161764E-7</v>
      </c>
      <c r="P81" s="56">
        <f t="shared" si="49"/>
        <v>1.5196272160069802E-5</v>
      </c>
      <c r="Q81" s="56">
        <f t="shared" si="50"/>
        <v>4.7945660008197403E-4</v>
      </c>
      <c r="R81" s="9">
        <f t="shared" si="43"/>
        <v>3.9999999999999996E-5</v>
      </c>
      <c r="S81" s="9">
        <f t="shared" si="39"/>
        <v>6.2058936357408049E-7</v>
      </c>
      <c r="T81" s="9">
        <f t="shared" si="40"/>
        <v>8.8936119913807776E-6</v>
      </c>
      <c r="U81" s="9">
        <f t="shared" si="41"/>
        <v>3.9379410636425915E-5</v>
      </c>
      <c r="V81" s="102">
        <f t="shared" si="42"/>
        <v>0.22584421269002425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198</v>
      </c>
      <c r="C82" s="46" t="s">
        <v>199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2.6025949535148953</v>
      </c>
      <c r="K82" s="55">
        <f t="shared" si="46"/>
        <v>4.7389143049232176E-2</v>
      </c>
      <c r="L82" s="55">
        <f t="shared" si="47"/>
        <v>1.9497556917654025E-2</v>
      </c>
      <c r="M82" s="55">
        <f t="shared" si="19"/>
        <v>0.98050244308234602</v>
      </c>
      <c r="N82" s="55">
        <f t="shared" si="48"/>
        <v>8.1326717423861206E-3</v>
      </c>
      <c r="O82" s="56">
        <f t="shared" si="21"/>
        <v>4.7684580882399317E-8</v>
      </c>
      <c r="P82" s="56">
        <f t="shared" si="49"/>
        <v>1.9097341899044883E-5</v>
      </c>
      <c r="Q82" s="56">
        <f t="shared" si="50"/>
        <v>7.9657371163471997E-4</v>
      </c>
      <c r="R82" s="9">
        <f t="shared" si="43"/>
        <v>3.9999999999999996E-5</v>
      </c>
      <c r="S82" s="9">
        <f t="shared" si="39"/>
        <v>7.7990227670616093E-7</v>
      </c>
      <c r="T82" s="9">
        <f t="shared" si="40"/>
        <v>1.8955657219692869E-6</v>
      </c>
      <c r="U82" s="9">
        <f t="shared" si="41"/>
        <v>3.922009772329384E-5</v>
      </c>
      <c r="V82" s="102">
        <f t="shared" si="42"/>
        <v>4.8331489007062342E-2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200</v>
      </c>
      <c r="C83" s="46" t="s">
        <v>201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2.0064300527387009</v>
      </c>
      <c r="K83" s="55">
        <f t="shared" si="46"/>
        <v>0.16091727034880976</v>
      </c>
      <c r="L83" s="55">
        <f t="shared" si="47"/>
        <v>1.6777957800225497E-2</v>
      </c>
      <c r="M83" s="55">
        <f t="shared" si="19"/>
        <v>0.98322204219977449</v>
      </c>
      <c r="N83" s="55">
        <f t="shared" si="48"/>
        <v>5.6183015460619335E-3</v>
      </c>
      <c r="O83" s="56">
        <f t="shared" si="21"/>
        <v>1.6192047586408217E-7</v>
      </c>
      <c r="P83" s="56">
        <f t="shared" si="49"/>
        <v>1.6433566412032616E-5</v>
      </c>
      <c r="Q83" s="56">
        <f t="shared" si="50"/>
        <v>5.5029779356575428E-4</v>
      </c>
      <c r="R83" s="9">
        <f t="shared" si="43"/>
        <v>3.9999999999999996E-5</v>
      </c>
      <c r="S83" s="9">
        <f t="shared" si="39"/>
        <v>6.711183120090198E-7</v>
      </c>
      <c r="T83" s="9">
        <f t="shared" si="40"/>
        <v>6.4366908139523896E-6</v>
      </c>
      <c r="U83" s="9">
        <f t="shared" si="41"/>
        <v>3.9328881687990975E-5</v>
      </c>
      <c r="V83" s="102">
        <f t="shared" si="42"/>
        <v>0.16366320469055762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0.55351864127074724</v>
      </c>
      <c r="K84" s="55">
        <f t="shared" si="46"/>
        <v>0.87086725819434541</v>
      </c>
      <c r="L84" s="55">
        <f t="shared" si="47"/>
        <v>3.2001990507145445E-3</v>
      </c>
      <c r="M84" s="55">
        <f t="shared" si="19"/>
        <v>0.99679980094928544</v>
      </c>
      <c r="N84" s="55">
        <f t="shared" si="48"/>
        <v>3.8949990024381566E-4</v>
      </c>
      <c r="O84" s="56">
        <f t="shared" si="21"/>
        <v>8.7629650040431444E-7</v>
      </c>
      <c r="P84" s="56">
        <f t="shared" si="49"/>
        <v>3.134510424798802E-6</v>
      </c>
      <c r="Q84" s="56">
        <f t="shared" si="50"/>
        <v>3.8150486217403598E-5</v>
      </c>
      <c r="R84" s="9">
        <f t="shared" si="43"/>
        <v>3.9999999999999996E-5</v>
      </c>
      <c r="S84" s="9">
        <f t="shared" si="39"/>
        <v>1.2800796202858176E-7</v>
      </c>
      <c r="T84" s="9">
        <f t="shared" si="40"/>
        <v>3.4834690327773812E-5</v>
      </c>
      <c r="U84" s="9">
        <f t="shared" si="41"/>
        <v>3.9871992037971415E-5</v>
      </c>
      <c r="V84" s="102">
        <f t="shared" si="42"/>
        <v>0.8736631541910318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202</v>
      </c>
      <c r="C85" s="46" t="s">
        <v>203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0.61860589125383425</v>
      </c>
      <c r="J85" s="54">
        <f t="shared" si="45"/>
        <v>1.8023749945199008</v>
      </c>
      <c r="K85" s="55">
        <f t="shared" si="46"/>
        <v>0.23572978429460847</v>
      </c>
      <c r="L85" s="55">
        <f t="shared" si="47"/>
        <v>1.536370081397158E-2</v>
      </c>
      <c r="M85" s="55">
        <f t="shared" si="19"/>
        <v>0.98463629918602846</v>
      </c>
      <c r="N85" s="55">
        <f t="shared" si="48"/>
        <v>5.1178888160770975E-3</v>
      </c>
      <c r="O85" s="56">
        <f t="shared" si="21"/>
        <v>2.3719939298984498E-7</v>
      </c>
      <c r="P85" s="56">
        <f t="shared" si="49"/>
        <v>1.5048339056950556E-5</v>
      </c>
      <c r="Q85" s="56">
        <f t="shared" si="50"/>
        <v>5.0128368869345669E-4</v>
      </c>
      <c r="R85" s="9">
        <f t="shared" si="43"/>
        <v>3.9999999999999996E-5</v>
      </c>
      <c r="S85" s="9">
        <f t="shared" si="39"/>
        <v>6.145480325588632E-7</v>
      </c>
      <c r="T85" s="9">
        <f t="shared" si="40"/>
        <v>9.4291913717843377E-6</v>
      </c>
      <c r="U85" s="9">
        <f t="shared" si="41"/>
        <v>3.9385451967441137E-5</v>
      </c>
      <c r="V85" s="102">
        <f t="shared" si="42"/>
        <v>0.23940797682299519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1.2272811321709634</v>
      </c>
      <c r="K86" s="55">
        <f t="shared" si="46"/>
        <v>0.53945244560308003</v>
      </c>
      <c r="L86" s="55">
        <f t="shared" si="47"/>
        <v>9.3527793036710435E-3</v>
      </c>
      <c r="M86" s="55">
        <f t="shared" si="19"/>
        <v>0.99064722069632893</v>
      </c>
      <c r="N86" s="55">
        <f t="shared" si="48"/>
        <v>2.2620362183491337E-3</v>
      </c>
      <c r="O86" s="56">
        <f t="shared" si="21"/>
        <v>5.4281555055435796E-7</v>
      </c>
      <c r="P86" s="56">
        <f t="shared" si="49"/>
        <v>9.1608002388643809E-6</v>
      </c>
      <c r="Q86" s="56">
        <f t="shared" si="50"/>
        <v>2.2156047156206323E-4</v>
      </c>
      <c r="R86" s="9">
        <f t="shared" si="43"/>
        <v>3.9999999999999996E-5</v>
      </c>
      <c r="S86" s="9">
        <f t="shared" si="39"/>
        <v>3.7411117214684171E-7</v>
      </c>
      <c r="T86" s="9">
        <f t="shared" si="40"/>
        <v>2.1578097824123201E-5</v>
      </c>
      <c r="U86" s="9">
        <f t="shared" si="41"/>
        <v>3.9625888827853157E-5</v>
      </c>
      <c r="V86" s="102">
        <f t="shared" si="42"/>
        <v>0.54454545910288554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204</v>
      </c>
      <c r="C87" s="46" t="s">
        <v>205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206</v>
      </c>
      <c r="C88" s="46" t="s">
        <v>207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3.4732152339918136</v>
      </c>
      <c r="K88" s="55">
        <f t="shared" si="46"/>
        <v>7.109722994727662E-3</v>
      </c>
      <c r="L88" s="55">
        <f t="shared" si="47"/>
        <v>2.1715723451088981E-2</v>
      </c>
      <c r="M88" s="55">
        <f t="shared" si="19"/>
        <v>0.97828427654891104</v>
      </c>
      <c r="N88" s="55">
        <f t="shared" si="48"/>
        <v>1.2860180621424059E-2</v>
      </c>
      <c r="O88" s="56">
        <f t="shared" si="21"/>
        <v>7.1540470955833957E-9</v>
      </c>
      <c r="P88" s="56">
        <f t="shared" si="49"/>
        <v>2.1269977417275919E-5</v>
      </c>
      <c r="Q88" s="56">
        <f t="shared" si="50"/>
        <v>1.2596207168316196E-3</v>
      </c>
      <c r="R88" s="9">
        <f>F88*$C$14</f>
        <v>3.9999999999999996E-5</v>
      </c>
      <c r="S88" s="9">
        <f t="shared" si="39"/>
        <v>8.6862893804355917E-7</v>
      </c>
      <c r="T88" s="9">
        <f t="shared" si="40"/>
        <v>2.8438891978910645E-7</v>
      </c>
      <c r="U88" s="9">
        <f t="shared" si="41"/>
        <v>3.9131371061956438E-5</v>
      </c>
      <c r="V88" s="102">
        <f t="shared" si="42"/>
        <v>7.267542947545471E-3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208</v>
      </c>
      <c r="C89" s="46" t="s">
        <v>209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4.8822108795245622</v>
      </c>
      <c r="K89" s="55">
        <f t="shared" si="46"/>
        <v>2.9299885246684753E-4</v>
      </c>
      <c r="L89" s="55">
        <f t="shared" si="47"/>
        <v>2.2950026268186648E-2</v>
      </c>
      <c r="M89" s="55">
        <f t="shared" si="19"/>
        <v>0.97704997373181335</v>
      </c>
      <c r="N89" s="55">
        <f t="shared" si="48"/>
        <v>1.6288808121310477E-2</v>
      </c>
      <c r="O89" s="56">
        <f t="shared" si="21"/>
        <v>2.9482549334961968E-10</v>
      </c>
      <c r="P89" s="56">
        <f t="shared" si="49"/>
        <v>2.2478944417840261E-5</v>
      </c>
      <c r="Q89" s="56">
        <f t="shared" si="50"/>
        <v>1.5954457224276375E-3</v>
      </c>
      <c r="R89" s="9">
        <f>F89*$C$14</f>
        <v>3.9999999999999996E-5</v>
      </c>
      <c r="S89" s="9">
        <f t="shared" si="39"/>
        <v>9.1800105072746581E-7</v>
      </c>
      <c r="T89" s="9">
        <f t="shared" si="40"/>
        <v>1.1719954098673901E-8</v>
      </c>
      <c r="U89" s="9">
        <f t="shared" si="41"/>
        <v>3.9081998949272532E-5</v>
      </c>
      <c r="V89" s="102">
        <f t="shared" si="42"/>
        <v>2.9988113233118171E-4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210</v>
      </c>
      <c r="C90" s="46" t="s">
        <v>211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5.2380464528641673</v>
      </c>
      <c r="K90" s="55">
        <f t="shared" si="46"/>
        <v>1.3206303880229083E-4</v>
      </c>
      <c r="L90" s="55">
        <f t="shared" si="47"/>
        <v>2.3471136931064826E-2</v>
      </c>
      <c r="M90" s="55">
        <f t="shared" si="19"/>
        <v>0.97652886306893516</v>
      </c>
      <c r="N90" s="55">
        <f t="shared" si="48"/>
        <v>1.787535494781177E-2</v>
      </c>
      <c r="O90" s="56">
        <f t="shared" si="21"/>
        <v>1.3288635856531508E-10</v>
      </c>
      <c r="P90" s="56">
        <f t="shared" si="49"/>
        <v>2.2989358545017992E-5</v>
      </c>
      <c r="Q90" s="56">
        <f t="shared" si="50"/>
        <v>1.7508437926192204E-3</v>
      </c>
      <c r="R90" s="9">
        <f>F90*$C$14</f>
        <v>3.9999999999999996E-5</v>
      </c>
      <c r="S90" s="9">
        <f t="shared" si="39"/>
        <v>9.3884547724259291E-7</v>
      </c>
      <c r="T90" s="9">
        <f t="shared" si="40"/>
        <v>5.2825215520916326E-9</v>
      </c>
      <c r="U90" s="9">
        <f t="shared" si="41"/>
        <v>3.90611545227574E-5</v>
      </c>
      <c r="V90" s="102">
        <f t="shared" si="42"/>
        <v>1.3523720987340467E-4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5.6480480937018527</v>
      </c>
      <c r="K91" s="55">
        <f t="shared" si="46"/>
        <v>5.2430436890930969E-5</v>
      </c>
      <c r="L91" s="55">
        <f t="shared" si="47"/>
        <v>2.3951789063205928E-2</v>
      </c>
      <c r="M91" s="55">
        <f t="shared" si="19"/>
        <v>0.97604821093679406</v>
      </c>
      <c r="N91" s="55">
        <f t="shared" si="48"/>
        <v>1.9342244313693562E-2</v>
      </c>
      <c r="O91" s="56">
        <f t="shared" si="21"/>
        <v>5.2757303630238132E-11</v>
      </c>
      <c r="P91" s="56">
        <f t="shared" si="49"/>
        <v>2.3460144610204046E-5</v>
      </c>
      <c r="Q91" s="56">
        <f t="shared" si="50"/>
        <v>1.8945217306636159E-3</v>
      </c>
      <c r="R91" s="9">
        <f t="shared" ref="R91:R92" si="51">F91*$C$14</f>
        <v>3.9999999999999996E-5</v>
      </c>
      <c r="S91" s="9">
        <f t="shared" si="39"/>
        <v>9.5807156252823701E-7</v>
      </c>
      <c r="T91" s="9">
        <f t="shared" si="40"/>
        <v>2.0972174756372384E-9</v>
      </c>
      <c r="U91" s="9">
        <f t="shared" si="41"/>
        <v>3.9041928437471761E-5</v>
      </c>
      <c r="V91" s="102">
        <f t="shared" si="42"/>
        <v>5.3717056497249405E-5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6.8825918577396417</v>
      </c>
      <c r="K92" s="55">
        <f t="shared" si="46"/>
        <v>3.1540979226156692E-6</v>
      </c>
      <c r="L92" s="55">
        <f t="shared" si="47"/>
        <v>2.4727113261681723E-2</v>
      </c>
      <c r="M92" s="55">
        <f t="shared" si="19"/>
        <v>0.97527288673831825</v>
      </c>
      <c r="N92" s="55">
        <f t="shared" si="48"/>
        <v>2.17124864472629E-2</v>
      </c>
      <c r="O92" s="56">
        <f t="shared" si="21"/>
        <v>3.1737614952379144E-12</v>
      </c>
      <c r="P92" s="56">
        <f t="shared" si="49"/>
        <v>2.4219554179486493E-5</v>
      </c>
      <c r="Q92" s="56">
        <f t="shared" si="50"/>
        <v>2.1266806857545991E-3</v>
      </c>
      <c r="R92" s="9">
        <f t="shared" si="51"/>
        <v>3.9999999999999996E-5</v>
      </c>
      <c r="S92" s="9">
        <f t="shared" si="39"/>
        <v>9.8908453046726888E-7</v>
      </c>
      <c r="T92" s="9">
        <f t="shared" si="40"/>
        <v>1.2616391690462676E-10</v>
      </c>
      <c r="U92" s="9">
        <f t="shared" si="41"/>
        <v>3.9010915469532728E-5</v>
      </c>
      <c r="V92" s="102">
        <f t="shared" si="42"/>
        <v>3.2340670652335744E-6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212</v>
      </c>
      <c r="C93" s="46" t="s">
        <v>213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1.1804947002134922</v>
      </c>
      <c r="K93" s="55">
        <f t="shared" si="46"/>
        <v>0.55643281205385287</v>
      </c>
      <c r="L93" s="55">
        <f t="shared" si="47"/>
        <v>8.6619130526512846E-3</v>
      </c>
      <c r="M93" s="55">
        <f t="shared" ref="M93:M127" si="52">IF(D93=0,"",1-L93)</f>
        <v>0.99133808694734871</v>
      </c>
      <c r="N93" s="55">
        <f t="shared" si="48"/>
        <v>1.0165274713272998E-3</v>
      </c>
      <c r="O93" s="56">
        <f t="shared" ref="O93:O127" si="53">IF(D93=0,"",F93*K93*$J$7/$J$14)</f>
        <v>5.5990177759571776E-7</v>
      </c>
      <c r="P93" s="56">
        <f t="shared" si="49"/>
        <v>8.4841149978386464E-6</v>
      </c>
      <c r="Q93" s="56">
        <f t="shared" si="50"/>
        <v>9.9566180274265773E-5</v>
      </c>
      <c r="R93" s="9">
        <f>F93*$C$14</f>
        <v>3.9999999999999996E-5</v>
      </c>
      <c r="S93" s="9">
        <f t="shared" si="39"/>
        <v>3.4647652210605133E-7</v>
      </c>
      <c r="T93" s="9">
        <f t="shared" si="40"/>
        <v>2.2257312482154112E-5</v>
      </c>
      <c r="U93" s="9">
        <f t="shared" si="41"/>
        <v>3.9653523477893948E-5</v>
      </c>
      <c r="V93" s="102">
        <f t="shared" si="42"/>
        <v>0.56129469792418629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214</v>
      </c>
      <c r="C94" s="46" t="s">
        <v>215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216</v>
      </c>
      <c r="C95" s="46" t="s">
        <v>217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218</v>
      </c>
      <c r="C96" s="46" t="s">
        <v>219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220</v>
      </c>
      <c r="C97" s="46" t="s">
        <v>221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222</v>
      </c>
      <c r="C98" s="46" t="s">
        <v>223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224</v>
      </c>
      <c r="C99" s="46" t="s">
        <v>225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226</v>
      </c>
      <c r="C100" s="46" t="s">
        <v>227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228</v>
      </c>
      <c r="C101" s="46" t="s">
        <v>229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230</v>
      </c>
      <c r="C102" s="46" t="s">
        <v>231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232</v>
      </c>
      <c r="C103" s="46" t="s">
        <v>233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234</v>
      </c>
      <c r="C104" s="46" t="s">
        <v>235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236</v>
      </c>
      <c r="C105" s="46" t="s">
        <v>237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238</v>
      </c>
      <c r="C106" s="46" t="s">
        <v>239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240</v>
      </c>
      <c r="C107" s="46" t="s">
        <v>241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0.26095660478938421</v>
      </c>
      <c r="K107" s="55">
        <f t="shared" si="46"/>
        <v>0.95039650123519948</v>
      </c>
      <c r="L107" s="55">
        <f t="shared" si="47"/>
        <v>1.7806059555845689E-3</v>
      </c>
      <c r="M107" s="55">
        <f t="shared" si="52"/>
        <v>0.9982193940444154</v>
      </c>
      <c r="N107" s="55">
        <f t="shared" si="48"/>
        <v>1.1408359989474018E-4</v>
      </c>
      <c r="O107" s="56">
        <f t="shared" si="53"/>
        <v>9.5632155209933631E-7</v>
      </c>
      <c r="P107" s="56">
        <f t="shared" si="49"/>
        <v>1.7440564920461613E-6</v>
      </c>
      <c r="Q107" s="56">
        <f t="shared" si="50"/>
        <v>1.1174187214660724E-5</v>
      </c>
      <c r="R107" s="9">
        <f>F107*$C$14</f>
        <v>3.9999999999999996E-5</v>
      </c>
      <c r="S107" s="9">
        <f t="shared" ref="S107:S108" si="54">$R107*L107</f>
        <v>7.1224238223382751E-8</v>
      </c>
      <c r="T107" s="9">
        <f t="shared" ref="T107:T108" si="55">R107*K107</f>
        <v>3.8015860049407974E-5</v>
      </c>
      <c r="U107" s="9">
        <f t="shared" ref="U107:U108" si="56">$R107*M107</f>
        <v>3.9928775761776609E-5</v>
      </c>
      <c r="V107" s="102">
        <f t="shared" ref="V107:V108" si="57">K107/M107</f>
        <v>0.95209180156733353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242</v>
      </c>
      <c r="C108" s="46" t="s">
        <v>243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0.88901420040828383</v>
      </c>
      <c r="K108" s="55">
        <f t="shared" si="46"/>
        <v>0.72645455512066626</v>
      </c>
      <c r="L108" s="55">
        <f t="shared" si="47"/>
        <v>5.7800159876671663E-3</v>
      </c>
      <c r="M108" s="55">
        <f t="shared" si="52"/>
        <v>0.9942199840123328</v>
      </c>
      <c r="N108" s="55">
        <f t="shared" si="48"/>
        <v>8.959088760077421E-4</v>
      </c>
      <c r="O108" s="56">
        <f t="shared" si="53"/>
        <v>7.3098348613417456E-7</v>
      </c>
      <c r="P108" s="56">
        <f t="shared" si="49"/>
        <v>5.6613729589105334E-6</v>
      </c>
      <c r="Q108" s="56">
        <f t="shared" si="50"/>
        <v>8.7751907522409185E-5</v>
      </c>
      <c r="R108" s="9">
        <f>F108*$C$14</f>
        <v>3.9999999999999996E-5</v>
      </c>
      <c r="S108" s="9">
        <f t="shared" si="54"/>
        <v>2.3120063950668663E-7</v>
      </c>
      <c r="T108" s="9">
        <f t="shared" si="55"/>
        <v>2.9058182204826648E-5</v>
      </c>
      <c r="U108" s="9">
        <f t="shared" si="56"/>
        <v>3.9768799360493307E-5</v>
      </c>
      <c r="V108" s="102">
        <f t="shared" si="57"/>
        <v>0.73067788497767205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244</v>
      </c>
      <c r="C109" s="46" t="s">
        <v>245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246</v>
      </c>
      <c r="C110" s="46" t="s">
        <v>247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248</v>
      </c>
      <c r="C111" s="46" t="s">
        <v>249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250</v>
      </c>
      <c r="C112" s="46" t="s">
        <v>251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252</v>
      </c>
      <c r="C113" s="46" t="s">
        <v>253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254</v>
      </c>
      <c r="C114" s="46" t="s">
        <v>255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0.74385538428887032</v>
      </c>
      <c r="K114" s="55">
        <f t="shared" si="46"/>
        <v>0.79780918024734726</v>
      </c>
      <c r="L114" s="55">
        <f t="shared" si="47"/>
        <v>4.5442352019692371E-3</v>
      </c>
      <c r="M114" s="55">
        <f t="shared" si="52"/>
        <v>0.99545576479803077</v>
      </c>
      <c r="N114" s="55">
        <f t="shared" si="48"/>
        <v>7.6477629369559378E-4</v>
      </c>
      <c r="O114" s="56">
        <f t="shared" si="53"/>
        <v>8.0278295694654319E-7</v>
      </c>
      <c r="P114" s="56">
        <f t="shared" si="49"/>
        <v>4.450958327148387E-6</v>
      </c>
      <c r="Q114" s="56">
        <f t="shared" si="50"/>
        <v>7.4907817521306327E-5</v>
      </c>
      <c r="R114" s="9">
        <f>F114*$C$14</f>
        <v>3.9999999999999996E-5</v>
      </c>
      <c r="S114" s="9">
        <f t="shared" ref="S114:S116" si="58">$R114*L114</f>
        <v>1.8176940807876947E-7</v>
      </c>
      <c r="T114" s="9">
        <f t="shared" ref="T114:T116" si="59">R114*K114</f>
        <v>3.191236720989389E-5</v>
      </c>
      <c r="U114" s="9">
        <f t="shared" ref="U114:U116" si="60">$R114*M114</f>
        <v>3.9818230591921226E-5</v>
      </c>
      <c r="V114" s="102">
        <f t="shared" ref="V114:V116" si="61">K114/M114</f>
        <v>0.8014511628341574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256</v>
      </c>
      <c r="C115" s="46" t="s">
        <v>257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0.17110445915344102</v>
      </c>
      <c r="J115" s="54">
        <f t="shared" si="45"/>
        <v>0.98473247557463439</v>
      </c>
      <c r="K115" s="55">
        <f t="shared" si="46"/>
        <v>0.66643815095133396</v>
      </c>
      <c r="L115" s="55">
        <f t="shared" si="47"/>
        <v>6.6099582185408113E-3</v>
      </c>
      <c r="M115" s="55">
        <f t="shared" si="52"/>
        <v>0.99339004178145918</v>
      </c>
      <c r="N115" s="55">
        <f t="shared" si="48"/>
        <v>3.6514237729568677E-4</v>
      </c>
      <c r="O115" s="56">
        <f t="shared" si="53"/>
        <v>6.7059292207797016E-7</v>
      </c>
      <c r="P115" s="56">
        <f t="shared" si="49"/>
        <v>6.4742794479845035E-6</v>
      </c>
      <c r="Q115" s="56">
        <f t="shared" si="50"/>
        <v>3.5764731194254692E-5</v>
      </c>
      <c r="R115" s="9">
        <f>F115*$C$14</f>
        <v>3.9999999999999996E-5</v>
      </c>
      <c r="S115" s="9">
        <f t="shared" si="58"/>
        <v>2.6439832874163244E-7</v>
      </c>
      <c r="T115" s="9">
        <f t="shared" si="59"/>
        <v>2.6657526038053356E-5</v>
      </c>
      <c r="U115" s="9">
        <f t="shared" si="60"/>
        <v>3.9735601671258366E-5</v>
      </c>
      <c r="V115" s="102">
        <f t="shared" si="61"/>
        <v>0.67087259074613015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258</v>
      </c>
      <c r="C116" s="46" t="s">
        <v>259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9.2579382109452407E-2</v>
      </c>
      <c r="K116" s="55">
        <f t="shared" si="46"/>
        <v>0.98038468617674068</v>
      </c>
      <c r="L116" s="55">
        <f t="shared" si="47"/>
        <v>1.2464713161840061E-3</v>
      </c>
      <c r="M116" s="55">
        <f t="shared" si="52"/>
        <v>0.99875352868381595</v>
      </c>
      <c r="N116" s="55">
        <f t="shared" si="48"/>
        <v>1.3760616986579661E-5</v>
      </c>
      <c r="O116" s="56">
        <f t="shared" si="53"/>
        <v>9.8649669219156568E-7</v>
      </c>
      <c r="P116" s="56">
        <f t="shared" si="49"/>
        <v>1.2208857239424133E-6</v>
      </c>
      <c r="Q116" s="56">
        <f t="shared" si="50"/>
        <v>1.3478160799549848E-6</v>
      </c>
      <c r="R116" s="9">
        <f>F116*$C$14</f>
        <v>3.9999999999999996E-5</v>
      </c>
      <c r="S116" s="9">
        <f t="shared" si="58"/>
        <v>4.9858852647360239E-8</v>
      </c>
      <c r="T116" s="9">
        <f t="shared" si="59"/>
        <v>3.9215387447069622E-5</v>
      </c>
      <c r="U116" s="9">
        <f t="shared" si="60"/>
        <v>3.9950141147352638E-5</v>
      </c>
      <c r="V116" s="102">
        <f t="shared" si="61"/>
        <v>0.98160823268250952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260</v>
      </c>
      <c r="C117" s="46" t="s">
        <v>261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262</v>
      </c>
      <c r="C118" s="46" t="s">
        <v>263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264</v>
      </c>
      <c r="C119" s="46" t="s">
        <v>265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2.733342553277482</v>
      </c>
      <c r="K119" s="55">
        <f t="shared" si="46"/>
        <v>3.500963205286272E-2</v>
      </c>
      <c r="L119" s="55">
        <f t="shared" si="47"/>
        <v>1.9464196828579635E-2</v>
      </c>
      <c r="M119" s="55">
        <f t="shared" si="52"/>
        <v>0.98053580317142042</v>
      </c>
      <c r="N119" s="55">
        <f t="shared" si="48"/>
        <v>7.397192734009567E-3</v>
      </c>
      <c r="O119" s="56">
        <f t="shared" si="53"/>
        <v>3.5227892379345758E-8</v>
      </c>
      <c r="P119" s="56">
        <f t="shared" si="49"/>
        <v>1.9064666573129608E-5</v>
      </c>
      <c r="Q119" s="56">
        <f t="shared" si="50"/>
        <v>7.2453548581054056E-4</v>
      </c>
      <c r="R119" s="9">
        <f>F119*$C$14</f>
        <v>3.9999999999999996E-5</v>
      </c>
      <c r="S119" s="9">
        <f t="shared" ref="S119:S121" si="62">$R119*L119</f>
        <v>7.7856787314318528E-7</v>
      </c>
      <c r="T119" s="9">
        <f t="shared" ref="T119:T121" si="63">R119*K119</f>
        <v>1.4003852821145086E-6</v>
      </c>
      <c r="U119" s="9">
        <f t="shared" ref="U119:U121" si="64">$R119*M119</f>
        <v>3.9221432126856815E-5</v>
      </c>
      <c r="V119" s="102">
        <f t="shared" ref="V119:V121" si="65">K119/M119</f>
        <v>3.5704593284231381E-2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266</v>
      </c>
      <c r="C120" s="46" t="s">
        <v>267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1.0536489251052004</v>
      </c>
      <c r="K120" s="55">
        <f t="shared" si="46"/>
        <v>0.63448291331646156</v>
      </c>
      <c r="L120" s="55">
        <f t="shared" si="47"/>
        <v>7.375224490347187E-3</v>
      </c>
      <c r="M120" s="55">
        <f t="shared" si="52"/>
        <v>0.99262477550965278</v>
      </c>
      <c r="N120" s="55">
        <f t="shared" si="48"/>
        <v>1.0721667110477693E-3</v>
      </c>
      <c r="O120" s="56">
        <f t="shared" si="53"/>
        <v>6.3843846610831199E-7</v>
      </c>
      <c r="P120" s="56">
        <f t="shared" si="49"/>
        <v>7.2238375438124483E-6</v>
      </c>
      <c r="Q120" s="56">
        <f t="shared" si="50"/>
        <v>1.0501589681276519E-4</v>
      </c>
      <c r="R120" s="9">
        <f>F120*$C$14</f>
        <v>3.9999999999999996E-5</v>
      </c>
      <c r="S120" s="9">
        <f t="shared" si="62"/>
        <v>2.9500897961388744E-7</v>
      </c>
      <c r="T120" s="9">
        <f t="shared" si="63"/>
        <v>2.5379316532658461E-5</v>
      </c>
      <c r="U120" s="9">
        <f t="shared" si="64"/>
        <v>3.9704991020386107E-5</v>
      </c>
      <c r="V120" s="102">
        <f t="shared" si="65"/>
        <v>0.63919713568573078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268</v>
      </c>
      <c r="C121" s="46" t="s">
        <v>269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3.2754781567040245</v>
      </c>
      <c r="K121" s="55">
        <f t="shared" si="46"/>
        <v>9.885449890233244E-3</v>
      </c>
      <c r="L121" s="55">
        <f t="shared" si="47"/>
        <v>1.9150538198040665E-2</v>
      </c>
      <c r="M121" s="55">
        <f t="shared" si="52"/>
        <v>0.98084946180195931</v>
      </c>
      <c r="N121" s="55">
        <f t="shared" si="48"/>
        <v>5.1518335972073406E-3</v>
      </c>
      <c r="O121" s="56">
        <f t="shared" si="53"/>
        <v>9.9470786876229494E-9</v>
      </c>
      <c r="P121" s="56">
        <f t="shared" si="49"/>
        <v>1.8757446230997137E-5</v>
      </c>
      <c r="Q121" s="56">
        <f t="shared" si="50"/>
        <v>5.0460849032717082E-4</v>
      </c>
      <c r="R121" s="9">
        <f>F121*$C$14</f>
        <v>3.9999999999999996E-5</v>
      </c>
      <c r="S121" s="9">
        <f t="shared" si="62"/>
        <v>7.6602152792162659E-7</v>
      </c>
      <c r="T121" s="9">
        <f t="shared" si="63"/>
        <v>3.9541799560932973E-7</v>
      </c>
      <c r="U121" s="9">
        <f t="shared" si="64"/>
        <v>3.9233978472078367E-5</v>
      </c>
      <c r="V121" s="102">
        <f t="shared" si="65"/>
        <v>1.0078457780944563E-2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270</v>
      </c>
      <c r="C122" s="46" t="s">
        <v>271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272</v>
      </c>
      <c r="C123" s="46" t="s">
        <v>273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274</v>
      </c>
      <c r="C124" s="46" t="s">
        <v>275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1.8871961709462508</v>
      </c>
      <c r="K124" s="55">
        <f t="shared" si="68"/>
        <v>0.20399486205921916</v>
      </c>
      <c r="L124" s="55">
        <f t="shared" si="69"/>
        <v>1.6162993121063621E-2</v>
      </c>
      <c r="M124" s="55">
        <f t="shared" si="52"/>
        <v>0.98383700687893638</v>
      </c>
      <c r="N124" s="55">
        <f t="shared" si="70"/>
        <v>5.9403169424499958E-3</v>
      </c>
      <c r="O124" s="56">
        <f t="shared" si="53"/>
        <v>2.0526662593056397E-7</v>
      </c>
      <c r="P124" s="56">
        <f t="shared" si="71"/>
        <v>1.5831224755414236E-5</v>
      </c>
      <c r="Q124" s="56">
        <f t="shared" si="72"/>
        <v>5.8183835091635814E-4</v>
      </c>
      <c r="R124" s="9">
        <f>F124*$C$14</f>
        <v>3.9999999999999996E-5</v>
      </c>
      <c r="S124" s="9">
        <f t="shared" ref="S124:S127" si="73">$R124*L124</f>
        <v>6.4651972484254478E-7</v>
      </c>
      <c r="T124" s="9">
        <f t="shared" ref="T124:T127" si="74">R124*K124</f>
        <v>8.1597944823687663E-6</v>
      </c>
      <c r="U124" s="9">
        <f t="shared" ref="U124:U127" si="75">$R124*M124</f>
        <v>3.9353480275157454E-5</v>
      </c>
      <c r="V124" s="102">
        <f t="shared" ref="V124:V127" si="76">K124/M124</f>
        <v>0.20734619721854114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276</v>
      </c>
      <c r="C125" s="46" t="s">
        <v>277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278</v>
      </c>
      <c r="C126" s="46" t="s">
        <v>279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1.3721776759184094</v>
      </c>
      <c r="K126" s="55">
        <f t="shared" si="68"/>
        <v>0.44680365829129171</v>
      </c>
      <c r="L126" s="55">
        <f t="shared" si="69"/>
        <v>1.0814359041375945E-2</v>
      </c>
      <c r="M126" s="55">
        <f t="shared" si="52"/>
        <v>0.98918564095862405</v>
      </c>
      <c r="N126" s="55">
        <f t="shared" si="70"/>
        <v>1.9946977983777738E-3</v>
      </c>
      <c r="O126" s="56">
        <f t="shared" si="53"/>
        <v>4.4958916349697983E-7</v>
      </c>
      <c r="P126" s="56">
        <f t="shared" si="71"/>
        <v>1.0592378978783012E-5</v>
      </c>
      <c r="Q126" s="56">
        <f t="shared" si="72"/>
        <v>1.9537537960153775E-4</v>
      </c>
      <c r="R126" s="9">
        <f>F126*$C$14</f>
        <v>3.9999999999999996E-5</v>
      </c>
      <c r="S126" s="9">
        <f t="shared" si="73"/>
        <v>4.3257436165503779E-7</v>
      </c>
      <c r="T126" s="9">
        <f t="shared" si="74"/>
        <v>1.7872146331651668E-5</v>
      </c>
      <c r="U126" s="9">
        <f t="shared" si="75"/>
        <v>3.9567425638344959E-5</v>
      </c>
      <c r="V126" s="102">
        <f t="shared" si="76"/>
        <v>0.45168837859220479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280</v>
      </c>
      <c r="C127" s="46" t="s">
        <v>281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9.7513741218238463E-3</v>
      </c>
      <c r="K127" s="55">
        <f t="shared" si="68"/>
        <v>0.99253471704090657</v>
      </c>
      <c r="L127" s="55">
        <f t="shared" si="69"/>
        <v>1.0428058735442902E-3</v>
      </c>
      <c r="M127" s="55">
        <f t="shared" si="52"/>
        <v>0.99895719412645567</v>
      </c>
      <c r="N127" s="55">
        <f t="shared" si="70"/>
        <v>1.2117446041971207E-5</v>
      </c>
      <c r="O127" s="56">
        <f t="shared" si="53"/>
        <v>9.987224699158865E-7</v>
      </c>
      <c r="P127" s="56">
        <f t="shared" si="71"/>
        <v>1.0214008034706974E-6</v>
      </c>
      <c r="Q127" s="56">
        <f t="shared" si="72"/>
        <v>1.1868718269888554E-6</v>
      </c>
      <c r="R127" s="9">
        <f>F127*$C$14</f>
        <v>3.9999999999999996E-5</v>
      </c>
      <c r="S127" s="9">
        <f t="shared" si="73"/>
        <v>4.1712234941771609E-8</v>
      </c>
      <c r="T127" s="9">
        <f t="shared" si="74"/>
        <v>3.9701388681636259E-5</v>
      </c>
      <c r="U127" s="9">
        <f t="shared" si="75"/>
        <v>3.9958287765058221E-5</v>
      </c>
      <c r="V127" s="102">
        <f t="shared" si="76"/>
        <v>0.99357081852624796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282</v>
      </c>
      <c r="C128" s="46" t="s">
        <v>283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284</v>
      </c>
      <c r="C129" s="46" t="s">
        <v>285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286</v>
      </c>
      <c r="C130" s="46" t="s">
        <v>287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0.27218535628460888</v>
      </c>
      <c r="K130" s="55">
        <f t="shared" si="79"/>
        <v>0.94692431514745889</v>
      </c>
      <c r="L130" s="55">
        <f t="shared" si="80"/>
        <v>1.8205684523327091E-3</v>
      </c>
      <c r="M130" s="55">
        <f t="shared" si="81"/>
        <v>0.99817943154766731</v>
      </c>
      <c r="N130" s="55">
        <f t="shared" si="82"/>
        <v>5.8731846696999883E-5</v>
      </c>
      <c r="O130" s="56">
        <f t="shared" si="83"/>
        <v>9.5282771938394857E-7</v>
      </c>
      <c r="P130" s="56">
        <f t="shared" si="84"/>
        <v>1.7831987018502877E-6</v>
      </c>
      <c r="Q130" s="56">
        <f t="shared" si="85"/>
        <v>5.7526292215581411E-6</v>
      </c>
      <c r="R130" s="9">
        <f>F130*$C$14</f>
        <v>3.9999999999999996E-5</v>
      </c>
      <c r="S130" s="9">
        <f t="shared" ref="S130:S131" si="86">$R130*L130</f>
        <v>7.2822738093308361E-8</v>
      </c>
      <c r="T130" s="9">
        <f t="shared" ref="T130:T131" si="87">R130*K130</f>
        <v>3.7876972605898354E-5</v>
      </c>
      <c r="U130" s="9">
        <f t="shared" ref="U130:U131" si="88">$R130*M130</f>
        <v>3.992717726190669E-5</v>
      </c>
      <c r="V130" s="102">
        <f t="shared" ref="V130:V131" si="89">K130/M130</f>
        <v>0.94865139995848458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288</v>
      </c>
      <c r="C131" s="46" t="s">
        <v>289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-1.0997170132127058E-2</v>
      </c>
      <c r="K131" s="55">
        <f t="shared" si="79"/>
        <v>0.99516427409213037</v>
      </c>
      <c r="L131" s="55">
        <f t="shared" si="80"/>
        <v>9.967907393419542E-4</v>
      </c>
      <c r="M131" s="55">
        <f t="shared" si="81"/>
        <v>0.999003209260658</v>
      </c>
      <c r="N131" s="55">
        <f t="shared" si="82"/>
        <v>5.8337278464386235E-6</v>
      </c>
      <c r="O131" s="56">
        <f t="shared" si="83"/>
        <v>1.0013684203979137E-6</v>
      </c>
      <c r="P131" s="56">
        <f t="shared" si="84"/>
        <v>9.7633019518352433E-7</v>
      </c>
      <c r="Q131" s="56">
        <f t="shared" si="85"/>
        <v>5.713982305575033E-7</v>
      </c>
      <c r="R131" s="9">
        <f>F131*$C$14</f>
        <v>3.9999999999999996E-5</v>
      </c>
      <c r="S131" s="9">
        <f t="shared" si="86"/>
        <v>3.9871629573678162E-8</v>
      </c>
      <c r="T131" s="9">
        <f t="shared" si="87"/>
        <v>3.9806570963685211E-5</v>
      </c>
      <c r="U131" s="9">
        <f t="shared" si="88"/>
        <v>3.9960128370426319E-5</v>
      </c>
      <c r="V131" s="102">
        <f t="shared" si="89"/>
        <v>0.99615723439830717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290</v>
      </c>
      <c r="C132" s="46" t="s">
        <v>291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292</v>
      </c>
      <c r="C133" s="46" t="s">
        <v>293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294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2024-10-28T22:56:12Z</dcterms:modified>
</cp:coreProperties>
</file>