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MU PHD\MassBalance project\Paper writing\R1\Sens_R\Fischer\384well_1um\"/>
    </mc:Choice>
  </mc:AlternateContent>
  <xr:revisionPtr revIDLastSave="0" documentId="13_ncr:1_{8A580F1D-EF10-4CFC-B4C1-A2B8136BBEB8}" xr6:coauthVersionLast="47" xr6:coauthVersionMax="47" xr10:uidLastSave="{00000000-0000-0000-0000-000000000000}"/>
  <bookViews>
    <workbookView xWindow="-98" yWindow="-98" windowWidth="21795" windowHeight="13875" activeTab="1" xr2:uid="{00000000-000D-0000-FFFF-FFFF00000000}"/>
  </bookViews>
  <sheets>
    <sheet name="Model structure" sheetId="1" r:id="rId1"/>
    <sheet name="User input and model output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43" i="4" l="1"/>
  <c r="U143" i="4"/>
  <c r="T143" i="4"/>
  <c r="S143" i="4"/>
  <c r="R143" i="4"/>
  <c r="V142" i="4"/>
  <c r="R142" i="4"/>
  <c r="S142" i="4" s="1"/>
  <c r="V141" i="4"/>
  <c r="R141" i="4"/>
  <c r="U141" i="4" s="1"/>
  <c r="V140" i="4"/>
  <c r="R140" i="4"/>
  <c r="U140" i="4" s="1"/>
  <c r="V139" i="4"/>
  <c r="S139" i="4"/>
  <c r="R139" i="4"/>
  <c r="V138" i="4"/>
  <c r="U138" i="4"/>
  <c r="T138" i="4"/>
  <c r="S138" i="4"/>
  <c r="R138" i="4"/>
  <c r="V137" i="4"/>
  <c r="R137" i="4"/>
  <c r="U137" i="4" s="1"/>
  <c r="V136" i="4"/>
  <c r="U136" i="4"/>
  <c r="T136" i="4"/>
  <c r="S136" i="4"/>
  <c r="R136" i="4"/>
  <c r="V135" i="4"/>
  <c r="R135" i="4"/>
  <c r="U135" i="4" s="1"/>
  <c r="V134" i="4"/>
  <c r="R134" i="4"/>
  <c r="U134" i="4" s="1"/>
  <c r="V133" i="4"/>
  <c r="U133" i="4"/>
  <c r="T133" i="4"/>
  <c r="S133" i="4"/>
  <c r="R133" i="4"/>
  <c r="V132" i="4"/>
  <c r="R132" i="4"/>
  <c r="V131" i="4"/>
  <c r="U131" i="4"/>
  <c r="T131" i="4"/>
  <c r="S131" i="4"/>
  <c r="R131" i="4"/>
  <c r="V130" i="4"/>
  <c r="R130" i="4"/>
  <c r="S130" i="4" s="1"/>
  <c r="V129" i="4"/>
  <c r="U129" i="4"/>
  <c r="T129" i="4"/>
  <c r="R129" i="4"/>
  <c r="S129" i="4" s="1"/>
  <c r="V128" i="4"/>
  <c r="R128" i="4"/>
  <c r="U128" i="4" s="1"/>
  <c r="V127" i="4"/>
  <c r="R127" i="4"/>
  <c r="V126" i="4"/>
  <c r="U126" i="4"/>
  <c r="T126" i="4"/>
  <c r="S126" i="4"/>
  <c r="R126" i="4"/>
  <c r="V125" i="4"/>
  <c r="R125" i="4"/>
  <c r="U125" i="4" s="1"/>
  <c r="V124" i="4"/>
  <c r="R124" i="4"/>
  <c r="U124" i="4" s="1"/>
  <c r="V123" i="4"/>
  <c r="R123" i="4"/>
  <c r="U123" i="4" s="1"/>
  <c r="V122" i="4"/>
  <c r="T122" i="4"/>
  <c r="S122" i="4"/>
  <c r="R122" i="4"/>
  <c r="U122" i="4" s="1"/>
  <c r="V121" i="4"/>
  <c r="U121" i="4"/>
  <c r="T121" i="4"/>
  <c r="R121" i="4"/>
  <c r="S121" i="4" s="1"/>
  <c r="V120" i="4"/>
  <c r="R120" i="4"/>
  <c r="V119" i="4"/>
  <c r="U119" i="4"/>
  <c r="T119" i="4"/>
  <c r="S119" i="4"/>
  <c r="R119" i="4"/>
  <c r="V118" i="4"/>
  <c r="R118" i="4"/>
  <c r="T118" i="4" s="1"/>
  <c r="V117" i="4"/>
  <c r="R117" i="4"/>
  <c r="U117" i="4" s="1"/>
  <c r="V116" i="4"/>
  <c r="R116" i="4"/>
  <c r="U116" i="4" s="1"/>
  <c r="V115" i="4"/>
  <c r="R115" i="4"/>
  <c r="V114" i="4"/>
  <c r="U114" i="4"/>
  <c r="T114" i="4"/>
  <c r="S114" i="4"/>
  <c r="R114" i="4"/>
  <c r="V113" i="4"/>
  <c r="R113" i="4"/>
  <c r="U113" i="4" s="1"/>
  <c r="V112" i="4"/>
  <c r="R112" i="4"/>
  <c r="V111" i="4"/>
  <c r="R111" i="4"/>
  <c r="U111" i="4" s="1"/>
  <c r="V110" i="4"/>
  <c r="R110" i="4"/>
  <c r="U110" i="4" s="1"/>
  <c r="V109" i="4"/>
  <c r="U109" i="4"/>
  <c r="T109" i="4"/>
  <c r="R109" i="4"/>
  <c r="S109" i="4" s="1"/>
  <c r="V108" i="4"/>
  <c r="R108" i="4"/>
  <c r="R107" i="4"/>
  <c r="V106" i="4"/>
  <c r="U106" i="4"/>
  <c r="T106" i="4"/>
  <c r="S106" i="4"/>
  <c r="R106" i="4"/>
  <c r="V105" i="4"/>
  <c r="R105" i="4"/>
  <c r="U105" i="4" s="1"/>
  <c r="V104" i="4"/>
  <c r="U104" i="4"/>
  <c r="T104" i="4"/>
  <c r="S104" i="4"/>
  <c r="R104" i="4"/>
  <c r="V103" i="4"/>
  <c r="R103" i="4"/>
  <c r="U103" i="4" s="1"/>
  <c r="V102" i="4"/>
  <c r="R102" i="4"/>
  <c r="U102" i="4" s="1"/>
  <c r="V101" i="4"/>
  <c r="U101" i="4"/>
  <c r="T101" i="4"/>
  <c r="R101" i="4"/>
  <c r="S101" i="4" s="1"/>
  <c r="R100" i="4"/>
  <c r="V99" i="4"/>
  <c r="R99" i="4"/>
  <c r="V98" i="4"/>
  <c r="U98" i="4"/>
  <c r="T98" i="4"/>
  <c r="S98" i="4"/>
  <c r="R98" i="4"/>
  <c r="R97" i="4"/>
  <c r="V96" i="4"/>
  <c r="R96" i="4"/>
  <c r="V95" i="4"/>
  <c r="U95" i="4"/>
  <c r="T95" i="4"/>
  <c r="S95" i="4"/>
  <c r="R95" i="4"/>
  <c r="V94" i="4"/>
  <c r="R94" i="4"/>
  <c r="S94" i="4" s="1"/>
  <c r="V93" i="4"/>
  <c r="R93" i="4"/>
  <c r="U93" i="4" s="1"/>
  <c r="V92" i="4"/>
  <c r="R92" i="4"/>
  <c r="U92" i="4" s="1"/>
  <c r="V91" i="4"/>
  <c r="R91" i="4"/>
  <c r="V90" i="4"/>
  <c r="U90" i="4"/>
  <c r="T90" i="4"/>
  <c r="S90" i="4"/>
  <c r="R90" i="4"/>
  <c r="V89" i="4"/>
  <c r="R89" i="4"/>
  <c r="U89" i="4" s="1"/>
  <c r="V88" i="4"/>
  <c r="R88" i="4"/>
  <c r="U88" i="4" s="1"/>
  <c r="V87" i="4"/>
  <c r="R87" i="4"/>
  <c r="U87" i="4" s="1"/>
  <c r="V86" i="4"/>
  <c r="R86" i="4"/>
  <c r="U86" i="4" s="1"/>
  <c r="V85" i="4"/>
  <c r="U85" i="4"/>
  <c r="T85" i="4"/>
  <c r="S85" i="4"/>
  <c r="R85" i="4"/>
  <c r="V84" i="4"/>
  <c r="R84" i="4"/>
  <c r="V83" i="4"/>
  <c r="U83" i="4"/>
  <c r="T83" i="4"/>
  <c r="S83" i="4"/>
  <c r="R83" i="4"/>
  <c r="V82" i="4"/>
  <c r="R82" i="4"/>
  <c r="S82" i="4" s="1"/>
  <c r="V81" i="4"/>
  <c r="R81" i="4"/>
  <c r="U81" i="4" s="1"/>
  <c r="V80" i="4"/>
  <c r="R80" i="4"/>
  <c r="U80" i="4" s="1"/>
  <c r="V79" i="4"/>
  <c r="R79" i="4"/>
  <c r="V78" i="4"/>
  <c r="U78" i="4"/>
  <c r="T78" i="4"/>
  <c r="S78" i="4"/>
  <c r="R78" i="4"/>
  <c r="V77" i="4"/>
  <c r="R77" i="4"/>
  <c r="V76" i="4"/>
  <c r="R76" i="4"/>
  <c r="U76" i="4" s="1"/>
  <c r="V75" i="4"/>
  <c r="R75" i="4"/>
  <c r="U75" i="4" s="1"/>
  <c r="V74" i="4"/>
  <c r="R74" i="4"/>
  <c r="U74" i="4" s="1"/>
  <c r="V73" i="4"/>
  <c r="U73" i="4"/>
  <c r="T73" i="4"/>
  <c r="R73" i="4"/>
  <c r="S73" i="4" s="1"/>
  <c r="V72" i="4"/>
  <c r="S72" i="4"/>
  <c r="R72" i="4"/>
  <c r="V71" i="4"/>
  <c r="U71" i="4"/>
  <c r="T71" i="4"/>
  <c r="S71" i="4"/>
  <c r="R71" i="4"/>
  <c r="V70" i="4"/>
  <c r="R70" i="4"/>
  <c r="T70" i="4" s="1"/>
  <c r="V69" i="4"/>
  <c r="U69" i="4"/>
  <c r="T69" i="4"/>
  <c r="S69" i="4"/>
  <c r="R69" i="4"/>
  <c r="V68" i="4"/>
  <c r="R68" i="4"/>
  <c r="U68" i="4" s="1"/>
  <c r="V67" i="4"/>
  <c r="R67" i="4"/>
  <c r="U67" i="4" s="1"/>
  <c r="V66" i="4"/>
  <c r="U66" i="4"/>
  <c r="T66" i="4"/>
  <c r="S66" i="4"/>
  <c r="R66" i="4"/>
  <c r="V65" i="4"/>
  <c r="R65" i="4"/>
  <c r="V64" i="4"/>
  <c r="R64" i="4"/>
  <c r="U64" i="4" s="1"/>
  <c r="V63" i="4"/>
  <c r="R63" i="4"/>
  <c r="U63" i="4" s="1"/>
  <c r="V62" i="4"/>
  <c r="U62" i="4"/>
  <c r="T62" i="4"/>
  <c r="R62" i="4"/>
  <c r="S62" i="4" s="1"/>
  <c r="V61" i="4"/>
  <c r="U61" i="4"/>
  <c r="T61" i="4"/>
  <c r="S61" i="4"/>
  <c r="R61" i="4"/>
  <c r="V60" i="4"/>
  <c r="R60" i="4"/>
  <c r="V59" i="4"/>
  <c r="U59" i="4"/>
  <c r="T59" i="4"/>
  <c r="S59" i="4"/>
  <c r="R59" i="4"/>
  <c r="V58" i="4"/>
  <c r="R58" i="4"/>
  <c r="S58" i="4" s="1"/>
  <c r="V57" i="4"/>
  <c r="R57" i="4"/>
  <c r="U57" i="4" s="1"/>
  <c r="V56" i="4"/>
  <c r="R56" i="4"/>
  <c r="U56" i="4" s="1"/>
  <c r="V55" i="4"/>
  <c r="R55" i="4"/>
  <c r="U55" i="4" s="1"/>
  <c r="V54" i="4"/>
  <c r="U54" i="4"/>
  <c r="T54" i="4"/>
  <c r="S54" i="4"/>
  <c r="R54" i="4"/>
  <c r="V53" i="4"/>
  <c r="R53" i="4"/>
  <c r="V52" i="4"/>
  <c r="R52" i="4"/>
  <c r="U52" i="4" s="1"/>
  <c r="V51" i="4"/>
  <c r="R51" i="4"/>
  <c r="U51" i="4" s="1"/>
  <c r="V50" i="4"/>
  <c r="R50" i="4"/>
  <c r="U50" i="4" s="1"/>
  <c r="V49" i="4"/>
  <c r="U49" i="4"/>
  <c r="T49" i="4"/>
  <c r="R49" i="4"/>
  <c r="S49" i="4" s="1"/>
  <c r="V48" i="4"/>
  <c r="R48" i="4"/>
  <c r="V47" i="4"/>
  <c r="U47" i="4"/>
  <c r="T47" i="4"/>
  <c r="S47" i="4"/>
  <c r="R47" i="4"/>
  <c r="V46" i="4"/>
  <c r="R46" i="4"/>
  <c r="T46" i="4" s="1"/>
  <c r="V45" i="4"/>
  <c r="R45" i="4"/>
  <c r="U45" i="4" s="1"/>
  <c r="V44" i="4"/>
  <c r="R44" i="4"/>
  <c r="U44" i="4" s="1"/>
  <c r="V43" i="4"/>
  <c r="R43" i="4"/>
  <c r="V42" i="4"/>
  <c r="U42" i="4"/>
  <c r="T42" i="4"/>
  <c r="S42" i="4"/>
  <c r="R42" i="4"/>
  <c r="V41" i="4"/>
  <c r="R41" i="4"/>
  <c r="V40" i="4"/>
  <c r="R40" i="4"/>
  <c r="V39" i="4"/>
  <c r="R39" i="4"/>
  <c r="U39" i="4" s="1"/>
  <c r="V38" i="4"/>
  <c r="R38" i="4"/>
  <c r="U38" i="4" s="1"/>
  <c r="V37" i="4"/>
  <c r="U37" i="4"/>
  <c r="T37" i="4"/>
  <c r="S37" i="4"/>
  <c r="R37" i="4"/>
  <c r="V36" i="4"/>
  <c r="R36" i="4"/>
  <c r="V35" i="4"/>
  <c r="U35" i="4"/>
  <c r="T35" i="4"/>
  <c r="S35" i="4"/>
  <c r="R35" i="4"/>
  <c r="V34" i="4"/>
  <c r="R34" i="4"/>
  <c r="S34" i="4" s="1"/>
  <c r="V33" i="4"/>
  <c r="U33" i="4"/>
  <c r="R33" i="4"/>
  <c r="T33" i="4" s="1"/>
  <c r="V32" i="4"/>
  <c r="R32" i="4"/>
  <c r="U32" i="4" s="1"/>
  <c r="V31" i="4"/>
  <c r="R31" i="4"/>
  <c r="U31" i="4" s="1"/>
  <c r="V30" i="4"/>
  <c r="U30" i="4"/>
  <c r="T30" i="4"/>
  <c r="S30" i="4"/>
  <c r="R30" i="4"/>
  <c r="V29" i="4"/>
  <c r="R29" i="4"/>
  <c r="V28" i="4"/>
  <c r="R28" i="4"/>
  <c r="U28" i="4" s="1"/>
  <c r="I135" i="4"/>
  <c r="J135" i="4"/>
  <c r="K135" i="4"/>
  <c r="L135" i="4"/>
  <c r="M135" i="4" s="1"/>
  <c r="N135" i="4"/>
  <c r="O135" i="4"/>
  <c r="P135" i="4"/>
  <c r="Q135" i="4"/>
  <c r="I136" i="4"/>
  <c r="L136" i="4" s="1"/>
  <c r="M136" i="4" s="1"/>
  <c r="J136" i="4"/>
  <c r="K136" i="4"/>
  <c r="O136" i="4" s="1"/>
  <c r="P136" i="4" s="1"/>
  <c r="I137" i="4"/>
  <c r="J137" i="4"/>
  <c r="K137" i="4"/>
  <c r="O137" i="4" s="1"/>
  <c r="P137" i="4" s="1"/>
  <c r="L137" i="4"/>
  <c r="M137" i="4"/>
  <c r="N137" i="4"/>
  <c r="Q137" i="4" s="1"/>
  <c r="I138" i="4"/>
  <c r="J138" i="4"/>
  <c r="K138" i="4"/>
  <c r="L138" i="4"/>
  <c r="M138" i="4"/>
  <c r="N138" i="4"/>
  <c r="O138" i="4"/>
  <c r="P138" i="4"/>
  <c r="Q138" i="4"/>
  <c r="I139" i="4"/>
  <c r="J139" i="4"/>
  <c r="K139" i="4"/>
  <c r="L139" i="4"/>
  <c r="M139" i="4" s="1"/>
  <c r="N139" i="4"/>
  <c r="O139" i="4"/>
  <c r="P139" i="4"/>
  <c r="Q139" i="4"/>
  <c r="I140" i="4"/>
  <c r="L140" i="4" s="1"/>
  <c r="M140" i="4" s="1"/>
  <c r="J140" i="4"/>
  <c r="K140" i="4"/>
  <c r="O140" i="4" s="1"/>
  <c r="P140" i="4" s="1"/>
  <c r="I141" i="4"/>
  <c r="J141" i="4"/>
  <c r="K141" i="4"/>
  <c r="O141" i="4" s="1"/>
  <c r="P141" i="4" s="1"/>
  <c r="L141" i="4"/>
  <c r="M141" i="4"/>
  <c r="N141" i="4"/>
  <c r="Q141" i="4" s="1"/>
  <c r="I142" i="4"/>
  <c r="J142" i="4"/>
  <c r="K142" i="4"/>
  <c r="L142" i="4"/>
  <c r="M142" i="4"/>
  <c r="N142" i="4"/>
  <c r="O142" i="4"/>
  <c r="P142" i="4"/>
  <c r="Q142" i="4"/>
  <c r="I143" i="4"/>
  <c r="J143" i="4"/>
  <c r="K143" i="4"/>
  <c r="L143" i="4"/>
  <c r="M143" i="4" s="1"/>
  <c r="N143" i="4"/>
  <c r="O143" i="4"/>
  <c r="P143" i="4"/>
  <c r="Q143" i="4"/>
  <c r="U112" i="4" l="1"/>
  <c r="T112" i="4"/>
  <c r="S112" i="4"/>
  <c r="U43" i="4"/>
  <c r="T43" i="4"/>
  <c r="S43" i="4"/>
  <c r="U108" i="4"/>
  <c r="T108" i="4"/>
  <c r="S108" i="4"/>
  <c r="U40" i="4"/>
  <c r="T40" i="4"/>
  <c r="S40" i="4"/>
  <c r="U115" i="4"/>
  <c r="T115" i="4"/>
  <c r="S115" i="4"/>
  <c r="T53" i="4"/>
  <c r="S53" i="4"/>
  <c r="U53" i="4"/>
  <c r="U79" i="4"/>
  <c r="T79" i="4"/>
  <c r="U96" i="4"/>
  <c r="T96" i="4"/>
  <c r="S96" i="4"/>
  <c r="S50" i="4"/>
  <c r="U60" i="4"/>
  <c r="T60" i="4"/>
  <c r="S76" i="4"/>
  <c r="S79" i="4"/>
  <c r="S93" i="4"/>
  <c r="T50" i="4"/>
  <c r="S57" i="4"/>
  <c r="S60" i="4"/>
  <c r="T76" i="4"/>
  <c r="S86" i="4"/>
  <c r="T93" i="4"/>
  <c r="S28" i="4"/>
  <c r="S31" i="4"/>
  <c r="T57" i="4"/>
  <c r="T86" i="4"/>
  <c r="T28" i="4"/>
  <c r="T31" i="4"/>
  <c r="U41" i="4"/>
  <c r="T41" i="4"/>
  <c r="S41" i="4"/>
  <c r="U120" i="4"/>
  <c r="T120" i="4"/>
  <c r="S120" i="4"/>
  <c r="U127" i="4"/>
  <c r="T127" i="4"/>
  <c r="S141" i="4"/>
  <c r="S38" i="4"/>
  <c r="U48" i="4"/>
  <c r="T48" i="4"/>
  <c r="S64" i="4"/>
  <c r="S67" i="4"/>
  <c r="T77" i="4"/>
  <c r="S77" i="4"/>
  <c r="U77" i="4"/>
  <c r="U84" i="4"/>
  <c r="T84" i="4"/>
  <c r="S102" i="4"/>
  <c r="S117" i="4"/>
  <c r="S124" i="4"/>
  <c r="S127" i="4"/>
  <c r="S134" i="4"/>
  <c r="T141" i="4"/>
  <c r="T38" i="4"/>
  <c r="S45" i="4"/>
  <c r="S48" i="4"/>
  <c r="T64" i="4"/>
  <c r="T67" i="4"/>
  <c r="S74" i="4"/>
  <c r="S81" i="4"/>
  <c r="S84" i="4"/>
  <c r="T102" i="4"/>
  <c r="S110" i="4"/>
  <c r="T117" i="4"/>
  <c r="T124" i="4"/>
  <c r="T134" i="4"/>
  <c r="T29" i="4"/>
  <c r="U29" i="4"/>
  <c r="S29" i="4"/>
  <c r="T45" i="4"/>
  <c r="T74" i="4"/>
  <c r="T81" i="4"/>
  <c r="U91" i="4"/>
  <c r="T91" i="4"/>
  <c r="T110" i="4"/>
  <c r="U36" i="4"/>
  <c r="T36" i="4"/>
  <c r="S52" i="4"/>
  <c r="S55" i="4"/>
  <c r="S88" i="4"/>
  <c r="S91" i="4"/>
  <c r="U99" i="4"/>
  <c r="T99" i="4"/>
  <c r="S33" i="4"/>
  <c r="S36" i="4"/>
  <c r="T52" i="4"/>
  <c r="T55" i="4"/>
  <c r="U65" i="4"/>
  <c r="T65" i="4"/>
  <c r="S65" i="4"/>
  <c r="T88" i="4"/>
  <c r="S99" i="4"/>
  <c r="U132" i="4"/>
  <c r="T132" i="4"/>
  <c r="S132" i="4"/>
  <c r="U72" i="4"/>
  <c r="T72" i="4"/>
  <c r="T139" i="4"/>
  <c r="U139" i="4"/>
  <c r="S125" i="4"/>
  <c r="S137" i="4"/>
  <c r="T34" i="4"/>
  <c r="S39" i="4"/>
  <c r="T58" i="4"/>
  <c r="S63" i="4"/>
  <c r="T82" i="4"/>
  <c r="S87" i="4"/>
  <c r="T94" i="4"/>
  <c r="S123" i="4"/>
  <c r="T130" i="4"/>
  <c r="S135" i="4"/>
  <c r="T142" i="4"/>
  <c r="S32" i="4"/>
  <c r="U34" i="4"/>
  <c r="T39" i="4"/>
  <c r="S44" i="4"/>
  <c r="U46" i="4"/>
  <c r="T51" i="4"/>
  <c r="S56" i="4"/>
  <c r="U58" i="4"/>
  <c r="T63" i="4"/>
  <c r="S68" i="4"/>
  <c r="U70" i="4"/>
  <c r="T75" i="4"/>
  <c r="S80" i="4"/>
  <c r="U82" i="4"/>
  <c r="T87" i="4"/>
  <c r="S92" i="4"/>
  <c r="U94" i="4"/>
  <c r="T103" i="4"/>
  <c r="T111" i="4"/>
  <c r="S116" i="4"/>
  <c r="U118" i="4"/>
  <c r="T123" i="4"/>
  <c r="S128" i="4"/>
  <c r="U130" i="4"/>
  <c r="T135" i="4"/>
  <c r="S140" i="4"/>
  <c r="U142" i="4"/>
  <c r="S89" i="4"/>
  <c r="S105" i="4"/>
  <c r="S113" i="4"/>
  <c r="S46" i="4"/>
  <c r="S70" i="4"/>
  <c r="T89" i="4"/>
  <c r="T105" i="4"/>
  <c r="T113" i="4"/>
  <c r="S118" i="4"/>
  <c r="T125" i="4"/>
  <c r="T137" i="4"/>
  <c r="S51" i="4"/>
  <c r="S75" i="4"/>
  <c r="S103" i="4"/>
  <c r="S111" i="4"/>
  <c r="T32" i="4"/>
  <c r="T44" i="4"/>
  <c r="T56" i="4"/>
  <c r="T68" i="4"/>
  <c r="T80" i="4"/>
  <c r="T92" i="4"/>
  <c r="T116" i="4"/>
  <c r="T128" i="4"/>
  <c r="T140" i="4"/>
  <c r="N140" i="4"/>
  <c r="Q140" i="4" s="1"/>
  <c r="N136" i="4"/>
  <c r="Q136" i="4" s="1"/>
  <c r="I128" i="4" l="1"/>
  <c r="L128" i="4" s="1"/>
  <c r="M128" i="4" s="1"/>
  <c r="J128" i="4"/>
  <c r="K128" i="4"/>
  <c r="O128" i="4" s="1"/>
  <c r="P128" i="4" s="1"/>
  <c r="I129" i="4"/>
  <c r="J129" i="4"/>
  <c r="K129" i="4"/>
  <c r="O129" i="4" s="1"/>
  <c r="P129" i="4" s="1"/>
  <c r="L129" i="4"/>
  <c r="M129" i="4" s="1"/>
  <c r="N129" i="4"/>
  <c r="Q129" i="4" s="1"/>
  <c r="I130" i="4"/>
  <c r="J130" i="4"/>
  <c r="K130" i="4" s="1"/>
  <c r="L130" i="4"/>
  <c r="M130" i="4"/>
  <c r="N130" i="4"/>
  <c r="Q130" i="4"/>
  <c r="I131" i="4"/>
  <c r="L131" i="4" s="1"/>
  <c r="M131" i="4" s="1"/>
  <c r="J131" i="4"/>
  <c r="K131" i="4" s="1"/>
  <c r="I132" i="4"/>
  <c r="J132" i="4"/>
  <c r="K132" i="4"/>
  <c r="L132" i="4"/>
  <c r="M132" i="4"/>
  <c r="N132" i="4"/>
  <c r="Q132" i="4" s="1"/>
  <c r="O132" i="4"/>
  <c r="P132" i="4" s="1"/>
  <c r="I133" i="4"/>
  <c r="L133" i="4" s="1"/>
  <c r="M133" i="4" s="1"/>
  <c r="J133" i="4"/>
  <c r="K133" i="4" s="1"/>
  <c r="O133" i="4" s="1"/>
  <c r="P133" i="4" s="1"/>
  <c r="N133" i="4"/>
  <c r="Q133" i="4" s="1"/>
  <c r="I134" i="4"/>
  <c r="L134" i="4" s="1"/>
  <c r="M134" i="4" s="1"/>
  <c r="J134" i="4"/>
  <c r="K134" i="4" s="1"/>
  <c r="O134" i="4" s="1"/>
  <c r="P134" i="4" s="1"/>
  <c r="O130" i="4" l="1"/>
  <c r="P130" i="4" s="1"/>
  <c r="O131" i="4"/>
  <c r="P131" i="4" s="1"/>
  <c r="N134" i="4"/>
  <c r="Q134" i="4" s="1"/>
  <c r="N128" i="4"/>
  <c r="Q128" i="4" s="1"/>
  <c r="N131" i="4"/>
  <c r="Q131" i="4" s="1"/>
  <c r="O15" i="1" l="1"/>
  <c r="L15" i="1"/>
  <c r="N15" i="1"/>
  <c r="M102" i="4"/>
  <c r="J16" i="4"/>
  <c r="J15" i="4"/>
  <c r="J87" i="4"/>
  <c r="K87" i="4" s="1"/>
  <c r="J122" i="4"/>
  <c r="K122" i="4" s="1"/>
  <c r="O122" i="4" s="1"/>
  <c r="P122" i="4" s="1"/>
  <c r="J117" i="4"/>
  <c r="K117" i="4"/>
  <c r="O117" i="4" s="1"/>
  <c r="P117" i="4" s="1"/>
  <c r="J120" i="4"/>
  <c r="K120" i="4"/>
  <c r="J101" i="4"/>
  <c r="K101" i="4" s="1"/>
  <c r="O101" i="4" s="1"/>
  <c r="P101" i="4" s="1"/>
  <c r="J86" i="4"/>
  <c r="K86" i="4" s="1"/>
  <c r="J85" i="4"/>
  <c r="K85" i="4" s="1"/>
  <c r="J88" i="4"/>
  <c r="K88" i="4" s="1"/>
  <c r="J119" i="4"/>
  <c r="K119" i="4" s="1"/>
  <c r="J72" i="4"/>
  <c r="K72" i="4" s="1"/>
  <c r="J103" i="4"/>
  <c r="K103" i="4"/>
  <c r="O103" i="4" s="1"/>
  <c r="P103" i="4" s="1"/>
  <c r="J118" i="4"/>
  <c r="K118" i="4"/>
  <c r="O118" i="4" s="1"/>
  <c r="P118" i="4" s="1"/>
  <c r="J104" i="4"/>
  <c r="L104" i="4" s="1"/>
  <c r="M104" i="4" s="1"/>
  <c r="J90" i="4"/>
  <c r="K90" i="4" s="1"/>
  <c r="J71" i="4"/>
  <c r="K71" i="4"/>
  <c r="J110" i="4"/>
  <c r="K110" i="4" s="1"/>
  <c r="O110" i="4" s="1"/>
  <c r="P110" i="4" s="1"/>
  <c r="J82" i="4"/>
  <c r="K82" i="4"/>
  <c r="J113" i="4"/>
  <c r="K113" i="4"/>
  <c r="J97" i="4"/>
  <c r="K97" i="4"/>
  <c r="J81" i="4"/>
  <c r="K81" i="4" s="1"/>
  <c r="J116" i="4"/>
  <c r="K116" i="4" s="1"/>
  <c r="J100" i="4"/>
  <c r="K100" i="4" s="1"/>
  <c r="O100" i="4" s="1"/>
  <c r="P100" i="4" s="1"/>
  <c r="J84" i="4"/>
  <c r="K84" i="4" s="1"/>
  <c r="J114" i="4"/>
  <c r="K114" i="4"/>
  <c r="J78" i="4"/>
  <c r="K78" i="4"/>
  <c r="J115" i="4"/>
  <c r="K115" i="4"/>
  <c r="O115" i="4" s="1"/>
  <c r="P115" i="4" s="1"/>
  <c r="J99" i="4"/>
  <c r="K99" i="4" s="1"/>
  <c r="O99" i="4" s="1"/>
  <c r="P99" i="4" s="1"/>
  <c r="J83" i="4"/>
  <c r="K83" i="4" s="1"/>
  <c r="J102" i="4"/>
  <c r="K102" i="4" s="1"/>
  <c r="O102" i="4" s="1"/>
  <c r="P102" i="4" s="1"/>
  <c r="J74" i="4"/>
  <c r="K74" i="4" s="1"/>
  <c r="J125" i="4"/>
  <c r="K125" i="4"/>
  <c r="J109" i="4"/>
  <c r="L109" i="4" s="1"/>
  <c r="M109" i="4" s="1"/>
  <c r="K109" i="4"/>
  <c r="O109" i="4" s="1"/>
  <c r="P109" i="4" s="1"/>
  <c r="J93" i="4"/>
  <c r="K93" i="4" s="1"/>
  <c r="J77" i="4"/>
  <c r="K77" i="4" s="1"/>
  <c r="J112" i="4"/>
  <c r="K112" i="4" s="1"/>
  <c r="O112" i="4" s="1"/>
  <c r="P112" i="4" s="1"/>
  <c r="J96" i="4"/>
  <c r="K96" i="4" s="1"/>
  <c r="J80" i="4"/>
  <c r="K80" i="4" s="1"/>
  <c r="J106" i="4"/>
  <c r="K106" i="4"/>
  <c r="O106" i="4" s="1"/>
  <c r="P106" i="4" s="1"/>
  <c r="J127" i="4"/>
  <c r="K127" i="4"/>
  <c r="J111" i="4"/>
  <c r="L111" i="4" s="1"/>
  <c r="M111" i="4" s="1"/>
  <c r="J95" i="4"/>
  <c r="K95" i="4" s="1"/>
  <c r="J79" i="4"/>
  <c r="K79" i="4" s="1"/>
  <c r="J126" i="4"/>
  <c r="K126" i="4" s="1"/>
  <c r="J94" i="4"/>
  <c r="K94" i="4" s="1"/>
  <c r="J121" i="4"/>
  <c r="K121" i="4"/>
  <c r="J105" i="4"/>
  <c r="K105" i="4"/>
  <c r="O105" i="4" s="1"/>
  <c r="P105" i="4" s="1"/>
  <c r="J89" i="4"/>
  <c r="K89" i="4" s="1"/>
  <c r="J73" i="4"/>
  <c r="K73" i="4" s="1"/>
  <c r="J124" i="4"/>
  <c r="K124" i="4" s="1"/>
  <c r="J108" i="4"/>
  <c r="K108" i="4" s="1"/>
  <c r="J92" i="4"/>
  <c r="K92" i="4" s="1"/>
  <c r="J76" i="4"/>
  <c r="K76" i="4"/>
  <c r="J98" i="4"/>
  <c r="L98" i="4" s="1"/>
  <c r="M98" i="4" s="1"/>
  <c r="K98" i="4"/>
  <c r="O98" i="4" s="1"/>
  <c r="P98" i="4" s="1"/>
  <c r="J123" i="4"/>
  <c r="K123" i="4"/>
  <c r="O123" i="4" s="1"/>
  <c r="P123" i="4" s="1"/>
  <c r="J107" i="4"/>
  <c r="K107" i="4" s="1"/>
  <c r="J91" i="4"/>
  <c r="K91" i="4" s="1"/>
  <c r="J75" i="4"/>
  <c r="K75" i="4" s="1"/>
  <c r="O78" i="4"/>
  <c r="P78" i="4" s="1"/>
  <c r="O114" i="4"/>
  <c r="P114" i="4" s="1"/>
  <c r="O113" i="4"/>
  <c r="P113" i="4" s="1"/>
  <c r="O71" i="4"/>
  <c r="P71" i="4" s="1"/>
  <c r="O125" i="4"/>
  <c r="P125" i="4" s="1"/>
  <c r="I76" i="4"/>
  <c r="I77" i="4"/>
  <c r="N77" i="4" s="1"/>
  <c r="Q77" i="4" s="1"/>
  <c r="I81" i="4"/>
  <c r="L81" i="4" s="1"/>
  <c r="I89" i="4"/>
  <c r="N89" i="4" s="1"/>
  <c r="Q89" i="4" s="1"/>
  <c r="I90" i="4"/>
  <c r="N90" i="4" s="1"/>
  <c r="Q90" i="4" s="1"/>
  <c r="I96" i="4"/>
  <c r="L96" i="4" s="1"/>
  <c r="I99" i="4"/>
  <c r="N99" i="4" s="1"/>
  <c r="Q99" i="4" s="1"/>
  <c r="I102" i="4"/>
  <c r="I104" i="4"/>
  <c r="N104" i="4" s="1"/>
  <c r="Q104" i="4" s="1"/>
  <c r="I108" i="4"/>
  <c r="N108" i="4" s="1"/>
  <c r="Q108" i="4" s="1"/>
  <c r="I111" i="4"/>
  <c r="I113" i="4"/>
  <c r="I115" i="4"/>
  <c r="N115" i="4" s="1"/>
  <c r="Q115" i="4" s="1"/>
  <c r="I119" i="4"/>
  <c r="N119" i="4" s="1"/>
  <c r="Q119" i="4" s="1"/>
  <c r="I120" i="4"/>
  <c r="N120" i="4" s="1"/>
  <c r="Q120" i="4" s="1"/>
  <c r="I123" i="4"/>
  <c r="L123" i="4" s="1"/>
  <c r="M123" i="4" s="1"/>
  <c r="I125" i="4"/>
  <c r="L125" i="4" s="1"/>
  <c r="M125" i="4" s="1"/>
  <c r="I79" i="4"/>
  <c r="N79" i="4" s="1"/>
  <c r="Q79" i="4" s="1"/>
  <c r="I92" i="4"/>
  <c r="L92" i="4" s="1"/>
  <c r="I100" i="4"/>
  <c r="L100" i="4" s="1"/>
  <c r="M100" i="4" s="1"/>
  <c r="I103" i="4"/>
  <c r="I107" i="4"/>
  <c r="L107" i="4" s="1"/>
  <c r="I109" i="4"/>
  <c r="I110" i="4"/>
  <c r="I117" i="4"/>
  <c r="I124" i="4"/>
  <c r="I72" i="4"/>
  <c r="L72" i="4" s="1"/>
  <c r="I106" i="4"/>
  <c r="L106" i="4" s="1"/>
  <c r="M106" i="4" s="1"/>
  <c r="I71" i="4"/>
  <c r="N71" i="4" s="1"/>
  <c r="Q71" i="4" s="1"/>
  <c r="I75" i="4"/>
  <c r="N75" i="4" s="1"/>
  <c r="Q75" i="4" s="1"/>
  <c r="I80" i="4"/>
  <c r="L80" i="4" s="1"/>
  <c r="I83" i="4"/>
  <c r="I86" i="4"/>
  <c r="I88" i="4"/>
  <c r="L88" i="4" s="1"/>
  <c r="I94" i="4"/>
  <c r="I95" i="4"/>
  <c r="I98" i="4"/>
  <c r="I101" i="4"/>
  <c r="I118" i="4"/>
  <c r="L118" i="4" s="1"/>
  <c r="M118" i="4" s="1"/>
  <c r="I127" i="4"/>
  <c r="L127" i="4" s="1"/>
  <c r="I73" i="4"/>
  <c r="N73" i="4" s="1"/>
  <c r="Q73" i="4" s="1"/>
  <c r="I74" i="4"/>
  <c r="N74" i="4" s="1"/>
  <c r="Q74" i="4" s="1"/>
  <c r="I78" i="4"/>
  <c r="L78" i="4" s="1"/>
  <c r="I82" i="4"/>
  <c r="L82" i="4" s="1"/>
  <c r="I85" i="4"/>
  <c r="N85" i="4" s="1"/>
  <c r="Q85" i="4" s="1"/>
  <c r="I93" i="4"/>
  <c r="N93" i="4" s="1"/>
  <c r="Q93" i="4" s="1"/>
  <c r="I112" i="4"/>
  <c r="I114" i="4"/>
  <c r="L114" i="4" s="1"/>
  <c r="I121" i="4"/>
  <c r="I122" i="4"/>
  <c r="I84" i="4"/>
  <c r="L84" i="4" s="1"/>
  <c r="I87" i="4"/>
  <c r="N87" i="4" s="1"/>
  <c r="Q87" i="4" s="1"/>
  <c r="I91" i="4"/>
  <c r="L91" i="4" s="1"/>
  <c r="I97" i="4"/>
  <c r="L97" i="4" s="1"/>
  <c r="I105" i="4"/>
  <c r="L105" i="4" s="1"/>
  <c r="M105" i="4" s="1"/>
  <c r="I116" i="4"/>
  <c r="N116" i="4" s="1"/>
  <c r="Q116" i="4" s="1"/>
  <c r="I126" i="4"/>
  <c r="L126" i="4" s="1"/>
  <c r="N121" i="4"/>
  <c r="Q121" i="4"/>
  <c r="L121" i="4"/>
  <c r="L85" i="4"/>
  <c r="N101" i="4"/>
  <c r="Q101" i="4" s="1"/>
  <c r="L101" i="4"/>
  <c r="M101" i="4" s="1"/>
  <c r="N107" i="4"/>
  <c r="Q107" i="4" s="1"/>
  <c r="L108" i="4"/>
  <c r="N114" i="4"/>
  <c r="Q114" i="4" s="1"/>
  <c r="N82" i="4"/>
  <c r="Q82" i="4" s="1"/>
  <c r="N98" i="4"/>
  <c r="Q98" i="4" s="1"/>
  <c r="N86" i="4"/>
  <c r="Q86" i="4" s="1"/>
  <c r="N117" i="4"/>
  <c r="Q117" i="4"/>
  <c r="L117" i="4"/>
  <c r="M117" i="4" s="1"/>
  <c r="N103" i="4"/>
  <c r="Q103" i="4" s="1"/>
  <c r="L103" i="4"/>
  <c r="M103" i="4" s="1"/>
  <c r="N76" i="4"/>
  <c r="Q76" i="4" s="1"/>
  <c r="L76" i="4"/>
  <c r="N126" i="4"/>
  <c r="Q126" i="4" s="1"/>
  <c r="N91" i="4"/>
  <c r="Q91" i="4" s="1"/>
  <c r="L112" i="4"/>
  <c r="M112" i="4" s="1"/>
  <c r="N112" i="4"/>
  <c r="Q112" i="4" s="1"/>
  <c r="N127" i="4"/>
  <c r="Q127" i="4" s="1"/>
  <c r="N95" i="4"/>
  <c r="Q95" i="4" s="1"/>
  <c r="N83" i="4"/>
  <c r="Q83" i="4" s="1"/>
  <c r="L83" i="4"/>
  <c r="N110" i="4"/>
  <c r="Q110" i="4"/>
  <c r="L110" i="4"/>
  <c r="M110" i="4" s="1"/>
  <c r="N100" i="4"/>
  <c r="Q100" i="4"/>
  <c r="N123" i="4"/>
  <c r="Q123" i="4"/>
  <c r="N113" i="4"/>
  <c r="Q113" i="4"/>
  <c r="L113" i="4"/>
  <c r="M113" i="4" s="1"/>
  <c r="L102" i="4"/>
  <c r="N102" i="4"/>
  <c r="Q102" i="4"/>
  <c r="N122" i="4"/>
  <c r="Q122" i="4"/>
  <c r="L122" i="4"/>
  <c r="M122" i="4" s="1"/>
  <c r="N118" i="4"/>
  <c r="Q118" i="4" s="1"/>
  <c r="L94" i="4"/>
  <c r="N94" i="4"/>
  <c r="Q94" i="4" s="1"/>
  <c r="N109" i="4"/>
  <c r="Q109" i="4"/>
  <c r="L120" i="4"/>
  <c r="N111" i="4"/>
  <c r="Q111" i="4" s="1"/>
  <c r="O91" i="4" l="1"/>
  <c r="P91" i="4" s="1"/>
  <c r="M91" i="4"/>
  <c r="O119" i="4"/>
  <c r="P119" i="4" s="1"/>
  <c r="O126" i="4"/>
  <c r="P126" i="4" s="1"/>
  <c r="O124" i="4"/>
  <c r="P124" i="4" s="1"/>
  <c r="O108" i="4"/>
  <c r="P108" i="4" s="1"/>
  <c r="O116" i="4"/>
  <c r="P116" i="4" s="1"/>
  <c r="L95" i="4"/>
  <c r="O107" i="4"/>
  <c r="P107" i="4" s="1"/>
  <c r="K111" i="4"/>
  <c r="O111" i="4" s="1"/>
  <c r="P111" i="4" s="1"/>
  <c r="K104" i="4"/>
  <c r="O104" i="4" s="1"/>
  <c r="P104" i="4" s="1"/>
  <c r="N97" i="4"/>
  <c r="Q97" i="4" s="1"/>
  <c r="L99" i="4"/>
  <c r="M99" i="4" s="1"/>
  <c r="M120" i="4"/>
  <c r="M127" i="4"/>
  <c r="O127" i="4"/>
  <c r="P127" i="4" s="1"/>
  <c r="L87" i="4"/>
  <c r="M87" i="4" s="1"/>
  <c r="M121" i="4"/>
  <c r="N78" i="4"/>
  <c r="Q78" i="4" s="1"/>
  <c r="L124" i="4"/>
  <c r="O121" i="4"/>
  <c r="P121" i="4" s="1"/>
  <c r="L71" i="4"/>
  <c r="M108" i="4"/>
  <c r="M114" i="4"/>
  <c r="N105" i="4"/>
  <c r="Q105" i="4" s="1"/>
  <c r="O120" i="4"/>
  <c r="P120" i="4" s="1"/>
  <c r="M107" i="4"/>
  <c r="N92" i="4"/>
  <c r="Q92" i="4" s="1"/>
  <c r="N125" i="4"/>
  <c r="Q125" i="4" s="1"/>
  <c r="N106" i="4"/>
  <c r="Q106" i="4" s="1"/>
  <c r="M126" i="4"/>
  <c r="L116" i="4"/>
  <c r="M80" i="4"/>
  <c r="M72" i="4"/>
  <c r="M81" i="4"/>
  <c r="M82" i="4"/>
  <c r="M85" i="4"/>
  <c r="O73" i="4"/>
  <c r="P73" i="4" s="1"/>
  <c r="O93" i="4"/>
  <c r="P93" i="4" s="1"/>
  <c r="O90" i="4"/>
  <c r="P90" i="4" s="1"/>
  <c r="O86" i="4"/>
  <c r="P86" i="4" s="1"/>
  <c r="M84" i="4"/>
  <c r="O89" i="4"/>
  <c r="P89" i="4" s="1"/>
  <c r="O81" i="4"/>
  <c r="P81" i="4" s="1"/>
  <c r="M94" i="4"/>
  <c r="L89" i="4"/>
  <c r="M76" i="4"/>
  <c r="O97" i="4"/>
  <c r="P97" i="4" s="1"/>
  <c r="L77" i="4"/>
  <c r="N124" i="4"/>
  <c r="Q124" i="4" s="1"/>
  <c r="N81" i="4"/>
  <c r="Q81" i="4" s="1"/>
  <c r="M78" i="4"/>
  <c r="L90" i="4"/>
  <c r="M92" i="4"/>
  <c r="O76" i="4"/>
  <c r="P76" i="4" s="1"/>
  <c r="O74" i="4"/>
  <c r="P74" i="4" s="1"/>
  <c r="M88" i="4"/>
  <c r="O94" i="4"/>
  <c r="P94" i="4" s="1"/>
  <c r="O80" i="4"/>
  <c r="P80" i="4" s="1"/>
  <c r="O82" i="4"/>
  <c r="P82" i="4" s="1"/>
  <c r="M83" i="4"/>
  <c r="L86" i="4"/>
  <c r="O92" i="4"/>
  <c r="P92" i="4" s="1"/>
  <c r="O96" i="4"/>
  <c r="P96" i="4" s="1"/>
  <c r="O84" i="4"/>
  <c r="P84" i="4" s="1"/>
  <c r="O72" i="4"/>
  <c r="P72" i="4" s="1"/>
  <c r="L119" i="4"/>
  <c r="O75" i="4"/>
  <c r="P75" i="4" s="1"/>
  <c r="O83" i="4"/>
  <c r="P83" i="4" s="1"/>
  <c r="M95" i="4"/>
  <c r="L115" i="4"/>
  <c r="O87" i="4"/>
  <c r="P87" i="4" s="1"/>
  <c r="N80" i="4"/>
  <c r="Q80" i="4" s="1"/>
  <c r="N72" i="4"/>
  <c r="Q72" i="4" s="1"/>
  <c r="M97" i="4"/>
  <c r="M96" i="4"/>
  <c r="O79" i="4"/>
  <c r="P79" i="4" s="1"/>
  <c r="O77" i="4"/>
  <c r="P77" i="4" s="1"/>
  <c r="O88" i="4"/>
  <c r="P88" i="4" s="1"/>
  <c r="L73" i="4"/>
  <c r="O95" i="4"/>
  <c r="P95" i="4" s="1"/>
  <c r="O85" i="4"/>
  <c r="P85" i="4" s="1"/>
  <c r="L79" i="4"/>
  <c r="L75" i="4"/>
  <c r="L74" i="4"/>
  <c r="N96" i="4"/>
  <c r="Q96" i="4" s="1"/>
  <c r="L93" i="4"/>
  <c r="N88" i="4"/>
  <c r="Q88" i="4" s="1"/>
  <c r="N84" i="4"/>
  <c r="Q84" i="4" s="1"/>
  <c r="J14" i="4"/>
  <c r="J13" i="4" s="1"/>
  <c r="K16" i="4" s="1"/>
  <c r="M116" i="4" l="1"/>
  <c r="M71" i="4"/>
  <c r="M124" i="4"/>
  <c r="M119" i="4"/>
  <c r="M115" i="4"/>
  <c r="M93" i="4"/>
  <c r="M74" i="4"/>
  <c r="M90" i="4"/>
  <c r="M75" i="4"/>
  <c r="M89" i="4"/>
  <c r="M79" i="4"/>
  <c r="M86" i="4"/>
  <c r="M77" i="4"/>
  <c r="M73" i="4"/>
  <c r="K14" i="4"/>
  <c r="K13" i="4"/>
  <c r="K15" i="4"/>
  <c r="I63" i="4" l="1"/>
  <c r="N63" i="4" s="1"/>
  <c r="Q63" i="4" s="1"/>
  <c r="I69" i="4"/>
  <c r="N69" i="4" s="1"/>
  <c r="Q69" i="4" s="1"/>
  <c r="I70" i="4"/>
  <c r="N70" i="4" s="1"/>
  <c r="Q70" i="4" s="1"/>
  <c r="I66" i="4"/>
  <c r="N66" i="4" s="1"/>
  <c r="Q66" i="4" s="1"/>
  <c r="I64" i="4"/>
  <c r="N64" i="4" s="1"/>
  <c r="Q64" i="4" s="1"/>
  <c r="I67" i="4"/>
  <c r="N67" i="4" s="1"/>
  <c r="Q67" i="4" s="1"/>
  <c r="I68" i="4"/>
  <c r="N68" i="4" s="1"/>
  <c r="Q68" i="4" s="1"/>
  <c r="I65" i="4"/>
  <c r="N65" i="4" s="1"/>
  <c r="Q65" i="4" s="1"/>
  <c r="J63" i="4"/>
  <c r="K63" i="4" s="1"/>
  <c r="J66" i="4"/>
  <c r="J69" i="4"/>
  <c r="J65" i="4"/>
  <c r="J67" i="4"/>
  <c r="J64" i="4"/>
  <c r="J70" i="4"/>
  <c r="J68" i="4"/>
  <c r="J62" i="4"/>
  <c r="K62" i="4" s="1"/>
  <c r="J60" i="4"/>
  <c r="K60" i="4" s="1"/>
  <c r="J56" i="4"/>
  <c r="K56" i="4" s="1"/>
  <c r="O56" i="4" s="1"/>
  <c r="P56" i="4" s="1"/>
  <c r="J58" i="4"/>
  <c r="K58" i="4" s="1"/>
  <c r="J55" i="4"/>
  <c r="K55" i="4" s="1"/>
  <c r="O55" i="4" s="1"/>
  <c r="P55" i="4" s="1"/>
  <c r="J61" i="4"/>
  <c r="K61" i="4" s="1"/>
  <c r="J57" i="4"/>
  <c r="K57" i="4" s="1"/>
  <c r="J59" i="4"/>
  <c r="K59" i="4" s="1"/>
  <c r="O59" i="4" s="1"/>
  <c r="P59" i="4" s="1"/>
  <c r="I61" i="4"/>
  <c r="I37" i="4"/>
  <c r="I59" i="4"/>
  <c r="I49" i="4"/>
  <c r="I47" i="4"/>
  <c r="I50" i="4"/>
  <c r="I62" i="4"/>
  <c r="I41" i="4"/>
  <c r="I52" i="4"/>
  <c r="I60" i="4"/>
  <c r="I36" i="4"/>
  <c r="I39" i="4"/>
  <c r="I43" i="4"/>
  <c r="I45" i="4"/>
  <c r="I51" i="4"/>
  <c r="I55" i="4"/>
  <c r="I48" i="4"/>
  <c r="I40" i="4"/>
  <c r="I57" i="4"/>
  <c r="I46" i="4"/>
  <c r="I42" i="4"/>
  <c r="I53" i="4"/>
  <c r="I44" i="4"/>
  <c r="I54" i="4"/>
  <c r="I38" i="4"/>
  <c r="I58" i="4"/>
  <c r="I56" i="4"/>
  <c r="I35" i="4"/>
  <c r="I31" i="4"/>
  <c r="I33" i="4"/>
  <c r="I30" i="4"/>
  <c r="I32" i="4"/>
  <c r="I28" i="4"/>
  <c r="I29" i="4"/>
  <c r="I34" i="4"/>
  <c r="O62" i="4" l="1"/>
  <c r="P62" i="4" s="1"/>
  <c r="O61" i="4"/>
  <c r="P61" i="4" s="1"/>
  <c r="O60" i="4"/>
  <c r="P60" i="4" s="1"/>
  <c r="O57" i="4"/>
  <c r="P57" i="4" s="1"/>
  <c r="O58" i="4"/>
  <c r="P58" i="4" s="1"/>
  <c r="L66" i="4"/>
  <c r="K66" i="4"/>
  <c r="K70" i="4"/>
  <c r="L70" i="4"/>
  <c r="K64" i="4"/>
  <c r="L64" i="4"/>
  <c r="O63" i="4"/>
  <c r="P63" i="4" s="1"/>
  <c r="L63" i="4"/>
  <c r="K68" i="4"/>
  <c r="L68" i="4"/>
  <c r="L67" i="4"/>
  <c r="K67" i="4"/>
  <c r="L65" i="4"/>
  <c r="K65" i="4"/>
  <c r="K69" i="4"/>
  <c r="L69" i="4"/>
  <c r="N62" i="4"/>
  <c r="Q62" i="4" s="1"/>
  <c r="L62" i="4"/>
  <c r="N55" i="4"/>
  <c r="Q55" i="4" s="1"/>
  <c r="L55" i="4"/>
  <c r="M55" i="4" s="1"/>
  <c r="L56" i="4"/>
  <c r="M56" i="4" s="1"/>
  <c r="N56" i="4"/>
  <c r="Q56" i="4" s="1"/>
  <c r="N59" i="4"/>
  <c r="Q59" i="4" s="1"/>
  <c r="L59" i="4"/>
  <c r="M59" i="4" s="1"/>
  <c r="N57" i="4"/>
  <c r="Q57" i="4" s="1"/>
  <c r="L57" i="4"/>
  <c r="L58" i="4"/>
  <c r="N58" i="4"/>
  <c r="Q58" i="4" s="1"/>
  <c r="N61" i="4"/>
  <c r="Q61" i="4" s="1"/>
  <c r="L61" i="4"/>
  <c r="L60" i="4"/>
  <c r="N60" i="4"/>
  <c r="Q60" i="4" s="1"/>
  <c r="M60" i="4" l="1"/>
  <c r="M61" i="4"/>
  <c r="M70" i="4"/>
  <c r="M62" i="4"/>
  <c r="M63" i="4"/>
  <c r="M64" i="4"/>
  <c r="O64" i="4"/>
  <c r="P64" i="4" s="1"/>
  <c r="M69" i="4"/>
  <c r="M58" i="4"/>
  <c r="O69" i="4"/>
  <c r="P69" i="4" s="1"/>
  <c r="M57" i="4"/>
  <c r="O65" i="4"/>
  <c r="P65" i="4" s="1"/>
  <c r="O66" i="4"/>
  <c r="P66" i="4" s="1"/>
  <c r="M65" i="4"/>
  <c r="M66" i="4"/>
  <c r="O67" i="4"/>
  <c r="P67" i="4" s="1"/>
  <c r="M67" i="4"/>
  <c r="M68" i="4"/>
  <c r="O68" i="4"/>
  <c r="P68" i="4" s="1"/>
  <c r="O70" i="4"/>
  <c r="P70" i="4" s="1"/>
  <c r="J21" i="4" l="1"/>
  <c r="J9" i="4" s="1"/>
  <c r="J22" i="4"/>
  <c r="J10" i="4" s="1"/>
  <c r="J20" i="4"/>
  <c r="N36" i="4" l="1"/>
  <c r="N29" i="4"/>
  <c r="N31" i="4"/>
  <c r="N46" i="4"/>
  <c r="N48" i="4"/>
  <c r="N28" i="4"/>
  <c r="J19" i="4"/>
  <c r="K19" i="4" s="1"/>
  <c r="N32" i="4"/>
  <c r="N45" i="4"/>
  <c r="N37" i="4"/>
  <c r="N44" i="4"/>
  <c r="N49" i="4"/>
  <c r="N53" i="4"/>
  <c r="Q53" i="4" s="1"/>
  <c r="J8" i="4"/>
  <c r="N30" i="4"/>
  <c r="N51" i="4"/>
  <c r="N41" i="4"/>
  <c r="N50" i="4"/>
  <c r="N43" i="4"/>
  <c r="N39" i="4"/>
  <c r="N42" i="4"/>
  <c r="N40" i="4"/>
  <c r="N34" i="4"/>
  <c r="N38" i="4"/>
  <c r="N54" i="4"/>
  <c r="N33" i="4"/>
  <c r="N35" i="4"/>
  <c r="N52" i="4"/>
  <c r="N47" i="4"/>
  <c r="J7" i="4" l="1"/>
  <c r="Q48" i="4" s="1"/>
  <c r="K21" i="4"/>
  <c r="K22" i="4"/>
  <c r="J45" i="4" s="1"/>
  <c r="K20" i="4"/>
  <c r="Q50" i="4"/>
  <c r="Q52" i="4"/>
  <c r="J52" i="4"/>
  <c r="J49" i="4"/>
  <c r="J53" i="4"/>
  <c r="J54" i="4"/>
  <c r="J50" i="4"/>
  <c r="J48" i="4"/>
  <c r="J51" i="4"/>
  <c r="Q54" i="4"/>
  <c r="Q51" i="4"/>
  <c r="Q49" i="4"/>
  <c r="J39" i="4" l="1"/>
  <c r="L39" i="4" s="1"/>
  <c r="J30" i="4"/>
  <c r="K30" i="4" s="1"/>
  <c r="J43" i="4"/>
  <c r="K43" i="4" s="1"/>
  <c r="J31" i="4"/>
  <c r="J44" i="4"/>
  <c r="L44" i="4" s="1"/>
  <c r="J36" i="4"/>
  <c r="L36" i="4" s="1"/>
  <c r="J46" i="4"/>
  <c r="K46" i="4" s="1"/>
  <c r="J35" i="4"/>
  <c r="K35" i="4" s="1"/>
  <c r="Q41" i="4"/>
  <c r="Q45" i="4"/>
  <c r="Q31" i="4"/>
  <c r="Q36" i="4"/>
  <c r="Q43" i="4"/>
  <c r="Q42" i="4"/>
  <c r="Q38" i="4"/>
  <c r="Q44" i="4"/>
  <c r="Q39" i="4"/>
  <c r="Q34" i="4"/>
  <c r="Q29" i="4"/>
  <c r="J33" i="4"/>
  <c r="K33" i="4" s="1"/>
  <c r="J47" i="4"/>
  <c r="K47" i="4" s="1"/>
  <c r="Q47" i="4"/>
  <c r="Q46" i="4"/>
  <c r="Q35" i="4"/>
  <c r="J34" i="4"/>
  <c r="L34" i="4" s="1"/>
  <c r="J41" i="4"/>
  <c r="K41" i="4" s="1"/>
  <c r="J42" i="4"/>
  <c r="L42" i="4" s="1"/>
  <c r="J32" i="4"/>
  <c r="L32" i="4" s="1"/>
  <c r="J37" i="4"/>
  <c r="L37" i="4" s="1"/>
  <c r="J40" i="4"/>
  <c r="L40" i="4" s="1"/>
  <c r="J38" i="4"/>
  <c r="L38" i="4" s="1"/>
  <c r="J29" i="4"/>
  <c r="L29" i="4" s="1"/>
  <c r="Q32" i="4"/>
  <c r="Q30" i="4"/>
  <c r="Q33" i="4"/>
  <c r="Q40" i="4"/>
  <c r="Q37" i="4"/>
  <c r="K9" i="4"/>
  <c r="Q28" i="4"/>
  <c r="K10" i="4"/>
  <c r="K8" i="4"/>
  <c r="K7" i="4"/>
  <c r="J28" i="4"/>
  <c r="K28" i="4" s="1"/>
  <c r="K31" i="4"/>
  <c r="L31" i="4"/>
  <c r="L45" i="4"/>
  <c r="K45" i="4"/>
  <c r="L47" i="4"/>
  <c r="K52" i="4"/>
  <c r="O52" i="4" s="1"/>
  <c r="P52" i="4" s="1"/>
  <c r="L52" i="4"/>
  <c r="M52" i="4" s="1"/>
  <c r="L43" i="4"/>
  <c r="L54" i="4"/>
  <c r="M54" i="4" s="1"/>
  <c r="K54" i="4"/>
  <c r="O54" i="4" s="1"/>
  <c r="P54" i="4" s="1"/>
  <c r="L51" i="4"/>
  <c r="M51" i="4" s="1"/>
  <c r="K51" i="4"/>
  <c r="O51" i="4" s="1"/>
  <c r="P51" i="4" s="1"/>
  <c r="L53" i="4"/>
  <c r="M53" i="4" s="1"/>
  <c r="K53" i="4"/>
  <c r="O53" i="4" s="1"/>
  <c r="P53" i="4" s="1"/>
  <c r="L48" i="4"/>
  <c r="K48" i="4"/>
  <c r="L50" i="4"/>
  <c r="M50" i="4" s="1"/>
  <c r="K50" i="4"/>
  <c r="O50" i="4" s="1"/>
  <c r="P50" i="4" s="1"/>
  <c r="L49" i="4"/>
  <c r="K49" i="4"/>
  <c r="O48" i="4" l="1"/>
  <c r="P48" i="4" s="1"/>
  <c r="M48" i="4"/>
  <c r="O49" i="4"/>
  <c r="P49" i="4" s="1"/>
  <c r="M49" i="4"/>
  <c r="O30" i="4"/>
  <c r="P30" i="4" s="1"/>
  <c r="O35" i="4"/>
  <c r="P35" i="4" s="1"/>
  <c r="O43" i="4"/>
  <c r="P43" i="4" s="1"/>
  <c r="M39" i="4"/>
  <c r="K39" i="4"/>
  <c r="M47" i="4"/>
  <c r="L30" i="4"/>
  <c r="M31" i="4"/>
  <c r="O46" i="4"/>
  <c r="P46" i="4" s="1"/>
  <c r="L35" i="4"/>
  <c r="M44" i="4"/>
  <c r="M43" i="4"/>
  <c r="O41" i="4"/>
  <c r="P41" i="4" s="1"/>
  <c r="O45" i="4"/>
  <c r="P45" i="4" s="1"/>
  <c r="M45" i="4"/>
  <c r="O47" i="4"/>
  <c r="P47" i="4" s="1"/>
  <c r="O31" i="4"/>
  <c r="P31" i="4" s="1"/>
  <c r="O33" i="4"/>
  <c r="P33" i="4" s="1"/>
  <c r="O28" i="4"/>
  <c r="P28" i="4" s="1"/>
  <c r="K36" i="4"/>
  <c r="K44" i="4"/>
  <c r="L46" i="4"/>
  <c r="K37" i="4"/>
  <c r="L41" i="4"/>
  <c r="K42" i="4"/>
  <c r="K34" i="4"/>
  <c r="L33" i="4"/>
  <c r="K38" i="4"/>
  <c r="K29" i="4"/>
  <c r="M32" i="4"/>
  <c r="M40" i="4"/>
  <c r="M34" i="4"/>
  <c r="M29" i="4"/>
  <c r="M37" i="4"/>
  <c r="M42" i="4"/>
  <c r="M38" i="4"/>
  <c r="M36" i="4"/>
  <c r="K40" i="4"/>
  <c r="K32" i="4"/>
  <c r="L28" i="4"/>
  <c r="M30" i="4" l="1"/>
  <c r="O29" i="4"/>
  <c r="P29" i="4" s="1"/>
  <c r="O32" i="4"/>
  <c r="P32" i="4" s="1"/>
  <c r="O40" i="4"/>
  <c r="P40" i="4" s="1"/>
  <c r="M33" i="4"/>
  <c r="M46" i="4"/>
  <c r="O39" i="4"/>
  <c r="P39" i="4" s="1"/>
  <c r="O44" i="4"/>
  <c r="P44" i="4" s="1"/>
  <c r="O36" i="4"/>
  <c r="P36" i="4" s="1"/>
  <c r="M35" i="4"/>
  <c r="O38" i="4"/>
  <c r="P38" i="4" s="1"/>
  <c r="O34" i="4"/>
  <c r="P34" i="4" s="1"/>
  <c r="O42" i="4"/>
  <c r="P42" i="4" s="1"/>
  <c r="M41" i="4"/>
  <c r="O37" i="4"/>
  <c r="P37" i="4" s="1"/>
  <c r="M2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Fischer</author>
  </authors>
  <commentList>
    <comment ref="J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(1)</t>
        </r>
      </text>
    </comment>
    <comment ref="J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(2)</t>
        </r>
      </text>
    </comment>
    <comment ref="D15" authorId="0" shapeId="0" xr:uid="{00000000-0006-0000-0100-000003000000}">
      <text>
        <r>
          <rPr>
            <b/>
            <sz val="10"/>
            <color indexed="81"/>
            <rFont val="Helvetica"/>
            <family val="2"/>
          </rPr>
          <t>Choose between: "OptiMEM"
"DMEM Glutamax" "Phenol-Red Free DMEM"</t>
        </r>
      </text>
    </comment>
    <comment ref="D17" authorId="0" shapeId="0" xr:uid="{00000000-0006-0000-0100-000004000000}">
      <text>
        <r>
          <rPr>
            <b/>
            <sz val="10"/>
            <color indexed="81"/>
            <rFont val="Helvetica"/>
            <family val="2"/>
          </rPr>
          <t>Choose between: 
"FBS"
"d-FBS"
"cs-FBS"</t>
        </r>
      </text>
    </comment>
    <comment ref="J1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(3)</t>
        </r>
      </text>
    </comment>
    <comment ref="D21" authorId="0" shapeId="0" xr:uid="{00000000-0006-0000-0100-000006000000}">
      <text>
        <r>
          <rPr>
            <b/>
            <sz val="10"/>
            <color indexed="81"/>
            <rFont val="Helvetica"/>
            <family val="2"/>
          </rPr>
          <t>Choose between: "HEK293T" 
"HEK293H"
"HepG2"
"HCT116"
"ME-180"</t>
        </r>
      </text>
    </comment>
    <comment ref="D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(6)</t>
        </r>
      </text>
    </comment>
    <comment ref="E26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(7)</t>
        </r>
      </text>
    </comment>
    <comment ref="I2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(4)</t>
        </r>
      </text>
    </comment>
    <comment ref="J2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(5)</t>
        </r>
      </text>
    </comment>
    <comment ref="K26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(11)</t>
        </r>
      </text>
    </comment>
    <comment ref="L2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(9)</t>
        </r>
      </text>
    </comment>
    <comment ref="M2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(10)</t>
        </r>
      </text>
    </comment>
    <comment ref="N2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(12)</t>
        </r>
      </text>
    </comment>
    <comment ref="O2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(13)</t>
        </r>
      </text>
    </comment>
    <comment ref="P2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(14)</t>
        </r>
      </text>
    </comment>
    <comment ref="Q2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(15)</t>
        </r>
      </text>
    </comment>
  </commentList>
</comments>
</file>

<file path=xl/sharedStrings.xml><?xml version="1.0" encoding="utf-8"?>
<sst xmlns="http://schemas.openxmlformats.org/spreadsheetml/2006/main" count="340" uniqueCount="315">
  <si>
    <t>Assumptions:</t>
  </si>
  <si>
    <t>1. Test chemicals partition between test medium and cells</t>
  </si>
  <si>
    <t>2. Test medium and cells are composed of water, proteins, and lipids</t>
  </si>
  <si>
    <t>User input</t>
  </si>
  <si>
    <t>Characteristics of Test medium</t>
  </si>
  <si>
    <t>Total volume</t>
  </si>
  <si>
    <t>Total water volume</t>
  </si>
  <si>
    <t>Characteristics of cells</t>
  </si>
  <si>
    <t>Total protein volume</t>
  </si>
  <si>
    <t>Total lipid volume</t>
  </si>
  <si>
    <t>Cell line</t>
  </si>
  <si>
    <t>Compound</t>
  </si>
  <si>
    <t>CAS</t>
  </si>
  <si>
    <t>OptiMEM</t>
  </si>
  <si>
    <t>Type of base medium</t>
  </si>
  <si>
    <t>Type of serum</t>
  </si>
  <si>
    <t>FBS</t>
  </si>
  <si>
    <t>cells excluded</t>
  </si>
  <si>
    <t>Cell number at test start</t>
  </si>
  <si>
    <t>Model output</t>
  </si>
  <si>
    <t>System volume</t>
  </si>
  <si>
    <t>Media</t>
  </si>
  <si>
    <t>protein content (mL/L)</t>
  </si>
  <si>
    <t>DMEM Glutamax</t>
  </si>
  <si>
    <t>d-FBS</t>
  </si>
  <si>
    <t>lipid content (mL/L)</t>
  </si>
  <si>
    <r>
      <t>Water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</si>
  <si>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protein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</si>
  <si>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lipid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</si>
  <si>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t>Cells</t>
  </si>
  <si>
    <t>HEK293H</t>
  </si>
  <si>
    <t>HCT116</t>
  </si>
  <si>
    <t>Me-180</t>
  </si>
  <si>
    <t>Medium volume (µL)</t>
  </si>
  <si>
    <t>Fraction of base medium (%)</t>
  </si>
  <si>
    <t>Fraction of serum (%)</t>
  </si>
  <si>
    <t>1. Test system parameters</t>
  </si>
  <si>
    <t>2. Chemical parameters</t>
  </si>
  <si>
    <t>1. System information</t>
  </si>
  <si>
    <t>Information and comments</t>
  </si>
  <si>
    <t>Percentage of medium base in the test medium</t>
  </si>
  <si>
    <t>Percentage of serum in the test medium</t>
  </si>
  <si>
    <t>2. Chemical partitioning</t>
  </si>
  <si>
    <t>Water volume</t>
  </si>
  <si>
    <t>Protein volume</t>
  </si>
  <si>
    <t>Lipid volume</t>
  </si>
  <si>
    <t>MB (%)</t>
  </si>
  <si>
    <r>
      <t>log D</t>
    </r>
    <r>
      <rPr>
        <i/>
        <vertAlign val="subscript"/>
        <sz val="12"/>
        <rFont val="Helvetica"/>
        <family val="2"/>
      </rPr>
      <t>BSA/w</t>
    </r>
    <r>
      <rPr>
        <i/>
        <sz val="12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</si>
  <si>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2"/>
        <rFont val="Helvetica"/>
        <family val="2"/>
      </rPr>
      <t>lip/w</t>
    </r>
    <r>
      <rPr>
        <i/>
        <sz val="12"/>
        <rFont val="Helvetica"/>
        <family val="2"/>
      </rPr>
      <t xml:space="preserve"> [L/L], pH 7.4, 37 °C</t>
    </r>
  </si>
  <si>
    <t>Total Test system</t>
  </si>
  <si>
    <t>Volumes (µL)</t>
  </si>
  <si>
    <t>Test medium</t>
  </si>
  <si>
    <r>
      <t>f</t>
    </r>
    <r>
      <rPr>
        <i/>
        <vertAlign val="subscript"/>
        <sz val="12"/>
        <rFont val="Helvetica"/>
        <family val="2"/>
      </rPr>
      <t xml:space="preserve">cell       </t>
    </r>
    <r>
      <rPr>
        <i/>
        <sz val="12"/>
        <rFont val="Helvetica"/>
        <family val="2"/>
      </rPr>
      <t>(%)</t>
    </r>
  </si>
  <si>
    <r>
      <t>log D</t>
    </r>
    <r>
      <rPr>
        <i/>
        <vertAlign val="subscript"/>
        <sz val="11"/>
        <color theme="1"/>
        <rFont val="Helvetica"/>
        <family val="2"/>
      </rPr>
      <t>medium/w</t>
    </r>
    <r>
      <rPr>
        <i/>
        <sz val="11"/>
        <color theme="1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</si>
  <si>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1"/>
        <color theme="1"/>
        <rFont val="Helvetica"/>
        <family val="2"/>
      </rPr>
      <t>cell/w</t>
    </r>
    <r>
      <rPr>
        <i/>
        <sz val="11"/>
        <color theme="1"/>
        <rFont val="Helvetica"/>
        <family val="2"/>
      </rPr>
      <t xml:space="preserve"> [L/L], pH 7.4, 37 °C</t>
    </r>
  </si>
  <si>
    <t>Cells are solely composed of water, proteins, and lipids</t>
  </si>
  <si>
    <t>Information on media constituents and cells</t>
  </si>
  <si>
    <t>Model setup</t>
  </si>
  <si>
    <t>Equations</t>
  </si>
  <si>
    <r>
      <t>f</t>
    </r>
    <r>
      <rPr>
        <i/>
        <vertAlign val="subscript"/>
        <sz val="12"/>
        <rFont val="Helvetica"/>
        <family val="2"/>
      </rPr>
      <t xml:space="preserve">medium      </t>
    </r>
    <r>
      <rPr>
        <i/>
        <sz val="12"/>
        <rFont val="Helvetica"/>
        <family val="2"/>
      </rPr>
      <t>(%)</t>
    </r>
  </si>
  <si>
    <t>Choose from comment (mouseover) or leave empty of not available</t>
  </si>
  <si>
    <t>Choose from comment (mouseover) or leave empty if not available</t>
  </si>
  <si>
    <r>
      <t>f</t>
    </r>
    <r>
      <rPr>
        <i/>
        <vertAlign val="subscript"/>
        <sz val="12"/>
        <rFont val="Helvetica"/>
        <family val="2"/>
      </rPr>
      <t xml:space="preserve">mem         </t>
    </r>
    <r>
      <rPr>
        <i/>
        <sz val="12"/>
        <rFont val="Helvetica"/>
        <family val="2"/>
      </rPr>
      <t>(%)</t>
    </r>
  </si>
  <si>
    <t>Phenol-Red free DMEM</t>
  </si>
  <si>
    <r>
      <t>(E)C</t>
    </r>
    <r>
      <rPr>
        <i/>
        <vertAlign val="subscript"/>
        <sz val="12"/>
        <rFont val="Helvetica"/>
        <family val="2"/>
      </rPr>
      <t xml:space="preserve">cell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cell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</si>
  <si>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 xml:space="preserve">mem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mem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</si>
  <si>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>nom</t>
    </r>
    <r>
      <rPr>
        <i/>
        <sz val="12"/>
        <rFont val="Helvetica"/>
        <family val="2"/>
      </rPr>
      <t xml:space="preserve"> [mol/L]</t>
    </r>
  </si>
  <si>
    <t>Plated cell number - Disregard cell growth</t>
  </si>
  <si>
    <t>cells &amp; media, MB = Mass Balance</t>
  </si>
  <si>
    <t>MB = Mass Balance</t>
  </si>
  <si>
    <t>mass balance, MB = Mass Balance</t>
  </si>
  <si>
    <t>equals C14, MB = Mass Balance</t>
  </si>
  <si>
    <r>
      <t>(E)C</t>
    </r>
    <r>
      <rPr>
        <i/>
        <vertAlign val="subscript"/>
        <sz val="12"/>
        <rFont val="Helvetica"/>
        <family val="2"/>
      </rPr>
      <t xml:space="preserve">free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w,medium</t>
    </r>
    <r>
      <rPr>
        <i/>
        <sz val="12"/>
        <rFont val="Helvetica"/>
        <family val="2"/>
      </rPr>
      <t>]</t>
    </r>
  </si>
  <si>
    <r>
      <t>f</t>
    </r>
    <r>
      <rPr>
        <i/>
        <vertAlign val="subscript"/>
        <sz val="12"/>
        <rFont val="Helvetica"/>
        <family val="2"/>
      </rPr>
      <t xml:space="preserve">w,medium      </t>
    </r>
    <r>
      <rPr>
        <i/>
        <sz val="12"/>
        <rFont val="Helvetica"/>
        <family val="2"/>
      </rPr>
      <t>(%)</t>
    </r>
  </si>
  <si>
    <t>OptiMEM</t>
    <phoneticPr fontId="17" type="noConversion"/>
  </si>
  <si>
    <t>cs-FBS</t>
    <phoneticPr fontId="17" type="noConversion"/>
  </si>
  <si>
    <t>HEK293T</t>
    <phoneticPr fontId="17" type="noConversion"/>
  </si>
  <si>
    <t>FBS</t>
    <phoneticPr fontId="17" type="noConversion"/>
  </si>
  <si>
    <t>umole</t>
    <phoneticPr fontId="17" type="noConversion"/>
  </si>
  <si>
    <t>umold</t>
    <phoneticPr fontId="17" type="noConversion"/>
  </si>
  <si>
    <t>HepG2</t>
  </si>
  <si>
    <t>Dicofol</t>
  </si>
  <si>
    <t>115-32-2</t>
  </si>
  <si>
    <t>Endosulfan I</t>
  </si>
  <si>
    <t>115-29-7</t>
  </si>
  <si>
    <t>Lindane</t>
  </si>
  <si>
    <t>58-89-9</t>
  </si>
  <si>
    <t>Parathion</t>
  </si>
  <si>
    <t>56-38-2</t>
  </si>
  <si>
    <t>Caffeine</t>
  </si>
  <si>
    <t>58-08-2</t>
  </si>
  <si>
    <t>2,4-Dichlorophenoxyacetic</t>
  </si>
  <si>
    <t>94-75-7</t>
  </si>
  <si>
    <t>(S)-Naproxen</t>
  </si>
  <si>
    <t>22204-53-1</t>
  </si>
  <si>
    <t>Torasemide</t>
  </si>
  <si>
    <t>56211-40-6</t>
  </si>
  <si>
    <t>Warfarin</t>
  </si>
  <si>
    <t>81-81-2</t>
  </si>
  <si>
    <t>Malathion</t>
  </si>
  <si>
    <t>121-75-5</t>
  </si>
  <si>
    <t>Allyl alcohol</t>
  </si>
  <si>
    <t>107-18-6</t>
  </si>
  <si>
    <t>dichloromethane</t>
  </si>
  <si>
    <t>75-09-2</t>
  </si>
  <si>
    <t>2,3-dimethyl-1,3-butadiene</t>
  </si>
  <si>
    <t>513-81-5</t>
  </si>
  <si>
    <t>PBDE 153</t>
  </si>
  <si>
    <t>68631-49-2</t>
  </si>
  <si>
    <t>amiodarone</t>
  </si>
  <si>
    <t>1951-25-3</t>
  </si>
  <si>
    <t>15687-27-1</t>
  </si>
  <si>
    <t>HEK293T</t>
  </si>
  <si>
    <t>Chlorpyrifos</t>
  </si>
  <si>
    <t>2921-88-2</t>
  </si>
  <si>
    <t>2,4-Dinitrophenol</t>
  </si>
  <si>
    <t>51-28-5</t>
  </si>
  <si>
    <t>Aldrin</t>
  </si>
  <si>
    <t>309-00-2</t>
  </si>
  <si>
    <t>Azinphos-methyl</t>
  </si>
  <si>
    <t>86-50-0</t>
  </si>
  <si>
    <t>DDD-p,p'</t>
  </si>
  <si>
    <t>50-29-3</t>
  </si>
  <si>
    <t>DDT-o,p'</t>
  </si>
  <si>
    <t>789-02-6</t>
  </si>
  <si>
    <t>DDT-p,p'</t>
  </si>
  <si>
    <t>72-54-8</t>
  </si>
  <si>
    <t>Diazinon</t>
  </si>
  <si>
    <t>333-41-5</t>
  </si>
  <si>
    <t>Dieldrin</t>
  </si>
  <si>
    <t>60-57-1</t>
  </si>
  <si>
    <t>Disulfoton</t>
  </si>
  <si>
    <t>298-04-4</t>
  </si>
  <si>
    <t>Endrin</t>
  </si>
  <si>
    <t>72-20-8</t>
  </si>
  <si>
    <t>Ethion</t>
  </si>
  <si>
    <t>563-12-2</t>
  </si>
  <si>
    <t>Heptachlor</t>
  </si>
  <si>
    <t>76-44-8</t>
  </si>
  <si>
    <t>Heptachlor epoxide B</t>
  </si>
  <si>
    <t>1024-57-3</t>
  </si>
  <si>
    <t>Methoxychlor-o,p'</t>
  </si>
  <si>
    <t>72-43-5</t>
  </si>
  <si>
    <t>Trifluralin</t>
  </si>
  <si>
    <t>1582-09-8</t>
  </si>
  <si>
    <t>Eugenol F</t>
  </si>
  <si>
    <t>97-53-0</t>
  </si>
  <si>
    <t>Methyl-antranilate</t>
  </si>
  <si>
    <t>134-20-3</t>
  </si>
  <si>
    <t>Lilyfore</t>
  </si>
  <si>
    <t>285977-85-7</t>
  </si>
  <si>
    <t>Damascone beta</t>
  </si>
  <si>
    <t>23726-91-2</t>
  </si>
  <si>
    <t>Veloutone</t>
  </si>
  <si>
    <t>14595-54-1</t>
  </si>
  <si>
    <t>Verdox</t>
  </si>
  <si>
    <t>82356-51-2</t>
  </si>
  <si>
    <t>Nirvanol</t>
  </si>
  <si>
    <t>1506-02-1</t>
  </si>
  <si>
    <t>Cetalox</t>
  </si>
  <si>
    <t>3738-00-9</t>
  </si>
  <si>
    <t>Tonalide</t>
  </si>
  <si>
    <t>21145-77-7</t>
  </si>
  <si>
    <t>Lamotrigine</t>
  </si>
  <si>
    <t>84057-84-1</t>
  </si>
  <si>
    <t>Diclofenac</t>
  </si>
  <si>
    <t>15307-79-6</t>
  </si>
  <si>
    <t>Ibuprofen</t>
  </si>
  <si>
    <t>di-n-butylphthalate</t>
  </si>
  <si>
    <t>84-74-2</t>
  </si>
  <si>
    <t>hexachlorophene</t>
  </si>
  <si>
    <t>70-30-4</t>
  </si>
  <si>
    <t>hexamethylenetetramine</t>
  </si>
  <si>
    <t>100-97-0</t>
  </si>
  <si>
    <t>pentachlorophenol</t>
  </si>
  <si>
    <t>87-86-5</t>
  </si>
  <si>
    <t>2,2,2-trichloroethanol</t>
  </si>
  <si>
    <t>115-20-8</t>
  </si>
  <si>
    <t>diethylphthalate</t>
  </si>
  <si>
    <t>84-66-2</t>
  </si>
  <si>
    <t>4-chlorophenol</t>
  </si>
  <si>
    <t>106-48-9</t>
  </si>
  <si>
    <t>permethrin</t>
  </si>
  <si>
    <t>52645-53-1</t>
  </si>
  <si>
    <t>Aniline</t>
  </si>
  <si>
    <t>62-53-3</t>
  </si>
  <si>
    <t>4-fluoroaniline</t>
  </si>
  <si>
    <t>371-40-4</t>
  </si>
  <si>
    <t>2,4,6-trichlorophenol</t>
  </si>
  <si>
    <t>88-06-2</t>
  </si>
  <si>
    <t>N-methylaniline</t>
  </si>
  <si>
    <t>100-61-8</t>
  </si>
  <si>
    <t>3,4-dichloroaniline</t>
  </si>
  <si>
    <t>95-76-1</t>
  </si>
  <si>
    <t>4-decylaniline</t>
  </si>
  <si>
    <t>37529-30-9</t>
  </si>
  <si>
    <t>naphthalene</t>
  </si>
  <si>
    <t>91-20-3</t>
  </si>
  <si>
    <t>1,2,4-trichlorobenzene</t>
  </si>
  <si>
    <t>120-82-1</t>
  </si>
  <si>
    <t>1,2-dichlorobenzene</t>
  </si>
  <si>
    <t>95-50-1</t>
  </si>
  <si>
    <t>tetrachloroethylene</t>
  </si>
  <si>
    <t>127-18-4</t>
  </si>
  <si>
    <t>cyclosporine A</t>
  </si>
  <si>
    <t>59865-13-3</t>
  </si>
  <si>
    <t>chlorpromazine</t>
  </si>
  <si>
    <t>50-53-3</t>
  </si>
  <si>
    <t>PBDE 47</t>
  </si>
  <si>
    <t>5436-43-1</t>
  </si>
  <si>
    <t>PBDE 99</t>
  </si>
  <si>
    <t>60348-60-9</t>
  </si>
  <si>
    <t>375-73-5</t>
  </si>
  <si>
    <t>757124-72-4</t>
  </si>
  <si>
    <t>375-95-1</t>
  </si>
  <si>
    <t>307-24-4</t>
  </si>
  <si>
    <t>375-22-4</t>
  </si>
  <si>
    <t>335-67-1</t>
  </si>
  <si>
    <t>27619-97-2</t>
  </si>
  <si>
    <t>39108-34-4</t>
  </si>
  <si>
    <t>2058-94-8</t>
  </si>
  <si>
    <t>1763-23-1</t>
  </si>
  <si>
    <t>375-85-9</t>
  </si>
  <si>
    <t>2706-90-3</t>
  </si>
  <si>
    <t>355-46-4</t>
  </si>
  <si>
    <t>335-76-2</t>
  </si>
  <si>
    <t>Azathioprine</t>
  </si>
  <si>
    <t>446-86-6</t>
  </si>
  <si>
    <t>Benzocaine</t>
  </si>
  <si>
    <t>94-09-7</t>
  </si>
  <si>
    <t>Butylated hydroxyanisole</t>
  </si>
  <si>
    <t>25013-16-5</t>
  </si>
  <si>
    <t>Cetirizine dihydrochloride</t>
  </si>
  <si>
    <t>83881-52-1</t>
  </si>
  <si>
    <t>Cyclamate</t>
  </si>
  <si>
    <t>139-05-9</t>
  </si>
  <si>
    <t>Cyclophosphamide</t>
  </si>
  <si>
    <t>6055-19-2</t>
  </si>
  <si>
    <t>Cypermethrin</t>
  </si>
  <si>
    <t>67375-30-8</t>
  </si>
  <si>
    <t>DEET</t>
  </si>
  <si>
    <t>134-62-3</t>
  </si>
  <si>
    <t>Dexamethasone</t>
  </si>
  <si>
    <t>50-02-2</t>
  </si>
  <si>
    <t>Digoxin</t>
  </si>
  <si>
    <t>20830-75-5</t>
  </si>
  <si>
    <t>Fenazaquin</t>
  </si>
  <si>
    <t>120928-09-8</t>
  </si>
  <si>
    <t>Fenbuconazole</t>
  </si>
  <si>
    <t>114369-43-6</t>
  </si>
  <si>
    <t>Fluazinam</t>
  </si>
  <si>
    <t>79622-59-6</t>
  </si>
  <si>
    <t>Furosemide</t>
  </si>
  <si>
    <t>54-31-9</t>
  </si>
  <si>
    <t>Glybenclamide</t>
  </si>
  <si>
    <t>10238-21-8</t>
  </si>
  <si>
    <t>HC Red 3</t>
  </si>
  <si>
    <t>2871-01-4</t>
  </si>
  <si>
    <t>Hydralazine hydrochloride</t>
  </si>
  <si>
    <t>304-20-1</t>
  </si>
  <si>
    <t>Ketoconazole</t>
  </si>
  <si>
    <t>65277-42-1</t>
  </si>
  <si>
    <t>Metformin</t>
  </si>
  <si>
    <t>1115-70-4</t>
  </si>
  <si>
    <t>Metoclopramide</t>
  </si>
  <si>
    <t>364-62-5</t>
  </si>
  <si>
    <t>Nitrofurantoin</t>
  </si>
  <si>
    <t>67-20-9</t>
  </si>
  <si>
    <t>Oxytetracycline hydrochloride</t>
  </si>
  <si>
    <t>2058-46-0</t>
  </si>
  <si>
    <t>Panthenol</t>
  </si>
  <si>
    <t xml:space="preserve">16485-10-2 </t>
  </si>
  <si>
    <t>Paracetamol</t>
  </si>
  <si>
    <t>103-90-2</t>
  </si>
  <si>
    <t>Topiramate</t>
  </si>
  <si>
    <t>97240-79-4</t>
  </si>
  <si>
    <t>Trimellitic anhydride</t>
  </si>
  <si>
    <t>552-30-7</t>
  </si>
  <si>
    <t>Verapamil hydrochloride</t>
  </si>
  <si>
    <t>152-11-4</t>
  </si>
  <si>
    <t>129-06-6</t>
  </si>
  <si>
    <t>Cisapride</t>
  </si>
  <si>
    <t>81098-60-4</t>
  </si>
  <si>
    <t>Citalopram hydrobromide</t>
  </si>
  <si>
    <t>59729-33-8</t>
  </si>
  <si>
    <t>Dofetilide</t>
  </si>
  <si>
    <t>115256-11-6</t>
  </si>
  <si>
    <t>Moxifloxacin hydrochloride</t>
  </si>
  <si>
    <t>186826-86-8</t>
  </si>
  <si>
    <t>N-acetylpro-cainamide</t>
  </si>
  <si>
    <t>32795-44-1</t>
  </si>
  <si>
    <t>Quinidine sulfate</t>
  </si>
  <si>
    <t>50-54-4</t>
  </si>
  <si>
    <t>Sematilide</t>
  </si>
  <si>
    <t>101526-83-4</t>
  </si>
  <si>
    <t>Sotalol hydrochloride</t>
  </si>
  <si>
    <t>959-24-0</t>
  </si>
  <si>
    <t>Mifepristone</t>
  </si>
  <si>
    <t>84371-65-3</t>
  </si>
  <si>
    <t>Perfluorobutanesulfonic_acid</t>
  </si>
  <si>
    <t>4_2_Fluorotelomer_sulfonic_acid</t>
  </si>
  <si>
    <t>˂1</t>
  </si>
  <si>
    <t>Perfluorononanoic_acid</t>
  </si>
  <si>
    <t>Perfluorohexanoic_acid</t>
  </si>
  <si>
    <t>Perfluorobutanoic_acid</t>
  </si>
  <si>
    <t>Perfluorooctanoic_acid</t>
  </si>
  <si>
    <t>6_2_Fluorotelomer_sulfonic_acid</t>
  </si>
  <si>
    <t>8_2_Fluorotelomer_sulfonic_acid</t>
  </si>
  <si>
    <t>Perfluoroundecanoic_acid</t>
  </si>
  <si>
    <t>Perfluorooctanesulfonic_acid</t>
  </si>
  <si>
    <t>Perfluoroheptanoic_acid</t>
  </si>
  <si>
    <t>Perfluoropentanoic_acid</t>
  </si>
  <si>
    <t>N/A</t>
  </si>
  <si>
    <t>Perfluorohexanesulfonic_acid</t>
  </si>
  <si>
    <t>Perfluorodecanoic_acid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</si>
</sst>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"/>
    <numFmt numFmtId="177" formatCode="0.000000000"/>
    <numFmt numFmtId="178" formatCode="0.0%"/>
    <numFmt numFmtId="179" formatCode="0.00_);[Red]\(0.00\)"/>
    <numFmt numFmtId="180" formatCode="0.00000_);[Red]\(0.00000\)"/>
    <numFmt numFmtId="181" formatCode="0.000000_);[Red]\(0.000000\)"/>
    <numFmt numFmtId="182" formatCode="0.0E+00"/>
  </numFmts>
  <fonts count="22" x14ac:knownFonts="1">
    <font>
      <sz val="11"/>
      <color theme="1"/>
      <name val="新細明體"/>
      <family val="2"/>
      <scheme val="minor"/>
    </font>
    <font>
      <sz val="11"/>
      <color theme="1"/>
      <name val="Helvetica"/>
      <family val="2"/>
    </font>
    <font>
      <b/>
      <sz val="11"/>
      <color theme="1"/>
      <name val="Helvetica"/>
      <family val="2"/>
    </font>
    <font>
      <b/>
      <sz val="12"/>
      <color theme="1"/>
      <name val="Helvetica"/>
      <family val="2"/>
    </font>
    <font>
      <sz val="11"/>
      <name val="Helvetica"/>
      <family val="2"/>
    </font>
    <font>
      <b/>
      <sz val="20"/>
      <color theme="1"/>
      <name val="Helvetica"/>
      <family val="2"/>
    </font>
    <font>
      <b/>
      <sz val="10"/>
      <color indexed="81"/>
      <name val="Helvetica"/>
      <family val="2"/>
    </font>
    <font>
      <b/>
      <sz val="11"/>
      <name val="Helvetica"/>
      <family val="2"/>
    </font>
    <font>
      <b/>
      <vertAlign val="superscript"/>
      <sz val="11"/>
      <color theme="1"/>
      <name val="Helvetica"/>
      <family val="2"/>
    </font>
    <font>
      <b/>
      <sz val="14"/>
      <color theme="1"/>
      <name val="Helvetica"/>
      <family val="2"/>
    </font>
    <font>
      <i/>
      <sz val="12"/>
      <name val="Helvetica"/>
      <family val="2"/>
    </font>
    <font>
      <i/>
      <vertAlign val="subscript"/>
      <sz val="12"/>
      <name val="Helvetica"/>
      <family val="2"/>
    </font>
    <font>
      <i/>
      <sz val="11"/>
      <color theme="1"/>
      <name val="Helvetica"/>
      <family val="2"/>
    </font>
    <font>
      <i/>
      <vertAlign val="subscript"/>
      <sz val="11"/>
      <color theme="1"/>
      <name val="Helvetica"/>
      <family val="2"/>
    </font>
    <font>
      <b/>
      <u/>
      <sz val="14"/>
      <color theme="1"/>
      <name val="Helvetic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0"/>
      <color theme="1"/>
      <name val="Arial"/>
      <family val="2"/>
    </font>
    <font>
      <sz val="11"/>
      <color theme="1"/>
      <name val="Helvetica"/>
    </font>
    <font>
      <sz val="12"/>
      <color theme="0" tint="-0.34998626667073579"/>
      <name val="Helvetica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8E4BC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8" fillId="0" borderId="0"/>
  </cellStyleXfs>
  <cellXfs count="185">
    <xf numFmtId="0" fontId="0" fillId="0" borderId="0" xfId="0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7" xfId="0" applyFont="1" applyBorder="1"/>
    <xf numFmtId="0" fontId="1" fillId="0" borderId="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3" borderId="0" xfId="0" applyFill="1"/>
    <xf numFmtId="0" fontId="3" fillId="3" borderId="0" xfId="0" applyFont="1" applyFill="1" applyAlignment="1">
      <alignment vertical="center"/>
    </xf>
    <xf numFmtId="11" fontId="0" fillId="3" borderId="0" xfId="0" applyNumberFormat="1" applyFill="1"/>
    <xf numFmtId="177" fontId="0" fillId="3" borderId="0" xfId="0" applyNumberFormat="1" applyFill="1"/>
    <xf numFmtId="0" fontId="0" fillId="3" borderId="13" xfId="0" applyFill="1" applyBorder="1"/>
    <xf numFmtId="0" fontId="0" fillId="3" borderId="4" xfId="0" applyFill="1" applyBorder="1"/>
    <xf numFmtId="0" fontId="1" fillId="3" borderId="0" xfId="0" applyFont="1" applyFill="1"/>
    <xf numFmtId="0" fontId="0" fillId="3" borderId="14" xfId="0" applyFill="1" applyBorder="1"/>
    <xf numFmtId="0" fontId="0" fillId="3" borderId="6" xfId="0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0" fillId="3" borderId="0" xfId="0" applyFill="1" applyAlignment="1">
      <alignment wrapText="1"/>
    </xf>
    <xf numFmtId="0" fontId="0" fillId="3" borderId="5" xfId="0" applyFill="1" applyBorder="1"/>
    <xf numFmtId="0" fontId="1" fillId="3" borderId="1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 wrapText="1"/>
    </xf>
    <xf numFmtId="0" fontId="1" fillId="3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2" fillId="6" borderId="7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center" wrapText="1"/>
    </xf>
    <xf numFmtId="0" fontId="2" fillId="6" borderId="7" xfId="0" applyFont="1" applyFill="1" applyBorder="1" applyAlignment="1">
      <alignment vertical="center"/>
    </xf>
    <xf numFmtId="176" fontId="1" fillId="2" borderId="7" xfId="0" applyNumberFormat="1" applyFont="1" applyFill="1" applyBorder="1" applyAlignment="1" applyProtection="1">
      <alignment horizontal="center" vertical="center"/>
      <protection hidden="1"/>
    </xf>
    <xf numFmtId="9" fontId="1" fillId="2" borderId="7" xfId="0" applyNumberFormat="1" applyFont="1" applyFill="1" applyBorder="1" applyAlignment="1" applyProtection="1">
      <alignment horizontal="center"/>
      <protection hidden="1"/>
    </xf>
    <xf numFmtId="10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 vertical="center"/>
      <protection hidden="1"/>
    </xf>
    <xf numFmtId="176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/>
      <protection hidden="1"/>
    </xf>
    <xf numFmtId="176" fontId="1" fillId="4" borderId="7" xfId="0" applyNumberFormat="1" applyFont="1" applyFill="1" applyBorder="1" applyAlignment="1" applyProtection="1">
      <alignment horizontal="center"/>
      <protection locked="0"/>
    </xf>
    <xf numFmtId="178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23" xfId="0" applyNumberFormat="1" applyFont="1" applyFill="1" applyBorder="1" applyAlignment="1" applyProtection="1">
      <alignment horizontal="center"/>
      <protection locked="0"/>
    </xf>
    <xf numFmtId="0" fontId="4" fillId="4" borderId="7" xfId="0" applyFont="1" applyFill="1" applyBorder="1" applyAlignment="1" applyProtection="1">
      <alignment horizontal="left" vertical="center"/>
      <protection locked="0"/>
    </xf>
    <xf numFmtId="2" fontId="4" fillId="4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0" borderId="7" xfId="0" applyFont="1" applyBorder="1" applyAlignment="1" applyProtection="1">
      <alignment horizontal="center" vertical="center"/>
      <protection hidden="1"/>
    </xf>
    <xf numFmtId="0" fontId="1" fillId="0" borderId="7" xfId="0" applyFont="1" applyBorder="1" applyProtection="1">
      <protection hidden="1"/>
    </xf>
    <xf numFmtId="0" fontId="1" fillId="0" borderId="7" xfId="0" applyFont="1" applyBorder="1" applyAlignment="1" applyProtection="1">
      <alignment horizontal="left" vertical="center"/>
      <protection hidden="1"/>
    </xf>
    <xf numFmtId="0" fontId="1" fillId="0" borderId="27" xfId="0" applyFont="1" applyBorder="1" applyAlignment="1" applyProtection="1">
      <alignment horizontal="left" vertical="center"/>
      <protection hidden="1"/>
    </xf>
    <xf numFmtId="11" fontId="1" fillId="2" borderId="27" xfId="0" applyNumberFormat="1" applyFont="1" applyFill="1" applyBorder="1" applyAlignment="1" applyProtection="1">
      <alignment horizontal="center"/>
      <protection hidden="1"/>
    </xf>
    <xf numFmtId="2" fontId="4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1" fillId="3" borderId="7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5" xfId="0" applyBorder="1"/>
    <xf numFmtId="11" fontId="1" fillId="3" borderId="2" xfId="0" applyNumberFormat="1" applyFont="1" applyFill="1" applyBorder="1" applyAlignment="1">
      <alignment horizontal="center"/>
    </xf>
    <xf numFmtId="11" fontId="1" fillId="3" borderId="5" xfId="0" applyNumberFormat="1" applyFont="1" applyFill="1" applyBorder="1" applyAlignment="1">
      <alignment horizontal="center"/>
    </xf>
    <xf numFmtId="0" fontId="0" fillId="3" borderId="25" xfId="0" applyFill="1" applyBorder="1"/>
    <xf numFmtId="0" fontId="2" fillId="3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wrapText="1"/>
    </xf>
    <xf numFmtId="0" fontId="0" fillId="3" borderId="26" xfId="0" applyFill="1" applyBorder="1"/>
    <xf numFmtId="0" fontId="1" fillId="3" borderId="2" xfId="0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wrapText="1"/>
    </xf>
    <xf numFmtId="11" fontId="1" fillId="7" borderId="7" xfId="0" applyNumberFormat="1" applyFont="1" applyFill="1" applyBorder="1" applyAlignment="1">
      <alignment horizontal="center"/>
    </xf>
    <xf numFmtId="0" fontId="1" fillId="7" borderId="7" xfId="0" applyFont="1" applyFill="1" applyBorder="1"/>
    <xf numFmtId="0" fontId="1" fillId="7" borderId="7" xfId="0" applyFont="1" applyFill="1" applyBorder="1" applyAlignment="1">
      <alignment horizontal="center"/>
    </xf>
    <xf numFmtId="2" fontId="1" fillId="7" borderId="7" xfId="0" applyNumberFormat="1" applyFont="1" applyFill="1" applyBorder="1" applyAlignment="1">
      <alignment horizontal="center"/>
    </xf>
    <xf numFmtId="179" fontId="0" fillId="3" borderId="0" xfId="0" applyNumberFormat="1" applyFill="1"/>
    <xf numFmtId="180" fontId="0" fillId="3" borderId="0" xfId="0" applyNumberFormat="1" applyFill="1"/>
    <xf numFmtId="181" fontId="0" fillId="3" borderId="0" xfId="0" applyNumberFormat="1" applyFill="1"/>
    <xf numFmtId="0" fontId="4" fillId="8" borderId="7" xfId="0" applyFont="1" applyFill="1" applyBorder="1" applyAlignment="1" applyProtection="1">
      <alignment horizontal="left" vertical="center"/>
      <protection locked="0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2" fontId="4" fillId="8" borderId="7" xfId="0" applyNumberFormat="1" applyFont="1" applyFill="1" applyBorder="1" applyAlignment="1" applyProtection="1">
      <alignment horizontal="center" vertical="center"/>
      <protection locked="0"/>
    </xf>
    <xf numFmtId="2" fontId="1" fillId="8" borderId="7" xfId="0" applyNumberFormat="1" applyFont="1" applyFill="1" applyBorder="1" applyAlignment="1" applyProtection="1">
      <alignment horizontal="center" vertical="center"/>
      <protection locked="0"/>
    </xf>
    <xf numFmtId="2" fontId="1" fillId="2" borderId="7" xfId="0" applyNumberFormat="1" applyFont="1" applyFill="1" applyBorder="1" applyAlignment="1" applyProtection="1">
      <alignment horizontal="center" vertical="center"/>
      <protection hidden="1"/>
    </xf>
    <xf numFmtId="10" fontId="1" fillId="2" borderId="7" xfId="0" applyNumberFormat="1" applyFont="1" applyFill="1" applyBorder="1" applyAlignment="1" applyProtection="1">
      <alignment horizontal="center" vertical="center"/>
      <protection hidden="1"/>
    </xf>
    <xf numFmtId="0" fontId="1" fillId="4" borderId="7" xfId="0" applyFont="1" applyFill="1" applyBorder="1" applyAlignment="1" applyProtection="1">
      <alignment horizontal="left" vertical="center"/>
      <protection locked="0"/>
    </xf>
    <xf numFmtId="2" fontId="1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4" borderId="7" xfId="0" applyNumberFormat="1" applyFont="1" applyFill="1" applyBorder="1" applyAlignment="1" applyProtection="1">
      <alignment horizontal="center" vertical="center"/>
      <protection locked="0"/>
    </xf>
    <xf numFmtId="182" fontId="19" fillId="0" borderId="0" xfId="0" applyNumberFormat="1" applyFont="1" applyAlignment="1">
      <alignment horizontal="center"/>
    </xf>
    <xf numFmtId="11" fontId="0" fillId="3" borderId="14" xfId="0" applyNumberFormat="1" applyFill="1" applyBorder="1"/>
    <xf numFmtId="0" fontId="0" fillId="5" borderId="0" xfId="0" applyFill="1"/>
    <xf numFmtId="181" fontId="0" fillId="0" borderId="0" xfId="0" applyNumberFormat="1"/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4" fillId="0" borderId="8" xfId="0" applyFont="1" applyBorder="1" applyAlignment="1" applyProtection="1">
      <alignment horizontal="center"/>
      <protection hidden="1"/>
    </xf>
    <xf numFmtId="0" fontId="4" fillId="0" borderId="10" xfId="0" applyFont="1" applyBorder="1" applyAlignment="1" applyProtection="1">
      <alignment horizontal="center"/>
      <protection hidden="1"/>
    </xf>
    <xf numFmtId="0" fontId="4" fillId="0" borderId="9" xfId="0" applyFont="1" applyBorder="1" applyAlignment="1" applyProtection="1">
      <alignment horizontal="center"/>
      <protection hidden="1"/>
    </xf>
    <xf numFmtId="0" fontId="10" fillId="0" borderId="27" xfId="0" applyFont="1" applyBorder="1" applyAlignment="1" applyProtection="1">
      <alignment horizontal="center" vertical="center" wrapText="1"/>
      <protection hidden="1"/>
    </xf>
    <xf numFmtId="0" fontId="10" fillId="0" borderId="12" xfId="0" applyFont="1" applyBorder="1" applyAlignment="1" applyProtection="1">
      <alignment horizontal="center" vertical="center" wrapText="1"/>
      <protection hidden="1"/>
    </xf>
    <xf numFmtId="0" fontId="9" fillId="0" borderId="21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2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hidden="1"/>
    </xf>
    <xf numFmtId="0" fontId="9" fillId="0" borderId="19" xfId="0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 applyProtection="1">
      <alignment horizontal="center" vertical="center"/>
      <protection hidden="1"/>
    </xf>
    <xf numFmtId="0" fontId="1" fillId="5" borderId="24" xfId="0" applyFont="1" applyFill="1" applyBorder="1" applyAlignment="1" applyProtection="1">
      <alignment horizontal="center" vertical="center"/>
      <protection hidden="1"/>
    </xf>
    <xf numFmtId="0" fontId="1" fillId="5" borderId="26" xfId="0" applyFont="1" applyFill="1" applyBorder="1" applyAlignment="1" applyProtection="1">
      <alignment horizontal="center" vertical="center"/>
      <protection hidden="1"/>
    </xf>
    <xf numFmtId="2" fontId="12" fillId="0" borderId="27" xfId="0" applyNumberFormat="1" applyFont="1" applyBorder="1" applyAlignment="1" applyProtection="1">
      <alignment horizontal="center" vertical="center" wrapText="1"/>
      <protection hidden="1"/>
    </xf>
    <xf numFmtId="2" fontId="12" fillId="0" borderId="12" xfId="0" applyNumberFormat="1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0" fillId="0" borderId="0" xfId="0" applyAlignment="1">
      <alignment horizontal="center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5" fillId="2" borderId="1" xfId="0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5" fillId="2" borderId="3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0" fontId="5" fillId="2" borderId="14" xfId="0" applyFont="1" applyFill="1" applyBorder="1" applyAlignment="1" applyProtection="1">
      <alignment horizontal="center" vertical="center"/>
      <protection hidden="1"/>
    </xf>
    <xf numFmtId="0" fontId="5" fillId="2" borderId="4" xfId="0" applyFont="1" applyFill="1" applyBorder="1" applyAlignment="1" applyProtection="1">
      <alignment horizontal="center" vertical="center"/>
      <protection hidden="1"/>
    </xf>
    <xf numFmtId="0" fontId="5" fillId="2" borderId="5" xfId="0" applyFont="1" applyFill="1" applyBorder="1" applyAlignment="1" applyProtection="1">
      <alignment horizontal="center" vertical="center"/>
      <protection hidden="1"/>
    </xf>
    <xf numFmtId="0" fontId="5" fillId="2" borderId="6" xfId="0" applyFont="1" applyFill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/>
      <protection hidden="1"/>
    </xf>
    <xf numFmtId="0" fontId="9" fillId="0" borderId="16" xfId="0" applyFont="1" applyBorder="1" applyAlignment="1" applyProtection="1">
      <alignment horizontal="center" vertical="center"/>
      <protection hidden="1"/>
    </xf>
    <xf numFmtId="0" fontId="9" fillId="0" borderId="17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</cellXfs>
  <cellStyles count="2">
    <cellStyle name="一般" xfId="0" builtinId="0"/>
    <cellStyle name="一般 2" xfId="1" xr:uid="{EAD913AB-B22E-45C0-B24F-41FAA7E034FC}"/>
  </cellStyles>
  <dxfs count="0"/>
  <tableStyles count="0" defaultTableStyle="TableStyleMedium2" defaultPivotStyle="PivotStyleLight16"/>
  <colors>
    <mruColors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tif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781229</xdr:colOff>
      <xdr:row>4</xdr:row>
      <xdr:rowOff>29633</xdr:rowOff>
    </xdr:from>
    <xdr:to>
      <xdr:col>7</xdr:col>
      <xdr:colOff>247646</xdr:colOff>
      <xdr:row>23</xdr:row>
      <xdr:rowOff>180312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88146" y="844550"/>
          <a:ext cx="4176000" cy="42840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190500</xdr:colOff>
          <xdr:row>4</xdr:row>
          <xdr:rowOff>133350</xdr:rowOff>
        </xdr:from>
        <xdr:to>
          <xdr:col>21</xdr:col>
          <xdr:colOff>104775</xdr:colOff>
          <xdr:row>5</xdr:row>
          <xdr:rowOff>304800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552450</xdr:colOff>
          <xdr:row>6</xdr:row>
          <xdr:rowOff>9525</xdr:rowOff>
        </xdr:from>
        <xdr:to>
          <xdr:col>21</xdr:col>
          <xdr:colOff>1304925</xdr:colOff>
          <xdr:row>7</xdr:row>
          <xdr:rowOff>180975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409575</xdr:colOff>
          <xdr:row>8</xdr:row>
          <xdr:rowOff>38100</xdr:rowOff>
        </xdr:from>
        <xdr:to>
          <xdr:col>21</xdr:col>
          <xdr:colOff>762000</xdr:colOff>
          <xdr:row>10</xdr:row>
          <xdr:rowOff>9525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10</xdr:row>
          <xdr:rowOff>123825</xdr:rowOff>
        </xdr:from>
        <xdr:to>
          <xdr:col>21</xdr:col>
          <xdr:colOff>1933575</xdr:colOff>
          <xdr:row>12</xdr:row>
          <xdr:rowOff>66675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333375</xdr:colOff>
          <xdr:row>13</xdr:row>
          <xdr:rowOff>57150</xdr:rowOff>
        </xdr:from>
        <xdr:to>
          <xdr:col>21</xdr:col>
          <xdr:colOff>1695450</xdr:colOff>
          <xdr:row>13</xdr:row>
          <xdr:rowOff>381000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447675</xdr:colOff>
          <xdr:row>14</xdr:row>
          <xdr:rowOff>57150</xdr:rowOff>
        </xdr:from>
        <xdr:to>
          <xdr:col>21</xdr:col>
          <xdr:colOff>1543050</xdr:colOff>
          <xdr:row>15</xdr:row>
          <xdr:rowOff>152400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542925</xdr:colOff>
          <xdr:row>16</xdr:row>
          <xdr:rowOff>161925</xdr:rowOff>
        </xdr:from>
        <xdr:to>
          <xdr:col>21</xdr:col>
          <xdr:colOff>1476375</xdr:colOff>
          <xdr:row>18</xdr:row>
          <xdr:rowOff>104775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19</xdr:row>
          <xdr:rowOff>9525</xdr:rowOff>
        </xdr:from>
        <xdr:to>
          <xdr:col>21</xdr:col>
          <xdr:colOff>485775</xdr:colOff>
          <xdr:row>21</xdr:row>
          <xdr:rowOff>180975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22</xdr:row>
          <xdr:rowOff>9525</xdr:rowOff>
        </xdr:from>
        <xdr:to>
          <xdr:col>21</xdr:col>
          <xdr:colOff>542925</xdr:colOff>
          <xdr:row>24</xdr:row>
          <xdr:rowOff>190500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400050</xdr:colOff>
          <xdr:row>25</xdr:row>
          <xdr:rowOff>47625</xdr:rowOff>
        </xdr:from>
        <xdr:to>
          <xdr:col>20</xdr:col>
          <xdr:colOff>742950</xdr:colOff>
          <xdr:row>26</xdr:row>
          <xdr:rowOff>152400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323850</xdr:colOff>
          <xdr:row>27</xdr:row>
          <xdr:rowOff>114300</xdr:rowOff>
        </xdr:from>
        <xdr:to>
          <xdr:col>21</xdr:col>
          <xdr:colOff>1962150</xdr:colOff>
          <xdr:row>30</xdr:row>
          <xdr:rowOff>123825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31</xdr:row>
          <xdr:rowOff>123825</xdr:rowOff>
        </xdr:from>
        <xdr:to>
          <xdr:col>21</xdr:col>
          <xdr:colOff>1762125</xdr:colOff>
          <xdr:row>34</xdr:row>
          <xdr:rowOff>171450</xdr:rowOff>
        </xdr:to>
        <xdr:sp macro="" textlink="">
          <xdr:nvSpPr>
            <xdr:cNvPr id="1039" name="Object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666750</xdr:colOff>
          <xdr:row>35</xdr:row>
          <xdr:rowOff>76200</xdr:rowOff>
        </xdr:from>
        <xdr:to>
          <xdr:col>21</xdr:col>
          <xdr:colOff>685800</xdr:colOff>
          <xdr:row>38</xdr:row>
          <xdr:rowOff>133350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42</xdr:row>
          <xdr:rowOff>76200</xdr:rowOff>
        </xdr:from>
        <xdr:to>
          <xdr:col>21</xdr:col>
          <xdr:colOff>704850</xdr:colOff>
          <xdr:row>45</xdr:row>
          <xdr:rowOff>133350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457200</xdr:colOff>
          <xdr:row>39</xdr:row>
          <xdr:rowOff>133350</xdr:rowOff>
        </xdr:from>
        <xdr:to>
          <xdr:col>21</xdr:col>
          <xdr:colOff>209550</xdr:colOff>
          <xdr:row>41</xdr:row>
          <xdr:rowOff>57150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8" Type="http://schemas.openxmlformats.org/officeDocument/2006/relationships/oleObject" Target="../embeddings/oleObject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97"/>
  <sheetViews>
    <sheetView topLeftCell="G1" zoomScale="90" zoomScaleNormal="90" workbookViewId="0">
      <selection activeCell="L17" sqref="L17:N17"/>
    </sheetView>
  </sheetViews>
  <sheetFormatPr defaultColWidth="10.85546875" defaultRowHeight="15" x14ac:dyDescent="0.45"/>
  <cols>
    <col min="1" max="1" width="4.5703125" customWidth="1"/>
    <col min="2" max="2" width="13.42578125" customWidth="1"/>
    <col min="9" max="9" width="4.7109375" customWidth="1"/>
    <col min="11" max="11" width="21.5703125" bestFit="1" customWidth="1"/>
    <col min="12" max="12" width="17.42578125" customWidth="1"/>
    <col min="13" max="13" width="16.140625" customWidth="1"/>
    <col min="14" max="14" width="16.5703125" customWidth="1"/>
    <col min="16" max="16" width="4.85546875" customWidth="1"/>
    <col min="22" max="22" width="29.5703125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7.649999999999999" x14ac:dyDescent="0.5">
      <c r="A2" s="7"/>
      <c r="B2" s="110" t="s">
        <v>57</v>
      </c>
      <c r="C2" s="111"/>
      <c r="D2" s="111"/>
      <c r="E2" s="111"/>
      <c r="F2" s="111"/>
      <c r="G2" s="111"/>
      <c r="H2" s="112"/>
      <c r="I2" s="7"/>
      <c r="J2" s="101" t="s">
        <v>56</v>
      </c>
      <c r="K2" s="102"/>
      <c r="L2" s="102"/>
      <c r="M2" s="102"/>
      <c r="N2" s="102"/>
      <c r="O2" s="103"/>
      <c r="P2" s="7"/>
      <c r="Q2" s="101" t="s">
        <v>58</v>
      </c>
      <c r="R2" s="102"/>
      <c r="S2" s="102"/>
      <c r="T2" s="102"/>
      <c r="U2" s="102"/>
      <c r="V2" s="103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x14ac:dyDescent="0.45">
      <c r="A3" s="7"/>
      <c r="B3" s="24" t="s">
        <v>0</v>
      </c>
      <c r="C3" s="25" t="s">
        <v>1</v>
      </c>
      <c r="D3" s="25"/>
      <c r="E3" s="25"/>
      <c r="F3" s="25"/>
      <c r="G3" s="25"/>
      <c r="H3" s="26"/>
      <c r="I3" s="7"/>
      <c r="J3" s="104"/>
      <c r="K3" s="105"/>
      <c r="L3" s="105"/>
      <c r="M3" s="105"/>
      <c r="N3" s="105"/>
      <c r="O3" s="106"/>
      <c r="P3" s="7"/>
      <c r="Q3" s="104"/>
      <c r="R3" s="105"/>
      <c r="S3" s="105"/>
      <c r="T3" s="105"/>
      <c r="U3" s="105"/>
      <c r="V3" s="106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27"/>
      <c r="C4" s="28" t="s">
        <v>2</v>
      </c>
      <c r="D4" s="29"/>
      <c r="E4" s="29"/>
      <c r="F4" s="29"/>
      <c r="G4" s="28"/>
      <c r="H4" s="30"/>
      <c r="I4" s="7"/>
      <c r="J4" s="107"/>
      <c r="K4" s="108"/>
      <c r="L4" s="108"/>
      <c r="M4" s="108"/>
      <c r="N4" s="108"/>
      <c r="O4" s="109"/>
      <c r="P4" s="7"/>
      <c r="Q4" s="107"/>
      <c r="R4" s="108"/>
      <c r="S4" s="108"/>
      <c r="T4" s="108"/>
      <c r="U4" s="108"/>
      <c r="V4" s="109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15" customHeight="1" x14ac:dyDescent="0.45">
      <c r="A5" s="7"/>
      <c r="B5" s="19"/>
      <c r="C5" s="1"/>
      <c r="D5" s="20"/>
      <c r="E5" s="20"/>
      <c r="F5" s="20"/>
      <c r="G5" s="1"/>
      <c r="H5" s="2"/>
      <c r="I5" s="7"/>
      <c r="J5" s="16"/>
      <c r="K5" s="17"/>
      <c r="L5" s="17"/>
      <c r="M5" s="17"/>
      <c r="N5" s="17"/>
      <c r="O5" s="18"/>
      <c r="P5" s="7"/>
      <c r="Q5" s="58"/>
      <c r="R5" s="59"/>
      <c r="S5" s="59"/>
      <c r="T5" s="59"/>
      <c r="U5" s="59"/>
      <c r="V5" s="60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31.5" customHeight="1" thickBot="1" x14ac:dyDescent="0.5">
      <c r="A6" s="7"/>
      <c r="B6" s="21"/>
      <c r="C6" s="22"/>
      <c r="D6" s="22"/>
      <c r="E6" s="22"/>
      <c r="F6" s="22"/>
      <c r="G6" s="7"/>
      <c r="H6" s="14"/>
      <c r="I6" s="7"/>
      <c r="J6" s="11"/>
      <c r="K6" s="34" t="s">
        <v>21</v>
      </c>
      <c r="L6" s="35" t="s">
        <v>22</v>
      </c>
      <c r="M6" s="35" t="s">
        <v>25</v>
      </c>
      <c r="N6" s="13"/>
      <c r="O6" s="14"/>
      <c r="P6" s="7"/>
      <c r="Q6" s="12"/>
      <c r="R6" s="68"/>
      <c r="S6" s="79"/>
      <c r="T6" s="79"/>
      <c r="U6" s="3"/>
      <c r="V6" s="15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45">
      <c r="A7" s="7"/>
      <c r="B7" s="11"/>
      <c r="C7" s="7"/>
      <c r="D7" s="7"/>
      <c r="E7" s="7"/>
      <c r="F7" s="7"/>
      <c r="G7" s="7"/>
      <c r="H7" s="14"/>
      <c r="I7" s="7"/>
      <c r="J7" s="11"/>
      <c r="K7" s="81" t="s">
        <v>74</v>
      </c>
      <c r="L7" s="82">
        <v>0</v>
      </c>
      <c r="M7" s="83">
        <v>0</v>
      </c>
      <c r="N7" s="13"/>
      <c r="O7" s="14"/>
      <c r="P7" s="7"/>
      <c r="Q7" s="11"/>
      <c r="R7" s="13"/>
      <c r="S7" s="61"/>
      <c r="T7" s="62"/>
      <c r="U7" s="13"/>
      <c r="V7" s="14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.4" thickBot="1" x14ac:dyDescent="0.5">
      <c r="A8" s="7"/>
      <c r="B8" s="11"/>
      <c r="C8" s="7"/>
      <c r="D8" s="7"/>
      <c r="E8" s="7"/>
      <c r="F8" s="7"/>
      <c r="G8" s="7"/>
      <c r="H8" s="14"/>
      <c r="I8" s="7"/>
      <c r="J8" s="11"/>
      <c r="K8" s="31" t="s">
        <v>23</v>
      </c>
      <c r="L8" s="32">
        <v>0</v>
      </c>
      <c r="M8" s="33">
        <v>0</v>
      </c>
      <c r="N8" s="13"/>
      <c r="O8" s="14"/>
      <c r="P8" s="7"/>
      <c r="Q8" s="12"/>
      <c r="R8" s="3"/>
      <c r="S8" s="77"/>
      <c r="T8" s="78"/>
      <c r="U8" s="3"/>
      <c r="V8" s="15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x14ac:dyDescent="0.45">
      <c r="A9" s="7"/>
      <c r="B9" s="11"/>
      <c r="C9" s="7"/>
      <c r="D9" s="7"/>
      <c r="E9" s="7"/>
      <c r="F9" s="7"/>
      <c r="G9" s="7"/>
      <c r="H9" s="14"/>
      <c r="I9" s="7"/>
      <c r="J9" s="11"/>
      <c r="K9" s="31" t="s">
        <v>63</v>
      </c>
      <c r="L9" s="32">
        <v>0</v>
      </c>
      <c r="M9" s="33">
        <v>0</v>
      </c>
      <c r="N9" s="13"/>
      <c r="O9" s="14"/>
      <c r="P9" s="7"/>
      <c r="Q9" s="64"/>
      <c r="R9" s="1"/>
      <c r="S9" s="75"/>
      <c r="T9" s="76"/>
      <c r="U9" s="1"/>
      <c r="V9" s="66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.4" thickBot="1" x14ac:dyDescent="0.5">
      <c r="A10" s="7"/>
      <c r="B10" s="11"/>
      <c r="C10" s="7"/>
      <c r="D10" s="7"/>
      <c r="E10" s="7"/>
      <c r="F10" s="7"/>
      <c r="G10" s="7"/>
      <c r="H10" s="14"/>
      <c r="I10" s="7"/>
      <c r="J10" s="11"/>
      <c r="K10" s="81" t="s">
        <v>16</v>
      </c>
      <c r="L10" s="82">
        <v>24</v>
      </c>
      <c r="M10" s="82">
        <v>1.9</v>
      </c>
      <c r="N10" s="13"/>
      <c r="O10" s="14"/>
      <c r="P10" s="7"/>
      <c r="Q10" s="12"/>
      <c r="R10" s="3"/>
      <c r="S10" s="77"/>
      <c r="T10" s="68"/>
      <c r="U10" s="3"/>
      <c r="V10" s="15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45">
      <c r="A11" s="7"/>
      <c r="B11" s="11"/>
      <c r="C11" s="7"/>
      <c r="D11" s="7"/>
      <c r="E11" s="7"/>
      <c r="F11" s="7"/>
      <c r="G11" s="7"/>
      <c r="H11" s="14"/>
      <c r="I11" s="7"/>
      <c r="J11" s="11"/>
      <c r="K11" s="31" t="s">
        <v>75</v>
      </c>
      <c r="L11" s="32">
        <v>46.77</v>
      </c>
      <c r="M11" s="32">
        <v>1.6</v>
      </c>
      <c r="N11" s="13"/>
      <c r="O11" s="14"/>
      <c r="P11" s="7"/>
      <c r="Q11" s="64"/>
      <c r="R11" s="1"/>
      <c r="S11" s="75"/>
      <c r="T11" s="75"/>
      <c r="U11" s="1"/>
      <c r="V11" s="66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x14ac:dyDescent="0.45">
      <c r="A12" s="7"/>
      <c r="B12" s="11"/>
      <c r="C12" s="7"/>
      <c r="D12" s="7"/>
      <c r="E12" s="7"/>
      <c r="F12" s="7"/>
      <c r="G12" s="7"/>
      <c r="H12" s="14"/>
      <c r="I12" s="7"/>
      <c r="J12" s="11"/>
      <c r="K12" s="31" t="s">
        <v>24</v>
      </c>
      <c r="L12" s="32">
        <v>37.69</v>
      </c>
      <c r="M12" s="32">
        <v>1.46</v>
      </c>
      <c r="N12" s="13"/>
      <c r="O12" s="14"/>
      <c r="P12" s="7"/>
      <c r="Q12" s="11"/>
      <c r="R12" s="13"/>
      <c r="S12" s="61"/>
      <c r="T12" s="61"/>
      <c r="U12" s="13"/>
      <c r="V12" s="14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.4" thickBot="1" x14ac:dyDescent="0.5">
      <c r="A13" s="7"/>
      <c r="B13" s="11"/>
      <c r="C13" s="7"/>
      <c r="D13" s="7"/>
      <c r="E13" s="7"/>
      <c r="F13" s="7"/>
      <c r="G13" s="7"/>
      <c r="H13" s="14"/>
      <c r="I13" s="7"/>
      <c r="J13" s="11"/>
      <c r="K13" s="13"/>
      <c r="L13" s="13"/>
      <c r="M13" s="13"/>
      <c r="N13" s="13"/>
      <c r="O13" s="14"/>
      <c r="P13" s="7"/>
      <c r="Q13" s="12"/>
      <c r="R13" s="3"/>
      <c r="S13" s="3"/>
      <c r="T13" s="3"/>
      <c r="U13" s="3"/>
      <c r="V13" s="15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33" customHeight="1" thickBot="1" x14ac:dyDescent="0.5">
      <c r="A14" s="7"/>
      <c r="B14" s="11"/>
      <c r="C14" s="7"/>
      <c r="D14" s="7"/>
      <c r="E14" s="7"/>
      <c r="F14" s="7"/>
      <c r="G14" s="7"/>
      <c r="H14" s="14"/>
      <c r="I14" s="7"/>
      <c r="J14" s="11"/>
      <c r="K14" s="36" t="s">
        <v>29</v>
      </c>
      <c r="L14" s="35" t="s">
        <v>26</v>
      </c>
      <c r="M14" s="35" t="s">
        <v>27</v>
      </c>
      <c r="N14" s="35" t="s">
        <v>28</v>
      </c>
      <c r="O14" s="14"/>
      <c r="P14" s="7"/>
      <c r="Q14" s="71"/>
      <c r="R14" s="72"/>
      <c r="S14" s="73"/>
      <c r="T14" s="73"/>
      <c r="U14" s="73"/>
      <c r="V14" s="74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x14ac:dyDescent="0.45">
      <c r="A15" s="7"/>
      <c r="B15" s="11"/>
      <c r="C15" s="7"/>
      <c r="D15" s="7"/>
      <c r="E15" s="7"/>
      <c r="F15" s="7"/>
      <c r="G15" s="7"/>
      <c r="H15" s="14"/>
      <c r="I15" s="7"/>
      <c r="J15" s="11"/>
      <c r="K15" s="31" t="s">
        <v>76</v>
      </c>
      <c r="L15" s="57">
        <f>M15/0.029*(0.018)</f>
        <v>4.619905956112852E-5</v>
      </c>
      <c r="M15" s="57">
        <v>7.4431818181818174E-5</v>
      </c>
      <c r="N15" s="57">
        <f>M15/0.029*(0.953)</f>
        <v>2.4459835423197487E-3</v>
      </c>
      <c r="O15" s="98">
        <f>SUM(L15:N15)</f>
        <v>2.5666144200626952E-3</v>
      </c>
      <c r="P15" s="9"/>
      <c r="Q15" s="64"/>
      <c r="R15" s="1"/>
      <c r="S15" s="69"/>
      <c r="T15" s="69"/>
      <c r="U15" s="69"/>
      <c r="V15" s="66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.4" thickBot="1" x14ac:dyDescent="0.5">
      <c r="A16" s="7"/>
      <c r="B16" s="11"/>
      <c r="C16" s="7"/>
      <c r="D16" s="7"/>
      <c r="E16" s="7"/>
      <c r="F16" s="7"/>
      <c r="G16" s="7"/>
      <c r="H16" s="14"/>
      <c r="I16" s="7"/>
      <c r="J16" s="11"/>
      <c r="K16" s="31" t="s">
        <v>30</v>
      </c>
      <c r="L16" s="57">
        <v>2.5484800000000001E-3</v>
      </c>
      <c r="M16" s="57">
        <v>2.2915000000000001E-4</v>
      </c>
      <c r="N16" s="57">
        <v>9.6669999999999994E-5</v>
      </c>
      <c r="O16" s="98"/>
      <c r="P16" s="9"/>
      <c r="Q16" s="12"/>
      <c r="R16" s="3"/>
      <c r="S16" s="70"/>
      <c r="T16" s="70"/>
      <c r="U16" s="70"/>
      <c r="V16" s="15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45">
      <c r="A17" s="7"/>
      <c r="B17" s="11"/>
      <c r="C17" s="7"/>
      <c r="D17" s="7"/>
      <c r="E17" s="7"/>
      <c r="F17" s="7"/>
      <c r="G17" s="7"/>
      <c r="H17" s="14"/>
      <c r="I17" s="7"/>
      <c r="J17" s="99" t="s">
        <v>112</v>
      </c>
      <c r="K17" s="31" t="s">
        <v>80</v>
      </c>
      <c r="L17" s="80">
        <v>6.6116099999999995E-3</v>
      </c>
      <c r="M17" s="80">
        <v>6.1539000000000006E-4</v>
      </c>
      <c r="N17" s="80">
        <v>7.2999999999999999E-5</v>
      </c>
      <c r="O17" s="98"/>
      <c r="P17" s="9"/>
      <c r="Q17" s="64"/>
      <c r="R17" s="1"/>
      <c r="S17" s="69"/>
      <c r="T17" s="69"/>
      <c r="U17" s="69"/>
      <c r="V17" s="66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45">
      <c r="A18" s="7"/>
      <c r="B18" s="11"/>
      <c r="C18" s="7"/>
      <c r="D18" s="7"/>
      <c r="E18" s="7"/>
      <c r="F18" s="7"/>
      <c r="G18" s="7"/>
      <c r="H18" s="14"/>
      <c r="I18" s="7"/>
      <c r="J18" s="11"/>
      <c r="K18" s="31" t="s">
        <v>31</v>
      </c>
      <c r="L18" s="57">
        <v>2.2457100000000002E-3</v>
      </c>
      <c r="M18" s="57">
        <v>3.0027E-4</v>
      </c>
      <c r="N18" s="57">
        <v>6.6229999999999994E-5</v>
      </c>
      <c r="O18" s="98"/>
      <c r="P18" s="9"/>
      <c r="Q18" s="11"/>
      <c r="R18" s="13"/>
      <c r="S18" s="63"/>
      <c r="T18" s="63"/>
      <c r="U18" s="63"/>
      <c r="V18" s="14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.4" thickBot="1" x14ac:dyDescent="0.5">
      <c r="A19" s="7"/>
      <c r="B19" s="11"/>
      <c r="C19" s="7"/>
      <c r="D19" s="7"/>
      <c r="E19" s="7"/>
      <c r="F19" s="7"/>
      <c r="G19" s="7"/>
      <c r="H19" s="14"/>
      <c r="I19" s="7"/>
      <c r="J19" s="11"/>
      <c r="K19" s="31" t="s">
        <v>32</v>
      </c>
      <c r="L19" s="57">
        <v>3.2730300000000001E-3</v>
      </c>
      <c r="M19" s="57">
        <v>3.9889999999999999E-4</v>
      </c>
      <c r="N19" s="57">
        <v>1.0728E-4</v>
      </c>
      <c r="O19" s="98"/>
      <c r="P19" s="9"/>
      <c r="Q19" s="12"/>
      <c r="R19" s="3"/>
      <c r="S19" s="70"/>
      <c r="T19" s="70"/>
      <c r="U19" s="70"/>
      <c r="V19" s="15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.4" thickBot="1" x14ac:dyDescent="0.5">
      <c r="A20" s="7"/>
      <c r="B20" s="11"/>
      <c r="C20" s="7"/>
      <c r="D20" s="7"/>
      <c r="E20" s="7"/>
      <c r="F20" s="7"/>
      <c r="G20" s="7"/>
      <c r="H20" s="14"/>
      <c r="I20" s="7"/>
      <c r="J20" s="12"/>
      <c r="K20" s="3"/>
      <c r="L20" s="3"/>
      <c r="M20" s="3"/>
      <c r="N20" s="3"/>
      <c r="O20" s="15"/>
      <c r="P20" s="7"/>
      <c r="Q20" s="64"/>
      <c r="R20" s="1"/>
      <c r="S20" s="1"/>
      <c r="T20" s="1"/>
      <c r="U20" s="1"/>
      <c r="V20" s="66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45">
      <c r="A21" s="7"/>
      <c r="B21" s="11"/>
      <c r="C21" s="7"/>
      <c r="D21" s="7"/>
      <c r="E21" s="7"/>
      <c r="F21" s="7"/>
      <c r="G21" s="7"/>
      <c r="H21" s="14"/>
      <c r="I21" s="7"/>
      <c r="J21" s="7"/>
      <c r="K21" s="7"/>
      <c r="L21" s="7"/>
      <c r="M21" s="7"/>
      <c r="N21" s="7"/>
      <c r="O21" s="7"/>
      <c r="P21" s="7"/>
      <c r="Q21" s="11"/>
      <c r="R21" s="7"/>
      <c r="S21" s="7"/>
      <c r="T21" s="7"/>
      <c r="U21" s="7"/>
      <c r="V21" s="14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.4" thickBot="1" x14ac:dyDescent="0.5">
      <c r="A22" s="7"/>
      <c r="B22" s="11"/>
      <c r="C22" s="7"/>
      <c r="D22" s="7"/>
      <c r="E22" s="7"/>
      <c r="F22" s="7"/>
      <c r="G22" s="7"/>
      <c r="H22" s="14"/>
      <c r="I22" s="7"/>
      <c r="J22" s="7"/>
      <c r="K22" s="7"/>
      <c r="M22" s="7"/>
      <c r="N22" s="7"/>
      <c r="O22" s="7"/>
      <c r="P22" s="7"/>
      <c r="Q22" s="12"/>
      <c r="R22" s="23"/>
      <c r="S22" s="23"/>
      <c r="T22" s="23"/>
      <c r="U22" s="23"/>
      <c r="V22" s="15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x14ac:dyDescent="0.45">
      <c r="A23" s="7"/>
      <c r="B23" s="11"/>
      <c r="C23" s="7"/>
      <c r="D23" s="7"/>
      <c r="E23" s="7"/>
      <c r="F23" s="7"/>
      <c r="G23" s="7"/>
      <c r="H23" s="14"/>
      <c r="I23" s="7"/>
      <c r="J23" s="7"/>
      <c r="K23" s="7"/>
      <c r="L23" s="7"/>
      <c r="N23" s="7"/>
      <c r="O23" s="84"/>
      <c r="P23" s="7"/>
      <c r="Q23" s="64"/>
      <c r="R23" s="65"/>
      <c r="S23" s="65"/>
      <c r="T23" s="65"/>
      <c r="U23" s="65"/>
      <c r="V23" s="66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.4" thickBot="1" x14ac:dyDescent="0.5">
      <c r="A24" s="7"/>
      <c r="B24" s="12"/>
      <c r="C24" s="23"/>
      <c r="D24" s="23"/>
      <c r="E24" s="23"/>
      <c r="F24" s="23"/>
      <c r="G24" s="23"/>
      <c r="H24" s="15"/>
      <c r="I24" s="7"/>
      <c r="J24" s="7"/>
      <c r="K24" s="7"/>
      <c r="L24" s="7"/>
      <c r="M24" s="7"/>
      <c r="N24" s="7"/>
      <c r="O24" s="85"/>
      <c r="P24" s="7"/>
      <c r="Q24" s="11"/>
      <c r="R24" s="7"/>
      <c r="S24" s="7"/>
      <c r="T24" s="7"/>
      <c r="U24" s="7"/>
      <c r="V24" s="14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.4" thickBot="1" x14ac:dyDescent="0.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97"/>
      <c r="M25" s="7"/>
      <c r="N25" s="7"/>
      <c r="O25" s="86"/>
      <c r="P25" s="7"/>
      <c r="Q25" s="12"/>
      <c r="R25" s="23"/>
      <c r="S25" s="23"/>
      <c r="T25" s="23"/>
      <c r="U25" s="23"/>
      <c r="V25" s="15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x14ac:dyDescent="0.4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N26" s="7"/>
      <c r="O26" s="7"/>
      <c r="P26" s="7"/>
      <c r="Q26" s="64"/>
      <c r="R26" s="65"/>
      <c r="S26" s="65"/>
      <c r="T26" s="65"/>
      <c r="U26" s="65"/>
      <c r="V26" s="66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5.4" thickBot="1" x14ac:dyDescent="0.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12"/>
      <c r="R27" s="23"/>
      <c r="S27" s="23"/>
      <c r="T27" s="23"/>
      <c r="U27" s="23"/>
      <c r="V27" s="15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64"/>
      <c r="R28" s="67"/>
      <c r="S28" s="65"/>
      <c r="T28" s="65"/>
      <c r="U28" s="65"/>
      <c r="V28" s="66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11"/>
      <c r="R29" s="7"/>
      <c r="T29" s="7"/>
      <c r="U29" s="7"/>
      <c r="V29" s="14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11"/>
      <c r="R30" s="7"/>
      <c r="S30" s="7"/>
      <c r="T30" s="7"/>
      <c r="U30" s="7"/>
      <c r="V30" s="14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ht="15.4" thickBot="1" x14ac:dyDescent="0.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12"/>
      <c r="R31" s="23"/>
      <c r="S31" s="23"/>
      <c r="T31" s="23"/>
      <c r="U31" s="23"/>
      <c r="V31" s="15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64"/>
      <c r="R32" s="65"/>
      <c r="S32" s="67"/>
      <c r="T32" s="65"/>
      <c r="U32" s="65"/>
      <c r="V32" s="66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Q33" s="11"/>
      <c r="S33" s="7"/>
      <c r="T33" s="7"/>
      <c r="U33" s="7"/>
      <c r="V33" s="14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P34" s="7"/>
      <c r="Q34" s="11"/>
      <c r="R34" s="7"/>
      <c r="S34" s="7"/>
      <c r="U34" s="7"/>
      <c r="V34" s="14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4" thickBot="1" x14ac:dyDescent="0.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12"/>
      <c r="R35" s="23"/>
      <c r="S35" s="68"/>
      <c r="T35" s="23"/>
      <c r="U35" s="23"/>
      <c r="V35" s="15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P36" s="7"/>
      <c r="Q36" s="64"/>
      <c r="R36" s="65"/>
      <c r="S36" s="65"/>
      <c r="T36" s="65"/>
      <c r="U36" s="65"/>
      <c r="V36" s="66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11"/>
      <c r="S37" s="7"/>
      <c r="T37" s="7"/>
      <c r="U37" s="7"/>
      <c r="V37" s="14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1"/>
      <c r="R38" s="7"/>
      <c r="S38" s="7"/>
      <c r="T38" s="7"/>
      <c r="U38" s="7"/>
      <c r="V38" s="14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ht="15.4" thickBot="1" x14ac:dyDescent="0.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12"/>
      <c r="R39" s="23"/>
      <c r="S39" s="23"/>
      <c r="T39" s="23"/>
      <c r="U39" s="23"/>
      <c r="V39" s="15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4"/>
      <c r="R40" s="65"/>
      <c r="S40" s="65"/>
      <c r="T40" s="65"/>
      <c r="U40" s="65"/>
      <c r="V40" s="66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11"/>
      <c r="R41" s="7"/>
      <c r="S41" s="7"/>
      <c r="T41" s="7"/>
      <c r="U41" s="7"/>
      <c r="V41" s="14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ht="15.4" thickBot="1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12"/>
      <c r="R42" s="23"/>
      <c r="S42" s="23"/>
      <c r="T42" s="23"/>
      <c r="U42" s="23"/>
      <c r="V42" s="15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4"/>
      <c r="R43" s="65"/>
      <c r="S43" s="65"/>
      <c r="T43" s="65"/>
      <c r="U43" s="65"/>
      <c r="V43" s="66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11"/>
      <c r="R44" s="7"/>
      <c r="S44" s="7"/>
      <c r="T44" s="7"/>
      <c r="U44" s="7"/>
      <c r="V44" s="14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11"/>
      <c r="R45" s="7"/>
      <c r="S45" s="7"/>
      <c r="T45" s="7"/>
      <c r="U45" s="7"/>
      <c r="V45" s="14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ht="15.4" thickBot="1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2"/>
      <c r="R46" s="23"/>
      <c r="S46" s="23"/>
      <c r="T46" s="23"/>
      <c r="U46" s="23"/>
      <c r="V46" s="15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 x14ac:dyDescent="0.4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 x14ac:dyDescent="0.4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 x14ac:dyDescent="0.4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 x14ac:dyDescent="0.4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 x14ac:dyDescent="0.4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 x14ac:dyDescent="0.4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 x14ac:dyDescent="0.4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 x14ac:dyDescent="0.4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 x14ac:dyDescent="0.4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 x14ac:dyDescent="0.4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 x14ac:dyDescent="0.4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 x14ac:dyDescent="0.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 x14ac:dyDescent="0.4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 x14ac:dyDescent="0.4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 x14ac:dyDescent="0.4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 x14ac:dyDescent="0.4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 x14ac:dyDescent="0.4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 x14ac:dyDescent="0.4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 x14ac:dyDescent="0.4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 x14ac:dyDescent="0.4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 x14ac:dyDescent="0.4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 x14ac:dyDescent="0.4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 x14ac:dyDescent="0.4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 x14ac:dyDescent="0.4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 x14ac:dyDescent="0.4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 x14ac:dyDescent="0.4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 x14ac:dyDescent="0.4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 x14ac:dyDescent="0.4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 x14ac:dyDescent="0.4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 x14ac:dyDescent="0.4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 x14ac:dyDescent="0.4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 x14ac:dyDescent="0.4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 x14ac:dyDescent="0.4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 x14ac:dyDescent="0.4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 x14ac:dyDescent="0.4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 x14ac:dyDescent="0.4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 x14ac:dyDescent="0.4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 x14ac:dyDescent="0.4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 x14ac:dyDescent="0.4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 x14ac:dyDescent="0.4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 x14ac:dyDescent="0.4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 x14ac:dyDescent="0.4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 x14ac:dyDescent="0.4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 x14ac:dyDescent="0.4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 x14ac:dyDescent="0.4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 x14ac:dyDescent="0.4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 x14ac:dyDescent="0.4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 x14ac:dyDescent="0.4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 x14ac:dyDescent="0.4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 x14ac:dyDescent="0.4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 x14ac:dyDescent="0.4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 x14ac:dyDescent="0.4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 x14ac:dyDescent="0.4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 x14ac:dyDescent="0.4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 x14ac:dyDescent="0.45">
      <c r="A288" s="7"/>
      <c r="B288" s="7"/>
      <c r="C288" s="7"/>
      <c r="D288" s="7"/>
      <c r="E288" s="7"/>
      <c r="F288" s="7"/>
      <c r="G288" s="7"/>
      <c r="H288" s="7"/>
      <c r="I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 x14ac:dyDescent="0.45">
      <c r="A289" s="7"/>
      <c r="B289" s="7"/>
      <c r="C289" s="7"/>
      <c r="D289" s="7"/>
      <c r="E289" s="7"/>
      <c r="F289" s="7"/>
      <c r="G289" s="7"/>
      <c r="H289" s="7"/>
      <c r="I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 x14ac:dyDescent="0.45">
      <c r="A290" s="7"/>
      <c r="B290" s="7"/>
      <c r="C290" s="7"/>
      <c r="D290" s="7"/>
      <c r="E290" s="7"/>
      <c r="F290" s="7"/>
      <c r="G290" s="7"/>
      <c r="H290" s="7"/>
      <c r="I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 x14ac:dyDescent="0.45">
      <c r="A291" s="7"/>
      <c r="B291" s="7"/>
      <c r="C291" s="7"/>
      <c r="D291" s="7"/>
      <c r="E291" s="7"/>
      <c r="F291" s="7"/>
      <c r="G291" s="7"/>
      <c r="H291" s="7"/>
      <c r="I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 x14ac:dyDescent="0.45">
      <c r="A292" s="7"/>
      <c r="B292" s="7"/>
      <c r="C292" s="7"/>
      <c r="D292" s="7"/>
      <c r="E292" s="7"/>
      <c r="F292" s="7"/>
      <c r="G292" s="7"/>
      <c r="H292" s="7"/>
      <c r="I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 x14ac:dyDescent="0.45">
      <c r="A293" s="7"/>
      <c r="B293" s="7"/>
      <c r="C293" s="7"/>
      <c r="D293" s="7"/>
      <c r="E293" s="7"/>
      <c r="F293" s="7"/>
      <c r="G293" s="7"/>
      <c r="H293" s="7"/>
      <c r="I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 x14ac:dyDescent="0.45">
      <c r="A294" s="7"/>
      <c r="B294" s="7"/>
      <c r="C294" s="7"/>
      <c r="D294" s="7"/>
      <c r="E294" s="7"/>
      <c r="F294" s="7"/>
      <c r="G294" s="7"/>
      <c r="H294" s="7"/>
      <c r="I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 x14ac:dyDescent="0.45">
      <c r="A295" s="7"/>
      <c r="B295" s="7"/>
      <c r="C295" s="7"/>
      <c r="D295" s="7"/>
      <c r="E295" s="7"/>
      <c r="F295" s="7"/>
      <c r="G295" s="7"/>
      <c r="H295" s="7"/>
      <c r="I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 x14ac:dyDescent="0.45">
      <c r="A296" s="7"/>
      <c r="B296" s="7"/>
      <c r="C296" s="7"/>
      <c r="D296" s="7"/>
      <c r="E296" s="7"/>
      <c r="F296" s="7"/>
      <c r="G296" s="7"/>
      <c r="H296" s="7"/>
      <c r="I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 x14ac:dyDescent="0.45">
      <c r="A297" s="7"/>
      <c r="B297" s="7"/>
      <c r="C297" s="7"/>
      <c r="D297" s="7"/>
      <c r="E297" s="7"/>
      <c r="F297" s="7"/>
      <c r="G297" s="7"/>
      <c r="H297" s="7"/>
      <c r="I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</sheetData>
  <mergeCells count="3">
    <mergeCell ref="J2:O4"/>
    <mergeCell ref="B2:H2"/>
    <mergeCell ref="Q2:V4"/>
  </mergeCells>
  <phoneticPr fontId="17" type="noConversion"/>
  <pageMargins left="0.7" right="0.7" top="0.78740157499999996" bottom="0.78740157499999996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 sizeWithCells="1">
              <from>
                <xdr:col>18</xdr:col>
                <xdr:colOff>190500</xdr:colOff>
                <xdr:row>4</xdr:row>
                <xdr:rowOff>133350</xdr:rowOff>
              </from>
              <to>
                <xdr:col>21</xdr:col>
                <xdr:colOff>104775</xdr:colOff>
                <xdr:row>5</xdr:row>
                <xdr:rowOff>304800</xdr:rowOff>
              </to>
            </anchor>
          </objectPr>
        </oleObject>
      </mc:Choice>
      <mc:Fallback>
        <oleObject progId="Equation.3" shapeId="1027" r:id="rId4"/>
      </mc:Fallback>
    </mc:AlternateContent>
    <mc:AlternateContent xmlns:mc="http://schemas.openxmlformats.org/markup-compatibility/2006">
      <mc:Choice Requires="x14">
        <oleObject progId="Equation.3" shapeId="1028" r:id="rId6">
          <objectPr defaultSize="0" autoPict="0" r:id="rId7">
            <anchor moveWithCells="1" sizeWithCells="1">
              <from>
                <xdr:col>16</xdr:col>
                <xdr:colOff>552450</xdr:colOff>
                <xdr:row>6</xdr:row>
                <xdr:rowOff>9525</xdr:rowOff>
              </from>
              <to>
                <xdr:col>21</xdr:col>
                <xdr:colOff>1304925</xdr:colOff>
                <xdr:row>7</xdr:row>
                <xdr:rowOff>180975</xdr:rowOff>
              </to>
            </anchor>
          </objectPr>
        </oleObject>
      </mc:Choice>
      <mc:Fallback>
        <oleObject progId="Equation.3" shapeId="1028" r:id="rId6"/>
      </mc:Fallback>
    </mc:AlternateContent>
    <mc:AlternateContent xmlns:mc="http://schemas.openxmlformats.org/markup-compatibility/2006">
      <mc:Choice Requires="x14">
        <oleObject progId="Equation.3" shapeId="1029" r:id="rId8">
          <objectPr defaultSize="0" autoPict="0" r:id="rId9">
            <anchor moveWithCells="1" sizeWithCells="1">
              <from>
                <xdr:col>17</xdr:col>
                <xdr:colOff>409575</xdr:colOff>
                <xdr:row>8</xdr:row>
                <xdr:rowOff>38100</xdr:rowOff>
              </from>
              <to>
                <xdr:col>21</xdr:col>
                <xdr:colOff>762000</xdr:colOff>
                <xdr:row>10</xdr:row>
                <xdr:rowOff>9525</xdr:rowOff>
              </to>
            </anchor>
          </objectPr>
        </oleObject>
      </mc:Choice>
      <mc:Fallback>
        <oleObject progId="Equation.3" shapeId="1029" r:id="rId8"/>
      </mc:Fallback>
    </mc:AlternateContent>
    <mc:AlternateContent xmlns:mc="http://schemas.openxmlformats.org/markup-compatibility/2006">
      <mc:Choice Requires="x14">
        <oleObject progId="Equation.3" shapeId="1030" r:id="rId10">
          <objectPr defaultSize="0" autoPict="0" r:id="rId11">
            <anchor moveWithCells="1" sizeWithCells="1">
              <from>
                <xdr:col>16</xdr:col>
                <xdr:colOff>0</xdr:colOff>
                <xdr:row>10</xdr:row>
                <xdr:rowOff>123825</xdr:rowOff>
              </from>
              <to>
                <xdr:col>21</xdr:col>
                <xdr:colOff>1933575</xdr:colOff>
                <xdr:row>12</xdr:row>
                <xdr:rowOff>66675</xdr:rowOff>
              </to>
            </anchor>
          </objectPr>
        </oleObject>
      </mc:Choice>
      <mc:Fallback>
        <oleObject progId="Equation.3" shapeId="1030" r:id="rId10"/>
      </mc:Fallback>
    </mc:AlternateContent>
    <mc:AlternateContent xmlns:mc="http://schemas.openxmlformats.org/markup-compatibility/2006">
      <mc:Choice Requires="x14">
        <oleObject progId="Equation.3" shapeId="1031" r:id="rId12">
          <objectPr defaultSize="0" autoPict="0" r:id="rId13">
            <anchor moveWithCells="1" sizeWithCells="1">
              <from>
                <xdr:col>16</xdr:col>
                <xdr:colOff>333375</xdr:colOff>
                <xdr:row>13</xdr:row>
                <xdr:rowOff>57150</xdr:rowOff>
              </from>
              <to>
                <xdr:col>21</xdr:col>
                <xdr:colOff>1695450</xdr:colOff>
                <xdr:row>13</xdr:row>
                <xdr:rowOff>381000</xdr:rowOff>
              </to>
            </anchor>
          </objectPr>
        </oleObject>
      </mc:Choice>
      <mc:Fallback>
        <oleObject progId="Equation.3" shapeId="1031" r:id="rId12"/>
      </mc:Fallback>
    </mc:AlternateContent>
    <mc:AlternateContent xmlns:mc="http://schemas.openxmlformats.org/markup-compatibility/2006">
      <mc:Choice Requires="x14">
        <oleObject progId="Equation.3" shapeId="1032" r:id="rId14">
          <objectPr defaultSize="0" autoPict="0" r:id="rId15">
            <anchor moveWithCells="1" sizeWithCells="1">
              <from>
                <xdr:col>16</xdr:col>
                <xdr:colOff>447675</xdr:colOff>
                <xdr:row>14</xdr:row>
                <xdr:rowOff>57150</xdr:rowOff>
              </from>
              <to>
                <xdr:col>21</xdr:col>
                <xdr:colOff>1543050</xdr:colOff>
                <xdr:row>15</xdr:row>
                <xdr:rowOff>152400</xdr:rowOff>
              </to>
            </anchor>
          </objectPr>
        </oleObject>
      </mc:Choice>
      <mc:Fallback>
        <oleObject progId="Equation.3" shapeId="1032" r:id="rId14"/>
      </mc:Fallback>
    </mc:AlternateContent>
    <mc:AlternateContent xmlns:mc="http://schemas.openxmlformats.org/markup-compatibility/2006">
      <mc:Choice Requires="x14">
        <oleObject progId="Equation.3" shapeId="1033" r:id="rId16">
          <objectPr defaultSize="0" autoPict="0" r:id="rId17">
            <anchor moveWithCells="1" sizeWithCells="1">
              <from>
                <xdr:col>16</xdr:col>
                <xdr:colOff>542925</xdr:colOff>
                <xdr:row>16</xdr:row>
                <xdr:rowOff>161925</xdr:rowOff>
              </from>
              <to>
                <xdr:col>21</xdr:col>
                <xdr:colOff>1476375</xdr:colOff>
                <xdr:row>18</xdr:row>
                <xdr:rowOff>104775</xdr:rowOff>
              </to>
            </anchor>
          </objectPr>
        </oleObject>
      </mc:Choice>
      <mc:Fallback>
        <oleObject progId="Equation.3" shapeId="1033" r:id="rId16"/>
      </mc:Fallback>
    </mc:AlternateContent>
    <mc:AlternateContent xmlns:mc="http://schemas.openxmlformats.org/markup-compatibility/2006">
      <mc:Choice Requires="x14">
        <oleObject progId="Equation.3" shapeId="1034" r:id="rId18">
          <objectPr defaultSize="0" autoPict="0" r:id="rId19">
            <anchor moveWithCells="1" sizeWithCells="1">
              <from>
                <xdr:col>17</xdr:col>
                <xdr:colOff>695325</xdr:colOff>
                <xdr:row>19</xdr:row>
                <xdr:rowOff>9525</xdr:rowOff>
              </from>
              <to>
                <xdr:col>21</xdr:col>
                <xdr:colOff>485775</xdr:colOff>
                <xdr:row>21</xdr:row>
                <xdr:rowOff>180975</xdr:rowOff>
              </to>
            </anchor>
          </objectPr>
        </oleObject>
      </mc:Choice>
      <mc:Fallback>
        <oleObject progId="Equation.3" shapeId="1034" r:id="rId18"/>
      </mc:Fallback>
    </mc:AlternateContent>
    <mc:AlternateContent xmlns:mc="http://schemas.openxmlformats.org/markup-compatibility/2006">
      <mc:Choice Requires="x14">
        <oleObject progId="Equation.3" shapeId="1035" r:id="rId20">
          <objectPr defaultSize="0" autoPict="0" r:id="rId21">
            <anchor moveWithCells="1" sizeWithCells="1">
              <from>
                <xdr:col>17</xdr:col>
                <xdr:colOff>752475</xdr:colOff>
                <xdr:row>22</xdr:row>
                <xdr:rowOff>9525</xdr:rowOff>
              </from>
              <to>
                <xdr:col>21</xdr:col>
                <xdr:colOff>542925</xdr:colOff>
                <xdr:row>24</xdr:row>
                <xdr:rowOff>190500</xdr:rowOff>
              </to>
            </anchor>
          </objectPr>
        </oleObject>
      </mc:Choice>
      <mc:Fallback>
        <oleObject progId="Equation.3" shapeId="1035" r:id="rId20"/>
      </mc:Fallback>
    </mc:AlternateContent>
    <mc:AlternateContent xmlns:mc="http://schemas.openxmlformats.org/markup-compatibility/2006">
      <mc:Choice Requires="x14">
        <oleObject progId="Equation.3" shapeId="1037" r:id="rId22">
          <objectPr defaultSize="0" autoPict="0" r:id="rId23">
            <anchor moveWithCells="1" sizeWithCells="1">
              <from>
                <xdr:col>18</xdr:col>
                <xdr:colOff>400050</xdr:colOff>
                <xdr:row>25</xdr:row>
                <xdr:rowOff>47625</xdr:rowOff>
              </from>
              <to>
                <xdr:col>20</xdr:col>
                <xdr:colOff>742950</xdr:colOff>
                <xdr:row>26</xdr:row>
                <xdr:rowOff>152400</xdr:rowOff>
              </to>
            </anchor>
          </objectPr>
        </oleObject>
      </mc:Choice>
      <mc:Fallback>
        <oleObject progId="Equation.3" shapeId="1037" r:id="rId22"/>
      </mc:Fallback>
    </mc:AlternateContent>
    <mc:AlternateContent xmlns:mc="http://schemas.openxmlformats.org/markup-compatibility/2006">
      <mc:Choice Requires="x14">
        <oleObject progId="Equation.3" shapeId="1038" r:id="rId24">
          <objectPr defaultSize="0" autoPict="0" r:id="rId25">
            <anchor moveWithCells="1" sizeWithCells="1">
              <from>
                <xdr:col>15</xdr:col>
                <xdr:colOff>323850</xdr:colOff>
                <xdr:row>27</xdr:row>
                <xdr:rowOff>114300</xdr:rowOff>
              </from>
              <to>
                <xdr:col>21</xdr:col>
                <xdr:colOff>1962150</xdr:colOff>
                <xdr:row>30</xdr:row>
                <xdr:rowOff>123825</xdr:rowOff>
              </to>
            </anchor>
          </objectPr>
        </oleObject>
      </mc:Choice>
      <mc:Fallback>
        <oleObject progId="Equation.3" shapeId="1038" r:id="rId24"/>
      </mc:Fallback>
    </mc:AlternateContent>
    <mc:AlternateContent xmlns:mc="http://schemas.openxmlformats.org/markup-compatibility/2006">
      <mc:Choice Requires="x14">
        <oleObject progId="Equation.3" shapeId="1039" r:id="rId26">
          <objectPr defaultSize="0" autoPict="0" r:id="rId27">
            <anchor moveWithCells="1" sizeWithCells="1">
              <from>
                <xdr:col>16</xdr:col>
                <xdr:colOff>180975</xdr:colOff>
                <xdr:row>31</xdr:row>
                <xdr:rowOff>123825</xdr:rowOff>
              </from>
              <to>
                <xdr:col>21</xdr:col>
                <xdr:colOff>1762125</xdr:colOff>
                <xdr:row>34</xdr:row>
                <xdr:rowOff>171450</xdr:rowOff>
              </to>
            </anchor>
          </objectPr>
        </oleObject>
      </mc:Choice>
      <mc:Fallback>
        <oleObject progId="Equation.3" shapeId="1039" r:id="rId26"/>
      </mc:Fallback>
    </mc:AlternateContent>
    <mc:AlternateContent xmlns:mc="http://schemas.openxmlformats.org/markup-compatibility/2006">
      <mc:Choice Requires="x14">
        <oleObject progId="Equation.3" shapeId="1040" r:id="rId28">
          <objectPr defaultSize="0" autoPict="0" r:id="rId29">
            <anchor moveWithCells="1" sizeWithCells="1">
              <from>
                <xdr:col>17</xdr:col>
                <xdr:colOff>666750</xdr:colOff>
                <xdr:row>35</xdr:row>
                <xdr:rowOff>76200</xdr:rowOff>
              </from>
              <to>
                <xdr:col>21</xdr:col>
                <xdr:colOff>685800</xdr:colOff>
                <xdr:row>38</xdr:row>
                <xdr:rowOff>133350</xdr:rowOff>
              </to>
            </anchor>
          </objectPr>
        </oleObject>
      </mc:Choice>
      <mc:Fallback>
        <oleObject progId="Equation.3" shapeId="1040" r:id="rId28"/>
      </mc:Fallback>
    </mc:AlternateContent>
    <mc:AlternateContent xmlns:mc="http://schemas.openxmlformats.org/markup-compatibility/2006">
      <mc:Choice Requires="x14">
        <oleObject progId="Equation.3" shapeId="1042" r:id="rId30">
          <objectPr defaultSize="0" autoPict="0" r:id="rId31">
            <anchor moveWithCells="1" sizeWithCells="1">
              <from>
                <xdr:col>17</xdr:col>
                <xdr:colOff>676275</xdr:colOff>
                <xdr:row>42</xdr:row>
                <xdr:rowOff>76200</xdr:rowOff>
              </from>
              <to>
                <xdr:col>21</xdr:col>
                <xdr:colOff>704850</xdr:colOff>
                <xdr:row>45</xdr:row>
                <xdr:rowOff>133350</xdr:rowOff>
              </to>
            </anchor>
          </objectPr>
        </oleObject>
      </mc:Choice>
      <mc:Fallback>
        <oleObject progId="Equation.3" shapeId="1042" r:id="rId30"/>
      </mc:Fallback>
    </mc:AlternateContent>
    <mc:AlternateContent xmlns:mc="http://schemas.openxmlformats.org/markup-compatibility/2006">
      <mc:Choice Requires="x14">
        <oleObject progId="Equation.3" shapeId="1043" r:id="rId32">
          <objectPr defaultSize="0" autoPict="0" r:id="rId33">
            <anchor moveWithCells="1" sizeWithCells="1">
              <from>
                <xdr:col>18</xdr:col>
                <xdr:colOff>457200</xdr:colOff>
                <xdr:row>39</xdr:row>
                <xdr:rowOff>133350</xdr:rowOff>
              </from>
              <to>
                <xdr:col>21</xdr:col>
                <xdr:colOff>209550</xdr:colOff>
                <xdr:row>41</xdr:row>
                <xdr:rowOff>57150</xdr:rowOff>
              </to>
            </anchor>
          </objectPr>
        </oleObject>
      </mc:Choice>
      <mc:Fallback>
        <oleObject progId="Equation.3" shapeId="1043" r:id="rId3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3"/>
  <sheetViews>
    <sheetView tabSelected="1" topLeftCell="C106" zoomScale="70" zoomScaleNormal="70" workbookViewId="0">
      <selection activeCell="S28" sqref="S28:V143"/>
    </sheetView>
  </sheetViews>
  <sheetFormatPr defaultColWidth="11.42578125" defaultRowHeight="15" x14ac:dyDescent="0.45"/>
  <cols>
    <col min="1" max="1" width="8.140625" customWidth="1"/>
    <col min="2" max="2" width="29.28515625" customWidth="1"/>
    <col min="3" max="3" width="23.140625" bestFit="1" customWidth="1"/>
    <col min="4" max="4" width="21.7109375" customWidth="1"/>
    <col min="5" max="5" width="18.5703125" customWidth="1"/>
    <col min="6" max="6" width="21.5703125" customWidth="1"/>
    <col min="7" max="7" width="5.5703125" customWidth="1"/>
    <col min="8" max="8" width="4.85546875" customWidth="1"/>
    <col min="9" max="9" width="19" customWidth="1"/>
    <col min="10" max="10" width="17.28515625" customWidth="1"/>
    <col min="11" max="11" width="9.5703125" customWidth="1"/>
    <col min="12" max="13" width="9.28515625" customWidth="1"/>
    <col min="14" max="14" width="9.42578125" customWidth="1"/>
    <col min="15" max="15" width="14.42578125" customWidth="1"/>
    <col min="16" max="16" width="11.42578125" customWidth="1"/>
    <col min="17" max="17" width="14.85546875" customWidth="1"/>
    <col min="19" max="19" width="18.42578125" bestFit="1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138"/>
      <c r="H1" s="138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5" customHeight="1" x14ac:dyDescent="0.45">
      <c r="A2" s="7"/>
      <c r="B2" s="7"/>
      <c r="C2" s="7"/>
      <c r="D2" s="7"/>
      <c r="E2" s="7"/>
      <c r="F2" s="7"/>
      <c r="G2" s="138"/>
      <c r="H2" s="138"/>
      <c r="I2" s="151" t="s">
        <v>19</v>
      </c>
      <c r="J2" s="152"/>
      <c r="K2" s="152"/>
      <c r="L2" s="152"/>
      <c r="M2" s="152"/>
      <c r="N2" s="152"/>
      <c r="O2" s="152"/>
      <c r="P2" s="152"/>
      <c r="Q2" s="153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ht="15" customHeight="1" x14ac:dyDescent="0.45">
      <c r="A3" s="7"/>
      <c r="B3" s="7"/>
      <c r="C3" s="7"/>
      <c r="D3" s="7"/>
      <c r="E3" s="7"/>
      <c r="F3" s="7"/>
      <c r="G3" s="138"/>
      <c r="H3" s="138"/>
      <c r="I3" s="154"/>
      <c r="J3" s="155"/>
      <c r="K3" s="155"/>
      <c r="L3" s="155"/>
      <c r="M3" s="155"/>
      <c r="N3" s="155"/>
      <c r="O3" s="155"/>
      <c r="P3" s="155"/>
      <c r="Q3" s="156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7"/>
      <c r="C4" s="7"/>
      <c r="D4" s="7"/>
      <c r="E4" s="7"/>
      <c r="F4" s="7"/>
      <c r="G4" s="138"/>
      <c r="H4" s="138"/>
      <c r="I4" s="157"/>
      <c r="J4" s="158"/>
      <c r="K4" s="158"/>
      <c r="L4" s="158"/>
      <c r="M4" s="158"/>
      <c r="N4" s="158"/>
      <c r="O4" s="158"/>
      <c r="P4" s="158"/>
      <c r="Q4" s="159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24.75" customHeight="1" x14ac:dyDescent="0.45">
      <c r="A5" s="7"/>
      <c r="B5" s="7"/>
      <c r="C5" s="7"/>
      <c r="D5" s="7"/>
      <c r="E5" s="7"/>
      <c r="F5" s="7"/>
      <c r="G5" s="138"/>
      <c r="H5" s="138"/>
      <c r="I5" s="160" t="s">
        <v>38</v>
      </c>
      <c r="J5" s="161"/>
      <c r="K5" s="161"/>
      <c r="L5" s="161"/>
      <c r="M5" s="161"/>
      <c r="N5" s="161"/>
      <c r="O5" s="161"/>
      <c r="P5" s="161"/>
      <c r="Q5" s="162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15" customHeight="1" x14ac:dyDescent="0.45">
      <c r="A6" s="7"/>
      <c r="B6" s="7"/>
      <c r="C6" s="7"/>
      <c r="D6" s="7"/>
      <c r="E6" s="7"/>
      <c r="F6" s="7"/>
      <c r="G6" s="138"/>
      <c r="H6" s="138"/>
      <c r="I6" s="49" t="s">
        <v>49</v>
      </c>
      <c r="J6" s="49" t="s">
        <v>50</v>
      </c>
      <c r="K6" s="49" t="s">
        <v>46</v>
      </c>
      <c r="L6" s="130" t="s">
        <v>39</v>
      </c>
      <c r="M6" s="131"/>
      <c r="N6" s="131"/>
      <c r="O6" s="131"/>
      <c r="P6" s="131"/>
      <c r="Q6" s="132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ht="15" customHeight="1" thickBot="1" x14ac:dyDescent="0.5">
      <c r="A7" s="7"/>
      <c r="B7" s="7"/>
      <c r="C7" s="7"/>
      <c r="D7" s="7"/>
      <c r="E7" s="7"/>
      <c r="F7" s="7"/>
      <c r="G7" s="138"/>
      <c r="H7" s="138"/>
      <c r="I7" s="50" t="s">
        <v>20</v>
      </c>
      <c r="J7" s="37">
        <f>SUM(J13,J19)</f>
        <v>40.040880000000001</v>
      </c>
      <c r="K7" s="38">
        <f>J7/J7</f>
        <v>1</v>
      </c>
      <c r="L7" s="113" t="s">
        <v>68</v>
      </c>
      <c r="M7" s="114"/>
      <c r="N7" s="114"/>
      <c r="O7" s="114"/>
      <c r="P7" s="114"/>
      <c r="Q7" s="115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" customHeight="1" x14ac:dyDescent="0.45">
      <c r="A8" s="7"/>
      <c r="B8" s="176" t="s">
        <v>3</v>
      </c>
      <c r="C8" s="177"/>
      <c r="D8" s="177"/>
      <c r="E8" s="177"/>
      <c r="F8" s="178"/>
      <c r="G8" s="138"/>
      <c r="H8" s="138"/>
      <c r="I8" s="51" t="s">
        <v>6</v>
      </c>
      <c r="J8" s="37">
        <f>SUM(J14,J20)</f>
        <v>39.829825016000001</v>
      </c>
      <c r="K8" s="39">
        <f>J8/J7</f>
        <v>0.99472901234937894</v>
      </c>
      <c r="L8" s="113" t="s">
        <v>69</v>
      </c>
      <c r="M8" s="114"/>
      <c r="N8" s="114"/>
      <c r="O8" s="114"/>
      <c r="P8" s="114"/>
      <c r="Q8" s="115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customHeight="1" x14ac:dyDescent="0.45">
      <c r="A9" s="7"/>
      <c r="B9" s="179"/>
      <c r="C9" s="180"/>
      <c r="D9" s="180"/>
      <c r="E9" s="180"/>
      <c r="F9" s="181"/>
      <c r="G9" s="138"/>
      <c r="H9" s="138"/>
      <c r="I9" s="50" t="s">
        <v>8</v>
      </c>
      <c r="J9" s="40">
        <f t="shared" ref="J9:J10" si="0">SUM(J15,J21)</f>
        <v>0.19544618400000002</v>
      </c>
      <c r="K9" s="39">
        <f>J9/J7</f>
        <v>4.8811660482986395E-3</v>
      </c>
      <c r="L9" s="113" t="s">
        <v>69</v>
      </c>
      <c r="M9" s="114"/>
      <c r="N9" s="114"/>
      <c r="O9" s="114"/>
      <c r="P9" s="114"/>
      <c r="Q9" s="115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" customHeight="1" thickBot="1" x14ac:dyDescent="0.5">
      <c r="A10" s="7"/>
      <c r="B10" s="182"/>
      <c r="C10" s="183"/>
      <c r="D10" s="183"/>
      <c r="E10" s="183"/>
      <c r="F10" s="184"/>
      <c r="G10" s="138"/>
      <c r="H10" s="138"/>
      <c r="I10" s="51" t="s">
        <v>9</v>
      </c>
      <c r="J10" s="40">
        <f t="shared" si="0"/>
        <v>1.5608800000000001E-2</v>
      </c>
      <c r="K10" s="39">
        <f>J10/J7</f>
        <v>3.8982160232242647E-4</v>
      </c>
      <c r="L10" s="113" t="s">
        <v>69</v>
      </c>
      <c r="M10" s="114"/>
      <c r="N10" s="114"/>
      <c r="O10" s="114"/>
      <c r="P10" s="114"/>
      <c r="Q10" s="115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ht="15" customHeight="1" x14ac:dyDescent="0.45">
      <c r="A11" s="7"/>
      <c r="B11" s="141" t="s">
        <v>36</v>
      </c>
      <c r="C11" s="142"/>
      <c r="D11" s="142"/>
      <c r="E11" s="142"/>
      <c r="F11" s="143"/>
      <c r="G11" s="138"/>
      <c r="H11" s="138"/>
      <c r="I11" s="129"/>
      <c r="J11" s="129"/>
      <c r="K11" s="129"/>
      <c r="L11" s="129"/>
      <c r="M11" s="129"/>
      <c r="N11" s="129"/>
      <c r="O11" s="129"/>
      <c r="P11" s="129"/>
      <c r="Q11" s="129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ht="15" customHeight="1" x14ac:dyDescent="0.45">
      <c r="A12" s="7"/>
      <c r="B12" s="144"/>
      <c r="C12" s="145"/>
      <c r="D12" s="145"/>
      <c r="E12" s="145"/>
      <c r="F12" s="146"/>
      <c r="G12" s="138"/>
      <c r="H12" s="138"/>
      <c r="I12" s="49" t="s">
        <v>51</v>
      </c>
      <c r="J12" s="49" t="s">
        <v>50</v>
      </c>
      <c r="K12" s="49" t="s">
        <v>46</v>
      </c>
      <c r="L12" s="130" t="s">
        <v>39</v>
      </c>
      <c r="M12" s="131"/>
      <c r="N12" s="131"/>
      <c r="O12" s="131"/>
      <c r="P12" s="131"/>
      <c r="Q12" s="132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" customHeight="1" x14ac:dyDescent="0.45">
      <c r="A13" s="8"/>
      <c r="B13" s="133" t="s">
        <v>4</v>
      </c>
      <c r="C13" s="134"/>
      <c r="D13" s="166" t="s">
        <v>39</v>
      </c>
      <c r="E13" s="166"/>
      <c r="F13" s="166"/>
      <c r="G13" s="138"/>
      <c r="H13" s="138"/>
      <c r="I13" s="50" t="s">
        <v>5</v>
      </c>
      <c r="J13" s="41">
        <f>SUM(J14:J16)</f>
        <v>40</v>
      </c>
      <c r="K13" s="38">
        <f>J13/J13</f>
        <v>1</v>
      </c>
      <c r="L13" s="113" t="s">
        <v>71</v>
      </c>
      <c r="M13" s="114"/>
      <c r="N13" s="114"/>
      <c r="O13" s="114"/>
      <c r="P13" s="114"/>
      <c r="Q13" s="115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15" customHeight="1" x14ac:dyDescent="0.45">
      <c r="A14" s="7"/>
      <c r="B14" s="4" t="s">
        <v>33</v>
      </c>
      <c r="C14" s="43">
        <v>40</v>
      </c>
      <c r="D14" s="167" t="s">
        <v>17</v>
      </c>
      <c r="E14" s="167"/>
      <c r="F14" s="167"/>
      <c r="G14" s="138"/>
      <c r="H14" s="138"/>
      <c r="I14" s="51" t="s">
        <v>43</v>
      </c>
      <c r="J14" s="41">
        <f>C14-SUM(J15:J16)</f>
        <v>39.7928</v>
      </c>
      <c r="K14" s="39">
        <f>J14/J13</f>
        <v>0.99482000000000004</v>
      </c>
      <c r="L14" s="135" t="s">
        <v>70</v>
      </c>
      <c r="M14" s="136"/>
      <c r="N14" s="136"/>
      <c r="O14" s="136"/>
      <c r="P14" s="136"/>
      <c r="Q14" s="13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ht="15" customHeight="1" x14ac:dyDescent="0.45">
      <c r="A15" s="7"/>
      <c r="B15" s="5" t="s">
        <v>14</v>
      </c>
      <c r="C15" s="43" t="s">
        <v>13</v>
      </c>
      <c r="D15" s="168" t="s">
        <v>60</v>
      </c>
      <c r="E15" s="168"/>
      <c r="F15" s="168"/>
      <c r="G15" s="138"/>
      <c r="H15" s="138"/>
      <c r="I15" s="50" t="s">
        <v>44</v>
      </c>
      <c r="J15" s="42">
        <f>C14/1000*IF(AND(C15="OptiMEM",C17="FBS"),C16*'Model structure'!L7+'User input and model output'!C18*'Model structure'!L10,IF(AND(C15="OptiMEM",C17="d-FBS"),C16*'Model structure'!L7+'User input and model output'!C18*'Model structure'!L12,IF(AND(C15="OptiMEM",C17="cs-FBS"),C16*'Model structure'!L7+'User input and model output'!C18*'Model structure'!L11,IF(AND(C15="DMEM Glutamax",C17="FBS"),C16*'Model structure'!L8+'User input and model output'!C18*'Model structure'!L10,IF(AND(C15="DMEM Glutamax",C17="d-FBS"),C16*'Model structure'!L8+'User input and model output'!C18*'Model structure'!L12,IF(AND(C15="DMEM Glutamax",C17="cs-FBS"),C16*'Model structure'!L8+'User input and model output'!C18*'Model structure'!L11,IF(AND(C15="Phenol-Red free DMEM",C17="FBS"),C16*'Model structure'!L9+'User input and model output'!C18*'Model structure'!L10,IF(AND(C15="Phenol-Red free DMEM",C17="d-FBS"),C16*'Model structure'!L9+'User input and model output'!C18*'Model structure'!L12,IF(AND(C15="Phenol-Red free DMEM",C17="cs-FBS"),C16*'Model structure'!L9+'User input and model output'!C18*'Model structure'!L11,C16*AVERAGE('Model structure'!L7:L9)+'User input and model output'!C18*AVERAGE('Model structure'!L10:L12))))))))))</f>
        <v>0.19200000000000003</v>
      </c>
      <c r="K15" s="39">
        <f>J15/J13</f>
        <v>4.8000000000000004E-3</v>
      </c>
      <c r="L15" s="113" t="s">
        <v>69</v>
      </c>
      <c r="M15" s="114"/>
      <c r="N15" s="114"/>
      <c r="O15" s="114"/>
      <c r="P15" s="114"/>
      <c r="Q15" s="115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" customHeight="1" x14ac:dyDescent="0.45">
      <c r="A16" s="7"/>
      <c r="B16" s="4" t="s">
        <v>34</v>
      </c>
      <c r="C16" s="44">
        <v>0.8</v>
      </c>
      <c r="D16" s="169" t="s">
        <v>40</v>
      </c>
      <c r="E16" s="170"/>
      <c r="F16" s="171"/>
      <c r="G16" s="138"/>
      <c r="H16" s="138"/>
      <c r="I16" s="51" t="s">
        <v>45</v>
      </c>
      <c r="J16" s="42">
        <f>C14/1000*IF(AND(C15="OptiMEM",C17="FBS"),C16*'Model structure'!M7+'User input and model output'!C18*'Model structure'!M10,IF(AND(C15="OptiMEM",C17="d-FBS"),C16*'Model structure'!M7+'User input and model output'!C18*'Model structure'!M12,IF(AND(C15="OptiMEM",C17="cs-FBS"),C16*'Model structure'!M7+'User input and model output'!C18*'Model structure'!M11,IF(AND(C15="DMEM Glutamax",C17="FBS"),C16*'Model structure'!M8+'User input and model output'!C18*'Model structure'!M10,IF(AND(C15="DMEM Glutamax",C17="d-FBS"),C16*'Model structure'!M8+'User input and model output'!C18*'Model structure'!M12,IF(AND(C15="DMEM Glutamax",C17="cs-FBS"),C16*'Model structure'!M8+'User input and model output'!C18*'Model structure'!M11,IF(AND(C15="Phenol-Red free DMEM",C17="FBS"),C16*'Model structure'!M9+'User input and model output'!C18*'Model structure'!M10,IF(AND(C15="Phenol-Red free DMEM",C17="d-FBS"),C16*'Model structure'!M9+'User input and model output'!C18*'Model structure'!M12,IF(AND(C15="Phenol-Red free DMEM",C17="cs-FBS"),C16*'Model structure'!M9+'User input and model output'!C18*'Model structure'!M11,C16*AVERAGE('Model structure'!M7:M9)+'User input and model output'!C18*AVERAGE('Model structure'!M10:M13))))))))))</f>
        <v>1.52E-2</v>
      </c>
      <c r="K16" s="39">
        <f>J16/J13</f>
        <v>3.8000000000000002E-4</v>
      </c>
      <c r="L16" s="113" t="s">
        <v>69</v>
      </c>
      <c r="M16" s="114"/>
      <c r="N16" s="114"/>
      <c r="O16" s="114"/>
      <c r="P16" s="114"/>
      <c r="Q16" s="115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ht="15" customHeight="1" x14ac:dyDescent="0.45">
      <c r="A17" s="7"/>
      <c r="B17" s="5" t="s">
        <v>15</v>
      </c>
      <c r="C17" s="43" t="s">
        <v>77</v>
      </c>
      <c r="D17" s="172" t="s">
        <v>61</v>
      </c>
      <c r="E17" s="173"/>
      <c r="F17" s="174"/>
      <c r="G17" s="138"/>
      <c r="H17" s="138"/>
      <c r="I17" s="135"/>
      <c r="J17" s="136"/>
      <c r="K17" s="136"/>
      <c r="L17" s="136"/>
      <c r="M17" s="136"/>
      <c r="N17" s="136"/>
      <c r="O17" s="136"/>
      <c r="P17" s="136"/>
      <c r="Q17" s="13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ht="15" customHeight="1" x14ac:dyDescent="0.45">
      <c r="A18" s="7"/>
      <c r="B18" s="4" t="s">
        <v>35</v>
      </c>
      <c r="C18" s="44">
        <v>0.2</v>
      </c>
      <c r="D18" s="169" t="s">
        <v>41</v>
      </c>
      <c r="E18" s="170"/>
      <c r="F18" s="171"/>
      <c r="G18" s="138"/>
      <c r="H18" s="138"/>
      <c r="I18" s="49" t="s">
        <v>29</v>
      </c>
      <c r="J18" s="49" t="s">
        <v>50</v>
      </c>
      <c r="K18" s="49" t="s">
        <v>46</v>
      </c>
      <c r="L18" s="130" t="s">
        <v>39</v>
      </c>
      <c r="M18" s="131"/>
      <c r="N18" s="131"/>
      <c r="O18" s="131"/>
      <c r="P18" s="131"/>
      <c r="Q18" s="132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" customHeight="1" x14ac:dyDescent="0.45">
      <c r="A19" s="7"/>
      <c r="B19" s="168"/>
      <c r="C19" s="168"/>
      <c r="D19" s="168"/>
      <c r="E19" s="168"/>
      <c r="F19" s="168"/>
      <c r="G19" s="138"/>
      <c r="H19" s="138"/>
      <c r="I19" s="50" t="s">
        <v>5</v>
      </c>
      <c r="J19" s="41">
        <f>SUM(J20:J22)</f>
        <v>4.0879999999999993E-2</v>
      </c>
      <c r="K19" s="38">
        <f>J19/J19</f>
        <v>1</v>
      </c>
      <c r="L19" s="113" t="s">
        <v>55</v>
      </c>
      <c r="M19" s="114"/>
      <c r="N19" s="114"/>
      <c r="O19" s="114"/>
      <c r="P19" s="114"/>
      <c r="Q19" s="115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" customHeight="1" x14ac:dyDescent="0.45">
      <c r="A20" s="7"/>
      <c r="B20" s="133" t="s">
        <v>7</v>
      </c>
      <c r="C20" s="134"/>
      <c r="D20" s="166" t="s">
        <v>39</v>
      </c>
      <c r="E20" s="166"/>
      <c r="F20" s="166"/>
      <c r="G20" s="138"/>
      <c r="H20" s="138"/>
      <c r="I20" s="51" t="s">
        <v>43</v>
      </c>
      <c r="J20" s="42">
        <f>1000*IF(C21="HEK293T",C22/1000000*'Model structure'!L15,IF(C21="HEK293H",C22/1000000*'Model structure'!L16,IF(C21="HepG2",C22/1000000*'Model structure'!L17,IF(C21="HCT116",C22/1000000*'Model structure'!L18,IF(C21="ME-180",C22/1000000*'Model structure'!L19,C22/1000000*AVERAGE('Model structure'!L15:L19))))))</f>
        <v>3.7025015999999994E-2</v>
      </c>
      <c r="K20" s="39">
        <f>J20/J19</f>
        <v>0.90570000000000006</v>
      </c>
      <c r="L20" s="113" t="s">
        <v>69</v>
      </c>
      <c r="M20" s="114"/>
      <c r="N20" s="114"/>
      <c r="O20" s="114"/>
      <c r="P20" s="114"/>
      <c r="Q20" s="115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ht="15" customHeight="1" x14ac:dyDescent="0.45">
      <c r="A21" s="7"/>
      <c r="B21" s="4" t="s">
        <v>10</v>
      </c>
      <c r="C21" s="43" t="s">
        <v>80</v>
      </c>
      <c r="D21" s="172" t="s">
        <v>61</v>
      </c>
      <c r="E21" s="173"/>
      <c r="F21" s="174"/>
      <c r="G21" s="138"/>
      <c r="H21" s="138"/>
      <c r="I21" s="50" t="s">
        <v>44</v>
      </c>
      <c r="J21" s="42">
        <f>1000*IF(C21="HEK293T",C22/1000000*'Model structure'!M15,IF(C21="HEK293H",C22/1000000*'Model structure'!M16,IF(C21="HepG2",C22/1000000*'Model structure'!M17,IF(C21="HCT116",C22/1000000*'Model structure'!M18,IF(C21="ME-180",C22/1000000*'Model structure'!M19,C22/1000000*AVERAGE('Model structure'!M15:M19))))))</f>
        <v>3.4461840000000001E-3</v>
      </c>
      <c r="K21" s="39">
        <f>J21/J19</f>
        <v>8.4300000000000014E-2</v>
      </c>
      <c r="L21" s="113" t="s">
        <v>69</v>
      </c>
      <c r="M21" s="114"/>
      <c r="N21" s="114"/>
      <c r="O21" s="114"/>
      <c r="P21" s="114"/>
      <c r="Q21" s="115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" customHeight="1" thickBot="1" x14ac:dyDescent="0.5">
      <c r="A22" s="7"/>
      <c r="B22" s="6" t="s">
        <v>18</v>
      </c>
      <c r="C22" s="45">
        <v>5600</v>
      </c>
      <c r="D22" s="175" t="s">
        <v>67</v>
      </c>
      <c r="E22" s="175"/>
      <c r="F22" s="175"/>
      <c r="G22" s="138"/>
      <c r="H22" s="138"/>
      <c r="I22" s="52" t="s">
        <v>45</v>
      </c>
      <c r="J22" s="53">
        <f>1000*IF(C21="HEK293T",C22/1000000*'Model structure'!N15,IF(C21="HEK293H",C22/1000000*'Model structure'!N16,IF(C21="HepG2",C22/1000000*'Model structure'!N17,IF(C21="HCT116",C22/1000000*'Model structure'!N18,IF(C21="ME-180",C22/1000000*'Model structure'!N19,C22/1000000*AVERAGE('Model structure'!N15:N19))))))</f>
        <v>4.0880000000000002E-4</v>
      </c>
      <c r="K22" s="39">
        <f>J22/J19</f>
        <v>1.0000000000000002E-2</v>
      </c>
      <c r="L22" s="113" t="s">
        <v>69</v>
      </c>
      <c r="M22" s="114"/>
      <c r="N22" s="114"/>
      <c r="O22" s="114"/>
      <c r="P22" s="114"/>
      <c r="Q22" s="115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customHeight="1" thickBot="1" x14ac:dyDescent="0.5">
      <c r="A23" s="7"/>
      <c r="B23" s="163"/>
      <c r="C23" s="164"/>
      <c r="D23" s="164"/>
      <c r="E23" s="164"/>
      <c r="F23" s="165"/>
      <c r="G23" s="138"/>
      <c r="H23" s="138"/>
      <c r="I23" s="124"/>
      <c r="J23" s="125"/>
      <c r="K23" s="125"/>
      <c r="L23" s="125"/>
      <c r="M23" s="125"/>
      <c r="N23" s="125"/>
      <c r="O23" s="125"/>
      <c r="P23" s="125"/>
      <c r="Q23" s="126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" customHeight="1" x14ac:dyDescent="0.45">
      <c r="A24" s="7"/>
      <c r="B24" s="141" t="s">
        <v>37</v>
      </c>
      <c r="C24" s="142"/>
      <c r="D24" s="142"/>
      <c r="E24" s="142"/>
      <c r="F24" s="143"/>
      <c r="G24" s="138"/>
      <c r="H24" s="138"/>
      <c r="I24" s="118" t="s">
        <v>42</v>
      </c>
      <c r="J24" s="119"/>
      <c r="K24" s="119"/>
      <c r="L24" s="119"/>
      <c r="M24" s="119"/>
      <c r="N24" s="119"/>
      <c r="O24" s="119"/>
      <c r="P24" s="119"/>
      <c r="Q24" s="120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" customHeight="1" x14ac:dyDescent="0.45">
      <c r="A25" s="7"/>
      <c r="B25" s="144"/>
      <c r="C25" s="145"/>
      <c r="D25" s="145"/>
      <c r="E25" s="145"/>
      <c r="F25" s="146"/>
      <c r="G25" s="138"/>
      <c r="H25" s="138"/>
      <c r="I25" s="121"/>
      <c r="J25" s="122"/>
      <c r="K25" s="122"/>
      <c r="L25" s="122"/>
      <c r="M25" s="122"/>
      <c r="N25" s="122"/>
      <c r="O25" s="122"/>
      <c r="P25" s="122"/>
      <c r="Q25" s="123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ht="19.5" customHeight="1" x14ac:dyDescent="0.45">
      <c r="A26" s="7"/>
      <c r="B26" s="139" t="s">
        <v>11</v>
      </c>
      <c r="C26" s="139" t="s">
        <v>12</v>
      </c>
      <c r="D26" s="147" t="s">
        <v>47</v>
      </c>
      <c r="E26" s="147" t="s">
        <v>48</v>
      </c>
      <c r="F26" s="149" t="s">
        <v>66</v>
      </c>
      <c r="G26" s="138"/>
      <c r="H26" s="138"/>
      <c r="I26" s="127" t="s">
        <v>53</v>
      </c>
      <c r="J26" s="127" t="s">
        <v>54</v>
      </c>
      <c r="K26" s="116" t="s">
        <v>73</v>
      </c>
      <c r="L26" s="116" t="s">
        <v>52</v>
      </c>
      <c r="M26" s="116" t="s">
        <v>59</v>
      </c>
      <c r="N26" s="116" t="s">
        <v>62</v>
      </c>
      <c r="O26" s="116" t="s">
        <v>72</v>
      </c>
      <c r="P26" s="116" t="s">
        <v>64</v>
      </c>
      <c r="Q26" s="116" t="s">
        <v>65</v>
      </c>
      <c r="R26" s="9"/>
      <c r="S26" s="10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9.5" customHeight="1" x14ac:dyDescent="0.45">
      <c r="A27" s="7"/>
      <c r="B27" s="140"/>
      <c r="C27" s="140"/>
      <c r="D27" s="148"/>
      <c r="E27" s="148"/>
      <c r="F27" s="150"/>
      <c r="G27" s="138"/>
      <c r="H27" s="138"/>
      <c r="I27" s="128"/>
      <c r="J27" s="128"/>
      <c r="K27" s="117"/>
      <c r="L27" s="117"/>
      <c r="M27" s="117"/>
      <c r="N27" s="117"/>
      <c r="O27" s="117"/>
      <c r="P27" s="117"/>
      <c r="Q27" s="117"/>
      <c r="R27" s="7" t="s">
        <v>79</v>
      </c>
      <c r="S27" s="7" t="s">
        <v>78</v>
      </c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88"/>
      <c r="B28" s="46" t="s">
        <v>89</v>
      </c>
      <c r="C28" s="46" t="s">
        <v>90</v>
      </c>
      <c r="D28" s="47">
        <v>6.5247999999999973E-2</v>
      </c>
      <c r="E28" s="47">
        <v>8.2216000000000289E-2</v>
      </c>
      <c r="F28" s="96">
        <v>9.9999999999999995E-7</v>
      </c>
      <c r="G28" s="138"/>
      <c r="H28" s="138"/>
      <c r="I28" s="92">
        <f t="shared" ref="I28:I47" si="1">IF(D28=0,"",LOG($K$15*10^D28+$K$16*10^E28+$K$14))</f>
        <v>3.7217650281818146E-4</v>
      </c>
      <c r="J28" s="92">
        <f t="shared" ref="J28:J47" si="2">IF(D28=0,"",LOG($K$21*10^D28+$K$22*10^E28+$K$20))</f>
        <v>6.7869130147026708E-3</v>
      </c>
      <c r="K28" s="93">
        <f t="shared" ref="K28:K47" si="3">IF(D28=0,"",1/(1+10^D28*$J$15/$J$14+10^E28*$J$16/$J$14+10^J28*$J$19/$J$14))</f>
        <v>0.99293795356381831</v>
      </c>
      <c r="L28" s="93">
        <f t="shared" ref="L28:L47" si="4">IF(D28=0,"",1/(1+10^I28/10^J28*$J$13/$J$19))</f>
        <v>1.036132776754803E-3</v>
      </c>
      <c r="M28" s="93">
        <f t="shared" ref="M28:M47" si="5">IF(D28=0,"",1-L28)</f>
        <v>0.99896386722324515</v>
      </c>
      <c r="N28" s="93">
        <f t="shared" ref="N28:N47" si="6">IF(D28=0,"",1/(1/10^E28*$J$20/$J$22+10^D28/10^E28*$J$21/$J$22+10^I28/10^E28*$J$13/$J$22+1))</f>
        <v>1.2326633945444498E-5</v>
      </c>
      <c r="O28" s="40">
        <f t="shared" ref="O28:O47" si="7">IF(D28=0,"",F28*K28*$J$7/$J$14)</f>
        <v>9.9912822033368924E-7</v>
      </c>
      <c r="P28" s="40">
        <f t="shared" ref="P28:P47" si="8">IF(D28=0,"",O28*10^J28)</f>
        <v>1.0148646814605156E-6</v>
      </c>
      <c r="Q28" s="40">
        <f t="shared" ref="Q28:Q47" si="9">IF(D28=0,"",F28*N28*$J$7/$J$22)</f>
        <v>1.2073612294850042E-6</v>
      </c>
      <c r="R28" s="9">
        <f>F28*$C$14</f>
        <v>3.9999999999999996E-5</v>
      </c>
      <c r="S28" s="9">
        <f>$R28*L28</f>
        <v>4.1445311070192113E-8</v>
      </c>
      <c r="T28" s="9">
        <f t="shared" ref="T28:T91" si="10">R28*K28</f>
        <v>3.9717518142552728E-5</v>
      </c>
      <c r="U28" s="9">
        <f t="shared" ref="U28:U91" si="11">$R28*M28</f>
        <v>3.9958554688929804E-5</v>
      </c>
      <c r="V28" s="100">
        <f>K28/M28</f>
        <v>0.99396783621796381</v>
      </c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88"/>
      <c r="B29" s="46" t="s">
        <v>163</v>
      </c>
      <c r="C29" s="46" t="s">
        <v>164</v>
      </c>
      <c r="D29" s="47">
        <v>2.31</v>
      </c>
      <c r="E29" s="47">
        <v>2.58</v>
      </c>
      <c r="F29" s="96">
        <v>9.9999999999999995E-7</v>
      </c>
      <c r="G29" s="138"/>
      <c r="H29" s="138"/>
      <c r="I29" s="92">
        <f t="shared" si="1"/>
        <v>0.32619780382173885</v>
      </c>
      <c r="J29" s="92">
        <f t="shared" si="2"/>
        <v>1.3408295503880299</v>
      </c>
      <c r="K29" s="93">
        <f t="shared" si="3"/>
        <v>0.46449412183882816</v>
      </c>
      <c r="L29" s="93">
        <f t="shared" si="4"/>
        <v>1.0459626116105743E-2</v>
      </c>
      <c r="M29" s="93">
        <f t="shared" si="5"/>
        <v>0.98954037388389426</v>
      </c>
      <c r="N29" s="93">
        <f t="shared" si="6"/>
        <v>1.8142060478421554E-3</v>
      </c>
      <c r="O29" s="40">
        <f t="shared" si="7"/>
        <v>4.6738991458891804E-7</v>
      </c>
      <c r="P29" s="40">
        <f t="shared" si="8"/>
        <v>1.0244927450094329E-5</v>
      </c>
      <c r="Q29" s="40">
        <f t="shared" si="9"/>
        <v>1.7769668947387963E-4</v>
      </c>
      <c r="R29" s="9">
        <f t="shared" ref="R29:R92" si="12">F29*$C$14</f>
        <v>3.9999999999999996E-5</v>
      </c>
      <c r="S29" s="9">
        <f t="shared" ref="S29:S92" si="13">$R29*L29</f>
        <v>4.1838504464422965E-7</v>
      </c>
      <c r="T29" s="9">
        <f t="shared" si="10"/>
        <v>1.8579764873553125E-5</v>
      </c>
      <c r="U29" s="9">
        <f t="shared" si="11"/>
        <v>3.9581614955355768E-5</v>
      </c>
      <c r="V29" s="100">
        <f t="shared" ref="V29:V92" si="14">K29/M29</f>
        <v>0.46940391124791908</v>
      </c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89"/>
      <c r="B30" s="46" t="s">
        <v>165</v>
      </c>
      <c r="C30" s="46" t="s">
        <v>166</v>
      </c>
      <c r="D30" s="90">
        <v>4.4000000000000004</v>
      </c>
      <c r="E30" s="90">
        <v>2.64</v>
      </c>
      <c r="F30" s="96">
        <v>9.9999999999999995E-7</v>
      </c>
      <c r="G30" s="138"/>
      <c r="H30" s="138"/>
      <c r="I30" s="92">
        <f t="shared" si="1"/>
        <v>2.0854020627961285</v>
      </c>
      <c r="J30" s="92">
        <f t="shared" si="2"/>
        <v>3.3269072622500944</v>
      </c>
      <c r="K30" s="93">
        <f t="shared" si="3"/>
        <v>8.0291693338765315E-3</v>
      </c>
      <c r="L30" s="93">
        <f t="shared" si="4"/>
        <v>1.7509924257263835E-2</v>
      </c>
      <c r="M30" s="93">
        <f t="shared" si="5"/>
        <v>0.98249007574273617</v>
      </c>
      <c r="N30" s="93">
        <f t="shared" si="6"/>
        <v>3.6006176431130943E-5</v>
      </c>
      <c r="O30" s="40">
        <f t="shared" si="7"/>
        <v>8.0792255331977191E-9</v>
      </c>
      <c r="P30" s="40">
        <f t="shared" si="8"/>
        <v>1.7150508219035988E-5</v>
      </c>
      <c r="Q30" s="40">
        <f t="shared" si="9"/>
        <v>3.5267098574797998E-6</v>
      </c>
      <c r="R30" s="9">
        <f t="shared" si="12"/>
        <v>3.9999999999999996E-5</v>
      </c>
      <c r="S30" s="9">
        <f t="shared" si="13"/>
        <v>7.0039697029055328E-7</v>
      </c>
      <c r="T30" s="9">
        <f t="shared" si="10"/>
        <v>3.2116677335506123E-7</v>
      </c>
      <c r="U30" s="9">
        <f t="shared" si="11"/>
        <v>3.9299603029709444E-5</v>
      </c>
      <c r="V30" s="100">
        <f t="shared" si="14"/>
        <v>8.1722650763741255E-3</v>
      </c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45">
      <c r="A31" s="89"/>
      <c r="B31" s="46" t="s">
        <v>91</v>
      </c>
      <c r="C31" s="46" t="s">
        <v>92</v>
      </c>
      <c r="D31" s="47">
        <v>-0.92190615231165807</v>
      </c>
      <c r="E31" s="47">
        <v>-1.7889087518799642</v>
      </c>
      <c r="F31" s="96">
        <v>9.9999999999999995E-7</v>
      </c>
      <c r="G31" s="138"/>
      <c r="H31" s="138"/>
      <c r="I31" s="92">
        <f t="shared" si="1"/>
        <v>-2.0020416091501053E-3</v>
      </c>
      <c r="J31" s="92">
        <f t="shared" si="2"/>
        <v>-3.812667212265184E-2</v>
      </c>
      <c r="K31" s="93">
        <f t="shared" si="3"/>
        <v>0.99847758089144956</v>
      </c>
      <c r="L31" s="93">
        <f t="shared" si="4"/>
        <v>9.3954596952581994E-4</v>
      </c>
      <c r="M31" s="93">
        <f t="shared" si="5"/>
        <v>0.99906045403047417</v>
      </c>
      <c r="N31" s="93">
        <f t="shared" si="6"/>
        <v>1.667769219098322E-7</v>
      </c>
      <c r="O31" s="40">
        <f t="shared" si="7"/>
        <v>1.0047023833247426E-6</v>
      </c>
      <c r="P31" s="40">
        <f t="shared" si="8"/>
        <v>9.202604554859838E-7</v>
      </c>
      <c r="Q31" s="40">
        <f t="shared" si="9"/>
        <v>1.6335358896675542E-8</v>
      </c>
      <c r="R31" s="9">
        <f t="shared" si="12"/>
        <v>3.9999999999999996E-5</v>
      </c>
      <c r="S31" s="9">
        <f t="shared" si="13"/>
        <v>3.7581838781032795E-8</v>
      </c>
      <c r="T31" s="9">
        <f t="shared" si="10"/>
        <v>3.9939103235657976E-5</v>
      </c>
      <c r="U31" s="9">
        <f t="shared" si="11"/>
        <v>3.9962418161218964E-5</v>
      </c>
      <c r="V31" s="100">
        <f t="shared" si="14"/>
        <v>0.99941657870985368</v>
      </c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89"/>
      <c r="B32" s="46" t="s">
        <v>93</v>
      </c>
      <c r="C32" s="46" t="s">
        <v>94</v>
      </c>
      <c r="D32" s="47">
        <v>0.54749180498968375</v>
      </c>
      <c r="E32" s="47">
        <v>0.30136158174588817</v>
      </c>
      <c r="F32" s="96">
        <v>9.9999999999999995E-7</v>
      </c>
      <c r="G32" s="138"/>
      <c r="H32" s="138"/>
      <c r="I32" s="92">
        <f t="shared" si="1"/>
        <v>5.4008424806920542E-3</v>
      </c>
      <c r="J32" s="92">
        <f t="shared" si="2"/>
        <v>8.7462142087006658E-2</v>
      </c>
      <c r="K32" s="93">
        <f t="shared" si="3"/>
        <v>0.98131363538866268</v>
      </c>
      <c r="L32" s="93">
        <f t="shared" si="4"/>
        <v>1.2330377232808369E-3</v>
      </c>
      <c r="M32" s="93">
        <f t="shared" si="5"/>
        <v>0.99876696227671913</v>
      </c>
      <c r="N32" s="93">
        <f t="shared" si="6"/>
        <v>2.0177892463514931E-5</v>
      </c>
      <c r="O32" s="40">
        <f t="shared" si="7"/>
        <v>9.8743143274565237E-7</v>
      </c>
      <c r="P32" s="40">
        <f t="shared" si="8"/>
        <v>1.2077278745929847E-6</v>
      </c>
      <c r="Q32" s="40">
        <f t="shared" si="9"/>
        <v>1.976371259257597E-6</v>
      </c>
      <c r="R32" s="9">
        <f t="shared" si="12"/>
        <v>3.9999999999999996E-5</v>
      </c>
      <c r="S32" s="9">
        <f t="shared" si="13"/>
        <v>4.9321508931233474E-8</v>
      </c>
      <c r="T32" s="9">
        <f t="shared" si="10"/>
        <v>3.9252545415546504E-5</v>
      </c>
      <c r="U32" s="9">
        <f t="shared" si="11"/>
        <v>3.9950678491068764E-5</v>
      </c>
      <c r="V32" s="100">
        <f t="shared" si="14"/>
        <v>0.98252512593300934</v>
      </c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89"/>
      <c r="B33" s="94" t="s">
        <v>167</v>
      </c>
      <c r="C33" s="94" t="s">
        <v>111</v>
      </c>
      <c r="D33" s="95">
        <v>1.6452318246143236</v>
      </c>
      <c r="E33" s="95">
        <v>1.8629354124795308</v>
      </c>
      <c r="F33" s="96">
        <v>9.9999999999999995E-7</v>
      </c>
      <c r="G33" s="138"/>
      <c r="H33" s="138"/>
      <c r="I33" s="92">
        <f t="shared" si="1"/>
        <v>9.1527063522880606E-2</v>
      </c>
      <c r="J33" s="92">
        <f t="shared" si="2"/>
        <v>0.72912228662279288</v>
      </c>
      <c r="K33" s="93">
        <f t="shared" si="3"/>
        <v>0.80222267516678047</v>
      </c>
      <c r="L33" s="93">
        <f t="shared" si="4"/>
        <v>4.4169614406705891E-3</v>
      </c>
      <c r="M33" s="93">
        <f t="shared" si="5"/>
        <v>0.99558303855932939</v>
      </c>
      <c r="N33" s="93">
        <f t="shared" si="6"/>
        <v>6.0108616741066879E-4</v>
      </c>
      <c r="O33" s="40">
        <f t="shared" si="7"/>
        <v>8.0722396688928749E-7</v>
      </c>
      <c r="P33" s="40">
        <f t="shared" si="8"/>
        <v>4.326297040374712E-6</v>
      </c>
      <c r="Q33" s="40">
        <f t="shared" si="9"/>
        <v>5.8874802101150933E-5</v>
      </c>
      <c r="R33" s="9">
        <f t="shared" si="12"/>
        <v>3.9999999999999996E-5</v>
      </c>
      <c r="S33" s="9">
        <f t="shared" si="13"/>
        <v>1.7667845762682355E-7</v>
      </c>
      <c r="T33" s="9">
        <f t="shared" si="10"/>
        <v>3.2088907006671214E-5</v>
      </c>
      <c r="U33" s="9">
        <f t="shared" si="11"/>
        <v>3.9823321542373173E-5</v>
      </c>
      <c r="V33" s="100">
        <f t="shared" si="14"/>
        <v>0.80578178222847852</v>
      </c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88"/>
      <c r="B34" s="46" t="s">
        <v>95</v>
      </c>
      <c r="C34" s="46" t="s">
        <v>96</v>
      </c>
      <c r="D34" s="90">
        <v>0.39857726844789648</v>
      </c>
      <c r="E34" s="90">
        <v>8.9525410045599246E-2</v>
      </c>
      <c r="F34" s="96">
        <v>9.9999999999999995E-7</v>
      </c>
      <c r="G34" s="138"/>
      <c r="H34" s="138"/>
      <c r="I34" s="92">
        <f t="shared" si="1"/>
        <v>3.1608226539332684E-3</v>
      </c>
      <c r="J34" s="92">
        <f t="shared" si="2"/>
        <v>5.2712683038239401E-2</v>
      </c>
      <c r="K34" s="93">
        <f t="shared" si="3"/>
        <v>0.98647589327289809</v>
      </c>
      <c r="L34" s="93">
        <f t="shared" si="4"/>
        <v>1.1442094961861202E-3</v>
      </c>
      <c r="M34" s="93">
        <f t="shared" si="5"/>
        <v>0.9988557905038139</v>
      </c>
      <c r="N34" s="93">
        <f t="shared" si="6"/>
        <v>1.245426994601942E-5</v>
      </c>
      <c r="O34" s="40">
        <f t="shared" si="7"/>
        <v>9.9262587366138913E-7</v>
      </c>
      <c r="P34" s="40">
        <f t="shared" si="8"/>
        <v>1.1207229728876935E-6</v>
      </c>
      <c r="Q34" s="40">
        <f t="shared" si="9"/>
        <v>1.2198628385424903E-6</v>
      </c>
      <c r="R34" s="9">
        <f t="shared" si="12"/>
        <v>3.9999999999999996E-5</v>
      </c>
      <c r="S34" s="9">
        <f t="shared" si="13"/>
        <v>4.5768379847444805E-8</v>
      </c>
      <c r="T34" s="9">
        <f t="shared" si="10"/>
        <v>3.9459035730915923E-5</v>
      </c>
      <c r="U34" s="9">
        <f t="shared" si="11"/>
        <v>3.9954231620152553E-5</v>
      </c>
      <c r="V34" s="100">
        <f t="shared" si="14"/>
        <v>0.98760592134659253</v>
      </c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x14ac:dyDescent="0.45">
      <c r="A35" s="88"/>
      <c r="B35" s="46" t="s">
        <v>97</v>
      </c>
      <c r="C35" s="46" t="s">
        <v>98</v>
      </c>
      <c r="D35" s="90">
        <v>0.27761205565007074</v>
      </c>
      <c r="E35" s="90">
        <v>-8.2551864497786676E-2</v>
      </c>
      <c r="F35" s="96">
        <v>9.9999999999999995E-7</v>
      </c>
      <c r="G35" s="138"/>
      <c r="H35" s="138"/>
      <c r="I35" s="92">
        <f t="shared" si="1"/>
        <v>1.8333114105419375E-3</v>
      </c>
      <c r="J35" s="92">
        <f t="shared" si="2"/>
        <v>3.0890416860471809E-2</v>
      </c>
      <c r="K35" s="93">
        <f t="shared" si="3"/>
        <v>0.9895480656610246</v>
      </c>
      <c r="L35" s="93">
        <f t="shared" si="4"/>
        <v>1.0915250299657069E-3</v>
      </c>
      <c r="M35" s="93">
        <f t="shared" si="5"/>
        <v>0.99890847497003432</v>
      </c>
      <c r="N35" s="93">
        <f t="shared" si="6"/>
        <v>8.4060393309185105E-6</v>
      </c>
      <c r="O35" s="40">
        <f t="shared" si="7"/>
        <v>9.9571719887429891E-7</v>
      </c>
      <c r="P35" s="40">
        <f t="shared" si="8"/>
        <v>1.0691199300844733E-6</v>
      </c>
      <c r="Q35" s="40">
        <f t="shared" si="9"/>
        <v>8.233493447274666E-7</v>
      </c>
      <c r="R35" s="9">
        <f t="shared" si="12"/>
        <v>3.9999999999999996E-5</v>
      </c>
      <c r="S35" s="9">
        <f t="shared" si="13"/>
        <v>4.3661001198628273E-8</v>
      </c>
      <c r="T35" s="9">
        <f t="shared" si="10"/>
        <v>3.9581922626440978E-5</v>
      </c>
      <c r="U35" s="9">
        <f t="shared" si="11"/>
        <v>3.9956338998801369E-5</v>
      </c>
      <c r="V35" s="100">
        <f t="shared" si="14"/>
        <v>0.99062936240550914</v>
      </c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88"/>
      <c r="B36" s="46" t="s">
        <v>168</v>
      </c>
      <c r="C36" s="46" t="s">
        <v>169</v>
      </c>
      <c r="D36" s="47">
        <v>3.4409280000000009</v>
      </c>
      <c r="E36" s="47">
        <v>4.1160660000000009</v>
      </c>
      <c r="F36" s="96">
        <v>9.9999999999999995E-7</v>
      </c>
      <c r="G36" s="138"/>
      <c r="H36" s="138"/>
      <c r="I36" s="92">
        <f t="shared" si="1"/>
        <v>1.2834731216469764</v>
      </c>
      <c r="J36" s="92">
        <f t="shared" si="2"/>
        <v>2.5613647148029952</v>
      </c>
      <c r="K36" s="93">
        <f t="shared" si="3"/>
        <v>5.0808396873423624E-2</v>
      </c>
      <c r="L36" s="93">
        <f t="shared" si="4"/>
        <v>1.9011071485992039E-2</v>
      </c>
      <c r="M36" s="93">
        <f t="shared" si="5"/>
        <v>0.98098892851400799</v>
      </c>
      <c r="N36" s="93">
        <f t="shared" si="6"/>
        <v>6.8187988634197073E-3</v>
      </c>
      <c r="O36" s="40">
        <f t="shared" si="7"/>
        <v>5.1125151338964098E-8</v>
      </c>
      <c r="P36" s="40">
        <f t="shared" si="8"/>
        <v>1.8620842271086828E-5</v>
      </c>
      <c r="Q36" s="40">
        <f t="shared" si="9"/>
        <v>6.6788333423269293E-4</v>
      </c>
      <c r="R36" s="9">
        <f t="shared" si="12"/>
        <v>3.9999999999999996E-5</v>
      </c>
      <c r="S36" s="9">
        <f t="shared" si="13"/>
        <v>7.6044285943968146E-7</v>
      </c>
      <c r="T36" s="9">
        <f t="shared" si="10"/>
        <v>2.032335874936945E-6</v>
      </c>
      <c r="U36" s="9">
        <f t="shared" si="11"/>
        <v>3.9239557140560319E-5</v>
      </c>
      <c r="V36" s="100">
        <f t="shared" si="14"/>
        <v>5.1793038021731463E-2</v>
      </c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88"/>
      <c r="B37" s="94" t="s">
        <v>170</v>
      </c>
      <c r="C37" s="94" t="s">
        <v>171</v>
      </c>
      <c r="D37" s="95">
        <v>4.9025336133267672</v>
      </c>
      <c r="E37" s="95">
        <v>6.4965619006479365</v>
      </c>
      <c r="F37" s="96">
        <v>9.9999999999999995E-7</v>
      </c>
      <c r="G37" s="138"/>
      <c r="H37" s="138"/>
      <c r="I37" s="92">
        <f t="shared" si="1"/>
        <v>3.1977472098667894</v>
      </c>
      <c r="J37" s="92">
        <f t="shared" si="2"/>
        <v>4.5810354638391573</v>
      </c>
      <c r="K37" s="93">
        <f t="shared" si="3"/>
        <v>6.1574308681967924E-4</v>
      </c>
      <c r="L37" s="93">
        <f t="shared" si="4"/>
        <v>2.4106901667112064E-2</v>
      </c>
      <c r="M37" s="93">
        <f t="shared" si="5"/>
        <v>0.97589309833288795</v>
      </c>
      <c r="N37" s="93">
        <f t="shared" si="6"/>
        <v>1.9845764486518747E-2</v>
      </c>
      <c r="O37" s="40">
        <f t="shared" si="7"/>
        <v>6.1958181003036626E-10</v>
      </c>
      <c r="P37" s="40">
        <f t="shared" si="8"/>
        <v>2.361207330784333E-5</v>
      </c>
      <c r="Q37" s="40">
        <f t="shared" si="9"/>
        <v>1.9438402013526388E-3</v>
      </c>
      <c r="R37" s="9">
        <f t="shared" si="12"/>
        <v>3.9999999999999996E-5</v>
      </c>
      <c r="S37" s="9">
        <f t="shared" si="13"/>
        <v>9.6427606668448248E-7</v>
      </c>
      <c r="T37" s="9">
        <f t="shared" si="10"/>
        <v>2.4629723472787166E-8</v>
      </c>
      <c r="U37" s="9">
        <f t="shared" si="11"/>
        <v>3.9035723933315517E-5</v>
      </c>
      <c r="V37" s="100">
        <f t="shared" si="14"/>
        <v>6.3095341884428658E-4</v>
      </c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88"/>
      <c r="B38" s="46" t="s">
        <v>172</v>
      </c>
      <c r="C38" s="46" t="s">
        <v>173</v>
      </c>
      <c r="D38" s="90">
        <v>-0.51108880646233978</v>
      </c>
      <c r="E38" s="90">
        <v>-1.2045066120098076</v>
      </c>
      <c r="F38" s="96">
        <v>9.9999999999999995E-7</v>
      </c>
      <c r="G38" s="138"/>
      <c r="H38" s="138"/>
      <c r="I38" s="92">
        <f t="shared" si="1"/>
        <v>-1.5996885357091404E-3</v>
      </c>
      <c r="J38" s="92">
        <f t="shared" si="2"/>
        <v>-3.0439469299610111E-2</v>
      </c>
      <c r="K38" s="93">
        <f t="shared" si="3"/>
        <v>0.99753711381244825</v>
      </c>
      <c r="L38" s="93">
        <f t="shared" si="4"/>
        <v>9.5542363707035389E-4</v>
      </c>
      <c r="M38" s="93">
        <f t="shared" si="5"/>
        <v>0.99904457636292965</v>
      </c>
      <c r="N38" s="93">
        <f t="shared" si="6"/>
        <v>6.3992464879327383E-7</v>
      </c>
      <c r="O38" s="40">
        <f t="shared" si="7"/>
        <v>1.0037560530978113E-6</v>
      </c>
      <c r="P38" s="40">
        <f t="shared" si="8"/>
        <v>9.3581221137714305E-7</v>
      </c>
      <c r="Q38" s="40">
        <f t="shared" si="9"/>
        <v>6.2678928746021574E-8</v>
      </c>
      <c r="R38" s="9">
        <f t="shared" si="12"/>
        <v>3.9999999999999996E-5</v>
      </c>
      <c r="S38" s="9">
        <f t="shared" si="13"/>
        <v>3.821694548281415E-8</v>
      </c>
      <c r="T38" s="9">
        <f t="shared" si="10"/>
        <v>3.9901484552497928E-5</v>
      </c>
      <c r="U38" s="9">
        <f t="shared" si="11"/>
        <v>3.9961783054517183E-5</v>
      </c>
      <c r="V38" s="100">
        <f t="shared" si="14"/>
        <v>0.9984910958067863</v>
      </c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x14ac:dyDescent="0.45">
      <c r="A39" s="88"/>
      <c r="B39" s="46" t="s">
        <v>99</v>
      </c>
      <c r="C39" s="46" t="s">
        <v>100</v>
      </c>
      <c r="D39" s="90">
        <v>2.3414159999999997</v>
      </c>
      <c r="E39" s="90">
        <v>2.4767320000000002</v>
      </c>
      <c r="F39" s="96">
        <v>9.9999999999999995E-7</v>
      </c>
      <c r="G39" s="138"/>
      <c r="H39" s="138"/>
      <c r="I39" s="92">
        <f t="shared" si="1"/>
        <v>0.33491051106253611</v>
      </c>
      <c r="J39" s="92">
        <f t="shared" si="2"/>
        <v>1.3503657480277556</v>
      </c>
      <c r="K39" s="93">
        <f t="shared" si="3"/>
        <v>0.45525937061243804</v>
      </c>
      <c r="L39" s="93">
        <f t="shared" si="4"/>
        <v>1.0479269988157182E-2</v>
      </c>
      <c r="M39" s="93">
        <f t="shared" si="5"/>
        <v>0.98952073001184282</v>
      </c>
      <c r="N39" s="93">
        <f t="shared" si="6"/>
        <v>1.4018362353424977E-3</v>
      </c>
      <c r="O39" s="40">
        <f t="shared" si="7"/>
        <v>4.5809759121168042E-7</v>
      </c>
      <c r="P39" s="40">
        <f t="shared" si="8"/>
        <v>1.0264168103801446E-5</v>
      </c>
      <c r="Q39" s="40">
        <f t="shared" si="9"/>
        <v>1.3730615577054969E-4</v>
      </c>
      <c r="R39" s="9">
        <f t="shared" si="12"/>
        <v>3.9999999999999996E-5</v>
      </c>
      <c r="S39" s="9">
        <f t="shared" si="13"/>
        <v>4.1917079952628725E-7</v>
      </c>
      <c r="T39" s="9">
        <f t="shared" si="10"/>
        <v>1.821037482449752E-5</v>
      </c>
      <c r="U39" s="9">
        <f t="shared" si="11"/>
        <v>3.958082920047371E-5</v>
      </c>
      <c r="V39" s="100">
        <f t="shared" si="14"/>
        <v>0.46008068027739996</v>
      </c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88"/>
      <c r="B40" s="46" t="s">
        <v>174</v>
      </c>
      <c r="C40" s="46" t="s">
        <v>175</v>
      </c>
      <c r="D40" s="47">
        <v>2.349974877229557</v>
      </c>
      <c r="E40" s="47">
        <v>2.8654572197209189</v>
      </c>
      <c r="F40" s="96">
        <v>9.9999999999999995E-7</v>
      </c>
      <c r="G40" s="138"/>
      <c r="H40" s="138"/>
      <c r="I40" s="92">
        <f t="shared" si="1"/>
        <v>0.37071855582347524</v>
      </c>
      <c r="J40" s="92">
        <f t="shared" si="2"/>
        <v>1.4331774457412798</v>
      </c>
      <c r="K40" s="93">
        <f t="shared" si="3"/>
        <v>0.41872698778456674</v>
      </c>
      <c r="L40" s="93">
        <f t="shared" si="4"/>
        <v>1.1663121144978441E-2</v>
      </c>
      <c r="M40" s="93">
        <f t="shared" si="5"/>
        <v>0.98833687885502153</v>
      </c>
      <c r="N40" s="93">
        <f t="shared" si="6"/>
        <v>3.1556916497697375E-3</v>
      </c>
      <c r="O40" s="40">
        <f t="shared" si="7"/>
        <v>4.2133745478185261E-7</v>
      </c>
      <c r="P40" s="40">
        <f t="shared" si="8"/>
        <v>1.1423719035996683E-5</v>
      </c>
      <c r="Q40" s="40">
        <f t="shared" si="9"/>
        <v>3.0909166014048947E-4</v>
      </c>
      <c r="R40" s="9">
        <f t="shared" si="12"/>
        <v>3.9999999999999996E-5</v>
      </c>
      <c r="S40" s="9">
        <f t="shared" si="13"/>
        <v>4.665248457991376E-7</v>
      </c>
      <c r="T40" s="9">
        <f t="shared" si="10"/>
        <v>1.6749079511382668E-5</v>
      </c>
      <c r="U40" s="9">
        <f t="shared" si="11"/>
        <v>3.9533475154200859E-5</v>
      </c>
      <c r="V40" s="100">
        <f t="shared" si="14"/>
        <v>0.42366828228615511</v>
      </c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88"/>
      <c r="B41" s="94" t="s">
        <v>176</v>
      </c>
      <c r="C41" s="94" t="s">
        <v>177</v>
      </c>
      <c r="D41" s="95">
        <v>1.4854320000000003</v>
      </c>
      <c r="E41" s="95">
        <v>1.5057189999999996</v>
      </c>
      <c r="F41" s="96">
        <v>9.9999999999999995E-7</v>
      </c>
      <c r="G41" s="138"/>
      <c r="H41" s="138"/>
      <c r="I41" s="92">
        <f t="shared" si="1"/>
        <v>6.2122287627494992E-2</v>
      </c>
      <c r="J41" s="92">
        <f t="shared" si="2"/>
        <v>0.58023834032426458</v>
      </c>
      <c r="K41" s="93">
        <f t="shared" si="3"/>
        <v>0.85933266352365989</v>
      </c>
      <c r="L41" s="93">
        <f t="shared" si="4"/>
        <v>3.3581960627135955E-3</v>
      </c>
      <c r="M41" s="93">
        <f t="shared" si="5"/>
        <v>0.99664180393728641</v>
      </c>
      <c r="N41" s="93">
        <f t="shared" si="6"/>
        <v>2.8286988101783561E-4</v>
      </c>
      <c r="O41" s="40">
        <f t="shared" si="7"/>
        <v>8.6468999568342121E-7</v>
      </c>
      <c r="P41" s="40">
        <f t="shared" si="8"/>
        <v>3.2892643239625143E-6</v>
      </c>
      <c r="Q41" s="40">
        <f t="shared" si="9"/>
        <v>2.7706357537792157E-5</v>
      </c>
      <c r="R41" s="9">
        <f t="shared" si="12"/>
        <v>3.9999999999999996E-5</v>
      </c>
      <c r="S41" s="9">
        <f t="shared" si="13"/>
        <v>1.343278425085438E-7</v>
      </c>
      <c r="T41" s="9">
        <f t="shared" si="10"/>
        <v>3.4373306540946392E-5</v>
      </c>
      <c r="U41" s="9">
        <f t="shared" si="11"/>
        <v>3.9865672157491455E-5</v>
      </c>
      <c r="V41" s="100">
        <f t="shared" si="14"/>
        <v>0.86222819485277513</v>
      </c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x14ac:dyDescent="0.45">
      <c r="A42" s="89"/>
      <c r="B42" s="46" t="s">
        <v>178</v>
      </c>
      <c r="C42" s="46" t="s">
        <v>179</v>
      </c>
      <c r="D42" s="90">
        <v>2.0758240000000003</v>
      </c>
      <c r="E42" s="90">
        <v>2.477398</v>
      </c>
      <c r="F42" s="96">
        <v>9.9999999999999995E-7</v>
      </c>
      <c r="G42" s="138"/>
      <c r="H42" s="138"/>
      <c r="I42" s="92">
        <f t="shared" si="1"/>
        <v>0.22542744412672311</v>
      </c>
      <c r="J42" s="92">
        <f t="shared" si="2"/>
        <v>1.1444407422837011</v>
      </c>
      <c r="K42" s="93">
        <f t="shared" si="3"/>
        <v>0.58701500035739596</v>
      </c>
      <c r="L42" s="93">
        <f t="shared" si="4"/>
        <v>8.4100064613760375E-3</v>
      </c>
      <c r="M42" s="93">
        <f t="shared" si="5"/>
        <v>0.99158999353862398</v>
      </c>
      <c r="N42" s="93">
        <f t="shared" si="6"/>
        <v>1.8103126542390496E-3</v>
      </c>
      <c r="O42" s="40">
        <f t="shared" si="7"/>
        <v>5.9067462424133131E-7</v>
      </c>
      <c r="P42" s="40">
        <f t="shared" si="8"/>
        <v>8.2373791467510409E-6</v>
      </c>
      <c r="Q42" s="40">
        <f t="shared" si="9"/>
        <v>1.7731534185632894E-4</v>
      </c>
      <c r="R42" s="9">
        <f t="shared" si="12"/>
        <v>3.9999999999999996E-5</v>
      </c>
      <c r="S42" s="9">
        <f t="shared" si="13"/>
        <v>3.3640025845504146E-7</v>
      </c>
      <c r="T42" s="9">
        <f t="shared" si="10"/>
        <v>2.3480600014295836E-5</v>
      </c>
      <c r="U42" s="9">
        <f t="shared" si="11"/>
        <v>3.9663599741544956E-5</v>
      </c>
      <c r="V42" s="100">
        <f t="shared" si="14"/>
        <v>0.59199367095522304</v>
      </c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89"/>
      <c r="B43" s="46" t="s">
        <v>180</v>
      </c>
      <c r="C43" s="46" t="s">
        <v>181</v>
      </c>
      <c r="D43" s="90">
        <v>2.3078000000000003</v>
      </c>
      <c r="E43" s="90">
        <v>2.5099249999999995</v>
      </c>
      <c r="F43" s="96">
        <v>9.9999999999999995E-7</v>
      </c>
      <c r="G43" s="138"/>
      <c r="H43" s="138"/>
      <c r="I43" s="92">
        <f t="shared" si="1"/>
        <v>0.32073739190116707</v>
      </c>
      <c r="J43" s="92">
        <f t="shared" si="2"/>
        <v>1.3276849779101709</v>
      </c>
      <c r="K43" s="93">
        <f t="shared" si="3"/>
        <v>0.47045740442580974</v>
      </c>
      <c r="L43" s="93">
        <f t="shared" si="4"/>
        <v>1.0278072435754076E-2</v>
      </c>
      <c r="M43" s="93">
        <f t="shared" si="5"/>
        <v>0.98972192756424593</v>
      </c>
      <c r="N43" s="93">
        <f t="shared" si="6"/>
        <v>1.5636937351196374E-3</v>
      </c>
      <c r="O43" s="40">
        <f t="shared" si="7"/>
        <v>4.7339037403061147E-7</v>
      </c>
      <c r="P43" s="40">
        <f t="shared" si="8"/>
        <v>1.0067100416617828E-5</v>
      </c>
      <c r="Q43" s="40">
        <f t="shared" si="9"/>
        <v>1.5315967026584439E-4</v>
      </c>
      <c r="R43" s="9">
        <f t="shared" si="12"/>
        <v>3.9999999999999996E-5</v>
      </c>
      <c r="S43" s="9">
        <f t="shared" si="13"/>
        <v>4.11122897430163E-7</v>
      </c>
      <c r="T43" s="9">
        <f t="shared" si="10"/>
        <v>1.8818296177032388E-5</v>
      </c>
      <c r="U43" s="9">
        <f t="shared" si="11"/>
        <v>3.9588877102569835E-5</v>
      </c>
      <c r="V43" s="100">
        <f t="shared" si="14"/>
        <v>0.47534301435922355</v>
      </c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89"/>
      <c r="B44" s="46" t="s">
        <v>182</v>
      </c>
      <c r="C44" s="46" t="s">
        <v>183</v>
      </c>
      <c r="D44" s="90">
        <v>5.676184000000001</v>
      </c>
      <c r="E44" s="90">
        <v>7.0708080000000004</v>
      </c>
      <c r="F44" s="96">
        <v>9.9999999999999995E-7</v>
      </c>
      <c r="G44" s="138"/>
      <c r="H44" s="138"/>
      <c r="I44" s="92">
        <f t="shared" si="1"/>
        <v>3.8293839195374848</v>
      </c>
      <c r="J44" s="92">
        <f t="shared" si="2"/>
        <v>5.1978454460498824</v>
      </c>
      <c r="K44" s="93">
        <f t="shared" si="3"/>
        <v>1.4391775348746358E-4</v>
      </c>
      <c r="L44" s="93">
        <f t="shared" si="4"/>
        <v>2.3316652767924901E-2</v>
      </c>
      <c r="M44" s="93">
        <f t="shared" si="5"/>
        <v>0.97668334723207506</v>
      </c>
      <c r="N44" s="93">
        <f t="shared" si="6"/>
        <v>1.7403185894244406E-2</v>
      </c>
      <c r="O44" s="40">
        <f t="shared" si="7"/>
        <v>1.4481497902286622E-10</v>
      </c>
      <c r="P44" s="40">
        <f t="shared" si="8"/>
        <v>2.2838045388506583E-5</v>
      </c>
      <c r="Q44" s="40">
        <f t="shared" si="9"/>
        <v>1.704596081235648E-3</v>
      </c>
      <c r="R44" s="9">
        <f t="shared" si="12"/>
        <v>3.9999999999999996E-5</v>
      </c>
      <c r="S44" s="9">
        <f t="shared" si="13"/>
        <v>9.32666110716996E-7</v>
      </c>
      <c r="T44" s="9">
        <f t="shared" si="10"/>
        <v>5.7567101394985427E-9</v>
      </c>
      <c r="U44" s="9">
        <f t="shared" si="11"/>
        <v>3.9067333889283E-5</v>
      </c>
      <c r="V44" s="100">
        <f t="shared" si="14"/>
        <v>1.4735354492868865E-4</v>
      </c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89"/>
      <c r="B45" s="46" t="s">
        <v>184</v>
      </c>
      <c r="C45" s="46" t="s">
        <v>185</v>
      </c>
      <c r="D45" s="90">
        <v>1.2599279999999999</v>
      </c>
      <c r="E45" s="90">
        <v>1.3925860000000003</v>
      </c>
      <c r="F45" s="96">
        <v>9.9999999999999995E-7</v>
      </c>
      <c r="G45" s="138"/>
      <c r="H45" s="138"/>
      <c r="I45" s="92">
        <f t="shared" si="1"/>
        <v>3.8037572032670899E-2</v>
      </c>
      <c r="J45" s="92">
        <f t="shared" si="2"/>
        <v>0.42916913204398671</v>
      </c>
      <c r="K45" s="93">
        <f t="shared" si="3"/>
        <v>0.90910897400173984</v>
      </c>
      <c r="L45" s="93">
        <f t="shared" si="4"/>
        <v>2.5089468707974972E-3</v>
      </c>
      <c r="M45" s="93">
        <f t="shared" si="5"/>
        <v>0.9974910531292025</v>
      </c>
      <c r="N45" s="93">
        <f t="shared" si="6"/>
        <v>2.3062603514060706E-4</v>
      </c>
      <c r="O45" s="40">
        <f t="shared" si="7"/>
        <v>9.1477662629739012E-7</v>
      </c>
      <c r="P45" s="40">
        <f t="shared" si="8"/>
        <v>2.4574471766139468E-6</v>
      </c>
      <c r="Q45" s="40">
        <f t="shared" si="9"/>
        <v>2.2589210856019643E-5</v>
      </c>
      <c r="R45" s="9">
        <f t="shared" si="12"/>
        <v>3.9999999999999996E-5</v>
      </c>
      <c r="S45" s="9">
        <f t="shared" si="13"/>
        <v>1.0035787483189988E-7</v>
      </c>
      <c r="T45" s="9">
        <f t="shared" si="10"/>
        <v>3.6364358960069588E-5</v>
      </c>
      <c r="U45" s="9">
        <f t="shared" si="11"/>
        <v>3.98996421251681E-5</v>
      </c>
      <c r="V45" s="100">
        <f t="shared" si="14"/>
        <v>0.91139561718353101</v>
      </c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x14ac:dyDescent="0.45">
      <c r="A46" s="88"/>
      <c r="B46" s="46" t="s">
        <v>186</v>
      </c>
      <c r="C46" s="46" t="s">
        <v>187</v>
      </c>
      <c r="D46" s="91">
        <v>1.2889359999999999</v>
      </c>
      <c r="E46" s="91">
        <v>1.371977</v>
      </c>
      <c r="F46" s="96">
        <v>9.9999999999999995E-7</v>
      </c>
      <c r="G46" s="138"/>
      <c r="H46" s="138"/>
      <c r="I46" s="92">
        <f t="shared" si="1"/>
        <v>4.0258976380178252E-2</v>
      </c>
      <c r="J46" s="92">
        <f t="shared" si="2"/>
        <v>0.44418370932270096</v>
      </c>
      <c r="K46" s="93">
        <f t="shared" si="3"/>
        <v>0.90440294288658152</v>
      </c>
      <c r="L46" s="93">
        <f t="shared" si="4"/>
        <v>2.5837593673983779E-3</v>
      </c>
      <c r="M46" s="93">
        <f t="shared" si="5"/>
        <v>0.99741624063260159</v>
      </c>
      <c r="N46" s="93">
        <f t="shared" si="6"/>
        <v>2.1879901112510265E-4</v>
      </c>
      <c r="O46" s="40">
        <f t="shared" si="7"/>
        <v>9.1004125640237593E-7</v>
      </c>
      <c r="P46" s="40">
        <f t="shared" si="8"/>
        <v>2.5307240405791191E-6</v>
      </c>
      <c r="Q46" s="40">
        <f t="shared" si="9"/>
        <v>2.1430785099263449E-5</v>
      </c>
      <c r="R46" s="9">
        <f t="shared" si="12"/>
        <v>3.9999999999999996E-5</v>
      </c>
      <c r="S46" s="9">
        <f t="shared" si="13"/>
        <v>1.0335037469593511E-7</v>
      </c>
      <c r="T46" s="9">
        <f t="shared" si="10"/>
        <v>3.6176117715463259E-5</v>
      </c>
      <c r="U46" s="9">
        <f t="shared" si="11"/>
        <v>3.9896649625304063E-5</v>
      </c>
      <c r="V46" s="100">
        <f t="shared" si="14"/>
        <v>0.90674575572678939</v>
      </c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88"/>
      <c r="B47" s="46" t="s">
        <v>188</v>
      </c>
      <c r="C47" s="46" t="s">
        <v>189</v>
      </c>
      <c r="D47" s="90">
        <v>2.5448008164668257</v>
      </c>
      <c r="E47" s="90">
        <v>3.1426039783542175</v>
      </c>
      <c r="F47" s="96">
        <v>9.9999999999999995E-7</v>
      </c>
      <c r="G47" s="138"/>
      <c r="H47" s="138"/>
      <c r="I47" s="92">
        <f t="shared" si="1"/>
        <v>0.50587648659747519</v>
      </c>
      <c r="J47" s="92">
        <f t="shared" si="2"/>
        <v>1.6468679908029498</v>
      </c>
      <c r="K47" s="93">
        <f t="shared" si="3"/>
        <v>0.30603437176370085</v>
      </c>
      <c r="L47" s="93">
        <f t="shared" si="4"/>
        <v>1.3942626231094039E-2</v>
      </c>
      <c r="M47" s="93">
        <f t="shared" si="5"/>
        <v>0.98605737376890601</v>
      </c>
      <c r="N47" s="93">
        <f t="shared" si="6"/>
        <v>4.3659682453528444E-3</v>
      </c>
      <c r="O47" s="40">
        <f t="shared" si="7"/>
        <v>3.0794227990153332E-7</v>
      </c>
      <c r="P47" s="40">
        <f t="shared" si="8"/>
        <v>1.3656434046088279E-5</v>
      </c>
      <c r="Q47" s="40">
        <f t="shared" si="9"/>
        <v>4.2763505527393299E-4</v>
      </c>
      <c r="R47" s="9">
        <f t="shared" si="12"/>
        <v>3.9999999999999996E-5</v>
      </c>
      <c r="S47" s="9">
        <f t="shared" si="13"/>
        <v>5.5770504924376155E-7</v>
      </c>
      <c r="T47" s="9">
        <f t="shared" si="10"/>
        <v>1.2241374870548034E-5</v>
      </c>
      <c r="U47" s="9">
        <f t="shared" si="11"/>
        <v>3.9442294950756235E-5</v>
      </c>
      <c r="V47" s="100">
        <f t="shared" si="14"/>
        <v>0.31036162793852151</v>
      </c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88"/>
      <c r="B48" s="46" t="s">
        <v>101</v>
      </c>
      <c r="C48" s="46" t="s">
        <v>102</v>
      </c>
      <c r="D48" s="90">
        <v>0.29376000000000013</v>
      </c>
      <c r="E48" s="90">
        <v>0.18140000000000034</v>
      </c>
      <c r="F48" s="96">
        <v>9.9999999999999995E-7</v>
      </c>
      <c r="G48" s="138"/>
      <c r="H48" s="138"/>
      <c r="I48" s="92">
        <f t="shared" ref="I48:I50" si="15">IF(D48=0,"",LOG($K$15*10^D48+$K$16*10^E48+$K$14))</f>
        <v>2.0958974367173925E-3</v>
      </c>
      <c r="J48" s="92">
        <f t="shared" ref="J48:J50" si="16">IF(D48=0,"",LOG($K$21*10^D48+$K$22*10^E48+$K$20))</f>
        <v>3.6103930695935905E-2</v>
      </c>
      <c r="K48" s="93">
        <f t="shared" ref="K48:K50" si="17">IF(D48=0,"",1/(1+10^D48*$J$15/$J$14+10^E48*$J$16/$J$14+10^J48*$J$19/$J$14))</f>
        <v>0.98893756328202675</v>
      </c>
      <c r="L48" s="93">
        <f t="shared" ref="L48:L50" si="18">IF(D48=0,"",1/(1+10^I48/10^J48*$J$13/$J$19))</f>
        <v>1.1040257221129038E-3</v>
      </c>
      <c r="M48" s="93">
        <f t="shared" ref="M48:M92" si="19">IF(D48=0,"",1-L48)</f>
        <v>0.99889597427788712</v>
      </c>
      <c r="N48" s="93">
        <f t="shared" ref="N48:N50" si="20">IF(D48=0,"",1/(1/10^E48*$J$20/$J$22+10^D48/10^E48*$J$21/$J$22+10^I48/10^E48*$J$13/$J$22+1))</f>
        <v>1.5426779114913716E-5</v>
      </c>
      <c r="O48" s="40">
        <f t="shared" ref="O48:O92" si="21">IF(D48=0,"",F48*K48*$J$7/$J$14)</f>
        <v>9.9510289044420219E-7</v>
      </c>
      <c r="P48" s="40">
        <f t="shared" ref="P48:P50" si="22">IF(D48=0,"",O48*10^J48)</f>
        <v>1.0813640277895338E-6</v>
      </c>
      <c r="Q48" s="40">
        <f t="shared" ref="Q48:Q50" si="23">IF(D48=0,"",F48*N48*$J$7/$J$22)</f>
        <v>1.5110122586271191E-6</v>
      </c>
      <c r="R48" s="9">
        <f t="shared" si="12"/>
        <v>3.9999999999999996E-5</v>
      </c>
      <c r="S48" s="9">
        <f t="shared" si="13"/>
        <v>4.416102888451615E-8</v>
      </c>
      <c r="T48" s="9">
        <f t="shared" si="10"/>
        <v>3.9557502531281068E-5</v>
      </c>
      <c r="U48" s="9">
        <f t="shared" si="11"/>
        <v>3.995583897111548E-5</v>
      </c>
      <c r="V48" s="100">
        <f t="shared" si="14"/>
        <v>0.99003058251079712</v>
      </c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88"/>
      <c r="B49" s="46" t="s">
        <v>190</v>
      </c>
      <c r="C49" s="46" t="s">
        <v>191</v>
      </c>
      <c r="D49" s="90">
        <v>1.6175039999999998</v>
      </c>
      <c r="E49" s="90">
        <v>1.8999029999999997</v>
      </c>
      <c r="F49" s="96">
        <v>9.9999999999999995E-7</v>
      </c>
      <c r="G49" s="138"/>
      <c r="H49" s="138"/>
      <c r="I49" s="92">
        <f t="shared" si="15"/>
        <v>8.7763082204907472E-2</v>
      </c>
      <c r="J49" s="92">
        <f t="shared" si="16"/>
        <v>0.71549530837913433</v>
      </c>
      <c r="K49" s="93">
        <f t="shared" si="17"/>
        <v>0.80928593067855903</v>
      </c>
      <c r="L49" s="93">
        <f t="shared" si="18"/>
        <v>4.3182092829578056E-3</v>
      </c>
      <c r="M49" s="93">
        <f t="shared" si="19"/>
        <v>0.99568179071704221</v>
      </c>
      <c r="N49" s="93">
        <f t="shared" si="20"/>
        <v>6.6025451286141684E-4</v>
      </c>
      <c r="O49" s="40">
        <f t="shared" si="21"/>
        <v>8.1433125680998814E-7</v>
      </c>
      <c r="P49" s="40">
        <f t="shared" si="22"/>
        <v>4.2295719108072293E-6</v>
      </c>
      <c r="Q49" s="40">
        <f t="shared" si="23"/>
        <v>6.467018522246195E-5</v>
      </c>
      <c r="R49" s="9">
        <f t="shared" si="12"/>
        <v>3.9999999999999996E-5</v>
      </c>
      <c r="S49" s="9">
        <f t="shared" si="13"/>
        <v>1.7272837131831221E-7</v>
      </c>
      <c r="T49" s="9">
        <f t="shared" si="10"/>
        <v>3.2371437227142355E-5</v>
      </c>
      <c r="U49" s="9">
        <f t="shared" si="11"/>
        <v>3.9827271628681682E-5</v>
      </c>
      <c r="V49" s="100">
        <f t="shared" si="14"/>
        <v>0.81279575284363703</v>
      </c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88"/>
      <c r="B50" s="46" t="s">
        <v>192</v>
      </c>
      <c r="C50" s="46" t="s">
        <v>193</v>
      </c>
      <c r="D50" s="90">
        <v>2.5898400000000001</v>
      </c>
      <c r="E50" s="90">
        <v>2.96393</v>
      </c>
      <c r="F50" s="96">
        <v>9.9999999999999995E-7</v>
      </c>
      <c r="G50" s="138"/>
      <c r="H50" s="138"/>
      <c r="I50" s="92">
        <f t="shared" si="15"/>
        <v>0.50667591684415281</v>
      </c>
      <c r="J50" s="92">
        <f t="shared" si="16"/>
        <v>1.6323878148666418</v>
      </c>
      <c r="K50" s="93">
        <f t="shared" si="17"/>
        <v>0.30561886627328855</v>
      </c>
      <c r="L50" s="93">
        <f t="shared" si="18"/>
        <v>1.3467108626797607E-2</v>
      </c>
      <c r="M50" s="93">
        <f t="shared" si="19"/>
        <v>0.98653289137320244</v>
      </c>
      <c r="N50" s="93">
        <f t="shared" si="20"/>
        <v>2.8894590791880875E-3</v>
      </c>
      <c r="O50" s="40">
        <f t="shared" si="21"/>
        <v>3.075241840278843E-7</v>
      </c>
      <c r="P50" s="40">
        <f t="shared" si="22"/>
        <v>1.3190677115278078E-5</v>
      </c>
      <c r="Q50" s="40">
        <f t="shared" si="23"/>
        <v>2.8301488320616613E-4</v>
      </c>
      <c r="R50" s="9">
        <f t="shared" si="12"/>
        <v>3.9999999999999996E-5</v>
      </c>
      <c r="S50" s="9">
        <f t="shared" si="13"/>
        <v>5.3868434507190419E-7</v>
      </c>
      <c r="T50" s="9">
        <f t="shared" si="10"/>
        <v>1.2224754650931541E-5</v>
      </c>
      <c r="U50" s="9">
        <f t="shared" si="11"/>
        <v>3.9461315654928093E-5</v>
      </c>
      <c r="V50" s="100">
        <f t="shared" si="14"/>
        <v>0.30979085334689954</v>
      </c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88"/>
      <c r="B51" s="46" t="s">
        <v>194</v>
      </c>
      <c r="C51" s="46" t="s">
        <v>195</v>
      </c>
      <c r="D51" s="90">
        <v>5.0487680000000008</v>
      </c>
      <c r="E51" s="90">
        <v>6.0352960000000007</v>
      </c>
      <c r="F51" s="96">
        <v>9.9999999999999995E-7</v>
      </c>
      <c r="G51" s="138"/>
      <c r="H51" s="138"/>
      <c r="I51" s="92">
        <f t="shared" ref="I51:I70" si="24">IF(D51=0,"",LOG($K$15*10^D51+$K$16*10^E51+$K$14))</f>
        <v>2.9778200964006376</v>
      </c>
      <c r="J51" s="92">
        <f t="shared" ref="J51:J70" si="25">IF(D51=0,"",LOG($K$21*10^D51+$K$22*10^E51+$K$20))</f>
        <v>4.3070548137368689</v>
      </c>
      <c r="K51" s="93">
        <f t="shared" ref="K51:K70" si="26">IF(D51=0,"",1/(1+10^D51*$J$15/$J$14+10^E51*$J$16/$J$14+10^J51*$J$19/$J$14))</f>
        <v>1.0245982825090479E-3</v>
      </c>
      <c r="L51" s="93">
        <f t="shared" ref="L51:L70" si="27">IF(D51=0,"",1/(1+10^I51/10^J51*$J$13/$J$19))</f>
        <v>2.1345917436055958E-2</v>
      </c>
      <c r="M51" s="93">
        <f t="shared" ref="M51:M70" si="28">IF(D51=0,"",1-L51)</f>
        <v>0.97865408256394404</v>
      </c>
      <c r="N51" s="93">
        <f t="shared" ref="N51:N70" si="29">IF(D51=0,"",1/(1/10^E51*$J$20/$J$22+10^D51/10^E51*$J$21/$J$22+10^I51/10^E51*$J$13/$J$22+1))</f>
        <v>1.1417105430790735E-2</v>
      </c>
      <c r="O51" s="40">
        <f t="shared" ref="O51:O70" si="30">IF(D51=0,"",F51*K51*$J$7/$J$14)</f>
        <v>1.0309859290663358E-9</v>
      </c>
      <c r="P51" s="40">
        <f t="shared" ref="P51:P70" si="31">IF(D51=0,"",O51*10^J51)</f>
        <v>2.0907762195377303E-5</v>
      </c>
      <c r="Q51" s="40">
        <f t="shared" ref="Q51:Q70" si="32">IF(D51=0,"",F51*N51*$J$7/$J$22)</f>
        <v>1.1182753143386499E-3</v>
      </c>
      <c r="R51" s="9">
        <f t="shared" si="12"/>
        <v>3.9999999999999996E-5</v>
      </c>
      <c r="S51" s="9">
        <f t="shared" si="13"/>
        <v>8.5383669744223824E-7</v>
      </c>
      <c r="T51" s="9">
        <f t="shared" si="10"/>
        <v>4.0983931300361913E-8</v>
      </c>
      <c r="U51" s="9">
        <f t="shared" si="11"/>
        <v>3.9146163302557757E-5</v>
      </c>
      <c r="V51" s="100">
        <f t="shared" si="14"/>
        <v>1.0469463120459644E-3</v>
      </c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46" t="s">
        <v>196</v>
      </c>
      <c r="C52" s="46" t="s">
        <v>197</v>
      </c>
      <c r="D52" s="47">
        <v>2.7330160000000001</v>
      </c>
      <c r="E52" s="47">
        <v>3.3310319999999995</v>
      </c>
      <c r="F52" s="96">
        <v>9.9999999999999995E-7</v>
      </c>
      <c r="G52" s="138"/>
      <c r="H52" s="138"/>
      <c r="I52" s="92">
        <f t="shared" si="24"/>
        <v>0.64393554165863076</v>
      </c>
      <c r="J52" s="92">
        <f t="shared" si="25"/>
        <v>1.8320197616226608</v>
      </c>
      <c r="K52" s="93">
        <f t="shared" si="26"/>
        <v>0.22234029978451947</v>
      </c>
      <c r="L52" s="93">
        <f t="shared" si="27"/>
        <v>1.5514734089352012E-2</v>
      </c>
      <c r="M52" s="93">
        <f t="shared" si="28"/>
        <v>0.984485265910648</v>
      </c>
      <c r="N52" s="93">
        <f t="shared" si="29"/>
        <v>4.895043718157817E-3</v>
      </c>
      <c r="O52" s="40">
        <f t="shared" si="30"/>
        <v>2.2372643450161764E-7</v>
      </c>
      <c r="P52" s="40">
        <f t="shared" si="31"/>
        <v>1.5196272160069802E-5</v>
      </c>
      <c r="Q52" s="40">
        <f t="shared" si="32"/>
        <v>4.7945660008197403E-4</v>
      </c>
      <c r="R52" s="9">
        <f t="shared" si="12"/>
        <v>3.9999999999999996E-5</v>
      </c>
      <c r="S52" s="9">
        <f t="shared" si="13"/>
        <v>6.2058936357408049E-7</v>
      </c>
      <c r="T52" s="9">
        <f t="shared" si="10"/>
        <v>8.8936119913807776E-6</v>
      </c>
      <c r="U52" s="9">
        <f t="shared" si="11"/>
        <v>3.9379410636425915E-5</v>
      </c>
      <c r="V52" s="100">
        <f t="shared" si="14"/>
        <v>0.22584421269002425</v>
      </c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46" t="s">
        <v>198</v>
      </c>
      <c r="C53" s="46" t="s">
        <v>199</v>
      </c>
      <c r="D53" s="47">
        <v>3.4406639999999999</v>
      </c>
      <c r="E53" s="47">
        <v>4.222847999999999</v>
      </c>
      <c r="F53" s="96">
        <v>9.9999999999999995E-7</v>
      </c>
      <c r="G53" s="138"/>
      <c r="H53" s="138"/>
      <c r="I53" s="92">
        <f t="shared" si="24"/>
        <v>1.3135143326183101</v>
      </c>
      <c r="J53" s="92">
        <f t="shared" si="25"/>
        <v>2.6025949535148953</v>
      </c>
      <c r="K53" s="93">
        <f t="shared" si="26"/>
        <v>4.7389143049232176E-2</v>
      </c>
      <c r="L53" s="93">
        <f t="shared" si="27"/>
        <v>1.9497556917654025E-2</v>
      </c>
      <c r="M53" s="93">
        <f t="shared" si="28"/>
        <v>0.98050244308234602</v>
      </c>
      <c r="N53" s="93">
        <f t="shared" si="29"/>
        <v>8.1326717423861206E-3</v>
      </c>
      <c r="O53" s="40">
        <f t="shared" si="30"/>
        <v>4.7684580882399317E-8</v>
      </c>
      <c r="P53" s="40">
        <f t="shared" si="31"/>
        <v>1.9097341899044883E-5</v>
      </c>
      <c r="Q53" s="40">
        <f t="shared" si="32"/>
        <v>7.9657371163471997E-4</v>
      </c>
      <c r="R53" s="9">
        <f t="shared" si="12"/>
        <v>3.9999999999999996E-5</v>
      </c>
      <c r="S53" s="9">
        <f t="shared" si="13"/>
        <v>7.7990227670616093E-7</v>
      </c>
      <c r="T53" s="9">
        <f t="shared" si="10"/>
        <v>1.8955657219692869E-6</v>
      </c>
      <c r="U53" s="9">
        <f t="shared" si="11"/>
        <v>3.922009772329384E-5</v>
      </c>
      <c r="V53" s="100">
        <f t="shared" si="14"/>
        <v>4.8331489007062342E-2</v>
      </c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46" t="s">
        <v>200</v>
      </c>
      <c r="C54" s="46" t="s">
        <v>201</v>
      </c>
      <c r="D54" s="47">
        <v>2.8976480000000002</v>
      </c>
      <c r="E54" s="47">
        <v>3.5312959999999993</v>
      </c>
      <c r="F54" s="96">
        <v>9.9999999999999995E-7</v>
      </c>
      <c r="G54" s="138"/>
      <c r="H54" s="138"/>
      <c r="I54" s="92">
        <f t="shared" si="24"/>
        <v>0.78379345695532832</v>
      </c>
      <c r="J54" s="92">
        <f t="shared" si="25"/>
        <v>2.0064300527387009</v>
      </c>
      <c r="K54" s="93">
        <f t="shared" si="26"/>
        <v>0.16091727034880976</v>
      </c>
      <c r="L54" s="93">
        <f t="shared" si="27"/>
        <v>1.6777957800225497E-2</v>
      </c>
      <c r="M54" s="93">
        <f t="shared" si="28"/>
        <v>0.98322204219977449</v>
      </c>
      <c r="N54" s="93">
        <f t="shared" si="29"/>
        <v>5.6183015460619335E-3</v>
      </c>
      <c r="O54" s="40">
        <f t="shared" si="30"/>
        <v>1.6192047586408217E-7</v>
      </c>
      <c r="P54" s="40">
        <f t="shared" si="31"/>
        <v>1.6433566412032616E-5</v>
      </c>
      <c r="Q54" s="40">
        <f t="shared" si="32"/>
        <v>5.5029779356575428E-4</v>
      </c>
      <c r="R54" s="9">
        <f t="shared" si="12"/>
        <v>3.9999999999999996E-5</v>
      </c>
      <c r="S54" s="9">
        <f t="shared" si="13"/>
        <v>6.711183120090198E-7</v>
      </c>
      <c r="T54" s="9">
        <f t="shared" si="10"/>
        <v>6.4366908139523896E-6</v>
      </c>
      <c r="U54" s="9">
        <f t="shared" si="11"/>
        <v>3.9328881687990975E-5</v>
      </c>
      <c r="V54" s="100">
        <f t="shared" si="14"/>
        <v>0.16366320469055762</v>
      </c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46" t="s">
        <v>103</v>
      </c>
      <c r="C55" s="46" t="s">
        <v>104</v>
      </c>
      <c r="D55" s="47">
        <v>1.423632</v>
      </c>
      <c r="E55" s="47">
        <v>1.638849</v>
      </c>
      <c r="F55" s="96">
        <v>9.9999999999999995E-7</v>
      </c>
      <c r="G55" s="138"/>
      <c r="H55" s="138"/>
      <c r="I55" s="54">
        <f t="shared" si="24"/>
        <v>5.6400487609719711E-2</v>
      </c>
      <c r="J55" s="54">
        <f t="shared" si="25"/>
        <v>0.55351864127074724</v>
      </c>
      <c r="K55" s="55">
        <f t="shared" si="26"/>
        <v>0.87086725819434541</v>
      </c>
      <c r="L55" s="55">
        <f t="shared" si="27"/>
        <v>3.2001990507145445E-3</v>
      </c>
      <c r="M55" s="55">
        <f t="shared" si="28"/>
        <v>0.99679980094928544</v>
      </c>
      <c r="N55" s="55">
        <f t="shared" si="29"/>
        <v>3.8949990024381566E-4</v>
      </c>
      <c r="O55" s="56">
        <f t="shared" si="30"/>
        <v>8.7629650040431444E-7</v>
      </c>
      <c r="P55" s="56">
        <f t="shared" si="31"/>
        <v>3.134510424798802E-6</v>
      </c>
      <c r="Q55" s="56">
        <f t="shared" si="32"/>
        <v>3.8150486217403598E-5</v>
      </c>
      <c r="R55" s="9">
        <f t="shared" si="12"/>
        <v>3.9999999999999996E-5</v>
      </c>
      <c r="S55" s="9">
        <f t="shared" si="13"/>
        <v>1.2800796202858176E-7</v>
      </c>
      <c r="T55" s="9">
        <f t="shared" si="10"/>
        <v>3.4834690327773812E-5</v>
      </c>
      <c r="U55" s="9">
        <f t="shared" si="11"/>
        <v>3.9871992037971415E-5</v>
      </c>
      <c r="V55" s="100">
        <f t="shared" si="14"/>
        <v>0.8736631541910318</v>
      </c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46" t="s">
        <v>202</v>
      </c>
      <c r="C56" s="46" t="s">
        <v>203</v>
      </c>
      <c r="D56" s="47">
        <v>2.6912000000000003</v>
      </c>
      <c r="E56" s="47">
        <v>3.3249699999999995</v>
      </c>
      <c r="F56" s="96">
        <v>9.9999999999999995E-7</v>
      </c>
      <c r="G56" s="138"/>
      <c r="H56" s="138"/>
      <c r="I56" s="54">
        <f t="shared" si="24"/>
        <v>0.61860589125383425</v>
      </c>
      <c r="J56" s="54">
        <f t="shared" si="25"/>
        <v>1.8023749945199008</v>
      </c>
      <c r="K56" s="55">
        <f t="shared" si="26"/>
        <v>0.23572978429460847</v>
      </c>
      <c r="L56" s="55">
        <f t="shared" si="27"/>
        <v>1.536370081397158E-2</v>
      </c>
      <c r="M56" s="55">
        <f t="shared" si="28"/>
        <v>0.98463629918602846</v>
      </c>
      <c r="N56" s="55">
        <f t="shared" si="29"/>
        <v>5.1178888160770975E-3</v>
      </c>
      <c r="O56" s="56">
        <f t="shared" si="30"/>
        <v>2.3719939298984498E-7</v>
      </c>
      <c r="P56" s="56">
        <f t="shared" si="31"/>
        <v>1.5048339056950556E-5</v>
      </c>
      <c r="Q56" s="56">
        <f t="shared" si="32"/>
        <v>5.0128368869345669E-4</v>
      </c>
      <c r="R56" s="9">
        <f t="shared" si="12"/>
        <v>3.9999999999999996E-5</v>
      </c>
      <c r="S56" s="9">
        <f t="shared" si="13"/>
        <v>6.145480325588632E-7</v>
      </c>
      <c r="T56" s="9">
        <f t="shared" si="10"/>
        <v>9.4291913717843377E-6</v>
      </c>
      <c r="U56" s="9">
        <f t="shared" si="11"/>
        <v>3.9385451967441137E-5</v>
      </c>
      <c r="V56" s="100">
        <f t="shared" si="14"/>
        <v>0.23940797682299519</v>
      </c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87" t="s">
        <v>105</v>
      </c>
      <c r="C57" s="87" t="s">
        <v>106</v>
      </c>
      <c r="D57" s="90">
        <v>2.1493200000000003</v>
      </c>
      <c r="E57" s="90">
        <v>2.6108399999999996</v>
      </c>
      <c r="F57" s="96">
        <v>9.9999999999999995E-7</v>
      </c>
      <c r="G57" s="138"/>
      <c r="H57" s="138"/>
      <c r="I57" s="54">
        <f t="shared" si="24"/>
        <v>0.26171036693668792</v>
      </c>
      <c r="J57" s="54">
        <f t="shared" si="25"/>
        <v>1.2272811321709634</v>
      </c>
      <c r="K57" s="55">
        <f t="shared" si="26"/>
        <v>0.53945244560308003</v>
      </c>
      <c r="L57" s="55">
        <f t="shared" si="27"/>
        <v>9.3527793036710435E-3</v>
      </c>
      <c r="M57" s="55">
        <f t="shared" si="28"/>
        <v>0.99064722069632893</v>
      </c>
      <c r="N57" s="55">
        <f t="shared" si="29"/>
        <v>2.2620362183491337E-3</v>
      </c>
      <c r="O57" s="56">
        <f t="shared" si="30"/>
        <v>5.4281555055435796E-7</v>
      </c>
      <c r="P57" s="56">
        <f t="shared" si="31"/>
        <v>9.1608002388643809E-6</v>
      </c>
      <c r="Q57" s="56">
        <f t="shared" si="32"/>
        <v>2.2156047156206323E-4</v>
      </c>
      <c r="R57" s="9">
        <f t="shared" si="12"/>
        <v>3.9999999999999996E-5</v>
      </c>
      <c r="S57" s="9">
        <f t="shared" si="13"/>
        <v>3.7411117214684171E-7</v>
      </c>
      <c r="T57" s="9">
        <f t="shared" si="10"/>
        <v>2.1578097824123201E-5</v>
      </c>
      <c r="U57" s="9">
        <f t="shared" si="11"/>
        <v>3.9625888827853157E-5</v>
      </c>
      <c r="V57" s="100">
        <f t="shared" si="14"/>
        <v>0.54454545910288554</v>
      </c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46" t="s">
        <v>145</v>
      </c>
      <c r="C58" s="46" t="s">
        <v>146</v>
      </c>
      <c r="D58" s="47">
        <v>2.0184960000000003</v>
      </c>
      <c r="E58" s="47">
        <v>2.3512620000000002</v>
      </c>
      <c r="F58" s="96">
        <v>9.9999999999999995E-7</v>
      </c>
      <c r="G58" s="138"/>
      <c r="H58" s="138"/>
      <c r="I58" s="54">
        <f t="shared" si="24"/>
        <v>0.19893820408979257</v>
      </c>
      <c r="J58" s="54">
        <f t="shared" si="25"/>
        <v>1.0772847763604276</v>
      </c>
      <c r="K58" s="55">
        <f t="shared" si="26"/>
        <v>0.62440309229138735</v>
      </c>
      <c r="L58" s="55">
        <f t="shared" si="27"/>
        <v>7.6640125908025722E-3</v>
      </c>
      <c r="M58" s="55">
        <f t="shared" si="28"/>
        <v>0.99233598740919737</v>
      </c>
      <c r="N58" s="55">
        <f t="shared" si="29"/>
        <v>1.4402352401994951E-3</v>
      </c>
      <c r="O58" s="56">
        <f t="shared" si="30"/>
        <v>6.2829580451911812E-7</v>
      </c>
      <c r="P58" s="56">
        <f t="shared" si="31"/>
        <v>7.5066978587772714E-6</v>
      </c>
      <c r="Q58" s="56">
        <f t="shared" si="32"/>
        <v>1.410672368507807E-4</v>
      </c>
      <c r="R58" s="9">
        <f t="shared" si="12"/>
        <v>3.9999999999999996E-5</v>
      </c>
      <c r="S58" s="9">
        <f t="shared" si="13"/>
        <v>3.0656050363210287E-7</v>
      </c>
      <c r="T58" s="9">
        <f t="shared" si="10"/>
        <v>2.4976123691655493E-5</v>
      </c>
      <c r="U58" s="9">
        <f t="shared" si="11"/>
        <v>3.9693439496367889E-5</v>
      </c>
      <c r="V58" s="100">
        <f t="shared" si="14"/>
        <v>0.62922548432571346</v>
      </c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46" t="s">
        <v>147</v>
      </c>
      <c r="C59" s="46" t="s">
        <v>148</v>
      </c>
      <c r="D59" s="47">
        <v>1.4665360000000003</v>
      </c>
      <c r="E59" s="47">
        <v>1.8522119999999997</v>
      </c>
      <c r="F59" s="96">
        <v>9.9999999999999995E-7</v>
      </c>
      <c r="G59" s="138"/>
      <c r="H59" s="138"/>
      <c r="I59" s="54">
        <f t="shared" si="24"/>
        <v>6.5352597387686409E-2</v>
      </c>
      <c r="J59" s="54">
        <f t="shared" si="25"/>
        <v>0.61123091181973244</v>
      </c>
      <c r="K59" s="55">
        <f t="shared" si="26"/>
        <v>0.8527755597928649</v>
      </c>
      <c r="L59" s="55">
        <f t="shared" si="27"/>
        <v>3.5790852666877588E-3</v>
      </c>
      <c r="M59" s="55">
        <f t="shared" si="28"/>
        <v>0.99642091473331229</v>
      </c>
      <c r="N59" s="55">
        <f t="shared" si="29"/>
        <v>6.2338038543756748E-4</v>
      </c>
      <c r="O59" s="56">
        <f t="shared" si="30"/>
        <v>8.5809201304253347E-7</v>
      </c>
      <c r="P59" s="56">
        <f t="shared" si="31"/>
        <v>3.5056194636304436E-6</v>
      </c>
      <c r="Q59" s="56">
        <f t="shared" si="32"/>
        <v>6.1058461858266595E-5</v>
      </c>
      <c r="R59" s="9">
        <f t="shared" si="12"/>
        <v>3.9999999999999996E-5</v>
      </c>
      <c r="S59" s="9">
        <f t="shared" si="13"/>
        <v>1.4316341066751035E-7</v>
      </c>
      <c r="T59" s="9">
        <f t="shared" si="10"/>
        <v>3.4111022391714594E-5</v>
      </c>
      <c r="U59" s="9">
        <f t="shared" si="11"/>
        <v>3.985683658933249E-5</v>
      </c>
      <c r="V59" s="100">
        <f t="shared" si="14"/>
        <v>0.85583867940097036</v>
      </c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46" t="s">
        <v>149</v>
      </c>
      <c r="C60" s="46" t="s">
        <v>150</v>
      </c>
      <c r="D60" s="47">
        <v>2.7203999877244023</v>
      </c>
      <c r="E60" s="47">
        <v>3.3923999825375306</v>
      </c>
      <c r="F60" s="96">
        <v>9.9999999999999995E-7</v>
      </c>
      <c r="G60" s="138"/>
      <c r="H60" s="138"/>
      <c r="I60" s="54">
        <f t="shared" si="24"/>
        <v>0.6487673116742505</v>
      </c>
      <c r="J60" s="54">
        <f t="shared" si="25"/>
        <v>1.8442960268411308</v>
      </c>
      <c r="K60" s="55">
        <f t="shared" si="26"/>
        <v>0.21982138383028904</v>
      </c>
      <c r="L60" s="55">
        <f t="shared" si="27"/>
        <v>1.5778741176645964E-2</v>
      </c>
      <c r="M60" s="55">
        <f t="shared" si="28"/>
        <v>0.98422125882335398</v>
      </c>
      <c r="N60" s="55">
        <f t="shared" si="29"/>
        <v>5.5741199238731731E-3</v>
      </c>
      <c r="O60" s="56">
        <f t="shared" si="30"/>
        <v>2.2119181488567133E-7</v>
      </c>
      <c r="P60" s="56">
        <f t="shared" si="31"/>
        <v>1.5454860127327301E-5</v>
      </c>
      <c r="Q60" s="56">
        <f t="shared" si="32"/>
        <v>5.4597032039485041E-4</v>
      </c>
      <c r="R60" s="9">
        <f t="shared" si="12"/>
        <v>3.9999999999999996E-5</v>
      </c>
      <c r="S60" s="9">
        <f t="shared" si="13"/>
        <v>6.3114964706583847E-7</v>
      </c>
      <c r="T60" s="9">
        <f t="shared" si="10"/>
        <v>8.7928553532115603E-6</v>
      </c>
      <c r="U60" s="9">
        <f t="shared" si="11"/>
        <v>3.9368850352934158E-5</v>
      </c>
      <c r="V60" s="100">
        <f t="shared" si="14"/>
        <v>0.22334549458227271</v>
      </c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46" t="s">
        <v>151</v>
      </c>
      <c r="C61" s="46" t="s">
        <v>152</v>
      </c>
      <c r="D61" s="47">
        <v>3.4658999877244021</v>
      </c>
      <c r="E61" s="47">
        <v>4.4528999825375299</v>
      </c>
      <c r="F61" s="96">
        <v>9.9999999999999995E-7</v>
      </c>
      <c r="G61" s="138"/>
      <c r="H61" s="138"/>
      <c r="I61" s="54">
        <f t="shared" si="24"/>
        <v>1.4117733403846819</v>
      </c>
      <c r="J61" s="54">
        <f t="shared" si="25"/>
        <v>2.7251612045897451</v>
      </c>
      <c r="K61" s="55">
        <f t="shared" si="26"/>
        <v>3.7751366383157868E-2</v>
      </c>
      <c r="L61" s="55">
        <f t="shared" si="27"/>
        <v>2.0596824466991789E-2</v>
      </c>
      <c r="M61" s="55">
        <f t="shared" si="28"/>
        <v>0.97940317553300826</v>
      </c>
      <c r="N61" s="55">
        <f t="shared" si="29"/>
        <v>1.1003707709746903E-2</v>
      </c>
      <c r="O61" s="56">
        <f t="shared" si="30"/>
        <v>3.7986719486541741E-8</v>
      </c>
      <c r="P61" s="56">
        <f t="shared" si="31"/>
        <v>2.0174045422306331E-5</v>
      </c>
      <c r="Q61" s="56">
        <f t="shared" si="32"/>
        <v>1.0777840997090277E-3</v>
      </c>
      <c r="R61" s="9">
        <f t="shared" si="12"/>
        <v>3.9999999999999996E-5</v>
      </c>
      <c r="S61" s="9">
        <f t="shared" si="13"/>
        <v>8.238729786796715E-7</v>
      </c>
      <c r="T61" s="9">
        <f t="shared" si="10"/>
        <v>1.5100546553263147E-6</v>
      </c>
      <c r="U61" s="9">
        <f t="shared" si="11"/>
        <v>3.9176127021320327E-5</v>
      </c>
      <c r="V61" s="100">
        <f t="shared" si="14"/>
        <v>3.8545276680987804E-2</v>
      </c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46" t="s">
        <v>153</v>
      </c>
      <c r="C62" s="46" t="s">
        <v>154</v>
      </c>
      <c r="D62" s="47">
        <v>4.1687999877244026</v>
      </c>
      <c r="E62" s="47">
        <v>5.4527999825375302</v>
      </c>
      <c r="F62" s="96">
        <v>9.9999999999999995E-7</v>
      </c>
      <c r="G62" s="138"/>
      <c r="H62" s="138"/>
      <c r="I62" s="54">
        <f t="shared" si="24"/>
        <v>2.2542758302531842</v>
      </c>
      <c r="J62" s="54">
        <f t="shared" si="25"/>
        <v>3.6107629570381072</v>
      </c>
      <c r="K62" s="55">
        <f t="shared" si="26"/>
        <v>5.4137467593573926E-3</v>
      </c>
      <c r="L62" s="55">
        <f t="shared" si="27"/>
        <v>2.2696938548186326E-2</v>
      </c>
      <c r="M62" s="55">
        <f t="shared" si="28"/>
        <v>0.97730306145181367</v>
      </c>
      <c r="N62" s="55">
        <f t="shared" si="29"/>
        <v>1.5776269164254935E-2</v>
      </c>
      <c r="O62" s="56">
        <f t="shared" si="30"/>
        <v>5.4474976463535667E-9</v>
      </c>
      <c r="P62" s="56">
        <f t="shared" si="31"/>
        <v>2.2231051682370437E-5</v>
      </c>
      <c r="Q62" s="56">
        <f t="shared" si="32"/>
        <v>1.5452438856497848E-3</v>
      </c>
      <c r="R62" s="9">
        <f t="shared" si="12"/>
        <v>3.9999999999999996E-5</v>
      </c>
      <c r="S62" s="9">
        <f t="shared" si="13"/>
        <v>9.0787754192745298E-7</v>
      </c>
      <c r="T62" s="9">
        <f t="shared" si="10"/>
        <v>2.1654987037429568E-7</v>
      </c>
      <c r="U62" s="9">
        <f t="shared" si="11"/>
        <v>3.9092122458072543E-5</v>
      </c>
      <c r="V62" s="100">
        <f t="shared" si="14"/>
        <v>5.5394759035289481E-3</v>
      </c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46" t="s">
        <v>155</v>
      </c>
      <c r="C63" s="46" t="s">
        <v>156</v>
      </c>
      <c r="D63" s="47">
        <v>4.999499987724402</v>
      </c>
      <c r="E63" s="47">
        <v>6.6344999825375304</v>
      </c>
      <c r="F63" s="96">
        <v>9.9999999999999995E-7</v>
      </c>
      <c r="G63" s="138"/>
      <c r="H63" s="138"/>
      <c r="I63" s="54">
        <f t="shared" si="24"/>
        <v>3.3259932392561606</v>
      </c>
      <c r="J63" s="54">
        <f t="shared" si="25"/>
        <v>4.7120050175112098</v>
      </c>
      <c r="K63" s="55">
        <f t="shared" si="26"/>
        <v>4.5823436753744939E-4</v>
      </c>
      <c r="L63" s="55">
        <f t="shared" si="27"/>
        <v>2.4254876275811757E-2</v>
      </c>
      <c r="M63" s="55">
        <f t="shared" si="28"/>
        <v>0.9757451237241882</v>
      </c>
      <c r="N63" s="55">
        <f t="shared" si="29"/>
        <v>2.02905597825957E-2</v>
      </c>
      <c r="O63" s="56">
        <f t="shared" si="30"/>
        <v>4.6109113514110357E-10</v>
      </c>
      <c r="P63" s="56">
        <f t="shared" si="31"/>
        <v>2.3757010527755049E-5</v>
      </c>
      <c r="Q63" s="56">
        <f t="shared" si="32"/>
        <v>1.9874067255081715E-3</v>
      </c>
      <c r="R63" s="9">
        <f t="shared" si="12"/>
        <v>3.9999999999999996E-5</v>
      </c>
      <c r="S63" s="9">
        <f t="shared" si="13"/>
        <v>9.7019505103247015E-7</v>
      </c>
      <c r="T63" s="9">
        <f t="shared" si="10"/>
        <v>1.8329374701497975E-8</v>
      </c>
      <c r="U63" s="9">
        <f t="shared" si="11"/>
        <v>3.9029804948967523E-5</v>
      </c>
      <c r="V63" s="100">
        <f t="shared" si="14"/>
        <v>4.6962506539461582E-4</v>
      </c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46" t="s">
        <v>157</v>
      </c>
      <c r="C64" s="46" t="s">
        <v>158</v>
      </c>
      <c r="D64" s="47">
        <v>4.4669999877244022</v>
      </c>
      <c r="E64" s="47">
        <v>5.8769999825375301</v>
      </c>
      <c r="F64" s="96">
        <v>9.9999999999999995E-7</v>
      </c>
      <c r="G64" s="138"/>
      <c r="H64" s="138"/>
      <c r="I64" s="54">
        <f t="shared" si="24"/>
        <v>2.6313958666363746</v>
      </c>
      <c r="J64" s="54">
        <f t="shared" si="25"/>
        <v>4.0002259467739458</v>
      </c>
      <c r="K64" s="55">
        <f t="shared" si="26"/>
        <v>2.270355297476967E-3</v>
      </c>
      <c r="L64" s="55">
        <f t="shared" si="27"/>
        <v>2.333598633800919E-2</v>
      </c>
      <c r="M64" s="55">
        <f t="shared" si="28"/>
        <v>0.97666401366199085</v>
      </c>
      <c r="N64" s="55">
        <f t="shared" si="29"/>
        <v>1.7571150461502431E-2</v>
      </c>
      <c r="O64" s="56">
        <f t="shared" si="30"/>
        <v>2.2845093590709761E-9</v>
      </c>
      <c r="P64" s="56">
        <f t="shared" si="31"/>
        <v>2.2856982109634699E-5</v>
      </c>
      <c r="Q64" s="56">
        <f t="shared" si="32"/>
        <v>1.7210477668565642E-3</v>
      </c>
      <c r="R64" s="9">
        <f t="shared" si="12"/>
        <v>3.9999999999999996E-5</v>
      </c>
      <c r="S64" s="9">
        <f t="shared" si="13"/>
        <v>9.3343945352036749E-7</v>
      </c>
      <c r="T64" s="9">
        <f t="shared" si="10"/>
        <v>9.0814211899078668E-8</v>
      </c>
      <c r="U64" s="9">
        <f t="shared" si="11"/>
        <v>3.906656054647963E-5</v>
      </c>
      <c r="V64" s="100">
        <f t="shared" si="14"/>
        <v>2.324602182243098E-3</v>
      </c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46" t="s">
        <v>159</v>
      </c>
      <c r="C65" s="46" t="s">
        <v>160</v>
      </c>
      <c r="D65" s="47">
        <v>4.2539999877244021</v>
      </c>
      <c r="E65" s="47">
        <v>5.5739999825375302</v>
      </c>
      <c r="F65" s="96">
        <v>9.9999999999999995E-7</v>
      </c>
      <c r="G65" s="138"/>
      <c r="H65" s="138"/>
      <c r="I65" s="54">
        <f t="shared" si="24"/>
        <v>2.3610319672695166</v>
      </c>
      <c r="J65" s="54">
        <f t="shared" si="25"/>
        <v>3.7212825462629815</v>
      </c>
      <c r="K65" s="55">
        <f t="shared" si="26"/>
        <v>4.2330755361001714E-3</v>
      </c>
      <c r="L65" s="55">
        <f t="shared" si="27"/>
        <v>2.2889955715864232E-2</v>
      </c>
      <c r="M65" s="55">
        <f t="shared" si="28"/>
        <v>0.97711004428413573</v>
      </c>
      <c r="N65" s="55">
        <f t="shared" si="29"/>
        <v>1.6306561349905876E-2</v>
      </c>
      <c r="O65" s="56">
        <f t="shared" si="30"/>
        <v>4.2594657719970096E-9</v>
      </c>
      <c r="P65" s="56">
        <f t="shared" si="31"/>
        <v>2.2420106898831579E-5</v>
      </c>
      <c r="Q65" s="56">
        <f t="shared" si="32"/>
        <v>1.5971846042666809E-3</v>
      </c>
      <c r="R65" s="9">
        <f t="shared" si="12"/>
        <v>3.9999999999999996E-5</v>
      </c>
      <c r="S65" s="9">
        <f t="shared" si="13"/>
        <v>9.1559822863456924E-7</v>
      </c>
      <c r="T65" s="9">
        <f t="shared" si="10"/>
        <v>1.6932302144400685E-7</v>
      </c>
      <c r="U65" s="9">
        <f t="shared" si="11"/>
        <v>3.9084401771365425E-5</v>
      </c>
      <c r="V65" s="100">
        <f t="shared" si="14"/>
        <v>4.3322403252966943E-3</v>
      </c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46" t="s">
        <v>161</v>
      </c>
      <c r="C66" s="46" t="s">
        <v>162</v>
      </c>
      <c r="D66" s="47">
        <v>4.4669999877244022</v>
      </c>
      <c r="E66" s="47">
        <v>5.8769999825375301</v>
      </c>
      <c r="F66" s="96">
        <v>9.9999999999999995E-7</v>
      </c>
      <c r="G66" s="138"/>
      <c r="H66" s="138"/>
      <c r="I66" s="54">
        <f t="shared" si="24"/>
        <v>2.6313958666363746</v>
      </c>
      <c r="J66" s="54">
        <f t="shared" si="25"/>
        <v>4.0002259467739458</v>
      </c>
      <c r="K66" s="55">
        <f t="shared" si="26"/>
        <v>2.270355297476967E-3</v>
      </c>
      <c r="L66" s="55">
        <f t="shared" si="27"/>
        <v>2.333598633800919E-2</v>
      </c>
      <c r="M66" s="55">
        <f t="shared" si="28"/>
        <v>0.97666401366199085</v>
      </c>
      <c r="N66" s="55">
        <f t="shared" si="29"/>
        <v>1.7571150461502431E-2</v>
      </c>
      <c r="O66" s="56">
        <f t="shared" si="30"/>
        <v>2.2845093590709761E-9</v>
      </c>
      <c r="P66" s="56">
        <f t="shared" si="31"/>
        <v>2.2856982109634699E-5</v>
      </c>
      <c r="Q66" s="56">
        <f t="shared" si="32"/>
        <v>1.7210477668565642E-3</v>
      </c>
      <c r="R66" s="9">
        <f t="shared" si="12"/>
        <v>3.9999999999999996E-5</v>
      </c>
      <c r="S66" s="9">
        <f t="shared" si="13"/>
        <v>9.3343945352036749E-7</v>
      </c>
      <c r="T66" s="9">
        <f t="shared" si="10"/>
        <v>9.0814211899078668E-8</v>
      </c>
      <c r="U66" s="9">
        <f t="shared" si="11"/>
        <v>3.906656054647963E-5</v>
      </c>
      <c r="V66" s="100">
        <f t="shared" si="14"/>
        <v>2.324602182243098E-3</v>
      </c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46" t="s">
        <v>115</v>
      </c>
      <c r="C67" s="46" t="s">
        <v>116</v>
      </c>
      <c r="D67" s="47">
        <v>-0.73745450190951667</v>
      </c>
      <c r="E67" s="47">
        <v>-1.5265197844064957</v>
      </c>
      <c r="F67" s="96">
        <v>9.9999999999999995E-7</v>
      </c>
      <c r="G67" s="138"/>
      <c r="H67" s="138"/>
      <c r="I67" s="54">
        <f t="shared" si="24"/>
        <v>-1.8671766444063711E-3</v>
      </c>
      <c r="J67" s="54">
        <f t="shared" si="25"/>
        <v>-3.553871287659581E-2</v>
      </c>
      <c r="K67" s="55">
        <f t="shared" si="26"/>
        <v>0.99816225151953375</v>
      </c>
      <c r="L67" s="55">
        <f t="shared" si="27"/>
        <v>9.4486294362014088E-4</v>
      </c>
      <c r="M67" s="55">
        <f t="shared" si="28"/>
        <v>0.99905513705637983</v>
      </c>
      <c r="N67" s="55">
        <f t="shared" si="29"/>
        <v>3.0506174157739004E-7</v>
      </c>
      <c r="O67" s="56">
        <f t="shared" si="30"/>
        <v>1.0043850880969289E-6</v>
      </c>
      <c r="P67" s="56">
        <f t="shared" si="31"/>
        <v>9.2546829114336682E-7</v>
      </c>
      <c r="Q67" s="56">
        <f t="shared" si="32"/>
        <v>2.9879991651397467E-8</v>
      </c>
      <c r="R67" s="9">
        <f t="shared" si="12"/>
        <v>3.9999999999999996E-5</v>
      </c>
      <c r="S67" s="9">
        <f t="shared" si="13"/>
        <v>3.779451774480563E-8</v>
      </c>
      <c r="T67" s="9">
        <f t="shared" si="10"/>
        <v>3.9926490060781347E-5</v>
      </c>
      <c r="U67" s="9">
        <f t="shared" si="11"/>
        <v>3.9962205482255188E-5</v>
      </c>
      <c r="V67" s="100">
        <f t="shared" si="14"/>
        <v>0.99910627001080554</v>
      </c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46" t="s">
        <v>117</v>
      </c>
      <c r="C68" s="46" t="s">
        <v>118</v>
      </c>
      <c r="D68" s="47">
        <v>4.7386560000000006</v>
      </c>
      <c r="E68" s="47">
        <v>5.8355820000000005</v>
      </c>
      <c r="F68" s="96">
        <v>9.9999999999999995E-7</v>
      </c>
      <c r="G68" s="138"/>
      <c r="H68" s="138"/>
      <c r="I68" s="54">
        <f t="shared" si="24"/>
        <v>2.7194923137791687</v>
      </c>
      <c r="J68" s="54">
        <f t="shared" si="25"/>
        <v>4.0594690780898786</v>
      </c>
      <c r="K68" s="55">
        <f t="shared" si="26"/>
        <v>1.8563048956209036E-3</v>
      </c>
      <c r="L68" s="55">
        <f t="shared" si="27"/>
        <v>2.1868791104255967E-2</v>
      </c>
      <c r="M68" s="55">
        <f t="shared" si="28"/>
        <v>0.97813120889574401</v>
      </c>
      <c r="N68" s="55">
        <f t="shared" si="29"/>
        <v>1.3059835240634459E-2</v>
      </c>
      <c r="O68" s="56">
        <f t="shared" si="30"/>
        <v>1.8678776454275429E-9</v>
      </c>
      <c r="P68" s="56">
        <f t="shared" si="31"/>
        <v>2.1419903139691325E-5</v>
      </c>
      <c r="Q68" s="56">
        <f t="shared" si="32"/>
        <v>1.2791763593199988E-3</v>
      </c>
      <c r="R68" s="9">
        <f t="shared" si="12"/>
        <v>3.9999999999999996E-5</v>
      </c>
      <c r="S68" s="9">
        <f t="shared" si="13"/>
        <v>8.7475164417023859E-7</v>
      </c>
      <c r="T68" s="9">
        <f t="shared" si="10"/>
        <v>7.4252195824836133E-8</v>
      </c>
      <c r="U68" s="9">
        <f t="shared" si="11"/>
        <v>3.912524835582976E-5</v>
      </c>
      <c r="V68" s="100">
        <f t="shared" si="14"/>
        <v>1.8978076547793309E-3</v>
      </c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46" t="s">
        <v>119</v>
      </c>
      <c r="C69" s="46" t="s">
        <v>120</v>
      </c>
      <c r="D69" s="47">
        <v>2.3724999877244022</v>
      </c>
      <c r="E69" s="47">
        <v>2.8974999825375303</v>
      </c>
      <c r="F69" s="96">
        <v>9.9999999999999995E-7</v>
      </c>
      <c r="G69" s="138"/>
      <c r="H69" s="138"/>
      <c r="I69" s="54">
        <f t="shared" si="24"/>
        <v>0.38500856866688477</v>
      </c>
      <c r="J69" s="54">
        <f t="shared" si="25"/>
        <v>1.4575688941116358</v>
      </c>
      <c r="K69" s="55">
        <f t="shared" si="26"/>
        <v>0.4050622412253202</v>
      </c>
      <c r="L69" s="55">
        <f t="shared" si="27"/>
        <v>1.1934302546733699E-2</v>
      </c>
      <c r="M69" s="55">
        <f t="shared" si="28"/>
        <v>0.98806569745326633</v>
      </c>
      <c r="N69" s="55">
        <f t="shared" si="29"/>
        <v>3.2864583434790385E-3</v>
      </c>
      <c r="O69" s="56">
        <f t="shared" si="30"/>
        <v>4.07587518180025E-7</v>
      </c>
      <c r="P69" s="56">
        <f t="shared" si="31"/>
        <v>1.1689334054732352E-5</v>
      </c>
      <c r="Q69" s="56">
        <f t="shared" si="32"/>
        <v>3.2189991231957666E-4</v>
      </c>
      <c r="R69" s="9">
        <f t="shared" si="12"/>
        <v>3.9999999999999996E-5</v>
      </c>
      <c r="S69" s="9">
        <f t="shared" si="13"/>
        <v>4.7737210186934791E-7</v>
      </c>
      <c r="T69" s="9">
        <f t="shared" si="10"/>
        <v>1.6202489649012805E-5</v>
      </c>
      <c r="U69" s="9">
        <f t="shared" si="11"/>
        <v>3.9522627898130651E-5</v>
      </c>
      <c r="V69" s="100">
        <f t="shared" si="14"/>
        <v>0.40995476542639403</v>
      </c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46" t="s">
        <v>113</v>
      </c>
      <c r="C70" s="46" t="s">
        <v>114</v>
      </c>
      <c r="D70" s="47">
        <v>3.3511520000000004</v>
      </c>
      <c r="E70" s="47">
        <v>4.2962190000000007</v>
      </c>
      <c r="F70" s="96">
        <v>9.9999999999999995E-7</v>
      </c>
      <c r="G70" s="138"/>
      <c r="H70" s="138"/>
      <c r="I70" s="54">
        <f t="shared" si="24"/>
        <v>1.2852308448323728</v>
      </c>
      <c r="J70" s="54">
        <f t="shared" si="25"/>
        <v>2.588750951841865</v>
      </c>
      <c r="K70" s="55">
        <f t="shared" si="26"/>
        <v>5.0544763654205828E-2</v>
      </c>
      <c r="L70" s="55">
        <f t="shared" si="27"/>
        <v>2.0143434002665678E-2</v>
      </c>
      <c r="M70" s="55">
        <f t="shared" si="28"/>
        <v>0.97985656599733428</v>
      </c>
      <c r="N70" s="55">
        <f t="shared" si="29"/>
        <v>1.0270735808871854E-2</v>
      </c>
      <c r="O70" s="56">
        <f t="shared" si="30"/>
        <v>5.0859874552844157E-8</v>
      </c>
      <c r="P70" s="56">
        <f t="shared" si="31"/>
        <v>1.9729961440524864E-5</v>
      </c>
      <c r="Q70" s="56">
        <f t="shared" si="32"/>
        <v>1.005991438441147E-3</v>
      </c>
      <c r="R70" s="9">
        <f t="shared" si="12"/>
        <v>3.9999999999999996E-5</v>
      </c>
      <c r="S70" s="9">
        <f t="shared" si="13"/>
        <v>8.0573736010662701E-7</v>
      </c>
      <c r="T70" s="9">
        <f t="shared" si="10"/>
        <v>2.0217905461682331E-6</v>
      </c>
      <c r="U70" s="9">
        <f t="shared" si="11"/>
        <v>3.9194262639893365E-5</v>
      </c>
      <c r="V70" s="100">
        <f t="shared" si="14"/>
        <v>5.1583839317093823E-2</v>
      </c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46" t="s">
        <v>121</v>
      </c>
      <c r="C71" s="46" t="s">
        <v>122</v>
      </c>
      <c r="D71" s="47">
        <v>5.9183200000000005</v>
      </c>
      <c r="E71" s="47">
        <v>7.0401399999999992</v>
      </c>
      <c r="F71" s="96">
        <v>9.9999999999999995E-7</v>
      </c>
      <c r="G71" s="138"/>
      <c r="H71" s="138"/>
      <c r="I71" s="54">
        <f t="shared" ref="I71:I122" si="33">IF(D71=0,"",LOG($K$15*10^D71+$K$16*10^E71+$K$14))</f>
        <v>3.9109447814528924</v>
      </c>
      <c r="J71" s="54">
        <f t="shared" ref="J71:J122" si="34">IF(D71=0,"",LOG($K$21*10^D71+$K$22*10^E71+$K$20))</f>
        <v>5.2541395657856595</v>
      </c>
      <c r="K71" s="55">
        <f t="shared" ref="K71:K122" si="35">IF(D71=0,"",1/(1+10^D71*$J$15/$J$14+10^E71*$J$16/$J$14+10^J71*$J$19/$J$14))</f>
        <v>1.1943351458338318E-4</v>
      </c>
      <c r="L71" s="55">
        <f t="shared" ref="L71:L122" si="36">IF(D71=0,"",1/(1+10^I71/10^J71*$J$13/$J$19))</f>
        <v>2.202785283234264E-2</v>
      </c>
      <c r="M71" s="55">
        <f t="shared" si="19"/>
        <v>0.97797214716765735</v>
      </c>
      <c r="N71" s="55">
        <f t="shared" ref="N71:N122" si="37">IF(D71=0,"",1/(1/10^E71*$J$20/$J$22+10^D71/10^E71*$J$21/$J$22+10^I71/10^E71*$J$13/$J$22+1))</f>
        <v>1.3457754468977682E-2</v>
      </c>
      <c r="O71" s="56">
        <f t="shared" si="21"/>
        <v>1.2017809818387992E-10</v>
      </c>
      <c r="P71" s="56">
        <f t="shared" ref="P71:P122" si="38">IF(D71=0,"",O71*10^J71)</f>
        <v>2.1575699900134345E-5</v>
      </c>
      <c r="Q71" s="56">
        <f t="shared" ref="Q71:Q122" si="39">IF(D71=0,"",F71*N71*$J$7/$J$22)</f>
        <v>1.318151496481896E-3</v>
      </c>
      <c r="R71" s="9">
        <f t="shared" si="12"/>
        <v>3.9999999999999996E-5</v>
      </c>
      <c r="S71" s="9">
        <f t="shared" si="13"/>
        <v>8.8111411329370547E-7</v>
      </c>
      <c r="T71" s="9">
        <f t="shared" si="10"/>
        <v>4.7773405833353271E-9</v>
      </c>
      <c r="U71" s="9">
        <f t="shared" si="11"/>
        <v>3.9118885886706291E-5</v>
      </c>
      <c r="V71" s="100">
        <f t="shared" si="14"/>
        <v>1.221236360659955E-4</v>
      </c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46" t="s">
        <v>123</v>
      </c>
      <c r="C72" s="46" t="s">
        <v>124</v>
      </c>
      <c r="D72" s="47">
        <v>5.5295200000000007</v>
      </c>
      <c r="E72" s="47">
        <v>6.5305900000000001</v>
      </c>
      <c r="F72" s="96">
        <v>9.9999999999999995E-7</v>
      </c>
      <c r="G72" s="138"/>
      <c r="H72" s="138"/>
      <c r="I72" s="54">
        <f t="shared" si="33"/>
        <v>3.4646398062685493</v>
      </c>
      <c r="J72" s="54">
        <f t="shared" si="34"/>
        <v>4.7956325345638788</v>
      </c>
      <c r="K72" s="55">
        <f t="shared" si="35"/>
        <v>3.3396143068759331E-4</v>
      </c>
      <c r="L72" s="55">
        <f t="shared" si="36"/>
        <v>2.1430644665512252E-2</v>
      </c>
      <c r="M72" s="55">
        <f t="shared" si="19"/>
        <v>0.97856935533448774</v>
      </c>
      <c r="N72" s="55">
        <f t="shared" si="37"/>
        <v>1.1641064643302621E-2</v>
      </c>
      <c r="O72" s="56">
        <f t="shared" si="21"/>
        <v>3.3604344431128849E-10</v>
      </c>
      <c r="P72" s="56">
        <f t="shared" si="38"/>
        <v>2.0990750278239172E-5</v>
      </c>
      <c r="Q72" s="56">
        <f t="shared" si="39"/>
        <v>1.1402115275311229E-3</v>
      </c>
      <c r="R72" s="9">
        <f t="shared" si="12"/>
        <v>3.9999999999999996E-5</v>
      </c>
      <c r="S72" s="9">
        <f t="shared" si="13"/>
        <v>8.5722578662049004E-7</v>
      </c>
      <c r="T72" s="9">
        <f t="shared" si="10"/>
        <v>1.335845722750373E-8</v>
      </c>
      <c r="U72" s="9">
        <f t="shared" si="11"/>
        <v>3.9142774213379508E-5</v>
      </c>
      <c r="V72" s="100">
        <f t="shared" si="14"/>
        <v>3.4127517775522508E-4</v>
      </c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46" t="s">
        <v>125</v>
      </c>
      <c r="C73" s="46" t="s">
        <v>126</v>
      </c>
      <c r="D73" s="47">
        <v>5.4845040000000003</v>
      </c>
      <c r="E73" s="47">
        <v>6.5678879999999999</v>
      </c>
      <c r="F73" s="96">
        <v>9.9999999999999995E-7</v>
      </c>
      <c r="G73" s="138"/>
      <c r="H73" s="138"/>
      <c r="I73" s="54">
        <f t="shared" si="33"/>
        <v>3.4579829545014036</v>
      </c>
      <c r="J73" s="54">
        <f t="shared" si="34"/>
        <v>4.7972521440478495</v>
      </c>
      <c r="K73" s="55">
        <f t="shared" si="35"/>
        <v>3.3898004327292627E-4</v>
      </c>
      <c r="L73" s="55">
        <f t="shared" si="36"/>
        <v>2.1833967666817524E-2</v>
      </c>
      <c r="M73" s="55">
        <f t="shared" si="19"/>
        <v>0.97816603233318244</v>
      </c>
      <c r="N73" s="55">
        <f t="shared" si="37"/>
        <v>1.2875630909658905E-2</v>
      </c>
      <c r="O73" s="56">
        <f t="shared" si="21"/>
        <v>3.4109334440114917E-10</v>
      </c>
      <c r="P73" s="56">
        <f t="shared" si="38"/>
        <v>2.1385794502713341E-5</v>
      </c>
      <c r="Q73" s="56">
        <f t="shared" si="39"/>
        <v>1.2611340317464359E-3</v>
      </c>
      <c r="R73" s="9">
        <f t="shared" si="12"/>
        <v>3.9999999999999996E-5</v>
      </c>
      <c r="S73" s="9">
        <f t="shared" si="13"/>
        <v>8.7335870667270086E-7</v>
      </c>
      <c r="T73" s="9">
        <f t="shared" si="10"/>
        <v>1.3559201730917049E-8</v>
      </c>
      <c r="U73" s="9">
        <f t="shared" si="11"/>
        <v>3.9126641293327297E-5</v>
      </c>
      <c r="V73" s="100">
        <f t="shared" si="14"/>
        <v>3.4654652898176192E-4</v>
      </c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46" t="s">
        <v>127</v>
      </c>
      <c r="C74" s="46" t="s">
        <v>128</v>
      </c>
      <c r="D74" s="47">
        <v>2.7195840000000011</v>
      </c>
      <c r="E74" s="47">
        <v>3.2500779999999994</v>
      </c>
      <c r="F74" s="96">
        <v>9.9999999999999995E-7</v>
      </c>
      <c r="G74" s="138"/>
      <c r="H74" s="138"/>
      <c r="I74" s="54">
        <f t="shared" si="33"/>
        <v>0.62193942428688143</v>
      </c>
      <c r="J74" s="54">
        <f t="shared" si="34"/>
        <v>1.798585736505889</v>
      </c>
      <c r="K74" s="55">
        <f t="shared" si="35"/>
        <v>0.23398578775209275</v>
      </c>
      <c r="L74" s="55">
        <f t="shared" si="36"/>
        <v>1.5117556616756516E-2</v>
      </c>
      <c r="M74" s="55">
        <f t="shared" si="19"/>
        <v>0.98488244338324349</v>
      </c>
      <c r="N74" s="55">
        <f t="shared" si="37"/>
        <v>4.2753715923637596E-3</v>
      </c>
      <c r="O74" s="56">
        <f t="shared" si="21"/>
        <v>2.3544452386077422E-7</v>
      </c>
      <c r="P74" s="56">
        <f t="shared" si="38"/>
        <v>1.4807247318609439E-5</v>
      </c>
      <c r="Q74" s="56">
        <f t="shared" si="39"/>
        <v>4.1876135245901713E-4</v>
      </c>
      <c r="R74" s="9">
        <f t="shared" si="12"/>
        <v>3.9999999999999996E-5</v>
      </c>
      <c r="S74" s="9">
        <f t="shared" si="13"/>
        <v>6.0470226467026063E-7</v>
      </c>
      <c r="T74" s="9">
        <f t="shared" si="10"/>
        <v>9.3594315100837087E-6</v>
      </c>
      <c r="U74" s="9">
        <f t="shared" si="11"/>
        <v>3.9395297735329736E-5</v>
      </c>
      <c r="V74" s="100">
        <f t="shared" si="14"/>
        <v>0.23757737720281685</v>
      </c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46" t="s">
        <v>81</v>
      </c>
      <c r="C75" s="46" t="s">
        <v>82</v>
      </c>
      <c r="D75" s="47">
        <v>3.9841999877244016</v>
      </c>
      <c r="E75" s="47">
        <v>5.1901999825375293</v>
      </c>
      <c r="F75" s="96">
        <v>9.9999999999999995E-7</v>
      </c>
      <c r="G75" s="138"/>
      <c r="H75" s="138"/>
      <c r="I75" s="54">
        <f t="shared" si="33"/>
        <v>2.0259693417507676</v>
      </c>
      <c r="J75" s="54">
        <f t="shared" si="34"/>
        <v>3.3735221225182275</v>
      </c>
      <c r="K75" s="55">
        <f t="shared" si="35"/>
        <v>9.1623142331152489E-3</v>
      </c>
      <c r="L75" s="55">
        <f t="shared" si="36"/>
        <v>2.2245065706531768E-2</v>
      </c>
      <c r="M75" s="55">
        <f t="shared" si="19"/>
        <v>0.97775493429346827</v>
      </c>
      <c r="N75" s="55">
        <f t="shared" si="37"/>
        <v>1.4585171928482212E-2</v>
      </c>
      <c r="O75" s="56">
        <f t="shared" si="21"/>
        <v>9.2194347904761577E-9</v>
      </c>
      <c r="P75" s="56">
        <f t="shared" si="38"/>
        <v>2.1788454171902017E-5</v>
      </c>
      <c r="Q75" s="56">
        <f t="shared" si="39"/>
        <v>1.4285790581402271E-3</v>
      </c>
      <c r="R75" s="9">
        <f t="shared" si="12"/>
        <v>3.9999999999999996E-5</v>
      </c>
      <c r="S75" s="9">
        <f t="shared" si="13"/>
        <v>8.8980262826127064E-7</v>
      </c>
      <c r="T75" s="9">
        <f t="shared" si="10"/>
        <v>3.6649256932460992E-7</v>
      </c>
      <c r="U75" s="9">
        <f t="shared" si="11"/>
        <v>3.9110197371738727E-5</v>
      </c>
      <c r="V75" s="100">
        <f t="shared" si="14"/>
        <v>9.3707675735085847E-3</v>
      </c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46" t="s">
        <v>129</v>
      </c>
      <c r="C76" s="46" t="s">
        <v>130</v>
      </c>
      <c r="D76" s="47">
        <v>4.10616</v>
      </c>
      <c r="E76" s="47">
        <v>5.1108449999999994</v>
      </c>
      <c r="F76" s="96">
        <v>9.9999999999999995E-7</v>
      </c>
      <c r="G76" s="138"/>
      <c r="H76" s="138"/>
      <c r="I76" s="54">
        <f t="shared" si="33"/>
        <v>2.0466328175843658</v>
      </c>
      <c r="J76" s="54">
        <f t="shared" si="34"/>
        <v>3.3743997874095357</v>
      </c>
      <c r="K76" s="55">
        <f t="shared" si="35"/>
        <v>8.7452490310802912E-3</v>
      </c>
      <c r="L76" s="55">
        <f t="shared" si="36"/>
        <v>2.1275430490690118E-2</v>
      </c>
      <c r="M76" s="55">
        <f t="shared" si="19"/>
        <v>0.97872456950930986</v>
      </c>
      <c r="N76" s="55">
        <f t="shared" si="37"/>
        <v>1.1596410193710046E-2</v>
      </c>
      <c r="O76" s="56">
        <f t="shared" si="21"/>
        <v>8.7997694815042468E-9</v>
      </c>
      <c r="P76" s="56">
        <f t="shared" si="38"/>
        <v>2.0838722094571067E-5</v>
      </c>
      <c r="Q76" s="56">
        <f t="shared" si="39"/>
        <v>1.1358377421651681E-3</v>
      </c>
      <c r="R76" s="9">
        <f t="shared" si="12"/>
        <v>3.9999999999999996E-5</v>
      </c>
      <c r="S76" s="9">
        <f t="shared" si="13"/>
        <v>8.510172196276047E-7</v>
      </c>
      <c r="T76" s="9">
        <f t="shared" si="10"/>
        <v>3.4980996124321164E-7</v>
      </c>
      <c r="U76" s="9">
        <f t="shared" si="11"/>
        <v>3.9148982780372394E-5</v>
      </c>
      <c r="V76" s="100">
        <f t="shared" si="14"/>
        <v>8.9353525021495898E-3</v>
      </c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46" t="s">
        <v>131</v>
      </c>
      <c r="C77" s="46" t="s">
        <v>132</v>
      </c>
      <c r="D77" s="47">
        <v>2.8295519999999996</v>
      </c>
      <c r="E77" s="47">
        <v>3.5791989999999991</v>
      </c>
      <c r="F77" s="96">
        <v>9.9999999999999995E-7</v>
      </c>
      <c r="G77" s="138"/>
      <c r="H77" s="138"/>
      <c r="I77" s="54">
        <f t="shared" si="33"/>
        <v>0.75425121724867172</v>
      </c>
      <c r="J77" s="54">
        <f t="shared" si="34"/>
        <v>1.9813184321206099</v>
      </c>
      <c r="K77" s="55">
        <f t="shared" si="35"/>
        <v>0.17221468669689752</v>
      </c>
      <c r="L77" s="55">
        <f t="shared" si="36"/>
        <v>1.6947084934024543E-2</v>
      </c>
      <c r="M77" s="55">
        <f t="shared" si="19"/>
        <v>0.98305291506597547</v>
      </c>
      <c r="N77" s="55">
        <f t="shared" si="37"/>
        <v>6.7139109070238302E-3</v>
      </c>
      <c r="O77" s="56">
        <f t="shared" si="21"/>
        <v>1.7328832362306922E-7</v>
      </c>
      <c r="P77" s="56">
        <f t="shared" si="38"/>
        <v>1.6599221971455107E-5</v>
      </c>
      <c r="Q77" s="56">
        <f t="shared" si="39"/>
        <v>6.5760983600497149E-4</v>
      </c>
      <c r="R77" s="9">
        <f t="shared" si="12"/>
        <v>3.9999999999999996E-5</v>
      </c>
      <c r="S77" s="9">
        <f t="shared" si="13"/>
        <v>6.7788339736098164E-7</v>
      </c>
      <c r="T77" s="9">
        <f t="shared" si="10"/>
        <v>6.8885874678758998E-6</v>
      </c>
      <c r="U77" s="9">
        <f t="shared" si="11"/>
        <v>3.9322116602639017E-5</v>
      </c>
      <c r="V77" s="100">
        <f t="shared" si="14"/>
        <v>0.1751835369770911</v>
      </c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46" t="s">
        <v>83</v>
      </c>
      <c r="C78" s="46" t="s">
        <v>84</v>
      </c>
      <c r="D78" s="47">
        <v>3.03</v>
      </c>
      <c r="E78" s="47">
        <v>3.96</v>
      </c>
      <c r="F78" s="96">
        <v>9.9999999999999995E-7</v>
      </c>
      <c r="G78" s="7"/>
      <c r="H78" s="7"/>
      <c r="I78" s="54">
        <f t="shared" si="33"/>
        <v>0.98244102051051041</v>
      </c>
      <c r="J78" s="54">
        <f t="shared" si="34"/>
        <v>2.2611102115309216</v>
      </c>
      <c r="K78" s="55">
        <f t="shared" si="35"/>
        <v>0.10161382445356339</v>
      </c>
      <c r="L78" s="55">
        <f t="shared" si="36"/>
        <v>1.9044492183505707E-2</v>
      </c>
      <c r="M78" s="55">
        <f t="shared" si="19"/>
        <v>0.98095550781649432</v>
      </c>
      <c r="N78" s="55">
        <f t="shared" si="37"/>
        <v>9.5204874585673588E-3</v>
      </c>
      <c r="O78" s="56">
        <f t="shared" si="21"/>
        <v>1.022473148731981E-7</v>
      </c>
      <c r="P78" s="56">
        <f t="shared" si="38"/>
        <v>1.8653576961367177E-5</v>
      </c>
      <c r="Q78" s="56">
        <f t="shared" si="39"/>
        <v>9.325065945939349E-4</v>
      </c>
      <c r="R78" s="9">
        <f t="shared" si="12"/>
        <v>3.9999999999999996E-5</v>
      </c>
      <c r="S78" s="9">
        <f t="shared" si="13"/>
        <v>7.6177968734022821E-7</v>
      </c>
      <c r="T78" s="9">
        <f t="shared" si="10"/>
        <v>4.0645529781425348E-6</v>
      </c>
      <c r="U78" s="9">
        <f t="shared" si="11"/>
        <v>3.9238220312659771E-5</v>
      </c>
      <c r="V78" s="100">
        <f t="shared" si="14"/>
        <v>0.10358657823303859</v>
      </c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46" t="s">
        <v>133</v>
      </c>
      <c r="C79" s="46" t="s">
        <v>134</v>
      </c>
      <c r="D79" s="47">
        <v>3.2352399999999997</v>
      </c>
      <c r="E79" s="47">
        <v>3.7544849999999994</v>
      </c>
      <c r="F79" s="96">
        <v>9.9999999999999995E-7</v>
      </c>
      <c r="G79" s="7"/>
      <c r="H79" s="7"/>
      <c r="I79" s="54">
        <f t="shared" si="33"/>
        <v>1.0570731161685156</v>
      </c>
      <c r="J79" s="54">
        <f t="shared" si="34"/>
        <v>2.306689397381505</v>
      </c>
      <c r="K79" s="55">
        <f t="shared" si="35"/>
        <v>8.5675417317305519E-2</v>
      </c>
      <c r="L79" s="55">
        <f t="shared" si="36"/>
        <v>1.7834133524715998E-2</v>
      </c>
      <c r="M79" s="55">
        <f t="shared" si="19"/>
        <v>0.98216586647528403</v>
      </c>
      <c r="N79" s="55">
        <f t="shared" si="37"/>
        <v>5.0008936230542299E-3</v>
      </c>
      <c r="O79" s="56">
        <f t="shared" si="21"/>
        <v>8.6209543026682013E-8</v>
      </c>
      <c r="P79" s="56">
        <f t="shared" si="38"/>
        <v>1.7468062631289884E-5</v>
      </c>
      <c r="Q79" s="56">
        <f t="shared" si="39"/>
        <v>4.8982431862397175E-4</v>
      </c>
      <c r="R79" s="9">
        <f t="shared" si="12"/>
        <v>3.9999999999999996E-5</v>
      </c>
      <c r="S79" s="9">
        <f t="shared" si="13"/>
        <v>7.1336534098863989E-7</v>
      </c>
      <c r="T79" s="9">
        <f t="shared" si="10"/>
        <v>3.4270166926922203E-6</v>
      </c>
      <c r="U79" s="9">
        <f t="shared" si="11"/>
        <v>3.9286634659011356E-5</v>
      </c>
      <c r="V79" s="100">
        <f t="shared" si="14"/>
        <v>8.7231108554780473E-2</v>
      </c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46" t="s">
        <v>135</v>
      </c>
      <c r="C80" s="46" t="s">
        <v>136</v>
      </c>
      <c r="D80" s="47">
        <v>3.3303280000000011</v>
      </c>
      <c r="E80" s="47">
        <v>3.8215209999999997</v>
      </c>
      <c r="F80" s="96">
        <v>9.9999999999999995E-7</v>
      </c>
      <c r="G80" s="7"/>
      <c r="H80" s="7"/>
      <c r="I80" s="54">
        <f t="shared" si="33"/>
        <v>1.1393826628828596</v>
      </c>
      <c r="J80" s="54">
        <f t="shared" si="34"/>
        <v>2.3937036559113518</v>
      </c>
      <c r="K80" s="55">
        <f t="shared" si="35"/>
        <v>7.0869983136620282E-2</v>
      </c>
      <c r="L80" s="55">
        <f t="shared" si="36"/>
        <v>1.8024879635951885E-2</v>
      </c>
      <c r="M80" s="55">
        <f t="shared" si="19"/>
        <v>0.9819751203640481</v>
      </c>
      <c r="N80" s="55">
        <f t="shared" si="37"/>
        <v>4.8271380294691033E-3</v>
      </c>
      <c r="O80" s="56">
        <f t="shared" si="21"/>
        <v>7.1311807421830982E-8</v>
      </c>
      <c r="P80" s="56">
        <f t="shared" si="38"/>
        <v>1.765489340796461E-5</v>
      </c>
      <c r="Q80" s="56">
        <f t="shared" si="39"/>
        <v>4.7280541727350489E-4</v>
      </c>
      <c r="R80" s="9">
        <f t="shared" si="12"/>
        <v>3.9999999999999996E-5</v>
      </c>
      <c r="S80" s="9">
        <f t="shared" si="13"/>
        <v>7.2099518543807534E-7</v>
      </c>
      <c r="T80" s="9">
        <f t="shared" si="10"/>
        <v>2.834799325464811E-6</v>
      </c>
      <c r="U80" s="9">
        <f t="shared" si="11"/>
        <v>3.9279004814561918E-5</v>
      </c>
      <c r="V80" s="100">
        <f t="shared" si="14"/>
        <v>7.2170854094904785E-2</v>
      </c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46" t="s">
        <v>137</v>
      </c>
      <c r="C81" s="46" t="s">
        <v>138</v>
      </c>
      <c r="D81" s="47">
        <v>4.4202640000000004</v>
      </c>
      <c r="E81" s="47">
        <v>5.6388380000000007</v>
      </c>
      <c r="F81" s="96">
        <v>9.9999999999999995E-7</v>
      </c>
      <c r="G81" s="7"/>
      <c r="H81" s="7"/>
      <c r="I81" s="54">
        <f t="shared" si="33"/>
        <v>2.466507651261447</v>
      </c>
      <c r="J81" s="54">
        <f t="shared" si="34"/>
        <v>3.8177678868718958</v>
      </c>
      <c r="K81" s="55">
        <f t="shared" si="35"/>
        <v>3.3218808816384425E-3</v>
      </c>
      <c r="L81" s="55">
        <f t="shared" si="36"/>
        <v>2.2431500727686418E-2</v>
      </c>
      <c r="M81" s="55">
        <f t="shared" si="19"/>
        <v>0.9775684992723136</v>
      </c>
      <c r="N81" s="55">
        <f t="shared" si="37"/>
        <v>1.485690831179738E-2</v>
      </c>
      <c r="O81" s="56">
        <f t="shared" si="21"/>
        <v>3.3425904624952024E-9</v>
      </c>
      <c r="P81" s="56">
        <f t="shared" si="38"/>
        <v>2.197106234973594E-5</v>
      </c>
      <c r="Q81" s="56">
        <f t="shared" si="39"/>
        <v>1.4551949189913931E-3</v>
      </c>
      <c r="R81" s="9">
        <f t="shared" si="12"/>
        <v>3.9999999999999996E-5</v>
      </c>
      <c r="S81" s="9">
        <f t="shared" si="13"/>
        <v>8.9726002910745664E-7</v>
      </c>
      <c r="T81" s="9">
        <f t="shared" si="10"/>
        <v>1.3287523526553769E-7</v>
      </c>
      <c r="U81" s="9">
        <f t="shared" si="11"/>
        <v>3.9102739970892543E-5</v>
      </c>
      <c r="V81" s="100">
        <f t="shared" si="14"/>
        <v>3.3981054873507052E-3</v>
      </c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46" t="s">
        <v>139</v>
      </c>
      <c r="C82" s="46" t="s">
        <v>140</v>
      </c>
      <c r="D82" s="47">
        <v>4.2752879999999998</v>
      </c>
      <c r="E82" s="47">
        <v>5.3084609999999994</v>
      </c>
      <c r="F82" s="96">
        <v>9.9999999999999995E-7</v>
      </c>
      <c r="G82" s="7"/>
      <c r="H82" s="7"/>
      <c r="I82" s="54">
        <f t="shared" si="33"/>
        <v>2.2273249528367836</v>
      </c>
      <c r="J82" s="54">
        <f t="shared" si="34"/>
        <v>3.5592350116770111</v>
      </c>
      <c r="K82" s="55">
        <f t="shared" si="35"/>
        <v>5.7675515780043971E-3</v>
      </c>
      <c r="L82" s="55">
        <f t="shared" si="36"/>
        <v>2.1474985867016322E-2</v>
      </c>
      <c r="M82" s="55">
        <f t="shared" si="19"/>
        <v>0.97852501413298365</v>
      </c>
      <c r="N82" s="55">
        <f t="shared" si="37"/>
        <v>1.2054768511574651E-2</v>
      </c>
      <c r="O82" s="56">
        <f t="shared" si="21"/>
        <v>5.8035081881316388E-9</v>
      </c>
      <c r="P82" s="56">
        <f t="shared" si="38"/>
        <v>2.1034181313671666E-5</v>
      </c>
      <c r="Q82" s="56">
        <f t="shared" si="39"/>
        <v>1.1807327284729433E-3</v>
      </c>
      <c r="R82" s="9">
        <f t="shared" si="12"/>
        <v>3.9999999999999996E-5</v>
      </c>
      <c r="S82" s="9">
        <f t="shared" si="13"/>
        <v>8.5899943468065282E-7</v>
      </c>
      <c r="T82" s="9">
        <f t="shared" si="10"/>
        <v>2.3070206312017586E-7</v>
      </c>
      <c r="U82" s="9">
        <f t="shared" si="11"/>
        <v>3.914100056531934E-5</v>
      </c>
      <c r="V82" s="100">
        <f t="shared" si="14"/>
        <v>5.8941278911655648E-3</v>
      </c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46" t="s">
        <v>85</v>
      </c>
      <c r="C83" s="46" t="s">
        <v>86</v>
      </c>
      <c r="D83" s="47">
        <v>2.7665919999999997</v>
      </c>
      <c r="E83" s="47">
        <v>3.5255839999999989</v>
      </c>
      <c r="F83" s="96">
        <v>9.9999999999999995E-7</v>
      </c>
      <c r="G83" s="7"/>
      <c r="H83" s="7"/>
      <c r="I83" s="54">
        <f t="shared" si="33"/>
        <v>0.70532975413914478</v>
      </c>
      <c r="J83" s="54">
        <f t="shared" si="34"/>
        <v>1.9227193878324027</v>
      </c>
      <c r="K83" s="55">
        <f t="shared" si="35"/>
        <v>0.1928207964005379</v>
      </c>
      <c r="L83" s="55">
        <f t="shared" si="36"/>
        <v>1.6579813770250446E-2</v>
      </c>
      <c r="M83" s="55">
        <f t="shared" si="19"/>
        <v>0.98342018622974958</v>
      </c>
      <c r="N83" s="55">
        <f t="shared" si="37"/>
        <v>6.6442239183818761E-3</v>
      </c>
      <c r="O83" s="56">
        <f t="shared" si="21"/>
        <v>1.9402289786540201E-7</v>
      </c>
      <c r="P83" s="56">
        <f t="shared" si="38"/>
        <v>1.6239489569396919E-5</v>
      </c>
      <c r="Q83" s="56">
        <f t="shared" si="39"/>
        <v>6.5078417957206084E-4</v>
      </c>
      <c r="R83" s="9">
        <f t="shared" si="12"/>
        <v>3.9999999999999996E-5</v>
      </c>
      <c r="S83" s="9">
        <f t="shared" si="13"/>
        <v>6.6319255081001775E-7</v>
      </c>
      <c r="T83" s="9">
        <f t="shared" si="10"/>
        <v>7.7128318560215151E-6</v>
      </c>
      <c r="U83" s="9">
        <f t="shared" si="11"/>
        <v>3.933680744918998E-5</v>
      </c>
      <c r="V83" s="100">
        <f t="shared" si="14"/>
        <v>0.19607162746961401</v>
      </c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46" t="s">
        <v>141</v>
      </c>
      <c r="C84" s="46" t="s">
        <v>142</v>
      </c>
      <c r="D84" s="47">
        <v>4.4687359999999998</v>
      </c>
      <c r="E84" s="47">
        <v>5.2666120000000003</v>
      </c>
      <c r="F84" s="96">
        <v>9.9999999999999995E-7</v>
      </c>
      <c r="G84" s="7"/>
      <c r="H84" s="7"/>
      <c r="I84" s="54">
        <f t="shared" si="33"/>
        <v>2.3272580136650043</v>
      </c>
      <c r="J84" s="54">
        <f t="shared" si="34"/>
        <v>3.6364038333307582</v>
      </c>
      <c r="K84" s="55">
        <f t="shared" si="35"/>
        <v>4.5870656729616356E-3</v>
      </c>
      <c r="L84" s="55">
        <f t="shared" si="36"/>
        <v>2.0400705160613656E-2</v>
      </c>
      <c r="M84" s="55">
        <f t="shared" si="19"/>
        <v>0.97959929483938635</v>
      </c>
      <c r="N84" s="55">
        <f t="shared" si="37"/>
        <v>8.7066952965936199E-3</v>
      </c>
      <c r="O84" s="56">
        <f t="shared" si="21"/>
        <v>4.6156627873177089E-9</v>
      </c>
      <c r="P84" s="56">
        <f t="shared" si="38"/>
        <v>1.9981951742943063E-5</v>
      </c>
      <c r="Q84" s="56">
        <f t="shared" si="39"/>
        <v>8.5279780226876105E-4</v>
      </c>
      <c r="R84" s="9">
        <f t="shared" si="12"/>
        <v>3.9999999999999996E-5</v>
      </c>
      <c r="S84" s="9">
        <f t="shared" si="13"/>
        <v>8.1602820642454619E-7</v>
      </c>
      <c r="T84" s="9">
        <f t="shared" si="10"/>
        <v>1.834826269184654E-7</v>
      </c>
      <c r="U84" s="9">
        <f t="shared" si="11"/>
        <v>3.9183971793575448E-5</v>
      </c>
      <c r="V84" s="100">
        <f t="shared" si="14"/>
        <v>4.6825938903046309E-3</v>
      </c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46" t="s">
        <v>87</v>
      </c>
      <c r="C85" s="46" t="s">
        <v>88</v>
      </c>
      <c r="D85" s="47">
        <v>2.6972559999999999</v>
      </c>
      <c r="E85" s="47">
        <v>3.431432</v>
      </c>
      <c r="F85" s="96">
        <v>9.9999999999999995E-7</v>
      </c>
      <c r="G85" s="7"/>
      <c r="H85" s="7"/>
      <c r="I85" s="54">
        <f t="shared" si="33"/>
        <v>0.64458903464573347</v>
      </c>
      <c r="J85" s="54">
        <f t="shared" si="34"/>
        <v>1.8444393952218296</v>
      </c>
      <c r="K85" s="55">
        <f t="shared" si="35"/>
        <v>0.22191143889378487</v>
      </c>
      <c r="L85" s="55">
        <f t="shared" si="36"/>
        <v>1.5934024208550893E-2</v>
      </c>
      <c r="M85" s="55">
        <f t="shared" si="19"/>
        <v>0.98406597579144905</v>
      </c>
      <c r="N85" s="55">
        <f t="shared" si="37"/>
        <v>6.1562759350198152E-3</v>
      </c>
      <c r="O85" s="56">
        <f t="shared" si="21"/>
        <v>2.2329489996615902E-7</v>
      </c>
      <c r="P85" s="56">
        <f t="shared" si="38"/>
        <v>1.5606955754688878E-5</v>
      </c>
      <c r="Q85" s="56">
        <f t="shared" si="39"/>
        <v>6.0299096370111595E-4</v>
      </c>
      <c r="R85" s="9">
        <f t="shared" si="12"/>
        <v>3.9999999999999996E-5</v>
      </c>
      <c r="S85" s="9">
        <f t="shared" si="13"/>
        <v>6.3736096834203572E-7</v>
      </c>
      <c r="T85" s="9">
        <f t="shared" si="10"/>
        <v>8.8764575557513944E-6</v>
      </c>
      <c r="U85" s="9">
        <f t="shared" si="11"/>
        <v>3.936263903165796E-5</v>
      </c>
      <c r="V85" s="100">
        <f t="shared" si="14"/>
        <v>0.22550463521036732</v>
      </c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46" t="s">
        <v>143</v>
      </c>
      <c r="C86" s="46" t="s">
        <v>144</v>
      </c>
      <c r="D86" s="47">
        <v>3.859360000000001</v>
      </c>
      <c r="E86" s="47">
        <v>4.2614199999999993</v>
      </c>
      <c r="F86" s="96">
        <v>9.9999999999999995E-7</v>
      </c>
      <c r="G86" s="7"/>
      <c r="H86" s="7"/>
      <c r="I86" s="54">
        <f t="shared" si="33"/>
        <v>1.6299602750984028</v>
      </c>
      <c r="J86" s="54">
        <f t="shared" si="34"/>
        <v>2.8994221028694125</v>
      </c>
      <c r="K86" s="55">
        <f t="shared" si="35"/>
        <v>2.2887959757616944E-2</v>
      </c>
      <c r="L86" s="55">
        <f t="shared" si="36"/>
        <v>1.8652436582118345E-2</v>
      </c>
      <c r="M86" s="55">
        <f t="shared" si="19"/>
        <v>0.98134756341788165</v>
      </c>
      <c r="N86" s="55">
        <f t="shared" si="37"/>
        <v>4.292728969067231E-3</v>
      </c>
      <c r="O86" s="56">
        <f t="shared" si="21"/>
        <v>2.3030650019590708E-8</v>
      </c>
      <c r="P86" s="56">
        <f t="shared" si="38"/>
        <v>1.8269568857441567E-5</v>
      </c>
      <c r="Q86" s="56">
        <f t="shared" si="39"/>
        <v>4.2046146165103891E-4</v>
      </c>
      <c r="R86" s="9">
        <f t="shared" si="12"/>
        <v>3.9999999999999996E-5</v>
      </c>
      <c r="S86" s="9">
        <f t="shared" si="13"/>
        <v>7.4609746328473367E-7</v>
      </c>
      <c r="T86" s="9">
        <f t="shared" si="10"/>
        <v>9.1551839030467772E-7</v>
      </c>
      <c r="U86" s="9">
        <f t="shared" si="11"/>
        <v>3.9253902536715264E-5</v>
      </c>
      <c r="V86" s="100">
        <f t="shared" si="14"/>
        <v>2.3322990356140206E-2</v>
      </c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46" t="s">
        <v>281</v>
      </c>
      <c r="C87" s="46" t="s">
        <v>282</v>
      </c>
      <c r="D87" s="47">
        <v>2.5105662711924017</v>
      </c>
      <c r="E87" s="47">
        <v>3.0939041322596146</v>
      </c>
      <c r="F87" s="96">
        <v>9.9999999999999995E-7</v>
      </c>
      <c r="G87" s="7"/>
      <c r="H87" s="7"/>
      <c r="I87" s="54">
        <f t="shared" si="33"/>
        <v>0.48026857292599601</v>
      </c>
      <c r="J87" s="54">
        <f t="shared" si="34"/>
        <v>1.6088897864595915</v>
      </c>
      <c r="K87" s="55">
        <f t="shared" si="35"/>
        <v>0.32474927817280103</v>
      </c>
      <c r="L87" s="55">
        <f t="shared" si="36"/>
        <v>1.3556399815306297E-2</v>
      </c>
      <c r="M87" s="55">
        <f t="shared" si="19"/>
        <v>0.98644360018469368</v>
      </c>
      <c r="N87" s="55">
        <f t="shared" si="37"/>
        <v>4.1415100033572842E-3</v>
      </c>
      <c r="O87" s="56">
        <f t="shared" si="21"/>
        <v>3.2677386053265273E-7</v>
      </c>
      <c r="P87" s="56">
        <f t="shared" si="38"/>
        <v>1.3278135475457476E-5</v>
      </c>
      <c r="Q87" s="56">
        <f t="shared" si="39"/>
        <v>4.0564996346190949E-4</v>
      </c>
      <c r="R87" s="9">
        <f t="shared" si="12"/>
        <v>3.9999999999999996E-5</v>
      </c>
      <c r="S87" s="9">
        <f t="shared" si="13"/>
        <v>5.4225599261225183E-7</v>
      </c>
      <c r="T87" s="9">
        <f t="shared" si="10"/>
        <v>1.2989971126912039E-5</v>
      </c>
      <c r="U87" s="9">
        <f t="shared" si="11"/>
        <v>3.945774400738774E-5</v>
      </c>
      <c r="V87" s="100">
        <f t="shared" si="14"/>
        <v>0.32921221052272792</v>
      </c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46" t="s">
        <v>283</v>
      </c>
      <c r="C88" s="46" t="s">
        <v>284</v>
      </c>
      <c r="D88" s="47">
        <v>1.93</v>
      </c>
      <c r="E88" s="47">
        <v>1.25</v>
      </c>
      <c r="F88" s="96">
        <v>9.9999999999999995E-7</v>
      </c>
      <c r="G88" s="7"/>
      <c r="H88" s="7"/>
      <c r="I88" s="54">
        <f t="shared" si="33"/>
        <v>0.14925721804369038</v>
      </c>
      <c r="J88" s="54">
        <f t="shared" si="34"/>
        <v>0.91690756788413585</v>
      </c>
      <c r="K88" s="55">
        <f t="shared" si="35"/>
        <v>0.70128663775346711</v>
      </c>
      <c r="L88" s="55">
        <f t="shared" si="36"/>
        <v>5.9498979895494832E-3</v>
      </c>
      <c r="M88" s="55">
        <f t="shared" si="19"/>
        <v>0.99405010201045052</v>
      </c>
      <c r="N88" s="55">
        <f t="shared" si="37"/>
        <v>1.2811558145175701E-4</v>
      </c>
      <c r="O88" s="56">
        <f t="shared" si="21"/>
        <v>7.0565866457977442E-7</v>
      </c>
      <c r="P88" s="56">
        <f t="shared" si="38"/>
        <v>5.827767891677889E-6</v>
      </c>
      <c r="Q88" s="56">
        <f t="shared" si="39"/>
        <v>1.2548582737377761E-5</v>
      </c>
      <c r="R88" s="9">
        <f t="shared" si="12"/>
        <v>3.9999999999999996E-5</v>
      </c>
      <c r="S88" s="9">
        <f t="shared" si="13"/>
        <v>2.379959195819793E-7</v>
      </c>
      <c r="T88" s="9">
        <f t="shared" si="10"/>
        <v>2.8051465510138682E-5</v>
      </c>
      <c r="U88" s="9">
        <f t="shared" si="11"/>
        <v>3.976200408041802E-5</v>
      </c>
      <c r="V88" s="100">
        <f t="shared" si="14"/>
        <v>0.70548419675741303</v>
      </c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46" t="s">
        <v>285</v>
      </c>
      <c r="C89" s="46" t="s">
        <v>286</v>
      </c>
      <c r="D89" s="47">
        <v>1.25894119353766</v>
      </c>
      <c r="E89" s="47">
        <v>1.3134233879901926</v>
      </c>
      <c r="F89" s="96">
        <v>9.9999999999999995E-7</v>
      </c>
      <c r="G89" s="7"/>
      <c r="H89" s="7"/>
      <c r="I89" s="54">
        <f t="shared" si="33"/>
        <v>3.7336026484154294E-2</v>
      </c>
      <c r="J89" s="54">
        <f t="shared" si="34"/>
        <v>0.42189369931502119</v>
      </c>
      <c r="K89" s="55">
        <f t="shared" si="35"/>
        <v>0.91061302922221288</v>
      </c>
      <c r="L89" s="55">
        <f t="shared" si="36"/>
        <v>2.471348244197636E-3</v>
      </c>
      <c r="M89" s="55">
        <f t="shared" si="19"/>
        <v>0.99752865175580241</v>
      </c>
      <c r="N89" s="55">
        <f t="shared" si="37"/>
        <v>1.9251458434161152E-4</v>
      </c>
      <c r="O89" s="56">
        <f t="shared" si="21"/>
        <v>9.1629005823975983E-7</v>
      </c>
      <c r="P89" s="56">
        <f t="shared" si="38"/>
        <v>2.4206203151694776E-6</v>
      </c>
      <c r="Q89" s="56">
        <f t="shared" si="39"/>
        <v>1.885629493608695E-5</v>
      </c>
      <c r="R89" s="9">
        <f t="shared" si="12"/>
        <v>3.9999999999999996E-5</v>
      </c>
      <c r="S89" s="9">
        <f t="shared" si="13"/>
        <v>9.8853929767905432E-8</v>
      </c>
      <c r="T89" s="9">
        <f t="shared" si="10"/>
        <v>3.6424521168888511E-5</v>
      </c>
      <c r="U89" s="9">
        <f t="shared" si="11"/>
        <v>3.9901146070232092E-5</v>
      </c>
      <c r="V89" s="100">
        <f t="shared" si="14"/>
        <v>0.91286904653755574</v>
      </c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46" t="s">
        <v>287</v>
      </c>
      <c r="C90" s="46" t="s">
        <v>288</v>
      </c>
      <c r="D90" s="47">
        <v>0.21626245461153099</v>
      </c>
      <c r="E90" s="47">
        <v>-0.16982383217232916</v>
      </c>
      <c r="F90" s="96">
        <v>9.9999999999999995E-7</v>
      </c>
      <c r="G90" s="7"/>
      <c r="H90" s="7"/>
      <c r="I90" s="54">
        <f t="shared" si="33"/>
        <v>1.290009012521746E-3</v>
      </c>
      <c r="J90" s="54">
        <f t="shared" si="34"/>
        <v>2.1672092685066032E-2</v>
      </c>
      <c r="K90" s="55">
        <f t="shared" si="35"/>
        <v>0.99080815338519357</v>
      </c>
      <c r="L90" s="55">
        <f t="shared" si="36"/>
        <v>1.0699612573514632E-3</v>
      </c>
      <c r="M90" s="55">
        <f t="shared" si="19"/>
        <v>0.99893003874264852</v>
      </c>
      <c r="N90" s="55">
        <f t="shared" si="37"/>
        <v>6.884495613759437E-6</v>
      </c>
      <c r="O90" s="56">
        <f t="shared" si="21"/>
        <v>9.9698514235535387E-7</v>
      </c>
      <c r="P90" s="56">
        <f t="shared" si="38"/>
        <v>1.0479987844975306E-6</v>
      </c>
      <c r="Q90" s="56">
        <f t="shared" si="39"/>
        <v>6.7431815736562606E-7</v>
      </c>
      <c r="R90" s="9">
        <f t="shared" si="12"/>
        <v>3.9999999999999996E-5</v>
      </c>
      <c r="S90" s="9">
        <f t="shared" si="13"/>
        <v>4.2798450294058521E-8</v>
      </c>
      <c r="T90" s="9">
        <f t="shared" si="10"/>
        <v>3.9632326135407738E-5</v>
      </c>
      <c r="U90" s="9">
        <f t="shared" si="11"/>
        <v>3.9957201549705938E-5</v>
      </c>
      <c r="V90" s="100">
        <f t="shared" si="14"/>
        <v>0.99186941523184347</v>
      </c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46" t="s">
        <v>289</v>
      </c>
      <c r="C91" s="46" t="s">
        <v>290</v>
      </c>
      <c r="D91" s="47">
        <v>-2.4693681101840836E-2</v>
      </c>
      <c r="E91" s="47">
        <v>-0.51259241959557644</v>
      </c>
      <c r="F91" s="96">
        <v>9.9999999999999995E-7</v>
      </c>
      <c r="G91" s="7"/>
      <c r="H91" s="7"/>
      <c r="I91" s="54">
        <f t="shared" si="33"/>
        <v>-2.2961926676165657E-4</v>
      </c>
      <c r="J91" s="54">
        <f t="shared" si="34"/>
        <v>-5.0618200796578115E-3</v>
      </c>
      <c r="K91" s="55">
        <f t="shared" si="35"/>
        <v>0.99434114588043643</v>
      </c>
      <c r="L91" s="55">
        <f t="shared" si="36"/>
        <v>1.0096712238692183E-3</v>
      </c>
      <c r="M91" s="55">
        <f t="shared" si="19"/>
        <v>0.99899032877613081</v>
      </c>
      <c r="N91" s="55">
        <f t="shared" si="37"/>
        <v>3.1379742777238829E-6</v>
      </c>
      <c r="O91" s="56">
        <f t="shared" si="21"/>
        <v>1.0005401605632439E-6</v>
      </c>
      <c r="P91" s="56">
        <f t="shared" si="38"/>
        <v>9.8894628949120654E-7</v>
      </c>
      <c r="Q91" s="56">
        <f t="shared" si="39"/>
        <v>3.0735629035574522E-7</v>
      </c>
      <c r="R91" s="9">
        <f t="shared" si="12"/>
        <v>3.9999999999999996E-5</v>
      </c>
      <c r="S91" s="9">
        <f t="shared" si="13"/>
        <v>4.038684895476873E-8</v>
      </c>
      <c r="T91" s="9">
        <f t="shared" si="10"/>
        <v>3.9773645835217452E-5</v>
      </c>
      <c r="U91" s="9">
        <f t="shared" si="11"/>
        <v>3.9959613151045231E-5</v>
      </c>
      <c r="V91" s="100">
        <f t="shared" si="14"/>
        <v>0.99534611821378682</v>
      </c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46" t="s">
        <v>291</v>
      </c>
      <c r="C92" s="46" t="s">
        <v>292</v>
      </c>
      <c r="D92" s="47">
        <v>1.358312346903767</v>
      </c>
      <c r="E92" s="47">
        <v>1.454782352637753</v>
      </c>
      <c r="F92" s="96">
        <v>9.9999999999999995E-7</v>
      </c>
      <c r="G92" s="7"/>
      <c r="H92" s="7"/>
      <c r="I92" s="54">
        <f t="shared" si="33"/>
        <v>4.7346378220411142E-2</v>
      </c>
      <c r="J92" s="54">
        <f t="shared" si="34"/>
        <v>0.49337026250812915</v>
      </c>
      <c r="K92" s="55">
        <f t="shared" si="35"/>
        <v>0.88952950788696461</v>
      </c>
      <c r="L92" s="55">
        <f t="shared" si="36"/>
        <v>2.8460138536289138E-3</v>
      </c>
      <c r="M92" s="55">
        <f t="shared" si="19"/>
        <v>0.99715398614637107</v>
      </c>
      <c r="N92" s="55">
        <f t="shared" si="37"/>
        <v>2.6040486875122297E-4</v>
      </c>
      <c r="O92" s="56">
        <f t="shared" si="21"/>
        <v>8.9507509604152006E-7</v>
      </c>
      <c r="P92" s="56">
        <f t="shared" si="38"/>
        <v>2.7875953813965972E-6</v>
      </c>
      <c r="Q92" s="56">
        <f t="shared" si="39"/>
        <v>2.5505968936114157E-5</v>
      </c>
      <c r="R92" s="9">
        <f t="shared" si="12"/>
        <v>3.9999999999999996E-5</v>
      </c>
      <c r="S92" s="9">
        <f t="shared" si="13"/>
        <v>1.1384055414515654E-7</v>
      </c>
      <c r="T92" s="9">
        <f t="shared" ref="T92:T143" si="40">R92*K92</f>
        <v>3.5581180315478583E-5</v>
      </c>
      <c r="U92" s="9">
        <f t="shared" ref="U92:U143" si="41">$R92*M92</f>
        <v>3.9886159445854839E-5</v>
      </c>
      <c r="V92" s="100">
        <f t="shared" si="14"/>
        <v>0.89206834676022806</v>
      </c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46" t="s">
        <v>293</v>
      </c>
      <c r="C93" s="46" t="s">
        <v>294</v>
      </c>
      <c r="D93" s="47">
        <v>-1.2091799453325114E-2</v>
      </c>
      <c r="E93" s="47">
        <v>-0.49466579922233578</v>
      </c>
      <c r="F93" s="96">
        <v>9.9999999999999995E-7</v>
      </c>
      <c r="G93" s="7"/>
      <c r="H93" s="7"/>
      <c r="I93" s="54">
        <f t="shared" si="33"/>
        <v>-1.6947243885858597E-4</v>
      </c>
      <c r="J93" s="54">
        <f t="shared" si="34"/>
        <v>-3.9760371235624641E-3</v>
      </c>
      <c r="K93" s="55">
        <f t="shared" si="35"/>
        <v>0.99420107251099954</v>
      </c>
      <c r="L93" s="55">
        <f t="shared" si="36"/>
        <v>1.0120560797763215E-3</v>
      </c>
      <c r="M93" s="55">
        <f t="shared" ref="M93:M127" si="42">IF(D93=0,"",1-L93)</f>
        <v>0.99898794392022372</v>
      </c>
      <c r="N93" s="55">
        <f t="shared" si="37"/>
        <v>3.269752014958418E-6</v>
      </c>
      <c r="O93" s="56">
        <f t="shared" ref="O93:O127" si="43">IF(D93=0,"",F93*K93*$J$7/$J$14)</f>
        <v>1.0003992139352906E-6</v>
      </c>
      <c r="P93" s="56">
        <f t="shared" si="38"/>
        <v>9.9128219284721435E-7</v>
      </c>
      <c r="Q93" s="56">
        <f t="shared" si="39"/>
        <v>3.2026357157707489E-7</v>
      </c>
      <c r="R93" s="9">
        <f t="shared" ref="R93:R143" si="44">F93*$C$14</f>
        <v>3.9999999999999996E-5</v>
      </c>
      <c r="S93" s="9">
        <f t="shared" ref="S93:S143" si="45">$R93*L93</f>
        <v>4.048224319105286E-8</v>
      </c>
      <c r="T93" s="9">
        <f t="shared" si="40"/>
        <v>3.9768042900439978E-5</v>
      </c>
      <c r="U93" s="9">
        <f t="shared" si="41"/>
        <v>3.9959517756808945E-5</v>
      </c>
      <c r="V93" s="100">
        <f t="shared" ref="V93:V143" si="46">K93/M93</f>
        <v>0.99520827910050691</v>
      </c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46" t="s">
        <v>295</v>
      </c>
      <c r="C94" s="46" t="s">
        <v>296</v>
      </c>
      <c r="D94" s="47">
        <v>-0.5582197001134892</v>
      </c>
      <c r="E94" s="47">
        <v>-1.2715519677670764</v>
      </c>
      <c r="F94" s="96">
        <v>9.9999999999999995E-7</v>
      </c>
      <c r="G94" s="7"/>
      <c r="H94" s="7"/>
      <c r="I94" s="54">
        <f t="shared" si="33"/>
        <v>-1.6675027667828724E-3</v>
      </c>
      <c r="J94" s="54">
        <f t="shared" si="34"/>
        <v>-3.1727881413346266E-2</v>
      </c>
      <c r="K94" s="55">
        <f t="shared" si="35"/>
        <v>0.99769556473489829</v>
      </c>
      <c r="L94" s="55">
        <f t="shared" si="36"/>
        <v>9.5274471452360776E-4</v>
      </c>
      <c r="M94" s="55">
        <f t="shared" si="42"/>
        <v>0.99904725528547644</v>
      </c>
      <c r="N94" s="55">
        <f t="shared" si="37"/>
        <v>5.4846947476413472E-7</v>
      </c>
      <c r="O94" s="56">
        <f t="shared" si="43"/>
        <v>1.0039154918498396E-6</v>
      </c>
      <c r="P94" s="56">
        <f t="shared" si="38"/>
        <v>9.3318827751648835E-7</v>
      </c>
      <c r="Q94" s="56">
        <f t="shared" si="39"/>
        <v>5.3721136063340858E-8</v>
      </c>
      <c r="R94" s="9">
        <f t="shared" si="44"/>
        <v>3.9999999999999996E-5</v>
      </c>
      <c r="S94" s="9">
        <f t="shared" si="45"/>
        <v>3.810978858094431E-8</v>
      </c>
      <c r="T94" s="9">
        <f t="shared" si="40"/>
        <v>3.9907822589395928E-5</v>
      </c>
      <c r="U94" s="9">
        <f t="shared" si="41"/>
        <v>3.9961890211419051E-5</v>
      </c>
      <c r="V94" s="100">
        <f t="shared" si="46"/>
        <v>0.9986470204052641</v>
      </c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46" t="s">
        <v>297</v>
      </c>
      <c r="C95" s="46" t="s">
        <v>298</v>
      </c>
      <c r="D95" s="47">
        <v>3.8826699877244018</v>
      </c>
      <c r="E95" s="47">
        <v>5.0457699825375304</v>
      </c>
      <c r="F95" s="96">
        <v>9.9999999999999995E-7</v>
      </c>
      <c r="G95" s="7"/>
      <c r="H95" s="7"/>
      <c r="I95" s="54">
        <f t="shared" si="33"/>
        <v>1.9022995281384409</v>
      </c>
      <c r="J95" s="54">
        <f t="shared" si="34"/>
        <v>3.2443942098381373</v>
      </c>
      <c r="K95" s="55">
        <f t="shared" si="35"/>
        <v>1.2184162112837375E-2</v>
      </c>
      <c r="L95" s="55">
        <f t="shared" si="36"/>
        <v>2.1973349655980377E-2</v>
      </c>
      <c r="M95" s="55">
        <f t="shared" si="42"/>
        <v>0.97802665034401959</v>
      </c>
      <c r="N95" s="55">
        <f t="shared" si="37"/>
        <v>1.3908235613756051E-2</v>
      </c>
      <c r="O95" s="56">
        <f t="shared" si="43"/>
        <v>1.2260121757219088E-8</v>
      </c>
      <c r="P95" s="56">
        <f t="shared" si="38"/>
        <v>2.1522315478795304E-5</v>
      </c>
      <c r="Q95" s="56">
        <f t="shared" si="39"/>
        <v>1.3622749344964101E-3</v>
      </c>
      <c r="R95" s="9">
        <f t="shared" si="44"/>
        <v>3.9999999999999996E-5</v>
      </c>
      <c r="S95" s="9">
        <f t="shared" si="45"/>
        <v>8.7893398623921502E-7</v>
      </c>
      <c r="T95" s="9">
        <f t="shared" si="40"/>
        <v>4.8736648451349494E-7</v>
      </c>
      <c r="U95" s="9">
        <f t="shared" si="41"/>
        <v>3.9121066013760783E-5</v>
      </c>
      <c r="V95" s="100">
        <f t="shared" si="46"/>
        <v>1.2457903993261955E-2</v>
      </c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46" t="s">
        <v>299</v>
      </c>
      <c r="C96" s="46" t="s">
        <v>212</v>
      </c>
      <c r="D96" s="47">
        <v>-5.8280000000154555</v>
      </c>
      <c r="E96" s="47">
        <v>-8.7680000000219867</v>
      </c>
      <c r="F96" s="96">
        <v>9.9999999999999995E-7</v>
      </c>
      <c r="G96" s="7"/>
      <c r="H96" s="7"/>
      <c r="I96" s="54">
        <f t="shared" si="33"/>
        <v>-2.2554890834977572E-3</v>
      </c>
      <c r="J96" s="54">
        <f t="shared" si="34"/>
        <v>-4.3015572183228164E-2</v>
      </c>
      <c r="K96" s="55">
        <f t="shared" si="35"/>
        <v>0.9990704125322617</v>
      </c>
      <c r="L96" s="55">
        <f t="shared" si="36"/>
        <v>9.2958030412229782E-4</v>
      </c>
      <c r="M96" s="55">
        <f t="shared" si="42"/>
        <v>0.99907041969587773</v>
      </c>
      <c r="N96" s="55">
        <f t="shared" si="37"/>
        <v>1.7510658789564734E-14</v>
      </c>
      <c r="O96" s="56">
        <f t="shared" si="43"/>
        <v>1.0052989108520836E-6</v>
      </c>
      <c r="P96" s="56">
        <f t="shared" si="38"/>
        <v>9.1049934950402291E-7</v>
      </c>
      <c r="Q96" s="56">
        <f t="shared" si="39"/>
        <v>1.7151227674019245E-15</v>
      </c>
      <c r="R96" s="9">
        <f t="shared" si="44"/>
        <v>3.9999999999999996E-5</v>
      </c>
      <c r="S96" s="9">
        <f t="shared" si="45"/>
        <v>3.7183212164891908E-8</v>
      </c>
      <c r="T96" s="9">
        <f t="shared" si="40"/>
        <v>3.9962816501290463E-5</v>
      </c>
      <c r="U96" s="9">
        <f t="shared" si="41"/>
        <v>3.9962816787835109E-5</v>
      </c>
      <c r="V96" s="100">
        <f t="shared" si="46"/>
        <v>0.99999999282971863</v>
      </c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46" t="s">
        <v>300</v>
      </c>
      <c r="C97" s="46" t="s">
        <v>213</v>
      </c>
      <c r="D97" s="47" t="s">
        <v>301</v>
      </c>
      <c r="E97" s="47">
        <v>-4.1624004386372073</v>
      </c>
      <c r="F97" s="96">
        <v>9.9999999999999995E-7</v>
      </c>
      <c r="G97" s="7"/>
      <c r="H97" s="7"/>
      <c r="I97" s="54" t="e">
        <f t="shared" si="33"/>
        <v>#VALUE!</v>
      </c>
      <c r="J97" s="54" t="e">
        <f t="shared" si="34"/>
        <v>#VALUE!</v>
      </c>
      <c r="K97" s="55" t="e">
        <f t="shared" si="35"/>
        <v>#VALUE!</v>
      </c>
      <c r="L97" s="55" t="e">
        <f t="shared" si="36"/>
        <v>#VALUE!</v>
      </c>
      <c r="M97" s="55" t="e">
        <f t="shared" si="42"/>
        <v>#VALUE!</v>
      </c>
      <c r="N97" s="55" t="e">
        <f t="shared" si="37"/>
        <v>#VALUE!</v>
      </c>
      <c r="O97" s="56" t="e">
        <f t="shared" si="43"/>
        <v>#VALUE!</v>
      </c>
      <c r="P97" s="56" t="e">
        <f t="shared" si="38"/>
        <v>#VALUE!</v>
      </c>
      <c r="Q97" s="56" t="e">
        <f t="shared" si="39"/>
        <v>#VALUE!</v>
      </c>
      <c r="R97" s="9">
        <f t="shared" si="44"/>
        <v>3.9999999999999996E-5</v>
      </c>
      <c r="S97" s="9"/>
      <c r="T97" s="9"/>
      <c r="U97" s="9"/>
      <c r="V97" s="100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46" t="s">
        <v>302</v>
      </c>
      <c r="C98" s="46" t="s">
        <v>214</v>
      </c>
      <c r="D98" s="47">
        <v>4.54</v>
      </c>
      <c r="E98" s="47">
        <v>4.25</v>
      </c>
      <c r="F98" s="96">
        <v>9.9999999999999995E-7</v>
      </c>
      <c r="G98" s="7"/>
      <c r="H98" s="7"/>
      <c r="I98" s="54">
        <f t="shared" si="33"/>
        <v>2.2410131712935462</v>
      </c>
      <c r="J98" s="54">
        <f t="shared" si="34"/>
        <v>3.4916033311365919</v>
      </c>
      <c r="K98" s="55">
        <f t="shared" si="35"/>
        <v>5.6091723683942187E-3</v>
      </c>
      <c r="L98" s="55">
        <f t="shared" si="36"/>
        <v>1.7873454747840942E-2</v>
      </c>
      <c r="M98" s="55">
        <f t="shared" si="42"/>
        <v>0.98212654525215903</v>
      </c>
      <c r="N98" s="55">
        <f t="shared" si="37"/>
        <v>1.0247199087409116E-3</v>
      </c>
      <c r="O98" s="56">
        <f t="shared" si="43"/>
        <v>5.6441415960221112E-9</v>
      </c>
      <c r="P98" s="56">
        <f t="shared" si="38"/>
        <v>1.7506576730521773E-5</v>
      </c>
      <c r="Q98" s="56">
        <f t="shared" si="39"/>
        <v>1.0036860787550339E-4</v>
      </c>
      <c r="R98" s="9">
        <f t="shared" si="44"/>
        <v>3.9999999999999996E-5</v>
      </c>
      <c r="S98" s="9">
        <f t="shared" si="45"/>
        <v>7.1493818991363765E-7</v>
      </c>
      <c r="T98" s="9">
        <f t="shared" si="40"/>
        <v>2.2436689473576874E-7</v>
      </c>
      <c r="U98" s="9">
        <f t="shared" si="41"/>
        <v>3.928506181008636E-5</v>
      </c>
      <c r="V98" s="100">
        <f t="shared" si="46"/>
        <v>5.7112521757102849E-3</v>
      </c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46" t="s">
        <v>303</v>
      </c>
      <c r="C99" s="46" t="s">
        <v>215</v>
      </c>
      <c r="D99" s="47">
        <v>2.83</v>
      </c>
      <c r="E99" s="47">
        <v>2.3199999999999998</v>
      </c>
      <c r="F99" s="96">
        <v>9.9999999999999995E-7</v>
      </c>
      <c r="G99" s="7"/>
      <c r="H99" s="7"/>
      <c r="I99" s="54">
        <f t="shared" si="33"/>
        <v>0.63542458371912058</v>
      </c>
      <c r="J99" s="54">
        <f t="shared" si="34"/>
        <v>1.7780701090410389</v>
      </c>
      <c r="K99" s="55">
        <f t="shared" si="35"/>
        <v>0.22709051982592826</v>
      </c>
      <c r="L99" s="55">
        <f t="shared" si="36"/>
        <v>1.3995083741683701E-2</v>
      </c>
      <c r="M99" s="55">
        <f t="shared" si="42"/>
        <v>0.98600491625831632</v>
      </c>
      <c r="N99" s="55">
        <f t="shared" si="37"/>
        <v>4.8742229750438793E-4</v>
      </c>
      <c r="O99" s="56">
        <f t="shared" si="43"/>
        <v>2.2850626880962423E-7</v>
      </c>
      <c r="P99" s="56">
        <f t="shared" si="38"/>
        <v>1.3707814791847075E-5</v>
      </c>
      <c r="Q99" s="56">
        <f t="shared" si="39"/>
        <v>4.7741726329984089E-5</v>
      </c>
      <c r="R99" s="9">
        <f t="shared" si="44"/>
        <v>3.9999999999999996E-5</v>
      </c>
      <c r="S99" s="9">
        <f t="shared" si="45"/>
        <v>5.5980334966734803E-7</v>
      </c>
      <c r="T99" s="9">
        <f t="shared" si="40"/>
        <v>9.0836207930371298E-6</v>
      </c>
      <c r="U99" s="9">
        <f t="shared" si="41"/>
        <v>3.944019665033265E-5</v>
      </c>
      <c r="V99" s="100">
        <f t="shared" si="46"/>
        <v>0.23031378047047632</v>
      </c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46" t="s">
        <v>304</v>
      </c>
      <c r="C100" s="46" t="s">
        <v>216</v>
      </c>
      <c r="D100" s="47" t="s">
        <v>301</v>
      </c>
      <c r="E100" s="47">
        <v>1.7</v>
      </c>
      <c r="F100" s="96">
        <v>9.9999999999999995E-7</v>
      </c>
      <c r="G100" s="7"/>
      <c r="H100" s="7"/>
      <c r="I100" s="54" t="e">
        <f t="shared" si="33"/>
        <v>#VALUE!</v>
      </c>
      <c r="J100" s="54" t="e">
        <f t="shared" si="34"/>
        <v>#VALUE!</v>
      </c>
      <c r="K100" s="55" t="e">
        <f t="shared" si="35"/>
        <v>#VALUE!</v>
      </c>
      <c r="L100" s="55" t="e">
        <f t="shared" si="36"/>
        <v>#VALUE!</v>
      </c>
      <c r="M100" s="55" t="e">
        <f t="shared" si="42"/>
        <v>#VALUE!</v>
      </c>
      <c r="N100" s="55" t="e">
        <f t="shared" si="37"/>
        <v>#VALUE!</v>
      </c>
      <c r="O100" s="56" t="e">
        <f t="shared" si="43"/>
        <v>#VALUE!</v>
      </c>
      <c r="P100" s="56" t="e">
        <f t="shared" si="38"/>
        <v>#VALUE!</v>
      </c>
      <c r="Q100" s="56" t="e">
        <f t="shared" si="39"/>
        <v>#VALUE!</v>
      </c>
      <c r="R100" s="9">
        <f t="shared" si="44"/>
        <v>3.9999999999999996E-5</v>
      </c>
      <c r="S100" s="9"/>
      <c r="T100" s="9"/>
      <c r="U100" s="9"/>
      <c r="V100" s="100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46" t="s">
        <v>305</v>
      </c>
      <c r="C101" s="46" t="s">
        <v>217</v>
      </c>
      <c r="D101" s="47">
        <v>4.2</v>
      </c>
      <c r="E101" s="47">
        <v>3.52</v>
      </c>
      <c r="F101" s="96">
        <v>9.9999999999999995E-7</v>
      </c>
      <c r="G101" s="7"/>
      <c r="H101" s="7"/>
      <c r="I101" s="54">
        <f t="shared" si="33"/>
        <v>1.8939169904293498</v>
      </c>
      <c r="J101" s="54">
        <f t="shared" si="34"/>
        <v>3.1367471227841328</v>
      </c>
      <c r="K101" s="55">
        <f t="shared" si="35"/>
        <v>1.2477640112664381E-2</v>
      </c>
      <c r="L101" s="55">
        <f t="shared" si="36"/>
        <v>1.7562484990317834E-2</v>
      </c>
      <c r="M101" s="55">
        <f t="shared" si="42"/>
        <v>0.98243751500968213</v>
      </c>
      <c r="N101" s="55">
        <f t="shared" si="37"/>
        <v>4.2446202661485492E-4</v>
      </c>
      <c r="O101" s="56">
        <f t="shared" si="43"/>
        <v>1.2555429385074208E-8</v>
      </c>
      <c r="P101" s="56">
        <f t="shared" si="38"/>
        <v>1.7201990068471574E-5</v>
      </c>
      <c r="Q101" s="56">
        <f t="shared" si="39"/>
        <v>4.1574934129751001E-5</v>
      </c>
      <c r="R101" s="9">
        <f t="shared" si="44"/>
        <v>3.9999999999999996E-5</v>
      </c>
      <c r="S101" s="9">
        <f t="shared" si="45"/>
        <v>7.0249939961271334E-7</v>
      </c>
      <c r="T101" s="9">
        <f t="shared" si="40"/>
        <v>4.9910560450657516E-7</v>
      </c>
      <c r="U101" s="9">
        <f t="shared" si="41"/>
        <v>3.9297500600387281E-5</v>
      </c>
      <c r="V101" s="100">
        <f t="shared" si="46"/>
        <v>1.2700695893663436E-2</v>
      </c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46" t="s">
        <v>306</v>
      </c>
      <c r="C102" s="46" t="s">
        <v>218</v>
      </c>
      <c r="D102" s="47">
        <v>3.44</v>
      </c>
      <c r="E102" s="47">
        <v>-2.9403004386372071</v>
      </c>
      <c r="F102" s="96">
        <v>9.9999999999999995E-7</v>
      </c>
      <c r="G102" s="7"/>
      <c r="H102" s="7"/>
      <c r="I102" s="54">
        <f t="shared" si="33"/>
        <v>1.1527504756067957</v>
      </c>
      <c r="J102" s="54">
        <f t="shared" si="34"/>
        <v>2.3675184084017351</v>
      </c>
      <c r="K102" s="55">
        <f t="shared" si="35"/>
        <v>6.8829797104844742E-2</v>
      </c>
      <c r="L102" s="55">
        <f t="shared" si="36"/>
        <v>1.6481672709926558E-2</v>
      </c>
      <c r="M102" s="55">
        <f t="shared" si="42"/>
        <v>0.98351832729007349</v>
      </c>
      <c r="N102" s="55">
        <f t="shared" si="37"/>
        <v>8.1130179846907411E-10</v>
      </c>
      <c r="O102" s="56">
        <f t="shared" si="43"/>
        <v>6.9258902271250972E-8</v>
      </c>
      <c r="P102" s="56">
        <f t="shared" si="38"/>
        <v>1.6143362993577404E-5</v>
      </c>
      <c r="Q102" s="56">
        <f t="shared" si="39"/>
        <v>7.9464867799130079E-11</v>
      </c>
      <c r="R102" s="9">
        <f t="shared" si="44"/>
        <v>3.9999999999999996E-5</v>
      </c>
      <c r="S102" s="9">
        <f t="shared" si="45"/>
        <v>6.5926690839706227E-7</v>
      </c>
      <c r="T102" s="9">
        <f t="shared" si="40"/>
        <v>2.7531918841937897E-6</v>
      </c>
      <c r="U102" s="9">
        <f t="shared" si="41"/>
        <v>3.9340733091602938E-5</v>
      </c>
      <c r="V102" s="100">
        <f t="shared" si="46"/>
        <v>6.9983237927547501E-2</v>
      </c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46" t="s">
        <v>307</v>
      </c>
      <c r="C103" s="46" t="s">
        <v>219</v>
      </c>
      <c r="D103" s="47">
        <v>4.49</v>
      </c>
      <c r="E103" s="47">
        <v>-1.7182004386372074</v>
      </c>
      <c r="F103" s="96">
        <v>9.9999999999999995E-7</v>
      </c>
      <c r="G103" s="7"/>
      <c r="H103" s="7"/>
      <c r="I103" s="54">
        <f t="shared" si="33"/>
        <v>2.1741441801583692</v>
      </c>
      <c r="J103" s="54">
        <f t="shared" si="34"/>
        <v>3.415978567809216</v>
      </c>
      <c r="K103" s="55">
        <f t="shared" si="35"/>
        <v>6.5451971655891708E-3</v>
      </c>
      <c r="L103" s="55">
        <f t="shared" si="36"/>
        <v>1.752296887093999E-2</v>
      </c>
      <c r="M103" s="55">
        <f t="shared" si="42"/>
        <v>0.98247703112906004</v>
      </c>
      <c r="N103" s="55">
        <f t="shared" si="37"/>
        <v>1.2865559658791163E-9</v>
      </c>
      <c r="O103" s="56">
        <f t="shared" si="43"/>
        <v>6.5860018466580919E-9</v>
      </c>
      <c r="P103" s="56">
        <f t="shared" si="38"/>
        <v>1.7163285073508898E-5</v>
      </c>
      <c r="Q103" s="56">
        <f t="shared" si="39"/>
        <v>1.2601475793309635E-10</v>
      </c>
      <c r="R103" s="9">
        <f t="shared" si="44"/>
        <v>3.9999999999999996E-5</v>
      </c>
      <c r="S103" s="9">
        <f t="shared" si="45"/>
        <v>7.0091875483759953E-7</v>
      </c>
      <c r="T103" s="9">
        <f t="shared" si="40"/>
        <v>2.618078866235668E-7</v>
      </c>
      <c r="U103" s="9">
        <f t="shared" si="41"/>
        <v>3.9299081245162397E-5</v>
      </c>
      <c r="V103" s="100">
        <f t="shared" si="46"/>
        <v>6.6619340281853182E-3</v>
      </c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46" t="s">
        <v>308</v>
      </c>
      <c r="C104" s="46" t="s">
        <v>220</v>
      </c>
      <c r="D104" s="47">
        <v>5.17</v>
      </c>
      <c r="E104" s="47">
        <v>4.54</v>
      </c>
      <c r="F104" s="96">
        <v>9.9999999999999995E-7</v>
      </c>
      <c r="G104" s="7"/>
      <c r="H104" s="7"/>
      <c r="I104" s="54">
        <f t="shared" si="33"/>
        <v>2.8598242449089666</v>
      </c>
      <c r="J104" s="54">
        <f t="shared" si="34"/>
        <v>4.1077703317847014</v>
      </c>
      <c r="K104" s="55">
        <f t="shared" si="35"/>
        <v>1.3493817435033515E-3</v>
      </c>
      <c r="L104" s="55">
        <f t="shared" si="36"/>
        <v>1.7766895577312015E-2</v>
      </c>
      <c r="M104" s="55">
        <f t="shared" si="42"/>
        <v>0.98223310442268796</v>
      </c>
      <c r="N104" s="55">
        <f t="shared" si="37"/>
        <v>4.806635814198639E-4</v>
      </c>
      <c r="O104" s="56">
        <f t="shared" si="43"/>
        <v>1.3577941855262379E-9</v>
      </c>
      <c r="P104" s="56">
        <f t="shared" si="38"/>
        <v>1.740220483815269E-5</v>
      </c>
      <c r="Q104" s="56">
        <f t="shared" si="39"/>
        <v>4.7079727945212817E-5</v>
      </c>
      <c r="R104" s="9">
        <f t="shared" si="44"/>
        <v>3.9999999999999996E-5</v>
      </c>
      <c r="S104" s="9">
        <f t="shared" si="45"/>
        <v>7.1067582309248054E-7</v>
      </c>
      <c r="T104" s="9">
        <f t="shared" si="40"/>
        <v>5.3975269740134056E-8</v>
      </c>
      <c r="U104" s="9">
        <f t="shared" si="41"/>
        <v>3.9289324176907516E-5</v>
      </c>
      <c r="V104" s="100">
        <f t="shared" si="46"/>
        <v>1.3737897220400211E-3</v>
      </c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46" t="s">
        <v>309</v>
      </c>
      <c r="C105" s="46" t="s">
        <v>221</v>
      </c>
      <c r="D105" s="47">
        <v>4.76</v>
      </c>
      <c r="E105" s="47">
        <v>4.8899999999999997</v>
      </c>
      <c r="F105" s="96">
        <v>9.9999999999999995E-7</v>
      </c>
      <c r="G105" s="7"/>
      <c r="H105" s="7"/>
      <c r="I105" s="54">
        <f t="shared" si="33"/>
        <v>2.4867185626172419</v>
      </c>
      <c r="J105" s="54">
        <f t="shared" si="34"/>
        <v>3.7503626918737711</v>
      </c>
      <c r="K105" s="55">
        <f t="shared" si="35"/>
        <v>3.1838793172093301E-3</v>
      </c>
      <c r="L105" s="55">
        <f t="shared" si="36"/>
        <v>1.8408808401103656E-2</v>
      </c>
      <c r="M105" s="55">
        <f t="shared" si="42"/>
        <v>0.9815911915988963</v>
      </c>
      <c r="N105" s="55">
        <f t="shared" si="37"/>
        <v>2.5390016653770251E-3</v>
      </c>
      <c r="O105" s="56">
        <f t="shared" si="43"/>
        <v>3.2037285557905129E-9</v>
      </c>
      <c r="P105" s="56">
        <f t="shared" si="38"/>
        <v>1.8030941490498632E-5</v>
      </c>
      <c r="Q105" s="56">
        <f t="shared" si="39"/>
        <v>2.4868850538933856E-4</v>
      </c>
      <c r="R105" s="9">
        <f t="shared" si="44"/>
        <v>3.9999999999999996E-5</v>
      </c>
      <c r="S105" s="9">
        <f t="shared" si="45"/>
        <v>7.3635233604414614E-7</v>
      </c>
      <c r="T105" s="9">
        <f t="shared" si="40"/>
        <v>1.273551726883732E-7</v>
      </c>
      <c r="U105" s="9">
        <f t="shared" si="41"/>
        <v>3.9263647663955846E-5</v>
      </c>
      <c r="V105" s="100">
        <f t="shared" si="46"/>
        <v>3.2435899430017972E-3</v>
      </c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46" t="s">
        <v>310</v>
      </c>
      <c r="C106" s="46" t="s">
        <v>222</v>
      </c>
      <c r="D106" s="47">
        <v>3.93</v>
      </c>
      <c r="E106" s="47">
        <v>2.91</v>
      </c>
      <c r="F106" s="96">
        <v>9.9999999999999995E-7</v>
      </c>
      <c r="G106" s="7"/>
      <c r="H106" s="7"/>
      <c r="I106" s="54">
        <f t="shared" si="33"/>
        <v>1.6248833107371423</v>
      </c>
      <c r="J106" s="54">
        <f t="shared" si="34"/>
        <v>2.8612615448319914</v>
      </c>
      <c r="K106" s="55">
        <f t="shared" si="35"/>
        <v>2.3188818609910313E-2</v>
      </c>
      <c r="L106" s="55">
        <f t="shared" si="36"/>
        <v>1.7307986836576628E-2</v>
      </c>
      <c r="M106" s="55">
        <f t="shared" si="42"/>
        <v>0.98269201316342336</v>
      </c>
      <c r="N106" s="55">
        <f t="shared" si="37"/>
        <v>1.9363551342682617E-4</v>
      </c>
      <c r="O106" s="56">
        <f t="shared" si="43"/>
        <v>2.3333384514313788E-8</v>
      </c>
      <c r="P106" s="56">
        <f t="shared" si="38"/>
        <v>1.6952715850414495E-5</v>
      </c>
      <c r="Q106" s="56">
        <f t="shared" si="39"/>
        <v>1.8966086978625085E-5</v>
      </c>
      <c r="R106" s="9">
        <f t="shared" si="44"/>
        <v>3.9999999999999996E-5</v>
      </c>
      <c r="S106" s="9">
        <f t="shared" si="45"/>
        <v>6.9231947346306512E-7</v>
      </c>
      <c r="T106" s="9">
        <f t="shared" si="40"/>
        <v>9.275527443964125E-7</v>
      </c>
      <c r="U106" s="9">
        <f t="shared" si="41"/>
        <v>3.9307680526536932E-5</v>
      </c>
      <c r="V106" s="100">
        <f t="shared" si="46"/>
        <v>2.3597239317395342E-2</v>
      </c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46" t="s">
        <v>311</v>
      </c>
      <c r="C107" s="46" t="s">
        <v>223</v>
      </c>
      <c r="D107" s="47" t="s">
        <v>301</v>
      </c>
      <c r="E107" s="47" t="s">
        <v>312</v>
      </c>
      <c r="F107" s="96">
        <v>9.9999999999999995E-7</v>
      </c>
      <c r="G107" s="7"/>
      <c r="H107" s="7"/>
      <c r="I107" s="54" t="e">
        <f t="shared" si="33"/>
        <v>#VALUE!</v>
      </c>
      <c r="J107" s="54" t="e">
        <f t="shared" si="34"/>
        <v>#VALUE!</v>
      </c>
      <c r="K107" s="55" t="e">
        <f t="shared" si="35"/>
        <v>#VALUE!</v>
      </c>
      <c r="L107" s="55" t="e">
        <f t="shared" si="36"/>
        <v>#VALUE!</v>
      </c>
      <c r="M107" s="55" t="e">
        <f t="shared" si="42"/>
        <v>#VALUE!</v>
      </c>
      <c r="N107" s="55" t="e">
        <f t="shared" si="37"/>
        <v>#VALUE!</v>
      </c>
      <c r="O107" s="56" t="e">
        <f t="shared" si="43"/>
        <v>#VALUE!</v>
      </c>
      <c r="P107" s="56" t="e">
        <f t="shared" si="38"/>
        <v>#VALUE!</v>
      </c>
      <c r="Q107" s="56" t="e">
        <f t="shared" si="39"/>
        <v>#VALUE!</v>
      </c>
      <c r="R107" s="9">
        <f t="shared" si="44"/>
        <v>3.9999999999999996E-5</v>
      </c>
      <c r="S107" s="9"/>
      <c r="T107" s="9"/>
      <c r="U107" s="9"/>
      <c r="V107" s="100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46" t="s">
        <v>313</v>
      </c>
      <c r="C108" s="46" t="s">
        <v>224</v>
      </c>
      <c r="D108" s="47">
        <v>4.6100000000000003</v>
      </c>
      <c r="E108" s="47">
        <v>4.13</v>
      </c>
      <c r="F108" s="96">
        <v>9.9999999999999995E-7</v>
      </c>
      <c r="G108" s="7"/>
      <c r="H108" s="7"/>
      <c r="I108" s="54">
        <f t="shared" si="33"/>
        <v>2.3046271115114854</v>
      </c>
      <c r="J108" s="54">
        <f t="shared" si="34"/>
        <v>3.5526703729990983</v>
      </c>
      <c r="K108" s="55">
        <f t="shared" si="35"/>
        <v>4.8454067143029449E-3</v>
      </c>
      <c r="L108" s="55">
        <f t="shared" si="36"/>
        <v>1.777080076113809E-2</v>
      </c>
      <c r="M108" s="55">
        <f t="shared" si="42"/>
        <v>0.98222919923886187</v>
      </c>
      <c r="N108" s="55">
        <f t="shared" si="37"/>
        <v>6.7148547802069474E-4</v>
      </c>
      <c r="O108" s="56">
        <f t="shared" si="43"/>
        <v>4.8756144025702773E-9</v>
      </c>
      <c r="P108" s="56">
        <f t="shared" si="38"/>
        <v>1.7406029862540096E-5</v>
      </c>
      <c r="Q108" s="56">
        <f t="shared" si="39"/>
        <v>6.5770228588965941E-5</v>
      </c>
      <c r="R108" s="9">
        <f t="shared" si="44"/>
        <v>3.9999999999999996E-5</v>
      </c>
      <c r="S108" s="9">
        <f t="shared" si="45"/>
        <v>7.1083203044552353E-7</v>
      </c>
      <c r="T108" s="9">
        <f t="shared" si="40"/>
        <v>1.9381626857211778E-7</v>
      </c>
      <c r="U108" s="9">
        <f t="shared" si="41"/>
        <v>3.9289167969554474E-5</v>
      </c>
      <c r="V108" s="100">
        <f t="shared" si="46"/>
        <v>4.9330713422668492E-3</v>
      </c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46" t="s">
        <v>314</v>
      </c>
      <c r="C109" s="46" t="s">
        <v>225</v>
      </c>
      <c r="D109" s="47">
        <v>4.8099999999999996</v>
      </c>
      <c r="E109" s="47">
        <v>4.82</v>
      </c>
      <c r="F109" s="96">
        <v>9.9999999999999995E-7</v>
      </c>
      <c r="G109" s="7"/>
      <c r="H109" s="7"/>
      <c r="I109" s="54">
        <f t="shared" si="33"/>
        <v>2.5263589248425813</v>
      </c>
      <c r="J109" s="54">
        <f t="shared" si="34"/>
        <v>3.7856475581586708</v>
      </c>
      <c r="K109" s="55">
        <f t="shared" si="35"/>
        <v>2.9066719634199354E-3</v>
      </c>
      <c r="L109" s="55">
        <f t="shared" si="36"/>
        <v>1.8228459504200219E-2</v>
      </c>
      <c r="M109" s="55">
        <f t="shared" si="42"/>
        <v>0.98177154049579973</v>
      </c>
      <c r="N109" s="55">
        <f t="shared" si="37"/>
        <v>1.9728879017482425E-3</v>
      </c>
      <c r="O109" s="56">
        <f t="shared" si="43"/>
        <v>2.9247930099581332E-9</v>
      </c>
      <c r="P109" s="56">
        <f t="shared" si="38"/>
        <v>1.7854294510580737E-5</v>
      </c>
      <c r="Q109" s="56">
        <f t="shared" si="39"/>
        <v>1.9323915784577586E-4</v>
      </c>
      <c r="R109" s="9">
        <f t="shared" si="44"/>
        <v>3.9999999999999996E-5</v>
      </c>
      <c r="S109" s="9">
        <f t="shared" si="45"/>
        <v>7.291383801680087E-7</v>
      </c>
      <c r="T109" s="9">
        <f t="shared" si="40"/>
        <v>1.162668785367974E-7</v>
      </c>
      <c r="U109" s="9">
        <f t="shared" si="41"/>
        <v>3.9270861619831989E-5</v>
      </c>
      <c r="V109" s="100">
        <f t="shared" si="46"/>
        <v>2.9606398673484168E-3</v>
      </c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46" t="s">
        <v>204</v>
      </c>
      <c r="C110" s="46" t="s">
        <v>205</v>
      </c>
      <c r="D110" s="47">
        <v>3.19</v>
      </c>
      <c r="E110" s="47">
        <v>1.4</v>
      </c>
      <c r="F110" s="96">
        <v>9.9999999999999995E-7</v>
      </c>
      <c r="G110" s="7"/>
      <c r="H110" s="7"/>
      <c r="I110" s="54">
        <f t="shared" si="33"/>
        <v>0.92627477267552383</v>
      </c>
      <c r="J110" s="54">
        <f t="shared" si="34"/>
        <v>2.1196587435524776</v>
      </c>
      <c r="K110" s="55">
        <f t="shared" si="35"/>
        <v>0.11603693151494622</v>
      </c>
      <c r="L110" s="55">
        <f t="shared" si="36"/>
        <v>1.5702231189120622E-2</v>
      </c>
      <c r="M110" s="55">
        <f t="shared" si="42"/>
        <v>0.98429776881087938</v>
      </c>
      <c r="N110" s="55">
        <f t="shared" si="37"/>
        <v>2.9943504241026583E-5</v>
      </c>
      <c r="O110" s="56">
        <f t="shared" si="43"/>
        <v>1.1676033981921803E-7</v>
      </c>
      <c r="P110" s="56">
        <f t="shared" si="38"/>
        <v>1.5379920615847261E-5</v>
      </c>
      <c r="Q110" s="56">
        <f t="shared" si="39"/>
        <v>2.9328871333034162E-6</v>
      </c>
      <c r="R110" s="9">
        <f t="shared" si="44"/>
        <v>3.9999999999999996E-5</v>
      </c>
      <c r="S110" s="9">
        <f t="shared" si="45"/>
        <v>6.2808924756482489E-7</v>
      </c>
      <c r="T110" s="9">
        <f t="shared" si="40"/>
        <v>4.6414772605978482E-6</v>
      </c>
      <c r="U110" s="9">
        <f t="shared" si="41"/>
        <v>3.9371910752435172E-5</v>
      </c>
      <c r="V110" s="100">
        <f t="shared" si="46"/>
        <v>0.11788803672198639</v>
      </c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46" t="s">
        <v>206</v>
      </c>
      <c r="C111" s="46" t="s">
        <v>207</v>
      </c>
      <c r="D111" s="47">
        <v>2.8380318246143235</v>
      </c>
      <c r="E111" s="47">
        <v>3.5597354124795313</v>
      </c>
      <c r="F111" s="96">
        <v>9.9999999999999995E-7</v>
      </c>
      <c r="G111" s="7"/>
      <c r="H111" s="7"/>
      <c r="I111" s="54">
        <f t="shared" si="33"/>
        <v>0.75430624695958448</v>
      </c>
      <c r="J111" s="54">
        <f t="shared" si="34"/>
        <v>1.9788605845819818</v>
      </c>
      <c r="K111" s="55">
        <f t="shared" si="35"/>
        <v>0.17220970439282882</v>
      </c>
      <c r="L111" s="55">
        <f t="shared" si="36"/>
        <v>1.6850957910114431E-2</v>
      </c>
      <c r="M111" s="55">
        <f t="shared" si="42"/>
        <v>0.98314904208988552</v>
      </c>
      <c r="N111" s="55">
        <f t="shared" si="37"/>
        <v>6.4194736673728369E-3</v>
      </c>
      <c r="O111" s="56">
        <f t="shared" si="43"/>
        <v>1.7328331025785397E-7</v>
      </c>
      <c r="P111" s="56">
        <f t="shared" si="38"/>
        <v>1.6505068091094492E-5</v>
      </c>
      <c r="Q111" s="56">
        <f t="shared" si="39"/>
        <v>6.2877048624861956E-4</v>
      </c>
      <c r="R111" s="9">
        <f t="shared" si="44"/>
        <v>3.9999999999999996E-5</v>
      </c>
      <c r="S111" s="9">
        <f t="shared" si="45"/>
        <v>6.7403831640457724E-7</v>
      </c>
      <c r="T111" s="9">
        <f t="shared" si="40"/>
        <v>6.8883881757131517E-6</v>
      </c>
      <c r="U111" s="9">
        <f t="shared" si="41"/>
        <v>3.9325961683595415E-5</v>
      </c>
      <c r="V111" s="100">
        <f t="shared" si="46"/>
        <v>0.17516134077368542</v>
      </c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46" t="s">
        <v>208</v>
      </c>
      <c r="C112" s="46" t="s">
        <v>209</v>
      </c>
      <c r="D112" s="47">
        <v>5.4191360000000008</v>
      </c>
      <c r="E112" s="47">
        <v>6.7333169999999996</v>
      </c>
      <c r="F112" s="96">
        <v>9.9999999999999995E-7</v>
      </c>
      <c r="G112" s="7"/>
      <c r="H112" s="7"/>
      <c r="I112" s="54">
        <f t="shared" si="33"/>
        <v>3.5207953657582807</v>
      </c>
      <c r="J112" s="54">
        <f t="shared" si="34"/>
        <v>4.8822108795245622</v>
      </c>
      <c r="K112" s="55">
        <f t="shared" si="35"/>
        <v>2.9299885246684753E-4</v>
      </c>
      <c r="L112" s="55">
        <f t="shared" si="36"/>
        <v>2.2950026268186648E-2</v>
      </c>
      <c r="M112" s="55">
        <f t="shared" si="42"/>
        <v>0.97704997373181335</v>
      </c>
      <c r="N112" s="55">
        <f t="shared" si="37"/>
        <v>1.6288808121310477E-2</v>
      </c>
      <c r="O112" s="56">
        <f t="shared" si="43"/>
        <v>2.9482549334961968E-10</v>
      </c>
      <c r="P112" s="56">
        <f t="shared" si="38"/>
        <v>2.2478944417840261E-5</v>
      </c>
      <c r="Q112" s="56">
        <f t="shared" si="39"/>
        <v>1.5954457224276375E-3</v>
      </c>
      <c r="R112" s="9">
        <f t="shared" si="44"/>
        <v>3.9999999999999996E-5</v>
      </c>
      <c r="S112" s="9">
        <f t="shared" si="45"/>
        <v>9.1800105072746581E-7</v>
      </c>
      <c r="T112" s="9">
        <f t="shared" si="40"/>
        <v>1.1719954098673901E-8</v>
      </c>
      <c r="U112" s="9">
        <f t="shared" si="41"/>
        <v>3.9081998949272532E-5</v>
      </c>
      <c r="V112" s="100">
        <f t="shared" si="46"/>
        <v>2.9988113233118171E-4</v>
      </c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46" t="s">
        <v>210</v>
      </c>
      <c r="C113" s="46" t="s">
        <v>211</v>
      </c>
      <c r="D113" s="47">
        <v>5.6895360000000004</v>
      </c>
      <c r="E113" s="47">
        <v>7.1197670000000004</v>
      </c>
      <c r="F113" s="96">
        <v>9.9999999999999995E-7</v>
      </c>
      <c r="G113" s="7"/>
      <c r="H113" s="7"/>
      <c r="I113" s="54">
        <f t="shared" si="33"/>
        <v>3.8666483056990257</v>
      </c>
      <c r="J113" s="54">
        <f t="shared" si="34"/>
        <v>5.2380464528641673</v>
      </c>
      <c r="K113" s="55">
        <f t="shared" si="35"/>
        <v>1.3206303880229083E-4</v>
      </c>
      <c r="L113" s="55">
        <f t="shared" si="36"/>
        <v>2.3471136931064826E-2</v>
      </c>
      <c r="M113" s="55">
        <f t="shared" si="42"/>
        <v>0.97652886306893516</v>
      </c>
      <c r="N113" s="55">
        <f t="shared" si="37"/>
        <v>1.787535494781177E-2</v>
      </c>
      <c r="O113" s="56">
        <f t="shared" si="43"/>
        <v>1.3288635856531508E-10</v>
      </c>
      <c r="P113" s="56">
        <f t="shared" si="38"/>
        <v>2.2989358545017992E-5</v>
      </c>
      <c r="Q113" s="56">
        <f t="shared" si="39"/>
        <v>1.7508437926192204E-3</v>
      </c>
      <c r="R113" s="9">
        <f t="shared" si="44"/>
        <v>3.9999999999999996E-5</v>
      </c>
      <c r="S113" s="9">
        <f t="shared" si="45"/>
        <v>9.3884547724259291E-7</v>
      </c>
      <c r="T113" s="9">
        <f t="shared" si="40"/>
        <v>5.2825215520916326E-9</v>
      </c>
      <c r="U113" s="9">
        <f t="shared" si="41"/>
        <v>3.90611545227574E-5</v>
      </c>
      <c r="V113" s="100">
        <f t="shared" si="46"/>
        <v>1.3523720987340467E-4</v>
      </c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46" t="s">
        <v>107</v>
      </c>
      <c r="C114" s="46" t="s">
        <v>108</v>
      </c>
      <c r="D114" s="47">
        <v>6.0065360000000005</v>
      </c>
      <c r="E114" s="47">
        <v>7.5552170000000007</v>
      </c>
      <c r="F114" s="96">
        <v>9.9999999999999995E-7</v>
      </c>
      <c r="G114" s="7"/>
      <c r="H114" s="7"/>
      <c r="I114" s="54">
        <f t="shared" si="33"/>
        <v>4.2676323009395754</v>
      </c>
      <c r="J114" s="54">
        <f t="shared" si="34"/>
        <v>5.6480480937018527</v>
      </c>
      <c r="K114" s="55">
        <f t="shared" si="35"/>
        <v>5.2430436890930969E-5</v>
      </c>
      <c r="L114" s="55">
        <f t="shared" si="36"/>
        <v>2.3951789063205928E-2</v>
      </c>
      <c r="M114" s="55">
        <f t="shared" si="42"/>
        <v>0.97604821093679406</v>
      </c>
      <c r="N114" s="55">
        <f t="shared" si="37"/>
        <v>1.9342244313693562E-2</v>
      </c>
      <c r="O114" s="56">
        <f t="shared" si="43"/>
        <v>5.2757303630238132E-11</v>
      </c>
      <c r="P114" s="56">
        <f t="shared" si="38"/>
        <v>2.3460144610204046E-5</v>
      </c>
      <c r="Q114" s="56">
        <f t="shared" si="39"/>
        <v>1.8945217306636159E-3</v>
      </c>
      <c r="R114" s="9">
        <f t="shared" si="44"/>
        <v>3.9999999999999996E-5</v>
      </c>
      <c r="S114" s="9">
        <f t="shared" si="45"/>
        <v>9.5807156252823701E-7</v>
      </c>
      <c r="T114" s="9">
        <f t="shared" si="40"/>
        <v>2.0972174756372384E-9</v>
      </c>
      <c r="U114" s="9">
        <f t="shared" si="41"/>
        <v>3.9041928437471761E-5</v>
      </c>
      <c r="V114" s="100">
        <f t="shared" si="46"/>
        <v>5.3717056497249405E-5</v>
      </c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46" t="s">
        <v>109</v>
      </c>
      <c r="C115" s="46" t="s">
        <v>110</v>
      </c>
      <c r="D115" s="47">
        <v>4.6510502998865109</v>
      </c>
      <c r="E115" s="47">
        <v>6.1388180322329244</v>
      </c>
      <c r="F115" s="96">
        <v>9.9999999999999995E-7</v>
      </c>
      <c r="G115" s="7"/>
      <c r="H115" s="7"/>
      <c r="I115" s="54">
        <f t="shared" si="33"/>
        <v>2.8686693929579801</v>
      </c>
      <c r="J115" s="54">
        <f t="shared" si="34"/>
        <v>4.2440764192613614</v>
      </c>
      <c r="K115" s="55">
        <f t="shared" si="35"/>
        <v>1.3142127636045309E-3</v>
      </c>
      <c r="L115" s="55">
        <f t="shared" si="36"/>
        <v>2.3683642015873113E-2</v>
      </c>
      <c r="M115" s="55">
        <f t="shared" si="42"/>
        <v>0.97631635798412686</v>
      </c>
      <c r="N115" s="55">
        <f t="shared" si="37"/>
        <v>1.8586178380291349E-2</v>
      </c>
      <c r="O115" s="56">
        <f t="shared" si="43"/>
        <v>1.3224059518796713E-9</v>
      </c>
      <c r="P115" s="56">
        <f t="shared" si="38"/>
        <v>2.319750166146119E-5</v>
      </c>
      <c r="Q115" s="56">
        <f t="shared" si="39"/>
        <v>1.8204670699213314E-3</v>
      </c>
      <c r="R115" s="9">
        <f t="shared" si="44"/>
        <v>3.9999999999999996E-5</v>
      </c>
      <c r="S115" s="9">
        <f t="shared" si="45"/>
        <v>9.4734568063492448E-7</v>
      </c>
      <c r="T115" s="9">
        <f t="shared" si="40"/>
        <v>5.2568510544181229E-8</v>
      </c>
      <c r="U115" s="9">
        <f t="shared" si="41"/>
        <v>3.9052654319365073E-5</v>
      </c>
      <c r="V115" s="100">
        <f t="shared" si="46"/>
        <v>1.3460931519349772E-3</v>
      </c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46" t="s">
        <v>226</v>
      </c>
      <c r="C116" s="46" t="s">
        <v>227</v>
      </c>
      <c r="D116" s="47">
        <v>-0.1223633442417989</v>
      </c>
      <c r="E116" s="47">
        <v>-0.65153095448481257</v>
      </c>
      <c r="F116" s="96">
        <v>9.9999999999999995E-7</v>
      </c>
      <c r="G116" s="7"/>
      <c r="H116" s="7"/>
      <c r="I116" s="54">
        <f t="shared" si="33"/>
        <v>-6.405424315775722E-4</v>
      </c>
      <c r="J116" s="54">
        <f t="shared" si="34"/>
        <v>-1.2542941534441151E-2</v>
      </c>
      <c r="K116" s="55">
        <f t="shared" si="35"/>
        <v>0.99529864980246197</v>
      </c>
      <c r="L116" s="55">
        <f t="shared" si="36"/>
        <v>9.9338331528953171E-4</v>
      </c>
      <c r="M116" s="55">
        <f t="shared" si="42"/>
        <v>0.99900661668471047</v>
      </c>
      <c r="N116" s="55">
        <f t="shared" si="37"/>
        <v>2.2810187144483826E-6</v>
      </c>
      <c r="O116" s="56">
        <f t="shared" si="43"/>
        <v>1.0015036338458818E-6</v>
      </c>
      <c r="P116" s="56">
        <f t="shared" si="38"/>
        <v>9.7299271334418588E-7</v>
      </c>
      <c r="Q116" s="56">
        <f t="shared" si="39"/>
        <v>2.2341975690553313E-7</v>
      </c>
      <c r="R116" s="9">
        <f t="shared" si="44"/>
        <v>3.9999999999999996E-5</v>
      </c>
      <c r="S116" s="9">
        <f t="shared" si="45"/>
        <v>3.9735332611581265E-8</v>
      </c>
      <c r="T116" s="9">
        <f t="shared" si="40"/>
        <v>3.9811945992098473E-5</v>
      </c>
      <c r="U116" s="9">
        <f t="shared" si="41"/>
        <v>3.9960264667388412E-5</v>
      </c>
      <c r="V116" s="100">
        <f t="shared" si="46"/>
        <v>0.99628834602261829</v>
      </c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46" t="s">
        <v>228</v>
      </c>
      <c r="C117" s="46" t="s">
        <v>229</v>
      </c>
      <c r="D117" s="47">
        <v>1.8253520000000001</v>
      </c>
      <c r="E117" s="47">
        <v>2.0793489999999997</v>
      </c>
      <c r="F117" s="96">
        <v>9.9999999999999995E-7</v>
      </c>
      <c r="G117" s="7"/>
      <c r="H117" s="7"/>
      <c r="I117" s="54">
        <f t="shared" si="33"/>
        <v>0.13401854480859055</v>
      </c>
      <c r="J117" s="54">
        <f t="shared" si="34"/>
        <v>0.88901420040828383</v>
      </c>
      <c r="K117" s="55">
        <f t="shared" si="35"/>
        <v>0.72645455512066626</v>
      </c>
      <c r="L117" s="55">
        <f t="shared" si="36"/>
        <v>5.7800159876671663E-3</v>
      </c>
      <c r="M117" s="55">
        <f t="shared" si="42"/>
        <v>0.9942199840123328</v>
      </c>
      <c r="N117" s="55">
        <f t="shared" si="37"/>
        <v>8.959088760077421E-4</v>
      </c>
      <c r="O117" s="56">
        <f t="shared" si="43"/>
        <v>7.3098348613417456E-7</v>
      </c>
      <c r="P117" s="56">
        <f t="shared" si="38"/>
        <v>5.6613729589105334E-6</v>
      </c>
      <c r="Q117" s="56">
        <f t="shared" si="39"/>
        <v>8.7751907522409185E-5</v>
      </c>
      <c r="R117" s="9">
        <f t="shared" si="44"/>
        <v>3.9999999999999996E-5</v>
      </c>
      <c r="S117" s="9">
        <f t="shared" si="45"/>
        <v>2.3120063950668663E-7</v>
      </c>
      <c r="T117" s="9">
        <f t="shared" si="40"/>
        <v>2.9058182204826648E-5</v>
      </c>
      <c r="U117" s="9">
        <f t="shared" si="41"/>
        <v>3.9768799360493307E-5</v>
      </c>
      <c r="V117" s="100">
        <f t="shared" si="46"/>
        <v>0.73067788497767205</v>
      </c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46" t="s">
        <v>230</v>
      </c>
      <c r="C118" s="46" t="s">
        <v>231</v>
      </c>
      <c r="D118" s="47">
        <v>2.848199987724402</v>
      </c>
      <c r="E118" s="47">
        <v>3.5741999825375301</v>
      </c>
      <c r="F118" s="96">
        <v>9.9999999999999995E-7</v>
      </c>
      <c r="G118" s="7"/>
      <c r="H118" s="7"/>
      <c r="I118" s="54">
        <f t="shared" si="33"/>
        <v>0.76376170277705713</v>
      </c>
      <c r="J118" s="54">
        <f t="shared" si="34"/>
        <v>1.990575292064233</v>
      </c>
      <c r="K118" s="55">
        <f t="shared" si="35"/>
        <v>0.16848606884819847</v>
      </c>
      <c r="L118" s="55">
        <f t="shared" si="36"/>
        <v>1.6937358399295652E-2</v>
      </c>
      <c r="M118" s="55">
        <f t="shared" si="42"/>
        <v>0.98306264160070433</v>
      </c>
      <c r="N118" s="55">
        <f t="shared" si="37"/>
        <v>6.4933732548754768E-3</v>
      </c>
      <c r="O118" s="56">
        <f t="shared" si="43"/>
        <v>1.695364604758261E-7</v>
      </c>
      <c r="P118" s="56">
        <f t="shared" si="38"/>
        <v>1.6589695087651397E-5</v>
      </c>
      <c r="Q118" s="56">
        <f t="shared" si="39"/>
        <v>6.3600875561075926E-4</v>
      </c>
      <c r="R118" s="9">
        <f t="shared" si="44"/>
        <v>3.9999999999999996E-5</v>
      </c>
      <c r="S118" s="9">
        <f t="shared" si="45"/>
        <v>6.7749433597182596E-7</v>
      </c>
      <c r="T118" s="9">
        <f t="shared" si="40"/>
        <v>6.7394427539279379E-6</v>
      </c>
      <c r="U118" s="9">
        <f t="shared" si="41"/>
        <v>3.9322505664028167E-5</v>
      </c>
      <c r="V118" s="100">
        <f t="shared" si="46"/>
        <v>0.17138894483250369</v>
      </c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46" t="s">
        <v>232</v>
      </c>
      <c r="C119" s="46" t="s">
        <v>233</v>
      </c>
      <c r="D119" s="47">
        <v>-0.98996462433878363</v>
      </c>
      <c r="E119" s="47">
        <v>-1.885724324763622</v>
      </c>
      <c r="F119" s="96">
        <v>9.9999999999999995E-7</v>
      </c>
      <c r="G119" s="7"/>
      <c r="H119" s="7"/>
      <c r="I119" s="54">
        <f t="shared" si="33"/>
        <v>-2.0389427152517209E-3</v>
      </c>
      <c r="J119" s="54">
        <f t="shared" si="34"/>
        <v>-3.8836634294089491E-2</v>
      </c>
      <c r="K119" s="55">
        <f t="shared" si="35"/>
        <v>0.99856387594851737</v>
      </c>
      <c r="L119" s="55">
        <f t="shared" si="36"/>
        <v>9.380923722362149E-4</v>
      </c>
      <c r="M119" s="55">
        <f t="shared" si="42"/>
        <v>0.99906190762776381</v>
      </c>
      <c r="N119" s="55">
        <f t="shared" si="37"/>
        <v>1.3346208773519371E-7</v>
      </c>
      <c r="O119" s="56">
        <f t="shared" si="43"/>
        <v>1.004789216370536E-6</v>
      </c>
      <c r="P119" s="56">
        <f t="shared" si="38"/>
        <v>9.188366953430923E-7</v>
      </c>
      <c r="Q119" s="56">
        <f t="shared" si="39"/>
        <v>1.3072258903019478E-8</v>
      </c>
      <c r="R119" s="9">
        <f t="shared" si="44"/>
        <v>3.9999999999999996E-5</v>
      </c>
      <c r="S119" s="9">
        <f t="shared" si="45"/>
        <v>3.7523694889448593E-8</v>
      </c>
      <c r="T119" s="9">
        <f t="shared" si="40"/>
        <v>3.9942555037940689E-5</v>
      </c>
      <c r="U119" s="9">
        <f t="shared" si="41"/>
        <v>3.9962476305110548E-5</v>
      </c>
      <c r="V119" s="100">
        <f t="shared" si="46"/>
        <v>0.99950150068234611</v>
      </c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46" t="s">
        <v>234</v>
      </c>
      <c r="C120" s="46" t="s">
        <v>235</v>
      </c>
      <c r="D120" s="47">
        <v>-7.2373500000194575</v>
      </c>
      <c r="E120" s="47">
        <v>-10.772850000027681</v>
      </c>
      <c r="F120" s="96">
        <v>9.9999999999999995E-7</v>
      </c>
      <c r="G120" s="7"/>
      <c r="H120" s="7"/>
      <c r="I120" s="54">
        <f t="shared" si="33"/>
        <v>-2.255492076189E-3</v>
      </c>
      <c r="J120" s="54">
        <f t="shared" si="34"/>
        <v>-4.3015629916826628E-2</v>
      </c>
      <c r="K120" s="55">
        <f t="shared" si="35"/>
        <v>0.9990704195338429</v>
      </c>
      <c r="L120" s="55">
        <f t="shared" si="36"/>
        <v>9.2958018706171925E-4</v>
      </c>
      <c r="M120" s="55">
        <f t="shared" si="42"/>
        <v>0.99907041981293832</v>
      </c>
      <c r="N120" s="55">
        <f t="shared" si="37"/>
        <v>1.7316195826418194E-16</v>
      </c>
      <c r="O120" s="56">
        <f t="shared" si="43"/>
        <v>1.0052989178973144E-6</v>
      </c>
      <c r="P120" s="56">
        <f t="shared" si="38"/>
        <v>9.1049923484627843E-7</v>
      </c>
      <c r="Q120" s="56">
        <f t="shared" si="39"/>
        <v>1.696075633909275E-17</v>
      </c>
      <c r="R120" s="9">
        <f t="shared" si="44"/>
        <v>3.9999999999999996E-5</v>
      </c>
      <c r="S120" s="9">
        <f t="shared" si="45"/>
        <v>3.7183207482468768E-8</v>
      </c>
      <c r="T120" s="9">
        <f t="shared" si="40"/>
        <v>3.9962816781353714E-5</v>
      </c>
      <c r="U120" s="9">
        <f t="shared" si="41"/>
        <v>3.9962816792517527E-5</v>
      </c>
      <c r="V120" s="100">
        <f t="shared" si="46"/>
        <v>0.99999999972064491</v>
      </c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46" t="s">
        <v>236</v>
      </c>
      <c r="C121" s="46" t="s">
        <v>237</v>
      </c>
      <c r="D121" s="47">
        <v>0.89837073464087869</v>
      </c>
      <c r="E121" s="47">
        <v>0.80049921406660218</v>
      </c>
      <c r="F121" s="96">
        <v>9.9999999999999995E-7</v>
      </c>
      <c r="G121" s="7"/>
      <c r="H121" s="7"/>
      <c r="I121" s="54">
        <f t="shared" si="33"/>
        <v>1.502652106892244E-2</v>
      </c>
      <c r="J121" s="54">
        <f t="shared" si="34"/>
        <v>0.21377788981387841</v>
      </c>
      <c r="K121" s="55">
        <f t="shared" si="35"/>
        <v>0.9594384497703351</v>
      </c>
      <c r="L121" s="55">
        <f t="shared" si="36"/>
        <v>1.6125062134213955E-3</v>
      </c>
      <c r="M121" s="55">
        <f t="shared" si="42"/>
        <v>0.99838749378657865</v>
      </c>
      <c r="N121" s="55">
        <f t="shared" si="37"/>
        <v>6.2261950381803819E-5</v>
      </c>
      <c r="O121" s="56">
        <f t="shared" si="43"/>
        <v>9.6541987079672743E-7</v>
      </c>
      <c r="P121" s="56">
        <f t="shared" si="38"/>
        <v>1.5794072355885638E-6</v>
      </c>
      <c r="Q121" s="56">
        <f t="shared" si="39"/>
        <v>6.0983935513790616E-6</v>
      </c>
      <c r="R121" s="9">
        <f t="shared" si="44"/>
        <v>3.9999999999999996E-5</v>
      </c>
      <c r="S121" s="9">
        <f t="shared" si="45"/>
        <v>6.450024853685581E-8</v>
      </c>
      <c r="T121" s="9">
        <f t="shared" si="40"/>
        <v>3.83775379908134E-5</v>
      </c>
      <c r="U121" s="9">
        <f t="shared" si="41"/>
        <v>3.9935499751463143E-5</v>
      </c>
      <c r="V121" s="100">
        <f t="shared" si="46"/>
        <v>0.96098804897032342</v>
      </c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46" t="s">
        <v>238</v>
      </c>
      <c r="C122" s="46" t="s">
        <v>239</v>
      </c>
      <c r="D122" s="47">
        <v>5.1201999877244022</v>
      </c>
      <c r="E122" s="47">
        <v>6.8061999825375299</v>
      </c>
      <c r="F122" s="96">
        <v>9.9999999999999995E-7</v>
      </c>
      <c r="G122" s="7"/>
      <c r="H122" s="7"/>
      <c r="I122" s="54">
        <f t="shared" si="33"/>
        <v>3.4865950332654698</v>
      </c>
      <c r="J122" s="54">
        <f t="shared" si="34"/>
        <v>4.8757664317973175</v>
      </c>
      <c r="K122" s="55">
        <f t="shared" si="35"/>
        <v>3.1652568350246584E-4</v>
      </c>
      <c r="L122" s="55">
        <f t="shared" si="36"/>
        <v>2.4427654852969015E-2</v>
      </c>
      <c r="M122" s="55">
        <f t="shared" si="42"/>
        <v>0.97557234514703095</v>
      </c>
      <c r="N122" s="55">
        <f t="shared" si="37"/>
        <v>2.0812072293491388E-2</v>
      </c>
      <c r="O122" s="56">
        <f t="shared" si="43"/>
        <v>3.1849899755835761E-10</v>
      </c>
      <c r="P122" s="56">
        <f t="shared" si="38"/>
        <v>2.392624257948022E-5</v>
      </c>
      <c r="Q122" s="56">
        <f t="shared" si="39"/>
        <v>2.0384874981776257E-3</v>
      </c>
      <c r="R122" s="9">
        <f t="shared" si="44"/>
        <v>3.9999999999999996E-5</v>
      </c>
      <c r="S122" s="9">
        <f t="shared" si="45"/>
        <v>9.7710619411876053E-7</v>
      </c>
      <c r="T122" s="9">
        <f t="shared" si="40"/>
        <v>1.2661027340098633E-8</v>
      </c>
      <c r="U122" s="9">
        <f t="shared" si="41"/>
        <v>3.9022893805881237E-5</v>
      </c>
      <c r="V122" s="100">
        <f t="shared" si="46"/>
        <v>3.2445126707108683E-4</v>
      </c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46" t="s">
        <v>240</v>
      </c>
      <c r="C123" s="46" t="s">
        <v>241</v>
      </c>
      <c r="D123" s="47">
        <v>1.6430320000000003</v>
      </c>
      <c r="E123" s="47">
        <v>1.9699289999999996</v>
      </c>
      <c r="F123" s="96">
        <v>9.9999999999999995E-7</v>
      </c>
      <c r="G123" s="7"/>
      <c r="H123" s="7"/>
      <c r="I123" s="54">
        <f t="shared" ref="I123:I127" si="47">IF(D123=0,"",LOG($K$15*10^D123+$K$16*10^E123+$K$14))</f>
        <v>9.3867444440884892E-2</v>
      </c>
      <c r="J123" s="54">
        <f t="shared" ref="J123:J127" si="48">IF(D123=0,"",LOG($K$21*10^D123+$K$22*10^E123+$K$20))</f>
        <v>0.74385538428887032</v>
      </c>
      <c r="K123" s="55">
        <f t="shared" ref="K123:K127" si="49">IF(D123=0,"",1/(1+10^D123*$J$15/$J$14+10^E123*$J$16/$J$14+10^J123*$J$19/$J$14))</f>
        <v>0.79780918024734726</v>
      </c>
      <c r="L123" s="55">
        <f t="shared" ref="L123:L127" si="50">IF(D123=0,"",1/(1+10^I123/10^J123*$J$13/$J$19))</f>
        <v>4.5442352019692371E-3</v>
      </c>
      <c r="M123" s="55">
        <f t="shared" si="42"/>
        <v>0.99545576479803077</v>
      </c>
      <c r="N123" s="55">
        <f t="shared" ref="N123:N127" si="51">IF(D123=0,"",1/(1/10^E123*$J$20/$J$22+10^D123/10^E123*$J$21/$J$22+10^I123/10^E123*$J$13/$J$22+1))</f>
        <v>7.6477629369559378E-4</v>
      </c>
      <c r="O123" s="56">
        <f t="shared" si="43"/>
        <v>8.0278295694654319E-7</v>
      </c>
      <c r="P123" s="56">
        <f t="shared" ref="P123:P127" si="52">IF(D123=0,"",O123*10^J123)</f>
        <v>4.450958327148387E-6</v>
      </c>
      <c r="Q123" s="56">
        <f t="shared" ref="Q123:Q127" si="53">IF(D123=0,"",F123*N123*$J$7/$J$22)</f>
        <v>7.4907817521306327E-5</v>
      </c>
      <c r="R123" s="9">
        <f t="shared" si="44"/>
        <v>3.9999999999999996E-5</v>
      </c>
      <c r="S123" s="9">
        <f t="shared" si="45"/>
        <v>1.8176940807876947E-7</v>
      </c>
      <c r="T123" s="9">
        <f t="shared" si="40"/>
        <v>3.191236720989389E-5</v>
      </c>
      <c r="U123" s="9">
        <f t="shared" si="41"/>
        <v>3.9818230591921226E-5</v>
      </c>
      <c r="V123" s="100">
        <f t="shared" si="46"/>
        <v>0.8014511628341574</v>
      </c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46" t="s">
        <v>242</v>
      </c>
      <c r="C124" s="46" t="s">
        <v>243</v>
      </c>
      <c r="D124" s="47">
        <v>1.9888079999999992</v>
      </c>
      <c r="E124" s="47">
        <v>1.7269960000000002</v>
      </c>
      <c r="F124" s="96">
        <v>9.9999999999999995E-7</v>
      </c>
      <c r="G124" s="7"/>
      <c r="H124" s="7"/>
      <c r="I124" s="54">
        <f t="shared" si="47"/>
        <v>0.17110445915344102</v>
      </c>
      <c r="J124" s="54">
        <f t="shared" si="48"/>
        <v>0.98473247557463439</v>
      </c>
      <c r="K124" s="55">
        <f t="shared" si="49"/>
        <v>0.66643815095133396</v>
      </c>
      <c r="L124" s="55">
        <f t="shared" si="50"/>
        <v>6.6099582185408113E-3</v>
      </c>
      <c r="M124" s="55">
        <f t="shared" si="42"/>
        <v>0.99339004178145918</v>
      </c>
      <c r="N124" s="55">
        <f t="shared" si="51"/>
        <v>3.6514237729568677E-4</v>
      </c>
      <c r="O124" s="56">
        <f t="shared" si="43"/>
        <v>6.7059292207797016E-7</v>
      </c>
      <c r="P124" s="56">
        <f t="shared" si="52"/>
        <v>6.4742794479845035E-6</v>
      </c>
      <c r="Q124" s="56">
        <f t="shared" si="53"/>
        <v>3.5764731194254692E-5</v>
      </c>
      <c r="R124" s="9">
        <f t="shared" si="44"/>
        <v>3.9999999999999996E-5</v>
      </c>
      <c r="S124" s="9">
        <f t="shared" si="45"/>
        <v>2.6439832874163244E-7</v>
      </c>
      <c r="T124" s="9">
        <f t="shared" si="40"/>
        <v>2.6657526038053356E-5</v>
      </c>
      <c r="U124" s="9">
        <f t="shared" si="41"/>
        <v>3.9735601671258366E-5</v>
      </c>
      <c r="V124" s="100">
        <f t="shared" si="46"/>
        <v>0.67087259074613015</v>
      </c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46" t="s">
        <v>244</v>
      </c>
      <c r="C125" s="46" t="s">
        <v>245</v>
      </c>
      <c r="D125" s="47">
        <v>0.57692000000000121</v>
      </c>
      <c r="E125" s="47">
        <v>0.1355349999999973</v>
      </c>
      <c r="F125" s="96">
        <v>9.9999999999999995E-7</v>
      </c>
      <c r="G125" s="7"/>
      <c r="H125" s="7"/>
      <c r="I125" s="54">
        <f t="shared" si="47"/>
        <v>5.8063156695311677E-3</v>
      </c>
      <c r="J125" s="54">
        <f t="shared" si="48"/>
        <v>9.2579382109452407E-2</v>
      </c>
      <c r="K125" s="55">
        <f t="shared" si="49"/>
        <v>0.98038468617674068</v>
      </c>
      <c r="L125" s="55">
        <f t="shared" si="50"/>
        <v>1.2464713161840061E-3</v>
      </c>
      <c r="M125" s="55">
        <f t="shared" si="42"/>
        <v>0.99875352868381595</v>
      </c>
      <c r="N125" s="55">
        <f t="shared" si="51"/>
        <v>1.3760616986579661E-5</v>
      </c>
      <c r="O125" s="56">
        <f t="shared" si="43"/>
        <v>9.8649669219156568E-7</v>
      </c>
      <c r="P125" s="56">
        <f t="shared" si="52"/>
        <v>1.2208857239424133E-6</v>
      </c>
      <c r="Q125" s="56">
        <f t="shared" si="53"/>
        <v>1.3478160799549848E-6</v>
      </c>
      <c r="R125" s="9">
        <f t="shared" si="44"/>
        <v>3.9999999999999996E-5</v>
      </c>
      <c r="S125" s="9">
        <f t="shared" si="45"/>
        <v>4.9858852647360239E-8</v>
      </c>
      <c r="T125" s="9">
        <f t="shared" si="40"/>
        <v>3.9215387447069622E-5</v>
      </c>
      <c r="U125" s="9">
        <f t="shared" si="41"/>
        <v>3.9950141147352638E-5</v>
      </c>
      <c r="V125" s="100">
        <f t="shared" si="46"/>
        <v>0.98160823268250952</v>
      </c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46" t="s">
        <v>246</v>
      </c>
      <c r="C126" s="46" t="s">
        <v>247</v>
      </c>
      <c r="D126" s="47">
        <v>4.3320999877244022</v>
      </c>
      <c r="E126" s="47">
        <v>5.6850999825375297</v>
      </c>
      <c r="F126" s="96">
        <v>9.9999999999999995E-7</v>
      </c>
      <c r="G126" s="7"/>
      <c r="H126" s="7"/>
      <c r="I126" s="54">
        <f t="shared" si="47"/>
        <v>2.4596069923312118</v>
      </c>
      <c r="J126" s="54">
        <f t="shared" si="48"/>
        <v>3.8231338433655377</v>
      </c>
      <c r="K126" s="55">
        <f t="shared" si="49"/>
        <v>3.3729175286125535E-3</v>
      </c>
      <c r="L126" s="55">
        <f t="shared" si="50"/>
        <v>2.3059291198358339E-2</v>
      </c>
      <c r="M126" s="55">
        <f t="shared" si="42"/>
        <v>0.97694070880164163</v>
      </c>
      <c r="N126" s="55">
        <f t="shared" si="51"/>
        <v>1.6780778035825228E-2</v>
      </c>
      <c r="O126" s="56">
        <f t="shared" si="43"/>
        <v>3.3939452869130051E-9</v>
      </c>
      <c r="P126" s="56">
        <f t="shared" si="52"/>
        <v>2.2585966530296554E-5</v>
      </c>
      <c r="Q126" s="56">
        <f t="shared" si="53"/>
        <v>1.6436328758295342E-3</v>
      </c>
      <c r="R126" s="9">
        <f t="shared" si="44"/>
        <v>3.9999999999999996E-5</v>
      </c>
      <c r="S126" s="9">
        <f t="shared" si="45"/>
        <v>9.2237164793433347E-7</v>
      </c>
      <c r="T126" s="9">
        <f t="shared" si="40"/>
        <v>1.3491670114450212E-7</v>
      </c>
      <c r="U126" s="9">
        <f t="shared" si="41"/>
        <v>3.9077628352065663E-5</v>
      </c>
      <c r="V126" s="100">
        <f t="shared" si="46"/>
        <v>3.4525304332439196E-3</v>
      </c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46" t="s">
        <v>248</v>
      </c>
      <c r="C127" s="46" t="s">
        <v>249</v>
      </c>
      <c r="D127" s="47">
        <v>2.713299987724402</v>
      </c>
      <c r="E127" s="47">
        <v>3.3822999825375302</v>
      </c>
      <c r="F127" s="96">
        <v>9.9999999999999995E-7</v>
      </c>
      <c r="G127" s="7"/>
      <c r="H127" s="7"/>
      <c r="I127" s="54">
        <f t="shared" si="47"/>
        <v>0.64263545610035988</v>
      </c>
      <c r="J127" s="54">
        <f t="shared" si="48"/>
        <v>1.8362315957154518</v>
      </c>
      <c r="K127" s="55">
        <f t="shared" si="49"/>
        <v>0.22296270264051299</v>
      </c>
      <c r="L127" s="55">
        <f t="shared" si="50"/>
        <v>1.5709783636472664E-2</v>
      </c>
      <c r="M127" s="55">
        <f t="shared" si="42"/>
        <v>0.98429021636352731</v>
      </c>
      <c r="N127" s="55">
        <f t="shared" si="51"/>
        <v>5.5238082019804626E-3</v>
      </c>
      <c r="O127" s="56">
        <f t="shared" si="43"/>
        <v>2.2435271759977845E-7</v>
      </c>
      <c r="P127" s="56">
        <f t="shared" si="52"/>
        <v>1.5387318038502103E-5</v>
      </c>
      <c r="Q127" s="56">
        <f t="shared" si="53"/>
        <v>5.4104242015292432E-4</v>
      </c>
      <c r="R127" s="9">
        <f t="shared" si="44"/>
        <v>3.9999999999999996E-5</v>
      </c>
      <c r="S127" s="9">
        <f t="shared" si="45"/>
        <v>6.283913454589065E-7</v>
      </c>
      <c r="T127" s="9">
        <f t="shared" si="40"/>
        <v>8.9185081056205189E-6</v>
      </c>
      <c r="U127" s="9">
        <f t="shared" si="41"/>
        <v>3.9371608654541088E-5</v>
      </c>
      <c r="V127" s="100">
        <f t="shared" si="46"/>
        <v>0.22652130330447814</v>
      </c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46" t="s">
        <v>250</v>
      </c>
      <c r="C128" s="46" t="s">
        <v>251</v>
      </c>
      <c r="D128" s="47">
        <v>3.598704000000001</v>
      </c>
      <c r="E128" s="47">
        <v>4.3131730000000008</v>
      </c>
      <c r="F128" s="96">
        <v>9.9999999999999995E-7</v>
      </c>
      <c r="G128" s="7"/>
      <c r="H128" s="7"/>
      <c r="I128" s="54">
        <f t="shared" ref="I128:I134" si="54">IF(D128=0,"",LOG($K$15*10^D128+$K$16*10^E128+$K$14))</f>
        <v>1.4450204174697026</v>
      </c>
      <c r="J128" s="54">
        <f t="shared" ref="J128:J134" si="55">IF(D128=0,"",LOG($K$21*10^D128+$K$22*10^E128+$K$20))</f>
        <v>2.733342553277482</v>
      </c>
      <c r="K128" s="55">
        <f t="shared" ref="K128:K134" si="56">IF(D128=0,"",1/(1+10^D128*$J$15/$J$14+10^E128*$J$16/$J$14+10^J128*$J$19/$J$14))</f>
        <v>3.500963205286272E-2</v>
      </c>
      <c r="L128" s="55">
        <f t="shared" ref="L128:L134" si="57">IF(D128=0,"",1/(1+10^I128/10^J128*$J$13/$J$19))</f>
        <v>1.9464196828579635E-2</v>
      </c>
      <c r="M128" s="55">
        <f t="shared" ref="M128:M134" si="58">IF(D128=0,"",1-L128)</f>
        <v>0.98053580317142042</v>
      </c>
      <c r="N128" s="55">
        <f t="shared" ref="N128:N134" si="59">IF(D128=0,"",1/(1/10^E128*$J$20/$J$22+10^D128/10^E128*$J$21/$J$22+10^I128/10^E128*$J$13/$J$22+1))</f>
        <v>7.397192734009567E-3</v>
      </c>
      <c r="O128" s="56">
        <f t="shared" ref="O128:O134" si="60">IF(D128=0,"",F128*K128*$J$7/$J$14)</f>
        <v>3.5227892379345758E-8</v>
      </c>
      <c r="P128" s="56">
        <f t="shared" ref="P128:P134" si="61">IF(D128=0,"",O128*10^J128)</f>
        <v>1.9064666573129608E-5</v>
      </c>
      <c r="Q128" s="56">
        <f t="shared" ref="Q128:Q134" si="62">IF(D128=0,"",F128*N128*$J$7/$J$22)</f>
        <v>7.2453548581054056E-4</v>
      </c>
      <c r="R128" s="9">
        <f t="shared" si="44"/>
        <v>3.9999999999999996E-5</v>
      </c>
      <c r="S128" s="9">
        <f t="shared" si="45"/>
        <v>7.7856787314318528E-7</v>
      </c>
      <c r="T128" s="9">
        <f t="shared" si="40"/>
        <v>1.4003852821145086E-6</v>
      </c>
      <c r="U128" s="9">
        <f t="shared" si="41"/>
        <v>3.9221432126856815E-5</v>
      </c>
      <c r="V128" s="100">
        <f t="shared" si="46"/>
        <v>3.5704593284231381E-2</v>
      </c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46" t="s">
        <v>252</v>
      </c>
      <c r="C129" s="46" t="s">
        <v>253</v>
      </c>
      <c r="D129" s="47">
        <v>-1.2627122753537208</v>
      </c>
      <c r="E129" s="47">
        <v>-2.2737174621228986</v>
      </c>
      <c r="F129" s="96">
        <v>9.9999999999999995E-7</v>
      </c>
      <c r="G129" s="7"/>
      <c r="H129" s="7"/>
      <c r="I129" s="54">
        <f t="shared" si="54"/>
        <v>-2.1401866039787642E-3</v>
      </c>
      <c r="J129" s="54">
        <f t="shared" si="55"/>
        <v>-4.0788248152069252E-2</v>
      </c>
      <c r="K129" s="55">
        <f t="shared" si="56"/>
        <v>0.9988006745432374</v>
      </c>
      <c r="L129" s="55">
        <f t="shared" si="57"/>
        <v>9.3410773177275664E-4</v>
      </c>
      <c r="M129" s="55">
        <f t="shared" si="58"/>
        <v>0.99906589226822728</v>
      </c>
      <c r="N129" s="55">
        <f t="shared" si="59"/>
        <v>5.4634598120558441E-8</v>
      </c>
      <c r="O129" s="56">
        <f t="shared" si="60"/>
        <v>1.0050274912372294E-6</v>
      </c>
      <c r="P129" s="56">
        <f t="shared" si="61"/>
        <v>9.1493384527850123E-7</v>
      </c>
      <c r="Q129" s="56">
        <f t="shared" si="62"/>
        <v>5.35131454792932E-9</v>
      </c>
      <c r="R129" s="9">
        <f t="shared" si="44"/>
        <v>3.9999999999999996E-5</v>
      </c>
      <c r="S129" s="9">
        <f t="shared" si="45"/>
        <v>3.7364309270910265E-8</v>
      </c>
      <c r="T129" s="9">
        <f t="shared" si="40"/>
        <v>3.9952026981729493E-5</v>
      </c>
      <c r="U129" s="9">
        <f t="shared" si="41"/>
        <v>3.9962635690729088E-5</v>
      </c>
      <c r="V129" s="100">
        <f t="shared" si="46"/>
        <v>0.99973453430144854</v>
      </c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46" t="s">
        <v>254</v>
      </c>
      <c r="C130" s="46" t="s">
        <v>255</v>
      </c>
      <c r="D130" s="47">
        <v>2.1582748772295566</v>
      </c>
      <c r="E130" s="47">
        <v>2.5927572197209185</v>
      </c>
      <c r="F130" s="96">
        <v>9.9999999999999995E-7</v>
      </c>
      <c r="G130" s="7"/>
      <c r="H130" s="7"/>
      <c r="I130" s="54">
        <f t="shared" si="54"/>
        <v>0.26355542441139918</v>
      </c>
      <c r="J130" s="54">
        <f t="shared" si="55"/>
        <v>1.22936645448138</v>
      </c>
      <c r="K130" s="55">
        <f t="shared" si="56"/>
        <v>0.53716271604402721</v>
      </c>
      <c r="L130" s="55">
        <f t="shared" si="57"/>
        <v>9.3579065419919002E-3</v>
      </c>
      <c r="M130" s="55">
        <f t="shared" si="58"/>
        <v>0.99064209345800813</v>
      </c>
      <c r="N130" s="55">
        <f t="shared" si="59"/>
        <v>2.1605756080606883E-3</v>
      </c>
      <c r="O130" s="56">
        <f t="shared" si="60"/>
        <v>5.4051154614887537E-7</v>
      </c>
      <c r="P130" s="56">
        <f t="shared" si="61"/>
        <v>9.1658222333442461E-6</v>
      </c>
      <c r="Q130" s="56">
        <f t="shared" si="62"/>
        <v>2.116226728309321E-4</v>
      </c>
      <c r="R130" s="9">
        <f t="shared" si="44"/>
        <v>3.9999999999999996E-5</v>
      </c>
      <c r="S130" s="9">
        <f t="shared" si="45"/>
        <v>3.7431626167967599E-7</v>
      </c>
      <c r="T130" s="9">
        <f t="shared" si="40"/>
        <v>2.1486508641761086E-5</v>
      </c>
      <c r="U130" s="9">
        <f t="shared" si="41"/>
        <v>3.9625683738320323E-5</v>
      </c>
      <c r="V130" s="100">
        <f t="shared" si="46"/>
        <v>0.5422369184505047</v>
      </c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46" t="s">
        <v>256</v>
      </c>
      <c r="C131" s="46" t="s">
        <v>257</v>
      </c>
      <c r="D131" s="47">
        <v>0.51229998772440222</v>
      </c>
      <c r="E131" s="47">
        <v>0.25129998253752994</v>
      </c>
      <c r="F131" s="96">
        <v>9.9999999999999995E-7</v>
      </c>
      <c r="G131" s="7"/>
      <c r="H131" s="7"/>
      <c r="I131" s="54">
        <f t="shared" si="54"/>
        <v>4.79958444939446E-3</v>
      </c>
      <c r="J131" s="54">
        <f t="shared" si="55"/>
        <v>7.8374902987815104E-2</v>
      </c>
      <c r="K131" s="55">
        <f t="shared" si="56"/>
        <v>0.98269660021738081</v>
      </c>
      <c r="L131" s="55">
        <f t="shared" si="57"/>
        <v>1.2092072559476111E-3</v>
      </c>
      <c r="M131" s="55">
        <f t="shared" si="58"/>
        <v>0.99879079274405236</v>
      </c>
      <c r="N131" s="55">
        <f t="shared" si="59"/>
        <v>1.8006355661754937E-5</v>
      </c>
      <c r="O131" s="56">
        <f t="shared" si="60"/>
        <v>9.88823019383208E-7</v>
      </c>
      <c r="P131" s="56">
        <f t="shared" si="61"/>
        <v>1.1843865614121229E-6</v>
      </c>
      <c r="Q131" s="56">
        <f t="shared" si="62"/>
        <v>1.763674966461962E-6</v>
      </c>
      <c r="R131" s="9">
        <f t="shared" si="44"/>
        <v>3.9999999999999996E-5</v>
      </c>
      <c r="S131" s="9">
        <f t="shared" si="45"/>
        <v>4.8368290237904436E-8</v>
      </c>
      <c r="T131" s="9">
        <f t="shared" si="40"/>
        <v>3.9307864008695232E-5</v>
      </c>
      <c r="U131" s="9">
        <f t="shared" si="41"/>
        <v>3.9951631709762094E-5</v>
      </c>
      <c r="V131" s="100">
        <f t="shared" si="46"/>
        <v>0.98388632269781462</v>
      </c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46" t="s">
        <v>258</v>
      </c>
      <c r="C132" s="46" t="s">
        <v>259</v>
      </c>
      <c r="D132" s="47">
        <v>0.92271245461153151</v>
      </c>
      <c r="E132" s="47">
        <v>0.83512616782767168</v>
      </c>
      <c r="F132" s="96">
        <v>9.9999999999999995E-7</v>
      </c>
      <c r="G132" s="7"/>
      <c r="H132" s="7"/>
      <c r="I132" s="54">
        <f t="shared" si="54"/>
        <v>1.6027626042906213E-2</v>
      </c>
      <c r="J132" s="54">
        <f t="shared" si="55"/>
        <v>0.22522678638036814</v>
      </c>
      <c r="K132" s="55">
        <f t="shared" si="56"/>
        <v>0.95719178552126261</v>
      </c>
      <c r="L132" s="55">
        <f t="shared" si="57"/>
        <v>1.6517036833722971E-3</v>
      </c>
      <c r="M132" s="55">
        <f t="shared" si="58"/>
        <v>0.99834829631662769</v>
      </c>
      <c r="N132" s="55">
        <f t="shared" si="59"/>
        <v>6.7271563069909492E-5</v>
      </c>
      <c r="O132" s="56">
        <f t="shared" si="60"/>
        <v>9.6315920018301329E-7</v>
      </c>
      <c r="P132" s="56">
        <f t="shared" si="61"/>
        <v>1.6178001218558744E-6</v>
      </c>
      <c r="Q132" s="56">
        <f t="shared" si="62"/>
        <v>6.5890718793901115E-6</v>
      </c>
      <c r="R132" s="9">
        <f t="shared" si="44"/>
        <v>3.9999999999999996E-5</v>
      </c>
      <c r="S132" s="9">
        <f t="shared" si="45"/>
        <v>6.6068147334891877E-8</v>
      </c>
      <c r="T132" s="9">
        <f t="shared" si="40"/>
        <v>3.8287671420850498E-5</v>
      </c>
      <c r="U132" s="9">
        <f t="shared" si="41"/>
        <v>3.9933931852665105E-5</v>
      </c>
      <c r="V132" s="100">
        <f t="shared" si="46"/>
        <v>0.95877539837829073</v>
      </c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46" t="s">
        <v>260</v>
      </c>
      <c r="C133" s="46" t="s">
        <v>261</v>
      </c>
      <c r="D133" s="47">
        <v>2.8951366557581992</v>
      </c>
      <c r="E133" s="47">
        <v>3.6409690455151855</v>
      </c>
      <c r="F133" s="96">
        <v>9.9999999999999995E-7</v>
      </c>
      <c r="G133" s="7"/>
      <c r="H133" s="7"/>
      <c r="I133" s="54">
        <f t="shared" si="54"/>
        <v>0.80804902693102654</v>
      </c>
      <c r="J133" s="54">
        <f t="shared" si="55"/>
        <v>2.0448179199352046</v>
      </c>
      <c r="K133" s="55">
        <f t="shared" si="56"/>
        <v>0.15209192009089395</v>
      </c>
      <c r="L133" s="55">
        <f t="shared" si="57"/>
        <v>1.732329298724606E-2</v>
      </c>
      <c r="M133" s="55">
        <f t="shared" si="58"/>
        <v>0.98267670701275389</v>
      </c>
      <c r="N133" s="55">
        <f t="shared" si="59"/>
        <v>6.8356776767437644E-3</v>
      </c>
      <c r="O133" s="56">
        <f t="shared" si="60"/>
        <v>1.5304010578117334E-7</v>
      </c>
      <c r="P133" s="56">
        <f t="shared" si="61"/>
        <v>1.6967707820625275E-5</v>
      </c>
      <c r="Q133" s="56">
        <f t="shared" si="62"/>
        <v>6.6953656940600746E-4</v>
      </c>
      <c r="R133" s="9">
        <f t="shared" si="44"/>
        <v>3.9999999999999996E-5</v>
      </c>
      <c r="S133" s="9">
        <f t="shared" si="45"/>
        <v>6.9293171948984237E-7</v>
      </c>
      <c r="T133" s="9">
        <f t="shared" si="40"/>
        <v>6.0836768036357572E-6</v>
      </c>
      <c r="U133" s="9">
        <f t="shared" si="41"/>
        <v>3.9307068280510154E-5</v>
      </c>
      <c r="V133" s="100">
        <f t="shared" si="46"/>
        <v>0.15477309984607174</v>
      </c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46" t="s">
        <v>262</v>
      </c>
      <c r="C134" s="46" t="s">
        <v>263</v>
      </c>
      <c r="D134" s="47">
        <v>-1.7616394390778063</v>
      </c>
      <c r="E134" s="47">
        <v>-2.9834589203782875</v>
      </c>
      <c r="F134" s="96">
        <v>9.9999999999999995E-7</v>
      </c>
      <c r="G134" s="7"/>
      <c r="H134" s="7"/>
      <c r="I134" s="54">
        <f t="shared" si="54"/>
        <v>-2.2190435405287081E-3</v>
      </c>
      <c r="J134" s="54">
        <f t="shared" si="55"/>
        <v>-4.2311399475221889E-2</v>
      </c>
      <c r="K134" s="55">
        <f t="shared" si="56"/>
        <v>0.99898514622001722</v>
      </c>
      <c r="L134" s="55">
        <f t="shared" si="57"/>
        <v>9.3100930018699451E-4</v>
      </c>
      <c r="M134" s="55">
        <f t="shared" si="58"/>
        <v>0.99906899069981303</v>
      </c>
      <c r="N134" s="55">
        <f t="shared" si="59"/>
        <v>1.0661210010813252E-8</v>
      </c>
      <c r="O134" s="56">
        <f t="shared" si="60"/>
        <v>1.0052131129646107E-6</v>
      </c>
      <c r="P134" s="56">
        <f t="shared" si="61"/>
        <v>9.1189901339705053E-7</v>
      </c>
      <c r="Q134" s="56">
        <f t="shared" si="62"/>
        <v>1.0442373549358416E-9</v>
      </c>
      <c r="R134" s="9">
        <f t="shared" si="44"/>
        <v>3.9999999999999996E-5</v>
      </c>
      <c r="S134" s="9">
        <f t="shared" si="45"/>
        <v>3.7240372007479778E-8</v>
      </c>
      <c r="T134" s="9">
        <f t="shared" si="40"/>
        <v>3.9959405848800687E-5</v>
      </c>
      <c r="U134" s="9">
        <f t="shared" si="41"/>
        <v>3.9962759627992515E-5</v>
      </c>
      <c r="V134" s="100">
        <f t="shared" si="46"/>
        <v>0.99991607738747146</v>
      </c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46" t="s">
        <v>264</v>
      </c>
      <c r="C135" s="46" t="s">
        <v>265</v>
      </c>
      <c r="D135" s="47">
        <v>1.1365502998865107</v>
      </c>
      <c r="E135" s="47">
        <v>1.1393180322329237</v>
      </c>
      <c r="F135" s="96">
        <v>9.9999999999999995E-7</v>
      </c>
      <c r="G135" s="7"/>
      <c r="H135" s="7"/>
      <c r="I135" s="54">
        <f t="shared" ref="I135:I143" si="63">IF(D135=0,"",LOG($K$15*10^D135+$K$16*10^E135+$K$14))</f>
        <v>2.7672233265732864E-2</v>
      </c>
      <c r="J135" s="54">
        <f t="shared" ref="J135:J143" si="64">IF(D135=0,"",LOG($K$21*10^D135+$K$22*10^E135+$K$20))</f>
        <v>0.34202356582905674</v>
      </c>
      <c r="K135" s="55">
        <f t="shared" ref="K135:K143" si="65">IF(D135=0,"",1/(1+10^D135*$J$15/$J$14+10^E135*$J$16/$J$14+10^J135*$J$19/$J$14))</f>
        <v>0.93144644430375467</v>
      </c>
      <c r="L135" s="55">
        <f t="shared" ref="L135:L143" si="66">IF(D135=0,"",1/(1+10^I135/10^J135*$J$13/$J$19))</f>
        <v>2.1032352069347612E-3</v>
      </c>
      <c r="M135" s="55">
        <f t="shared" ref="M135:M143" si="67">IF(D135=0,"",1-L135)</f>
        <v>0.99789676479306522</v>
      </c>
      <c r="N135" s="55">
        <f t="shared" ref="N135:N143" si="68">IF(D135=0,"",1/(1/10^E135*$J$20/$J$22+10^D135/10^E135*$J$21/$J$22+10^I135/10^E135*$J$13/$J$22+1))</f>
        <v>1.3188102363688857E-4</v>
      </c>
      <c r="O135" s="56">
        <f t="shared" ref="O135:O143" si="69">IF(D135=0,"",F135*K135*$J$7/$J$14)</f>
        <v>9.372533549484662E-7</v>
      </c>
      <c r="P135" s="56">
        <f t="shared" ref="P135:P143" si="70">IF(D135=0,"",O135*10^J135)</f>
        <v>2.0600633202703029E-6</v>
      </c>
      <c r="Q135" s="56">
        <f t="shared" ref="Q135:Q143" si="71">IF(D135=0,"",F135*N135*$J$7/$J$22)</f>
        <v>1.2917397851570006E-5</v>
      </c>
      <c r="R135" s="9">
        <f t="shared" si="44"/>
        <v>3.9999999999999996E-5</v>
      </c>
      <c r="S135" s="9">
        <f t="shared" si="45"/>
        <v>8.4129408277390435E-8</v>
      </c>
      <c r="T135" s="9">
        <f t="shared" si="40"/>
        <v>3.7257857772150183E-5</v>
      </c>
      <c r="U135" s="9">
        <f t="shared" si="41"/>
        <v>3.9915870591722607E-5</v>
      </c>
      <c r="V135" s="100">
        <f t="shared" si="46"/>
        <v>0.93340962428804908</v>
      </c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46" t="s">
        <v>266</v>
      </c>
      <c r="C136" s="46" t="s">
        <v>267</v>
      </c>
      <c r="D136" s="47">
        <v>-0.16497034264114602</v>
      </c>
      <c r="E136" s="47">
        <v>-0.71214090995430623</v>
      </c>
      <c r="F136" s="96">
        <v>9.9999999999999995E-7</v>
      </c>
      <c r="G136" s="7"/>
      <c r="H136" s="7"/>
      <c r="I136" s="54">
        <f t="shared" si="63"/>
        <v>-7.9255891896301502E-4</v>
      </c>
      <c r="J136" s="54">
        <f t="shared" si="64"/>
        <v>-1.533861821554937E-2</v>
      </c>
      <c r="K136" s="55">
        <f t="shared" si="65"/>
        <v>0.99565309846420935</v>
      </c>
      <c r="L136" s="55">
        <f t="shared" si="66"/>
        <v>9.8736066002186209E-4</v>
      </c>
      <c r="M136" s="55">
        <f t="shared" si="67"/>
        <v>0.99901263933997819</v>
      </c>
      <c r="N136" s="55">
        <f t="shared" si="68"/>
        <v>1.9846024705031192E-6</v>
      </c>
      <c r="O136" s="56">
        <f t="shared" si="69"/>
        <v>1.0018602922446672E-6</v>
      </c>
      <c r="P136" s="56">
        <f t="shared" si="70"/>
        <v>9.6709368162074817E-7</v>
      </c>
      <c r="Q136" s="56">
        <f t="shared" si="71"/>
        <v>1.9438656890684671E-7</v>
      </c>
      <c r="R136" s="9">
        <f t="shared" si="44"/>
        <v>3.9999999999999996E-5</v>
      </c>
      <c r="S136" s="9">
        <f t="shared" si="45"/>
        <v>3.9494426400874482E-8</v>
      </c>
      <c r="T136" s="9">
        <f t="shared" si="40"/>
        <v>3.9826123938568373E-5</v>
      </c>
      <c r="U136" s="9">
        <f t="shared" si="41"/>
        <v>3.9960505573599123E-5</v>
      </c>
      <c r="V136" s="100">
        <f t="shared" si="46"/>
        <v>0.99663713876734494</v>
      </c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46" t="s">
        <v>268</v>
      </c>
      <c r="C137" s="46" t="s">
        <v>269</v>
      </c>
      <c r="D137" s="47">
        <v>-2.7256879443499291</v>
      </c>
      <c r="E137" s="47">
        <v>-4.3548518644977863</v>
      </c>
      <c r="F137" s="96">
        <v>9.9999999999999995E-7</v>
      </c>
      <c r="G137" s="7"/>
      <c r="H137" s="7"/>
      <c r="I137" s="54">
        <f t="shared" si="63"/>
        <v>-2.2515440087297459E-3</v>
      </c>
      <c r="J137" s="54">
        <f t="shared" si="64"/>
        <v>-4.2939405086996389E-2</v>
      </c>
      <c r="K137" s="55">
        <f t="shared" si="65"/>
        <v>0.99906118269292732</v>
      </c>
      <c r="L137" s="55">
        <f t="shared" si="66"/>
        <v>9.2973475998127061E-4</v>
      </c>
      <c r="M137" s="55">
        <f t="shared" si="67"/>
        <v>0.99907026524001874</v>
      </c>
      <c r="N137" s="55">
        <f t="shared" si="68"/>
        <v>4.5336355885725387E-10</v>
      </c>
      <c r="O137" s="56">
        <f t="shared" si="69"/>
        <v>1.0052896234712204E-6</v>
      </c>
      <c r="P137" s="56">
        <f t="shared" si="70"/>
        <v>9.1065063493735026E-7</v>
      </c>
      <c r="Q137" s="56">
        <f t="shared" si="71"/>
        <v>4.440576285855244E-11</v>
      </c>
      <c r="R137" s="9">
        <f t="shared" si="44"/>
        <v>3.9999999999999996E-5</v>
      </c>
      <c r="S137" s="9">
        <f t="shared" si="45"/>
        <v>3.7189390399250821E-8</v>
      </c>
      <c r="T137" s="9">
        <f t="shared" si="40"/>
        <v>3.9962447307717092E-5</v>
      </c>
      <c r="U137" s="9">
        <f t="shared" si="41"/>
        <v>3.9962810609600746E-5</v>
      </c>
      <c r="V137" s="100">
        <f t="shared" si="46"/>
        <v>0.99999090900069054</v>
      </c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46" t="s">
        <v>270</v>
      </c>
      <c r="C138" s="46" t="s">
        <v>271</v>
      </c>
      <c r="D138" s="47">
        <v>-0.21545001227559774</v>
      </c>
      <c r="E138" s="47">
        <v>-0.78395001746247006</v>
      </c>
      <c r="F138" s="96">
        <v>9.9999999999999995E-7</v>
      </c>
      <c r="G138" s="7"/>
      <c r="H138" s="7"/>
      <c r="I138" s="54">
        <f t="shared" si="63"/>
        <v>-9.5421953907495261E-4</v>
      </c>
      <c r="J138" s="54">
        <f t="shared" si="64"/>
        <v>-1.8328459527113827E-2</v>
      </c>
      <c r="K138" s="55">
        <f t="shared" si="65"/>
        <v>0.99603017019173079</v>
      </c>
      <c r="L138" s="55">
        <f t="shared" si="66"/>
        <v>9.8095801971528418E-4</v>
      </c>
      <c r="M138" s="55">
        <f t="shared" si="67"/>
        <v>0.99901904198028468</v>
      </c>
      <c r="N138" s="55">
        <f t="shared" si="68"/>
        <v>1.6827858988547802E-6</v>
      </c>
      <c r="O138" s="56">
        <f t="shared" si="69"/>
        <v>1.0022397147480618E-6</v>
      </c>
      <c r="P138" s="56">
        <f t="shared" si="70"/>
        <v>9.6082246459044394E-7</v>
      </c>
      <c r="Q138" s="56">
        <f t="shared" si="71"/>
        <v>1.6482443307665458E-7</v>
      </c>
      <c r="R138" s="9">
        <f t="shared" si="44"/>
        <v>3.9999999999999996E-5</v>
      </c>
      <c r="S138" s="9">
        <f t="shared" si="45"/>
        <v>3.9238320788611364E-8</v>
      </c>
      <c r="T138" s="9">
        <f t="shared" si="40"/>
        <v>3.9841206807669229E-5</v>
      </c>
      <c r="U138" s="9">
        <f t="shared" si="41"/>
        <v>3.9960761679211385E-5</v>
      </c>
      <c r="V138" s="100">
        <f t="shared" si="46"/>
        <v>0.99700819337474367</v>
      </c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46" t="s">
        <v>272</v>
      </c>
      <c r="C139" s="46" t="s">
        <v>273</v>
      </c>
      <c r="D139" s="47">
        <v>1.0310160000000004</v>
      </c>
      <c r="E139" s="47">
        <v>0.78085199999999966</v>
      </c>
      <c r="F139" s="96">
        <v>9.9999999999999995E-7</v>
      </c>
      <c r="G139" s="7"/>
      <c r="H139" s="7"/>
      <c r="I139" s="54">
        <f t="shared" si="63"/>
        <v>2.0637855846763784E-2</v>
      </c>
      <c r="J139" s="54">
        <f t="shared" si="64"/>
        <v>0.27218535628460888</v>
      </c>
      <c r="K139" s="55">
        <f t="shared" si="65"/>
        <v>0.94692431514745889</v>
      </c>
      <c r="L139" s="55">
        <f t="shared" si="66"/>
        <v>1.8205684523327091E-3</v>
      </c>
      <c r="M139" s="55">
        <f t="shared" si="67"/>
        <v>0.99817943154766731</v>
      </c>
      <c r="N139" s="55">
        <f t="shared" si="68"/>
        <v>5.8731846696999883E-5</v>
      </c>
      <c r="O139" s="56">
        <f t="shared" si="69"/>
        <v>9.5282771938394857E-7</v>
      </c>
      <c r="P139" s="56">
        <f t="shared" si="70"/>
        <v>1.7831987018502877E-6</v>
      </c>
      <c r="Q139" s="56">
        <f t="shared" si="71"/>
        <v>5.7526292215581411E-6</v>
      </c>
      <c r="R139" s="9">
        <f t="shared" si="44"/>
        <v>3.9999999999999996E-5</v>
      </c>
      <c r="S139" s="9">
        <f t="shared" si="45"/>
        <v>7.2822738093308361E-8</v>
      </c>
      <c r="T139" s="9">
        <f t="shared" si="40"/>
        <v>3.7876972605898354E-5</v>
      </c>
      <c r="U139" s="9">
        <f t="shared" si="41"/>
        <v>3.992717726190669E-5</v>
      </c>
      <c r="V139" s="100">
        <f t="shared" si="46"/>
        <v>0.94865139995848458</v>
      </c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46" t="s">
        <v>274</v>
      </c>
      <c r="C140" s="46" t="s">
        <v>275</v>
      </c>
      <c r="D140" s="47">
        <v>-1.8497486811018407</v>
      </c>
      <c r="E140" s="47">
        <v>-3.1087974195955765</v>
      </c>
      <c r="F140" s="96">
        <v>9.9999999999999995E-7</v>
      </c>
      <c r="G140" s="7"/>
      <c r="H140" s="7"/>
      <c r="I140" s="54">
        <f t="shared" si="63"/>
        <v>-2.2257476801494347E-3</v>
      </c>
      <c r="J140" s="54">
        <f t="shared" si="64"/>
        <v>-4.2440960889578133E-2</v>
      </c>
      <c r="K140" s="55">
        <f t="shared" si="65"/>
        <v>0.99900083059708034</v>
      </c>
      <c r="L140" s="55">
        <f t="shared" si="66"/>
        <v>9.3074620993793811E-4</v>
      </c>
      <c r="M140" s="55">
        <f t="shared" si="67"/>
        <v>0.99906925379006206</v>
      </c>
      <c r="N140" s="55">
        <f t="shared" si="68"/>
        <v>7.9886761849472524E-9</v>
      </c>
      <c r="O140" s="56">
        <f t="shared" si="69"/>
        <v>1.005228895122686E-6</v>
      </c>
      <c r="P140" s="56">
        <f t="shared" si="70"/>
        <v>9.1164132344862492E-7</v>
      </c>
      <c r="Q140" s="56">
        <f t="shared" si="71"/>
        <v>7.8246972720237459E-10</v>
      </c>
      <c r="R140" s="9">
        <f t="shared" si="44"/>
        <v>3.9999999999999996E-5</v>
      </c>
      <c r="S140" s="9">
        <f t="shared" si="45"/>
        <v>3.722984839751752E-8</v>
      </c>
      <c r="T140" s="9">
        <f t="shared" si="40"/>
        <v>3.9960033223883209E-5</v>
      </c>
      <c r="U140" s="9">
        <f t="shared" si="41"/>
        <v>3.996277015160248E-5</v>
      </c>
      <c r="V140" s="100">
        <f t="shared" si="46"/>
        <v>0.99993151306306127</v>
      </c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46" t="s">
        <v>276</v>
      </c>
      <c r="C141" s="46" t="s">
        <v>277</v>
      </c>
      <c r="D141" s="47">
        <v>-1.4544244920654867</v>
      </c>
      <c r="E141" s="47">
        <v>-2.5464348408255515</v>
      </c>
      <c r="F141" s="96">
        <v>9.9999999999999995E-7</v>
      </c>
      <c r="G141" s="7"/>
      <c r="H141" s="7"/>
      <c r="I141" s="54">
        <f t="shared" si="63"/>
        <v>-2.1814307177209532E-3</v>
      </c>
      <c r="J141" s="54">
        <f t="shared" si="64"/>
        <v>-4.1584645415536546E-2</v>
      </c>
      <c r="K141" s="55">
        <f t="shared" si="65"/>
        <v>0.99889715426088843</v>
      </c>
      <c r="L141" s="55">
        <f t="shared" si="66"/>
        <v>9.3248642570078826E-4</v>
      </c>
      <c r="M141" s="55">
        <f t="shared" si="67"/>
        <v>0.99906751357429924</v>
      </c>
      <c r="N141" s="55">
        <f t="shared" si="68"/>
        <v>2.9160322518441687E-8</v>
      </c>
      <c r="O141" s="56">
        <f t="shared" si="69"/>
        <v>1.0051245724377707E-6</v>
      </c>
      <c r="P141" s="56">
        <f t="shared" si="70"/>
        <v>9.1334581881394814E-7</v>
      </c>
      <c r="Q141" s="56">
        <f t="shared" si="71"/>
        <v>2.8561765526473126E-9</v>
      </c>
      <c r="R141" s="9">
        <f t="shared" si="44"/>
        <v>3.9999999999999996E-5</v>
      </c>
      <c r="S141" s="9">
        <f t="shared" si="45"/>
        <v>3.7299457028031528E-8</v>
      </c>
      <c r="T141" s="9">
        <f t="shared" si="40"/>
        <v>3.9955886170435534E-5</v>
      </c>
      <c r="U141" s="9">
        <f t="shared" si="41"/>
        <v>3.9962700542971968E-5</v>
      </c>
      <c r="V141" s="100">
        <f t="shared" si="46"/>
        <v>0.99982948168057095</v>
      </c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46" t="s">
        <v>278</v>
      </c>
      <c r="C142" s="46" t="s">
        <v>279</v>
      </c>
      <c r="D142" s="47">
        <v>2.3179513188981593</v>
      </c>
      <c r="E142" s="47">
        <v>2.8199025804044244</v>
      </c>
      <c r="F142" s="96">
        <v>9.9999999999999995E-7</v>
      </c>
      <c r="G142" s="7"/>
      <c r="H142" s="7"/>
      <c r="I142" s="54">
        <f t="shared" si="63"/>
        <v>0.35101699191808489</v>
      </c>
      <c r="J142" s="54">
        <f t="shared" si="64"/>
        <v>1.3986521988501153</v>
      </c>
      <c r="K142" s="55">
        <f t="shared" si="65"/>
        <v>0.43833134005577395</v>
      </c>
      <c r="L142" s="55">
        <f t="shared" si="66"/>
        <v>1.1276156897008859E-2</v>
      </c>
      <c r="M142" s="55">
        <f t="shared" si="67"/>
        <v>0.98872384310299111</v>
      </c>
      <c r="N142" s="55">
        <f t="shared" si="68"/>
        <v>2.97448300299298E-3</v>
      </c>
      <c r="O142" s="56">
        <f t="shared" si="69"/>
        <v>4.4106402634176128E-7</v>
      </c>
      <c r="P142" s="56">
        <f t="shared" si="70"/>
        <v>1.1044697778236401E-5</v>
      </c>
      <c r="Q142" s="56">
        <f t="shared" si="71"/>
        <v>2.9134275191996465E-4</v>
      </c>
      <c r="R142" s="9">
        <f t="shared" si="44"/>
        <v>3.9999999999999996E-5</v>
      </c>
      <c r="S142" s="9">
        <f t="shared" si="45"/>
        <v>4.5104627588035432E-7</v>
      </c>
      <c r="T142" s="9">
        <f t="shared" si="40"/>
        <v>1.7533253602230957E-5</v>
      </c>
      <c r="U142" s="9">
        <f t="shared" si="41"/>
        <v>3.9548953724119639E-5</v>
      </c>
      <c r="V142" s="100">
        <f t="shared" si="46"/>
        <v>0.44333040323992151</v>
      </c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46" t="s">
        <v>97</v>
      </c>
      <c r="C143" s="46" t="s">
        <v>280</v>
      </c>
      <c r="D143" s="47">
        <v>3.46</v>
      </c>
      <c r="E143" s="47">
        <v>2.6247999825375303</v>
      </c>
      <c r="F143" s="96">
        <v>9.9999999999999995E-7</v>
      </c>
      <c r="G143" s="7"/>
      <c r="H143" s="7"/>
      <c r="I143" s="54">
        <f t="shared" si="63"/>
        <v>1.1760432553236648</v>
      </c>
      <c r="J143" s="54">
        <f t="shared" si="64"/>
        <v>2.394879773509194</v>
      </c>
      <c r="K143" s="55">
        <f t="shared" si="65"/>
        <v>6.5225338656519624E-2</v>
      </c>
      <c r="L143" s="55">
        <f t="shared" si="66"/>
        <v>1.6634222417966686E-2</v>
      </c>
      <c r="M143" s="55">
        <f t="shared" si="67"/>
        <v>0.98336577758203336</v>
      </c>
      <c r="N143" s="55">
        <f t="shared" si="68"/>
        <v>2.8243773056853819E-4</v>
      </c>
      <c r="O143" s="56">
        <f t="shared" si="69"/>
        <v>6.5631972570541984E-8</v>
      </c>
      <c r="P143" s="56">
        <f t="shared" si="70"/>
        <v>1.6292781402424512E-5</v>
      </c>
      <c r="Q143" s="56">
        <f t="shared" si="71"/>
        <v>2.7664029542972528E-5</v>
      </c>
      <c r="R143" s="9">
        <f t="shared" si="44"/>
        <v>3.9999999999999996E-5</v>
      </c>
      <c r="S143" s="9">
        <f t="shared" si="45"/>
        <v>6.6536889671866738E-7</v>
      </c>
      <c r="T143" s="9">
        <f t="shared" si="40"/>
        <v>2.6090135462607846E-6</v>
      </c>
      <c r="U143" s="9">
        <f t="shared" si="41"/>
        <v>3.9334631103281329E-5</v>
      </c>
      <c r="V143" s="100">
        <f t="shared" si="46"/>
        <v>6.6328664413053018E-2</v>
      </c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48"/>
      <c r="C144" s="48"/>
      <c r="D144" s="48"/>
      <c r="E144" s="48"/>
      <c r="F144" s="48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48"/>
      <c r="C145" s="48"/>
      <c r="D145" s="48"/>
      <c r="E145" s="48"/>
      <c r="F145" s="48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48"/>
      <c r="C146" s="48"/>
      <c r="D146" s="48"/>
      <c r="E146" s="48"/>
      <c r="F146" s="48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48"/>
      <c r="C147" s="48"/>
      <c r="D147" s="48"/>
      <c r="E147" s="48"/>
      <c r="F147" s="48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48"/>
      <c r="C148" s="48"/>
      <c r="D148" s="48"/>
      <c r="E148" s="48"/>
      <c r="F148" s="48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48"/>
      <c r="C149" s="48"/>
      <c r="D149" s="48"/>
      <c r="E149" s="48"/>
      <c r="F149" s="48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48"/>
      <c r="C150" s="48"/>
      <c r="D150" s="48"/>
      <c r="E150" s="48"/>
      <c r="F150" s="48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48"/>
      <c r="C151" s="48"/>
      <c r="D151" s="48"/>
      <c r="E151" s="48"/>
      <c r="F151" s="48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48"/>
      <c r="C152" s="48"/>
      <c r="D152" s="48"/>
      <c r="E152" s="48"/>
      <c r="F152" s="48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48"/>
      <c r="C153" s="48"/>
      <c r="D153" s="48"/>
      <c r="E153" s="48"/>
      <c r="F153" s="48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48"/>
      <c r="C154" s="48"/>
      <c r="D154" s="48"/>
      <c r="E154" s="48"/>
      <c r="F154" s="48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48"/>
      <c r="C155" s="48"/>
      <c r="D155" s="48"/>
      <c r="E155" s="48"/>
      <c r="F155" s="48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48"/>
      <c r="C156" s="48"/>
      <c r="D156" s="48"/>
      <c r="E156" s="48"/>
      <c r="F156" s="48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48"/>
      <c r="C157" s="48"/>
      <c r="D157" s="48"/>
      <c r="E157" s="48"/>
      <c r="F157" s="48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48"/>
      <c r="C158" s="48"/>
      <c r="D158" s="48"/>
      <c r="E158" s="48"/>
      <c r="F158" s="48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48"/>
      <c r="C159" s="48"/>
      <c r="D159" s="48"/>
      <c r="E159" s="48"/>
      <c r="F159" s="48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48"/>
      <c r="C160" s="48"/>
      <c r="D160" s="48"/>
      <c r="E160" s="48"/>
      <c r="F160" s="48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48"/>
      <c r="C161" s="48"/>
      <c r="D161" s="48"/>
      <c r="E161" s="48"/>
      <c r="F161" s="48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48"/>
      <c r="C162" s="48"/>
      <c r="D162" s="48"/>
      <c r="E162" s="48"/>
      <c r="F162" s="48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48"/>
      <c r="C163" s="48"/>
      <c r="D163" s="48"/>
      <c r="E163" s="48"/>
      <c r="F163" s="48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48"/>
      <c r="C164" s="48"/>
      <c r="D164" s="48"/>
      <c r="E164" s="48"/>
      <c r="F164" s="48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48"/>
      <c r="C165" s="48"/>
      <c r="D165" s="48"/>
      <c r="E165" s="48"/>
      <c r="F165" s="48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48"/>
      <c r="C166" s="48"/>
      <c r="D166" s="48"/>
      <c r="E166" s="48"/>
      <c r="F166" s="48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48"/>
      <c r="C167" s="48"/>
      <c r="D167" s="48"/>
      <c r="E167" s="48"/>
      <c r="F167" s="48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48"/>
      <c r="C168" s="48"/>
      <c r="D168" s="48"/>
      <c r="E168" s="48"/>
      <c r="F168" s="48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48"/>
      <c r="C169" s="48"/>
      <c r="D169" s="48"/>
      <c r="E169" s="48"/>
      <c r="F169" s="48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48"/>
      <c r="C170" s="48"/>
      <c r="D170" s="48"/>
      <c r="E170" s="48"/>
      <c r="F170" s="48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48"/>
      <c r="C171" s="48"/>
      <c r="D171" s="48"/>
      <c r="E171" s="48"/>
      <c r="F171" s="48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48"/>
      <c r="C172" s="48"/>
      <c r="D172" s="48"/>
      <c r="E172" s="48"/>
      <c r="F172" s="48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48"/>
      <c r="C173" s="48"/>
      <c r="D173" s="48"/>
      <c r="E173" s="48"/>
      <c r="F173" s="48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48"/>
      <c r="C174" s="48"/>
      <c r="D174" s="48"/>
      <c r="E174" s="48"/>
      <c r="F174" s="48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48"/>
      <c r="C175" s="48"/>
      <c r="D175" s="48"/>
      <c r="E175" s="48"/>
      <c r="F175" s="48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48"/>
      <c r="C176" s="48"/>
      <c r="D176" s="48"/>
      <c r="E176" s="48"/>
      <c r="F176" s="48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48"/>
      <c r="C177" s="48"/>
      <c r="D177" s="48"/>
      <c r="E177" s="48"/>
      <c r="F177" s="48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48"/>
      <c r="C178" s="48"/>
      <c r="D178" s="48"/>
      <c r="E178" s="48"/>
      <c r="F178" s="48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48"/>
      <c r="C179" s="48"/>
      <c r="D179" s="48"/>
      <c r="E179" s="48"/>
      <c r="F179" s="48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48"/>
      <c r="C180" s="48"/>
      <c r="D180" s="48"/>
      <c r="E180" s="48"/>
      <c r="F180" s="48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48"/>
      <c r="C181" s="48"/>
      <c r="D181" s="48"/>
      <c r="E181" s="48"/>
      <c r="F181" s="48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48"/>
      <c r="C182" s="48"/>
      <c r="D182" s="48"/>
      <c r="E182" s="48"/>
      <c r="F182" s="48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48"/>
      <c r="C183" s="48"/>
      <c r="D183" s="48"/>
      <c r="E183" s="48"/>
      <c r="F183" s="48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48"/>
      <c r="C184" s="48"/>
      <c r="D184" s="48"/>
      <c r="E184" s="48"/>
      <c r="F184" s="48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48"/>
      <c r="C185" s="48"/>
      <c r="D185" s="48"/>
      <c r="E185" s="48"/>
      <c r="F185" s="48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48"/>
      <c r="C186" s="48"/>
      <c r="D186" s="48"/>
      <c r="E186" s="48"/>
      <c r="F186" s="48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48"/>
      <c r="C187" s="48"/>
      <c r="D187" s="48"/>
      <c r="E187" s="48"/>
      <c r="F187" s="48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48"/>
      <c r="C188" s="48"/>
      <c r="D188" s="48"/>
      <c r="E188" s="48"/>
      <c r="F188" s="48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48"/>
      <c r="C189" s="48"/>
      <c r="D189" s="48"/>
      <c r="E189" s="48"/>
      <c r="F189" s="48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48"/>
      <c r="C190" s="48"/>
      <c r="D190" s="48"/>
      <c r="E190" s="48"/>
      <c r="F190" s="48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48"/>
      <c r="C191" s="48"/>
      <c r="D191" s="48"/>
      <c r="E191" s="48"/>
      <c r="F191" s="48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48"/>
      <c r="C192" s="48"/>
      <c r="D192" s="48"/>
      <c r="E192" s="48"/>
      <c r="F192" s="48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48"/>
      <c r="C193" s="48"/>
      <c r="D193" s="48"/>
      <c r="E193" s="48"/>
      <c r="F193" s="48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48"/>
      <c r="C194" s="48"/>
      <c r="D194" s="48"/>
      <c r="E194" s="48"/>
      <c r="F194" s="48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48"/>
      <c r="C195" s="48"/>
      <c r="D195" s="48"/>
      <c r="E195" s="48"/>
      <c r="F195" s="48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48"/>
      <c r="C196" s="48"/>
      <c r="D196" s="48"/>
      <c r="E196" s="48"/>
      <c r="F196" s="48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48"/>
      <c r="C197" s="48"/>
      <c r="D197" s="48"/>
      <c r="E197" s="48"/>
      <c r="F197" s="48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48"/>
      <c r="C198" s="48"/>
      <c r="D198" s="48"/>
      <c r="E198" s="48"/>
      <c r="F198" s="48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48"/>
      <c r="C199" s="48"/>
      <c r="D199" s="48"/>
      <c r="E199" s="48"/>
      <c r="F199" s="48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48"/>
      <c r="C200" s="48"/>
      <c r="D200" s="48"/>
      <c r="E200" s="48"/>
      <c r="F200" s="48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48"/>
      <c r="C201" s="48"/>
      <c r="D201" s="48"/>
      <c r="E201" s="48"/>
      <c r="F201" s="48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48"/>
      <c r="C202" s="48"/>
      <c r="D202" s="48"/>
      <c r="E202" s="48"/>
      <c r="F202" s="48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48"/>
      <c r="C203" s="48"/>
      <c r="D203" s="48"/>
      <c r="E203" s="48"/>
      <c r="F203" s="48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48"/>
      <c r="C204" s="48"/>
      <c r="D204" s="48"/>
      <c r="E204" s="48"/>
      <c r="F204" s="48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48"/>
      <c r="C205" s="48"/>
      <c r="D205" s="48"/>
      <c r="E205" s="48"/>
      <c r="F205" s="48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48"/>
      <c r="C206" s="48"/>
      <c r="D206" s="48"/>
      <c r="E206" s="48"/>
      <c r="F206" s="48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48"/>
      <c r="C207" s="48"/>
      <c r="D207" s="48"/>
      <c r="E207" s="48"/>
      <c r="F207" s="48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48"/>
      <c r="C208" s="48"/>
      <c r="D208" s="48"/>
      <c r="E208" s="48"/>
      <c r="F208" s="48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48"/>
      <c r="C209" s="48"/>
      <c r="D209" s="48"/>
      <c r="E209" s="48"/>
      <c r="F209" s="48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48"/>
      <c r="C210" s="48"/>
      <c r="D210" s="48"/>
      <c r="E210" s="48"/>
      <c r="F210" s="48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48"/>
      <c r="C211" s="48"/>
      <c r="D211" s="48"/>
      <c r="E211" s="48"/>
      <c r="F211" s="48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48"/>
      <c r="C212" s="48"/>
      <c r="D212" s="48"/>
      <c r="E212" s="48"/>
      <c r="F212" s="48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48"/>
      <c r="C213" s="48"/>
      <c r="D213" s="48"/>
      <c r="E213" s="48"/>
      <c r="F213" s="48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48"/>
      <c r="C214" s="48"/>
      <c r="D214" s="48"/>
      <c r="E214" s="48"/>
      <c r="F214" s="48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48"/>
      <c r="C215" s="48"/>
      <c r="D215" s="48"/>
      <c r="E215" s="48"/>
      <c r="F215" s="48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48"/>
      <c r="C216" s="48"/>
      <c r="D216" s="48"/>
      <c r="E216" s="48"/>
      <c r="F216" s="48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48"/>
      <c r="C217" s="48"/>
      <c r="D217" s="48"/>
      <c r="E217" s="48"/>
      <c r="F217" s="48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48"/>
      <c r="C218" s="48"/>
      <c r="D218" s="48"/>
      <c r="E218" s="48"/>
      <c r="F218" s="48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48"/>
      <c r="C219" s="48"/>
      <c r="D219" s="48"/>
      <c r="E219" s="48"/>
      <c r="F219" s="48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48"/>
      <c r="C220" s="48"/>
      <c r="D220" s="48"/>
      <c r="E220" s="48"/>
      <c r="F220" s="48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48"/>
      <c r="C221" s="48"/>
      <c r="D221" s="48"/>
      <c r="E221" s="48"/>
      <c r="F221" s="48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48"/>
      <c r="C222" s="48"/>
      <c r="D222" s="48"/>
      <c r="E222" s="48"/>
      <c r="F222" s="48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48"/>
      <c r="C223" s="48"/>
      <c r="D223" s="48"/>
      <c r="E223" s="48"/>
      <c r="F223" s="48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48"/>
      <c r="C224" s="48"/>
      <c r="D224" s="48"/>
      <c r="E224" s="48"/>
      <c r="F224" s="48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48"/>
      <c r="C225" s="48"/>
      <c r="D225" s="48"/>
      <c r="E225" s="48"/>
      <c r="F225" s="48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48"/>
      <c r="C226" s="48"/>
      <c r="D226" s="48"/>
      <c r="E226" s="48"/>
      <c r="F226" s="48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48"/>
      <c r="C227" s="48"/>
      <c r="D227" s="48"/>
      <c r="E227" s="48"/>
      <c r="F227" s="48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48"/>
      <c r="C228" s="48"/>
      <c r="D228" s="48"/>
      <c r="E228" s="48"/>
      <c r="F228" s="48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48"/>
      <c r="C229" s="48"/>
      <c r="D229" s="48"/>
      <c r="E229" s="48"/>
      <c r="F229" s="48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</sheetData>
  <mergeCells count="52">
    <mergeCell ref="I2:Q4"/>
    <mergeCell ref="I5:Q5"/>
    <mergeCell ref="B23:F23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B13:C13"/>
    <mergeCell ref="B8:F10"/>
    <mergeCell ref="B11:F12"/>
    <mergeCell ref="E26:E27"/>
    <mergeCell ref="F26:F27"/>
    <mergeCell ref="L19:Q19"/>
    <mergeCell ref="L20:Q20"/>
    <mergeCell ref="L21:Q21"/>
    <mergeCell ref="B20:C20"/>
    <mergeCell ref="L14:Q14"/>
    <mergeCell ref="L15:Q15"/>
    <mergeCell ref="L16:Q16"/>
    <mergeCell ref="L18:Q18"/>
    <mergeCell ref="G1:H77"/>
    <mergeCell ref="L22:Q22"/>
    <mergeCell ref="L26:L27"/>
    <mergeCell ref="N26:N27"/>
    <mergeCell ref="C26:C27"/>
    <mergeCell ref="L6:Q6"/>
    <mergeCell ref="L7:Q7"/>
    <mergeCell ref="B24:F25"/>
    <mergeCell ref="I17:Q17"/>
    <mergeCell ref="B26:B27"/>
    <mergeCell ref="D26:D27"/>
    <mergeCell ref="L8:Q8"/>
    <mergeCell ref="L9:Q9"/>
    <mergeCell ref="P26:P27"/>
    <mergeCell ref="I24:Q25"/>
    <mergeCell ref="I23:Q23"/>
    <mergeCell ref="Q26:Q27"/>
    <mergeCell ref="I26:I27"/>
    <mergeCell ref="J26:J27"/>
    <mergeCell ref="O26:O27"/>
    <mergeCell ref="K26:K27"/>
    <mergeCell ref="L10:Q10"/>
    <mergeCell ref="I11:Q11"/>
    <mergeCell ref="L12:Q12"/>
    <mergeCell ref="L13:Q13"/>
    <mergeCell ref="M26:M27"/>
  </mergeCells>
  <phoneticPr fontId="17" type="noConversion"/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 structure</vt:lpstr>
      <vt:lpstr>User input and model output</vt:lpstr>
    </vt:vector>
  </TitlesOfParts>
  <Company>UFZ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Fischer</dc:creator>
  <cp:lastModifiedBy>Hsing-Chieh Lin</cp:lastModifiedBy>
  <dcterms:created xsi:type="dcterms:W3CDTF">2016-11-02T11:21:18Z</dcterms:created>
  <dcterms:modified xsi:type="dcterms:W3CDTF">2025-02-02T17:33:00Z</dcterms:modified>
</cp:coreProperties>
</file>