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30AA1F0B-5B91-49E9-BBB1-22845632F70C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T143" i="4"/>
  <c r="S143" i="4"/>
  <c r="R143" i="4"/>
  <c r="V142" i="4"/>
  <c r="R142" i="4"/>
  <c r="V141" i="4"/>
  <c r="U141" i="4"/>
  <c r="R141" i="4"/>
  <c r="T141" i="4" s="1"/>
  <c r="V140" i="4"/>
  <c r="R140" i="4"/>
  <c r="U140" i="4" s="1"/>
  <c r="V139" i="4"/>
  <c r="U139" i="4"/>
  <c r="T139" i="4"/>
  <c r="S139" i="4"/>
  <c r="R139" i="4"/>
  <c r="V138" i="4"/>
  <c r="U138" i="4"/>
  <c r="T138" i="4"/>
  <c r="R138" i="4"/>
  <c r="S138" i="4" s="1"/>
  <c r="V137" i="4"/>
  <c r="T137" i="4"/>
  <c r="R137" i="4"/>
  <c r="U137" i="4" s="1"/>
  <c r="V136" i="4"/>
  <c r="R136" i="4"/>
  <c r="V135" i="4"/>
  <c r="R135" i="4"/>
  <c r="S135" i="4" s="1"/>
  <c r="V134" i="4"/>
  <c r="U134" i="4"/>
  <c r="T134" i="4"/>
  <c r="R134" i="4"/>
  <c r="S134" i="4" s="1"/>
  <c r="V133" i="4"/>
  <c r="U133" i="4"/>
  <c r="R133" i="4"/>
  <c r="T133" i="4" s="1"/>
  <c r="V132" i="4"/>
  <c r="U132" i="4"/>
  <c r="R132" i="4"/>
  <c r="T132" i="4" s="1"/>
  <c r="V131" i="4"/>
  <c r="U131" i="4"/>
  <c r="T131" i="4"/>
  <c r="S131" i="4"/>
  <c r="R131" i="4"/>
  <c r="V130" i="4"/>
  <c r="R130" i="4"/>
  <c r="U130" i="4" s="1"/>
  <c r="V129" i="4"/>
  <c r="R129" i="4"/>
  <c r="U129" i="4" s="1"/>
  <c r="V128" i="4"/>
  <c r="R128" i="4"/>
  <c r="V127" i="4"/>
  <c r="U127" i="4"/>
  <c r="T127" i="4"/>
  <c r="S127" i="4"/>
  <c r="R127" i="4"/>
  <c r="V126" i="4"/>
  <c r="U126" i="4"/>
  <c r="T126" i="4"/>
  <c r="R126" i="4"/>
  <c r="S126" i="4" s="1"/>
  <c r="V125" i="4"/>
  <c r="R125" i="4"/>
  <c r="U125" i="4" s="1"/>
  <c r="V124" i="4"/>
  <c r="R124" i="4"/>
  <c r="V123" i="4"/>
  <c r="S123" i="4"/>
  <c r="R123" i="4"/>
  <c r="V122" i="4"/>
  <c r="U122" i="4"/>
  <c r="T122" i="4"/>
  <c r="R122" i="4"/>
  <c r="S122" i="4" s="1"/>
  <c r="V121" i="4"/>
  <c r="U121" i="4"/>
  <c r="R121" i="4"/>
  <c r="T121" i="4" s="1"/>
  <c r="V120" i="4"/>
  <c r="U120" i="4"/>
  <c r="T120" i="4"/>
  <c r="S120" i="4"/>
  <c r="R120" i="4"/>
  <c r="V119" i="4"/>
  <c r="U119" i="4"/>
  <c r="T119" i="4"/>
  <c r="S119" i="4"/>
  <c r="R119" i="4"/>
  <c r="V118" i="4"/>
  <c r="T118" i="4"/>
  <c r="R118" i="4"/>
  <c r="U118" i="4" s="1"/>
  <c r="V117" i="4"/>
  <c r="U117" i="4"/>
  <c r="R117" i="4"/>
  <c r="V116" i="4"/>
  <c r="R116" i="4"/>
  <c r="V115" i="4"/>
  <c r="U115" i="4"/>
  <c r="T115" i="4"/>
  <c r="S115" i="4"/>
  <c r="R115" i="4"/>
  <c r="V114" i="4"/>
  <c r="U114" i="4"/>
  <c r="T114" i="4"/>
  <c r="R114" i="4"/>
  <c r="S114" i="4" s="1"/>
  <c r="V113" i="4"/>
  <c r="R113" i="4"/>
  <c r="T113" i="4" s="1"/>
  <c r="V112" i="4"/>
  <c r="R112" i="4"/>
  <c r="V111" i="4"/>
  <c r="R111" i="4"/>
  <c r="V110" i="4"/>
  <c r="U110" i="4"/>
  <c r="T110" i="4"/>
  <c r="R110" i="4"/>
  <c r="S110" i="4" s="1"/>
  <c r="V109" i="4"/>
  <c r="U109" i="4"/>
  <c r="R109" i="4"/>
  <c r="T109" i="4" s="1"/>
  <c r="V108" i="4"/>
  <c r="U108" i="4"/>
  <c r="R108" i="4"/>
  <c r="T108" i="4" s="1"/>
  <c r="R107" i="4"/>
  <c r="V106" i="4"/>
  <c r="U106" i="4"/>
  <c r="T106" i="4"/>
  <c r="R106" i="4"/>
  <c r="S106" i="4" s="1"/>
  <c r="V105" i="4"/>
  <c r="U105" i="4"/>
  <c r="T105" i="4"/>
  <c r="S105" i="4"/>
  <c r="R105" i="4"/>
  <c r="V104" i="4"/>
  <c r="R104" i="4"/>
  <c r="V103" i="4"/>
  <c r="R103" i="4"/>
  <c r="S103" i="4" s="1"/>
  <c r="V102" i="4"/>
  <c r="U102" i="4"/>
  <c r="T102" i="4"/>
  <c r="R102" i="4"/>
  <c r="S102" i="4" s="1"/>
  <c r="V101" i="4"/>
  <c r="U101" i="4"/>
  <c r="R101" i="4"/>
  <c r="T101" i="4" s="1"/>
  <c r="R100" i="4"/>
  <c r="V99" i="4"/>
  <c r="U99" i="4"/>
  <c r="T99" i="4"/>
  <c r="S99" i="4"/>
  <c r="R99" i="4"/>
  <c r="V98" i="4"/>
  <c r="U98" i="4"/>
  <c r="T98" i="4"/>
  <c r="R98" i="4"/>
  <c r="S98" i="4" s="1"/>
  <c r="R97" i="4"/>
  <c r="V96" i="4"/>
  <c r="U96" i="4"/>
  <c r="T96" i="4"/>
  <c r="R96" i="4"/>
  <c r="S96" i="4" s="1"/>
  <c r="V95" i="4"/>
  <c r="U95" i="4"/>
  <c r="T95" i="4"/>
  <c r="S95" i="4"/>
  <c r="R95" i="4"/>
  <c r="V94" i="4"/>
  <c r="R94" i="4"/>
  <c r="U94" i="4" s="1"/>
  <c r="V93" i="4"/>
  <c r="R93" i="4"/>
  <c r="V92" i="4"/>
  <c r="R92" i="4"/>
  <c r="V91" i="4"/>
  <c r="U91" i="4"/>
  <c r="T91" i="4"/>
  <c r="S91" i="4"/>
  <c r="R91" i="4"/>
  <c r="V90" i="4"/>
  <c r="U90" i="4"/>
  <c r="T90" i="4"/>
  <c r="R90" i="4"/>
  <c r="S90" i="4" s="1"/>
  <c r="V89" i="4"/>
  <c r="R89" i="4"/>
  <c r="U89" i="4" s="1"/>
  <c r="V88" i="4"/>
  <c r="S88" i="4"/>
  <c r="R88" i="4"/>
  <c r="V87" i="4"/>
  <c r="R87" i="4"/>
  <c r="V86" i="4"/>
  <c r="U86" i="4"/>
  <c r="T86" i="4"/>
  <c r="R86" i="4"/>
  <c r="S86" i="4" s="1"/>
  <c r="V85" i="4"/>
  <c r="U85" i="4"/>
  <c r="R85" i="4"/>
  <c r="T85" i="4" s="1"/>
  <c r="V84" i="4"/>
  <c r="R84" i="4"/>
  <c r="U84" i="4" s="1"/>
  <c r="V83" i="4"/>
  <c r="U83" i="4"/>
  <c r="T83" i="4"/>
  <c r="S83" i="4"/>
  <c r="R83" i="4"/>
  <c r="V82" i="4"/>
  <c r="T82" i="4"/>
  <c r="S82" i="4"/>
  <c r="R82" i="4"/>
  <c r="U82" i="4" s="1"/>
  <c r="V81" i="4"/>
  <c r="R81" i="4"/>
  <c r="V80" i="4"/>
  <c r="R80" i="4"/>
  <c r="V79" i="4"/>
  <c r="U79" i="4"/>
  <c r="T79" i="4"/>
  <c r="S79" i="4"/>
  <c r="R79" i="4"/>
  <c r="V78" i="4"/>
  <c r="U78" i="4"/>
  <c r="T78" i="4"/>
  <c r="R78" i="4"/>
  <c r="S78" i="4" s="1"/>
  <c r="V77" i="4"/>
  <c r="R77" i="4"/>
  <c r="U77" i="4" s="1"/>
  <c r="V76" i="4"/>
  <c r="R76" i="4"/>
  <c r="V75" i="4"/>
  <c r="R75" i="4"/>
  <c r="V74" i="4"/>
  <c r="U74" i="4"/>
  <c r="T74" i="4"/>
  <c r="R74" i="4"/>
  <c r="S74" i="4" s="1"/>
  <c r="V73" i="4"/>
  <c r="U73" i="4"/>
  <c r="R73" i="4"/>
  <c r="T73" i="4" s="1"/>
  <c r="V72" i="4"/>
  <c r="U72" i="4"/>
  <c r="T72" i="4"/>
  <c r="R72" i="4"/>
  <c r="S72" i="4" s="1"/>
  <c r="V71" i="4"/>
  <c r="U71" i="4"/>
  <c r="T71" i="4"/>
  <c r="S71" i="4"/>
  <c r="R71" i="4"/>
  <c r="V70" i="4"/>
  <c r="R70" i="4"/>
  <c r="U70" i="4" s="1"/>
  <c r="V69" i="4"/>
  <c r="R69" i="4"/>
  <c r="V68" i="4"/>
  <c r="R68" i="4"/>
  <c r="V67" i="4"/>
  <c r="U67" i="4"/>
  <c r="T67" i="4"/>
  <c r="S67" i="4"/>
  <c r="R67" i="4"/>
  <c r="V66" i="4"/>
  <c r="U66" i="4"/>
  <c r="T66" i="4"/>
  <c r="R66" i="4"/>
  <c r="S66" i="4" s="1"/>
  <c r="V65" i="4"/>
  <c r="U65" i="4"/>
  <c r="T65" i="4"/>
  <c r="R65" i="4"/>
  <c r="S65" i="4" s="1"/>
  <c r="V64" i="4"/>
  <c r="R64" i="4"/>
  <c r="V63" i="4"/>
  <c r="R63" i="4"/>
  <c r="V62" i="4"/>
  <c r="U62" i="4"/>
  <c r="T62" i="4"/>
  <c r="R62" i="4"/>
  <c r="S62" i="4" s="1"/>
  <c r="V61" i="4"/>
  <c r="U61" i="4"/>
  <c r="R61" i="4"/>
  <c r="T61" i="4" s="1"/>
  <c r="V60" i="4"/>
  <c r="R60" i="4"/>
  <c r="U60" i="4" s="1"/>
  <c r="V59" i="4"/>
  <c r="U59" i="4"/>
  <c r="T59" i="4"/>
  <c r="S59" i="4"/>
  <c r="R59" i="4"/>
  <c r="V58" i="4"/>
  <c r="R58" i="4"/>
  <c r="U58" i="4" s="1"/>
  <c r="V57" i="4"/>
  <c r="R57" i="4"/>
  <c r="V56" i="4"/>
  <c r="R56" i="4"/>
  <c r="V55" i="4"/>
  <c r="U55" i="4"/>
  <c r="T55" i="4"/>
  <c r="S55" i="4"/>
  <c r="R55" i="4"/>
  <c r="V54" i="4"/>
  <c r="U54" i="4"/>
  <c r="T54" i="4"/>
  <c r="R54" i="4"/>
  <c r="S54" i="4" s="1"/>
  <c r="V53" i="4"/>
  <c r="R53" i="4"/>
  <c r="U53" i="4" s="1"/>
  <c r="V52" i="4"/>
  <c r="R52" i="4"/>
  <c r="S52" i="4" s="1"/>
  <c r="V51" i="4"/>
  <c r="R51" i="4"/>
  <c r="V50" i="4"/>
  <c r="U50" i="4"/>
  <c r="T50" i="4"/>
  <c r="R50" i="4"/>
  <c r="S50" i="4" s="1"/>
  <c r="V49" i="4"/>
  <c r="U49" i="4"/>
  <c r="R49" i="4"/>
  <c r="T49" i="4" s="1"/>
  <c r="V48" i="4"/>
  <c r="R48" i="4"/>
  <c r="U48" i="4" s="1"/>
  <c r="V47" i="4"/>
  <c r="U47" i="4"/>
  <c r="T47" i="4"/>
  <c r="S47" i="4"/>
  <c r="R47" i="4"/>
  <c r="V46" i="4"/>
  <c r="R46" i="4"/>
  <c r="U46" i="4" s="1"/>
  <c r="V45" i="4"/>
  <c r="R45" i="4"/>
  <c r="V44" i="4"/>
  <c r="R44" i="4"/>
  <c r="V43" i="4"/>
  <c r="U43" i="4"/>
  <c r="T43" i="4"/>
  <c r="S43" i="4"/>
  <c r="R43" i="4"/>
  <c r="V42" i="4"/>
  <c r="U42" i="4"/>
  <c r="T42" i="4"/>
  <c r="R42" i="4"/>
  <c r="S42" i="4" s="1"/>
  <c r="V41" i="4"/>
  <c r="U41" i="4"/>
  <c r="T41" i="4"/>
  <c r="R41" i="4"/>
  <c r="S41" i="4" s="1"/>
  <c r="V40" i="4"/>
  <c r="S40" i="4"/>
  <c r="R40" i="4"/>
  <c r="V39" i="4"/>
  <c r="R39" i="4"/>
  <c r="V38" i="4"/>
  <c r="U38" i="4"/>
  <c r="T38" i="4"/>
  <c r="R38" i="4"/>
  <c r="S38" i="4" s="1"/>
  <c r="V37" i="4"/>
  <c r="U37" i="4"/>
  <c r="R37" i="4"/>
  <c r="T37" i="4" s="1"/>
  <c r="V36" i="4"/>
  <c r="R36" i="4"/>
  <c r="U36" i="4" s="1"/>
  <c r="V35" i="4"/>
  <c r="U35" i="4"/>
  <c r="T35" i="4"/>
  <c r="S35" i="4"/>
  <c r="R35" i="4"/>
  <c r="V34" i="4"/>
  <c r="T34" i="4"/>
  <c r="S34" i="4"/>
  <c r="R34" i="4"/>
  <c r="U34" i="4" s="1"/>
  <c r="V33" i="4"/>
  <c r="R33" i="4"/>
  <c r="V32" i="4"/>
  <c r="R32" i="4"/>
  <c r="V31" i="4"/>
  <c r="U31" i="4"/>
  <c r="T31" i="4"/>
  <c r="S31" i="4"/>
  <c r="R31" i="4"/>
  <c r="V30" i="4"/>
  <c r="U30" i="4"/>
  <c r="T30" i="4"/>
  <c r="R30" i="4"/>
  <c r="S30" i="4" s="1"/>
  <c r="V29" i="4"/>
  <c r="R29" i="4"/>
  <c r="U29" i="4" s="1"/>
  <c r="V28" i="4"/>
  <c r="R28" i="4"/>
  <c r="I135" i="4"/>
  <c r="J135" i="4"/>
  <c r="K135" i="4" s="1"/>
  <c r="O135" i="4" s="1"/>
  <c r="P135" i="4" s="1"/>
  <c r="L135" i="4"/>
  <c r="M135" i="4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 s="1"/>
  <c r="O139" i="4" s="1"/>
  <c r="P139" i="4" s="1"/>
  <c r="L139" i="4"/>
  <c r="M139" i="4"/>
  <c r="N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J143" i="4"/>
  <c r="K143" i="4" s="1"/>
  <c r="O143" i="4" s="1"/>
  <c r="P143" i="4" s="1"/>
  <c r="L143" i="4"/>
  <c r="M143" i="4"/>
  <c r="N143" i="4"/>
  <c r="Q143" i="4"/>
  <c r="T36" i="4" l="1"/>
  <c r="T77" i="4"/>
  <c r="U113" i="4"/>
  <c r="U44" i="4"/>
  <c r="T44" i="4"/>
  <c r="S44" i="4"/>
  <c r="T57" i="4"/>
  <c r="S57" i="4"/>
  <c r="U63" i="4"/>
  <c r="T63" i="4"/>
  <c r="U112" i="4"/>
  <c r="T112" i="4"/>
  <c r="S29" i="4"/>
  <c r="U57" i="4"/>
  <c r="S60" i="4"/>
  <c r="S63" i="4"/>
  <c r="U76" i="4"/>
  <c r="T76" i="4"/>
  <c r="S112" i="4"/>
  <c r="T29" i="4"/>
  <c r="U32" i="4"/>
  <c r="T32" i="4"/>
  <c r="S32" i="4"/>
  <c r="T45" i="4"/>
  <c r="S45" i="4"/>
  <c r="U51" i="4"/>
  <c r="T51" i="4"/>
  <c r="T60" i="4"/>
  <c r="S70" i="4"/>
  <c r="S76" i="4"/>
  <c r="S125" i="4"/>
  <c r="U45" i="4"/>
  <c r="S48" i="4"/>
  <c r="S51" i="4"/>
  <c r="U64" i="4"/>
  <c r="T64" i="4"/>
  <c r="T70" i="4"/>
  <c r="S89" i="4"/>
  <c r="T125" i="4"/>
  <c r="U128" i="4"/>
  <c r="T128" i="4"/>
  <c r="S128" i="4"/>
  <c r="T33" i="4"/>
  <c r="S33" i="4"/>
  <c r="U39" i="4"/>
  <c r="T39" i="4"/>
  <c r="T48" i="4"/>
  <c r="S58" i="4"/>
  <c r="S64" i="4"/>
  <c r="T89" i="4"/>
  <c r="U92" i="4"/>
  <c r="T92" i="4"/>
  <c r="S92" i="4"/>
  <c r="S113" i="4"/>
  <c r="U142" i="4"/>
  <c r="T142" i="4"/>
  <c r="U33" i="4"/>
  <c r="S36" i="4"/>
  <c r="S39" i="4"/>
  <c r="U52" i="4"/>
  <c r="T52" i="4"/>
  <c r="T58" i="4"/>
  <c r="S77" i="4"/>
  <c r="U103" i="4"/>
  <c r="T103" i="4"/>
  <c r="U116" i="4"/>
  <c r="T116" i="4"/>
  <c r="S116" i="4"/>
  <c r="T129" i="4"/>
  <c r="S129" i="4"/>
  <c r="U135" i="4"/>
  <c r="T135" i="4"/>
  <c r="S142" i="4"/>
  <c r="S46" i="4"/>
  <c r="U80" i="4"/>
  <c r="T80" i="4"/>
  <c r="S80" i="4"/>
  <c r="T93" i="4"/>
  <c r="S93" i="4"/>
  <c r="S132" i="4"/>
  <c r="U40" i="4"/>
  <c r="T40" i="4"/>
  <c r="T46" i="4"/>
  <c r="U93" i="4"/>
  <c r="T117" i="4"/>
  <c r="S117" i="4"/>
  <c r="U123" i="4"/>
  <c r="T123" i="4"/>
  <c r="U68" i="4"/>
  <c r="T68" i="4"/>
  <c r="S68" i="4"/>
  <c r="T81" i="4"/>
  <c r="S81" i="4"/>
  <c r="U87" i="4"/>
  <c r="T87" i="4"/>
  <c r="U104" i="4"/>
  <c r="T104" i="4"/>
  <c r="U136" i="4"/>
  <c r="T136" i="4"/>
  <c r="S136" i="4"/>
  <c r="U28" i="4"/>
  <c r="T28" i="4"/>
  <c r="S53" i="4"/>
  <c r="U81" i="4"/>
  <c r="S84" i="4"/>
  <c r="S87" i="4"/>
  <c r="S104" i="4"/>
  <c r="U111" i="4"/>
  <c r="T111" i="4"/>
  <c r="S130" i="4"/>
  <c r="S28" i="4"/>
  <c r="T53" i="4"/>
  <c r="U56" i="4"/>
  <c r="T56" i="4"/>
  <c r="S56" i="4"/>
  <c r="T69" i="4"/>
  <c r="S69" i="4"/>
  <c r="U75" i="4"/>
  <c r="T75" i="4"/>
  <c r="T84" i="4"/>
  <c r="S94" i="4"/>
  <c r="S108" i="4"/>
  <c r="S111" i="4"/>
  <c r="U124" i="4"/>
  <c r="T124" i="4"/>
  <c r="T130" i="4"/>
  <c r="U69" i="4"/>
  <c r="S75" i="4"/>
  <c r="U88" i="4"/>
  <c r="T88" i="4"/>
  <c r="T94" i="4"/>
  <c r="S118" i="4"/>
  <c r="S124" i="4"/>
  <c r="S137" i="4"/>
  <c r="S140" i="4"/>
  <c r="S37" i="4"/>
  <c r="S49" i="4"/>
  <c r="S61" i="4"/>
  <c r="S73" i="4"/>
  <c r="S85" i="4"/>
  <c r="S101" i="4"/>
  <c r="S109" i="4"/>
  <c r="S121" i="4"/>
  <c r="S133" i="4"/>
  <c r="T140" i="4"/>
  <c r="S141" i="4"/>
  <c r="N140" i="4"/>
  <c r="Q140" i="4" s="1"/>
  <c r="N136" i="4"/>
  <c r="Q136" i="4" s="1"/>
  <c r="I128" i="4" l="1"/>
  <c r="J128" i="4"/>
  <c r="K128" i="4"/>
  <c r="O128" i="4" s="1"/>
  <c r="P128" i="4" s="1"/>
  <c r="L128" i="4"/>
  <c r="M128" i="4"/>
  <c r="N128" i="4"/>
  <c r="Q128" i="4"/>
  <c r="I129" i="4"/>
  <c r="L129" i="4" s="1"/>
  <c r="M129" i="4" s="1"/>
  <c r="J129" i="4"/>
  <c r="K129" i="4" s="1"/>
  <c r="O129" i="4" s="1"/>
  <c r="P129" i="4" s="1"/>
  <c r="I130" i="4"/>
  <c r="N130" i="4" s="1"/>
  <c r="Q130" i="4" s="1"/>
  <c r="J130" i="4"/>
  <c r="K130" i="4"/>
  <c r="O130" i="4" s="1"/>
  <c r="P130" i="4" s="1"/>
  <c r="I131" i="4"/>
  <c r="J131" i="4"/>
  <c r="K131" i="4"/>
  <c r="N131" i="4"/>
  <c r="O131" i="4"/>
  <c r="P131" i="4"/>
  <c r="Q131" i="4"/>
  <c r="I132" i="4"/>
  <c r="L132" i="4" s="1"/>
  <c r="M132" i="4" s="1"/>
  <c r="J132" i="4"/>
  <c r="K132" i="4" s="1"/>
  <c r="O132" i="4" s="1"/>
  <c r="P132" i="4" s="1"/>
  <c r="I133" i="4"/>
  <c r="N133" i="4" s="1"/>
  <c r="Q133" i="4" s="1"/>
  <c r="J133" i="4"/>
  <c r="K133" i="4"/>
  <c r="O133" i="4" s="1"/>
  <c r="P133" i="4" s="1"/>
  <c r="L133" i="4"/>
  <c r="M133" i="4"/>
  <c r="I134" i="4"/>
  <c r="J134" i="4"/>
  <c r="K134" i="4"/>
  <c r="L134" i="4"/>
  <c r="M134" i="4"/>
  <c r="N134" i="4"/>
  <c r="Q134" i="4" s="1"/>
  <c r="O134" i="4"/>
  <c r="P134" i="4"/>
  <c r="L130" i="4" l="1"/>
  <c r="N129" i="4"/>
  <c r="Q129" i="4" s="1"/>
  <c r="N132" i="4"/>
  <c r="Q132" i="4" s="1"/>
  <c r="L131" i="4"/>
  <c r="M130" i="4" l="1"/>
  <c r="M131" i="4"/>
  <c r="O15" i="1"/>
  <c r="L15" i="1"/>
  <c r="N15" i="1"/>
  <c r="M101" i="4"/>
  <c r="M109" i="4"/>
  <c r="M118" i="4"/>
  <c r="J16" i="4"/>
  <c r="J15" i="4"/>
  <c r="J87" i="4"/>
  <c r="K87" i="4"/>
  <c r="O87" i="4" s="1"/>
  <c r="P87" i="4" s="1"/>
  <c r="J122" i="4"/>
  <c r="K122" i="4"/>
  <c r="O122" i="4" s="1"/>
  <c r="P122" i="4" s="1"/>
  <c r="J117" i="4"/>
  <c r="L117" i="4" s="1"/>
  <c r="M117" i="4" s="1"/>
  <c r="K117" i="4"/>
  <c r="O117" i="4" s="1"/>
  <c r="P117" i="4" s="1"/>
  <c r="J120" i="4"/>
  <c r="K120" i="4"/>
  <c r="J101" i="4"/>
  <c r="K101" i="4" s="1"/>
  <c r="O101" i="4" s="1"/>
  <c r="P101" i="4" s="1"/>
  <c r="J86" i="4"/>
  <c r="K86" i="4" s="1"/>
  <c r="J85" i="4"/>
  <c r="K85" i="4"/>
  <c r="O85" i="4" s="1"/>
  <c r="P85" i="4" s="1"/>
  <c r="J88" i="4"/>
  <c r="K88" i="4" s="1"/>
  <c r="J119" i="4"/>
  <c r="K119" i="4"/>
  <c r="J72" i="4"/>
  <c r="K72" i="4"/>
  <c r="J103" i="4"/>
  <c r="L103" i="4" s="1"/>
  <c r="M103" i="4" s="1"/>
  <c r="K103" i="4"/>
  <c r="O103" i="4" s="1"/>
  <c r="P103" i="4" s="1"/>
  <c r="J118" i="4"/>
  <c r="K118" i="4" s="1"/>
  <c r="O118" i="4" s="1"/>
  <c r="P118" i="4" s="1"/>
  <c r="J104" i="4"/>
  <c r="K104" i="4"/>
  <c r="J90" i="4"/>
  <c r="K90" i="4" s="1"/>
  <c r="J71" i="4"/>
  <c r="K71" i="4"/>
  <c r="J110" i="4"/>
  <c r="K110" i="4"/>
  <c r="O110" i="4" s="1"/>
  <c r="P110" i="4" s="1"/>
  <c r="J82" i="4"/>
  <c r="K82" i="4"/>
  <c r="J113" i="4"/>
  <c r="K113" i="4" s="1"/>
  <c r="O113" i="4" s="1"/>
  <c r="P113" i="4" s="1"/>
  <c r="J97" i="4"/>
  <c r="K97" i="4" s="1"/>
  <c r="J81" i="4"/>
  <c r="K81" i="4" s="1"/>
  <c r="J116" i="4"/>
  <c r="K116" i="4"/>
  <c r="J100" i="4"/>
  <c r="K100" i="4" s="1"/>
  <c r="O100" i="4" s="1"/>
  <c r="P100" i="4" s="1"/>
  <c r="J84" i="4"/>
  <c r="K84" i="4" s="1"/>
  <c r="J114" i="4"/>
  <c r="K114" i="4"/>
  <c r="J78" i="4"/>
  <c r="K78" i="4" s="1"/>
  <c r="J115" i="4"/>
  <c r="K115" i="4" s="1"/>
  <c r="J99" i="4"/>
  <c r="K99" i="4"/>
  <c r="O99" i="4" s="1"/>
  <c r="P99" i="4" s="1"/>
  <c r="J83" i="4"/>
  <c r="K83" i="4"/>
  <c r="J102" i="4"/>
  <c r="L102" i="4" s="1"/>
  <c r="M102" i="4" s="1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O112" i="4" s="1"/>
  <c r="P112" i="4" s="1"/>
  <c r="J96" i="4"/>
  <c r="K96" i="4"/>
  <c r="O96" i="4" s="1"/>
  <c r="P96" i="4" s="1"/>
  <c r="J80" i="4"/>
  <c r="K80" i="4" s="1"/>
  <c r="J106" i="4"/>
  <c r="K106" i="4" s="1"/>
  <c r="O106" i="4" s="1"/>
  <c r="P106" i="4" s="1"/>
  <c r="J127" i="4"/>
  <c r="K127" i="4"/>
  <c r="J111" i="4"/>
  <c r="K111" i="4"/>
  <c r="J95" i="4"/>
  <c r="K95" i="4" s="1"/>
  <c r="J79" i="4"/>
  <c r="K79" i="4"/>
  <c r="J126" i="4"/>
  <c r="K126" i="4"/>
  <c r="J94" i="4"/>
  <c r="K94" i="4"/>
  <c r="J121" i="4"/>
  <c r="K121" i="4"/>
  <c r="J105" i="4"/>
  <c r="K105" i="4"/>
  <c r="J89" i="4"/>
  <c r="K89" i="4" s="1"/>
  <c r="J73" i="4"/>
  <c r="K73" i="4"/>
  <c r="J124" i="4"/>
  <c r="K124" i="4"/>
  <c r="J108" i="4"/>
  <c r="K108" i="4" s="1"/>
  <c r="J92" i="4"/>
  <c r="K92" i="4" s="1"/>
  <c r="J76" i="4"/>
  <c r="K76" i="4"/>
  <c r="J98" i="4"/>
  <c r="K98" i="4"/>
  <c r="J123" i="4"/>
  <c r="K123" i="4"/>
  <c r="O123" i="4" s="1"/>
  <c r="P123" i="4" s="1"/>
  <c r="J107" i="4"/>
  <c r="K107" i="4"/>
  <c r="J91" i="4"/>
  <c r="L91" i="4" s="1"/>
  <c r="J75" i="4"/>
  <c r="K75" i="4" s="1"/>
  <c r="O98" i="4"/>
  <c r="P98" i="4"/>
  <c r="O105" i="4"/>
  <c r="P105" i="4"/>
  <c r="O111" i="4"/>
  <c r="P111" i="4" s="1"/>
  <c r="O104" i="4"/>
  <c r="P104" i="4" s="1"/>
  <c r="O121" i="4"/>
  <c r="P121" i="4"/>
  <c r="O127" i="4"/>
  <c r="P127" i="4"/>
  <c r="O102" i="4"/>
  <c r="P102" i="4"/>
  <c r="O109" i="4"/>
  <c r="P109" i="4"/>
  <c r="O125" i="4"/>
  <c r="P125" i="4"/>
  <c r="I76" i="4"/>
  <c r="L76" i="4" s="1"/>
  <c r="I77" i="4"/>
  <c r="L77" i="4" s="1"/>
  <c r="I81" i="4"/>
  <c r="L81" i="4" s="1"/>
  <c r="I89" i="4"/>
  <c r="I90" i="4"/>
  <c r="L90" i="4" s="1"/>
  <c r="I96" i="4"/>
  <c r="L96" i="4" s="1"/>
  <c r="I99" i="4"/>
  <c r="N99" i="4" s="1"/>
  <c r="Q99" i="4" s="1"/>
  <c r="I102" i="4"/>
  <c r="I104" i="4"/>
  <c r="L104" i="4" s="1"/>
  <c r="M104" i="4" s="1"/>
  <c r="I108" i="4"/>
  <c r="I111" i="4"/>
  <c r="I113" i="4"/>
  <c r="N113" i="4" s="1"/>
  <c r="Q113" i="4" s="1"/>
  <c r="I115" i="4"/>
  <c r="N115" i="4" s="1"/>
  <c r="Q115" i="4" s="1"/>
  <c r="I119" i="4"/>
  <c r="N119" i="4" s="1"/>
  <c r="Q119" i="4" s="1"/>
  <c r="I120" i="4"/>
  <c r="N120" i="4" s="1"/>
  <c r="Q120" i="4" s="1"/>
  <c r="I123" i="4"/>
  <c r="L123" i="4" s="1"/>
  <c r="M123" i="4" s="1"/>
  <c r="I125" i="4"/>
  <c r="I79" i="4"/>
  <c r="N79" i="4" s="1"/>
  <c r="Q79" i="4" s="1"/>
  <c r="I92" i="4"/>
  <c r="N92" i="4" s="1"/>
  <c r="Q92" i="4" s="1"/>
  <c r="I100" i="4"/>
  <c r="I103" i="4"/>
  <c r="I107" i="4"/>
  <c r="I109" i="4"/>
  <c r="I110" i="4"/>
  <c r="I117" i="4"/>
  <c r="N117" i="4" s="1"/>
  <c r="Q117" i="4" s="1"/>
  <c r="I124" i="4"/>
  <c r="N124" i="4" s="1"/>
  <c r="Q124" i="4" s="1"/>
  <c r="I72" i="4"/>
  <c r="N72" i="4" s="1"/>
  <c r="Q72" i="4" s="1"/>
  <c r="I106" i="4"/>
  <c r="I71" i="4"/>
  <c r="N71" i="4" s="1"/>
  <c r="Q71" i="4" s="1"/>
  <c r="I75" i="4"/>
  <c r="N75" i="4" s="1"/>
  <c r="Q75" i="4" s="1"/>
  <c r="I80" i="4"/>
  <c r="I83" i="4"/>
  <c r="I86" i="4"/>
  <c r="L86" i="4" s="1"/>
  <c r="I88" i="4"/>
  <c r="N88" i="4" s="1"/>
  <c r="Q88" i="4" s="1"/>
  <c r="I94" i="4"/>
  <c r="I95" i="4"/>
  <c r="N95" i="4" s="1"/>
  <c r="Q95" i="4" s="1"/>
  <c r="I98" i="4"/>
  <c r="I101" i="4"/>
  <c r="I118" i="4"/>
  <c r="N118" i="4" s="1"/>
  <c r="Q118" i="4" s="1"/>
  <c r="I127" i="4"/>
  <c r="N127" i="4" s="1"/>
  <c r="Q127" i="4" s="1"/>
  <c r="I73" i="4"/>
  <c r="N73" i="4" s="1"/>
  <c r="Q73" i="4" s="1"/>
  <c r="I74" i="4"/>
  <c r="N74" i="4" s="1"/>
  <c r="Q74" i="4" s="1"/>
  <c r="I78" i="4"/>
  <c r="N78" i="4" s="1"/>
  <c r="Q78" i="4" s="1"/>
  <c r="I82" i="4"/>
  <c r="I85" i="4"/>
  <c r="L85" i="4" s="1"/>
  <c r="I93" i="4"/>
  <c r="I112" i="4"/>
  <c r="I114" i="4"/>
  <c r="N114" i="4" s="1"/>
  <c r="Q114" i="4" s="1"/>
  <c r="I121" i="4"/>
  <c r="L121" i="4" s="1"/>
  <c r="I122" i="4"/>
  <c r="N122" i="4" s="1"/>
  <c r="Q122" i="4" s="1"/>
  <c r="I84" i="4"/>
  <c r="I87" i="4"/>
  <c r="L87" i="4" s="1"/>
  <c r="I91" i="4"/>
  <c r="N91" i="4" s="1"/>
  <c r="Q91" i="4" s="1"/>
  <c r="I97" i="4"/>
  <c r="N97" i="4" s="1"/>
  <c r="Q97" i="4" s="1"/>
  <c r="I105" i="4"/>
  <c r="L105" i="4" s="1"/>
  <c r="M105" i="4" s="1"/>
  <c r="I116" i="4"/>
  <c r="N116" i="4" s="1"/>
  <c r="Q116" i="4" s="1"/>
  <c r="I126" i="4"/>
  <c r="N126" i="4" s="1"/>
  <c r="Q126" i="4" s="1"/>
  <c r="N121" i="4"/>
  <c r="Q121" i="4"/>
  <c r="N101" i="4"/>
  <c r="Q101" i="4"/>
  <c r="L101" i="4"/>
  <c r="L106" i="4"/>
  <c r="M106" i="4" s="1"/>
  <c r="N106" i="4"/>
  <c r="Q106" i="4" s="1"/>
  <c r="N108" i="4"/>
  <c r="Q108" i="4" s="1"/>
  <c r="N98" i="4"/>
  <c r="Q98" i="4"/>
  <c r="L98" i="4"/>
  <c r="M98" i="4" s="1"/>
  <c r="N86" i="4"/>
  <c r="Q86" i="4" s="1"/>
  <c r="N103" i="4"/>
  <c r="Q103" i="4"/>
  <c r="L125" i="4"/>
  <c r="M125" i="4" s="1"/>
  <c r="N125" i="4"/>
  <c r="Q125" i="4"/>
  <c r="N104" i="4"/>
  <c r="Q104" i="4" s="1"/>
  <c r="N76" i="4"/>
  <c r="Q76" i="4" s="1"/>
  <c r="L112" i="4"/>
  <c r="M112" i="4" s="1"/>
  <c r="N112" i="4"/>
  <c r="Q112" i="4"/>
  <c r="L78" i="4"/>
  <c r="N83" i="4"/>
  <c r="Q83" i="4" s="1"/>
  <c r="N110" i="4"/>
  <c r="Q110" i="4"/>
  <c r="L110" i="4"/>
  <c r="M110" i="4" s="1"/>
  <c r="L100" i="4"/>
  <c r="M100" i="4" s="1"/>
  <c r="N100" i="4"/>
  <c r="Q100" i="4"/>
  <c r="N102" i="4"/>
  <c r="Q102" i="4"/>
  <c r="N89" i="4"/>
  <c r="Q89" i="4" s="1"/>
  <c r="L116" i="4"/>
  <c r="N87" i="4"/>
  <c r="Q87" i="4" s="1"/>
  <c r="L118" i="4"/>
  <c r="L94" i="4"/>
  <c r="N94" i="4"/>
  <c r="Q94" i="4" s="1"/>
  <c r="N80" i="4"/>
  <c r="Q80" i="4" s="1"/>
  <c r="N109" i="4"/>
  <c r="Q109" i="4" s="1"/>
  <c r="L109" i="4"/>
  <c r="N111" i="4"/>
  <c r="Q111" i="4"/>
  <c r="L111" i="4"/>
  <c r="M111" i="4" s="1"/>
  <c r="N81" i="4"/>
  <c r="Q81" i="4" s="1"/>
  <c r="O108" i="4" l="1"/>
  <c r="P108" i="4" s="1"/>
  <c r="O115" i="4"/>
  <c r="P115" i="4" s="1"/>
  <c r="O126" i="4"/>
  <c r="P126" i="4" s="1"/>
  <c r="L99" i="4"/>
  <c r="M99" i="4" s="1"/>
  <c r="M116" i="4"/>
  <c r="L92" i="4"/>
  <c r="L122" i="4"/>
  <c r="M122" i="4" s="1"/>
  <c r="N90" i="4"/>
  <c r="Q90" i="4" s="1"/>
  <c r="N105" i="4"/>
  <c r="Q105" i="4" s="1"/>
  <c r="L127" i="4"/>
  <c r="O74" i="4"/>
  <c r="P74" i="4" s="1"/>
  <c r="O107" i="4"/>
  <c r="P107" i="4" s="1"/>
  <c r="L73" i="4"/>
  <c r="M121" i="4"/>
  <c r="O116" i="4"/>
  <c r="P116" i="4" s="1"/>
  <c r="L108" i="4"/>
  <c r="O119" i="4"/>
  <c r="P119" i="4" s="1"/>
  <c r="O120" i="4"/>
  <c r="P120" i="4" s="1"/>
  <c r="L93" i="4"/>
  <c r="L107" i="4"/>
  <c r="M91" i="4"/>
  <c r="O71" i="4"/>
  <c r="P71" i="4" s="1"/>
  <c r="L113" i="4"/>
  <c r="M113" i="4" s="1"/>
  <c r="N77" i="4"/>
  <c r="Q77" i="4" s="1"/>
  <c r="L71" i="4"/>
  <c r="N123" i="4"/>
  <c r="Q123" i="4" s="1"/>
  <c r="L124" i="4"/>
  <c r="L97" i="4"/>
  <c r="O114" i="4"/>
  <c r="P114" i="4" s="1"/>
  <c r="O124" i="4"/>
  <c r="P124" i="4" s="1"/>
  <c r="L84" i="4"/>
  <c r="L95" i="4"/>
  <c r="M95" i="4" s="1"/>
  <c r="K91" i="4"/>
  <c r="M73" i="4"/>
  <c r="M85" i="4"/>
  <c r="M81" i="4"/>
  <c r="M77" i="4"/>
  <c r="M76" i="4"/>
  <c r="M92" i="4"/>
  <c r="O78" i="4"/>
  <c r="P78" i="4" s="1"/>
  <c r="N84" i="4"/>
  <c r="Q84" i="4" s="1"/>
  <c r="O82" i="4"/>
  <c r="P82" i="4" s="1"/>
  <c r="O84" i="4"/>
  <c r="P84" i="4" s="1"/>
  <c r="O72" i="4"/>
  <c r="P72" i="4" s="1"/>
  <c r="L119" i="4"/>
  <c r="O73" i="4"/>
  <c r="P73" i="4" s="1"/>
  <c r="M87" i="4"/>
  <c r="L114" i="4"/>
  <c r="O95" i="4"/>
  <c r="P95" i="4" s="1"/>
  <c r="O83" i="4"/>
  <c r="P83" i="4" s="1"/>
  <c r="L115" i="4"/>
  <c r="O89" i="4"/>
  <c r="P89" i="4" s="1"/>
  <c r="L126" i="4"/>
  <c r="L83" i="4"/>
  <c r="O93" i="4"/>
  <c r="P93" i="4" s="1"/>
  <c r="O88" i="4"/>
  <c r="P88" i="4" s="1"/>
  <c r="L120" i="4"/>
  <c r="M94" i="4"/>
  <c r="L72" i="4"/>
  <c r="O76" i="4"/>
  <c r="P76" i="4" s="1"/>
  <c r="N107" i="4"/>
  <c r="Q107" i="4" s="1"/>
  <c r="L74" i="4"/>
  <c r="M96" i="4"/>
  <c r="O81" i="4"/>
  <c r="P81" i="4" s="1"/>
  <c r="L89" i="4"/>
  <c r="N85" i="4"/>
  <c r="Q85" i="4" s="1"/>
  <c r="O75" i="4"/>
  <c r="P75" i="4" s="1"/>
  <c r="O92" i="4"/>
  <c r="P92" i="4" s="1"/>
  <c r="O97" i="4"/>
  <c r="P97" i="4" s="1"/>
  <c r="O86" i="4"/>
  <c r="P86" i="4" s="1"/>
  <c r="M78" i="4"/>
  <c r="M86" i="4"/>
  <c r="O80" i="4"/>
  <c r="P80" i="4" s="1"/>
  <c r="M90" i="4"/>
  <c r="O79" i="4"/>
  <c r="P79" i="4" s="1"/>
  <c r="O77" i="4"/>
  <c r="P77" i="4" s="1"/>
  <c r="L80" i="4"/>
  <c r="L82" i="4"/>
  <c r="O90" i="4"/>
  <c r="P90" i="4" s="1"/>
  <c r="O94" i="4"/>
  <c r="P94" i="4" s="1"/>
  <c r="M97" i="4"/>
  <c r="L79" i="4"/>
  <c r="L75" i="4"/>
  <c r="L88" i="4"/>
  <c r="N82" i="4"/>
  <c r="Q82" i="4" s="1"/>
  <c r="N96" i="4"/>
  <c r="Q96" i="4" s="1"/>
  <c r="N93" i="4"/>
  <c r="Q93" i="4" s="1"/>
  <c r="J14" i="4"/>
  <c r="J13" i="4" s="1"/>
  <c r="K16" i="4" s="1"/>
  <c r="M124" i="4" l="1"/>
  <c r="M119" i="4"/>
  <c r="M108" i="4"/>
  <c r="M93" i="4"/>
  <c r="M126" i="4"/>
  <c r="M127" i="4"/>
  <c r="O91" i="4"/>
  <c r="P91" i="4" s="1"/>
  <c r="M114" i="4"/>
  <c r="M107" i="4"/>
  <c r="M120" i="4"/>
  <c r="M71" i="4"/>
  <c r="M115" i="4"/>
  <c r="M84" i="4"/>
  <c r="M88" i="4"/>
  <c r="M72" i="4"/>
  <c r="M80" i="4"/>
  <c r="M83" i="4"/>
  <c r="M75" i="4"/>
  <c r="M79" i="4"/>
  <c r="M74" i="4"/>
  <c r="M82" i="4"/>
  <c r="M89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0" i="4" l="1"/>
  <c r="P60" i="4" s="1"/>
  <c r="O62" i="4"/>
  <c r="P62" i="4" s="1"/>
  <c r="O61" i="4"/>
  <c r="P61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1" i="4" l="1"/>
  <c r="M62" i="4"/>
  <c r="M70" i="4"/>
  <c r="M60" i="4"/>
  <c r="M63" i="4"/>
  <c r="O64" i="4"/>
  <c r="P64" i="4" s="1"/>
  <c r="M69" i="4"/>
  <c r="M58" i="4"/>
  <c r="O65" i="4"/>
  <c r="P65" i="4" s="1"/>
  <c r="M66" i="4"/>
  <c r="O67" i="4"/>
  <c r="P67" i="4" s="1"/>
  <c r="M67" i="4"/>
  <c r="O68" i="4"/>
  <c r="P68" i="4" s="1"/>
  <c r="M64" i="4"/>
  <c r="O69" i="4"/>
  <c r="P69" i="4" s="1"/>
  <c r="M57" i="4"/>
  <c r="O66" i="4"/>
  <c r="P66" i="4" s="1"/>
  <c r="M65" i="4"/>
  <c r="M68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45" i="4"/>
  <c r="L45" i="4" s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7" i="4"/>
  <c r="K44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50" i="4"/>
  <c r="M50" i="4" s="1"/>
  <c r="K50" i="4"/>
  <c r="O50" i="4" s="1"/>
  <c r="P50" i="4" s="1"/>
  <c r="L49" i="4"/>
  <c r="K49" i="4"/>
  <c r="K39" i="4" l="1"/>
  <c r="K45" i="4"/>
  <c r="O48" i="4"/>
  <c r="P48" i="4" s="1"/>
  <c r="M48" i="4"/>
  <c r="O49" i="4"/>
  <c r="P49" i="4" s="1"/>
  <c r="M49" i="4"/>
  <c r="L43" i="4"/>
  <c r="M39" i="4"/>
  <c r="O44" i="4"/>
  <c r="P44" i="4" s="1"/>
  <c r="M47" i="4"/>
  <c r="O45" i="4"/>
  <c r="P45" i="4" s="1"/>
  <c r="O47" i="4"/>
  <c r="P47" i="4" s="1"/>
  <c r="M45" i="4"/>
  <c r="O33" i="4"/>
  <c r="P33" i="4" s="1"/>
  <c r="M35" i="4"/>
  <c r="O28" i="4"/>
  <c r="P28" i="4" s="1"/>
  <c r="O46" i="4"/>
  <c r="P46" i="4" s="1"/>
  <c r="L30" i="4"/>
  <c r="M44" i="4"/>
  <c r="O31" i="4"/>
  <c r="P31" i="4" s="1"/>
  <c r="O43" i="4"/>
  <c r="P43" i="4" s="1"/>
  <c r="M43" i="4"/>
  <c r="O41" i="4"/>
  <c r="P41" i="4" s="1"/>
  <c r="O30" i="4"/>
  <c r="P30" i="4" s="1"/>
  <c r="O39" i="4"/>
  <c r="P39" i="4" s="1"/>
  <c r="L31" i="4"/>
  <c r="K3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37" i="4" l="1"/>
  <c r="P37" i="4" s="1"/>
  <c r="M46" i="4"/>
  <c r="O36" i="4"/>
  <c r="P36" i="4" s="1"/>
  <c r="O35" i="4"/>
  <c r="P35" i="4" s="1"/>
  <c r="M31" i="4"/>
  <c r="O29" i="4"/>
  <c r="P29" i="4" s="1"/>
  <c r="O32" i="4"/>
  <c r="P32" i="4" s="1"/>
  <c r="O38" i="4"/>
  <c r="P38" i="4" s="1"/>
  <c r="O40" i="4"/>
  <c r="P40" i="4" s="1"/>
  <c r="M33" i="4"/>
  <c r="O34" i="4"/>
  <c r="P34" i="4" s="1"/>
  <c r="M30" i="4"/>
  <c r="O42" i="4"/>
  <c r="P42" i="4" s="1"/>
  <c r="M4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<sst xmlns="http://schemas.openxmlformats.org/spreadsheetml/2006/main" count="340" uniqueCount="314">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</sst>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N25" sqref="N2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80</v>
      </c>
      <c r="K17" s="31" t="s">
        <v>80</v>
      </c>
      <c r="L17" s="80">
        <v>2.6205E-3</v>
      </c>
      <c r="M17" s="80">
        <v>2.8380000000000001E-4</v>
      </c>
      <c r="N17" s="80">
        <v>9.5699999999999995E-5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C105" zoomScale="70" zoomScaleNormal="70" workbookViewId="0">
      <selection activeCell="S28" sqref="S28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40.016800000000003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39.807474800000001</v>
      </c>
      <c r="K8" s="39">
        <f>J8/J7</f>
        <v>0.9947690669918634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0.19358928000000003</v>
      </c>
      <c r="K9" s="39">
        <f>J9/J7</f>
        <v>4.8377001659303098E-3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1.573592E-2</v>
      </c>
      <c r="K10" s="39">
        <f>J10/J7</f>
        <v>3.9323284220627334E-4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39.7928</v>
      </c>
      <c r="K14" s="39">
        <f>J14/J13</f>
        <v>0.99482000000000004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1.6799999999999999E-2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1.46748E-2</v>
      </c>
      <c r="K20" s="39">
        <f>J20/J19</f>
        <v>0.87350000000000005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1.58928E-3</v>
      </c>
      <c r="K21" s="39">
        <f>J21/J19</f>
        <v>9.4600000000000004E-2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5.3591999999999995E-4</v>
      </c>
      <c r="K22" s="39">
        <f>J22/J19</f>
        <v>3.1899999999999998E-2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9.4441934040065591E-3</v>
      </c>
      <c r="K28" s="93">
        <f t="shared" ref="K28:K47" si="3">IF(D28=0,"",1/(1+10^D28*$J$15/$J$14+10^E28*$J$16/$J$14+10^J28*$J$19/$J$14))</f>
        <v>0.9935417402500798</v>
      </c>
      <c r="L28" s="93">
        <f t="shared" ref="L28:L47" si="4">IF(D28=0,"",1/(1+10^I28/10^J28*$J$13/$J$19))</f>
        <v>4.2868184699548968E-4</v>
      </c>
      <c r="M28" s="93">
        <f t="shared" ref="M28:M47" si="5">IF(D28=0,"",1-L28)</f>
        <v>0.99957131815300448</v>
      </c>
      <c r="N28" s="93">
        <f t="shared" ref="N28:N47" si="6">IF(D28=0,"",1/(1/10^E28*$J$20/$J$22+10^D28/10^E28*$J$21/$J$22+10^I28/10^E28*$J$13/$J$22+1))</f>
        <v>1.6169536941133371E-5</v>
      </c>
      <c r="O28" s="40">
        <f t="shared" ref="O28:O47" si="7">IF(D28=0,"",F28*K28*$J$7/$J$14)</f>
        <v>9.9913454472264811E-7</v>
      </c>
      <c r="P28" s="40">
        <f t="shared" ref="P28:P47" si="8">IF(D28=0,"",O28*10^J28)</f>
        <v>1.021099746121971E-6</v>
      </c>
      <c r="Q28" s="40">
        <f t="shared" ref="Q28:Q47" si="9">IF(D28=0,"",F28*N28*$J$7/$J$22)</f>
        <v>1.2073688719695962E-6</v>
      </c>
      <c r="R28" s="9">
        <f>F28*$C$14</f>
        <v>3.9999999999999996E-5</v>
      </c>
      <c r="S28" s="9">
        <f>$R28*L28</f>
        <v>1.7147273879819587E-8</v>
      </c>
      <c r="T28" s="9">
        <f t="shared" ref="T28:T91" si="10">R28*K28</f>
        <v>3.9741669610003186E-5</v>
      </c>
      <c r="U28" s="9">
        <f t="shared" ref="U28:U91" si="11">$R28*M28</f>
        <v>3.9982852726120175E-5</v>
      </c>
      <c r="V28" s="100">
        <f>K28/M28</f>
        <v>0.99396783621796381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0.32619780382173885</v>
      </c>
      <c r="J29" s="92">
        <f t="shared" si="2"/>
        <v>1.5094227425203597</v>
      </c>
      <c r="K29" s="93">
        <f t="shared" si="3"/>
        <v>0.46641682038717552</v>
      </c>
      <c r="L29" s="93">
        <f t="shared" si="4"/>
        <v>6.3635832364546925E-3</v>
      </c>
      <c r="M29" s="93">
        <f t="shared" si="5"/>
        <v>0.9936364167635453</v>
      </c>
      <c r="N29" s="93">
        <f t="shared" si="6"/>
        <v>2.3881943670108945E-3</v>
      </c>
      <c r="O29" s="40">
        <f t="shared" si="7"/>
        <v>4.6904235484986044E-7</v>
      </c>
      <c r="P29" s="40">
        <f t="shared" si="8"/>
        <v>1.5157752241461913E-5</v>
      </c>
      <c r="Q29" s="40">
        <f t="shared" si="9"/>
        <v>1.7832492973914309E-4</v>
      </c>
      <c r="R29" s="9">
        <f t="shared" ref="R29:R92" si="12">F29*$C$14</f>
        <v>3.9999999999999996E-5</v>
      </c>
      <c r="S29" s="9">
        <f t="shared" ref="S29:S92" si="13">$R29*L29</f>
        <v>2.5454332945818766E-7</v>
      </c>
      <c r="T29" s="9">
        <f t="shared" si="10"/>
        <v>1.8656672815487018E-5</v>
      </c>
      <c r="U29" s="9">
        <f t="shared" si="11"/>
        <v>3.9745456670541809E-5</v>
      </c>
      <c r="V29" s="100">
        <f t="shared" ref="V29:V92" si="14">K29/M29</f>
        <v>0.46940391124791903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2.0854020627961285</v>
      </c>
      <c r="J30" s="92">
        <f t="shared" si="2"/>
        <v>3.3785873717782535</v>
      </c>
      <c r="K30" s="93">
        <f t="shared" si="3"/>
        <v>8.1053985177819404E-3</v>
      </c>
      <c r="L30" s="93">
        <f t="shared" si="4"/>
        <v>8.1821328563477323E-3</v>
      </c>
      <c r="M30" s="93">
        <f t="shared" si="5"/>
        <v>0.99181786714365228</v>
      </c>
      <c r="N30" s="93">
        <f t="shared" si="6"/>
        <v>4.7650760717972236E-5</v>
      </c>
      <c r="O30" s="40">
        <f t="shared" si="7"/>
        <v>8.1510250951522975E-9</v>
      </c>
      <c r="P30" s="40">
        <f t="shared" si="8"/>
        <v>1.9489450838446198E-5</v>
      </c>
      <c r="Q30" s="40">
        <f t="shared" si="9"/>
        <v>3.5580515030208826E-6</v>
      </c>
      <c r="R30" s="9">
        <f t="shared" si="12"/>
        <v>3.9999999999999996E-5</v>
      </c>
      <c r="S30" s="9">
        <f t="shared" si="13"/>
        <v>3.2728531425390925E-7</v>
      </c>
      <c r="T30" s="9">
        <f t="shared" si="10"/>
        <v>3.2421594071127756E-7</v>
      </c>
      <c r="U30" s="9">
        <f t="shared" si="11"/>
        <v>3.9672714685746086E-5</v>
      </c>
      <c r="V30" s="100">
        <f t="shared" si="14"/>
        <v>8.1722650763741238E-3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-2.0020416091501053E-3</v>
      </c>
      <c r="J31" s="92">
        <f t="shared" si="2"/>
        <v>-5.2888799671809497E-2</v>
      </c>
      <c r="K31" s="93">
        <f t="shared" si="3"/>
        <v>0.9990433742060093</v>
      </c>
      <c r="L31" s="93">
        <f t="shared" si="4"/>
        <v>3.7342236640306814E-4</v>
      </c>
      <c r="M31" s="93">
        <f t="shared" si="5"/>
        <v>0.99962657763359697</v>
      </c>
      <c r="N31" s="93">
        <f t="shared" si="6"/>
        <v>2.1876158313753296E-7</v>
      </c>
      <c r="O31" s="40">
        <f t="shared" si="7"/>
        <v>1.0046671482511166E-6</v>
      </c>
      <c r="P31" s="40">
        <f t="shared" si="8"/>
        <v>8.8947429475466077E-7</v>
      </c>
      <c r="Q31" s="40">
        <f t="shared" si="9"/>
        <v>1.6334786013020658E-8</v>
      </c>
      <c r="R31" s="9">
        <f t="shared" si="12"/>
        <v>3.9999999999999996E-5</v>
      </c>
      <c r="S31" s="9">
        <f t="shared" si="13"/>
        <v>1.4936894656122725E-8</v>
      </c>
      <c r="T31" s="9">
        <f t="shared" si="10"/>
        <v>3.9961734968240367E-5</v>
      </c>
      <c r="U31" s="9">
        <f t="shared" si="11"/>
        <v>3.9985063105343878E-5</v>
      </c>
      <c r="V31" s="100">
        <f t="shared" si="14"/>
        <v>0.99941657870985356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5.4008424806920542E-3</v>
      </c>
      <c r="J32" s="92">
        <f t="shared" si="2"/>
        <v>0.1041692201893632</v>
      </c>
      <c r="K32" s="93">
        <f t="shared" si="3"/>
        <v>0.98200736126457477</v>
      </c>
      <c r="L32" s="93">
        <f t="shared" si="4"/>
        <v>5.269734633431345E-4</v>
      </c>
      <c r="M32" s="93">
        <f t="shared" si="5"/>
        <v>0.99947302653665682</v>
      </c>
      <c r="N32" s="93">
        <f t="shared" si="6"/>
        <v>2.6471087934802538E-5</v>
      </c>
      <c r="O32" s="40">
        <f t="shared" si="7"/>
        <v>9.8753523688336176E-7</v>
      </c>
      <c r="P32" s="40">
        <f t="shared" si="8"/>
        <v>1.255225695708902E-6</v>
      </c>
      <c r="Q32" s="40">
        <f t="shared" si="9"/>
        <v>1.9765790261035347E-6</v>
      </c>
      <c r="R32" s="9">
        <f t="shared" si="12"/>
        <v>3.9999999999999996E-5</v>
      </c>
      <c r="S32" s="9">
        <f t="shared" si="13"/>
        <v>2.1078938533725379E-8</v>
      </c>
      <c r="T32" s="9">
        <f t="shared" si="10"/>
        <v>3.9280294450582985E-5</v>
      </c>
      <c r="U32" s="9">
        <f t="shared" si="11"/>
        <v>3.9978921061466269E-5</v>
      </c>
      <c r="V32" s="100">
        <f t="shared" si="14"/>
        <v>0.98252512593300934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9.1527063522880606E-2</v>
      </c>
      <c r="J33" s="92">
        <f t="shared" si="2"/>
        <v>0.86803342541667639</v>
      </c>
      <c r="K33" s="93">
        <f t="shared" si="3"/>
        <v>0.80376395407100909</v>
      </c>
      <c r="L33" s="93">
        <f t="shared" si="4"/>
        <v>2.5041868679245029E-3</v>
      </c>
      <c r="M33" s="93">
        <f t="shared" si="5"/>
        <v>0.99749581313207547</v>
      </c>
      <c r="N33" s="93">
        <f t="shared" si="6"/>
        <v>7.8951321532601769E-4</v>
      </c>
      <c r="O33" s="40">
        <f t="shared" si="7"/>
        <v>8.0828846920218629E-7</v>
      </c>
      <c r="P33" s="40">
        <f t="shared" si="8"/>
        <v>5.9648538724024565E-6</v>
      </c>
      <c r="Q33" s="40">
        <f t="shared" si="9"/>
        <v>5.8952441474582383E-5</v>
      </c>
      <c r="R33" s="9">
        <f t="shared" si="12"/>
        <v>3.9999999999999996E-5</v>
      </c>
      <c r="S33" s="9">
        <f t="shared" si="13"/>
        <v>1.001674747169801E-7</v>
      </c>
      <c r="T33" s="9">
        <f t="shared" si="10"/>
        <v>3.2150558162840358E-5</v>
      </c>
      <c r="U33" s="9">
        <f t="shared" si="11"/>
        <v>3.9899832525283018E-5</v>
      </c>
      <c r="V33" s="100">
        <f t="shared" si="14"/>
        <v>0.80578178222847852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3.1608226539332684E-3</v>
      </c>
      <c r="J34" s="92">
        <f t="shared" si="2"/>
        <v>6.0527862782966999E-2</v>
      </c>
      <c r="K34" s="93">
        <f t="shared" si="3"/>
        <v>0.98713277890797735</v>
      </c>
      <c r="L34" s="93">
        <f t="shared" si="4"/>
        <v>4.7908019624873325E-4</v>
      </c>
      <c r="M34" s="93">
        <f t="shared" si="5"/>
        <v>0.99952091980375124</v>
      </c>
      <c r="N34" s="93">
        <f t="shared" si="6"/>
        <v>1.6337908109876419E-5</v>
      </c>
      <c r="O34" s="40">
        <f t="shared" si="7"/>
        <v>9.9268950631784518E-7</v>
      </c>
      <c r="P34" s="40">
        <f t="shared" si="8"/>
        <v>1.1411462141218043E-6</v>
      </c>
      <c r="Q34" s="40">
        <f t="shared" si="9"/>
        <v>1.2199410383103876E-6</v>
      </c>
      <c r="R34" s="9">
        <f t="shared" si="12"/>
        <v>3.9999999999999996E-5</v>
      </c>
      <c r="S34" s="9">
        <f t="shared" si="13"/>
        <v>1.9163207849949329E-8</v>
      </c>
      <c r="T34" s="9">
        <f t="shared" si="10"/>
        <v>3.9485311156319093E-5</v>
      </c>
      <c r="U34" s="9">
        <f t="shared" si="11"/>
        <v>3.9980836792150044E-5</v>
      </c>
      <c r="V34" s="100">
        <f t="shared" si="14"/>
        <v>0.98760592134659253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1.8333114105419375E-3</v>
      </c>
      <c r="J35" s="92">
        <f t="shared" si="2"/>
        <v>3.308020042167574E-2</v>
      </c>
      <c r="K35" s="93">
        <f t="shared" si="3"/>
        <v>0.99018246132056598</v>
      </c>
      <c r="L35" s="93">
        <f t="shared" si="4"/>
        <v>4.5112844612039022E-4</v>
      </c>
      <c r="M35" s="93">
        <f t="shared" si="5"/>
        <v>0.99954887155387961</v>
      </c>
      <c r="N35" s="93">
        <f t="shared" si="6"/>
        <v>1.1027036973131663E-5</v>
      </c>
      <c r="O35" s="40">
        <f t="shared" si="7"/>
        <v>9.9575635587776736E-7</v>
      </c>
      <c r="P35" s="40">
        <f t="shared" si="8"/>
        <v>1.0745664763518115E-6</v>
      </c>
      <c r="Q35" s="40">
        <f t="shared" si="9"/>
        <v>8.2338172329156442E-7</v>
      </c>
      <c r="R35" s="9">
        <f t="shared" si="12"/>
        <v>3.9999999999999996E-5</v>
      </c>
      <c r="S35" s="9">
        <f t="shared" si="13"/>
        <v>1.8045137844815608E-8</v>
      </c>
      <c r="T35" s="9">
        <f t="shared" si="10"/>
        <v>3.9607298452822639E-5</v>
      </c>
      <c r="U35" s="9">
        <f t="shared" si="11"/>
        <v>3.9981954862155181E-5</v>
      </c>
      <c r="V35" s="100">
        <f t="shared" si="14"/>
        <v>0.99062936240550925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1.2834731216469764</v>
      </c>
      <c r="J36" s="92">
        <f t="shared" si="2"/>
        <v>2.8316859841390225</v>
      </c>
      <c r="K36" s="93">
        <f t="shared" si="3"/>
        <v>5.103562014839666E-2</v>
      </c>
      <c r="L36" s="93">
        <f t="shared" si="4"/>
        <v>1.4623932139624726E-2</v>
      </c>
      <c r="M36" s="93">
        <f t="shared" si="5"/>
        <v>0.98537606786037524</v>
      </c>
      <c r="N36" s="93">
        <f t="shared" si="6"/>
        <v>8.9791424609475881E-3</v>
      </c>
      <c r="O36" s="40">
        <f t="shared" si="7"/>
        <v>5.1322907771113354E-8</v>
      </c>
      <c r="P36" s="40">
        <f t="shared" si="8"/>
        <v>3.4833509978865185E-5</v>
      </c>
      <c r="Q36" s="40">
        <f t="shared" si="9"/>
        <v>6.7046676375438015E-4</v>
      </c>
      <c r="R36" s="9">
        <f t="shared" si="12"/>
        <v>3.9999999999999996E-5</v>
      </c>
      <c r="S36" s="9">
        <f t="shared" si="13"/>
        <v>5.8495728558498897E-7</v>
      </c>
      <c r="T36" s="9">
        <f t="shared" si="10"/>
        <v>2.0414248059358661E-6</v>
      </c>
      <c r="U36" s="9">
        <f t="shared" si="11"/>
        <v>3.9415042714415007E-5</v>
      </c>
      <c r="V36" s="100">
        <f t="shared" si="14"/>
        <v>5.1793038021731463E-2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3.1977472098667894</v>
      </c>
      <c r="J37" s="92">
        <f t="shared" si="2"/>
        <v>5.0319753139522181</v>
      </c>
      <c r="K37" s="93">
        <f t="shared" si="3"/>
        <v>6.1336619736391423E-4</v>
      </c>
      <c r="L37" s="93">
        <f t="shared" si="4"/>
        <v>2.7874041022848985E-2</v>
      </c>
      <c r="M37" s="93">
        <f t="shared" si="5"/>
        <v>0.97212595897715104</v>
      </c>
      <c r="N37" s="93">
        <f t="shared" si="6"/>
        <v>2.5916550994693158E-2</v>
      </c>
      <c r="O37" s="40">
        <f t="shared" si="7"/>
        <v>6.1681893324099542E-10</v>
      </c>
      <c r="P37" s="40">
        <f t="shared" si="8"/>
        <v>6.6394638381139551E-5</v>
      </c>
      <c r="Q37" s="40">
        <f t="shared" si="9"/>
        <v>1.935172111218908E-3</v>
      </c>
      <c r="R37" s="9">
        <f t="shared" si="12"/>
        <v>3.9999999999999996E-5</v>
      </c>
      <c r="S37" s="9">
        <f t="shared" si="13"/>
        <v>1.1149616409139592E-6</v>
      </c>
      <c r="T37" s="9">
        <f t="shared" si="10"/>
        <v>2.4534647894556566E-8</v>
      </c>
      <c r="U37" s="9">
        <f t="shared" si="11"/>
        <v>3.888503835908604E-5</v>
      </c>
      <c r="V37" s="100">
        <f t="shared" si="14"/>
        <v>6.3095341884428669E-4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-1.5996885357091404E-3</v>
      </c>
      <c r="J38" s="92">
        <f t="shared" si="2"/>
        <v>-4.3517986531337434E-2</v>
      </c>
      <c r="K38" s="93">
        <f t="shared" si="3"/>
        <v>0.99811046003596349</v>
      </c>
      <c r="L38" s="93">
        <f t="shared" si="4"/>
        <v>3.8121098167167796E-4</v>
      </c>
      <c r="M38" s="93">
        <f t="shared" si="5"/>
        <v>0.99961878901832835</v>
      </c>
      <c r="N38" s="93">
        <f t="shared" si="6"/>
        <v>8.3939709253906415E-7</v>
      </c>
      <c r="O38" s="40">
        <f t="shared" si="7"/>
        <v>1.0037289825588333E-6</v>
      </c>
      <c r="P38" s="40">
        <f t="shared" si="8"/>
        <v>9.0802640543804785E-7</v>
      </c>
      <c r="Q38" s="40">
        <f t="shared" si="9"/>
        <v>6.2677238342881825E-8</v>
      </c>
      <c r="R38" s="9">
        <f t="shared" si="12"/>
        <v>3.9999999999999996E-5</v>
      </c>
      <c r="S38" s="9">
        <f t="shared" si="13"/>
        <v>1.5248439266867116E-8</v>
      </c>
      <c r="T38" s="9">
        <f t="shared" si="10"/>
        <v>3.9924418401438535E-5</v>
      </c>
      <c r="U38" s="9">
        <f t="shared" si="11"/>
        <v>3.9984751560733131E-5</v>
      </c>
      <c r="V38" s="100">
        <f t="shared" si="14"/>
        <v>0.99849109580678641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0.33491051106253611</v>
      </c>
      <c r="J39" s="92">
        <f t="shared" si="2"/>
        <v>1.4941370637576192</v>
      </c>
      <c r="K39" s="93">
        <f t="shared" si="3"/>
        <v>0.4573093649850859</v>
      </c>
      <c r="L39" s="93">
        <f t="shared" si="4"/>
        <v>6.0235419810349437E-3</v>
      </c>
      <c r="M39" s="93">
        <f t="shared" si="5"/>
        <v>0.99397645801896506</v>
      </c>
      <c r="N39" s="93">
        <f t="shared" si="6"/>
        <v>1.8460249259926401E-3</v>
      </c>
      <c r="O39" s="40">
        <f t="shared" si="7"/>
        <v>4.5988363213282769E-7</v>
      </c>
      <c r="P39" s="40">
        <f t="shared" si="8"/>
        <v>1.4347790163492803E-5</v>
      </c>
      <c r="Q39" s="40">
        <f t="shared" si="9"/>
        <v>1.3784148801773078E-4</v>
      </c>
      <c r="R39" s="9">
        <f t="shared" si="12"/>
        <v>3.9999999999999996E-5</v>
      </c>
      <c r="S39" s="9">
        <f t="shared" si="13"/>
        <v>2.4094167924139771E-7</v>
      </c>
      <c r="T39" s="9">
        <f t="shared" si="10"/>
        <v>1.8292374599403434E-5</v>
      </c>
      <c r="U39" s="9">
        <f t="shared" si="11"/>
        <v>3.9759058320758599E-5</v>
      </c>
      <c r="V39" s="100">
        <f t="shared" si="14"/>
        <v>0.46008068027739996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0.37071855582347524</v>
      </c>
      <c r="J40" s="92">
        <f t="shared" si="2"/>
        <v>1.6575558987283585</v>
      </c>
      <c r="K40" s="93">
        <f t="shared" si="3"/>
        <v>0.42025166701166983</v>
      </c>
      <c r="L40" s="93">
        <f t="shared" si="4"/>
        <v>8.064364072875323E-3</v>
      </c>
      <c r="M40" s="93">
        <f t="shared" si="5"/>
        <v>0.99193563592712464</v>
      </c>
      <c r="N40" s="93">
        <f t="shared" si="6"/>
        <v>4.1520457499203732E-3</v>
      </c>
      <c r="O40" s="40">
        <f t="shared" si="7"/>
        <v>4.2261733048372041E-7</v>
      </c>
      <c r="P40" s="40">
        <f t="shared" si="8"/>
        <v>1.9208931204252217E-5</v>
      </c>
      <c r="Q40" s="40">
        <f t="shared" si="9"/>
        <v>3.1003057240896705E-4</v>
      </c>
      <c r="R40" s="9">
        <f t="shared" si="12"/>
        <v>3.9999999999999996E-5</v>
      </c>
      <c r="S40" s="9">
        <f t="shared" si="13"/>
        <v>3.2257456291501289E-7</v>
      </c>
      <c r="T40" s="9">
        <f t="shared" si="10"/>
        <v>1.6810066680466792E-5</v>
      </c>
      <c r="U40" s="9">
        <f t="shared" si="11"/>
        <v>3.9677425437084982E-5</v>
      </c>
      <c r="V40" s="100">
        <f t="shared" si="14"/>
        <v>0.42366828228615511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6.2122287627494992E-2</v>
      </c>
      <c r="J41" s="92">
        <f t="shared" si="2"/>
        <v>0.68019675641126665</v>
      </c>
      <c r="K41" s="93">
        <f t="shared" si="3"/>
        <v>0.86072785509756622</v>
      </c>
      <c r="L41" s="93">
        <f t="shared" si="4"/>
        <v>1.7400727141207385E-3</v>
      </c>
      <c r="M41" s="93">
        <f t="shared" si="5"/>
        <v>0.99825992728587931</v>
      </c>
      <c r="N41" s="93">
        <f t="shared" si="6"/>
        <v>3.7143286105843461E-4</v>
      </c>
      <c r="O41" s="40">
        <f t="shared" si="7"/>
        <v>8.6557302908737972E-7</v>
      </c>
      <c r="P41" s="40">
        <f t="shared" si="8"/>
        <v>4.1447703444301654E-6</v>
      </c>
      <c r="Q41" s="40">
        <f t="shared" si="9"/>
        <v>2.773465165398412E-5</v>
      </c>
      <c r="R41" s="9">
        <f t="shared" si="12"/>
        <v>3.9999999999999996E-5</v>
      </c>
      <c r="S41" s="9">
        <f t="shared" si="13"/>
        <v>6.9602908564829536E-8</v>
      </c>
      <c r="T41" s="9">
        <f t="shared" si="10"/>
        <v>3.4429114203902647E-5</v>
      </c>
      <c r="U41" s="9">
        <f t="shared" si="11"/>
        <v>3.9930397091435172E-5</v>
      </c>
      <c r="V41" s="100">
        <f t="shared" si="14"/>
        <v>0.86222819485277502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0.22542744412672311</v>
      </c>
      <c r="J42" s="92">
        <f t="shared" si="2"/>
        <v>1.3367435070507094</v>
      </c>
      <c r="K42" s="93">
        <f t="shared" si="3"/>
        <v>0.58879822230163881</v>
      </c>
      <c r="L42" s="93">
        <f t="shared" si="4"/>
        <v>5.3977750276082617E-3</v>
      </c>
      <c r="M42" s="93">
        <f t="shared" si="5"/>
        <v>0.9946022249723917</v>
      </c>
      <c r="N42" s="93">
        <f t="shared" si="6"/>
        <v>2.3804548890366557E-3</v>
      </c>
      <c r="O42" s="40">
        <f t="shared" si="7"/>
        <v>5.9211266113970918E-7</v>
      </c>
      <c r="P42" s="40">
        <f t="shared" si="8"/>
        <v>1.2857243078856799E-5</v>
      </c>
      <c r="Q42" s="40">
        <f t="shared" si="9"/>
        <v>1.7774702792133537E-4</v>
      </c>
      <c r="R42" s="9">
        <f t="shared" si="12"/>
        <v>3.9999999999999996E-5</v>
      </c>
      <c r="S42" s="9">
        <f t="shared" si="13"/>
        <v>2.1591100110433044E-7</v>
      </c>
      <c r="T42" s="9">
        <f t="shared" si="10"/>
        <v>2.3551928892065549E-5</v>
      </c>
      <c r="U42" s="9">
        <f t="shared" si="11"/>
        <v>3.9784088998895666E-5</v>
      </c>
      <c r="V42" s="100">
        <f t="shared" si="14"/>
        <v>0.59199367095522304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0.32073739190116707</v>
      </c>
      <c r="J43" s="92">
        <f t="shared" si="2"/>
        <v>1.483039277776858</v>
      </c>
      <c r="K43" s="93">
        <f t="shared" si="3"/>
        <v>0.47245954194561718</v>
      </c>
      <c r="L43" s="93">
        <f t="shared" si="4"/>
        <v>6.0660877019372656E-3</v>
      </c>
      <c r="M43" s="93">
        <f t="shared" si="5"/>
        <v>0.99393391229806272</v>
      </c>
      <c r="N43" s="93">
        <f t="shared" si="6"/>
        <v>2.0586621995041621E-3</v>
      </c>
      <c r="O43" s="40">
        <f t="shared" si="7"/>
        <v>4.7511909184901227E-7</v>
      </c>
      <c r="P43" s="40">
        <f t="shared" si="8"/>
        <v>1.4449132044695434E-5</v>
      </c>
      <c r="Q43" s="40">
        <f t="shared" si="9"/>
        <v>1.5371897578951739E-4</v>
      </c>
      <c r="R43" s="9">
        <f t="shared" si="12"/>
        <v>3.9999999999999996E-5</v>
      </c>
      <c r="S43" s="9">
        <f t="shared" si="13"/>
        <v>2.4264350807749062E-7</v>
      </c>
      <c r="T43" s="9">
        <f t="shared" si="10"/>
        <v>1.8898381677824685E-5</v>
      </c>
      <c r="U43" s="9">
        <f t="shared" si="11"/>
        <v>3.9757356491922508E-5</v>
      </c>
      <c r="V43" s="100">
        <f t="shared" si="14"/>
        <v>0.47534301435922344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3.8293839195374848</v>
      </c>
      <c r="J44" s="92">
        <f t="shared" si="2"/>
        <v>5.6236352715565152</v>
      </c>
      <c r="K44" s="93">
        <f t="shared" si="3"/>
        <v>1.4359820164035889E-4</v>
      </c>
      <c r="L44" s="93">
        <f t="shared" si="4"/>
        <v>2.548525921210203E-2</v>
      </c>
      <c r="M44" s="93">
        <f t="shared" si="5"/>
        <v>0.97451474078789802</v>
      </c>
      <c r="N44" s="93">
        <f t="shared" si="6"/>
        <v>2.2764203886065836E-2</v>
      </c>
      <c r="O44" s="40">
        <f t="shared" si="7"/>
        <v>1.4440653875580291E-10</v>
      </c>
      <c r="P44" s="40">
        <f t="shared" si="8"/>
        <v>6.0704673859455039E-5</v>
      </c>
      <c r="Q44" s="40">
        <f t="shared" si="9"/>
        <v>1.6997883901849519E-3</v>
      </c>
      <c r="R44" s="9">
        <f t="shared" si="12"/>
        <v>3.9999999999999996E-5</v>
      </c>
      <c r="S44" s="9">
        <f t="shared" si="13"/>
        <v>1.0194103684840811E-6</v>
      </c>
      <c r="T44" s="9">
        <f t="shared" si="10"/>
        <v>5.7439280656143553E-9</v>
      </c>
      <c r="U44" s="9">
        <f t="shared" si="11"/>
        <v>3.8980589631515918E-5</v>
      </c>
      <c r="V44" s="100">
        <f t="shared" si="14"/>
        <v>1.4735354492868862E-4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3.8037572032670899E-2</v>
      </c>
      <c r="J45" s="92">
        <f t="shared" si="2"/>
        <v>0.52922244534276219</v>
      </c>
      <c r="K45" s="93">
        <f t="shared" si="3"/>
        <v>0.91021100486155737</v>
      </c>
      <c r="L45" s="93">
        <f t="shared" si="4"/>
        <v>1.2997783834361697E-3</v>
      </c>
      <c r="M45" s="93">
        <f t="shared" si="5"/>
        <v>0.9987002216165638</v>
      </c>
      <c r="N45" s="93">
        <f t="shared" si="6"/>
        <v>3.0270775533584247E-4</v>
      </c>
      <c r="O45" s="40">
        <f t="shared" si="7"/>
        <v>9.15334727371383E-7</v>
      </c>
      <c r="P45" s="40">
        <f t="shared" si="8"/>
        <v>3.0960102151362219E-6</v>
      </c>
      <c r="Q45" s="40">
        <f t="shared" si="9"/>
        <v>2.2602992431189998E-5</v>
      </c>
      <c r="R45" s="9">
        <f t="shared" si="12"/>
        <v>3.9999999999999996E-5</v>
      </c>
      <c r="S45" s="9">
        <f t="shared" si="13"/>
        <v>5.1991135337446781E-8</v>
      </c>
      <c r="T45" s="9">
        <f t="shared" si="10"/>
        <v>3.640844019446229E-5</v>
      </c>
      <c r="U45" s="9">
        <f t="shared" si="11"/>
        <v>3.9948008864662549E-5</v>
      </c>
      <c r="V45" s="100">
        <f t="shared" si="14"/>
        <v>0.91139561718353101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4.0258976380178252E-2</v>
      </c>
      <c r="J46" s="92">
        <f t="shared" si="2"/>
        <v>0.53967320644667971</v>
      </c>
      <c r="K46" s="93">
        <f t="shared" si="3"/>
        <v>0.90554467167617003</v>
      </c>
      <c r="L46" s="93">
        <f t="shared" si="4"/>
        <v>1.3246095093729334E-3</v>
      </c>
      <c r="M46" s="93">
        <f t="shared" si="5"/>
        <v>0.99867539049062704</v>
      </c>
      <c r="N46" s="93">
        <f t="shared" si="6"/>
        <v>2.8719861759210876E-4</v>
      </c>
      <c r="O46" s="40">
        <f t="shared" si="7"/>
        <v>9.1064212665434369E-7</v>
      </c>
      <c r="P46" s="40">
        <f t="shared" si="8"/>
        <v>3.1551567746830249E-6</v>
      </c>
      <c r="Q46" s="40">
        <f t="shared" si="9"/>
        <v>2.1444935140431216E-5</v>
      </c>
      <c r="R46" s="9">
        <f t="shared" si="12"/>
        <v>3.9999999999999996E-5</v>
      </c>
      <c r="S46" s="9">
        <f t="shared" si="13"/>
        <v>5.2984380374917331E-8</v>
      </c>
      <c r="T46" s="9">
        <f t="shared" si="10"/>
        <v>3.6221786867046799E-5</v>
      </c>
      <c r="U46" s="9">
        <f t="shared" si="11"/>
        <v>3.9947015619625075E-5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0.50587648659747519</v>
      </c>
      <c r="J47" s="92">
        <f t="shared" si="2"/>
        <v>1.8939751851989683</v>
      </c>
      <c r="K47" s="93">
        <f t="shared" si="3"/>
        <v>0.30720821522499325</v>
      </c>
      <c r="L47" s="93">
        <f t="shared" si="4"/>
        <v>1.0160446490997723E-2</v>
      </c>
      <c r="M47" s="93">
        <f t="shared" si="5"/>
        <v>0.98983955350900232</v>
      </c>
      <c r="N47" s="93">
        <f t="shared" si="6"/>
        <v>5.7455587425486376E-3</v>
      </c>
      <c r="O47" s="40">
        <f t="shared" si="7"/>
        <v>3.0893753912807115E-7</v>
      </c>
      <c r="P47" s="40">
        <f t="shared" si="8"/>
        <v>2.4201699710771295E-5</v>
      </c>
      <c r="Q47" s="40">
        <f t="shared" si="9"/>
        <v>4.2901715757728836E-4</v>
      </c>
      <c r="R47" s="9">
        <f t="shared" si="12"/>
        <v>3.9999999999999996E-5</v>
      </c>
      <c r="S47" s="9">
        <f t="shared" si="13"/>
        <v>4.0641785963990891E-7</v>
      </c>
      <c r="T47" s="9">
        <f t="shared" si="10"/>
        <v>1.2288328608999729E-5</v>
      </c>
      <c r="U47" s="9">
        <f t="shared" si="11"/>
        <v>3.9593582140360092E-5</v>
      </c>
      <c r="V47" s="100">
        <f t="shared" si="14"/>
        <v>0.31036162793852151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4.4538856592537125E-2</v>
      </c>
      <c r="K48" s="93">
        <f t="shared" ref="K48:K50" si="17">IF(D48=0,"",1/(1+10^D48*$J$15/$J$14+10^E48*$J$16/$J$14+10^J48*$J$19/$J$14))</f>
        <v>0.98957229314850848</v>
      </c>
      <c r="L48" s="93">
        <f t="shared" ref="L48:L50" si="18">IF(D48=0,"",1/(1+10^I48/10^J48*$J$13/$J$19))</f>
        <v>4.629042479943245E-4</v>
      </c>
      <c r="M48" s="93">
        <f t="shared" ref="M48:M92" si="19">IF(D48=0,"",1-L48)</f>
        <v>0.99953709575200567</v>
      </c>
      <c r="N48" s="93">
        <f t="shared" ref="N48:N50" si="20">IF(D48=0,"",1/(1/10^E48*$J$20/$J$22+10^D48/10^E48*$J$21/$J$22+10^I48/10^E48*$J$13/$J$22+1))</f>
        <v>2.0236853732555957E-5</v>
      </c>
      <c r="O48" s="40">
        <f t="shared" ref="O48:O92" si="21">IF(D48=0,"",F48*K48*$J$7/$J$14)</f>
        <v>9.9514275297202587E-7</v>
      </c>
      <c r="P48" s="40">
        <f t="shared" ref="P48:P50" si="22">IF(D48=0,"",O48*10^J48)</f>
        <v>1.1026158756630524E-6</v>
      </c>
      <c r="Q48" s="40">
        <f t="shared" ref="Q48:Q50" si="23">IF(D48=0,"",F48*N48*$J$7/$J$22)</f>
        <v>1.5110727878133777E-6</v>
      </c>
      <c r="R48" s="9">
        <f t="shared" si="12"/>
        <v>3.9999999999999996E-5</v>
      </c>
      <c r="S48" s="9">
        <f t="shared" si="13"/>
        <v>1.851616991977298E-8</v>
      </c>
      <c r="T48" s="9">
        <f t="shared" si="10"/>
        <v>3.9582891725940337E-5</v>
      </c>
      <c r="U48" s="9">
        <f t="shared" si="11"/>
        <v>3.9981483830080223E-5</v>
      </c>
      <c r="V48" s="100">
        <f t="shared" si="14"/>
        <v>0.99003058251079701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8.7763082204907472E-2</v>
      </c>
      <c r="J49" s="92">
        <f t="shared" si="16"/>
        <v>0.8649751353960996</v>
      </c>
      <c r="K49" s="93">
        <f t="shared" si="17"/>
        <v>0.81075705866868519</v>
      </c>
      <c r="L49" s="93">
        <f t="shared" si="18"/>
        <v>2.5082490500465335E-3</v>
      </c>
      <c r="M49" s="93">
        <f t="shared" si="19"/>
        <v>0.99749175094995346</v>
      </c>
      <c r="N49" s="93">
        <f t="shared" si="20"/>
        <v>8.6713996804064879E-4</v>
      </c>
      <c r="O49" s="40">
        <f t="shared" si="21"/>
        <v>8.1532093909785305E-7</v>
      </c>
      <c r="P49" s="40">
        <f t="shared" si="22"/>
        <v>5.9745297967798897E-6</v>
      </c>
      <c r="Q49" s="40">
        <f t="shared" si="23"/>
        <v>6.4748780924557832E-5</v>
      </c>
      <c r="R49" s="9">
        <f t="shared" si="12"/>
        <v>3.9999999999999996E-5</v>
      </c>
      <c r="S49" s="9">
        <f t="shared" si="13"/>
        <v>1.0032996200186134E-7</v>
      </c>
      <c r="T49" s="9">
        <f t="shared" si="10"/>
        <v>3.2430282346747402E-5</v>
      </c>
      <c r="U49" s="9">
        <f t="shared" si="11"/>
        <v>3.9899670037998133E-5</v>
      </c>
      <c r="V49" s="100">
        <f t="shared" si="14"/>
        <v>0.81279575284363714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0.50667591684415281</v>
      </c>
      <c r="J50" s="92">
        <f t="shared" si="16"/>
        <v>1.8262123505679773</v>
      </c>
      <c r="K50" s="93">
        <f t="shared" si="17"/>
        <v>0.30709892177682513</v>
      </c>
      <c r="L50" s="93">
        <f t="shared" si="18"/>
        <v>8.6895127502685451E-3</v>
      </c>
      <c r="M50" s="93">
        <f t="shared" si="19"/>
        <v>0.99131048724973148</v>
      </c>
      <c r="N50" s="93">
        <f t="shared" si="20"/>
        <v>3.8063065060717511E-3</v>
      </c>
      <c r="O50" s="40">
        <f t="shared" si="21"/>
        <v>3.0882763044970088E-7</v>
      </c>
      <c r="P50" s="40">
        <f t="shared" si="22"/>
        <v>2.0698005584818236E-5</v>
      </c>
      <c r="Q50" s="40">
        <f t="shared" si="23"/>
        <v>2.842144465445814E-4</v>
      </c>
      <c r="R50" s="9">
        <f t="shared" si="12"/>
        <v>3.9999999999999996E-5</v>
      </c>
      <c r="S50" s="9">
        <f t="shared" si="13"/>
        <v>3.475805100107418E-7</v>
      </c>
      <c r="T50" s="9">
        <f t="shared" si="10"/>
        <v>1.2283956871073004E-5</v>
      </c>
      <c r="U50" s="9">
        <f t="shared" si="11"/>
        <v>3.9652419489989253E-5</v>
      </c>
      <c r="V50" s="100">
        <f t="shared" si="14"/>
        <v>0.3097908533468996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4.65500335522374</v>
      </c>
      <c r="K51" s="93">
        <f t="shared" ref="K51:K70" si="26">IF(D51=0,"",1/(1+10^D51*$J$15/$J$14+10^E51*$J$16/$J$14+10^J51*$J$19/$J$14))</f>
        <v>1.0264456212399772E-3</v>
      </c>
      <c r="L51" s="93">
        <f t="shared" ref="L51:L70" si="27">IF(D51=0,"",1/(1+10^I51/10^J51*$J$13/$J$19))</f>
        <v>1.9581415560769585E-2</v>
      </c>
      <c r="M51" s="93">
        <f t="shared" ref="M51:M70" si="28">IF(D51=0,"",1-L51)</f>
        <v>0.98041858443923047</v>
      </c>
      <c r="N51" s="93">
        <f t="shared" ref="N51:N70" si="29">IF(D51=0,"",1/(1/10^E51*$J$20/$J$22+10^D51/10^E51*$J$21/$J$22+10^I51/10^E51*$J$13/$J$22+1))</f>
        <v>1.4994341991670096E-2</v>
      </c>
      <c r="O51" s="40">
        <f t="shared" ref="O51:O70" si="30">IF(D51=0,"",F51*K51*$J$7/$J$14)</f>
        <v>1.0322236468917976E-9</v>
      </c>
      <c r="P51" s="40">
        <f t="shared" ref="P51:P70" si="31">IF(D51=0,"",O51*10^J51)</f>
        <v>4.6641999417393105E-5</v>
      </c>
      <c r="Q51" s="40">
        <f t="shared" ref="Q51:Q70" si="32">IF(D51=0,"",F51*N51*$J$7/$J$22)</f>
        <v>1.1196178246982086E-3</v>
      </c>
      <c r="R51" s="9">
        <f t="shared" si="12"/>
        <v>3.9999999999999996E-5</v>
      </c>
      <c r="S51" s="9">
        <f t="shared" si="13"/>
        <v>7.8325662243078334E-7</v>
      </c>
      <c r="T51" s="9">
        <f t="shared" si="10"/>
        <v>4.1057824849599086E-8</v>
      </c>
      <c r="U51" s="9">
        <f t="shared" si="11"/>
        <v>3.9216743377569217E-5</v>
      </c>
      <c r="V51" s="100">
        <f t="shared" si="14"/>
        <v>1.0469463120459644E-3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0.64393554165863076</v>
      </c>
      <c r="J52" s="92">
        <f t="shared" si="25"/>
        <v>2.0806048106090933</v>
      </c>
      <c r="K52" s="93">
        <f t="shared" si="26"/>
        <v>0.22328108353665932</v>
      </c>
      <c r="L52" s="93">
        <f t="shared" si="27"/>
        <v>1.134910265282235E-2</v>
      </c>
      <c r="M52" s="93">
        <f t="shared" si="28"/>
        <v>0.9886508973471777</v>
      </c>
      <c r="N52" s="93">
        <f t="shared" si="29"/>
        <v>6.4443541142081128E-3</v>
      </c>
      <c r="O52" s="40">
        <f t="shared" si="30"/>
        <v>2.2453796826736972E-7</v>
      </c>
      <c r="P52" s="40">
        <f t="shared" si="31"/>
        <v>2.7033022085563183E-5</v>
      </c>
      <c r="Q52" s="40">
        <f t="shared" si="32"/>
        <v>4.8119575630214067E-4</v>
      </c>
      <c r="R52" s="9">
        <f t="shared" si="12"/>
        <v>3.9999999999999996E-5</v>
      </c>
      <c r="S52" s="9">
        <f t="shared" si="13"/>
        <v>4.5396410611289397E-7</v>
      </c>
      <c r="T52" s="9">
        <f t="shared" si="10"/>
        <v>8.9312433414663718E-6</v>
      </c>
      <c r="U52" s="9">
        <f t="shared" si="11"/>
        <v>3.9546035893887103E-5</v>
      </c>
      <c r="V52" s="100">
        <f t="shared" si="14"/>
        <v>0.22584421269002425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1.3135143326183101</v>
      </c>
      <c r="J53" s="92">
        <f t="shared" si="25"/>
        <v>2.9002106257320843</v>
      </c>
      <c r="K53" s="93">
        <f t="shared" si="26"/>
        <v>4.7560248732172065E-2</v>
      </c>
      <c r="L53" s="93">
        <f t="shared" si="27"/>
        <v>1.5957304248945963E-2</v>
      </c>
      <c r="M53" s="93">
        <f t="shared" si="28"/>
        <v>0.98404269575105408</v>
      </c>
      <c r="N53" s="93">
        <f t="shared" si="29"/>
        <v>1.0700093751826512E-2</v>
      </c>
      <c r="O53" s="40">
        <f t="shared" si="30"/>
        <v>4.7827972936450391E-8</v>
      </c>
      <c r="P53" s="40">
        <f t="shared" si="31"/>
        <v>3.8009538849358385E-5</v>
      </c>
      <c r="Q53" s="40">
        <f t="shared" si="32"/>
        <v>7.9896908428140625E-4</v>
      </c>
      <c r="R53" s="9">
        <f t="shared" si="12"/>
        <v>3.9999999999999996E-5</v>
      </c>
      <c r="S53" s="9">
        <f t="shared" si="13"/>
        <v>6.3829216995783848E-7</v>
      </c>
      <c r="T53" s="9">
        <f t="shared" si="10"/>
        <v>1.9024099492868824E-6</v>
      </c>
      <c r="U53" s="9">
        <f t="shared" si="11"/>
        <v>3.9361707830042156E-5</v>
      </c>
      <c r="V53" s="100">
        <f t="shared" si="14"/>
        <v>4.8331489007062342E-2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0.78379345695532832</v>
      </c>
      <c r="J54" s="92">
        <f t="shared" si="25"/>
        <v>2.2648778324590841</v>
      </c>
      <c r="K54" s="93">
        <f t="shared" si="26"/>
        <v>0.16160827362881339</v>
      </c>
      <c r="L54" s="93">
        <f t="shared" si="27"/>
        <v>1.2555852524270841E-2</v>
      </c>
      <c r="M54" s="93">
        <f t="shared" si="28"/>
        <v>0.98744414747572917</v>
      </c>
      <c r="N54" s="93">
        <f t="shared" si="29"/>
        <v>7.3969904264496039E-3</v>
      </c>
      <c r="O54" s="40">
        <f t="shared" si="30"/>
        <v>1.6251799230387153E-7</v>
      </c>
      <c r="P54" s="40">
        <f t="shared" si="31"/>
        <v>2.9907442815073905E-5</v>
      </c>
      <c r="Q54" s="40">
        <f t="shared" si="32"/>
        <v>5.5232849398631977E-4</v>
      </c>
      <c r="R54" s="9">
        <f t="shared" si="12"/>
        <v>3.9999999999999996E-5</v>
      </c>
      <c r="S54" s="9">
        <f t="shared" si="13"/>
        <v>5.0223410097083366E-7</v>
      </c>
      <c r="T54" s="9">
        <f t="shared" si="10"/>
        <v>6.4643309451525345E-6</v>
      </c>
      <c r="U54" s="9">
        <f t="shared" si="11"/>
        <v>3.9497765899029167E-5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5.6400487609719711E-2</v>
      </c>
      <c r="J55" s="54">
        <f t="shared" si="25"/>
        <v>0.678648535608118</v>
      </c>
      <c r="K55" s="55">
        <f t="shared" si="26"/>
        <v>0.87212826262727516</v>
      </c>
      <c r="L55" s="55">
        <f t="shared" si="27"/>
        <v>1.7568459381555508E-3</v>
      </c>
      <c r="M55" s="55">
        <f t="shared" si="28"/>
        <v>0.9982431540618445</v>
      </c>
      <c r="N55" s="55">
        <f t="shared" si="29"/>
        <v>5.1135773110419676E-4</v>
      </c>
      <c r="O55" s="56">
        <f t="shared" si="30"/>
        <v>8.7703761132423827E-7</v>
      </c>
      <c r="P55" s="56">
        <f t="shared" si="31"/>
        <v>4.184723365356134E-6</v>
      </c>
      <c r="Q55" s="56">
        <f t="shared" si="32"/>
        <v>3.8182751257744485E-5</v>
      </c>
      <c r="R55" s="9">
        <f t="shared" si="12"/>
        <v>3.9999999999999996E-5</v>
      </c>
      <c r="S55" s="9">
        <f t="shared" si="13"/>
        <v>7.0273837526222026E-8</v>
      </c>
      <c r="T55" s="9">
        <f t="shared" si="10"/>
        <v>3.4885130505091003E-5</v>
      </c>
      <c r="U55" s="9">
        <f t="shared" si="11"/>
        <v>3.9929726162473777E-5</v>
      </c>
      <c r="V55" s="100">
        <f t="shared" si="14"/>
        <v>0.8736631541910318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0.61860589125383425</v>
      </c>
      <c r="J56" s="54">
        <f t="shared" si="25"/>
        <v>2.0597542825278099</v>
      </c>
      <c r="K56" s="55">
        <f t="shared" si="26"/>
        <v>0.23666306644593926</v>
      </c>
      <c r="L56" s="55">
        <f t="shared" si="27"/>
        <v>1.1465409020541373E-2</v>
      </c>
      <c r="M56" s="55">
        <f t="shared" si="28"/>
        <v>0.98853459097945862</v>
      </c>
      <c r="N56" s="55">
        <f t="shared" si="29"/>
        <v>6.7359049934102534E-3</v>
      </c>
      <c r="O56" s="56">
        <f t="shared" si="30"/>
        <v>2.3799528048676799E-7</v>
      </c>
      <c r="P56" s="56">
        <f t="shared" si="31"/>
        <v>2.7310058315071431E-5</v>
      </c>
      <c r="Q56" s="56">
        <f t="shared" si="32"/>
        <v>5.0296567200384295E-4</v>
      </c>
      <c r="R56" s="9">
        <f t="shared" si="12"/>
        <v>3.9999999999999996E-5</v>
      </c>
      <c r="S56" s="9">
        <f t="shared" si="13"/>
        <v>4.5861636082165488E-7</v>
      </c>
      <c r="T56" s="9">
        <f t="shared" si="10"/>
        <v>9.4665226578375693E-6</v>
      </c>
      <c r="U56" s="9">
        <f t="shared" si="11"/>
        <v>3.954138363917834E-5</v>
      </c>
      <c r="V56" s="100">
        <f t="shared" si="14"/>
        <v>0.23940797682299519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0.26171036693668792</v>
      </c>
      <c r="J57" s="54">
        <f t="shared" si="25"/>
        <v>1.435139969210834</v>
      </c>
      <c r="K57" s="55">
        <f t="shared" si="26"/>
        <v>0.54115700058213434</v>
      </c>
      <c r="L57" s="55">
        <f t="shared" si="27"/>
        <v>6.2225448107373149E-3</v>
      </c>
      <c r="M57" s="55">
        <f t="shared" si="28"/>
        <v>0.99377745518926264</v>
      </c>
      <c r="N57" s="55">
        <f t="shared" si="29"/>
        <v>2.9748066704826004E-3</v>
      </c>
      <c r="O57" s="56">
        <f t="shared" si="30"/>
        <v>5.4420325940610241E-7</v>
      </c>
      <c r="P57" s="56">
        <f t="shared" si="31"/>
        <v>1.4821805427518634E-5</v>
      </c>
      <c r="Q57" s="56">
        <f t="shared" si="32"/>
        <v>2.221268912736381E-4</v>
      </c>
      <c r="R57" s="9">
        <f t="shared" si="12"/>
        <v>3.9999999999999996E-5</v>
      </c>
      <c r="S57" s="9">
        <f t="shared" si="13"/>
        <v>2.4890179242949256E-7</v>
      </c>
      <c r="T57" s="9">
        <f t="shared" si="10"/>
        <v>2.1646280023285371E-5</v>
      </c>
      <c r="U57" s="9">
        <f t="shared" si="11"/>
        <v>3.97510982075705E-5</v>
      </c>
      <c r="V57" s="100">
        <f t="shared" si="14"/>
        <v>0.54454545910288554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0.19893820408979257</v>
      </c>
      <c r="J58" s="54">
        <f t="shared" si="25"/>
        <v>1.2530323770467107</v>
      </c>
      <c r="K58" s="55">
        <f t="shared" si="26"/>
        <v>0.62624635965700814</v>
      </c>
      <c r="L58" s="55">
        <f t="shared" si="27"/>
        <v>4.7345899727787109E-3</v>
      </c>
      <c r="M58" s="55">
        <f t="shared" si="28"/>
        <v>0.99526541002722124</v>
      </c>
      <c r="N58" s="55">
        <f t="shared" si="29"/>
        <v>1.8936629405192503E-3</v>
      </c>
      <c r="O58" s="56">
        <f t="shared" si="30"/>
        <v>6.2977160001614772E-7</v>
      </c>
      <c r="P58" s="56">
        <f t="shared" si="31"/>
        <v>1.1277567858493518E-5</v>
      </c>
      <c r="Q58" s="56">
        <f t="shared" si="32"/>
        <v>1.4139858777088138E-4</v>
      </c>
      <c r="R58" s="9">
        <f t="shared" si="12"/>
        <v>3.9999999999999996E-5</v>
      </c>
      <c r="S58" s="9">
        <f t="shared" si="13"/>
        <v>1.8938359891114841E-7</v>
      </c>
      <c r="T58" s="9">
        <f t="shared" si="10"/>
        <v>2.5049854386280322E-5</v>
      </c>
      <c r="U58" s="9">
        <f t="shared" si="11"/>
        <v>3.9810616401088849E-5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6.5352597387686409E-2</v>
      </c>
      <c r="J59" s="54">
        <f t="shared" si="25"/>
        <v>0.77181105160959218</v>
      </c>
      <c r="K59" s="55">
        <f t="shared" si="26"/>
        <v>0.85401405800028196</v>
      </c>
      <c r="L59" s="55">
        <f t="shared" si="27"/>
        <v>2.1319688448360507E-3</v>
      </c>
      <c r="M59" s="55">
        <f t="shared" si="28"/>
        <v>0.99786803115516398</v>
      </c>
      <c r="N59" s="55">
        <f t="shared" si="29"/>
        <v>8.1841293610442772E-4</v>
      </c>
      <c r="O59" s="56">
        <f t="shared" si="30"/>
        <v>8.5882143895844688E-7</v>
      </c>
      <c r="P59" s="56">
        <f t="shared" si="31"/>
        <v>5.0782482660735279E-6</v>
      </c>
      <c r="Q59" s="56">
        <f t="shared" si="32"/>
        <v>6.1110364945334507E-5</v>
      </c>
      <c r="R59" s="9">
        <f t="shared" si="12"/>
        <v>3.9999999999999996E-5</v>
      </c>
      <c r="S59" s="9">
        <f t="shared" si="13"/>
        <v>8.5278753793442016E-8</v>
      </c>
      <c r="T59" s="9">
        <f t="shared" si="10"/>
        <v>3.4160562320011272E-5</v>
      </c>
      <c r="U59" s="9">
        <f t="shared" si="11"/>
        <v>3.9914721246206555E-5</v>
      </c>
      <c r="V59" s="100">
        <f t="shared" si="14"/>
        <v>0.85583867940097047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0.6487673116742505</v>
      </c>
      <c r="J60" s="54">
        <f t="shared" si="25"/>
        <v>2.1116158946803365</v>
      </c>
      <c r="K60" s="55">
        <f t="shared" si="26"/>
        <v>0.22065512531690831</v>
      </c>
      <c r="L60" s="55">
        <f t="shared" si="27"/>
        <v>1.2045773613639295E-2</v>
      </c>
      <c r="M60" s="55">
        <f t="shared" si="28"/>
        <v>0.98795422638636066</v>
      </c>
      <c r="N60" s="55">
        <f t="shared" si="29"/>
        <v>7.3351579111512492E-3</v>
      </c>
      <c r="O60" s="56">
        <f t="shared" si="30"/>
        <v>2.2189722811115722E-7</v>
      </c>
      <c r="P60" s="56">
        <f t="shared" si="31"/>
        <v>2.8692459139421489E-5</v>
      </c>
      <c r="Q60" s="56">
        <f t="shared" si="32"/>
        <v>5.4771150003537345E-4</v>
      </c>
      <c r="R60" s="9">
        <f t="shared" si="12"/>
        <v>3.9999999999999996E-5</v>
      </c>
      <c r="S60" s="9">
        <f t="shared" si="13"/>
        <v>4.818309445455717E-7</v>
      </c>
      <c r="T60" s="9">
        <f t="shared" si="10"/>
        <v>8.8262050126763315E-6</v>
      </c>
      <c r="U60" s="9">
        <f t="shared" si="11"/>
        <v>3.9518169055454426E-5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1.4117733403846819</v>
      </c>
      <c r="J61" s="54">
        <f t="shared" si="25"/>
        <v>3.0728093485084504</v>
      </c>
      <c r="K61" s="55">
        <f t="shared" si="26"/>
        <v>3.7817532917926215E-2</v>
      </c>
      <c r="L61" s="55">
        <f t="shared" si="27"/>
        <v>1.8880231917508747E-2</v>
      </c>
      <c r="M61" s="55">
        <f t="shared" si="28"/>
        <v>0.98111976808249124</v>
      </c>
      <c r="N61" s="55">
        <f t="shared" si="29"/>
        <v>1.4450691905027754E-2</v>
      </c>
      <c r="O61" s="56">
        <f t="shared" si="30"/>
        <v>3.8030413825367148E-8</v>
      </c>
      <c r="P61" s="56">
        <f t="shared" si="31"/>
        <v>4.497181336884313E-5</v>
      </c>
      <c r="Q61" s="56">
        <f t="shared" si="32"/>
        <v>1.0790238241250834E-3</v>
      </c>
      <c r="R61" s="9">
        <f t="shared" si="12"/>
        <v>3.9999999999999996E-5</v>
      </c>
      <c r="S61" s="9">
        <f t="shared" si="13"/>
        <v>7.5520927670034978E-7</v>
      </c>
      <c r="T61" s="9">
        <f t="shared" si="10"/>
        <v>1.5127013167170484E-6</v>
      </c>
      <c r="U61" s="9">
        <f t="shared" si="11"/>
        <v>3.9244790723299648E-5</v>
      </c>
      <c r="V61" s="100">
        <f t="shared" si="14"/>
        <v>3.8545276680987804E-2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2.2542758302531842</v>
      </c>
      <c r="J62" s="54">
        <f t="shared" si="25"/>
        <v>4.0189102052984715</v>
      </c>
      <c r="K62" s="55">
        <f t="shared" si="26"/>
        <v>5.4073855799690197E-3</v>
      </c>
      <c r="L62" s="55">
        <f t="shared" si="27"/>
        <v>2.3845274509774403E-2</v>
      </c>
      <c r="M62" s="55">
        <f t="shared" si="28"/>
        <v>0.97615472549022564</v>
      </c>
      <c r="N62" s="55">
        <f t="shared" si="29"/>
        <v>2.0657739033939689E-2</v>
      </c>
      <c r="O62" s="56">
        <f t="shared" si="30"/>
        <v>5.4378246134100709E-9</v>
      </c>
      <c r="P62" s="56">
        <f t="shared" si="31"/>
        <v>5.6798308393020282E-5</v>
      </c>
      <c r="Q62" s="56">
        <f t="shared" si="32"/>
        <v>1.5425000212221187E-3</v>
      </c>
      <c r="R62" s="9">
        <f t="shared" si="12"/>
        <v>3.9999999999999996E-5</v>
      </c>
      <c r="S62" s="9">
        <f t="shared" si="13"/>
        <v>9.5381098039097611E-7</v>
      </c>
      <c r="T62" s="9">
        <f t="shared" si="10"/>
        <v>2.1629542319876077E-7</v>
      </c>
      <c r="U62" s="9">
        <f t="shared" si="11"/>
        <v>3.9046189019609025E-5</v>
      </c>
      <c r="V62" s="100">
        <f t="shared" si="14"/>
        <v>5.5394759035289481E-3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3.3259932392561606</v>
      </c>
      <c r="J63" s="54">
        <f t="shared" si="25"/>
        <v>5.1671582969725547</v>
      </c>
      <c r="K63" s="55">
        <f t="shared" si="26"/>
        <v>4.5632991399329316E-4</v>
      </c>
      <c r="L63" s="55">
        <f t="shared" si="27"/>
        <v>2.8310140111773914E-2</v>
      </c>
      <c r="M63" s="55">
        <f t="shared" si="28"/>
        <v>0.97168985988822609</v>
      </c>
      <c r="N63" s="55">
        <f t="shared" si="29"/>
        <v>2.6489538212971772E-2</v>
      </c>
      <c r="O63" s="56">
        <f t="shared" si="30"/>
        <v>4.5889866765562653E-10</v>
      </c>
      <c r="P63" s="56">
        <f t="shared" si="31"/>
        <v>6.743340564433544E-5</v>
      </c>
      <c r="Q63" s="56">
        <f t="shared" si="32"/>
        <v>1.9779566964488147E-3</v>
      </c>
      <c r="R63" s="9">
        <f t="shared" si="12"/>
        <v>3.9999999999999996E-5</v>
      </c>
      <c r="S63" s="9">
        <f t="shared" si="13"/>
        <v>1.1324056044709564E-6</v>
      </c>
      <c r="T63" s="9">
        <f t="shared" si="10"/>
        <v>1.8253196559731724E-8</v>
      </c>
      <c r="U63" s="9">
        <f t="shared" si="11"/>
        <v>3.8867594395529039E-5</v>
      </c>
      <c r="V63" s="100">
        <f t="shared" si="14"/>
        <v>4.6962506539461571E-4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2.6313958666363746</v>
      </c>
      <c r="J64" s="54">
        <f t="shared" si="25"/>
        <v>4.4282245597152992</v>
      </c>
      <c r="K64" s="55">
        <f t="shared" si="26"/>
        <v>2.2650155057469196E-3</v>
      </c>
      <c r="L64" s="55">
        <f t="shared" si="27"/>
        <v>2.5633063993203763E-2</v>
      </c>
      <c r="M64" s="55">
        <f t="shared" si="28"/>
        <v>0.97436693600679625</v>
      </c>
      <c r="N64" s="55">
        <f t="shared" si="29"/>
        <v>2.2980878552435233E-2</v>
      </c>
      <c r="O64" s="56">
        <f t="shared" si="30"/>
        <v>2.2777656382655488E-9</v>
      </c>
      <c r="P64" s="56">
        <f t="shared" si="31"/>
        <v>6.10567378097165E-5</v>
      </c>
      <c r="Q64" s="56">
        <f t="shared" si="32"/>
        <v>1.7159673474718062E-3</v>
      </c>
      <c r="R64" s="9">
        <f t="shared" si="12"/>
        <v>3.9999999999999996E-5</v>
      </c>
      <c r="S64" s="9">
        <f t="shared" si="13"/>
        <v>1.0253225597281505E-6</v>
      </c>
      <c r="T64" s="9">
        <f t="shared" si="10"/>
        <v>9.0600620229876778E-8</v>
      </c>
      <c r="U64" s="9">
        <f t="shared" si="11"/>
        <v>3.8974677440271844E-5</v>
      </c>
      <c r="V64" s="100">
        <f t="shared" si="14"/>
        <v>2.324602182243098E-3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2.3610319672695166</v>
      </c>
      <c r="J65" s="54">
        <f t="shared" si="25"/>
        <v>4.1354611831278669</v>
      </c>
      <c r="K65" s="55">
        <f t="shared" si="26"/>
        <v>4.2266379814134454E-3</v>
      </c>
      <c r="L65" s="55">
        <f t="shared" si="27"/>
        <v>2.4375920067642252E-2</v>
      </c>
      <c r="M65" s="55">
        <f t="shared" si="28"/>
        <v>0.97562407993235778</v>
      </c>
      <c r="N65" s="55">
        <f t="shared" si="29"/>
        <v>2.1344721841228754E-2</v>
      </c>
      <c r="O65" s="56">
        <f t="shared" si="30"/>
        <v>4.2504303988315866E-9</v>
      </c>
      <c r="P65" s="56">
        <f t="shared" si="31"/>
        <v>5.8062280843025451E-5</v>
      </c>
      <c r="Q65" s="56">
        <f t="shared" si="32"/>
        <v>1.5937965834006624E-3</v>
      </c>
      <c r="R65" s="9">
        <f t="shared" si="12"/>
        <v>3.9999999999999996E-5</v>
      </c>
      <c r="S65" s="9">
        <f t="shared" si="13"/>
        <v>9.750368027056899E-7</v>
      </c>
      <c r="T65" s="9">
        <f t="shared" si="10"/>
        <v>1.6906551925653781E-7</v>
      </c>
      <c r="U65" s="9">
        <f t="shared" si="11"/>
        <v>3.9024963197294308E-5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2.6313958666363746</v>
      </c>
      <c r="J66" s="54">
        <f t="shared" si="25"/>
        <v>4.4282245597152992</v>
      </c>
      <c r="K66" s="55">
        <f t="shared" si="26"/>
        <v>2.2650155057469196E-3</v>
      </c>
      <c r="L66" s="55">
        <f t="shared" si="27"/>
        <v>2.5633063993203763E-2</v>
      </c>
      <c r="M66" s="55">
        <f t="shared" si="28"/>
        <v>0.97436693600679625</v>
      </c>
      <c r="N66" s="55">
        <f t="shared" si="29"/>
        <v>2.2980878552435233E-2</v>
      </c>
      <c r="O66" s="56">
        <f t="shared" si="30"/>
        <v>2.2777656382655488E-9</v>
      </c>
      <c r="P66" s="56">
        <f t="shared" si="31"/>
        <v>6.10567378097165E-5</v>
      </c>
      <c r="Q66" s="56">
        <f t="shared" si="32"/>
        <v>1.7159673474718062E-3</v>
      </c>
      <c r="R66" s="9">
        <f t="shared" si="12"/>
        <v>3.9999999999999996E-5</v>
      </c>
      <c r="S66" s="9">
        <f t="shared" si="13"/>
        <v>1.0253225597281505E-6</v>
      </c>
      <c r="T66" s="9">
        <f t="shared" si="10"/>
        <v>9.0600620229876778E-8</v>
      </c>
      <c r="U66" s="9">
        <f t="shared" si="11"/>
        <v>3.8974677440271844E-5</v>
      </c>
      <c r="V66" s="100">
        <f t="shared" si="14"/>
        <v>2.324602182243098E-3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-1.8671766444063711E-3</v>
      </c>
      <c r="J67" s="54">
        <f t="shared" si="25"/>
        <v>-4.9749784336411765E-2</v>
      </c>
      <c r="K67" s="55">
        <f t="shared" si="26"/>
        <v>0.99873059263993547</v>
      </c>
      <c r="L67" s="55">
        <f t="shared" si="27"/>
        <v>3.7601342534453126E-4</v>
      </c>
      <c r="M67" s="55">
        <f t="shared" si="28"/>
        <v>0.99962398657465545</v>
      </c>
      <c r="N67" s="55">
        <f t="shared" si="29"/>
        <v>4.0015111781720656E-7</v>
      </c>
      <c r="O67" s="56">
        <f t="shared" si="30"/>
        <v>1.0043526059878615E-6</v>
      </c>
      <c r="P67" s="56">
        <f t="shared" si="31"/>
        <v>8.9564607376946675E-7</v>
      </c>
      <c r="Q67" s="56">
        <f t="shared" si="32"/>
        <v>2.9879025323681879E-8</v>
      </c>
      <c r="R67" s="9">
        <f t="shared" si="12"/>
        <v>3.9999999999999996E-5</v>
      </c>
      <c r="S67" s="9">
        <f t="shared" si="13"/>
        <v>1.5040537013781249E-8</v>
      </c>
      <c r="T67" s="9">
        <f t="shared" si="10"/>
        <v>3.9949223705597415E-5</v>
      </c>
      <c r="U67" s="9">
        <f t="shared" si="11"/>
        <v>3.9984959462986215E-5</v>
      </c>
      <c r="V67" s="100">
        <f t="shared" si="14"/>
        <v>0.99910627001080543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2.7194923137791687</v>
      </c>
      <c r="J68" s="54">
        <f t="shared" si="25"/>
        <v>4.4318380891863303</v>
      </c>
      <c r="K68" s="55">
        <f t="shared" si="26"/>
        <v>1.8575783790910959E-3</v>
      </c>
      <c r="L68" s="55">
        <f t="shared" si="27"/>
        <v>2.1197762369080969E-2</v>
      </c>
      <c r="M68" s="55">
        <f t="shared" si="28"/>
        <v>0.978802237630919</v>
      </c>
      <c r="N68" s="55">
        <f t="shared" si="29"/>
        <v>1.7132652775134455E-2</v>
      </c>
      <c r="O68" s="56">
        <f t="shared" si="30"/>
        <v>1.8680349832234117E-9</v>
      </c>
      <c r="P68" s="56">
        <f t="shared" si="31"/>
        <v>5.0492060545895246E-5</v>
      </c>
      <c r="Q68" s="56">
        <f t="shared" si="32"/>
        <v>1.2792841087699667E-3</v>
      </c>
      <c r="R68" s="9">
        <f t="shared" si="12"/>
        <v>3.9999999999999996E-5</v>
      </c>
      <c r="S68" s="9">
        <f t="shared" si="13"/>
        <v>8.4791049476323864E-7</v>
      </c>
      <c r="T68" s="9">
        <f t="shared" si="10"/>
        <v>7.4303135163643828E-8</v>
      </c>
      <c r="U68" s="9">
        <f t="shared" si="11"/>
        <v>3.915208950523676E-5</v>
      </c>
      <c r="V68" s="100">
        <f t="shared" si="14"/>
        <v>1.8978076547793311E-3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0.38500856866688477</v>
      </c>
      <c r="J69" s="54">
        <f t="shared" si="25"/>
        <v>1.6845900491093684</v>
      </c>
      <c r="K69" s="55">
        <f t="shared" si="26"/>
        <v>0.40655110739839856</v>
      </c>
      <c r="L69" s="55">
        <f t="shared" si="27"/>
        <v>8.3025209487571586E-3</v>
      </c>
      <c r="M69" s="55">
        <f t="shared" si="28"/>
        <v>0.99169747905124284</v>
      </c>
      <c r="N69" s="55">
        <f t="shared" si="29"/>
        <v>4.3242480332237989E-3</v>
      </c>
      <c r="O69" s="56">
        <f t="shared" si="30"/>
        <v>4.0883964824139639E-7</v>
      </c>
      <c r="P69" s="56">
        <f t="shared" si="31"/>
        <v>1.9776209541799136E-5</v>
      </c>
      <c r="Q69" s="56">
        <f t="shared" si="32"/>
        <v>3.2288880559768271E-4</v>
      </c>
      <c r="R69" s="9">
        <f t="shared" si="12"/>
        <v>3.9999999999999996E-5</v>
      </c>
      <c r="S69" s="9">
        <f t="shared" si="13"/>
        <v>3.321008379502863E-7</v>
      </c>
      <c r="T69" s="9">
        <f t="shared" si="10"/>
        <v>1.6262044295935942E-5</v>
      </c>
      <c r="U69" s="9">
        <f t="shared" si="11"/>
        <v>3.9667899162049713E-5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1.2852308448323728</v>
      </c>
      <c r="J70" s="54">
        <f t="shared" si="25"/>
        <v>2.9264404342876054</v>
      </c>
      <c r="K70" s="55">
        <f t="shared" si="26"/>
        <v>5.065260143431962E-2</v>
      </c>
      <c r="L70" s="55">
        <f t="shared" si="27"/>
        <v>1.8052899805493908E-2</v>
      </c>
      <c r="M70" s="55">
        <f t="shared" si="28"/>
        <v>0.98194710019450604</v>
      </c>
      <c r="N70" s="55">
        <f t="shared" si="29"/>
        <v>1.3493239238293833E-2</v>
      </c>
      <c r="O70" s="56">
        <f t="shared" si="30"/>
        <v>5.0937732983778002E-8</v>
      </c>
      <c r="P70" s="56">
        <f t="shared" si="31"/>
        <v>4.3001147674791006E-5</v>
      </c>
      <c r="Q70" s="56">
        <f t="shared" si="32"/>
        <v>1.0075314523640779E-3</v>
      </c>
      <c r="R70" s="9">
        <f t="shared" si="12"/>
        <v>3.9999999999999996E-5</v>
      </c>
      <c r="S70" s="9">
        <f t="shared" si="13"/>
        <v>7.2211599221975627E-7</v>
      </c>
      <c r="T70" s="9">
        <f t="shared" si="10"/>
        <v>2.0261040573727845E-6</v>
      </c>
      <c r="U70" s="9">
        <f t="shared" si="11"/>
        <v>3.9277884007780237E-5</v>
      </c>
      <c r="V70" s="100">
        <f t="shared" si="14"/>
        <v>5.1583839317093816E-2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5.6317189226525786</v>
      </c>
      <c r="K71" s="55">
        <f t="shared" ref="K71:K122" si="35">IF(D71=0,"",1/(1+10^D71*$J$15/$J$14+10^E71*$J$16/$J$14+10^J71*$J$19/$J$14))</f>
        <v>1.1948525366436841E-4</v>
      </c>
      <c r="L71" s="55">
        <f t="shared" ref="L71:L122" si="36">IF(D71=0,"",1/(1+10^I71/10^J71*$J$13/$J$19))</f>
        <v>2.1604191347539731E-2</v>
      </c>
      <c r="M71" s="55">
        <f t="shared" si="19"/>
        <v>0.97839580865246023</v>
      </c>
      <c r="N71" s="55">
        <f t="shared" ref="N71:N122" si="37">IF(D71=0,"",1/(1/10^E71*$J$20/$J$22+10^D71/10^E71*$J$21/$J$22+10^I71/10^E71*$J$13/$J$22+1))</f>
        <v>1.7650205880009852E-2</v>
      </c>
      <c r="O71" s="56">
        <f t="shared" si="21"/>
        <v>1.2015785516063955E-10</v>
      </c>
      <c r="P71" s="56">
        <f t="shared" ref="P71:P122" si="38">IF(D71=0,"",O71*10^J71)</f>
        <v>5.1460155018823074E-5</v>
      </c>
      <c r="Q71" s="56">
        <f t="shared" ref="Q71:Q122" si="39">IF(D71=0,"",F71*N71*$J$7/$J$22)</f>
        <v>1.317929464582733E-3</v>
      </c>
      <c r="R71" s="9">
        <f t="shared" si="12"/>
        <v>3.9999999999999996E-5</v>
      </c>
      <c r="S71" s="9">
        <f t="shared" si="13"/>
        <v>8.6416765390158917E-7</v>
      </c>
      <c r="T71" s="9">
        <f t="shared" si="10"/>
        <v>4.7794101465747363E-9</v>
      </c>
      <c r="U71" s="9">
        <f t="shared" si="11"/>
        <v>3.9135832346098407E-5</v>
      </c>
      <c r="V71" s="100">
        <f t="shared" si="14"/>
        <v>1.221236360659955E-4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3.4646398062685493</v>
      </c>
      <c r="J72" s="54">
        <f t="shared" si="34"/>
        <v>5.1469287331716504</v>
      </c>
      <c r="K72" s="55">
        <f t="shared" si="35"/>
        <v>3.3451506563114794E-4</v>
      </c>
      <c r="L72" s="55">
        <f t="shared" si="36"/>
        <v>1.9808390895999315E-2</v>
      </c>
      <c r="M72" s="55">
        <f t="shared" si="19"/>
        <v>0.98019160910400072</v>
      </c>
      <c r="N72" s="55">
        <f t="shared" si="37"/>
        <v>1.5286256673911786E-2</v>
      </c>
      <c r="O72" s="56">
        <f t="shared" si="21"/>
        <v>3.3639810413814866E-10</v>
      </c>
      <c r="P72" s="56">
        <f t="shared" si="38"/>
        <v>4.7182643857561101E-5</v>
      </c>
      <c r="Q72" s="56">
        <f t="shared" si="39"/>
        <v>1.1414149053377244E-3</v>
      </c>
      <c r="R72" s="9">
        <f t="shared" si="12"/>
        <v>3.9999999999999996E-5</v>
      </c>
      <c r="S72" s="9">
        <f t="shared" si="13"/>
        <v>7.9233563583997251E-7</v>
      </c>
      <c r="T72" s="9">
        <f t="shared" si="10"/>
        <v>1.3380602625245916E-8</v>
      </c>
      <c r="U72" s="9">
        <f t="shared" si="11"/>
        <v>3.9207664364160025E-5</v>
      </c>
      <c r="V72" s="100">
        <f t="shared" si="14"/>
        <v>3.4127517775522508E-4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3.4579829545014036</v>
      </c>
      <c r="J73" s="54">
        <f t="shared" si="34"/>
        <v>5.1667621736278413</v>
      </c>
      <c r="K73" s="55">
        <f t="shared" si="35"/>
        <v>3.392593352366696E-4</v>
      </c>
      <c r="L73" s="55">
        <f t="shared" si="36"/>
        <v>2.1028038475825583E-2</v>
      </c>
      <c r="M73" s="55">
        <f t="shared" si="19"/>
        <v>0.97897196152417443</v>
      </c>
      <c r="N73" s="55">
        <f t="shared" si="37"/>
        <v>1.6893330257655159E-2</v>
      </c>
      <c r="O73" s="56">
        <f t="shared" si="21"/>
        <v>3.4116907999182664E-10</v>
      </c>
      <c r="P73" s="56">
        <f t="shared" si="38"/>
        <v>5.008778631425106E-5</v>
      </c>
      <c r="Q73" s="56">
        <f t="shared" si="39"/>
        <v>1.2614140510795176E-3</v>
      </c>
      <c r="R73" s="9">
        <f t="shared" si="12"/>
        <v>3.9999999999999996E-5</v>
      </c>
      <c r="S73" s="9">
        <f t="shared" si="13"/>
        <v>8.4112153903302325E-7</v>
      </c>
      <c r="T73" s="9">
        <f t="shared" si="10"/>
        <v>1.3570373409466783E-8</v>
      </c>
      <c r="U73" s="9">
        <f t="shared" si="11"/>
        <v>3.9158878460966973E-5</v>
      </c>
      <c r="V73" s="100">
        <f t="shared" si="14"/>
        <v>3.4654652898176192E-4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0.62193942428688143</v>
      </c>
      <c r="J74" s="54">
        <f t="shared" si="34"/>
        <v>2.03023552063889</v>
      </c>
      <c r="K74" s="55">
        <f t="shared" si="35"/>
        <v>0.23504979514539873</v>
      </c>
      <c r="L74" s="55">
        <f t="shared" si="36"/>
        <v>1.0638984600206148E-2</v>
      </c>
      <c r="M74" s="55">
        <f t="shared" si="19"/>
        <v>0.98936101539979382</v>
      </c>
      <c r="N74" s="55">
        <f t="shared" si="37"/>
        <v>5.6303234217282803E-3</v>
      </c>
      <c r="O74" s="56">
        <f t="shared" si="21"/>
        <v>2.3637292782549586E-7</v>
      </c>
      <c r="P74" s="56">
        <f t="shared" si="38"/>
        <v>2.5341554699376747E-5</v>
      </c>
      <c r="Q74" s="56">
        <f t="shared" si="39"/>
        <v>4.2041261065572526E-4</v>
      </c>
      <c r="R74" s="9">
        <f t="shared" si="12"/>
        <v>3.9999999999999996E-5</v>
      </c>
      <c r="S74" s="9">
        <f t="shared" si="13"/>
        <v>4.2555938400824586E-7</v>
      </c>
      <c r="T74" s="9">
        <f t="shared" si="10"/>
        <v>9.4019918058159474E-6</v>
      </c>
      <c r="U74" s="9">
        <f t="shared" si="11"/>
        <v>3.9574440615991749E-5</v>
      </c>
      <c r="V74" s="100">
        <f t="shared" si="14"/>
        <v>0.23757737720281688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2.0259693417507676</v>
      </c>
      <c r="J75" s="54">
        <f t="shared" si="34"/>
        <v>3.7676067300109843</v>
      </c>
      <c r="K75" s="55">
        <f t="shared" si="35"/>
        <v>9.1585824469894335E-3</v>
      </c>
      <c r="L75" s="55">
        <f t="shared" si="36"/>
        <v>2.2643302680882337E-2</v>
      </c>
      <c r="M75" s="55">
        <f t="shared" si="19"/>
        <v>0.97735669731911767</v>
      </c>
      <c r="N75" s="55">
        <f t="shared" si="37"/>
        <v>1.9112773254162205E-2</v>
      </c>
      <c r="O75" s="56">
        <f t="shared" si="21"/>
        <v>9.2101375641997243E-9</v>
      </c>
      <c r="P75" s="56">
        <f t="shared" si="38"/>
        <v>5.3935268733353175E-5</v>
      </c>
      <c r="Q75" s="56">
        <f t="shared" si="39"/>
        <v>1.4271384250581396E-3</v>
      </c>
      <c r="R75" s="9">
        <f t="shared" si="12"/>
        <v>3.9999999999999996E-5</v>
      </c>
      <c r="S75" s="9">
        <f t="shared" si="13"/>
        <v>9.0573210723529344E-7</v>
      </c>
      <c r="T75" s="9">
        <f t="shared" si="10"/>
        <v>3.6634329787957731E-7</v>
      </c>
      <c r="U75" s="9">
        <f t="shared" si="11"/>
        <v>3.9094267892764702E-5</v>
      </c>
      <c r="V75" s="100">
        <f t="shared" si="14"/>
        <v>9.3707675735085864E-3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2.0466328175843658</v>
      </c>
      <c r="J76" s="54">
        <f t="shared" si="34"/>
        <v>3.7264296384905324</v>
      </c>
      <c r="K76" s="55">
        <f t="shared" si="35"/>
        <v>8.7593503380043233E-3</v>
      </c>
      <c r="L76" s="55">
        <f t="shared" si="36"/>
        <v>1.9697282687272177E-2</v>
      </c>
      <c r="M76" s="55">
        <f t="shared" si="19"/>
        <v>0.98030271731272778</v>
      </c>
      <c r="N76" s="55">
        <f t="shared" si="37"/>
        <v>1.5226930389130373E-2</v>
      </c>
      <c r="O76" s="56">
        <f t="shared" si="21"/>
        <v>8.8086581141777267E-9</v>
      </c>
      <c r="P76" s="56">
        <f t="shared" si="38"/>
        <v>4.6917989395240139E-5</v>
      </c>
      <c r="Q76" s="56">
        <f t="shared" si="39"/>
        <v>1.136985049999538E-3</v>
      </c>
      <c r="R76" s="9">
        <f t="shared" si="12"/>
        <v>3.9999999999999996E-5</v>
      </c>
      <c r="S76" s="9">
        <f t="shared" si="13"/>
        <v>7.8789130749088696E-7</v>
      </c>
      <c r="T76" s="9">
        <f t="shared" si="10"/>
        <v>3.5037401352017292E-7</v>
      </c>
      <c r="U76" s="9">
        <f t="shared" si="11"/>
        <v>3.9212108692509105E-5</v>
      </c>
      <c r="V76" s="100">
        <f t="shared" si="14"/>
        <v>8.9353525021495881E-3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0.75425121724867172</v>
      </c>
      <c r="J77" s="54">
        <f t="shared" si="34"/>
        <v>2.2690970019934102</v>
      </c>
      <c r="K77" s="55">
        <f t="shared" si="35"/>
        <v>0.17280855502381917</v>
      </c>
      <c r="L77" s="55">
        <f t="shared" si="36"/>
        <v>1.3557106987641936E-2</v>
      </c>
      <c r="M77" s="55">
        <f t="shared" si="19"/>
        <v>0.9864428930123581</v>
      </c>
      <c r="N77" s="55">
        <f t="shared" si="37"/>
        <v>8.8320130973514009E-3</v>
      </c>
      <c r="O77" s="56">
        <f t="shared" si="21"/>
        <v>1.7378132186418567E-7</v>
      </c>
      <c r="P77" s="56">
        <f t="shared" si="38"/>
        <v>3.2292383268039879E-5</v>
      </c>
      <c r="Q77" s="56">
        <f t="shared" si="39"/>
        <v>6.5948070927394323E-4</v>
      </c>
      <c r="R77" s="9">
        <f t="shared" si="12"/>
        <v>3.9999999999999996E-5</v>
      </c>
      <c r="S77" s="9">
        <f t="shared" si="13"/>
        <v>5.4228427950567742E-7</v>
      </c>
      <c r="T77" s="9">
        <f t="shared" si="10"/>
        <v>6.912342200952766E-6</v>
      </c>
      <c r="U77" s="9">
        <f t="shared" si="11"/>
        <v>3.9457715720494324E-5</v>
      </c>
      <c r="V77" s="100">
        <f t="shared" si="14"/>
        <v>0.1751835369770911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2.5945811280852147</v>
      </c>
      <c r="K78" s="55">
        <f t="shared" si="35"/>
        <v>0.10183556719181268</v>
      </c>
      <c r="L78" s="55">
        <f t="shared" si="36"/>
        <v>1.6903840932815526E-2</v>
      </c>
      <c r="M78" s="55">
        <f t="shared" si="19"/>
        <v>0.98309615906718451</v>
      </c>
      <c r="N78" s="55">
        <f t="shared" si="37"/>
        <v>1.2508203902250745E-2</v>
      </c>
      <c r="O78" s="56">
        <f t="shared" si="21"/>
        <v>1.0240881579585579E-7</v>
      </c>
      <c r="P78" s="56">
        <f t="shared" si="38"/>
        <v>4.0264144157160268E-5</v>
      </c>
      <c r="Q78" s="56">
        <f t="shared" si="39"/>
        <v>9.3397950051423296E-4</v>
      </c>
      <c r="R78" s="9">
        <f t="shared" si="12"/>
        <v>3.9999999999999996E-5</v>
      </c>
      <c r="S78" s="9">
        <f t="shared" si="13"/>
        <v>6.7615363731262095E-7</v>
      </c>
      <c r="T78" s="9">
        <f t="shared" si="10"/>
        <v>4.0734226876725065E-6</v>
      </c>
      <c r="U78" s="9">
        <f t="shared" si="11"/>
        <v>3.9323846362687375E-5</v>
      </c>
      <c r="V78" s="100">
        <f t="shared" si="14"/>
        <v>0.10358657823303861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2.5374746618878143</v>
      </c>
      <c r="K79" s="55">
        <f t="shared" si="35"/>
        <v>8.6137546745823579E-2</v>
      </c>
      <c r="L79" s="55">
        <f t="shared" si="36"/>
        <v>1.253637408803707E-2</v>
      </c>
      <c r="M79" s="55">
        <f t="shared" si="19"/>
        <v>0.98746362591196291</v>
      </c>
      <c r="N79" s="55">
        <f t="shared" si="37"/>
        <v>6.5913286157046527E-3</v>
      </c>
      <c r="O79" s="56">
        <f t="shared" si="21"/>
        <v>8.6622428696102632E-8</v>
      </c>
      <c r="P79" s="56">
        <f t="shared" si="38"/>
        <v>2.986104610750964E-5</v>
      </c>
      <c r="Q79" s="56">
        <f t="shared" si="39"/>
        <v>4.921702473296947E-4</v>
      </c>
      <c r="R79" s="9">
        <f t="shared" si="12"/>
        <v>3.9999999999999996E-5</v>
      </c>
      <c r="S79" s="9">
        <f t="shared" si="13"/>
        <v>5.0145496352148281E-7</v>
      </c>
      <c r="T79" s="9">
        <f t="shared" si="10"/>
        <v>3.4455018698329428E-6</v>
      </c>
      <c r="U79" s="9">
        <f t="shared" si="11"/>
        <v>3.9498545036478515E-5</v>
      </c>
      <c r="V79" s="100">
        <f t="shared" si="14"/>
        <v>8.7231108554780473E-2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2.6178158804762943</v>
      </c>
      <c r="K80" s="55">
        <f t="shared" si="35"/>
        <v>7.1270133525962134E-2</v>
      </c>
      <c r="L80" s="55">
        <f t="shared" si="36"/>
        <v>1.248039226137194E-2</v>
      </c>
      <c r="M80" s="55">
        <f t="shared" si="19"/>
        <v>0.98751960773862801</v>
      </c>
      <c r="N80" s="55">
        <f t="shared" si="37"/>
        <v>6.3639101317651027E-3</v>
      </c>
      <c r="O80" s="56">
        <f t="shared" si="21"/>
        <v>7.1671324442655995E-8</v>
      </c>
      <c r="P80" s="56">
        <f t="shared" si="38"/>
        <v>2.9727700062194566E-5</v>
      </c>
      <c r="Q80" s="56">
        <f t="shared" si="39"/>
        <v>4.7518905612930627E-4</v>
      </c>
      <c r="R80" s="9">
        <f t="shared" si="12"/>
        <v>3.9999999999999996E-5</v>
      </c>
      <c r="S80" s="9">
        <f t="shared" si="13"/>
        <v>4.9921569045487753E-7</v>
      </c>
      <c r="T80" s="9">
        <f t="shared" si="10"/>
        <v>2.850805341038485E-6</v>
      </c>
      <c r="U80" s="9">
        <f t="shared" si="11"/>
        <v>3.9500784309545117E-5</v>
      </c>
      <c r="V80" s="100">
        <f t="shared" si="14"/>
        <v>7.2170854094904785E-2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4.2142679595923802</v>
      </c>
      <c r="K81" s="55">
        <f t="shared" si="35"/>
        <v>3.3200937507132508E-3</v>
      </c>
      <c r="L81" s="55">
        <f t="shared" si="36"/>
        <v>2.2957420517947219E-2</v>
      </c>
      <c r="M81" s="55">
        <f t="shared" si="19"/>
        <v>0.97704257948205275</v>
      </c>
      <c r="N81" s="55">
        <f t="shared" si="37"/>
        <v>1.946631796284079E-2</v>
      </c>
      <c r="O81" s="56">
        <f t="shared" si="21"/>
        <v>3.3387830864764987E-9</v>
      </c>
      <c r="P81" s="56">
        <f t="shared" si="38"/>
        <v>5.4683482463249458E-5</v>
      </c>
      <c r="Q81" s="56">
        <f t="shared" si="39"/>
        <v>1.4535373799361986E-3</v>
      </c>
      <c r="R81" s="9">
        <f t="shared" si="12"/>
        <v>3.9999999999999996E-5</v>
      </c>
      <c r="S81" s="9">
        <f t="shared" si="13"/>
        <v>9.1829682071788866E-7</v>
      </c>
      <c r="T81" s="9">
        <f t="shared" si="10"/>
        <v>1.3280375002853002E-7</v>
      </c>
      <c r="U81" s="9">
        <f t="shared" si="11"/>
        <v>3.908170317928211E-5</v>
      </c>
      <c r="V81" s="100">
        <f t="shared" si="14"/>
        <v>3.3981054873507052E-3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3.9177203460984957</v>
      </c>
      <c r="K82" s="55">
        <f t="shared" si="35"/>
        <v>5.7752193187202584E-3</v>
      </c>
      <c r="L82" s="55">
        <f t="shared" si="36"/>
        <v>2.017407403452038E-2</v>
      </c>
      <c r="M82" s="55">
        <f t="shared" si="19"/>
        <v>0.97982592596547957</v>
      </c>
      <c r="N82" s="55">
        <f t="shared" si="37"/>
        <v>1.5824316012349939E-2</v>
      </c>
      <c r="O82" s="56">
        <f t="shared" si="21"/>
        <v>5.8077289467784329E-9</v>
      </c>
      <c r="P82" s="56">
        <f t="shared" si="38"/>
        <v>4.80536836800355E-5</v>
      </c>
      <c r="Q82" s="56">
        <f t="shared" si="39"/>
        <v>1.1815914483561075E-3</v>
      </c>
      <c r="R82" s="9">
        <f t="shared" si="12"/>
        <v>3.9999999999999996E-5</v>
      </c>
      <c r="S82" s="9">
        <f t="shared" si="13"/>
        <v>8.0696296138081507E-7</v>
      </c>
      <c r="T82" s="9">
        <f t="shared" si="10"/>
        <v>2.3100877274881031E-7</v>
      </c>
      <c r="U82" s="9">
        <f t="shared" si="11"/>
        <v>3.9193037038619177E-5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0.70532975413914478</v>
      </c>
      <c r="J83" s="54">
        <f t="shared" si="34"/>
        <v>2.2125616665002772</v>
      </c>
      <c r="K83" s="55">
        <f t="shared" si="35"/>
        <v>0.19345904361157884</v>
      </c>
      <c r="L83" s="55">
        <f t="shared" si="36"/>
        <v>1.3324640039722516E-2</v>
      </c>
      <c r="M83" s="55">
        <f t="shared" si="19"/>
        <v>0.98667535996027744</v>
      </c>
      <c r="N83" s="55">
        <f t="shared" si="37"/>
        <v>8.7391360832862249E-3</v>
      </c>
      <c r="O83" s="56">
        <f t="shared" si="21"/>
        <v>1.9454805533653897E-7</v>
      </c>
      <c r="P83" s="56">
        <f t="shared" si="38"/>
        <v>3.1738658067950481E-5</v>
      </c>
      <c r="Q83" s="56">
        <f t="shared" si="39"/>
        <v>6.5254564266615958E-4</v>
      </c>
      <c r="R83" s="9">
        <f t="shared" si="12"/>
        <v>3.9999999999999996E-5</v>
      </c>
      <c r="S83" s="9">
        <f t="shared" si="13"/>
        <v>5.329856015889006E-7</v>
      </c>
      <c r="T83" s="9">
        <f t="shared" si="10"/>
        <v>7.738361744463153E-6</v>
      </c>
      <c r="U83" s="9">
        <f t="shared" si="11"/>
        <v>3.9467014398411093E-5</v>
      </c>
      <c r="V83" s="100">
        <f t="shared" si="14"/>
        <v>0.19607162746961401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3.9384447971611571</v>
      </c>
      <c r="K84" s="55">
        <f t="shared" si="35"/>
        <v>4.603610701280611E-3</v>
      </c>
      <c r="L84" s="55">
        <f t="shared" si="36"/>
        <v>1.6867401033336477E-2</v>
      </c>
      <c r="M84" s="55">
        <f t="shared" si="19"/>
        <v>0.9831325989666635</v>
      </c>
      <c r="N84" s="55">
        <f t="shared" si="37"/>
        <v>1.1455289166417519E-2</v>
      </c>
      <c r="O84" s="56">
        <f t="shared" si="21"/>
        <v>4.6295251580940764E-9</v>
      </c>
      <c r="P84" s="56">
        <f t="shared" si="38"/>
        <v>4.0177346051834464E-5</v>
      </c>
      <c r="Q84" s="56">
        <f t="shared" si="39"/>
        <v>8.5535903775693504E-4</v>
      </c>
      <c r="R84" s="9">
        <f t="shared" si="12"/>
        <v>3.9999999999999996E-5</v>
      </c>
      <c r="S84" s="9">
        <f t="shared" si="13"/>
        <v>6.7469604133345899E-7</v>
      </c>
      <c r="T84" s="9">
        <f t="shared" si="10"/>
        <v>1.8414442805122443E-7</v>
      </c>
      <c r="U84" s="9">
        <f t="shared" si="11"/>
        <v>3.9325303958666539E-5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2.1275282735995251</v>
      </c>
      <c r="K85" s="55">
        <f t="shared" si="35"/>
        <v>0.22266126634217195</v>
      </c>
      <c r="L85" s="55">
        <f t="shared" si="36"/>
        <v>1.260891540230576E-2</v>
      </c>
      <c r="M85" s="55">
        <f t="shared" si="19"/>
        <v>0.9873910845976942</v>
      </c>
      <c r="N85" s="55">
        <f t="shared" si="37"/>
        <v>8.097894983112558E-3</v>
      </c>
      <c r="O85" s="56">
        <f t="shared" si="21"/>
        <v>2.2391466202331648E-7</v>
      </c>
      <c r="P85" s="56">
        <f t="shared" si="38"/>
        <v>3.0033836063749362E-5</v>
      </c>
      <c r="Q85" s="56">
        <f t="shared" si="39"/>
        <v>6.0466458419207838E-4</v>
      </c>
      <c r="R85" s="9">
        <f t="shared" si="12"/>
        <v>3.9999999999999996E-5</v>
      </c>
      <c r="S85" s="9">
        <f t="shared" si="13"/>
        <v>5.043566160922304E-7</v>
      </c>
      <c r="T85" s="9">
        <f t="shared" si="10"/>
        <v>8.9064506536868775E-6</v>
      </c>
      <c r="U85" s="9">
        <f t="shared" si="11"/>
        <v>3.9495643383907762E-5</v>
      </c>
      <c r="V85" s="100">
        <f t="shared" si="14"/>
        <v>0.22550463521036732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3.1029707241226632</v>
      </c>
      <c r="K86" s="55">
        <f t="shared" si="35"/>
        <v>2.3035477702953982E-2</v>
      </c>
      <c r="L86" s="55">
        <f t="shared" si="36"/>
        <v>1.2327435238617811E-2</v>
      </c>
      <c r="M86" s="55">
        <f t="shared" si="19"/>
        <v>0.98767256476138221</v>
      </c>
      <c r="N86" s="55">
        <f t="shared" si="37"/>
        <v>5.6638623309988581E-3</v>
      </c>
      <c r="O86" s="56">
        <f t="shared" si="21"/>
        <v>2.3165148070594906E-8</v>
      </c>
      <c r="P86" s="56">
        <f t="shared" si="38"/>
        <v>2.9363363717661996E-5</v>
      </c>
      <c r="Q86" s="56">
        <f t="shared" si="39"/>
        <v>4.2291693933257783E-4</v>
      </c>
      <c r="R86" s="9">
        <f t="shared" si="12"/>
        <v>3.9999999999999996E-5</v>
      </c>
      <c r="S86" s="9">
        <f t="shared" si="13"/>
        <v>4.930974095447124E-7</v>
      </c>
      <c r="T86" s="9">
        <f t="shared" si="10"/>
        <v>9.2141910811815924E-7</v>
      </c>
      <c r="U86" s="9">
        <f t="shared" si="11"/>
        <v>3.9506902590455282E-5</v>
      </c>
      <c r="V86" s="100">
        <f t="shared" si="14"/>
        <v>2.3322990356140206E-2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1.8520245187455604</v>
      </c>
      <c r="K87" s="55">
        <f t="shared" si="35"/>
        <v>0.32598959147360013</v>
      </c>
      <c r="L87" s="55">
        <f t="shared" si="36"/>
        <v>9.7888806858375532E-3</v>
      </c>
      <c r="M87" s="55">
        <f t="shared" si="19"/>
        <v>0.9902111193141625</v>
      </c>
      <c r="N87" s="55">
        <f t="shared" si="37"/>
        <v>5.4500857025428385E-3</v>
      </c>
      <c r="O87" s="56">
        <f t="shared" si="21"/>
        <v>3.2782463873064381E-7</v>
      </c>
      <c r="P87" s="56">
        <f t="shared" si="38"/>
        <v>2.3316647656489543E-5</v>
      </c>
      <c r="Q87" s="56">
        <f t="shared" si="39"/>
        <v>4.0695437666352498E-4</v>
      </c>
      <c r="R87" s="9">
        <f t="shared" si="12"/>
        <v>3.9999999999999996E-5</v>
      </c>
      <c r="S87" s="9">
        <f t="shared" si="13"/>
        <v>3.9155522743350208E-7</v>
      </c>
      <c r="T87" s="9">
        <f t="shared" si="10"/>
        <v>1.3039583658944004E-5</v>
      </c>
      <c r="U87" s="9">
        <f t="shared" si="11"/>
        <v>3.9608444772566498E-5</v>
      </c>
      <c r="V87" s="100">
        <f t="shared" si="14"/>
        <v>0.32921221052272792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0.97738229738140237</v>
      </c>
      <c r="K88" s="55">
        <f t="shared" si="35"/>
        <v>0.70349519345475842</v>
      </c>
      <c r="L88" s="55">
        <f t="shared" si="36"/>
        <v>2.8193449432268682E-3</v>
      </c>
      <c r="M88" s="55">
        <f t="shared" si="19"/>
        <v>0.99718065505677311</v>
      </c>
      <c r="N88" s="55">
        <f t="shared" si="37"/>
        <v>1.6848319910700346E-4</v>
      </c>
      <c r="O88" s="56">
        <f t="shared" si="21"/>
        <v>7.0745527978529725E-7</v>
      </c>
      <c r="P88" s="56">
        <f t="shared" si="38"/>
        <v>6.715545400245293E-6</v>
      </c>
      <c r="Q88" s="56">
        <f t="shared" si="39"/>
        <v>1.2580531575655205E-5</v>
      </c>
      <c r="R88" s="9">
        <f t="shared" si="12"/>
        <v>3.9999999999999996E-5</v>
      </c>
      <c r="S88" s="9">
        <f t="shared" si="13"/>
        <v>1.1277379772907472E-7</v>
      </c>
      <c r="T88" s="9">
        <f t="shared" si="10"/>
        <v>2.8139807738190335E-5</v>
      </c>
      <c r="U88" s="9">
        <f t="shared" si="11"/>
        <v>3.9887226202270923E-5</v>
      </c>
      <c r="V88" s="100">
        <f t="shared" si="14"/>
        <v>0.70548419675741292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0.51151091680566108</v>
      </c>
      <c r="K89" s="55">
        <f t="shared" si="35"/>
        <v>0.91172803643247768</v>
      </c>
      <c r="L89" s="55">
        <f t="shared" si="36"/>
        <v>1.2499165235208963E-3</v>
      </c>
      <c r="M89" s="55">
        <f t="shared" si="19"/>
        <v>0.99875008347647909</v>
      </c>
      <c r="N89" s="55">
        <f t="shared" si="37"/>
        <v>2.5268773558731006E-4</v>
      </c>
      <c r="O89" s="56">
        <f t="shared" si="21"/>
        <v>9.1686029855429046E-7</v>
      </c>
      <c r="P89" s="56">
        <f t="shared" si="38"/>
        <v>2.9772416391923214E-6</v>
      </c>
      <c r="Q89" s="56">
        <f t="shared" si="39"/>
        <v>1.8868029887763603E-5</v>
      </c>
      <c r="R89" s="9">
        <f t="shared" si="12"/>
        <v>3.9999999999999996E-5</v>
      </c>
      <c r="S89" s="9">
        <f t="shared" si="13"/>
        <v>4.9996660940835849E-8</v>
      </c>
      <c r="T89" s="9">
        <f t="shared" si="10"/>
        <v>3.6469121457299106E-5</v>
      </c>
      <c r="U89" s="9">
        <f t="shared" si="11"/>
        <v>3.9950003339059161E-5</v>
      </c>
      <c r="V89" s="100">
        <f t="shared" si="14"/>
        <v>0.91286904653755574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2.1490056662363401E-2</v>
      </c>
      <c r="K90" s="55">
        <f t="shared" si="35"/>
        <v>0.99143318798243985</v>
      </c>
      <c r="L90" s="55">
        <f t="shared" si="36"/>
        <v>4.3980310583698745E-4</v>
      </c>
      <c r="M90" s="55">
        <f t="shared" si="19"/>
        <v>0.99956019689416298</v>
      </c>
      <c r="N90" s="55">
        <f t="shared" si="37"/>
        <v>9.0309842775180496E-6</v>
      </c>
      <c r="O90" s="56">
        <f t="shared" si="21"/>
        <v>9.9701412307894139E-7</v>
      </c>
      <c r="P90" s="56">
        <f t="shared" si="38"/>
        <v>1.0475900550986643E-6</v>
      </c>
      <c r="Q90" s="56">
        <f t="shared" si="39"/>
        <v>6.7433775868895427E-7</v>
      </c>
      <c r="R90" s="9">
        <f t="shared" si="12"/>
        <v>3.9999999999999996E-5</v>
      </c>
      <c r="S90" s="9">
        <f t="shared" si="13"/>
        <v>1.7592124233479496E-8</v>
      </c>
      <c r="T90" s="9">
        <f t="shared" si="10"/>
        <v>3.9657327519297588E-5</v>
      </c>
      <c r="U90" s="9">
        <f t="shared" si="11"/>
        <v>3.9982407875766518E-5</v>
      </c>
      <c r="V90" s="100">
        <f t="shared" si="14"/>
        <v>0.99186941523184358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-1.2034235561148411E-2</v>
      </c>
      <c r="K91" s="55">
        <f t="shared" si="35"/>
        <v>0.99493944897302111</v>
      </c>
      <c r="L91" s="55">
        <f t="shared" si="36"/>
        <v>4.0857068041356135E-4</v>
      </c>
      <c r="M91" s="55">
        <f t="shared" si="19"/>
        <v>0.99959142931958644</v>
      </c>
      <c r="N91" s="55">
        <f t="shared" si="37"/>
        <v>4.1162306000263882E-6</v>
      </c>
      <c r="O91" s="56">
        <f t="shared" si="21"/>
        <v>1.0005401213702878E-6</v>
      </c>
      <c r="P91" s="56">
        <f t="shared" si="38"/>
        <v>9.7319590499841661E-7</v>
      </c>
      <c r="Q91" s="56">
        <f t="shared" si="39"/>
        <v>3.0735627831604712E-7</v>
      </c>
      <c r="R91" s="9">
        <f t="shared" si="12"/>
        <v>3.9999999999999996E-5</v>
      </c>
      <c r="S91" s="9">
        <f t="shared" si="13"/>
        <v>1.6342827216542452E-8</v>
      </c>
      <c r="T91" s="9">
        <f t="shared" si="10"/>
        <v>3.979757795892084E-5</v>
      </c>
      <c r="U91" s="9">
        <f t="shared" si="11"/>
        <v>3.9983657172783456E-5</v>
      </c>
      <c r="V91" s="100">
        <f t="shared" si="14"/>
        <v>0.99534611821378671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0.59563671510665284</v>
      </c>
      <c r="K92" s="55">
        <f t="shared" si="35"/>
        <v>0.89074615762261644</v>
      </c>
      <c r="L92" s="55">
        <f t="shared" si="36"/>
        <v>1.4821612518968483E-3</v>
      </c>
      <c r="M92" s="55">
        <f t="shared" si="19"/>
        <v>0.99851783874810318</v>
      </c>
      <c r="N92" s="55">
        <f t="shared" si="37"/>
        <v>3.4184700233861633E-4</v>
      </c>
      <c r="O92" s="56">
        <f t="shared" si="21"/>
        <v>8.957603094115699E-7</v>
      </c>
      <c r="P92" s="56">
        <f t="shared" si="38"/>
        <v>3.5304375229110594E-6</v>
      </c>
      <c r="Q92" s="56">
        <f t="shared" si="39"/>
        <v>2.5525494706642679E-5</v>
      </c>
      <c r="R92" s="9">
        <f t="shared" si="12"/>
        <v>3.9999999999999996E-5</v>
      </c>
      <c r="S92" s="9">
        <f t="shared" si="13"/>
        <v>5.9286450075873926E-8</v>
      </c>
      <c r="T92" s="9">
        <f t="shared" ref="T92:T143" si="40">R92*K92</f>
        <v>3.5629846304904656E-5</v>
      </c>
      <c r="U92" s="9">
        <f t="shared" ref="U92:U143" si="41">$R92*M92</f>
        <v>3.9940713549924124E-5</v>
      </c>
      <c r="V92" s="100">
        <f t="shared" si="14"/>
        <v>0.89206834676022806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-1.067712111790353E-2</v>
      </c>
      <c r="K93" s="55">
        <f t="shared" si="35"/>
        <v>0.99480045056011934</v>
      </c>
      <c r="L93" s="55">
        <f t="shared" si="36"/>
        <v>4.097921499972353E-4</v>
      </c>
      <c r="M93" s="55">
        <f t="shared" ref="M93:M127" si="42">IF(D93=0,"",1-L93)</f>
        <v>0.99959020785000274</v>
      </c>
      <c r="N93" s="55">
        <f t="shared" si="37"/>
        <v>4.2890947442914485E-6</v>
      </c>
      <c r="O93" s="56">
        <f t="shared" ref="O93:O127" si="43">IF(D93=0,"",F93*K93*$J$7/$J$14)</f>
        <v>1.0004003405132132E-6</v>
      </c>
      <c r="P93" s="56">
        <f t="shared" si="38"/>
        <v>9.7610538738151043E-7</v>
      </c>
      <c r="Q93" s="56">
        <f t="shared" si="39"/>
        <v>3.202639322349643E-7</v>
      </c>
      <c r="R93" s="9">
        <f t="shared" ref="R93:R143" si="44">F93*$C$14</f>
        <v>3.9999999999999996E-5</v>
      </c>
      <c r="S93" s="9">
        <f t="shared" ref="S93:S143" si="45">$R93*L93</f>
        <v>1.6391685999889411E-8</v>
      </c>
      <c r="T93" s="9">
        <f t="shared" si="40"/>
        <v>3.9792018022404771E-5</v>
      </c>
      <c r="U93" s="9">
        <f t="shared" si="41"/>
        <v>3.9983608314000104E-5</v>
      </c>
      <c r="V93" s="100">
        <f t="shared" ref="V93:V143" si="46">K93/M93</f>
        <v>0.99520827910050702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-4.5097358117664625E-2</v>
      </c>
      <c r="K94" s="55">
        <f t="shared" si="35"/>
        <v>0.99826764739429241</v>
      </c>
      <c r="L94" s="55">
        <f t="shared" si="36"/>
        <v>3.7988699031793526E-4</v>
      </c>
      <c r="M94" s="55">
        <f t="shared" si="42"/>
        <v>0.99962011300968201</v>
      </c>
      <c r="N94" s="55">
        <f t="shared" si="37"/>
        <v>7.1943323108124698E-7</v>
      </c>
      <c r="O94" s="56">
        <f t="shared" si="43"/>
        <v>1.0038870547498021E-6</v>
      </c>
      <c r="P94" s="56">
        <f t="shared" si="38"/>
        <v>9.0487272108064002E-7</v>
      </c>
      <c r="Q94" s="56">
        <f t="shared" si="39"/>
        <v>5.3719614348283414E-8</v>
      </c>
      <c r="R94" s="9">
        <f t="shared" si="44"/>
        <v>3.9999999999999996E-5</v>
      </c>
      <c r="S94" s="9">
        <f t="shared" si="45"/>
        <v>1.5195479612717408E-8</v>
      </c>
      <c r="T94" s="9">
        <f t="shared" si="40"/>
        <v>3.9930705895771691E-5</v>
      </c>
      <c r="U94" s="9">
        <f t="shared" si="41"/>
        <v>3.9984804520387276E-5</v>
      </c>
      <c r="V94" s="100">
        <f t="shared" si="46"/>
        <v>0.99864702040526421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3.6301694260723134</v>
      </c>
      <c r="K95" s="55">
        <f t="shared" si="35"/>
        <v>1.2184424843023513E-2</v>
      </c>
      <c r="L95" s="55">
        <f t="shared" si="36"/>
        <v>2.1952260218601485E-2</v>
      </c>
      <c r="M95" s="55">
        <f t="shared" si="42"/>
        <v>0.97804773978139847</v>
      </c>
      <c r="N95" s="55">
        <f t="shared" si="37"/>
        <v>1.8233518483825609E-2</v>
      </c>
      <c r="O95" s="56">
        <f t="shared" si="43"/>
        <v>1.2253012908322696E-8</v>
      </c>
      <c r="P95" s="56">
        <f t="shared" si="38"/>
        <v>5.228923849498407E-5</v>
      </c>
      <c r="Q95" s="56">
        <f t="shared" si="39"/>
        <v>1.3614850396767293E-3</v>
      </c>
      <c r="R95" s="9">
        <f t="shared" si="44"/>
        <v>3.9999999999999996E-5</v>
      </c>
      <c r="S95" s="9">
        <f t="shared" si="45"/>
        <v>8.7809040874405931E-7</v>
      </c>
      <c r="T95" s="9">
        <f t="shared" si="40"/>
        <v>4.8737699372094051E-7</v>
      </c>
      <c r="U95" s="9">
        <f t="shared" si="41"/>
        <v>3.9121909591255933E-5</v>
      </c>
      <c r="V95" s="100">
        <f t="shared" si="46"/>
        <v>1.2457903993261955E-2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-5.8737020764399468E-2</v>
      </c>
      <c r="K96" s="55">
        <f t="shared" si="35"/>
        <v>0.99963134844257939</v>
      </c>
      <c r="L96" s="55">
        <f t="shared" si="36"/>
        <v>3.6864438978248212E-4</v>
      </c>
      <c r="M96" s="55">
        <f t="shared" si="42"/>
        <v>0.99963135561021754</v>
      </c>
      <c r="N96" s="55">
        <f t="shared" si="37"/>
        <v>2.2968642744966523E-14</v>
      </c>
      <c r="O96" s="56">
        <f t="shared" si="43"/>
        <v>1.0052584322881781E-6</v>
      </c>
      <c r="P96" s="56">
        <f t="shared" si="38"/>
        <v>8.7809338196712086E-7</v>
      </c>
      <c r="Q96" s="56">
        <f t="shared" si="39"/>
        <v>1.7150537076369167E-15</v>
      </c>
      <c r="R96" s="9">
        <f t="shared" si="44"/>
        <v>3.9999999999999996E-5</v>
      </c>
      <c r="S96" s="9">
        <f t="shared" si="45"/>
        <v>1.4745775591299284E-8</v>
      </c>
      <c r="T96" s="9">
        <f t="shared" si="40"/>
        <v>3.9985253937703172E-5</v>
      </c>
      <c r="U96" s="9">
        <f t="shared" si="41"/>
        <v>3.99852542244087E-5</v>
      </c>
      <c r="V96" s="100">
        <f t="shared" si="46"/>
        <v>0.99999999282971852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3.5852661261702856</v>
      </c>
      <c r="K98" s="55">
        <f t="shared" si="35"/>
        <v>5.6587445555463236E-3</v>
      </c>
      <c r="L98" s="55">
        <f t="shared" si="36"/>
        <v>9.1937141888557526E-3</v>
      </c>
      <c r="M98" s="55">
        <f t="shared" si="42"/>
        <v>0.99080628581114427</v>
      </c>
      <c r="N98" s="55">
        <f t="shared" si="37"/>
        <v>1.3552379526088334E-3</v>
      </c>
      <c r="O98" s="56">
        <f t="shared" si="43"/>
        <v>5.6905985286379975E-9</v>
      </c>
      <c r="P98" s="56">
        <f t="shared" si="38"/>
        <v>2.1898989401940666E-5</v>
      </c>
      <c r="Q98" s="56">
        <f t="shared" si="39"/>
        <v>1.0119474194274736E-4</v>
      </c>
      <c r="R98" s="9">
        <f t="shared" si="44"/>
        <v>3.9999999999999996E-5</v>
      </c>
      <c r="S98" s="9">
        <f t="shared" si="45"/>
        <v>3.6774856755423005E-7</v>
      </c>
      <c r="T98" s="9">
        <f t="shared" si="40"/>
        <v>2.2634978222185293E-7</v>
      </c>
      <c r="U98" s="9">
        <f t="shared" si="41"/>
        <v>3.9632251432445769E-5</v>
      </c>
      <c r="V98" s="100">
        <f t="shared" si="46"/>
        <v>5.711252175710284E-3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1.8542805551315384</v>
      </c>
      <c r="K99" s="55">
        <f t="shared" si="35"/>
        <v>0.22872370972227088</v>
      </c>
      <c r="L99" s="55">
        <f t="shared" si="36"/>
        <v>6.9039323003483285E-3</v>
      </c>
      <c r="M99" s="55">
        <f t="shared" si="42"/>
        <v>0.99309606769965164</v>
      </c>
      <c r="N99" s="55">
        <f t="shared" si="37"/>
        <v>6.4358609441151282E-4</v>
      </c>
      <c r="O99" s="56">
        <f t="shared" si="43"/>
        <v>2.3001123186139629E-7</v>
      </c>
      <c r="P99" s="56">
        <f t="shared" si="38"/>
        <v>1.644483798074876E-5</v>
      </c>
      <c r="Q99" s="56">
        <f t="shared" si="39"/>
        <v>4.8056157678098655E-5</v>
      </c>
      <c r="R99" s="9">
        <f t="shared" si="44"/>
        <v>3.9999999999999996E-5</v>
      </c>
      <c r="S99" s="9">
        <f t="shared" si="45"/>
        <v>2.7615729201393314E-7</v>
      </c>
      <c r="T99" s="9">
        <f t="shared" si="40"/>
        <v>9.1489483888908351E-6</v>
      </c>
      <c r="U99" s="9">
        <f t="shared" si="41"/>
        <v>3.9723842707986061E-5</v>
      </c>
      <c r="V99" s="100">
        <f t="shared" si="46"/>
        <v>0.23031378047047635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3.2056950473044594</v>
      </c>
      <c r="K101" s="55">
        <f t="shared" si="35"/>
        <v>1.259227040494316E-2</v>
      </c>
      <c r="L101" s="55">
        <f t="shared" si="36"/>
        <v>8.5369722752255215E-3</v>
      </c>
      <c r="M101" s="55">
        <f t="shared" si="42"/>
        <v>0.99146302772477446</v>
      </c>
      <c r="N101" s="55">
        <f t="shared" si="37"/>
        <v>5.6156432056904003E-4</v>
      </c>
      <c r="O101" s="56">
        <f t="shared" si="43"/>
        <v>1.2663154297775715E-8</v>
      </c>
      <c r="P101" s="56">
        <f t="shared" si="38"/>
        <v>2.0334661437097902E-5</v>
      </c>
      <c r="Q101" s="56">
        <f t="shared" si="39"/>
        <v>4.1931644841295645E-5</v>
      </c>
      <c r="R101" s="9">
        <f t="shared" si="44"/>
        <v>3.9999999999999996E-5</v>
      </c>
      <c r="S101" s="9">
        <f t="shared" si="45"/>
        <v>3.4147889100902081E-7</v>
      </c>
      <c r="T101" s="9">
        <f t="shared" si="40"/>
        <v>5.0369081619772637E-7</v>
      </c>
      <c r="U101" s="9">
        <f t="shared" si="41"/>
        <v>3.9658521108990972E-5</v>
      </c>
      <c r="V101" s="100">
        <f t="shared" si="46"/>
        <v>1.2700695893663435E-2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2.4173447443020346</v>
      </c>
      <c r="K102" s="55">
        <f t="shared" si="35"/>
        <v>6.9446829021947376E-2</v>
      </c>
      <c r="L102" s="55">
        <f t="shared" si="36"/>
        <v>7.6648197694917678E-3</v>
      </c>
      <c r="M102" s="55">
        <f t="shared" si="42"/>
        <v>0.99233518023050826</v>
      </c>
      <c r="N102" s="55">
        <f t="shared" si="37"/>
        <v>1.0731179205368464E-9</v>
      </c>
      <c r="O102" s="56">
        <f t="shared" si="43"/>
        <v>6.983775626760277E-8</v>
      </c>
      <c r="P102" s="56">
        <f t="shared" si="38"/>
        <v>1.82572356995118E-5</v>
      </c>
      <c r="Q102" s="56">
        <f t="shared" si="39"/>
        <v>8.0129021500483054E-11</v>
      </c>
      <c r="R102" s="9">
        <f t="shared" si="44"/>
        <v>3.9999999999999996E-5</v>
      </c>
      <c r="S102" s="9">
        <f t="shared" si="45"/>
        <v>3.065927907796707E-7</v>
      </c>
      <c r="T102" s="9">
        <f t="shared" si="40"/>
        <v>2.7778731608778948E-6</v>
      </c>
      <c r="U102" s="9">
        <f t="shared" si="41"/>
        <v>3.9693407209220324E-5</v>
      </c>
      <c r="V102" s="100">
        <f t="shared" si="46"/>
        <v>6.9983237927547487E-2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3.4660209722219997</v>
      </c>
      <c r="K103" s="55">
        <f t="shared" si="35"/>
        <v>6.607587847516477E-3</v>
      </c>
      <c r="L103" s="55">
        <f t="shared" si="36"/>
        <v>8.1577182300085482E-3</v>
      </c>
      <c r="M103" s="55">
        <f t="shared" si="42"/>
        <v>0.99184228176999145</v>
      </c>
      <c r="N103" s="55">
        <f t="shared" si="37"/>
        <v>1.702699359956397E-9</v>
      </c>
      <c r="O103" s="56">
        <f t="shared" si="43"/>
        <v>6.6447830104063395E-9</v>
      </c>
      <c r="P103" s="56">
        <f t="shared" si="38"/>
        <v>1.9431296361107507E-5</v>
      </c>
      <c r="Q103" s="56">
        <f t="shared" si="39"/>
        <v>1.2713946064245253E-10</v>
      </c>
      <c r="R103" s="9">
        <f t="shared" si="44"/>
        <v>3.9999999999999996E-5</v>
      </c>
      <c r="S103" s="9">
        <f t="shared" si="45"/>
        <v>3.2630872920034188E-7</v>
      </c>
      <c r="T103" s="9">
        <f t="shared" si="40"/>
        <v>2.6430351390065907E-7</v>
      </c>
      <c r="U103" s="9">
        <f t="shared" si="41"/>
        <v>3.9673691270799653E-5</v>
      </c>
      <c r="V103" s="100">
        <f t="shared" si="46"/>
        <v>6.6619340281853182E-3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4.1789576597323235</v>
      </c>
      <c r="K104" s="55">
        <f t="shared" si="35"/>
        <v>1.3618631353508263E-3</v>
      </c>
      <c r="L104" s="55">
        <f t="shared" si="36"/>
        <v>8.6815227234952434E-3</v>
      </c>
      <c r="M104" s="55">
        <f t="shared" si="42"/>
        <v>0.99131847727650479</v>
      </c>
      <c r="N104" s="55">
        <f t="shared" si="37"/>
        <v>6.3595872452678909E-4</v>
      </c>
      <c r="O104" s="56">
        <f t="shared" si="43"/>
        <v>1.3695292795356686E-9</v>
      </c>
      <c r="P104" s="56">
        <f t="shared" si="38"/>
        <v>2.0678973721521718E-5</v>
      </c>
      <c r="Q104" s="56">
        <f t="shared" si="39"/>
        <v>4.7486626898872249E-5</v>
      </c>
      <c r="R104" s="9">
        <f t="shared" si="44"/>
        <v>3.9999999999999996E-5</v>
      </c>
      <c r="S104" s="9">
        <f t="shared" si="45"/>
        <v>3.472609089398097E-7</v>
      </c>
      <c r="T104" s="9">
        <f t="shared" si="40"/>
        <v>5.4474525414033047E-8</v>
      </c>
      <c r="U104" s="9">
        <f t="shared" si="41"/>
        <v>3.965273909106019E-5</v>
      </c>
      <c r="V104" s="100">
        <f t="shared" si="46"/>
        <v>1.3737897220400209E-3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3.8987670522081364</v>
      </c>
      <c r="K105" s="55">
        <f t="shared" si="35"/>
        <v>3.2087852004300289E-3</v>
      </c>
      <c r="L105" s="55">
        <f t="shared" si="36"/>
        <v>1.0730315232004335E-2</v>
      </c>
      <c r="M105" s="55">
        <f t="shared" si="42"/>
        <v>0.98926968476799571</v>
      </c>
      <c r="N105" s="55">
        <f t="shared" si="37"/>
        <v>3.3545642286701666E-3</v>
      </c>
      <c r="O105" s="56">
        <f t="shared" si="43"/>
        <v>3.2268479626607926E-9</v>
      </c>
      <c r="P105" s="56">
        <f t="shared" si="38"/>
        <v>2.5559099915242347E-5</v>
      </c>
      <c r="Q105" s="56">
        <f t="shared" si="39"/>
        <v>2.5048314268146053E-4</v>
      </c>
      <c r="R105" s="9">
        <f t="shared" si="44"/>
        <v>3.9999999999999996E-5</v>
      </c>
      <c r="S105" s="9">
        <f t="shared" si="45"/>
        <v>4.2921260928017336E-7</v>
      </c>
      <c r="T105" s="9">
        <f t="shared" si="40"/>
        <v>1.2835140801720115E-7</v>
      </c>
      <c r="U105" s="9">
        <f t="shared" si="41"/>
        <v>3.9570787390719827E-5</v>
      </c>
      <c r="V105" s="100">
        <f t="shared" si="46"/>
        <v>3.2435899430017972E-3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2.9201125615030872</v>
      </c>
      <c r="K106" s="55">
        <f t="shared" si="35"/>
        <v>2.3403260233939214E-2</v>
      </c>
      <c r="L106" s="55">
        <f t="shared" si="36"/>
        <v>8.2204142970711148E-3</v>
      </c>
      <c r="M106" s="55">
        <f t="shared" si="42"/>
        <v>0.9917795857029289</v>
      </c>
      <c r="N106" s="55">
        <f t="shared" si="37"/>
        <v>2.5619569481568597E-4</v>
      </c>
      <c r="O106" s="56">
        <f t="shared" si="43"/>
        <v>2.3535000907940604E-8</v>
      </c>
      <c r="P106" s="56">
        <f t="shared" si="38"/>
        <v>1.9580635407323537E-5</v>
      </c>
      <c r="Q106" s="56">
        <f t="shared" si="39"/>
        <v>1.9129966935923914E-5</v>
      </c>
      <c r="R106" s="9">
        <f t="shared" si="44"/>
        <v>3.9999999999999996E-5</v>
      </c>
      <c r="S106" s="9">
        <f t="shared" si="45"/>
        <v>3.2881657188284455E-7</v>
      </c>
      <c r="T106" s="9">
        <f t="shared" si="40"/>
        <v>9.3613040935756851E-7</v>
      </c>
      <c r="U106" s="9">
        <f t="shared" si="41"/>
        <v>3.9671183428117151E-5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3.6319518486565139</v>
      </c>
      <c r="K108" s="55">
        <f t="shared" si="35"/>
        <v>4.8894365570234851E-3</v>
      </c>
      <c r="L108" s="55">
        <f t="shared" si="36"/>
        <v>8.8453586449274823E-3</v>
      </c>
      <c r="M108" s="55">
        <f t="shared" si="42"/>
        <v>0.99115464135507247</v>
      </c>
      <c r="N108" s="55">
        <f t="shared" si="37"/>
        <v>8.8828899353419306E-4</v>
      </c>
      <c r="O108" s="56">
        <f t="shared" si="43"/>
        <v>4.9169599730377708E-9</v>
      </c>
      <c r="P108" s="56">
        <f t="shared" si="38"/>
        <v>2.1069223084662743E-5</v>
      </c>
      <c r="Q108" s="56">
        <f t="shared" si="39"/>
        <v>6.6327964988168207E-5</v>
      </c>
      <c r="R108" s="9">
        <f t="shared" si="44"/>
        <v>3.9999999999999996E-5</v>
      </c>
      <c r="S108" s="9">
        <f t="shared" si="45"/>
        <v>3.5381434579709925E-7</v>
      </c>
      <c r="T108" s="9">
        <f t="shared" si="40"/>
        <v>1.9557746228093937E-7</v>
      </c>
      <c r="U108" s="9">
        <f t="shared" si="41"/>
        <v>3.9646185654202894E-5</v>
      </c>
      <c r="V108" s="100">
        <f t="shared" si="46"/>
        <v>4.9330713422668492E-3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3.9146802316515763</v>
      </c>
      <c r="K109" s="55">
        <f t="shared" si="35"/>
        <v>2.9305431782624875E-3</v>
      </c>
      <c r="L109" s="55">
        <f t="shared" si="36"/>
        <v>1.0165602854251962E-2</v>
      </c>
      <c r="M109" s="55">
        <f t="shared" si="42"/>
        <v>0.98983439714574806</v>
      </c>
      <c r="N109" s="55">
        <f t="shared" si="37"/>
        <v>2.6076157184411861E-3</v>
      </c>
      <c r="O109" s="56">
        <f t="shared" si="43"/>
        <v>2.9470396718977887E-9</v>
      </c>
      <c r="P109" s="56">
        <f t="shared" si="38"/>
        <v>2.4213981922501781E-5</v>
      </c>
      <c r="Q109" s="56">
        <f t="shared" si="39"/>
        <v>1.9470898022413285E-4</v>
      </c>
      <c r="R109" s="9">
        <f t="shared" si="44"/>
        <v>3.9999999999999996E-5</v>
      </c>
      <c r="S109" s="9">
        <f t="shared" si="45"/>
        <v>4.0662411417007846E-7</v>
      </c>
      <c r="T109" s="9">
        <f t="shared" si="40"/>
        <v>1.1722172713049949E-7</v>
      </c>
      <c r="U109" s="9">
        <f t="shared" si="41"/>
        <v>3.959337588582992E-5</v>
      </c>
      <c r="V109" s="100">
        <f t="shared" si="46"/>
        <v>2.9606398673484168E-3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2.1708272325180951</v>
      </c>
      <c r="K110" s="55">
        <f t="shared" si="35"/>
        <v>0.11702489914189176</v>
      </c>
      <c r="L110" s="55">
        <f t="shared" si="36"/>
        <v>7.321672360446084E-3</v>
      </c>
      <c r="M110" s="55">
        <f t="shared" si="42"/>
        <v>0.99267832763955388</v>
      </c>
      <c r="N110" s="55">
        <f t="shared" si="37"/>
        <v>3.9588927926173048E-5</v>
      </c>
      <c r="O110" s="56">
        <f t="shared" si="43"/>
        <v>1.1768365091125165E-7</v>
      </c>
      <c r="P110" s="56">
        <f t="shared" si="38"/>
        <v>1.7439874911517787E-5</v>
      </c>
      <c r="Q110" s="56">
        <f t="shared" si="39"/>
        <v>2.9560796593448313E-6</v>
      </c>
      <c r="R110" s="9">
        <f t="shared" si="44"/>
        <v>3.9999999999999996E-5</v>
      </c>
      <c r="S110" s="9">
        <f t="shared" si="45"/>
        <v>2.9286689441784332E-7</v>
      </c>
      <c r="T110" s="9">
        <f t="shared" si="40"/>
        <v>4.68099596567567E-6</v>
      </c>
      <c r="U110" s="9">
        <f t="shared" si="41"/>
        <v>3.970713310558215E-5</v>
      </c>
      <c r="V110" s="100">
        <f t="shared" si="46"/>
        <v>0.11788803672198639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2.259536875659184</v>
      </c>
      <c r="K111" s="55">
        <f t="shared" si="35"/>
        <v>0.1728379670756183</v>
      </c>
      <c r="L111" s="55">
        <f t="shared" si="36"/>
        <v>1.3264192245873248E-2</v>
      </c>
      <c r="M111" s="55">
        <f t="shared" si="42"/>
        <v>0.98673580775412673</v>
      </c>
      <c r="N111" s="55">
        <f t="shared" si="37"/>
        <v>8.4463685510102627E-3</v>
      </c>
      <c r="O111" s="56">
        <f t="shared" si="43"/>
        <v>1.7381089948110219E-7</v>
      </c>
      <c r="P111" s="56">
        <f t="shared" si="38"/>
        <v>3.1594674301467889E-5</v>
      </c>
      <c r="Q111" s="56">
        <f t="shared" si="39"/>
        <v>6.3068488026583739E-4</v>
      </c>
      <c r="R111" s="9">
        <f t="shared" si="44"/>
        <v>3.9999999999999996E-5</v>
      </c>
      <c r="S111" s="9">
        <f t="shared" si="45"/>
        <v>5.3056768983492985E-7</v>
      </c>
      <c r="T111" s="9">
        <f t="shared" si="40"/>
        <v>6.9135186830247317E-6</v>
      </c>
      <c r="U111" s="9">
        <f t="shared" si="41"/>
        <v>3.9469432310165067E-5</v>
      </c>
      <c r="V111" s="100">
        <f t="shared" si="46"/>
        <v>0.17516134077368539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5.2954798864379393</v>
      </c>
      <c r="K112" s="55">
        <f t="shared" si="35"/>
        <v>2.9256706020225353E-4</v>
      </c>
      <c r="L112" s="55">
        <f t="shared" si="36"/>
        <v>2.4389904333330107E-2</v>
      </c>
      <c r="M112" s="55">
        <f t="shared" si="42"/>
        <v>0.9756100956666699</v>
      </c>
      <c r="N112" s="55">
        <f t="shared" si="37"/>
        <v>2.1322488726510852E-2</v>
      </c>
      <c r="O112" s="56">
        <f t="shared" si="43"/>
        <v>2.942139667151228E-10</v>
      </c>
      <c r="P112" s="56">
        <f t="shared" si="38"/>
        <v>5.8095590697976486E-5</v>
      </c>
      <c r="Q112" s="56">
        <f t="shared" si="39"/>
        <v>1.5921364510953866E-3</v>
      </c>
      <c r="R112" s="9">
        <f t="shared" si="44"/>
        <v>3.9999999999999996E-5</v>
      </c>
      <c r="S112" s="9">
        <f t="shared" si="45"/>
        <v>9.7559617333320414E-7</v>
      </c>
      <c r="T112" s="9">
        <f t="shared" si="40"/>
        <v>1.1702682408090141E-8</v>
      </c>
      <c r="U112" s="9">
        <f t="shared" si="41"/>
        <v>3.9024403826666792E-5</v>
      </c>
      <c r="V112" s="100">
        <f t="shared" si="46"/>
        <v>2.9988113233118176E-4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5.6689287455654798</v>
      </c>
      <c r="K113" s="55">
        <f t="shared" si="35"/>
        <v>1.3172801191820021E-4</v>
      </c>
      <c r="L113" s="55">
        <f t="shared" si="36"/>
        <v>2.5948464616279969E-2</v>
      </c>
      <c r="M113" s="55">
        <f t="shared" si="42"/>
        <v>0.97405153538372002</v>
      </c>
      <c r="N113" s="55">
        <f t="shared" si="37"/>
        <v>2.3374407065561941E-2</v>
      </c>
      <c r="O113" s="56">
        <f t="shared" si="43"/>
        <v>1.3246952984781754E-10</v>
      </c>
      <c r="P113" s="56">
        <f t="shared" si="38"/>
        <v>6.1808007074806725E-5</v>
      </c>
      <c r="Q113" s="56">
        <f t="shared" si="39"/>
        <v>1.7453518671838694E-3</v>
      </c>
      <c r="R113" s="9">
        <f t="shared" si="44"/>
        <v>3.9999999999999996E-5</v>
      </c>
      <c r="S113" s="9">
        <f t="shared" si="45"/>
        <v>1.0379385846511988E-6</v>
      </c>
      <c r="T113" s="9">
        <f t="shared" si="40"/>
        <v>5.2691204767280083E-9</v>
      </c>
      <c r="U113" s="9">
        <f t="shared" si="41"/>
        <v>3.8962061415348797E-5</v>
      </c>
      <c r="V113" s="100">
        <f t="shared" si="46"/>
        <v>1.3523720987340467E-4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6.0939707025144498</v>
      </c>
      <c r="K114" s="55">
        <f t="shared" si="35"/>
        <v>5.2245962490186556E-5</v>
      </c>
      <c r="L114" s="55">
        <f t="shared" si="36"/>
        <v>2.7385975758708565E-2</v>
      </c>
      <c r="M114" s="55">
        <f t="shared" si="42"/>
        <v>0.9726140242412914</v>
      </c>
      <c r="N114" s="55">
        <f t="shared" si="37"/>
        <v>2.5267670211642071E-2</v>
      </c>
      <c r="O114" s="56">
        <f t="shared" si="43"/>
        <v>5.2540063322442691E-11</v>
      </c>
      <c r="P114" s="56">
        <f t="shared" si="38"/>
        <v>6.5232090163160088E-5</v>
      </c>
      <c r="Q114" s="56">
        <f t="shared" si="39"/>
        <v>1.8867206025623949E-3</v>
      </c>
      <c r="R114" s="9">
        <f t="shared" si="44"/>
        <v>3.9999999999999996E-5</v>
      </c>
      <c r="S114" s="9">
        <f t="shared" si="45"/>
        <v>1.0954390303483426E-6</v>
      </c>
      <c r="T114" s="9">
        <f t="shared" si="40"/>
        <v>2.0898384996074621E-9</v>
      </c>
      <c r="U114" s="9">
        <f t="shared" si="41"/>
        <v>3.890456096965165E-5</v>
      </c>
      <c r="V114" s="100">
        <f t="shared" si="46"/>
        <v>5.3717056497249412E-5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4.6826081077472583</v>
      </c>
      <c r="K115" s="55">
        <f t="shared" si="35"/>
        <v>1.3102390744932507E-3</v>
      </c>
      <c r="L115" s="55">
        <f t="shared" si="36"/>
        <v>2.6635658453641842E-2</v>
      </c>
      <c r="M115" s="55">
        <f t="shared" si="42"/>
        <v>0.9733643415463582</v>
      </c>
      <c r="N115" s="55">
        <f t="shared" si="37"/>
        <v>2.4292043205682776E-2</v>
      </c>
      <c r="O115" s="56">
        <f t="shared" si="43"/>
        <v>1.3176146186290363E-9</v>
      </c>
      <c r="P115" s="56">
        <f t="shared" si="38"/>
        <v>6.3444870071886593E-5</v>
      </c>
      <c r="Q115" s="56">
        <f t="shared" si="39"/>
        <v>1.8138711646386897E-3</v>
      </c>
      <c r="R115" s="9">
        <f t="shared" si="44"/>
        <v>3.9999999999999996E-5</v>
      </c>
      <c r="S115" s="9">
        <f t="shared" si="45"/>
        <v>1.0654263381456736E-6</v>
      </c>
      <c r="T115" s="9">
        <f t="shared" si="40"/>
        <v>5.2409562979730026E-8</v>
      </c>
      <c r="U115" s="9">
        <f t="shared" si="41"/>
        <v>3.8934573661854324E-5</v>
      </c>
      <c r="V115" s="100">
        <f t="shared" si="46"/>
        <v>1.346093151934977E-3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-2.1368353720901772E-2</v>
      </c>
      <c r="K116" s="55">
        <f t="shared" si="35"/>
        <v>0.99588956667213724</v>
      </c>
      <c r="L116" s="55">
        <f t="shared" si="36"/>
        <v>4.0026499564408763E-4</v>
      </c>
      <c r="M116" s="55">
        <f t="shared" si="42"/>
        <v>0.99959973500435595</v>
      </c>
      <c r="N116" s="55">
        <f t="shared" si="37"/>
        <v>2.9920971724156086E-6</v>
      </c>
      <c r="O116" s="56">
        <f t="shared" si="43"/>
        <v>1.0014955874330429E-6</v>
      </c>
      <c r="P116" s="56">
        <f t="shared" si="38"/>
        <v>9.534121593863293E-7</v>
      </c>
      <c r="Q116" s="56">
        <f t="shared" si="39"/>
        <v>2.2341796187699831E-7</v>
      </c>
      <c r="R116" s="9">
        <f t="shared" si="44"/>
        <v>3.9999999999999996E-5</v>
      </c>
      <c r="S116" s="9">
        <f t="shared" si="45"/>
        <v>1.6010599825763505E-8</v>
      </c>
      <c r="T116" s="9">
        <f t="shared" si="40"/>
        <v>3.9835582666885485E-5</v>
      </c>
      <c r="U116" s="9">
        <f t="shared" si="41"/>
        <v>3.9983989400174236E-5</v>
      </c>
      <c r="V116" s="100">
        <f t="shared" si="46"/>
        <v>0.99628834602261818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1.0426006689905334</v>
      </c>
      <c r="K117" s="55">
        <f t="shared" si="35"/>
        <v>0.72819999461842144</v>
      </c>
      <c r="L117" s="55">
        <f t="shared" si="36"/>
        <v>3.391221234684212E-3</v>
      </c>
      <c r="M117" s="55">
        <f t="shared" si="42"/>
        <v>0.99660877876531584</v>
      </c>
      <c r="N117" s="55">
        <f t="shared" si="37"/>
        <v>1.1773216679518131E-3</v>
      </c>
      <c r="O117" s="56">
        <f t="shared" si="43"/>
        <v>7.3229914820385726E-7</v>
      </c>
      <c r="P117" s="56">
        <f t="shared" si="38"/>
        <v>8.0777274942923354E-6</v>
      </c>
      <c r="Q117" s="56">
        <f t="shared" si="39"/>
        <v>8.790984796628996E-5</v>
      </c>
      <c r="R117" s="9">
        <f t="shared" si="44"/>
        <v>3.9999999999999996E-5</v>
      </c>
      <c r="S117" s="9">
        <f t="shared" si="45"/>
        <v>1.3564884938736848E-7</v>
      </c>
      <c r="T117" s="9">
        <f t="shared" si="40"/>
        <v>2.9127999784736856E-5</v>
      </c>
      <c r="U117" s="9">
        <f t="shared" si="41"/>
        <v>3.9864351150612633E-5</v>
      </c>
      <c r="V117" s="100">
        <f t="shared" si="46"/>
        <v>0.73067788497767183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2.2723978215081706</v>
      </c>
      <c r="K118" s="55">
        <f t="shared" si="35"/>
        <v>0.16909795186259541</v>
      </c>
      <c r="L118" s="55">
        <f t="shared" si="36"/>
        <v>1.336721555843209E-2</v>
      </c>
      <c r="M118" s="55">
        <f t="shared" si="42"/>
        <v>0.98663278444156788</v>
      </c>
      <c r="N118" s="55">
        <f t="shared" si="37"/>
        <v>8.5434601014292514E-3</v>
      </c>
      <c r="O118" s="56">
        <f t="shared" si="43"/>
        <v>1.7004983112761879E-7</v>
      </c>
      <c r="P118" s="56">
        <f t="shared" si="38"/>
        <v>3.1840070926111033E-5</v>
      </c>
      <c r="Q118" s="56">
        <f t="shared" si="39"/>
        <v>6.3793464357903061E-4</v>
      </c>
      <c r="R118" s="9">
        <f t="shared" si="44"/>
        <v>3.9999999999999996E-5</v>
      </c>
      <c r="S118" s="9">
        <f t="shared" si="45"/>
        <v>5.3468862233728361E-7</v>
      </c>
      <c r="T118" s="9">
        <f t="shared" si="40"/>
        <v>6.7639180745038159E-6</v>
      </c>
      <c r="U118" s="9">
        <f t="shared" si="41"/>
        <v>3.9465311377662711E-5</v>
      </c>
      <c r="V118" s="100">
        <f t="shared" si="46"/>
        <v>0.17138894483250372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-5.374618131365505E-2</v>
      </c>
      <c r="K119" s="55">
        <f t="shared" si="35"/>
        <v>0.99912896866617495</v>
      </c>
      <c r="L119" s="55">
        <f t="shared" si="36"/>
        <v>3.7271781574793199E-4</v>
      </c>
      <c r="M119" s="55">
        <f t="shared" si="42"/>
        <v>0.99962728218425212</v>
      </c>
      <c r="N119" s="55">
        <f t="shared" si="37"/>
        <v>1.7506232496563547E-7</v>
      </c>
      <c r="O119" s="56">
        <f t="shared" si="43"/>
        <v>1.0047532245361118E-6</v>
      </c>
      <c r="P119" s="56">
        <f t="shared" si="38"/>
        <v>8.8779608864415733E-7</v>
      </c>
      <c r="Q119" s="56">
        <f t="shared" si="39"/>
        <v>1.3071790651001722E-8</v>
      </c>
      <c r="R119" s="9">
        <f t="shared" si="44"/>
        <v>3.9999999999999996E-5</v>
      </c>
      <c r="S119" s="9">
        <f t="shared" si="45"/>
        <v>1.4908712629917279E-8</v>
      </c>
      <c r="T119" s="9">
        <f t="shared" si="40"/>
        <v>3.9965158746646993E-5</v>
      </c>
      <c r="U119" s="9">
        <f t="shared" si="41"/>
        <v>3.9985091287370083E-5</v>
      </c>
      <c r="V119" s="100">
        <f t="shared" si="46"/>
        <v>0.999501500682346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-5.8737087957689227E-2</v>
      </c>
      <c r="K120" s="55">
        <f t="shared" si="35"/>
        <v>0.99963135538544101</v>
      </c>
      <c r="L120" s="55">
        <f t="shared" si="36"/>
        <v>3.6864433530685569E-4</v>
      </c>
      <c r="M120" s="55">
        <f t="shared" si="42"/>
        <v>0.99963135566469319</v>
      </c>
      <c r="N120" s="55">
        <f t="shared" si="37"/>
        <v>2.2713566656382723E-16</v>
      </c>
      <c r="O120" s="56">
        <f t="shared" si="43"/>
        <v>1.005258439270122E-6</v>
      </c>
      <c r="P120" s="56">
        <f t="shared" si="38"/>
        <v>8.7809325220877286E-7</v>
      </c>
      <c r="Q120" s="56">
        <f t="shared" si="39"/>
        <v>1.6960073409746534E-17</v>
      </c>
      <c r="R120" s="9">
        <f t="shared" si="44"/>
        <v>3.9999999999999996E-5</v>
      </c>
      <c r="S120" s="9">
        <f t="shared" si="45"/>
        <v>1.4745773412274226E-8</v>
      </c>
      <c r="T120" s="9">
        <f t="shared" si="40"/>
        <v>3.9985254215417635E-5</v>
      </c>
      <c r="U120" s="9">
        <f t="shared" si="41"/>
        <v>3.9985254226587723E-5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0.26093616996066504</v>
      </c>
      <c r="K121" s="55">
        <f t="shared" si="35"/>
        <v>0.96027756264948239</v>
      </c>
      <c r="L121" s="55">
        <f t="shared" si="36"/>
        <v>7.3932898707988217E-4</v>
      </c>
      <c r="M121" s="55">
        <f t="shared" si="42"/>
        <v>0.99926067101292015</v>
      </c>
      <c r="N121" s="55">
        <f t="shared" si="37"/>
        <v>8.1694244572123114E-5</v>
      </c>
      <c r="O121" s="56">
        <f t="shared" si="43"/>
        <v>9.6568311777587411E-7</v>
      </c>
      <c r="P121" s="56">
        <f t="shared" si="38"/>
        <v>1.7610464410820374E-6</v>
      </c>
      <c r="Q121" s="56">
        <f t="shared" si="39"/>
        <v>6.1000564378894918E-6</v>
      </c>
      <c r="R121" s="9">
        <f t="shared" si="44"/>
        <v>3.9999999999999996E-5</v>
      </c>
      <c r="S121" s="9">
        <f t="shared" si="45"/>
        <v>2.9573159483195286E-8</v>
      </c>
      <c r="T121" s="9">
        <f t="shared" si="40"/>
        <v>3.8411102505979293E-5</v>
      </c>
      <c r="U121" s="9">
        <f t="shared" si="41"/>
        <v>3.9970426840516801E-5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5.3357521430084338</v>
      </c>
      <c r="K122" s="55">
        <f t="shared" si="35"/>
        <v>3.1510032741110817E-4</v>
      </c>
      <c r="L122" s="55">
        <f t="shared" si="36"/>
        <v>2.8820783300963038E-2</v>
      </c>
      <c r="M122" s="55">
        <f t="shared" si="42"/>
        <v>0.97117921669903695</v>
      </c>
      <c r="N122" s="55">
        <f t="shared" si="37"/>
        <v>2.7160909134316336E-2</v>
      </c>
      <c r="O122" s="56">
        <f t="shared" si="43"/>
        <v>3.1687407726887362E-10</v>
      </c>
      <c r="P122" s="56">
        <f t="shared" si="38"/>
        <v>6.8649733404641623E-5</v>
      </c>
      <c r="Q122" s="56">
        <f t="shared" si="39"/>
        <v>2.0280875291948611E-3</v>
      </c>
      <c r="R122" s="9">
        <f t="shared" si="44"/>
        <v>3.9999999999999996E-5</v>
      </c>
      <c r="S122" s="9">
        <f t="shared" si="45"/>
        <v>1.1528313320385215E-6</v>
      </c>
      <c r="T122" s="9">
        <f t="shared" si="40"/>
        <v>1.2604013096444325E-8</v>
      </c>
      <c r="U122" s="9">
        <f t="shared" si="41"/>
        <v>3.8847168667961477E-5</v>
      </c>
      <c r="V122" s="100">
        <f t="shared" si="46"/>
        <v>3.2445126707108683E-4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0.90354926162364302</v>
      </c>
      <c r="K123" s="55">
        <f t="shared" ref="K123:K127" si="49">IF(D123=0,"",1/(1+10^D123*$J$15/$J$14+10^E123*$J$16/$J$14+10^J123*$J$19/$J$14))</f>
        <v>0.79928529013041638</v>
      </c>
      <c r="L123" s="55">
        <f t="shared" ref="L123:L127" si="50">IF(D123=0,"",1/(1+10^I123/10^J123*$J$13/$J$19))</f>
        <v>2.7024387812751502E-3</v>
      </c>
      <c r="M123" s="55">
        <f t="shared" si="42"/>
        <v>0.99729756121872482</v>
      </c>
      <c r="N123" s="55">
        <f t="shared" ref="N123:N127" si="51">IF(D123=0,"",1/(1/10^E123*$J$20/$J$22+10^D123/10^E123*$J$21/$J$22+10^I123/10^E123*$J$13/$J$22+1))</f>
        <v>1.0044452886247039E-3</v>
      </c>
      <c r="O123" s="56">
        <f t="shared" si="43"/>
        <v>8.0378459414996798E-7</v>
      </c>
      <c r="P123" s="56">
        <f t="shared" ref="P123:P127" si="52">IF(D123=0,"",O123*10^J123)</f>
        <v>6.4370804894363952E-6</v>
      </c>
      <c r="Q123" s="56">
        <f t="shared" ref="Q123:Q127" si="53">IF(D123=0,"",F123*N123*$J$7/$J$22)</f>
        <v>7.5001280463197963E-5</v>
      </c>
      <c r="R123" s="9">
        <f t="shared" si="44"/>
        <v>3.9999999999999996E-5</v>
      </c>
      <c r="S123" s="9">
        <f t="shared" si="45"/>
        <v>1.08097551251006E-7</v>
      </c>
      <c r="T123" s="9">
        <f t="shared" si="40"/>
        <v>3.1971411605216656E-5</v>
      </c>
      <c r="U123" s="9">
        <f t="shared" si="41"/>
        <v>3.9891902448748991E-5</v>
      </c>
      <c r="V123" s="100">
        <f t="shared" si="46"/>
        <v>0.80145116283415752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0.17110445915344102</v>
      </c>
      <c r="J124" s="54">
        <f t="shared" si="48"/>
        <v>1.0716665691586713</v>
      </c>
      <c r="K124" s="55">
        <f t="shared" si="49"/>
        <v>0.66863900254737885</v>
      </c>
      <c r="L124" s="55">
        <f t="shared" si="50"/>
        <v>3.3293776337876254E-3</v>
      </c>
      <c r="M124" s="55">
        <f t="shared" si="42"/>
        <v>0.9966706223662124</v>
      </c>
      <c r="N124" s="55">
        <f t="shared" si="51"/>
        <v>4.8026747006567062E-4</v>
      </c>
      <c r="O124" s="56">
        <f t="shared" si="43"/>
        <v>6.7240287783563736E-7</v>
      </c>
      <c r="P124" s="56">
        <f t="shared" si="52"/>
        <v>7.9304189818900407E-6</v>
      </c>
      <c r="Q124" s="56">
        <f t="shared" si="53"/>
        <v>3.5861261561658327E-5</v>
      </c>
      <c r="R124" s="9">
        <f t="shared" si="44"/>
        <v>3.9999999999999996E-5</v>
      </c>
      <c r="S124" s="9">
        <f t="shared" si="45"/>
        <v>1.33175105351505E-7</v>
      </c>
      <c r="T124" s="9">
        <f t="shared" si="40"/>
        <v>2.6745560101895151E-5</v>
      </c>
      <c r="U124" s="9">
        <f t="shared" si="41"/>
        <v>3.9866824894648493E-5</v>
      </c>
      <c r="V124" s="100">
        <f t="shared" si="46"/>
        <v>0.67087259074613015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0.1052380650673532</v>
      </c>
      <c r="K125" s="55">
        <f t="shared" si="49"/>
        <v>0.98109016087422685</v>
      </c>
      <c r="L125" s="55">
        <f t="shared" si="50"/>
        <v>5.2777858929228653E-4</v>
      </c>
      <c r="M125" s="55">
        <f t="shared" si="42"/>
        <v>0.99947222141070768</v>
      </c>
      <c r="N125" s="55">
        <f t="shared" si="51"/>
        <v>1.8052584476916572E-5</v>
      </c>
      <c r="O125" s="56">
        <f t="shared" si="43"/>
        <v>9.8661287342614144E-7</v>
      </c>
      <c r="P125" s="56">
        <f t="shared" si="52"/>
        <v>1.2571434673804508E-6</v>
      </c>
      <c r="Q125" s="56">
        <f t="shared" si="53"/>
        <v>1.347974814330264E-6</v>
      </c>
      <c r="R125" s="9">
        <f t="shared" si="44"/>
        <v>3.9999999999999996E-5</v>
      </c>
      <c r="S125" s="9">
        <f t="shared" si="45"/>
        <v>2.111114357169146E-8</v>
      </c>
      <c r="T125" s="9">
        <f t="shared" si="40"/>
        <v>3.9243606434969072E-5</v>
      </c>
      <c r="U125" s="9">
        <f t="shared" si="41"/>
        <v>3.9978888856428303E-5</v>
      </c>
      <c r="V125" s="100">
        <f t="shared" si="46"/>
        <v>0.98160823268250974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4.2425872318946825</v>
      </c>
      <c r="K126" s="55">
        <f t="shared" si="49"/>
        <v>3.3667399522715868E-3</v>
      </c>
      <c r="L126" s="55">
        <f t="shared" si="50"/>
        <v>2.4848580666014738E-2</v>
      </c>
      <c r="M126" s="55">
        <f t="shared" si="42"/>
        <v>0.9751514193339853</v>
      </c>
      <c r="N126" s="55">
        <f t="shared" si="51"/>
        <v>2.19586188715853E-2</v>
      </c>
      <c r="O126" s="56">
        <f t="shared" si="43"/>
        <v>3.3856918669221982E-9</v>
      </c>
      <c r="P126" s="56">
        <f t="shared" si="52"/>
        <v>5.9188135880701144E-5</v>
      </c>
      <c r="Q126" s="56">
        <f t="shared" si="53"/>
        <v>1.6396358778557522E-3</v>
      </c>
      <c r="R126" s="9">
        <f t="shared" si="44"/>
        <v>3.9999999999999996E-5</v>
      </c>
      <c r="S126" s="9">
        <f t="shared" si="45"/>
        <v>9.9394322664058944E-7</v>
      </c>
      <c r="T126" s="9">
        <f t="shared" si="40"/>
        <v>1.3466959809086345E-7</v>
      </c>
      <c r="U126" s="9">
        <f t="shared" si="41"/>
        <v>3.9006056773359409E-5</v>
      </c>
      <c r="V126" s="100">
        <f t="shared" si="46"/>
        <v>3.4525304332439191E-3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2.1027401001650152</v>
      </c>
      <c r="K127" s="55">
        <f t="shared" si="49"/>
        <v>0.22380965875979952</v>
      </c>
      <c r="L127" s="55">
        <f t="shared" si="50"/>
        <v>1.1970814687719456E-2</v>
      </c>
      <c r="M127" s="55">
        <f t="shared" si="42"/>
        <v>0.98802918531228057</v>
      </c>
      <c r="N127" s="55">
        <f t="shared" si="51"/>
        <v>7.2689933786669811E-3</v>
      </c>
      <c r="O127" s="56">
        <f t="shared" si="43"/>
        <v>2.2506951892450757E-7</v>
      </c>
      <c r="P127" s="56">
        <f t="shared" si="52"/>
        <v>2.8513910547353099E-5</v>
      </c>
      <c r="Q127" s="56">
        <f t="shared" si="53"/>
        <v>5.4277103716121979E-4</v>
      </c>
      <c r="R127" s="9">
        <f t="shared" si="44"/>
        <v>3.9999999999999996E-5</v>
      </c>
      <c r="S127" s="9">
        <f t="shared" si="45"/>
        <v>4.788325875087782E-7</v>
      </c>
      <c r="T127" s="9">
        <f t="shared" si="40"/>
        <v>8.9523863503919796E-6</v>
      </c>
      <c r="U127" s="9">
        <f t="shared" si="41"/>
        <v>3.9521167412491222E-5</v>
      </c>
      <c r="V127" s="100">
        <f t="shared" si="46"/>
        <v>0.22652130330447812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3.013869491074634</v>
      </c>
      <c r="K128" s="55">
        <f t="shared" ref="K128:K134" si="56">IF(D128=0,"",1/(1+10^D128*$J$15/$J$14+10^E128*$J$16/$J$14+10^J128*$J$19/$J$14))</f>
        <v>3.5157431814855818E-2</v>
      </c>
      <c r="L128" s="55">
        <f t="shared" ref="L128:L134" si="57">IF(D128=0,"",1/(1+10^I128/10^J128*$J$13/$J$19))</f>
        <v>1.5324680077428985E-2</v>
      </c>
      <c r="M128" s="55">
        <f t="shared" ref="M128:M134" si="58">IF(D128=0,"",1-L128)</f>
        <v>0.98467531992257107</v>
      </c>
      <c r="N128" s="55">
        <f t="shared" ref="N128:N134" si="59">IF(D128=0,"",1/(1/10^E128*$J$20/$J$22+10^D128/10^E128*$J$21/$J$22+10^I128/10^E128*$J$13/$J$22+1))</f>
        <v>9.7383551485885015E-3</v>
      </c>
      <c r="O128" s="56">
        <f t="shared" ref="O128:O134" si="60">IF(D128=0,"",F128*K128*$J$7/$J$14)</f>
        <v>3.5355338590114854E-8</v>
      </c>
      <c r="P128" s="56">
        <f t="shared" ref="P128:P134" si="61">IF(D128=0,"",O128*10^J128)</f>
        <v>3.6502658197765514E-5</v>
      </c>
      <c r="Q128" s="56">
        <f t="shared" ref="Q128:Q134" si="62">IF(D128=0,"",F128*N128*$J$7/$J$22)</f>
        <v>7.2715668441192054E-4</v>
      </c>
      <c r="R128" s="9">
        <f t="shared" si="44"/>
        <v>3.9999999999999996E-5</v>
      </c>
      <c r="S128" s="9">
        <f t="shared" si="45"/>
        <v>6.1298720309715939E-7</v>
      </c>
      <c r="T128" s="9">
        <f t="shared" si="40"/>
        <v>1.4062972725942326E-6</v>
      </c>
      <c r="U128" s="9">
        <f t="shared" si="41"/>
        <v>3.9387012796902841E-5</v>
      </c>
      <c r="V128" s="100">
        <f t="shared" si="46"/>
        <v>3.5704593284231381E-2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-5.6092090125515102E-2</v>
      </c>
      <c r="K129" s="55">
        <f t="shared" si="56"/>
        <v>0.99936383564132802</v>
      </c>
      <c r="L129" s="55">
        <f t="shared" si="57"/>
        <v>3.707970940303179E-4</v>
      </c>
      <c r="M129" s="55">
        <f t="shared" si="58"/>
        <v>0.99962920290596968</v>
      </c>
      <c r="N129" s="55">
        <f t="shared" si="59"/>
        <v>7.1664097001095287E-8</v>
      </c>
      <c r="O129" s="56">
        <f t="shared" si="60"/>
        <v>1.0049894136148222E-6</v>
      </c>
      <c r="P129" s="56">
        <f t="shared" si="61"/>
        <v>8.8322102097573969E-7</v>
      </c>
      <c r="Q129" s="56">
        <f t="shared" si="62"/>
        <v>5.3511118018984741E-9</v>
      </c>
      <c r="R129" s="9">
        <f t="shared" si="44"/>
        <v>3.9999999999999996E-5</v>
      </c>
      <c r="S129" s="9">
        <f t="shared" si="45"/>
        <v>1.4831883761212715E-8</v>
      </c>
      <c r="T129" s="9">
        <f t="shared" si="40"/>
        <v>3.9974553425653117E-5</v>
      </c>
      <c r="U129" s="9">
        <f t="shared" si="41"/>
        <v>3.9985168116238782E-5</v>
      </c>
      <c r="V129" s="100">
        <f t="shared" si="46"/>
        <v>0.99973453430144876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1.4310859529846958</v>
      </c>
      <c r="K130" s="55">
        <f t="shared" si="56"/>
        <v>0.53890806632676391</v>
      </c>
      <c r="L130" s="55">
        <f t="shared" si="57"/>
        <v>6.1391100651230907E-3</v>
      </c>
      <c r="M130" s="55">
        <f t="shared" si="58"/>
        <v>0.99386088993487687</v>
      </c>
      <c r="N130" s="55">
        <f t="shared" si="59"/>
        <v>2.8416289556529709E-3</v>
      </c>
      <c r="O130" s="56">
        <f t="shared" si="60"/>
        <v>5.4194166554212935E-7</v>
      </c>
      <c r="P130" s="56">
        <f t="shared" si="61"/>
        <v>1.4623067836548674E-5</v>
      </c>
      <c r="Q130" s="56">
        <f t="shared" si="62"/>
        <v>2.1218259738874052E-4</v>
      </c>
      <c r="R130" s="9">
        <f t="shared" si="44"/>
        <v>3.9999999999999996E-5</v>
      </c>
      <c r="S130" s="9">
        <f t="shared" si="45"/>
        <v>2.4556440260492363E-7</v>
      </c>
      <c r="T130" s="9">
        <f t="shared" si="40"/>
        <v>2.1556322653070553E-5</v>
      </c>
      <c r="U130" s="9">
        <f t="shared" si="41"/>
        <v>3.9754435597395074E-5</v>
      </c>
      <c r="V130" s="100">
        <f t="shared" si="46"/>
        <v>0.54223691845050481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9.2770544988280301E-2</v>
      </c>
      <c r="K131" s="55">
        <f t="shared" si="56"/>
        <v>0.98338056573305221</v>
      </c>
      <c r="L131" s="55">
        <f t="shared" si="57"/>
        <v>5.1404004008880695E-4</v>
      </c>
      <c r="M131" s="55">
        <f t="shared" si="58"/>
        <v>0.99948595995991119</v>
      </c>
      <c r="N131" s="55">
        <f t="shared" si="59"/>
        <v>2.3622021986122838E-5</v>
      </c>
      <c r="O131" s="56">
        <f t="shared" si="60"/>
        <v>9.8891617133819196E-7</v>
      </c>
      <c r="P131" s="56">
        <f t="shared" si="61"/>
        <v>1.2244188973943912E-6</v>
      </c>
      <c r="Q131" s="56">
        <f t="shared" si="62"/>
        <v>1.7638411132525011E-6</v>
      </c>
      <c r="R131" s="9">
        <f t="shared" si="44"/>
        <v>3.9999999999999996E-5</v>
      </c>
      <c r="S131" s="9">
        <f t="shared" si="45"/>
        <v>2.0561601603552275E-8</v>
      </c>
      <c r="T131" s="9">
        <f t="shared" si="40"/>
        <v>3.9335222629322084E-5</v>
      </c>
      <c r="U131" s="9">
        <f t="shared" si="41"/>
        <v>3.9979438398396447E-5</v>
      </c>
      <c r="V131" s="100">
        <f t="shared" si="46"/>
        <v>0.98388632269781462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0.27496781452008184</v>
      </c>
      <c r="K132" s="55">
        <f t="shared" si="56"/>
        <v>0.95804497380476406</v>
      </c>
      <c r="L132" s="55">
        <f t="shared" si="57"/>
        <v>7.6183074238481108E-4</v>
      </c>
      <c r="M132" s="55">
        <f t="shared" si="58"/>
        <v>0.99923816925761522</v>
      </c>
      <c r="N132" s="55">
        <f t="shared" si="59"/>
        <v>8.8268862558149095E-5</v>
      </c>
      <c r="O132" s="56">
        <f t="shared" si="60"/>
        <v>9.6343796133346958E-7</v>
      </c>
      <c r="P132" s="56">
        <f t="shared" si="61"/>
        <v>1.8146445507062211E-6</v>
      </c>
      <c r="Q132" s="56">
        <f t="shared" si="62"/>
        <v>6.5909789133022486E-6</v>
      </c>
      <c r="R132" s="9">
        <f t="shared" si="44"/>
        <v>3.9999999999999996E-5</v>
      </c>
      <c r="S132" s="9">
        <f t="shared" si="45"/>
        <v>3.0473229695392438E-8</v>
      </c>
      <c r="T132" s="9">
        <f t="shared" si="40"/>
        <v>3.832179895219056E-5</v>
      </c>
      <c r="U132" s="9">
        <f t="shared" si="41"/>
        <v>3.9969526770304605E-5</v>
      </c>
      <c r="V132" s="100">
        <f t="shared" si="46"/>
        <v>0.95877539837829084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2.3319124893564669</v>
      </c>
      <c r="K133" s="55">
        <f t="shared" si="56"/>
        <v>0.15263140955553914</v>
      </c>
      <c r="L133" s="55">
        <f t="shared" si="57"/>
        <v>1.3837613207092283E-2</v>
      </c>
      <c r="M133" s="55">
        <f t="shared" si="58"/>
        <v>0.98616238679290769</v>
      </c>
      <c r="N133" s="55">
        <f t="shared" si="59"/>
        <v>8.9930793649760903E-3</v>
      </c>
      <c r="O133" s="56">
        <f t="shared" si="60"/>
        <v>1.5349059603501383E-7</v>
      </c>
      <c r="P133" s="56">
        <f t="shared" si="61"/>
        <v>3.2960535725331578E-5</v>
      </c>
      <c r="Q133" s="56">
        <f t="shared" si="62"/>
        <v>6.7150742336985968E-4</v>
      </c>
      <c r="R133" s="9">
        <f t="shared" si="44"/>
        <v>3.9999999999999996E-5</v>
      </c>
      <c r="S133" s="9">
        <f t="shared" si="45"/>
        <v>5.5350452828369123E-7</v>
      </c>
      <c r="T133" s="9">
        <f t="shared" si="40"/>
        <v>6.1052563822215654E-6</v>
      </c>
      <c r="U133" s="9">
        <f t="shared" si="41"/>
        <v>3.9446495471716303E-5</v>
      </c>
      <c r="V133" s="100">
        <f t="shared" si="46"/>
        <v>0.15477309984607177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-5.7907129439144098E-2</v>
      </c>
      <c r="K134" s="55">
        <f t="shared" si="56"/>
        <v>0.99954679012058245</v>
      </c>
      <c r="L134" s="55">
        <f t="shared" si="57"/>
        <v>3.6931826104227362E-4</v>
      </c>
      <c r="M134" s="55">
        <f t="shared" si="58"/>
        <v>0.99963068173895775</v>
      </c>
      <c r="N134" s="55">
        <f t="shared" si="59"/>
        <v>1.3984265931126902E-8</v>
      </c>
      <c r="O134" s="56">
        <f t="shared" si="60"/>
        <v>1.0051733979739381E-6</v>
      </c>
      <c r="P134" s="56">
        <f t="shared" si="61"/>
        <v>8.7969851121883649E-7</v>
      </c>
      <c r="Q134" s="56">
        <f t="shared" si="62"/>
        <v>1.0441960981353916E-9</v>
      </c>
      <c r="R134" s="9">
        <f t="shared" si="44"/>
        <v>3.9999999999999996E-5</v>
      </c>
      <c r="S134" s="9">
        <f t="shared" si="45"/>
        <v>1.4772730441690943E-8</v>
      </c>
      <c r="T134" s="9">
        <f t="shared" si="40"/>
        <v>3.9981871604823291E-5</v>
      </c>
      <c r="U134" s="9">
        <f t="shared" si="41"/>
        <v>3.9985227269558307E-5</v>
      </c>
      <c r="V134" s="100">
        <f t="shared" si="46"/>
        <v>0.99991607738747135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0.41641808606377456</v>
      </c>
      <c r="K135" s="55">
        <f t="shared" ref="K135:K143" si="65">IF(D135=0,"",1/(1+10^D135*$J$15/$J$14+10^E135*$J$16/$J$14+10^J135*$J$19/$J$14))</f>
        <v>0.93245106012091861</v>
      </c>
      <c r="L135" s="55">
        <f t="shared" ref="L135:L143" si="66">IF(D135=0,"",1/(1+10^I135/10^J135*$J$13/$J$19))</f>
        <v>1.026949093075383E-3</v>
      </c>
      <c r="M135" s="55">
        <f t="shared" ref="M135:M143" si="67">IF(D135=0,"",1-L135)</f>
        <v>0.99897305090692456</v>
      </c>
      <c r="N135" s="55">
        <f t="shared" ref="N135:N143" si="68">IF(D135=0,"",1/(1/10^E135*$J$20/$J$22+10^D135/10^E135*$J$21/$J$22+10^I135/10^E135*$J$13/$J$22+1))</f>
        <v>1.7307707416861995E-4</v>
      </c>
      <c r="O135" s="56">
        <f t="shared" ref="O135:O143" si="69">IF(D135=0,"",F135*K135*$J$7/$J$14)</f>
        <v>9.3769997543894322E-7</v>
      </c>
      <c r="P135" s="56">
        <f t="shared" ref="P135:P143" si="70">IF(D135=0,"",O135*10^J135)</f>
        <v>2.4461438373677976E-6</v>
      </c>
      <c r="Q135" s="56">
        <f t="shared" ref="Q135:Q143" si="71">IF(D135=0,"",F135*N135*$J$7/$J$22)</f>
        <v>1.292355325718546E-5</v>
      </c>
      <c r="R135" s="9">
        <f t="shared" si="44"/>
        <v>3.9999999999999996E-5</v>
      </c>
      <c r="S135" s="9">
        <f t="shared" si="45"/>
        <v>4.1077963723015317E-8</v>
      </c>
      <c r="T135" s="9">
        <f t="shared" si="40"/>
        <v>3.7298042404836743E-5</v>
      </c>
      <c r="U135" s="9">
        <f t="shared" si="41"/>
        <v>3.9958922036276979E-5</v>
      </c>
      <c r="V135" s="100">
        <f t="shared" si="46"/>
        <v>0.93340962428804908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-2.4847756824831816E-2</v>
      </c>
      <c r="K136" s="55">
        <f t="shared" si="65"/>
        <v>0.9962412632733787</v>
      </c>
      <c r="L136" s="55">
        <f t="shared" si="66"/>
        <v>3.9721126031477138E-4</v>
      </c>
      <c r="M136" s="55">
        <f t="shared" si="67"/>
        <v>0.99960278873968522</v>
      </c>
      <c r="N136" s="55">
        <f t="shared" si="68"/>
        <v>2.6032692080695755E-6</v>
      </c>
      <c r="O136" s="56">
        <f t="shared" si="69"/>
        <v>1.0018492637903876E-6</v>
      </c>
      <c r="P136" s="56">
        <f t="shared" si="70"/>
        <v>9.4613830724786574E-7</v>
      </c>
      <c r="Q136" s="56">
        <f t="shared" si="71"/>
        <v>1.9438442910411742E-7</v>
      </c>
      <c r="R136" s="9">
        <f t="shared" si="44"/>
        <v>3.9999999999999996E-5</v>
      </c>
      <c r="S136" s="9">
        <f t="shared" si="45"/>
        <v>1.5888450412590855E-8</v>
      </c>
      <c r="T136" s="9">
        <f t="shared" si="40"/>
        <v>3.9849650530935141E-5</v>
      </c>
      <c r="U136" s="9">
        <f t="shared" si="41"/>
        <v>3.9984111549587406E-5</v>
      </c>
      <c r="V136" s="100">
        <f t="shared" si="46"/>
        <v>0.99663713876734494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-5.8647943797627743E-2</v>
      </c>
      <c r="K137" s="55">
        <f t="shared" si="65"/>
        <v>0.9996221957195387</v>
      </c>
      <c r="L137" s="55">
        <f t="shared" si="66"/>
        <v>3.6871663315446494E-4</v>
      </c>
      <c r="M137" s="55">
        <f t="shared" si="67"/>
        <v>0.99963128336684548</v>
      </c>
      <c r="N137" s="55">
        <f t="shared" si="68"/>
        <v>5.9467474064963591E-10</v>
      </c>
      <c r="O137" s="56">
        <f t="shared" si="69"/>
        <v>1.0052492280430036E-6</v>
      </c>
      <c r="P137" s="56">
        <f t="shared" si="70"/>
        <v>8.7826546223902348E-7</v>
      </c>
      <c r="Q137" s="56">
        <f t="shared" si="71"/>
        <v>4.4403978507292795E-11</v>
      </c>
      <c r="R137" s="9">
        <f t="shared" si="44"/>
        <v>3.9999999999999996E-5</v>
      </c>
      <c r="S137" s="9">
        <f t="shared" si="45"/>
        <v>1.4748665326178597E-8</v>
      </c>
      <c r="T137" s="9">
        <f t="shared" si="40"/>
        <v>3.9984887828781544E-5</v>
      </c>
      <c r="U137" s="9">
        <f t="shared" si="41"/>
        <v>3.9985251334673814E-5</v>
      </c>
      <c r="V137" s="100">
        <f t="shared" si="46"/>
        <v>0.99999090900069054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-2.8562424368517695E-2</v>
      </c>
      <c r="K138" s="55">
        <f t="shared" si="65"/>
        <v>0.99661539590865211</v>
      </c>
      <c r="L138" s="55">
        <f t="shared" si="66"/>
        <v>3.9397616659679792E-4</v>
      </c>
      <c r="M138" s="55">
        <f t="shared" si="67"/>
        <v>0.99960602383340325</v>
      </c>
      <c r="N138" s="55">
        <f t="shared" si="68"/>
        <v>2.2073593483627162E-6</v>
      </c>
      <c r="O138" s="56">
        <f t="shared" si="69"/>
        <v>1.0022255024777686E-6</v>
      </c>
      <c r="P138" s="56">
        <f t="shared" si="70"/>
        <v>9.3843246806373481E-7</v>
      </c>
      <c r="Q138" s="56">
        <f t="shared" si="71"/>
        <v>1.648220957821338E-7</v>
      </c>
      <c r="R138" s="9">
        <f t="shared" si="44"/>
        <v>3.9999999999999996E-5</v>
      </c>
      <c r="S138" s="9">
        <f t="shared" si="45"/>
        <v>1.5759046663871916E-8</v>
      </c>
      <c r="T138" s="9">
        <f t="shared" si="40"/>
        <v>3.986461583634608E-5</v>
      </c>
      <c r="U138" s="9">
        <f t="shared" si="41"/>
        <v>3.998424095333613E-5</v>
      </c>
      <c r="V138" s="100">
        <f t="shared" si="46"/>
        <v>0.99700819337474345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0.3185068789023815</v>
      </c>
      <c r="K139" s="55">
        <f t="shared" si="65"/>
        <v>0.94786097079674214</v>
      </c>
      <c r="L139" s="55">
        <f t="shared" si="66"/>
        <v>8.332135089634858E-4</v>
      </c>
      <c r="M139" s="55">
        <f t="shared" si="67"/>
        <v>0.99916678649103652</v>
      </c>
      <c r="N139" s="55">
        <f t="shared" si="68"/>
        <v>7.7071197467654446E-5</v>
      </c>
      <c r="O139" s="56">
        <f t="shared" si="69"/>
        <v>9.5319663095281242E-7</v>
      </c>
      <c r="P139" s="56">
        <f t="shared" si="70"/>
        <v>1.9846749015172641E-6</v>
      </c>
      <c r="Q139" s="56">
        <f t="shared" si="71"/>
        <v>5.7548564987752555E-6</v>
      </c>
      <c r="R139" s="9">
        <f t="shared" si="44"/>
        <v>3.9999999999999996E-5</v>
      </c>
      <c r="S139" s="9">
        <f t="shared" si="45"/>
        <v>3.3328540358539431E-8</v>
      </c>
      <c r="T139" s="9">
        <f t="shared" si="40"/>
        <v>3.7914438831869683E-5</v>
      </c>
      <c r="U139" s="9">
        <f t="shared" si="41"/>
        <v>3.9966671459641459E-5</v>
      </c>
      <c r="V139" s="100">
        <f t="shared" si="46"/>
        <v>0.94865139995848469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-5.8060513860230811E-2</v>
      </c>
      <c r="K140" s="55">
        <f t="shared" si="65"/>
        <v>0.99956234475481565</v>
      </c>
      <c r="L140" s="55">
        <f t="shared" si="66"/>
        <v>3.6919359318390469E-4</v>
      </c>
      <c r="M140" s="55">
        <f t="shared" si="67"/>
        <v>0.99963080640681612</v>
      </c>
      <c r="N140" s="55">
        <f t="shared" si="68"/>
        <v>1.0478712698507017E-8</v>
      </c>
      <c r="O140" s="56">
        <f t="shared" si="69"/>
        <v>1.0051890401676814E-6</v>
      </c>
      <c r="P140" s="56">
        <f t="shared" si="70"/>
        <v>8.7940155831676654E-7</v>
      </c>
      <c r="Q140" s="56">
        <f t="shared" si="71"/>
        <v>7.8243870412303259E-10</v>
      </c>
      <c r="R140" s="9">
        <f t="shared" si="44"/>
        <v>3.9999999999999996E-5</v>
      </c>
      <c r="S140" s="9">
        <f t="shared" si="45"/>
        <v>1.4767743727356186E-8</v>
      </c>
      <c r="T140" s="9">
        <f t="shared" si="40"/>
        <v>3.9982493790192625E-5</v>
      </c>
      <c r="U140" s="9">
        <f t="shared" si="41"/>
        <v>3.9985232256272643E-5</v>
      </c>
      <c r="V140" s="100">
        <f t="shared" si="46"/>
        <v>0.99993151306306116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-5.7043412255376839E-2</v>
      </c>
      <c r="K141" s="55">
        <f t="shared" si="65"/>
        <v>0.99945952359835755</v>
      </c>
      <c r="L141" s="55">
        <f t="shared" si="66"/>
        <v>3.7002117760269969E-4</v>
      </c>
      <c r="M141" s="55">
        <f t="shared" si="67"/>
        <v>0.99962997882239735</v>
      </c>
      <c r="N141" s="55">
        <f t="shared" si="68"/>
        <v>3.8249506433973509E-8</v>
      </c>
      <c r="O141" s="56">
        <f t="shared" si="69"/>
        <v>1.0050856402145805E-6</v>
      </c>
      <c r="P141" s="56">
        <f t="shared" si="70"/>
        <v>8.8137282499355454E-7</v>
      </c>
      <c r="Q141" s="56">
        <f t="shared" si="71"/>
        <v>2.8560659222776373E-9</v>
      </c>
      <c r="R141" s="9">
        <f t="shared" si="44"/>
        <v>3.9999999999999996E-5</v>
      </c>
      <c r="S141" s="9">
        <f t="shared" si="45"/>
        <v>1.4800847104107986E-8</v>
      </c>
      <c r="T141" s="9">
        <f t="shared" si="40"/>
        <v>3.9978380943934298E-5</v>
      </c>
      <c r="U141" s="9">
        <f t="shared" si="41"/>
        <v>3.9985199152895893E-5</v>
      </c>
      <c r="V141" s="100">
        <f t="shared" si="46"/>
        <v>0.99982948168057084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1.619266797430863</v>
      </c>
      <c r="K142" s="55">
        <f t="shared" si="65"/>
        <v>0.43990385489485795</v>
      </c>
      <c r="L142" s="55">
        <f t="shared" si="66"/>
        <v>7.7291075009109497E-3</v>
      </c>
      <c r="M142" s="55">
        <f t="shared" si="67"/>
        <v>0.99227089249908906</v>
      </c>
      <c r="N142" s="55">
        <f t="shared" si="68"/>
        <v>3.9134141752939717E-3</v>
      </c>
      <c r="O142" s="56">
        <f t="shared" si="69"/>
        <v>4.4238014365806261E-7</v>
      </c>
      <c r="P142" s="56">
        <f t="shared" si="70"/>
        <v>1.8410366014431747E-5</v>
      </c>
      <c r="Q142" s="56">
        <f t="shared" si="71"/>
        <v>2.9221210697474219E-4</v>
      </c>
      <c r="R142" s="9">
        <f t="shared" si="44"/>
        <v>3.9999999999999996E-5</v>
      </c>
      <c r="S142" s="9">
        <f t="shared" si="45"/>
        <v>3.0916430003643796E-7</v>
      </c>
      <c r="T142" s="9">
        <f t="shared" si="40"/>
        <v>1.7596154195794315E-5</v>
      </c>
      <c r="U142" s="9">
        <f t="shared" si="41"/>
        <v>3.9690835699963557E-5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2.4581070126707267</v>
      </c>
      <c r="K143" s="55">
        <f t="shared" si="65"/>
        <v>6.5799566461775469E-2</v>
      </c>
      <c r="L143" s="55">
        <f t="shared" si="66"/>
        <v>7.9769124851161236E-3</v>
      </c>
      <c r="M143" s="55">
        <f t="shared" si="67"/>
        <v>0.99202308751488388</v>
      </c>
      <c r="N143" s="55">
        <f t="shared" si="68"/>
        <v>3.7352397301042723E-4</v>
      </c>
      <c r="O143" s="56">
        <f t="shared" si="69"/>
        <v>6.6169962686404991E-8</v>
      </c>
      <c r="P143" s="56">
        <f t="shared" si="70"/>
        <v>1.9000625686571131E-5</v>
      </c>
      <c r="Q143" s="56">
        <f t="shared" si="71"/>
        <v>2.7890793631817561E-5</v>
      </c>
      <c r="R143" s="9">
        <f t="shared" si="44"/>
        <v>3.9999999999999996E-5</v>
      </c>
      <c r="S143" s="9">
        <f t="shared" si="45"/>
        <v>3.1907649940464493E-7</v>
      </c>
      <c r="T143" s="9">
        <f t="shared" si="40"/>
        <v>2.6319826584710184E-6</v>
      </c>
      <c r="U143" s="9">
        <f t="shared" si="41"/>
        <v>3.9680923500595351E-5</v>
      </c>
      <c r="V143" s="100">
        <f t="shared" si="46"/>
        <v>6.6328664413053032E-2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2025-02-02T17:32:57Z</dcterms:modified>
</cp:coreProperties>
</file>