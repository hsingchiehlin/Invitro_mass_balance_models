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tiff" ContentType="image/tiff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embeddings/oleObject3.bin" ContentType="application/vnd.openxmlformats-officedocument.oleObject"/>
  <Override PartName="/xl/embeddings/oleObject4.bin" ContentType="application/vnd.openxmlformats-officedocument.oleObject"/>
  <Override PartName="/xl/embeddings/oleObject5.bin" ContentType="application/vnd.openxmlformats-officedocument.oleObject"/>
  <Override PartName="/xl/embeddings/oleObject6.bin" ContentType="application/vnd.openxmlformats-officedocument.oleObject"/>
  <Override PartName="/xl/embeddings/oleObject7.bin" ContentType="application/vnd.openxmlformats-officedocument.oleObject"/>
  <Override PartName="/xl/embeddings/oleObject8.bin" ContentType="application/vnd.openxmlformats-officedocument.oleObject"/>
  <Override PartName="/xl/embeddings/oleObject9.bin" ContentType="application/vnd.openxmlformats-officedocument.oleObject"/>
  <Override PartName="/xl/embeddings/oleObject10.bin" ContentType="application/vnd.openxmlformats-officedocument.oleObject"/>
  <Override PartName="/xl/embeddings/oleObject11.bin" ContentType="application/vnd.openxmlformats-officedocument.oleObject"/>
  <Override PartName="/xl/embeddings/oleObject12.bin" ContentType="application/vnd.openxmlformats-officedocument.oleObject"/>
  <Override PartName="/xl/embeddings/oleObject13.bin" ContentType="application/vnd.openxmlformats-officedocument.oleObject"/>
  <Override PartName="/xl/embeddings/oleObject14.bin" ContentType="application/vnd.openxmlformats-officedocument.oleObject"/>
  <Override PartName="/xl/embeddings/oleObject15.bin" ContentType="application/vnd.openxmlformats-officedocument.oleObject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AMU PHD\MassBalance project\Sensitivity analysis\Fischer model\384well_1um\"/>
    </mc:Choice>
  </mc:AlternateContent>
  <xr:revisionPtr revIDLastSave="0" documentId="13_ncr:1_{384BAFFF-56C9-46F2-9A3D-398356252121}" xr6:coauthVersionLast="47" xr6:coauthVersionMax="47" xr10:uidLastSave="{00000000-0000-0000-0000-000000000000}"/>
  <bookViews>
    <workbookView minimized="1" xWindow="46020" yWindow="2820" windowWidth="16200" windowHeight="9990" activeTab="1" xr2:uid="{00000000-000D-0000-FFFF-FFFF00000000}"/>
  </bookViews>
  <sheets>
    <sheet name="Model structure" sheetId="1" r:id="rId1"/>
    <sheet name="User input and model output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131" i="4" l="1"/>
  <c r="U131" i="4"/>
  <c r="T131" i="4"/>
  <c r="S131" i="4"/>
  <c r="R131" i="4"/>
  <c r="V130" i="4"/>
  <c r="R130" i="4"/>
  <c r="U130" i="4" s="1"/>
  <c r="V127" i="4"/>
  <c r="R127" i="4"/>
  <c r="V126" i="4"/>
  <c r="R126" i="4"/>
  <c r="U126" i="4" s="1"/>
  <c r="V124" i="4"/>
  <c r="U124" i="4"/>
  <c r="T124" i="4"/>
  <c r="S124" i="4"/>
  <c r="R124" i="4"/>
  <c r="V121" i="4"/>
  <c r="U121" i="4"/>
  <c r="T121" i="4"/>
  <c r="R121" i="4"/>
  <c r="S121" i="4" s="1"/>
  <c r="V120" i="4"/>
  <c r="R120" i="4"/>
  <c r="V119" i="4"/>
  <c r="R119" i="4"/>
  <c r="V116" i="4"/>
  <c r="R116" i="4"/>
  <c r="U116" i="4" s="1"/>
  <c r="V115" i="4"/>
  <c r="U115" i="4"/>
  <c r="T115" i="4"/>
  <c r="R115" i="4"/>
  <c r="S115" i="4" s="1"/>
  <c r="V114" i="4"/>
  <c r="U114" i="4"/>
  <c r="R114" i="4"/>
  <c r="T114" i="4" s="1"/>
  <c r="V108" i="4"/>
  <c r="R108" i="4"/>
  <c r="U108" i="4" s="1"/>
  <c r="V107" i="4"/>
  <c r="U107" i="4"/>
  <c r="T107" i="4"/>
  <c r="S107" i="4"/>
  <c r="R107" i="4"/>
  <c r="V93" i="4"/>
  <c r="R93" i="4"/>
  <c r="V92" i="4"/>
  <c r="U92" i="4"/>
  <c r="R92" i="4"/>
  <c r="V91" i="4"/>
  <c r="R91" i="4"/>
  <c r="U91" i="4" s="1"/>
  <c r="V90" i="4"/>
  <c r="U90" i="4"/>
  <c r="T90" i="4"/>
  <c r="S90" i="4"/>
  <c r="R90" i="4"/>
  <c r="V89" i="4"/>
  <c r="U89" i="4"/>
  <c r="T89" i="4"/>
  <c r="R89" i="4"/>
  <c r="S89" i="4" s="1"/>
  <c r="V88" i="4"/>
  <c r="R88" i="4"/>
  <c r="V86" i="4"/>
  <c r="R86" i="4"/>
  <c r="V85" i="4"/>
  <c r="R85" i="4"/>
  <c r="U85" i="4" s="1"/>
  <c r="V84" i="4"/>
  <c r="U84" i="4"/>
  <c r="T84" i="4"/>
  <c r="R84" i="4"/>
  <c r="S84" i="4" s="1"/>
  <c r="V83" i="4"/>
  <c r="U83" i="4"/>
  <c r="R83" i="4"/>
  <c r="T83" i="4" s="1"/>
  <c r="V82" i="4"/>
  <c r="R82" i="4"/>
  <c r="U82" i="4" s="1"/>
  <c r="V81" i="4"/>
  <c r="U81" i="4"/>
  <c r="T81" i="4"/>
  <c r="S81" i="4"/>
  <c r="R81" i="4"/>
  <c r="V80" i="4"/>
  <c r="R80" i="4"/>
  <c r="V79" i="4"/>
  <c r="U79" i="4"/>
  <c r="R79" i="4"/>
  <c r="V78" i="4"/>
  <c r="R78" i="4"/>
  <c r="U78" i="4" s="1"/>
  <c r="V77" i="4"/>
  <c r="U77" i="4"/>
  <c r="T77" i="4"/>
  <c r="S77" i="4"/>
  <c r="R77" i="4"/>
  <c r="V76" i="4"/>
  <c r="U76" i="4"/>
  <c r="T76" i="4"/>
  <c r="R76" i="4"/>
  <c r="S76" i="4" s="1"/>
  <c r="V75" i="4"/>
  <c r="R75" i="4"/>
  <c r="V74" i="4"/>
  <c r="R74" i="4"/>
  <c r="V73" i="4"/>
  <c r="R73" i="4"/>
  <c r="U73" i="4" s="1"/>
  <c r="V72" i="4"/>
  <c r="U72" i="4"/>
  <c r="T72" i="4"/>
  <c r="R72" i="4"/>
  <c r="S72" i="4" s="1"/>
  <c r="V71" i="4"/>
  <c r="U71" i="4"/>
  <c r="R71" i="4"/>
  <c r="T71" i="4" s="1"/>
  <c r="V70" i="4"/>
  <c r="R70" i="4"/>
  <c r="U70" i="4" s="1"/>
  <c r="V69" i="4"/>
  <c r="U69" i="4"/>
  <c r="T69" i="4"/>
  <c r="S69" i="4"/>
  <c r="R69" i="4"/>
  <c r="V68" i="4"/>
  <c r="R68" i="4"/>
  <c r="V65" i="4"/>
  <c r="R65" i="4"/>
  <c r="V64" i="4"/>
  <c r="R64" i="4"/>
  <c r="U64" i="4" s="1"/>
  <c r="V63" i="4"/>
  <c r="U63" i="4"/>
  <c r="T63" i="4"/>
  <c r="S63" i="4"/>
  <c r="R63" i="4"/>
  <c r="V62" i="4"/>
  <c r="U62" i="4"/>
  <c r="T62" i="4"/>
  <c r="R62" i="4"/>
  <c r="S62" i="4" s="1"/>
  <c r="V61" i="4"/>
  <c r="R61" i="4"/>
  <c r="V60" i="4"/>
  <c r="R60" i="4"/>
  <c r="V58" i="4"/>
  <c r="R58" i="4"/>
  <c r="U58" i="4" s="1"/>
  <c r="V57" i="4"/>
  <c r="U57" i="4"/>
  <c r="T57" i="4"/>
  <c r="R57" i="4"/>
  <c r="S57" i="4" s="1"/>
  <c r="V49" i="4"/>
  <c r="U49" i="4"/>
  <c r="R49" i="4"/>
  <c r="T49" i="4" s="1"/>
  <c r="V48" i="4"/>
  <c r="R48" i="4"/>
  <c r="U48" i="4" s="1"/>
  <c r="V47" i="4"/>
  <c r="U47" i="4"/>
  <c r="T47" i="4"/>
  <c r="S47" i="4"/>
  <c r="R47" i="4"/>
  <c r="V46" i="4"/>
  <c r="R46" i="4"/>
  <c r="V45" i="4"/>
  <c r="U45" i="4"/>
  <c r="R45" i="4"/>
  <c r="V44" i="4"/>
  <c r="R44" i="4"/>
  <c r="U44" i="4" s="1"/>
  <c r="V43" i="4"/>
  <c r="U43" i="4"/>
  <c r="T43" i="4"/>
  <c r="S43" i="4"/>
  <c r="R43" i="4"/>
  <c r="V42" i="4"/>
  <c r="U42" i="4"/>
  <c r="T42" i="4"/>
  <c r="R42" i="4"/>
  <c r="S42" i="4" s="1"/>
  <c r="V41" i="4"/>
  <c r="R41" i="4"/>
  <c r="S41" i="4" s="1"/>
  <c r="V40" i="4"/>
  <c r="R40" i="4"/>
  <c r="V39" i="4"/>
  <c r="R39" i="4"/>
  <c r="U39" i="4" s="1"/>
  <c r="V38" i="4"/>
  <c r="U38" i="4"/>
  <c r="T38" i="4"/>
  <c r="R38" i="4"/>
  <c r="S38" i="4" s="1"/>
  <c r="V37" i="4"/>
  <c r="U37" i="4"/>
  <c r="R37" i="4"/>
  <c r="T37" i="4" s="1"/>
  <c r="V36" i="4"/>
  <c r="R36" i="4"/>
  <c r="U36" i="4" s="1"/>
  <c r="V35" i="4"/>
  <c r="U35" i="4"/>
  <c r="T35" i="4"/>
  <c r="S35" i="4"/>
  <c r="R35" i="4"/>
  <c r="V34" i="4"/>
  <c r="R34" i="4"/>
  <c r="V33" i="4"/>
  <c r="U33" i="4"/>
  <c r="R33" i="4"/>
  <c r="V32" i="4"/>
  <c r="R32" i="4"/>
  <c r="U32" i="4" s="1"/>
  <c r="V31" i="4"/>
  <c r="U31" i="4"/>
  <c r="T31" i="4"/>
  <c r="S31" i="4"/>
  <c r="R31" i="4"/>
  <c r="V30" i="4"/>
  <c r="U30" i="4"/>
  <c r="T30" i="4"/>
  <c r="R30" i="4"/>
  <c r="S30" i="4" s="1"/>
  <c r="V29" i="4"/>
  <c r="R29" i="4"/>
  <c r="V28" i="4"/>
  <c r="R28" i="4"/>
  <c r="I128" i="4"/>
  <c r="J128" i="4"/>
  <c r="K128" i="4"/>
  <c r="L128" i="4"/>
  <c r="M128" i="4"/>
  <c r="N128" i="4"/>
  <c r="O128" i="4"/>
  <c r="P128" i="4"/>
  <c r="Q128" i="4"/>
  <c r="I129" i="4"/>
  <c r="J129" i="4"/>
  <c r="K129" i="4"/>
  <c r="L129" i="4"/>
  <c r="M129" i="4"/>
  <c r="N129" i="4"/>
  <c r="O129" i="4"/>
  <c r="P129" i="4"/>
  <c r="Q129" i="4"/>
  <c r="I130" i="4"/>
  <c r="J130" i="4"/>
  <c r="K130" i="4"/>
  <c r="L130" i="4"/>
  <c r="M130" i="4"/>
  <c r="N130" i="4"/>
  <c r="Q130" i="4" s="1"/>
  <c r="O130" i="4"/>
  <c r="P130" i="4" s="1"/>
  <c r="I131" i="4"/>
  <c r="L131" i="4" s="1"/>
  <c r="M131" i="4" s="1"/>
  <c r="J131" i="4"/>
  <c r="K131" i="4"/>
  <c r="N131" i="4"/>
  <c r="O131" i="4"/>
  <c r="P131" i="4"/>
  <c r="Q131" i="4"/>
  <c r="I132" i="4"/>
  <c r="J132" i="4"/>
  <c r="K132" i="4"/>
  <c r="L132" i="4"/>
  <c r="M132" i="4"/>
  <c r="N132" i="4"/>
  <c r="O132" i="4"/>
  <c r="P132" i="4"/>
  <c r="Q132" i="4"/>
  <c r="I133" i="4"/>
  <c r="J133" i="4"/>
  <c r="K133" i="4"/>
  <c r="L133" i="4"/>
  <c r="M133" i="4"/>
  <c r="N133" i="4"/>
  <c r="O133" i="4"/>
  <c r="P133" i="4"/>
  <c r="Q133" i="4"/>
  <c r="I134" i="4"/>
  <c r="J134" i="4"/>
  <c r="K134" i="4"/>
  <c r="L134" i="4"/>
  <c r="M134" i="4"/>
  <c r="N134" i="4"/>
  <c r="O134" i="4"/>
  <c r="P134" i="4"/>
  <c r="Q134" i="4"/>
  <c r="U120" i="4" l="1"/>
  <c r="T120" i="4"/>
  <c r="S120" i="4"/>
  <c r="U41" i="4"/>
  <c r="T41" i="4"/>
  <c r="U88" i="4"/>
  <c r="T88" i="4"/>
  <c r="U80" i="4"/>
  <c r="T80" i="4"/>
  <c r="S80" i="4"/>
  <c r="U61" i="4"/>
  <c r="T61" i="4"/>
  <c r="U28" i="4"/>
  <c r="T28" i="4"/>
  <c r="U46" i="4"/>
  <c r="T46" i="4"/>
  <c r="S46" i="4"/>
  <c r="S61" i="4"/>
  <c r="S70" i="4"/>
  <c r="U74" i="4"/>
  <c r="T74" i="4"/>
  <c r="U93" i="4"/>
  <c r="T93" i="4"/>
  <c r="S93" i="4"/>
  <c r="T127" i="4"/>
  <c r="S127" i="4"/>
  <c r="S28" i="4"/>
  <c r="T65" i="4"/>
  <c r="S65" i="4"/>
  <c r="T70" i="4"/>
  <c r="S74" i="4"/>
  <c r="U127" i="4"/>
  <c r="U65" i="4"/>
  <c r="U29" i="4"/>
  <c r="T29" i="4"/>
  <c r="U75" i="4"/>
  <c r="T75" i="4"/>
  <c r="S29" i="4"/>
  <c r="S36" i="4"/>
  <c r="U40" i="4"/>
  <c r="T40" i="4"/>
  <c r="U68" i="4"/>
  <c r="T68" i="4"/>
  <c r="S68" i="4"/>
  <c r="S75" i="4"/>
  <c r="S82" i="4"/>
  <c r="U86" i="4"/>
  <c r="T86" i="4"/>
  <c r="T33" i="4"/>
  <c r="S33" i="4"/>
  <c r="T36" i="4"/>
  <c r="S40" i="4"/>
  <c r="T79" i="4"/>
  <c r="S79" i="4"/>
  <c r="T82" i="4"/>
  <c r="S86" i="4"/>
  <c r="U34" i="4"/>
  <c r="T34" i="4"/>
  <c r="S34" i="4"/>
  <c r="S48" i="4"/>
  <c r="U60" i="4"/>
  <c r="T60" i="4"/>
  <c r="S88" i="4"/>
  <c r="S108" i="4"/>
  <c r="U119" i="4"/>
  <c r="T119" i="4"/>
  <c r="T45" i="4"/>
  <c r="S45" i="4"/>
  <c r="T48" i="4"/>
  <c r="S60" i="4"/>
  <c r="T92" i="4"/>
  <c r="S92" i="4"/>
  <c r="T108" i="4"/>
  <c r="S119" i="4"/>
  <c r="S130" i="4"/>
  <c r="S39" i="4"/>
  <c r="S58" i="4"/>
  <c r="S73" i="4"/>
  <c r="S85" i="4"/>
  <c r="S116" i="4"/>
  <c r="T130" i="4"/>
  <c r="S32" i="4"/>
  <c r="T39" i="4"/>
  <c r="S44" i="4"/>
  <c r="T58" i="4"/>
  <c r="S64" i="4"/>
  <c r="T73" i="4"/>
  <c r="S78" i="4"/>
  <c r="T85" i="4"/>
  <c r="S91" i="4"/>
  <c r="T116" i="4"/>
  <c r="S126" i="4"/>
  <c r="T32" i="4"/>
  <c r="S37" i="4"/>
  <c r="T44" i="4"/>
  <c r="S49" i="4"/>
  <c r="T64" i="4"/>
  <c r="S71" i="4"/>
  <c r="T78" i="4"/>
  <c r="S83" i="4"/>
  <c r="T91" i="4"/>
  <c r="S114" i="4"/>
  <c r="T126" i="4"/>
  <c r="O15" i="1" l="1"/>
  <c r="L15" i="1"/>
  <c r="N15" i="1"/>
  <c r="M98" i="4"/>
  <c r="M99" i="4"/>
  <c r="M100" i="4"/>
  <c r="M101" i="4"/>
  <c r="M102" i="4"/>
  <c r="M103" i="4"/>
  <c r="M104" i="4"/>
  <c r="M105" i="4"/>
  <c r="M106" i="4"/>
  <c r="M109" i="4"/>
  <c r="M110" i="4"/>
  <c r="M111" i="4"/>
  <c r="M112" i="4"/>
  <c r="M113" i="4"/>
  <c r="M117" i="4"/>
  <c r="M118" i="4"/>
  <c r="M122" i="4"/>
  <c r="M123" i="4"/>
  <c r="M125" i="4"/>
  <c r="J16" i="4"/>
  <c r="J15" i="4"/>
  <c r="J87" i="4"/>
  <c r="K87" i="4"/>
  <c r="J122" i="4"/>
  <c r="K122" i="4"/>
  <c r="J117" i="4"/>
  <c r="K117" i="4"/>
  <c r="J120" i="4"/>
  <c r="K120" i="4"/>
  <c r="J101" i="4"/>
  <c r="K101" i="4"/>
  <c r="J86" i="4"/>
  <c r="K86" i="4" s="1"/>
  <c r="J85" i="4"/>
  <c r="K85" i="4"/>
  <c r="J88" i="4"/>
  <c r="K88" i="4" s="1"/>
  <c r="J119" i="4"/>
  <c r="K119" i="4"/>
  <c r="J72" i="4"/>
  <c r="K72" i="4"/>
  <c r="J103" i="4"/>
  <c r="K103" i="4"/>
  <c r="J118" i="4"/>
  <c r="K118" i="4"/>
  <c r="J104" i="4"/>
  <c r="K104" i="4"/>
  <c r="J90" i="4"/>
  <c r="K90" i="4" s="1"/>
  <c r="J71" i="4"/>
  <c r="L71" i="4" s="1"/>
  <c r="M71" i="4" s="1"/>
  <c r="K71" i="4"/>
  <c r="O71" i="4" s="1"/>
  <c r="P71" i="4" s="1"/>
  <c r="J110" i="4"/>
  <c r="K110" i="4"/>
  <c r="J82" i="4"/>
  <c r="K82" i="4"/>
  <c r="J113" i="4"/>
  <c r="K113" i="4"/>
  <c r="J97" i="4"/>
  <c r="L97" i="4" s="1"/>
  <c r="K97" i="4"/>
  <c r="J81" i="4"/>
  <c r="K81" i="4" s="1"/>
  <c r="J116" i="4"/>
  <c r="K116" i="4"/>
  <c r="O116" i="4" s="1"/>
  <c r="P116" i="4" s="1"/>
  <c r="J100" i="4"/>
  <c r="K100" i="4"/>
  <c r="O100" i="4"/>
  <c r="J84" i="4"/>
  <c r="K84" i="4" s="1"/>
  <c r="J114" i="4"/>
  <c r="K114" i="4"/>
  <c r="J78" i="4"/>
  <c r="K78" i="4" s="1"/>
  <c r="J115" i="4"/>
  <c r="K115" i="4"/>
  <c r="O115" i="4"/>
  <c r="J99" i="4"/>
  <c r="K99" i="4"/>
  <c r="J83" i="4"/>
  <c r="K83" i="4"/>
  <c r="J102" i="4"/>
  <c r="K102" i="4"/>
  <c r="J74" i="4"/>
  <c r="K74" i="4"/>
  <c r="O74" i="4" s="1"/>
  <c r="P74" i="4" s="1"/>
  <c r="J125" i="4"/>
  <c r="K125" i="4"/>
  <c r="J109" i="4"/>
  <c r="K109" i="4"/>
  <c r="J93" i="4"/>
  <c r="K93" i="4"/>
  <c r="J77" i="4"/>
  <c r="K77" i="4"/>
  <c r="J112" i="4"/>
  <c r="K112" i="4"/>
  <c r="J96" i="4"/>
  <c r="K96" i="4"/>
  <c r="J80" i="4"/>
  <c r="K80" i="4" s="1"/>
  <c r="J106" i="4"/>
  <c r="K106" i="4"/>
  <c r="J127" i="4"/>
  <c r="L127" i="4" s="1"/>
  <c r="M127" i="4" s="1"/>
  <c r="K127" i="4"/>
  <c r="J111" i="4"/>
  <c r="K111" i="4"/>
  <c r="J95" i="4"/>
  <c r="K95" i="4" s="1"/>
  <c r="J79" i="4"/>
  <c r="K79" i="4"/>
  <c r="J126" i="4"/>
  <c r="K126" i="4"/>
  <c r="O126" i="4" s="1"/>
  <c r="P126" i="4" s="1"/>
  <c r="J94" i="4"/>
  <c r="K94" i="4"/>
  <c r="J121" i="4"/>
  <c r="K121" i="4"/>
  <c r="J105" i="4"/>
  <c r="K105" i="4"/>
  <c r="J89" i="4"/>
  <c r="K89" i="4" s="1"/>
  <c r="J73" i="4"/>
  <c r="L73" i="4" s="1"/>
  <c r="K73" i="4"/>
  <c r="J124" i="4"/>
  <c r="K124" i="4"/>
  <c r="O124" i="4" s="1"/>
  <c r="P124" i="4" s="1"/>
  <c r="J108" i="4"/>
  <c r="K108" i="4"/>
  <c r="O108" i="4" s="1"/>
  <c r="P108" i="4" s="1"/>
  <c r="J92" i="4"/>
  <c r="K92" i="4"/>
  <c r="J76" i="4"/>
  <c r="K76" i="4"/>
  <c r="J98" i="4"/>
  <c r="K98" i="4"/>
  <c r="J123" i="4"/>
  <c r="K123" i="4"/>
  <c r="J107" i="4"/>
  <c r="K107" i="4"/>
  <c r="O107" i="4" s="1"/>
  <c r="P107" i="4" s="1"/>
  <c r="J91" i="4"/>
  <c r="L91" i="4" s="1"/>
  <c r="M91" i="4" s="1"/>
  <c r="K91" i="4"/>
  <c r="O91" i="4" s="1"/>
  <c r="P91" i="4" s="1"/>
  <c r="J75" i="4"/>
  <c r="K75" i="4"/>
  <c r="P100" i="4"/>
  <c r="P115" i="4"/>
  <c r="O112" i="4"/>
  <c r="P112" i="4"/>
  <c r="O98" i="4"/>
  <c r="P98" i="4"/>
  <c r="O105" i="4"/>
  <c r="P105" i="4"/>
  <c r="O111" i="4"/>
  <c r="P111" i="4"/>
  <c r="O104" i="4"/>
  <c r="P104" i="4"/>
  <c r="O85" i="4"/>
  <c r="P85" i="4" s="1"/>
  <c r="O120" i="4"/>
  <c r="P120" i="4" s="1"/>
  <c r="O121" i="4"/>
  <c r="P121" i="4"/>
  <c r="O127" i="4"/>
  <c r="P127" i="4"/>
  <c r="O96" i="4"/>
  <c r="P96" i="4" s="1"/>
  <c r="O102" i="4"/>
  <c r="P102" i="4"/>
  <c r="O110" i="4"/>
  <c r="P110" i="4"/>
  <c r="O118" i="4"/>
  <c r="P118" i="4"/>
  <c r="O117" i="4"/>
  <c r="P117" i="4"/>
  <c r="O106" i="4"/>
  <c r="P106" i="4"/>
  <c r="O109" i="4"/>
  <c r="P109" i="4"/>
  <c r="O114" i="4"/>
  <c r="P114" i="4"/>
  <c r="O113" i="4"/>
  <c r="P113" i="4"/>
  <c r="O103" i="4"/>
  <c r="P103" i="4"/>
  <c r="O119" i="4"/>
  <c r="P119" i="4"/>
  <c r="O122" i="4"/>
  <c r="P122" i="4"/>
  <c r="O123" i="4"/>
  <c r="P123" i="4"/>
  <c r="O125" i="4"/>
  <c r="P125" i="4"/>
  <c r="O99" i="4"/>
  <c r="P99" i="4"/>
  <c r="O101" i="4"/>
  <c r="P101" i="4"/>
  <c r="O87" i="4"/>
  <c r="P87" i="4" s="1"/>
  <c r="I76" i="4"/>
  <c r="L76" i="4" s="1"/>
  <c r="I77" i="4"/>
  <c r="L77" i="4" s="1"/>
  <c r="I81" i="4"/>
  <c r="L81" i="4" s="1"/>
  <c r="I89" i="4"/>
  <c r="I90" i="4"/>
  <c r="I96" i="4"/>
  <c r="L96" i="4" s="1"/>
  <c r="I99" i="4"/>
  <c r="I102" i="4"/>
  <c r="I104" i="4"/>
  <c r="I108" i="4"/>
  <c r="I111" i="4"/>
  <c r="I113" i="4"/>
  <c r="I115" i="4"/>
  <c r="N115" i="4" s="1"/>
  <c r="Q115" i="4" s="1"/>
  <c r="I119" i="4"/>
  <c r="N119" i="4" s="1"/>
  <c r="Q119" i="4" s="1"/>
  <c r="I120" i="4"/>
  <c r="N120" i="4" s="1"/>
  <c r="Q120" i="4" s="1"/>
  <c r="I123" i="4"/>
  <c r="I125" i="4"/>
  <c r="I79" i="4"/>
  <c r="N79" i="4" s="1"/>
  <c r="Q79" i="4" s="1"/>
  <c r="I92" i="4"/>
  <c r="N92" i="4" s="1"/>
  <c r="Q92" i="4" s="1"/>
  <c r="I100" i="4"/>
  <c r="I103" i="4"/>
  <c r="I107" i="4"/>
  <c r="L107" i="4" s="1"/>
  <c r="M107" i="4" s="1"/>
  <c r="I109" i="4"/>
  <c r="I110" i="4"/>
  <c r="I117" i="4"/>
  <c r="I124" i="4"/>
  <c r="N124" i="4" s="1"/>
  <c r="Q124" i="4" s="1"/>
  <c r="I72" i="4"/>
  <c r="N72" i="4" s="1"/>
  <c r="Q72" i="4" s="1"/>
  <c r="I106" i="4"/>
  <c r="I71" i="4"/>
  <c r="I75" i="4"/>
  <c r="N75" i="4" s="1"/>
  <c r="Q75" i="4" s="1"/>
  <c r="I80" i="4"/>
  <c r="I83" i="4"/>
  <c r="I86" i="4"/>
  <c r="I88" i="4"/>
  <c r="N88" i="4" s="1"/>
  <c r="Q88" i="4" s="1"/>
  <c r="I94" i="4"/>
  <c r="I95" i="4"/>
  <c r="I98" i="4"/>
  <c r="I101" i="4"/>
  <c r="I118" i="4"/>
  <c r="I127" i="4"/>
  <c r="I73" i="4"/>
  <c r="N73" i="4" s="1"/>
  <c r="Q73" i="4" s="1"/>
  <c r="I74" i="4"/>
  <c r="I78" i="4"/>
  <c r="N78" i="4" s="1"/>
  <c r="Q78" i="4" s="1"/>
  <c r="I82" i="4"/>
  <c r="I85" i="4"/>
  <c r="L85" i="4" s="1"/>
  <c r="I93" i="4"/>
  <c r="L93" i="4" s="1"/>
  <c r="I112" i="4"/>
  <c r="I114" i="4"/>
  <c r="N114" i="4" s="1"/>
  <c r="Q114" i="4" s="1"/>
  <c r="I121" i="4"/>
  <c r="L121" i="4" s="1"/>
  <c r="M121" i="4" s="1"/>
  <c r="I122" i="4"/>
  <c r="I84" i="4"/>
  <c r="L84" i="4" s="1"/>
  <c r="I87" i="4"/>
  <c r="I91" i="4"/>
  <c r="I97" i="4"/>
  <c r="I105" i="4"/>
  <c r="I116" i="4"/>
  <c r="N116" i="4" s="1"/>
  <c r="Q116" i="4" s="1"/>
  <c r="I126" i="4"/>
  <c r="N126" i="4" s="1"/>
  <c r="Q126" i="4" s="1"/>
  <c r="L105" i="4"/>
  <c r="N105" i="4"/>
  <c r="Q105" i="4"/>
  <c r="N121" i="4"/>
  <c r="Q121" i="4"/>
  <c r="N101" i="4"/>
  <c r="Q101" i="4"/>
  <c r="L101" i="4"/>
  <c r="L106" i="4"/>
  <c r="N106" i="4"/>
  <c r="Q106" i="4"/>
  <c r="L124" i="4"/>
  <c r="M124" i="4" s="1"/>
  <c r="N108" i="4"/>
  <c r="Q108" i="4"/>
  <c r="L108" i="4"/>
  <c r="M108" i="4" s="1"/>
  <c r="N77" i="4"/>
  <c r="Q77" i="4" s="1"/>
  <c r="N97" i="4"/>
  <c r="Q97" i="4"/>
  <c r="N98" i="4"/>
  <c r="Q98" i="4"/>
  <c r="L98" i="4"/>
  <c r="N86" i="4"/>
  <c r="Q86" i="4" s="1"/>
  <c r="L86" i="4"/>
  <c r="N71" i="4"/>
  <c r="Q71" i="4"/>
  <c r="N117" i="4"/>
  <c r="Q117" i="4"/>
  <c r="L117" i="4"/>
  <c r="N103" i="4"/>
  <c r="Q103" i="4"/>
  <c r="L103" i="4"/>
  <c r="L125" i="4"/>
  <c r="N125" i="4"/>
  <c r="Q125" i="4"/>
  <c r="L104" i="4"/>
  <c r="N104" i="4"/>
  <c r="Q104" i="4"/>
  <c r="N90" i="4"/>
  <c r="Q90" i="4" s="1"/>
  <c r="L90" i="4"/>
  <c r="N76" i="4"/>
  <c r="Q76" i="4" s="1"/>
  <c r="N91" i="4"/>
  <c r="Q91" i="4"/>
  <c r="L112" i="4"/>
  <c r="N112" i="4"/>
  <c r="Q112" i="4"/>
  <c r="L78" i="4"/>
  <c r="N127" i="4"/>
  <c r="Q127" i="4"/>
  <c r="N95" i="4"/>
  <c r="Q95" i="4"/>
  <c r="L95" i="4"/>
  <c r="N83" i="4"/>
  <c r="Q83" i="4" s="1"/>
  <c r="N110" i="4"/>
  <c r="Q110" i="4"/>
  <c r="L110" i="4"/>
  <c r="L100" i="4"/>
  <c r="N100" i="4"/>
  <c r="Q100" i="4"/>
  <c r="L123" i="4"/>
  <c r="N123" i="4"/>
  <c r="Q123" i="4"/>
  <c r="N113" i="4"/>
  <c r="Q113" i="4"/>
  <c r="L113" i="4"/>
  <c r="L102" i="4"/>
  <c r="N102" i="4"/>
  <c r="Q102" i="4"/>
  <c r="N89" i="4"/>
  <c r="Q89" i="4" s="1"/>
  <c r="L116" i="4"/>
  <c r="M116" i="4" s="1"/>
  <c r="N87" i="4"/>
  <c r="Q87" i="4" s="1"/>
  <c r="L87" i="4"/>
  <c r="N122" i="4"/>
  <c r="Q122" i="4"/>
  <c r="L122" i="4"/>
  <c r="N74" i="4"/>
  <c r="Q74" i="4"/>
  <c r="N118" i="4"/>
  <c r="Q118" i="4"/>
  <c r="L118" i="4"/>
  <c r="L94" i="4"/>
  <c r="N94" i="4"/>
  <c r="Q94" i="4" s="1"/>
  <c r="N80" i="4"/>
  <c r="Q80" i="4"/>
  <c r="N109" i="4"/>
  <c r="Q109" i="4"/>
  <c r="L109" i="4"/>
  <c r="L92" i="4"/>
  <c r="N111" i="4"/>
  <c r="Q111" i="4"/>
  <c r="L111" i="4"/>
  <c r="N99" i="4"/>
  <c r="Q99" i="4"/>
  <c r="L99" i="4"/>
  <c r="N81" i="4"/>
  <c r="Q81" i="4" s="1"/>
  <c r="M73" i="4" l="1"/>
  <c r="M85" i="4"/>
  <c r="M81" i="4"/>
  <c r="M77" i="4"/>
  <c r="M76" i="4"/>
  <c r="M92" i="4"/>
  <c r="M84" i="4"/>
  <c r="O78" i="4"/>
  <c r="P78" i="4" s="1"/>
  <c r="N84" i="4"/>
  <c r="Q84" i="4" s="1"/>
  <c r="O82" i="4"/>
  <c r="P82" i="4" s="1"/>
  <c r="O84" i="4"/>
  <c r="P84" i="4" s="1"/>
  <c r="O72" i="4"/>
  <c r="P72" i="4" s="1"/>
  <c r="L119" i="4"/>
  <c r="M119" i="4" s="1"/>
  <c r="O73" i="4"/>
  <c r="P73" i="4" s="1"/>
  <c r="M87" i="4"/>
  <c r="L114" i="4"/>
  <c r="M114" i="4" s="1"/>
  <c r="O95" i="4"/>
  <c r="P95" i="4" s="1"/>
  <c r="O83" i="4"/>
  <c r="P83" i="4" s="1"/>
  <c r="L115" i="4"/>
  <c r="M115" i="4" s="1"/>
  <c r="O89" i="4"/>
  <c r="P89" i="4" s="1"/>
  <c r="L126" i="4"/>
  <c r="M126" i="4" s="1"/>
  <c r="L83" i="4"/>
  <c r="O93" i="4"/>
  <c r="P93" i="4" s="1"/>
  <c r="O88" i="4"/>
  <c r="P88" i="4" s="1"/>
  <c r="L120" i="4"/>
  <c r="M120" i="4" s="1"/>
  <c r="M94" i="4"/>
  <c r="L72" i="4"/>
  <c r="O76" i="4"/>
  <c r="P76" i="4" s="1"/>
  <c r="N107" i="4"/>
  <c r="Q107" i="4" s="1"/>
  <c r="L74" i="4"/>
  <c r="M96" i="4"/>
  <c r="O81" i="4"/>
  <c r="P81" i="4" s="1"/>
  <c r="L89" i="4"/>
  <c r="N85" i="4"/>
  <c r="Q85" i="4" s="1"/>
  <c r="O75" i="4"/>
  <c r="P75" i="4" s="1"/>
  <c r="O92" i="4"/>
  <c r="P92" i="4" s="1"/>
  <c r="O97" i="4"/>
  <c r="P97" i="4" s="1"/>
  <c r="O86" i="4"/>
  <c r="P86" i="4" s="1"/>
  <c r="M78" i="4"/>
  <c r="M86" i="4"/>
  <c r="O80" i="4"/>
  <c r="P80" i="4" s="1"/>
  <c r="M90" i="4"/>
  <c r="O79" i="4"/>
  <c r="P79" i="4" s="1"/>
  <c r="M95" i="4"/>
  <c r="M93" i="4"/>
  <c r="O77" i="4"/>
  <c r="P77" i="4" s="1"/>
  <c r="L80" i="4"/>
  <c r="L82" i="4"/>
  <c r="O90" i="4"/>
  <c r="P90" i="4" s="1"/>
  <c r="O94" i="4"/>
  <c r="P94" i="4" s="1"/>
  <c r="M97" i="4"/>
  <c r="L79" i="4"/>
  <c r="L75" i="4"/>
  <c r="L88" i="4"/>
  <c r="N82" i="4"/>
  <c r="Q82" i="4" s="1"/>
  <c r="N96" i="4"/>
  <c r="Q96" i="4" s="1"/>
  <c r="N93" i="4"/>
  <c r="Q93" i="4" s="1"/>
  <c r="J14" i="4"/>
  <c r="J13" i="4" s="1"/>
  <c r="K16" i="4" s="1"/>
  <c r="M88" i="4" l="1"/>
  <c r="M72" i="4"/>
  <c r="M80" i="4"/>
  <c r="M83" i="4"/>
  <c r="M75" i="4"/>
  <c r="M79" i="4"/>
  <c r="M74" i="4"/>
  <c r="M82" i="4"/>
  <c r="M89" i="4"/>
  <c r="K14" i="4"/>
  <c r="K13" i="4"/>
  <c r="K15" i="4"/>
  <c r="I63" i="4" l="1"/>
  <c r="N63" i="4" s="1"/>
  <c r="Q63" i="4" s="1"/>
  <c r="I69" i="4"/>
  <c r="N69" i="4" s="1"/>
  <c r="Q69" i="4" s="1"/>
  <c r="I70" i="4"/>
  <c r="N70" i="4" s="1"/>
  <c r="Q70" i="4" s="1"/>
  <c r="I66" i="4"/>
  <c r="N66" i="4" s="1"/>
  <c r="Q66" i="4" s="1"/>
  <c r="I64" i="4"/>
  <c r="N64" i="4" s="1"/>
  <c r="Q64" i="4" s="1"/>
  <c r="I67" i="4"/>
  <c r="N67" i="4" s="1"/>
  <c r="Q67" i="4" s="1"/>
  <c r="I68" i="4"/>
  <c r="N68" i="4" s="1"/>
  <c r="Q68" i="4" s="1"/>
  <c r="I65" i="4"/>
  <c r="N65" i="4" s="1"/>
  <c r="Q65" i="4" s="1"/>
  <c r="J63" i="4"/>
  <c r="K63" i="4" s="1"/>
  <c r="J66" i="4"/>
  <c r="J69" i="4"/>
  <c r="J65" i="4"/>
  <c r="J67" i="4"/>
  <c r="J64" i="4"/>
  <c r="J70" i="4"/>
  <c r="J68" i="4"/>
  <c r="J62" i="4"/>
  <c r="K62" i="4" s="1"/>
  <c r="O62" i="4" s="1"/>
  <c r="P62" i="4" s="1"/>
  <c r="J60" i="4"/>
  <c r="K60" i="4" s="1"/>
  <c r="O60" i="4" s="1"/>
  <c r="P60" i="4" s="1"/>
  <c r="J56" i="4"/>
  <c r="K56" i="4" s="1"/>
  <c r="O56" i="4" s="1"/>
  <c r="P56" i="4" s="1"/>
  <c r="J58" i="4"/>
  <c r="K58" i="4" s="1"/>
  <c r="J55" i="4"/>
  <c r="K55" i="4" s="1"/>
  <c r="O55" i="4" s="1"/>
  <c r="P55" i="4" s="1"/>
  <c r="J61" i="4"/>
  <c r="K61" i="4" s="1"/>
  <c r="O61" i="4" s="1"/>
  <c r="P61" i="4" s="1"/>
  <c r="J57" i="4"/>
  <c r="K57" i="4" s="1"/>
  <c r="J59" i="4"/>
  <c r="K59" i="4" s="1"/>
  <c r="O59" i="4" s="1"/>
  <c r="P59" i="4" s="1"/>
  <c r="I61" i="4"/>
  <c r="I37" i="4"/>
  <c r="I59" i="4"/>
  <c r="I49" i="4"/>
  <c r="I47" i="4"/>
  <c r="I50" i="4"/>
  <c r="I62" i="4"/>
  <c r="I41" i="4"/>
  <c r="I52" i="4"/>
  <c r="I60" i="4"/>
  <c r="I36" i="4"/>
  <c r="I39" i="4"/>
  <c r="I43" i="4"/>
  <c r="I45" i="4"/>
  <c r="I51" i="4"/>
  <c r="I55" i="4"/>
  <c r="I48" i="4"/>
  <c r="I40" i="4"/>
  <c r="I57" i="4"/>
  <c r="I46" i="4"/>
  <c r="I42" i="4"/>
  <c r="I53" i="4"/>
  <c r="I44" i="4"/>
  <c r="I54" i="4"/>
  <c r="I38" i="4"/>
  <c r="I58" i="4"/>
  <c r="I56" i="4"/>
  <c r="I35" i="4"/>
  <c r="I31" i="4"/>
  <c r="I33" i="4"/>
  <c r="I30" i="4"/>
  <c r="I32" i="4"/>
  <c r="I28" i="4"/>
  <c r="I29" i="4"/>
  <c r="I34" i="4"/>
  <c r="O57" i="4" l="1"/>
  <c r="P57" i="4" s="1"/>
  <c r="O58" i="4"/>
  <c r="P58" i="4" s="1"/>
  <c r="L66" i="4"/>
  <c r="K66" i="4"/>
  <c r="K70" i="4"/>
  <c r="L70" i="4"/>
  <c r="M70" i="4" s="1"/>
  <c r="K64" i="4"/>
  <c r="L64" i="4"/>
  <c r="O63" i="4"/>
  <c r="P63" i="4" s="1"/>
  <c r="L63" i="4"/>
  <c r="M63" i="4" s="1"/>
  <c r="K68" i="4"/>
  <c r="L68" i="4"/>
  <c r="L67" i="4"/>
  <c r="K67" i="4"/>
  <c r="L65" i="4"/>
  <c r="K65" i="4"/>
  <c r="K69" i="4"/>
  <c r="L69" i="4"/>
  <c r="N62" i="4"/>
  <c r="Q62" i="4" s="1"/>
  <c r="L62" i="4"/>
  <c r="M62" i="4" s="1"/>
  <c r="N55" i="4"/>
  <c r="Q55" i="4" s="1"/>
  <c r="L55" i="4"/>
  <c r="M55" i="4" s="1"/>
  <c r="L56" i="4"/>
  <c r="M56" i="4" s="1"/>
  <c r="N56" i="4"/>
  <c r="Q56" i="4" s="1"/>
  <c r="N59" i="4"/>
  <c r="Q59" i="4" s="1"/>
  <c r="L59" i="4"/>
  <c r="M59" i="4" s="1"/>
  <c r="N57" i="4"/>
  <c r="Q57" i="4" s="1"/>
  <c r="L57" i="4"/>
  <c r="L58" i="4"/>
  <c r="N58" i="4"/>
  <c r="Q58" i="4" s="1"/>
  <c r="N61" i="4"/>
  <c r="Q61" i="4" s="1"/>
  <c r="L61" i="4"/>
  <c r="M61" i="4" s="1"/>
  <c r="L60" i="4"/>
  <c r="M60" i="4" s="1"/>
  <c r="N60" i="4"/>
  <c r="Q60" i="4" s="1"/>
  <c r="O64" i="4" l="1"/>
  <c r="P64" i="4" s="1"/>
  <c r="M69" i="4"/>
  <c r="M58" i="4"/>
  <c r="O65" i="4"/>
  <c r="P65" i="4" s="1"/>
  <c r="M66" i="4"/>
  <c r="O67" i="4"/>
  <c r="P67" i="4" s="1"/>
  <c r="M67" i="4"/>
  <c r="O68" i="4"/>
  <c r="P68" i="4" s="1"/>
  <c r="M64" i="4"/>
  <c r="O69" i="4"/>
  <c r="P69" i="4" s="1"/>
  <c r="M57" i="4"/>
  <c r="O66" i="4"/>
  <c r="P66" i="4" s="1"/>
  <c r="M65" i="4"/>
  <c r="M68" i="4"/>
  <c r="O70" i="4"/>
  <c r="P70" i="4" s="1"/>
  <c r="J21" i="4" l="1"/>
  <c r="J9" i="4" s="1"/>
  <c r="J22" i="4"/>
  <c r="J10" i="4" s="1"/>
  <c r="J20" i="4"/>
  <c r="N36" i="4" l="1"/>
  <c r="N29" i="4"/>
  <c r="N31" i="4"/>
  <c r="N46" i="4"/>
  <c r="N48" i="4"/>
  <c r="N28" i="4"/>
  <c r="J19" i="4"/>
  <c r="K19" i="4" s="1"/>
  <c r="N32" i="4"/>
  <c r="N45" i="4"/>
  <c r="N37" i="4"/>
  <c r="N44" i="4"/>
  <c r="N49" i="4"/>
  <c r="N53" i="4"/>
  <c r="Q53" i="4" s="1"/>
  <c r="J8" i="4"/>
  <c r="N30" i="4"/>
  <c r="N51" i="4"/>
  <c r="N41" i="4"/>
  <c r="N50" i="4"/>
  <c r="N43" i="4"/>
  <c r="N39" i="4"/>
  <c r="N42" i="4"/>
  <c r="N40" i="4"/>
  <c r="N34" i="4"/>
  <c r="N38" i="4"/>
  <c r="N54" i="4"/>
  <c r="N33" i="4"/>
  <c r="N35" i="4"/>
  <c r="N52" i="4"/>
  <c r="N47" i="4"/>
  <c r="J7" i="4" l="1"/>
  <c r="Q48" i="4" s="1"/>
  <c r="K21" i="4"/>
  <c r="K22" i="4"/>
  <c r="K20" i="4"/>
  <c r="Q50" i="4"/>
  <c r="Q52" i="4"/>
  <c r="J52" i="4"/>
  <c r="J49" i="4"/>
  <c r="J53" i="4"/>
  <c r="J54" i="4"/>
  <c r="J50" i="4"/>
  <c r="J48" i="4"/>
  <c r="J51" i="4"/>
  <c r="Q54" i="4"/>
  <c r="Q51" i="4"/>
  <c r="Q49" i="4"/>
  <c r="J39" i="4" l="1"/>
  <c r="J45" i="4"/>
  <c r="J30" i="4"/>
  <c r="K30" i="4" s="1"/>
  <c r="J43" i="4"/>
  <c r="K43" i="4" s="1"/>
  <c r="J31" i="4"/>
  <c r="K31" i="4" s="1"/>
  <c r="J44" i="4"/>
  <c r="L44" i="4" s="1"/>
  <c r="J36" i="4"/>
  <c r="L36" i="4" s="1"/>
  <c r="J46" i="4"/>
  <c r="K46" i="4" s="1"/>
  <c r="J35" i="4"/>
  <c r="L35" i="4" s="1"/>
  <c r="Q41" i="4"/>
  <c r="Q45" i="4"/>
  <c r="Q31" i="4"/>
  <c r="Q36" i="4"/>
  <c r="Q43" i="4"/>
  <c r="Q42" i="4"/>
  <c r="Q38" i="4"/>
  <c r="Q44" i="4"/>
  <c r="Q39" i="4"/>
  <c r="Q34" i="4"/>
  <c r="Q29" i="4"/>
  <c r="J33" i="4"/>
  <c r="K33" i="4" s="1"/>
  <c r="J47" i="4"/>
  <c r="K47" i="4" s="1"/>
  <c r="Q47" i="4"/>
  <c r="Q46" i="4"/>
  <c r="Q35" i="4"/>
  <c r="J34" i="4"/>
  <c r="L34" i="4" s="1"/>
  <c r="J41" i="4"/>
  <c r="K41" i="4" s="1"/>
  <c r="J42" i="4"/>
  <c r="L42" i="4" s="1"/>
  <c r="J32" i="4"/>
  <c r="L32" i="4" s="1"/>
  <c r="J37" i="4"/>
  <c r="L37" i="4" s="1"/>
  <c r="J40" i="4"/>
  <c r="L40" i="4" s="1"/>
  <c r="J38" i="4"/>
  <c r="L38" i="4" s="1"/>
  <c r="J29" i="4"/>
  <c r="L29" i="4" s="1"/>
  <c r="Q32" i="4"/>
  <c r="Q30" i="4"/>
  <c r="Q33" i="4"/>
  <c r="Q40" i="4"/>
  <c r="Q37" i="4"/>
  <c r="K9" i="4"/>
  <c r="Q28" i="4"/>
  <c r="K10" i="4"/>
  <c r="K8" i="4"/>
  <c r="K7" i="4"/>
  <c r="J28" i="4"/>
  <c r="K28" i="4" s="1"/>
  <c r="L45" i="4"/>
  <c r="K45" i="4"/>
  <c r="L47" i="4"/>
  <c r="K44" i="4"/>
  <c r="K52" i="4"/>
  <c r="O52" i="4" s="1"/>
  <c r="P52" i="4" s="1"/>
  <c r="L52" i="4"/>
  <c r="M52" i="4" s="1"/>
  <c r="L54" i="4"/>
  <c r="M54" i="4" s="1"/>
  <c r="K54" i="4"/>
  <c r="O54" i="4" s="1"/>
  <c r="P54" i="4" s="1"/>
  <c r="L51" i="4"/>
  <c r="M51" i="4" s="1"/>
  <c r="K51" i="4"/>
  <c r="O51" i="4" s="1"/>
  <c r="P51" i="4" s="1"/>
  <c r="L53" i="4"/>
  <c r="M53" i="4" s="1"/>
  <c r="K53" i="4"/>
  <c r="O53" i="4" s="1"/>
  <c r="P53" i="4" s="1"/>
  <c r="L48" i="4"/>
  <c r="K48" i="4"/>
  <c r="L39" i="4"/>
  <c r="K39" i="4"/>
  <c r="L50" i="4"/>
  <c r="M50" i="4" s="1"/>
  <c r="K50" i="4"/>
  <c r="O50" i="4" s="1"/>
  <c r="P50" i="4" s="1"/>
  <c r="L49" i="4"/>
  <c r="K49" i="4"/>
  <c r="O48" i="4" l="1"/>
  <c r="P48" i="4" s="1"/>
  <c r="M48" i="4"/>
  <c r="O49" i="4"/>
  <c r="P49" i="4" s="1"/>
  <c r="M49" i="4"/>
  <c r="L43" i="4"/>
  <c r="M39" i="4"/>
  <c r="O44" i="4"/>
  <c r="P44" i="4" s="1"/>
  <c r="M47" i="4"/>
  <c r="O45" i="4"/>
  <c r="P45" i="4" s="1"/>
  <c r="O47" i="4"/>
  <c r="P47" i="4" s="1"/>
  <c r="M45" i="4"/>
  <c r="O33" i="4"/>
  <c r="P33" i="4" s="1"/>
  <c r="M35" i="4"/>
  <c r="O28" i="4"/>
  <c r="P28" i="4" s="1"/>
  <c r="O46" i="4"/>
  <c r="P46" i="4" s="1"/>
  <c r="L30" i="4"/>
  <c r="M44" i="4"/>
  <c r="O31" i="4"/>
  <c r="P31" i="4" s="1"/>
  <c r="O43" i="4"/>
  <c r="P43" i="4" s="1"/>
  <c r="M43" i="4"/>
  <c r="O41" i="4"/>
  <c r="P41" i="4" s="1"/>
  <c r="O30" i="4"/>
  <c r="P30" i="4" s="1"/>
  <c r="O39" i="4"/>
  <c r="P39" i="4" s="1"/>
  <c r="L31" i="4"/>
  <c r="K35" i="4"/>
  <c r="K36" i="4"/>
  <c r="L46" i="4"/>
  <c r="K37" i="4"/>
  <c r="L41" i="4"/>
  <c r="K42" i="4"/>
  <c r="K34" i="4"/>
  <c r="L33" i="4"/>
  <c r="K38" i="4"/>
  <c r="K29" i="4"/>
  <c r="M32" i="4"/>
  <c r="M40" i="4"/>
  <c r="M34" i="4"/>
  <c r="M29" i="4"/>
  <c r="M37" i="4"/>
  <c r="M42" i="4"/>
  <c r="M38" i="4"/>
  <c r="M36" i="4"/>
  <c r="K40" i="4"/>
  <c r="K32" i="4"/>
  <c r="L28" i="4"/>
  <c r="O37" i="4" l="1"/>
  <c r="P37" i="4" s="1"/>
  <c r="M46" i="4"/>
  <c r="O36" i="4"/>
  <c r="P36" i="4" s="1"/>
  <c r="O35" i="4"/>
  <c r="P35" i="4" s="1"/>
  <c r="M31" i="4"/>
  <c r="O29" i="4"/>
  <c r="P29" i="4" s="1"/>
  <c r="O32" i="4"/>
  <c r="P32" i="4" s="1"/>
  <c r="O38" i="4"/>
  <c r="P38" i="4" s="1"/>
  <c r="O40" i="4"/>
  <c r="P40" i="4" s="1"/>
  <c r="M33" i="4"/>
  <c r="O34" i="4"/>
  <c r="P34" i="4" s="1"/>
  <c r="M30" i="4"/>
  <c r="O42" i="4"/>
  <c r="P42" i="4" s="1"/>
  <c r="M41" i="4"/>
  <c r="M28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Fabian Fischer</author>
  </authors>
  <commentList>
    <comment ref="J7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(1)</t>
        </r>
      </text>
    </comment>
    <comment ref="J13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(2)</t>
        </r>
      </text>
    </comment>
    <comment ref="D15" authorId="0" shapeId="0" xr:uid="{00000000-0006-0000-0100-000003000000}">
      <text>
        <r>
          <rPr>
            <b/>
            <sz val="10"/>
            <color indexed="81"/>
            <rFont val="Helvetica"/>
            <family val="2"/>
          </rPr>
          <t>Choose between: "OptiMEM"
"DMEM Glutamax" "Phenol-Red Free DMEM"</t>
        </r>
      </text>
    </comment>
    <comment ref="D17" authorId="0" shapeId="0" xr:uid="{00000000-0006-0000-0100-000004000000}">
      <text>
        <r>
          <rPr>
            <b/>
            <sz val="10"/>
            <color indexed="81"/>
            <rFont val="Helvetica"/>
            <family val="2"/>
          </rPr>
          <t>Choose between: 
"FBS"
"d-FBS"
"cs-FBS"</t>
        </r>
      </text>
    </comment>
    <comment ref="J19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(3)</t>
        </r>
      </text>
    </comment>
    <comment ref="D21" authorId="0" shapeId="0" xr:uid="{00000000-0006-0000-0100-000006000000}">
      <text>
        <r>
          <rPr>
            <b/>
            <sz val="10"/>
            <color indexed="81"/>
            <rFont val="Helvetica"/>
            <family val="2"/>
          </rPr>
          <t>Choose between: "HEK293T" 
"HEK293H"
"HepG2"
"HCT116"
"ME-180"</t>
        </r>
      </text>
    </comment>
    <comment ref="D26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(6)</t>
        </r>
      </text>
    </comment>
    <comment ref="E26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(7)</t>
        </r>
      </text>
    </comment>
    <comment ref="I26" authorId="0" shapeId="0" xr:uid="{00000000-0006-0000-0100-000009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(4)</t>
        </r>
      </text>
    </comment>
    <comment ref="J26" authorId="0" shapeId="0" xr:uid="{00000000-0006-0000-0100-00000A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(5)</t>
        </r>
      </text>
    </comment>
    <comment ref="K26" authorId="0" shapeId="0" xr:uid="{00000000-0006-0000-0100-00000B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(11)</t>
        </r>
      </text>
    </comment>
    <comment ref="L26" authorId="0" shapeId="0" xr:uid="{00000000-0006-0000-0100-00000C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(9)</t>
        </r>
      </text>
    </comment>
    <comment ref="M26" authorId="0" shapeId="0" xr:uid="{00000000-0006-0000-0100-00000D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(10)</t>
        </r>
      </text>
    </comment>
    <comment ref="N26" authorId="0" shapeId="0" xr:uid="{00000000-0006-0000-0100-00000E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(12)</t>
        </r>
      </text>
    </comment>
    <comment ref="O26" authorId="0" shapeId="0" xr:uid="{00000000-0006-0000-0100-00000F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(13)</t>
        </r>
      </text>
    </comment>
    <comment ref="P26" authorId="0" shapeId="0" xr:uid="{00000000-0006-0000-0100-000010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(14)</t>
        </r>
      </text>
    </comment>
    <comment ref="Q26" authorId="0" shapeId="0" xr:uid="{00000000-0006-0000-0100-000011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(15)</t>
        </r>
      </text>
    </comment>
  </commentList>
</comments>
</file>

<file path=xl/sharedStrings.xml><?xml version="1.0" encoding="utf-8"?>
<sst xmlns="http://schemas.openxmlformats.org/spreadsheetml/2006/main" count="318" uniqueCount="294">
  <si>
    <t>Assumptions:</t>
  </si>
  <si>
    <t>1. Test chemicals partition between test medium and cells</t>
  </si>
  <si>
    <t>2. Test medium and cells are composed of water, proteins, and lipids</t>
  </si>
  <si>
    <t>User input</t>
  </si>
  <si>
    <t>Characteristics of Test medium</t>
  </si>
  <si>
    <t>Total volume</t>
  </si>
  <si>
    <t>Total water volume</t>
  </si>
  <si>
    <t>Characteristics of cells</t>
  </si>
  <si>
    <t>Total protein volume</t>
  </si>
  <si>
    <t>Total lipid volume</t>
  </si>
  <si>
    <t>Cell line</t>
  </si>
  <si>
    <t>Compound</t>
  </si>
  <si>
    <t>CAS</t>
  </si>
  <si>
    <t>OptiMEM</t>
  </si>
  <si>
    <t>Type of base medium</t>
  </si>
  <si>
    <t>Type of serum</t>
  </si>
  <si>
    <t>FBS</t>
  </si>
  <si>
    <t>cells excluded</t>
  </si>
  <si>
    <t>Cell number at test start</t>
  </si>
  <si>
    <t>Model output</t>
  </si>
  <si>
    <t>System volume</t>
  </si>
  <si>
    <t>Media</t>
  </si>
  <si>
    <t>protein content (mL/L)</t>
  </si>
  <si>
    <t>DMEM Glutamax</t>
  </si>
  <si>
    <t>d-FBS</t>
  </si>
  <si>
    <t>lipid content (mL/L)</t>
  </si>
  <si>
    <r>
      <t>Water content (mL/10</t>
    </r>
    <r>
      <rPr>
        <b/>
        <vertAlign val="superscript"/>
        <sz val="11"/>
        <color theme="1"/>
        <rFont val="Helvetica"/>
        <family val="2"/>
      </rPr>
      <t>6</t>
    </r>
    <r>
      <rPr>
        <b/>
        <sz val="11"/>
        <color theme="1"/>
        <rFont val="Helvetica"/>
        <family val="2"/>
      </rPr>
      <t xml:space="preserve"> cells)</t>
    </r>
  </si>
  <si>
    <r>
      <t>protein content (mL/10</t>
    </r>
    <r>
      <rPr>
        <b/>
        <vertAlign val="superscript"/>
        <sz val="11"/>
        <color theme="1"/>
        <rFont val="Helvetica"/>
        <family val="2"/>
      </rPr>
      <t>6</t>
    </r>
    <r>
      <rPr>
        <b/>
        <sz val="11"/>
        <color theme="1"/>
        <rFont val="Helvetica"/>
        <family val="2"/>
      </rPr>
      <t xml:space="preserve"> cells)</t>
    </r>
  </si>
  <si>
    <r>
      <t>lipid content (mL/10</t>
    </r>
    <r>
      <rPr>
        <b/>
        <vertAlign val="superscript"/>
        <sz val="11"/>
        <color theme="1"/>
        <rFont val="Helvetica"/>
        <family val="2"/>
      </rPr>
      <t>6</t>
    </r>
    <r>
      <rPr>
        <b/>
        <sz val="11"/>
        <color theme="1"/>
        <rFont val="Helvetica"/>
        <family val="2"/>
      </rPr>
      <t xml:space="preserve"> cells)</t>
    </r>
  </si>
  <si>
    <t>Cells</t>
  </si>
  <si>
    <t>HEK293H</t>
  </si>
  <si>
    <t>HCT116</t>
  </si>
  <si>
    <t>Me-180</t>
  </si>
  <si>
    <t>Medium volume (µL)</t>
  </si>
  <si>
    <t>Fraction of base medium (%)</t>
  </si>
  <si>
    <t>Fraction of serum (%)</t>
  </si>
  <si>
    <t>1. Test system parameters</t>
  </si>
  <si>
    <t>2. Chemical parameters</t>
  </si>
  <si>
    <t>1. System information</t>
  </si>
  <si>
    <t>Information and comments</t>
  </si>
  <si>
    <t>Percentage of medium base in the test medium</t>
  </si>
  <si>
    <t>Percentage of serum in the test medium</t>
  </si>
  <si>
    <t>2. Chemical partitioning</t>
  </si>
  <si>
    <t>Water volume</t>
  </si>
  <si>
    <t>Protein volume</t>
  </si>
  <si>
    <t>Lipid volume</t>
  </si>
  <si>
    <t>MB (%)</t>
  </si>
  <si>
    <r>
      <t>log D</t>
    </r>
    <r>
      <rPr>
        <i/>
        <vertAlign val="subscript"/>
        <sz val="12"/>
        <rFont val="Helvetica"/>
        <family val="2"/>
      </rPr>
      <t>BSA/w</t>
    </r>
    <r>
      <rPr>
        <i/>
        <sz val="12"/>
        <rFont val="Helvetica"/>
        <family val="2"/>
      </rPr>
      <t xml:space="preserve"> [L/L], pH 7.4, 37 °C</t>
    </r>
  </si>
  <si>
    <r>
      <t>log D</t>
    </r>
    <r>
      <rPr>
        <i/>
        <vertAlign val="subscript"/>
        <sz val="12"/>
        <rFont val="Helvetica"/>
        <family val="2"/>
      </rPr>
      <t>lip/w</t>
    </r>
    <r>
      <rPr>
        <i/>
        <sz val="12"/>
        <rFont val="Helvetica"/>
        <family val="2"/>
      </rPr>
      <t xml:space="preserve"> [L/L], pH 7.4, 37 °C</t>
    </r>
  </si>
  <si>
    <t>Total Test system</t>
  </si>
  <si>
    <t>Volumes (µL)</t>
  </si>
  <si>
    <t>Test medium</t>
  </si>
  <si>
    <r>
      <t>f</t>
    </r>
    <r>
      <rPr>
        <i/>
        <vertAlign val="subscript"/>
        <sz val="12"/>
        <rFont val="Helvetica"/>
        <family val="2"/>
      </rPr>
      <t xml:space="preserve">cell       </t>
    </r>
    <r>
      <rPr>
        <i/>
        <sz val="12"/>
        <rFont val="Helvetica"/>
        <family val="2"/>
      </rPr>
      <t>(%)</t>
    </r>
  </si>
  <si>
    <r>
      <t>log D</t>
    </r>
    <r>
      <rPr>
        <i/>
        <vertAlign val="subscript"/>
        <sz val="11"/>
        <color theme="1"/>
        <rFont val="Helvetica"/>
        <family val="2"/>
      </rPr>
      <t>medium/w</t>
    </r>
    <r>
      <rPr>
        <i/>
        <sz val="11"/>
        <color theme="1"/>
        <rFont val="Helvetica"/>
        <family val="2"/>
      </rPr>
      <t xml:space="preserve"> [L/L], pH 7.4, 37 °C</t>
    </r>
  </si>
  <si>
    <r>
      <t>log D</t>
    </r>
    <r>
      <rPr>
        <i/>
        <vertAlign val="subscript"/>
        <sz val="11"/>
        <color theme="1"/>
        <rFont val="Helvetica"/>
        <family val="2"/>
      </rPr>
      <t>cell/w</t>
    </r>
    <r>
      <rPr>
        <i/>
        <sz val="11"/>
        <color theme="1"/>
        <rFont val="Helvetica"/>
        <family val="2"/>
      </rPr>
      <t xml:space="preserve"> [L/L], pH 7.4, 37 °C</t>
    </r>
  </si>
  <si>
    <t>Cells are solely composed of water, proteins, and lipids</t>
  </si>
  <si>
    <t>Information on media constituents and cells</t>
  </si>
  <si>
    <t>Model setup</t>
  </si>
  <si>
    <t>Equations</t>
  </si>
  <si>
    <r>
      <t>f</t>
    </r>
    <r>
      <rPr>
        <i/>
        <vertAlign val="subscript"/>
        <sz val="12"/>
        <rFont val="Helvetica"/>
        <family val="2"/>
      </rPr>
      <t xml:space="preserve">medium      </t>
    </r>
    <r>
      <rPr>
        <i/>
        <sz val="12"/>
        <rFont val="Helvetica"/>
        <family val="2"/>
      </rPr>
      <t>(%)</t>
    </r>
  </si>
  <si>
    <t>Choose from comment (mouseover) or leave empty of not available</t>
  </si>
  <si>
    <t>Choose from comment (mouseover) or leave empty if not available</t>
  </si>
  <si>
    <r>
      <t>f</t>
    </r>
    <r>
      <rPr>
        <i/>
        <vertAlign val="subscript"/>
        <sz val="12"/>
        <rFont val="Helvetica"/>
        <family val="2"/>
      </rPr>
      <t xml:space="preserve">mem         </t>
    </r>
    <r>
      <rPr>
        <i/>
        <sz val="12"/>
        <rFont val="Helvetica"/>
        <family val="2"/>
      </rPr>
      <t>(%)</t>
    </r>
  </si>
  <si>
    <t>Phenol-Red free DMEM</t>
  </si>
  <si>
    <r>
      <t>(E)C</t>
    </r>
    <r>
      <rPr>
        <i/>
        <vertAlign val="subscript"/>
        <sz val="12"/>
        <rFont val="Helvetica"/>
        <family val="2"/>
      </rPr>
      <t xml:space="preserve">cell </t>
    </r>
    <r>
      <rPr>
        <i/>
        <sz val="12"/>
        <rFont val="Helvetica"/>
        <family val="2"/>
      </rPr>
      <t>[mol/L</t>
    </r>
    <r>
      <rPr>
        <i/>
        <vertAlign val="subscript"/>
        <sz val="12"/>
        <rFont val="Helvetica"/>
        <family val="2"/>
      </rPr>
      <t>cell</t>
    </r>
    <r>
      <rPr>
        <i/>
        <sz val="12"/>
        <rFont val="Helvetica"/>
        <family val="2"/>
      </rPr>
      <t>]</t>
    </r>
  </si>
  <si>
    <r>
      <t>(E)C</t>
    </r>
    <r>
      <rPr>
        <i/>
        <vertAlign val="subscript"/>
        <sz val="12"/>
        <rFont val="Helvetica"/>
        <family val="2"/>
      </rPr>
      <t xml:space="preserve">mem </t>
    </r>
    <r>
      <rPr>
        <i/>
        <sz val="12"/>
        <rFont val="Helvetica"/>
        <family val="2"/>
      </rPr>
      <t>[mol/L</t>
    </r>
    <r>
      <rPr>
        <i/>
        <vertAlign val="subscript"/>
        <sz val="12"/>
        <rFont val="Helvetica"/>
        <family val="2"/>
      </rPr>
      <t>mem</t>
    </r>
    <r>
      <rPr>
        <i/>
        <sz val="12"/>
        <rFont val="Helvetica"/>
        <family val="2"/>
      </rPr>
      <t>]</t>
    </r>
  </si>
  <si>
    <r>
      <t>(E)C</t>
    </r>
    <r>
      <rPr>
        <i/>
        <vertAlign val="subscript"/>
        <sz val="12"/>
        <rFont val="Helvetica"/>
        <family val="2"/>
      </rPr>
      <t>nom</t>
    </r>
    <r>
      <rPr>
        <i/>
        <sz val="12"/>
        <rFont val="Helvetica"/>
        <family val="2"/>
      </rPr>
      <t xml:space="preserve"> [mol/L]</t>
    </r>
  </si>
  <si>
    <t>Plated cell number - Disregard cell growth</t>
  </si>
  <si>
    <t>cells &amp; media, MB = Mass Balance</t>
  </si>
  <si>
    <t>MB = Mass Balance</t>
  </si>
  <si>
    <t>mass balance, MB = Mass Balance</t>
  </si>
  <si>
    <t>equals C14, MB = Mass Balance</t>
  </si>
  <si>
    <r>
      <t>(E)C</t>
    </r>
    <r>
      <rPr>
        <i/>
        <vertAlign val="subscript"/>
        <sz val="12"/>
        <rFont val="Helvetica"/>
        <family val="2"/>
      </rPr>
      <t xml:space="preserve">free </t>
    </r>
    <r>
      <rPr>
        <i/>
        <sz val="12"/>
        <rFont val="Helvetica"/>
        <family val="2"/>
      </rPr>
      <t>[mol/L</t>
    </r>
    <r>
      <rPr>
        <i/>
        <vertAlign val="subscript"/>
        <sz val="12"/>
        <rFont val="Helvetica"/>
        <family val="2"/>
      </rPr>
      <t>w,medium</t>
    </r>
    <r>
      <rPr>
        <i/>
        <sz val="12"/>
        <rFont val="Helvetica"/>
        <family val="2"/>
      </rPr>
      <t>]</t>
    </r>
  </si>
  <si>
    <r>
      <t>f</t>
    </r>
    <r>
      <rPr>
        <i/>
        <vertAlign val="subscript"/>
        <sz val="12"/>
        <rFont val="Helvetica"/>
        <family val="2"/>
      </rPr>
      <t xml:space="preserve">w,medium      </t>
    </r>
    <r>
      <rPr>
        <i/>
        <sz val="12"/>
        <rFont val="Helvetica"/>
        <family val="2"/>
      </rPr>
      <t>(%)</t>
    </r>
  </si>
  <si>
    <t>OptiMEM</t>
    <phoneticPr fontId="17" type="noConversion"/>
  </si>
  <si>
    <t>cs-FBS</t>
    <phoneticPr fontId="17" type="noConversion"/>
  </si>
  <si>
    <t>HEK293T</t>
    <phoneticPr fontId="17" type="noConversion"/>
  </si>
  <si>
    <t>FBS</t>
    <phoneticPr fontId="17" type="noConversion"/>
  </si>
  <si>
    <t>umole</t>
    <phoneticPr fontId="17" type="noConversion"/>
  </si>
  <si>
    <t>umold</t>
    <phoneticPr fontId="17" type="noConversion"/>
  </si>
  <si>
    <t>HepG2</t>
  </si>
  <si>
    <t>Dicofol</t>
  </si>
  <si>
    <t>115-32-2</t>
  </si>
  <si>
    <t>Endosulfan I</t>
  </si>
  <si>
    <t>115-29-7</t>
  </si>
  <si>
    <t>Lindane</t>
  </si>
  <si>
    <t>58-89-9</t>
  </si>
  <si>
    <t>Parathion</t>
  </si>
  <si>
    <t>56-38-2</t>
  </si>
  <si>
    <t>Caffeine</t>
  </si>
  <si>
    <t>58-08-2</t>
  </si>
  <si>
    <t>2,4-Dichlorophenoxyacetic</t>
  </si>
  <si>
    <t>94-75-7</t>
  </si>
  <si>
    <t>(S)-Naproxen</t>
  </si>
  <si>
    <t>22204-53-1</t>
  </si>
  <si>
    <t>Torasemide</t>
  </si>
  <si>
    <t>56211-40-6</t>
  </si>
  <si>
    <t>Warfarin</t>
  </si>
  <si>
    <t>81-81-2</t>
  </si>
  <si>
    <t>Malathion</t>
  </si>
  <si>
    <t>121-75-5</t>
  </si>
  <si>
    <t>Allyl alcohol</t>
  </si>
  <si>
    <t>107-18-6</t>
  </si>
  <si>
    <t>dichloromethane</t>
  </si>
  <si>
    <t>75-09-2</t>
  </si>
  <si>
    <t>2,3-dimethyl-1,3-butadiene</t>
  </si>
  <si>
    <t>513-81-5</t>
  </si>
  <si>
    <t>PBDE 153</t>
  </si>
  <si>
    <t>68631-49-2</t>
  </si>
  <si>
    <t>amiodarone</t>
  </si>
  <si>
    <t>1951-25-3</t>
  </si>
  <si>
    <t>15687-27-1</t>
  </si>
  <si>
    <t>Chlorpyrifos</t>
  </si>
  <si>
    <t>2921-88-2</t>
  </si>
  <si>
    <t>2,4-Dinitrophenol</t>
  </si>
  <si>
    <t>51-28-5</t>
  </si>
  <si>
    <t>Aldrin</t>
  </si>
  <si>
    <t>309-00-2</t>
  </si>
  <si>
    <t>Azinphos-methyl</t>
  </si>
  <si>
    <t>86-50-0</t>
  </si>
  <si>
    <t>DDD-p,p'</t>
  </si>
  <si>
    <t>50-29-3</t>
  </si>
  <si>
    <t>DDT-o,p'</t>
  </si>
  <si>
    <t>789-02-6</t>
  </si>
  <si>
    <t>DDT-p,p'</t>
  </si>
  <si>
    <t>72-54-8</t>
  </si>
  <si>
    <t>Diazinon</t>
  </si>
  <si>
    <t>333-41-5</t>
  </si>
  <si>
    <t>Dieldrin</t>
  </si>
  <si>
    <t>60-57-1</t>
  </si>
  <si>
    <t>Disulfoton</t>
  </si>
  <si>
    <t>298-04-4</t>
  </si>
  <si>
    <t>Endrin</t>
  </si>
  <si>
    <t>72-20-8</t>
  </si>
  <si>
    <t>Ethion</t>
  </si>
  <si>
    <t>563-12-2</t>
  </si>
  <si>
    <t>Heptachlor</t>
  </si>
  <si>
    <t>76-44-8</t>
  </si>
  <si>
    <t>Heptachlor epoxide B</t>
  </si>
  <si>
    <t>1024-57-3</t>
  </si>
  <si>
    <t>Methoxychlor-o,p'</t>
  </si>
  <si>
    <t>72-43-5</t>
  </si>
  <si>
    <t>Trifluralin</t>
  </si>
  <si>
    <t>1582-09-8</t>
  </si>
  <si>
    <t>Eugenol F</t>
  </si>
  <si>
    <t>97-53-0</t>
  </si>
  <si>
    <t>Methyl-antranilate</t>
  </si>
  <si>
    <t>134-20-3</t>
  </si>
  <si>
    <t>Lilyfore</t>
  </si>
  <si>
    <t>285977-85-7</t>
  </si>
  <si>
    <t>Damascone beta</t>
  </si>
  <si>
    <t>23726-91-2</t>
  </si>
  <si>
    <t>Veloutone</t>
  </si>
  <si>
    <t>14595-54-1</t>
  </si>
  <si>
    <t>Verdox</t>
  </si>
  <si>
    <t>82356-51-2</t>
  </si>
  <si>
    <t>Nirvanol</t>
  </si>
  <si>
    <t>1506-02-1</t>
  </si>
  <si>
    <t>Cetalox</t>
  </si>
  <si>
    <t>3738-00-9</t>
  </si>
  <si>
    <t>Tonalide</t>
  </si>
  <si>
    <t>21145-77-7</t>
  </si>
  <si>
    <t>Lamotrigine</t>
  </si>
  <si>
    <t>84057-84-1</t>
  </si>
  <si>
    <t>Diclofenac</t>
  </si>
  <si>
    <t>15307-79-6</t>
  </si>
  <si>
    <t>Ibuprofen</t>
  </si>
  <si>
    <t>di-n-butylphthalate</t>
  </si>
  <si>
    <t>84-74-2</t>
  </si>
  <si>
    <t>hexachlorophene</t>
  </si>
  <si>
    <t>70-30-4</t>
  </si>
  <si>
    <t>hexamethylenetetramine</t>
  </si>
  <si>
    <t>100-97-0</t>
  </si>
  <si>
    <t>pentachlorophenol</t>
  </si>
  <si>
    <t>87-86-5</t>
  </si>
  <si>
    <t>2,2,2-trichloroethanol</t>
  </si>
  <si>
    <t>115-20-8</t>
  </si>
  <si>
    <t>diethylphthalate</t>
  </si>
  <si>
    <t>84-66-2</t>
  </si>
  <si>
    <t>4-chlorophenol</t>
  </si>
  <si>
    <t>106-48-9</t>
  </si>
  <si>
    <t>permethrin</t>
  </si>
  <si>
    <t>52645-53-1</t>
  </si>
  <si>
    <t>Aniline</t>
  </si>
  <si>
    <t>62-53-3</t>
  </si>
  <si>
    <t>4-fluoroaniline</t>
  </si>
  <si>
    <t>371-40-4</t>
  </si>
  <si>
    <t>2,4,6-trichlorophenol</t>
  </si>
  <si>
    <t>88-06-2</t>
  </si>
  <si>
    <t>N-methylaniline</t>
  </si>
  <si>
    <t>100-61-8</t>
  </si>
  <si>
    <t>3,4-dichloroaniline</t>
  </si>
  <si>
    <t>95-76-1</t>
  </si>
  <si>
    <t>4-decylaniline</t>
  </si>
  <si>
    <t>37529-30-9</t>
  </si>
  <si>
    <t>naphthalene</t>
  </si>
  <si>
    <t>91-20-3</t>
  </si>
  <si>
    <t>1,2,4-trichlorobenzene</t>
  </si>
  <si>
    <t>120-82-1</t>
  </si>
  <si>
    <t>1,2-dichlorobenzene</t>
  </si>
  <si>
    <t>95-50-1</t>
  </si>
  <si>
    <t>tetrachloroethylene</t>
  </si>
  <si>
    <t>127-18-4</t>
  </si>
  <si>
    <t>cyclosporine A</t>
  </si>
  <si>
    <t>59865-13-3</t>
  </si>
  <si>
    <t>chlorpromazine</t>
  </si>
  <si>
    <t>50-53-3</t>
  </si>
  <si>
    <t>PBDE 47</t>
  </si>
  <si>
    <t>5436-43-1</t>
  </si>
  <si>
    <t>PBDE 99</t>
  </si>
  <si>
    <t>60348-60-9</t>
  </si>
  <si>
    <t>PFBS</t>
  </si>
  <si>
    <t>375-73-5</t>
  </si>
  <si>
    <t>4:2 FTS</t>
  </si>
  <si>
    <t>757124-72-4</t>
  </si>
  <si>
    <t>PFNA</t>
  </si>
  <si>
    <t>375-95-1</t>
  </si>
  <si>
    <t>PFHxA</t>
  </si>
  <si>
    <t>307-24-4</t>
  </si>
  <si>
    <t>PFBA</t>
  </si>
  <si>
    <t>375-22-4</t>
  </si>
  <si>
    <t>PFOA</t>
  </si>
  <si>
    <t>335-67-1</t>
  </si>
  <si>
    <t>6:2 FTS</t>
  </si>
  <si>
    <t>27619-97-2</t>
  </si>
  <si>
    <t>8:2 FTS</t>
  </si>
  <si>
    <t>39108-34-4</t>
  </si>
  <si>
    <t>PFUnDA</t>
  </si>
  <si>
    <t>2058-94-8</t>
  </si>
  <si>
    <t>PFOS</t>
  </si>
  <si>
    <t>1763-23-1</t>
  </si>
  <si>
    <t>PFHpA</t>
  </si>
  <si>
    <t>375-85-9</t>
  </si>
  <si>
    <t>PFPeA</t>
  </si>
  <si>
    <t>2706-90-3</t>
  </si>
  <si>
    <t>PFHxS</t>
  </si>
  <si>
    <t>355-46-4</t>
  </si>
  <si>
    <t>PFDA</t>
  </si>
  <si>
    <t>335-76-2</t>
  </si>
  <si>
    <t>Azathioprine</t>
  </si>
  <si>
    <t>446-86-6</t>
  </si>
  <si>
    <t>Benzocaine</t>
  </si>
  <si>
    <t>94-09-7</t>
  </si>
  <si>
    <t>Butylated hydroxyanisole</t>
  </si>
  <si>
    <t>25013-16-5</t>
  </si>
  <si>
    <t>Cetirizine dihydrochloride</t>
  </si>
  <si>
    <t>83881-52-1</t>
  </si>
  <si>
    <t>Cyclamate</t>
  </si>
  <si>
    <t>139-05-9</t>
  </si>
  <si>
    <t>Cyclophosphamide</t>
  </si>
  <si>
    <t>6055-19-2</t>
  </si>
  <si>
    <t>Cypermethrin</t>
  </si>
  <si>
    <t>67375-30-8</t>
  </si>
  <si>
    <t>DEET</t>
  </si>
  <si>
    <t>134-62-3</t>
  </si>
  <si>
    <t>Dexamethasone</t>
  </si>
  <si>
    <t>50-02-2</t>
  </si>
  <si>
    <t>Digoxin</t>
  </si>
  <si>
    <t>20830-75-5</t>
  </si>
  <si>
    <t>Fenazaquin</t>
  </si>
  <si>
    <t>120928-09-8</t>
  </si>
  <si>
    <t>Fenbuconazole</t>
  </si>
  <si>
    <t>114369-43-6</t>
  </si>
  <si>
    <t>Fluazinam</t>
  </si>
  <si>
    <t>79622-59-6</t>
  </si>
  <si>
    <t>Furosemide</t>
  </si>
  <si>
    <t>54-31-9</t>
  </si>
  <si>
    <t>Glybenclamide</t>
  </si>
  <si>
    <t>10238-21-8</t>
  </si>
  <si>
    <t>HC Red 3</t>
  </si>
  <si>
    <t>2871-01-4</t>
  </si>
  <si>
    <t>Hydralazine hydrochloride</t>
  </si>
  <si>
    <t>304-20-1</t>
  </si>
  <si>
    <t>Ketoconazole</t>
  </si>
  <si>
    <t>65277-42-1</t>
  </si>
  <si>
    <t>Metformin</t>
  </si>
  <si>
    <t>1115-70-4</t>
  </si>
  <si>
    <t>Metoclopramide</t>
  </si>
  <si>
    <t>364-62-5</t>
  </si>
  <si>
    <t>Nitrofurantoin</t>
  </si>
  <si>
    <t>67-20-9</t>
  </si>
  <si>
    <t>Oxytetracycline hydrochloride</t>
  </si>
  <si>
    <t>2058-46-0</t>
  </si>
  <si>
    <t>Panthenol</t>
  </si>
  <si>
    <t xml:space="preserve">16485-10-2 </t>
  </si>
  <si>
    <t>Paracetamol</t>
  </si>
  <si>
    <t>103-90-2</t>
  </si>
  <si>
    <t>Topiramate</t>
  </si>
  <si>
    <t>97240-79-4</t>
  </si>
  <si>
    <t>Trimellitic anhydride</t>
  </si>
  <si>
    <t>552-30-7</t>
  </si>
  <si>
    <t>Verapamil hydrochloride</t>
  </si>
  <si>
    <t>152-11-4</t>
  </si>
  <si>
    <t>129-06-6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</si>
</sst>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0.000"/>
    <numFmt numFmtId="177" formatCode="0.000000000"/>
    <numFmt numFmtId="178" formatCode="0.0%"/>
    <numFmt numFmtId="179" formatCode="0.00_);[Red]\(0.00\)"/>
    <numFmt numFmtId="180" formatCode="0.00000_);[Red]\(0.00000\)"/>
    <numFmt numFmtId="181" formatCode="0.000000_);[Red]\(0.000000\)"/>
    <numFmt numFmtId="182" formatCode="0.0E+00"/>
  </numFmts>
  <fonts count="22" x14ac:knownFonts="1">
    <font>
      <sz val="11"/>
      <color theme="1"/>
      <name val="新細明體"/>
      <family val="2"/>
      <scheme val="minor"/>
    </font>
    <font>
      <sz val="11"/>
      <color theme="1"/>
      <name val="Helvetica"/>
      <family val="2"/>
    </font>
    <font>
      <b/>
      <sz val="11"/>
      <color theme="1"/>
      <name val="Helvetica"/>
      <family val="2"/>
    </font>
    <font>
      <b/>
      <sz val="12"/>
      <color theme="1"/>
      <name val="Helvetica"/>
      <family val="2"/>
    </font>
    <font>
      <sz val="11"/>
      <name val="Helvetica"/>
      <family val="2"/>
    </font>
    <font>
      <b/>
      <sz val="20"/>
      <color theme="1"/>
      <name val="Helvetica"/>
      <family val="2"/>
    </font>
    <font>
      <b/>
      <sz val="10"/>
      <color indexed="81"/>
      <name val="Helvetica"/>
      <family val="2"/>
    </font>
    <font>
      <b/>
      <sz val="11"/>
      <name val="Helvetica"/>
      <family val="2"/>
    </font>
    <font>
      <b/>
      <vertAlign val="superscript"/>
      <sz val="11"/>
      <color theme="1"/>
      <name val="Helvetica"/>
      <family val="2"/>
    </font>
    <font>
      <b/>
      <sz val="14"/>
      <color theme="1"/>
      <name val="Helvetica"/>
      <family val="2"/>
    </font>
    <font>
      <i/>
      <sz val="12"/>
      <name val="Helvetica"/>
      <family val="2"/>
    </font>
    <font>
      <i/>
      <vertAlign val="subscript"/>
      <sz val="12"/>
      <name val="Helvetica"/>
      <family val="2"/>
    </font>
    <font>
      <i/>
      <sz val="11"/>
      <color theme="1"/>
      <name val="Helvetica"/>
      <family val="2"/>
    </font>
    <font>
      <i/>
      <vertAlign val="subscript"/>
      <sz val="11"/>
      <color theme="1"/>
      <name val="Helvetica"/>
      <family val="2"/>
    </font>
    <font>
      <b/>
      <u/>
      <sz val="14"/>
      <color theme="1"/>
      <name val="Helvetic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2"/>
      <scheme val="minor"/>
    </font>
    <font>
      <sz val="10"/>
      <color theme="1"/>
      <name val="Arial"/>
      <family val="2"/>
    </font>
    <font>
      <sz val="11"/>
      <color theme="1"/>
      <name val="Helvetica"/>
    </font>
    <font>
      <sz val="12"/>
      <color theme="0" tint="-0.34998626667073579"/>
      <name val="Helvetica"/>
      <family val="2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D8E4BC"/>
        <bgColor indexed="64"/>
      </patternFill>
    </fill>
  </fills>
  <borders count="2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18" fillId="0" borderId="0"/>
  </cellStyleXfs>
  <cellXfs count="187">
    <xf numFmtId="0" fontId="0" fillId="0" borderId="0" xfId="0"/>
    <xf numFmtId="0" fontId="1" fillId="3" borderId="2" xfId="0" applyFont="1" applyFill="1" applyBorder="1"/>
    <xf numFmtId="0" fontId="1" fillId="3" borderId="3" xfId="0" applyFont="1" applyFill="1" applyBorder="1"/>
    <xf numFmtId="0" fontId="1" fillId="3" borderId="5" xfId="0" applyFont="1" applyFill="1" applyBorder="1"/>
    <xf numFmtId="0" fontId="1" fillId="0" borderId="7" xfId="0" applyFont="1" applyBorder="1"/>
    <xf numFmtId="0" fontId="1" fillId="0" borderId="7" xfId="0" applyFont="1" applyBorder="1" applyAlignment="1">
      <alignment horizontal="left" vertical="center"/>
    </xf>
    <xf numFmtId="0" fontId="1" fillId="0" borderId="23" xfId="0" applyFont="1" applyBorder="1" applyAlignment="1">
      <alignment horizontal="left" vertical="center"/>
    </xf>
    <xf numFmtId="0" fontId="0" fillId="3" borderId="0" xfId="0" applyFill="1"/>
    <xf numFmtId="0" fontId="3" fillId="3" borderId="0" xfId="0" applyFont="1" applyFill="1" applyAlignment="1">
      <alignment vertical="center"/>
    </xf>
    <xf numFmtId="11" fontId="0" fillId="3" borderId="0" xfId="0" applyNumberFormat="1" applyFill="1"/>
    <xf numFmtId="177" fontId="0" fillId="3" borderId="0" xfId="0" applyNumberFormat="1" applyFill="1"/>
    <xf numFmtId="0" fontId="0" fillId="3" borderId="13" xfId="0" applyFill="1" applyBorder="1"/>
    <xf numFmtId="0" fontId="0" fillId="3" borderId="4" xfId="0" applyFill="1" applyBorder="1"/>
    <xf numFmtId="0" fontId="1" fillId="3" borderId="0" xfId="0" applyFont="1" applyFill="1"/>
    <xf numFmtId="0" fontId="0" fillId="3" borderId="14" xfId="0" applyFill="1" applyBorder="1"/>
    <xf numFmtId="0" fontId="0" fillId="3" borderId="6" xfId="0" applyFill="1" applyBorder="1"/>
    <xf numFmtId="0" fontId="9" fillId="3" borderId="13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14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wrapText="1"/>
    </xf>
    <xf numFmtId="0" fontId="1" fillId="3" borderId="2" xfId="0" applyFont="1" applyFill="1" applyBorder="1" applyAlignment="1">
      <alignment wrapText="1"/>
    </xf>
    <xf numFmtId="0" fontId="0" fillId="3" borderId="13" xfId="0" applyFill="1" applyBorder="1" applyAlignment="1">
      <alignment wrapText="1"/>
    </xf>
    <xf numFmtId="0" fontId="0" fillId="3" borderId="0" xfId="0" applyFill="1" applyAlignment="1">
      <alignment wrapText="1"/>
    </xf>
    <xf numFmtId="0" fontId="0" fillId="3" borderId="5" xfId="0" applyFill="1" applyBorder="1"/>
    <xf numFmtId="0" fontId="1" fillId="3" borderId="13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1" fillId="3" borderId="14" xfId="0" applyFont="1" applyFill="1" applyBorder="1" applyAlignment="1">
      <alignment horizontal="left"/>
    </xf>
    <xf numFmtId="0" fontId="1" fillId="3" borderId="4" xfId="0" applyFont="1" applyFill="1" applyBorder="1" applyAlignment="1">
      <alignment horizontal="left" wrapText="1"/>
    </xf>
    <xf numFmtId="0" fontId="1" fillId="3" borderId="5" xfId="0" applyFont="1" applyFill="1" applyBorder="1" applyAlignment="1">
      <alignment horizontal="left"/>
    </xf>
    <xf numFmtId="0" fontId="1" fillId="3" borderId="5" xfId="0" applyFont="1" applyFill="1" applyBorder="1" applyAlignment="1">
      <alignment horizontal="left" wrapText="1"/>
    </xf>
    <xf numFmtId="0" fontId="1" fillId="3" borderId="6" xfId="0" applyFont="1" applyFill="1" applyBorder="1" applyAlignment="1">
      <alignment horizontal="left"/>
    </xf>
    <xf numFmtId="0" fontId="1" fillId="3" borderId="7" xfId="0" applyFont="1" applyFill="1" applyBorder="1"/>
    <xf numFmtId="0" fontId="1" fillId="3" borderId="7" xfId="0" applyFont="1" applyFill="1" applyBorder="1" applyAlignment="1">
      <alignment horizontal="center"/>
    </xf>
    <xf numFmtId="2" fontId="1" fillId="3" borderId="7" xfId="0" applyNumberFormat="1" applyFont="1" applyFill="1" applyBorder="1" applyAlignment="1">
      <alignment horizontal="center"/>
    </xf>
    <xf numFmtId="0" fontId="2" fillId="6" borderId="7" xfId="0" applyFont="1" applyFill="1" applyBorder="1" applyAlignment="1">
      <alignment horizontal="left" vertical="center"/>
    </xf>
    <xf numFmtId="0" fontId="2" fillId="6" borderId="7" xfId="0" applyFont="1" applyFill="1" applyBorder="1" applyAlignment="1">
      <alignment horizontal="center" wrapText="1"/>
    </xf>
    <xf numFmtId="0" fontId="2" fillId="6" borderId="7" xfId="0" applyFont="1" applyFill="1" applyBorder="1" applyAlignment="1">
      <alignment vertical="center"/>
    </xf>
    <xf numFmtId="176" fontId="1" fillId="2" borderId="7" xfId="0" applyNumberFormat="1" applyFont="1" applyFill="1" applyBorder="1" applyAlignment="1" applyProtection="1">
      <alignment horizontal="center" vertical="center"/>
      <protection hidden="1"/>
    </xf>
    <xf numFmtId="9" fontId="1" fillId="2" borderId="7" xfId="0" applyNumberFormat="1" applyFont="1" applyFill="1" applyBorder="1" applyAlignment="1" applyProtection="1">
      <alignment horizontal="center"/>
      <protection hidden="1"/>
    </xf>
    <xf numFmtId="10" fontId="1" fillId="2" borderId="7" xfId="0" applyNumberFormat="1" applyFont="1" applyFill="1" applyBorder="1" applyAlignment="1" applyProtection="1">
      <alignment horizontal="center"/>
      <protection hidden="1"/>
    </xf>
    <xf numFmtId="11" fontId="1" fillId="2" borderId="7" xfId="0" applyNumberFormat="1" applyFont="1" applyFill="1" applyBorder="1" applyAlignment="1" applyProtection="1">
      <alignment horizontal="center" vertical="center"/>
      <protection hidden="1"/>
    </xf>
    <xf numFmtId="176" fontId="1" fillId="2" borderId="7" xfId="0" applyNumberFormat="1" applyFont="1" applyFill="1" applyBorder="1" applyAlignment="1" applyProtection="1">
      <alignment horizontal="center"/>
      <protection hidden="1"/>
    </xf>
    <xf numFmtId="11" fontId="1" fillId="2" borderId="7" xfId="0" applyNumberFormat="1" applyFont="1" applyFill="1" applyBorder="1" applyAlignment="1" applyProtection="1">
      <alignment horizontal="center"/>
      <protection hidden="1"/>
    </xf>
    <xf numFmtId="176" fontId="1" fillId="4" borderId="7" xfId="0" applyNumberFormat="1" applyFont="1" applyFill="1" applyBorder="1" applyAlignment="1" applyProtection="1">
      <alignment horizontal="center"/>
      <protection locked="0"/>
    </xf>
    <xf numFmtId="178" fontId="1" fillId="4" borderId="7" xfId="0" applyNumberFormat="1" applyFont="1" applyFill="1" applyBorder="1" applyAlignment="1" applyProtection="1">
      <alignment horizontal="center"/>
      <protection locked="0"/>
    </xf>
    <xf numFmtId="1" fontId="1" fillId="4" borderId="23" xfId="0" applyNumberFormat="1" applyFont="1" applyFill="1" applyBorder="1" applyAlignment="1" applyProtection="1">
      <alignment horizontal="center"/>
      <protection locked="0"/>
    </xf>
    <xf numFmtId="0" fontId="4" fillId="4" borderId="7" xfId="0" applyFont="1" applyFill="1" applyBorder="1" applyAlignment="1" applyProtection="1">
      <alignment horizontal="left" vertical="center"/>
      <protection locked="0"/>
    </xf>
    <xf numFmtId="2" fontId="4" fillId="4" borderId="7" xfId="0" applyNumberFormat="1" applyFont="1" applyFill="1" applyBorder="1" applyAlignment="1" applyProtection="1">
      <alignment horizontal="center" vertical="center"/>
      <protection locked="0"/>
    </xf>
    <xf numFmtId="0" fontId="0" fillId="3" borderId="0" xfId="0" applyFill="1" applyProtection="1">
      <protection locked="0"/>
    </xf>
    <xf numFmtId="0" fontId="2" fillId="0" borderId="7" xfId="0" applyFont="1" applyBorder="1" applyAlignment="1" applyProtection="1">
      <alignment horizontal="center" vertical="center"/>
      <protection hidden="1"/>
    </xf>
    <xf numFmtId="0" fontId="1" fillId="0" borderId="7" xfId="0" applyFont="1" applyBorder="1" applyProtection="1">
      <protection hidden="1"/>
    </xf>
    <xf numFmtId="0" fontId="1" fillId="0" borderId="7" xfId="0" applyFont="1" applyBorder="1" applyAlignment="1" applyProtection="1">
      <alignment horizontal="left" vertical="center"/>
      <protection hidden="1"/>
    </xf>
    <xf numFmtId="0" fontId="1" fillId="0" borderId="27" xfId="0" applyFont="1" applyBorder="1" applyAlignment="1" applyProtection="1">
      <alignment horizontal="left" vertical="center"/>
      <protection hidden="1"/>
    </xf>
    <xf numFmtId="11" fontId="1" fillId="2" borderId="27" xfId="0" applyNumberFormat="1" applyFont="1" applyFill="1" applyBorder="1" applyAlignment="1" applyProtection="1">
      <alignment horizontal="center"/>
      <protection hidden="1"/>
    </xf>
    <xf numFmtId="2" fontId="4" fillId="2" borderId="7" xfId="0" applyNumberFormat="1" applyFont="1" applyFill="1" applyBorder="1" applyAlignment="1" applyProtection="1">
      <alignment horizontal="center" vertical="center"/>
      <protection hidden="1"/>
    </xf>
    <xf numFmtId="10" fontId="4" fillId="2" borderId="7" xfId="0" applyNumberFormat="1" applyFont="1" applyFill="1" applyBorder="1" applyAlignment="1" applyProtection="1">
      <alignment horizontal="center" vertical="center"/>
      <protection hidden="1"/>
    </xf>
    <xf numFmtId="11" fontId="4" fillId="2" borderId="7" xfId="0" applyNumberFormat="1" applyFont="1" applyFill="1" applyBorder="1" applyAlignment="1" applyProtection="1">
      <alignment horizontal="center" vertical="center"/>
      <protection hidden="1"/>
    </xf>
    <xf numFmtId="11" fontId="4" fillId="4" borderId="7" xfId="0" applyNumberFormat="1" applyFont="1" applyFill="1" applyBorder="1" applyAlignment="1" applyProtection="1">
      <alignment horizontal="center" vertical="center"/>
      <protection locked="0"/>
    </xf>
    <xf numFmtId="11" fontId="1" fillId="3" borderId="7" xfId="0" applyNumberFormat="1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3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/>
    </xf>
    <xf numFmtId="2" fontId="1" fillId="3" borderId="0" xfId="0" applyNumberFormat="1" applyFont="1" applyFill="1" applyAlignment="1">
      <alignment horizontal="center"/>
    </xf>
    <xf numFmtId="11" fontId="1" fillId="3" borderId="0" xfId="0" applyNumberFormat="1" applyFont="1" applyFill="1" applyAlignment="1">
      <alignment horizontal="center"/>
    </xf>
    <xf numFmtId="0" fontId="0" fillId="3" borderId="1" xfId="0" applyFill="1" applyBorder="1"/>
    <xf numFmtId="0" fontId="0" fillId="3" borderId="2" xfId="0" applyFill="1" applyBorder="1"/>
    <xf numFmtId="0" fontId="0" fillId="3" borderId="3" xfId="0" applyFill="1" applyBorder="1"/>
    <xf numFmtId="0" fontId="0" fillId="0" borderId="2" xfId="0" applyBorder="1"/>
    <xf numFmtId="0" fontId="0" fillId="0" borderId="5" xfId="0" applyBorder="1"/>
    <xf numFmtId="11" fontId="1" fillId="3" borderId="2" xfId="0" applyNumberFormat="1" applyFont="1" applyFill="1" applyBorder="1" applyAlignment="1">
      <alignment horizontal="center"/>
    </xf>
    <xf numFmtId="11" fontId="1" fillId="3" borderId="5" xfId="0" applyNumberFormat="1" applyFont="1" applyFill="1" applyBorder="1" applyAlignment="1">
      <alignment horizontal="center"/>
    </xf>
    <xf numFmtId="0" fontId="0" fillId="3" borderId="25" xfId="0" applyFill="1" applyBorder="1"/>
    <xf numFmtId="0" fontId="2" fillId="3" borderId="24" xfId="0" applyFont="1" applyFill="1" applyBorder="1" applyAlignment="1">
      <alignment vertical="center"/>
    </xf>
    <xf numFmtId="0" fontId="2" fillId="3" borderId="24" xfId="0" applyFont="1" applyFill="1" applyBorder="1" applyAlignment="1">
      <alignment horizontal="center" wrapText="1"/>
    </xf>
    <xf numFmtId="0" fontId="0" fillId="3" borderId="26" xfId="0" applyFill="1" applyBorder="1"/>
    <xf numFmtId="0" fontId="1" fillId="3" borderId="2" xfId="0" applyFont="1" applyFill="1" applyBorder="1" applyAlignment="1">
      <alignment horizontal="center"/>
    </xf>
    <xf numFmtId="2" fontId="1" fillId="3" borderId="2" xfId="0" applyNumberFormat="1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2" fontId="1" fillId="3" borderId="5" xfId="0" applyNumberFormat="1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 wrapText="1"/>
    </xf>
    <xf numFmtId="11" fontId="1" fillId="7" borderId="7" xfId="0" applyNumberFormat="1" applyFont="1" applyFill="1" applyBorder="1" applyAlignment="1">
      <alignment horizontal="center"/>
    </xf>
    <xf numFmtId="0" fontId="1" fillId="7" borderId="7" xfId="0" applyFont="1" applyFill="1" applyBorder="1"/>
    <xf numFmtId="0" fontId="1" fillId="7" borderId="7" xfId="0" applyFont="1" applyFill="1" applyBorder="1" applyAlignment="1">
      <alignment horizontal="center"/>
    </xf>
    <xf numFmtId="2" fontId="1" fillId="7" borderId="7" xfId="0" applyNumberFormat="1" applyFont="1" applyFill="1" applyBorder="1" applyAlignment="1">
      <alignment horizontal="center"/>
    </xf>
    <xf numFmtId="179" fontId="0" fillId="3" borderId="0" xfId="0" applyNumberFormat="1" applyFill="1"/>
    <xf numFmtId="180" fontId="0" fillId="3" borderId="0" xfId="0" applyNumberFormat="1" applyFill="1"/>
    <xf numFmtId="181" fontId="0" fillId="3" borderId="0" xfId="0" applyNumberFormat="1" applyFill="1"/>
    <xf numFmtId="0" fontId="4" fillId="8" borderId="7" xfId="0" applyFont="1" applyFill="1" applyBorder="1" applyAlignment="1" applyProtection="1">
      <alignment horizontal="left" vertical="center"/>
      <protection locked="0"/>
    </xf>
    <xf numFmtId="0" fontId="20" fillId="0" borderId="0" xfId="0" applyFont="1" applyAlignment="1">
      <alignment vertical="center"/>
    </xf>
    <xf numFmtId="0" fontId="21" fillId="0" borderId="0" xfId="0" applyFont="1" applyAlignment="1">
      <alignment vertical="center"/>
    </xf>
    <xf numFmtId="2" fontId="4" fillId="8" borderId="7" xfId="0" applyNumberFormat="1" applyFont="1" applyFill="1" applyBorder="1" applyAlignment="1" applyProtection="1">
      <alignment horizontal="center" vertical="center"/>
      <protection locked="0"/>
    </xf>
    <xf numFmtId="11" fontId="4" fillId="8" borderId="7" xfId="0" applyNumberFormat="1" applyFont="1" applyFill="1" applyBorder="1" applyAlignment="1" applyProtection="1">
      <alignment horizontal="center" vertical="center"/>
      <protection locked="0"/>
    </xf>
    <xf numFmtId="2" fontId="1" fillId="8" borderId="7" xfId="0" applyNumberFormat="1" applyFont="1" applyFill="1" applyBorder="1" applyAlignment="1" applyProtection="1">
      <alignment horizontal="center" vertical="center"/>
      <protection locked="0"/>
    </xf>
    <xf numFmtId="2" fontId="1" fillId="2" borderId="7" xfId="0" applyNumberFormat="1" applyFont="1" applyFill="1" applyBorder="1" applyAlignment="1" applyProtection="1">
      <alignment horizontal="center" vertical="center"/>
      <protection hidden="1"/>
    </xf>
    <xf numFmtId="10" fontId="1" fillId="2" borderId="7" xfId="0" applyNumberFormat="1" applyFont="1" applyFill="1" applyBorder="1" applyAlignment="1" applyProtection="1">
      <alignment horizontal="center" vertical="center"/>
      <protection hidden="1"/>
    </xf>
    <xf numFmtId="0" fontId="1" fillId="4" borderId="7" xfId="0" applyFont="1" applyFill="1" applyBorder="1" applyAlignment="1" applyProtection="1">
      <alignment horizontal="left" vertical="center"/>
      <protection locked="0"/>
    </xf>
    <xf numFmtId="2" fontId="1" fillId="4" borderId="7" xfId="0" applyNumberFormat="1" applyFont="1" applyFill="1" applyBorder="1" applyAlignment="1" applyProtection="1">
      <alignment horizontal="center" vertical="center"/>
      <protection locked="0"/>
    </xf>
    <xf numFmtId="11" fontId="1" fillId="4" borderId="7" xfId="0" applyNumberFormat="1" applyFont="1" applyFill="1" applyBorder="1" applyAlignment="1" applyProtection="1">
      <alignment horizontal="center" vertical="center"/>
      <protection locked="0"/>
    </xf>
    <xf numFmtId="182" fontId="19" fillId="0" borderId="0" xfId="0" applyNumberFormat="1" applyFont="1" applyAlignment="1">
      <alignment horizontal="center"/>
    </xf>
    <xf numFmtId="11" fontId="0" fillId="3" borderId="14" xfId="0" applyNumberFormat="1" applyFill="1" applyBorder="1"/>
    <xf numFmtId="0" fontId="0" fillId="5" borderId="0" xfId="0" applyFill="1"/>
    <xf numFmtId="181" fontId="0" fillId="0" borderId="0" xfId="0" applyNumberFormat="1"/>
    <xf numFmtId="0" fontId="14" fillId="3" borderId="1" xfId="0" applyFont="1" applyFill="1" applyBorder="1" applyAlignment="1">
      <alignment horizontal="center" vertical="center"/>
    </xf>
    <xf numFmtId="0" fontId="14" fillId="3" borderId="2" xfId="0" applyFont="1" applyFill="1" applyBorder="1" applyAlignment="1">
      <alignment horizontal="center" vertical="center"/>
    </xf>
    <xf numFmtId="0" fontId="14" fillId="3" borderId="3" xfId="0" applyFont="1" applyFill="1" applyBorder="1" applyAlignment="1">
      <alignment horizontal="center" vertical="center"/>
    </xf>
    <xf numFmtId="0" fontId="14" fillId="3" borderId="13" xfId="0" applyFont="1" applyFill="1" applyBorder="1" applyAlignment="1">
      <alignment horizontal="center" vertical="center"/>
    </xf>
    <xf numFmtId="0" fontId="14" fillId="3" borderId="0" xfId="0" applyFont="1" applyFill="1" applyAlignment="1">
      <alignment horizontal="center" vertical="center"/>
    </xf>
    <xf numFmtId="0" fontId="14" fillId="3" borderId="14" xfId="0" applyFont="1" applyFill="1" applyBorder="1" applyAlignment="1">
      <alignment horizontal="center" vertical="center"/>
    </xf>
    <xf numFmtId="0" fontId="14" fillId="3" borderId="4" xfId="0" applyFont="1" applyFill="1" applyBorder="1" applyAlignment="1">
      <alignment horizontal="center" vertical="center"/>
    </xf>
    <xf numFmtId="0" fontId="14" fillId="3" borderId="5" xfId="0" applyFont="1" applyFill="1" applyBorder="1" applyAlignment="1">
      <alignment horizontal="center" vertical="center"/>
    </xf>
    <xf numFmtId="0" fontId="14" fillId="3" borderId="6" xfId="0" applyFont="1" applyFill="1" applyBorder="1" applyAlignment="1">
      <alignment horizontal="center" vertical="center"/>
    </xf>
    <xf numFmtId="0" fontId="14" fillId="3" borderId="1" xfId="0" applyFont="1" applyFill="1" applyBorder="1" applyAlignment="1">
      <alignment horizontal="center"/>
    </xf>
    <xf numFmtId="0" fontId="14" fillId="3" borderId="2" xfId="0" applyFont="1" applyFill="1" applyBorder="1" applyAlignment="1">
      <alignment horizontal="center"/>
    </xf>
    <xf numFmtId="0" fontId="14" fillId="3" borderId="3" xfId="0" applyFont="1" applyFill="1" applyBorder="1" applyAlignment="1">
      <alignment horizontal="center"/>
    </xf>
    <xf numFmtId="0" fontId="5" fillId="2" borderId="1" xfId="0" applyFont="1" applyFill="1" applyBorder="1" applyAlignment="1" applyProtection="1">
      <alignment horizontal="center" vertical="center"/>
      <protection hidden="1"/>
    </xf>
    <xf numFmtId="0" fontId="5" fillId="2" borderId="2" xfId="0" applyFont="1" applyFill="1" applyBorder="1" applyAlignment="1" applyProtection="1">
      <alignment horizontal="center" vertical="center"/>
      <protection hidden="1"/>
    </xf>
    <xf numFmtId="0" fontId="5" fillId="2" borderId="3" xfId="0" applyFont="1" applyFill="1" applyBorder="1" applyAlignment="1" applyProtection="1">
      <alignment horizontal="center" vertical="center"/>
      <protection hidden="1"/>
    </xf>
    <xf numFmtId="0" fontId="5" fillId="2" borderId="13" xfId="0" applyFont="1" applyFill="1" applyBorder="1" applyAlignment="1" applyProtection="1">
      <alignment horizontal="center" vertical="center"/>
      <protection hidden="1"/>
    </xf>
    <xf numFmtId="0" fontId="5" fillId="2" borderId="0" xfId="0" applyFont="1" applyFill="1" applyAlignment="1" applyProtection="1">
      <alignment horizontal="center" vertical="center"/>
      <protection hidden="1"/>
    </xf>
    <xf numFmtId="0" fontId="5" fillId="2" borderId="14" xfId="0" applyFont="1" applyFill="1" applyBorder="1" applyAlignment="1" applyProtection="1">
      <alignment horizontal="center" vertical="center"/>
      <protection hidden="1"/>
    </xf>
    <xf numFmtId="0" fontId="5" fillId="2" borderId="4" xfId="0" applyFont="1" applyFill="1" applyBorder="1" applyAlignment="1" applyProtection="1">
      <alignment horizontal="center" vertical="center"/>
      <protection hidden="1"/>
    </xf>
    <xf numFmtId="0" fontId="5" fillId="2" borderId="5" xfId="0" applyFont="1" applyFill="1" applyBorder="1" applyAlignment="1" applyProtection="1">
      <alignment horizontal="center" vertical="center"/>
      <protection hidden="1"/>
    </xf>
    <xf numFmtId="0" fontId="5" fillId="2" borderId="6" xfId="0" applyFont="1" applyFill="1" applyBorder="1" applyAlignment="1" applyProtection="1">
      <alignment horizontal="center" vertical="center"/>
      <protection hidden="1"/>
    </xf>
    <xf numFmtId="0" fontId="9" fillId="0" borderId="15" xfId="0" applyFont="1" applyBorder="1" applyAlignment="1" applyProtection="1">
      <alignment horizontal="center" vertical="center"/>
      <protection hidden="1"/>
    </xf>
    <xf numFmtId="0" fontId="9" fillId="0" borderId="16" xfId="0" applyFont="1" applyBorder="1" applyAlignment="1" applyProtection="1">
      <alignment horizontal="center" vertical="center"/>
      <protection hidden="1"/>
    </xf>
    <xf numFmtId="0" fontId="9" fillId="0" borderId="17" xfId="0" applyFont="1" applyBorder="1" applyAlignment="1" applyProtection="1">
      <alignment horizontal="center" vertical="center"/>
      <protection hidden="1"/>
    </xf>
    <xf numFmtId="0" fontId="1" fillId="5" borderId="25" xfId="0" applyFont="1" applyFill="1" applyBorder="1" applyAlignment="1">
      <alignment horizontal="center" vertical="center"/>
    </xf>
    <xf numFmtId="0" fontId="1" fillId="5" borderId="24" xfId="0" applyFont="1" applyFill="1" applyBorder="1" applyAlignment="1">
      <alignment horizontal="center" vertical="center"/>
    </xf>
    <xf numFmtId="0" fontId="1" fillId="5" borderId="26" xfId="0" applyFont="1" applyFill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4" fillId="0" borderId="7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13" xfId="0" applyFont="1" applyFill="1" applyBorder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5" fillId="4" borderId="14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22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wrapText="1"/>
    </xf>
    <xf numFmtId="0" fontId="10" fillId="0" borderId="12" xfId="0" applyFont="1" applyBorder="1" applyAlignment="1">
      <alignment horizontal="center" wrapText="1"/>
    </xf>
    <xf numFmtId="0" fontId="10" fillId="0" borderId="27" xfId="0" applyFont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 wrapText="1"/>
    </xf>
    <xf numFmtId="0" fontId="4" fillId="0" borderId="8" xfId="0" applyFont="1" applyBorder="1" applyAlignment="1" applyProtection="1">
      <alignment horizontal="center"/>
      <protection hidden="1"/>
    </xf>
    <xf numFmtId="0" fontId="4" fillId="0" borderId="10" xfId="0" applyFont="1" applyBorder="1" applyAlignment="1" applyProtection="1">
      <alignment horizontal="center"/>
      <protection hidden="1"/>
    </xf>
    <xf numFmtId="0" fontId="4" fillId="0" borderId="9" xfId="0" applyFont="1" applyBorder="1" applyAlignment="1" applyProtection="1">
      <alignment horizontal="center"/>
      <protection hidden="1"/>
    </xf>
    <xf numFmtId="0" fontId="1" fillId="0" borderId="8" xfId="0" applyFont="1" applyBorder="1" applyAlignment="1" applyProtection="1">
      <alignment horizontal="center"/>
      <protection hidden="1"/>
    </xf>
    <xf numFmtId="0" fontId="1" fillId="0" borderId="10" xfId="0" applyFont="1" applyBorder="1" applyAlignment="1" applyProtection="1">
      <alignment horizontal="center"/>
      <protection hidden="1"/>
    </xf>
    <xf numFmtId="0" fontId="1" fillId="0" borderId="9" xfId="0" applyFont="1" applyBorder="1" applyAlignment="1" applyProtection="1">
      <alignment horizontal="center"/>
      <protection hidden="1"/>
    </xf>
    <xf numFmtId="0" fontId="7" fillId="0" borderId="8" xfId="0" applyFont="1" applyBorder="1" applyAlignment="1" applyProtection="1">
      <alignment horizontal="center" vertical="center"/>
      <protection hidden="1"/>
    </xf>
    <xf numFmtId="0" fontId="7" fillId="0" borderId="10" xfId="0" applyFont="1" applyBorder="1" applyAlignment="1" applyProtection="1">
      <alignment horizontal="center" vertical="center"/>
      <protection hidden="1"/>
    </xf>
    <xf numFmtId="0" fontId="7" fillId="0" borderId="9" xfId="0" applyFont="1" applyBorder="1" applyAlignment="1" applyProtection="1">
      <alignment horizontal="center" vertical="center"/>
      <protection hidden="1"/>
    </xf>
    <xf numFmtId="0" fontId="0" fillId="0" borderId="0" xfId="0" applyAlignment="1">
      <alignment horizontal="center"/>
    </xf>
    <xf numFmtId="0" fontId="10" fillId="0" borderId="27" xfId="0" applyFont="1" applyBorder="1" applyAlignment="1" applyProtection="1">
      <alignment horizontal="center" vertical="center" wrapText="1"/>
      <protection hidden="1"/>
    </xf>
    <xf numFmtId="0" fontId="10" fillId="0" borderId="12" xfId="0" applyFont="1" applyBorder="1" applyAlignment="1" applyProtection="1">
      <alignment horizontal="center" vertical="center" wrapText="1"/>
      <protection hidden="1"/>
    </xf>
    <xf numFmtId="0" fontId="10" fillId="0" borderId="11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9" fillId="0" borderId="21" xfId="0" applyFont="1" applyBorder="1" applyAlignment="1" applyProtection="1">
      <alignment horizontal="center" vertical="center"/>
      <protection hidden="1"/>
    </xf>
    <xf numFmtId="0" fontId="9" fillId="0" borderId="2" xfId="0" applyFont="1" applyBorder="1" applyAlignment="1" applyProtection="1">
      <alignment horizontal="center" vertical="center"/>
      <protection hidden="1"/>
    </xf>
    <xf numFmtId="0" fontId="9" fillId="0" borderId="22" xfId="0" applyFont="1" applyBorder="1" applyAlignment="1" applyProtection="1">
      <alignment horizontal="center" vertical="center"/>
      <protection hidden="1"/>
    </xf>
    <xf numFmtId="0" fontId="9" fillId="0" borderId="18" xfId="0" applyFont="1" applyBorder="1" applyAlignment="1" applyProtection="1">
      <alignment horizontal="center" vertical="center"/>
      <protection hidden="1"/>
    </xf>
    <xf numFmtId="0" fontId="9" fillId="0" borderId="19" xfId="0" applyFont="1" applyBorder="1" applyAlignment="1" applyProtection="1">
      <alignment horizontal="center" vertical="center"/>
      <protection hidden="1"/>
    </xf>
    <xf numFmtId="0" fontId="9" fillId="0" borderId="20" xfId="0" applyFont="1" applyBorder="1" applyAlignment="1" applyProtection="1">
      <alignment horizontal="center" vertical="center"/>
      <protection hidden="1"/>
    </xf>
    <xf numFmtId="0" fontId="1" fillId="5" borderId="25" xfId="0" applyFont="1" applyFill="1" applyBorder="1" applyAlignment="1" applyProtection="1">
      <alignment horizontal="center" vertical="center"/>
      <protection hidden="1"/>
    </xf>
    <xf numFmtId="0" fontId="1" fillId="5" borderId="24" xfId="0" applyFont="1" applyFill="1" applyBorder="1" applyAlignment="1" applyProtection="1">
      <alignment horizontal="center" vertical="center"/>
      <protection hidden="1"/>
    </xf>
    <xf numFmtId="0" fontId="1" fillId="5" borderId="26" xfId="0" applyFont="1" applyFill="1" applyBorder="1" applyAlignment="1" applyProtection="1">
      <alignment horizontal="center" vertical="center"/>
      <protection hidden="1"/>
    </xf>
    <xf numFmtId="2" fontId="12" fillId="0" borderId="27" xfId="0" applyNumberFormat="1" applyFont="1" applyBorder="1" applyAlignment="1" applyProtection="1">
      <alignment horizontal="center" vertical="center" wrapText="1"/>
      <protection hidden="1"/>
    </xf>
    <xf numFmtId="2" fontId="12" fillId="0" borderId="12" xfId="0" applyNumberFormat="1" applyFont="1" applyBorder="1" applyAlignment="1" applyProtection="1">
      <alignment horizontal="center" vertical="center" wrapText="1"/>
      <protection hidden="1"/>
    </xf>
    <xf numFmtId="0" fontId="1" fillId="0" borderId="7" xfId="0" applyFont="1" applyBorder="1" applyAlignment="1" applyProtection="1">
      <alignment horizontal="center"/>
      <protection hidden="1"/>
    </xf>
  </cellXfs>
  <cellStyles count="2">
    <cellStyle name="一般" xfId="0" builtinId="0"/>
    <cellStyle name="一般 2" xfId="1" xr:uid="{EAD913AB-B22E-45C0-B24F-41FAA7E034FC}"/>
  </cellStyles>
  <dxfs count="0"/>
  <tableStyles count="0" defaultTableStyle="TableStyleMedium2" defaultPivotStyle="PivotStyleLight16"/>
  <colors>
    <mruColors>
      <color rgb="FFD8E4B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6.tiff"/></Relationships>
</file>

<file path=xl/drawings/_rels/vmlDrawing1.v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13" Type="http://schemas.openxmlformats.org/officeDocument/2006/relationships/image" Target="../media/image13.emf"/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12" Type="http://schemas.openxmlformats.org/officeDocument/2006/relationships/image" Target="../media/image12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11" Type="http://schemas.openxmlformats.org/officeDocument/2006/relationships/image" Target="../media/image11.emf"/><Relationship Id="rId5" Type="http://schemas.openxmlformats.org/officeDocument/2006/relationships/image" Target="../media/image5.emf"/><Relationship Id="rId15" Type="http://schemas.openxmlformats.org/officeDocument/2006/relationships/image" Target="../media/image15.emf"/><Relationship Id="rId10" Type="http://schemas.openxmlformats.org/officeDocument/2006/relationships/image" Target="../media/image10.emf"/><Relationship Id="rId4" Type="http://schemas.openxmlformats.org/officeDocument/2006/relationships/image" Target="../media/image4.emf"/><Relationship Id="rId9" Type="http://schemas.openxmlformats.org/officeDocument/2006/relationships/image" Target="../media/image9.emf"/><Relationship Id="rId14" Type="http://schemas.openxmlformats.org/officeDocument/2006/relationships/image" Target="../media/image1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781229</xdr:colOff>
      <xdr:row>4</xdr:row>
      <xdr:rowOff>29633</xdr:rowOff>
    </xdr:from>
    <xdr:to>
      <xdr:col>7</xdr:col>
      <xdr:colOff>247646</xdr:colOff>
      <xdr:row>23</xdr:row>
      <xdr:rowOff>180312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88146" y="844550"/>
          <a:ext cx="4176000" cy="4284000"/>
        </a:xfrm>
        <a:prstGeom prst="rect">
          <a:avLst/>
        </a:prstGeom>
        <a:noFill/>
        <a:ln>
          <a:noFill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190500</xdr:colOff>
          <xdr:row>4</xdr:row>
          <xdr:rowOff>133350</xdr:rowOff>
        </xdr:from>
        <xdr:to>
          <xdr:col>21</xdr:col>
          <xdr:colOff>104775</xdr:colOff>
          <xdr:row>5</xdr:row>
          <xdr:rowOff>304800</xdr:rowOff>
        </xdr:to>
        <xdr:sp macro="" textlink="">
          <xdr:nvSpPr>
            <xdr:cNvPr id="1027" name="Object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552450</xdr:colOff>
          <xdr:row>6</xdr:row>
          <xdr:rowOff>9525</xdr:rowOff>
        </xdr:from>
        <xdr:to>
          <xdr:col>21</xdr:col>
          <xdr:colOff>1304925</xdr:colOff>
          <xdr:row>7</xdr:row>
          <xdr:rowOff>180975</xdr:rowOff>
        </xdr:to>
        <xdr:sp macro="" textlink="">
          <xdr:nvSpPr>
            <xdr:cNvPr id="1028" name="Object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409575</xdr:colOff>
          <xdr:row>8</xdr:row>
          <xdr:rowOff>38100</xdr:rowOff>
        </xdr:from>
        <xdr:to>
          <xdr:col>21</xdr:col>
          <xdr:colOff>762000</xdr:colOff>
          <xdr:row>10</xdr:row>
          <xdr:rowOff>9525</xdr:rowOff>
        </xdr:to>
        <xdr:sp macro="" textlink="">
          <xdr:nvSpPr>
            <xdr:cNvPr id="1029" name="Object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0</xdr:colOff>
          <xdr:row>10</xdr:row>
          <xdr:rowOff>123825</xdr:rowOff>
        </xdr:from>
        <xdr:to>
          <xdr:col>21</xdr:col>
          <xdr:colOff>1933575</xdr:colOff>
          <xdr:row>12</xdr:row>
          <xdr:rowOff>66675</xdr:rowOff>
        </xdr:to>
        <xdr:sp macro="" textlink="">
          <xdr:nvSpPr>
            <xdr:cNvPr id="1030" name="Object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333375</xdr:colOff>
          <xdr:row>13</xdr:row>
          <xdr:rowOff>57150</xdr:rowOff>
        </xdr:from>
        <xdr:to>
          <xdr:col>21</xdr:col>
          <xdr:colOff>1695450</xdr:colOff>
          <xdr:row>13</xdr:row>
          <xdr:rowOff>381000</xdr:rowOff>
        </xdr:to>
        <xdr:sp macro="" textlink="">
          <xdr:nvSpPr>
            <xdr:cNvPr id="1031" name="Object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447675</xdr:colOff>
          <xdr:row>14</xdr:row>
          <xdr:rowOff>57150</xdr:rowOff>
        </xdr:from>
        <xdr:to>
          <xdr:col>21</xdr:col>
          <xdr:colOff>1543050</xdr:colOff>
          <xdr:row>15</xdr:row>
          <xdr:rowOff>152400</xdr:rowOff>
        </xdr:to>
        <xdr:sp macro="" textlink="">
          <xdr:nvSpPr>
            <xdr:cNvPr id="1032" name="Object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542925</xdr:colOff>
          <xdr:row>16</xdr:row>
          <xdr:rowOff>161925</xdr:rowOff>
        </xdr:from>
        <xdr:to>
          <xdr:col>21</xdr:col>
          <xdr:colOff>1476375</xdr:colOff>
          <xdr:row>18</xdr:row>
          <xdr:rowOff>104775</xdr:rowOff>
        </xdr:to>
        <xdr:sp macro="" textlink="">
          <xdr:nvSpPr>
            <xdr:cNvPr id="1033" name="Object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0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695325</xdr:colOff>
          <xdr:row>19</xdr:row>
          <xdr:rowOff>9525</xdr:rowOff>
        </xdr:from>
        <xdr:to>
          <xdr:col>21</xdr:col>
          <xdr:colOff>485775</xdr:colOff>
          <xdr:row>21</xdr:row>
          <xdr:rowOff>180975</xdr:rowOff>
        </xdr:to>
        <xdr:sp macro="" textlink="">
          <xdr:nvSpPr>
            <xdr:cNvPr id="1034" name="Object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752475</xdr:colOff>
          <xdr:row>22</xdr:row>
          <xdr:rowOff>9525</xdr:rowOff>
        </xdr:from>
        <xdr:to>
          <xdr:col>21</xdr:col>
          <xdr:colOff>542925</xdr:colOff>
          <xdr:row>24</xdr:row>
          <xdr:rowOff>190500</xdr:rowOff>
        </xdr:to>
        <xdr:sp macro="" textlink="">
          <xdr:nvSpPr>
            <xdr:cNvPr id="1035" name="Object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0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400050</xdr:colOff>
          <xdr:row>25</xdr:row>
          <xdr:rowOff>47625</xdr:rowOff>
        </xdr:from>
        <xdr:to>
          <xdr:col>20</xdr:col>
          <xdr:colOff>742950</xdr:colOff>
          <xdr:row>26</xdr:row>
          <xdr:rowOff>152400</xdr:rowOff>
        </xdr:to>
        <xdr:sp macro="" textlink="">
          <xdr:nvSpPr>
            <xdr:cNvPr id="1037" name="Object 13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00000000-0008-0000-0000-00000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323850</xdr:colOff>
          <xdr:row>27</xdr:row>
          <xdr:rowOff>114300</xdr:rowOff>
        </xdr:from>
        <xdr:to>
          <xdr:col>21</xdr:col>
          <xdr:colOff>1962150</xdr:colOff>
          <xdr:row>30</xdr:row>
          <xdr:rowOff>123825</xdr:rowOff>
        </xdr:to>
        <xdr:sp macro="" textlink="">
          <xdr:nvSpPr>
            <xdr:cNvPr id="1038" name="Object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00000000-0008-0000-0000-00000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180975</xdr:colOff>
          <xdr:row>31</xdr:row>
          <xdr:rowOff>123825</xdr:rowOff>
        </xdr:from>
        <xdr:to>
          <xdr:col>21</xdr:col>
          <xdr:colOff>1762125</xdr:colOff>
          <xdr:row>34</xdr:row>
          <xdr:rowOff>171450</xdr:rowOff>
        </xdr:to>
        <xdr:sp macro="" textlink="">
          <xdr:nvSpPr>
            <xdr:cNvPr id="1039" name="Object 15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00000000-0008-0000-0000-00000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666750</xdr:colOff>
          <xdr:row>35</xdr:row>
          <xdr:rowOff>76200</xdr:rowOff>
        </xdr:from>
        <xdr:to>
          <xdr:col>21</xdr:col>
          <xdr:colOff>685800</xdr:colOff>
          <xdr:row>38</xdr:row>
          <xdr:rowOff>133350</xdr:rowOff>
        </xdr:to>
        <xdr:sp macro="" textlink="">
          <xdr:nvSpPr>
            <xdr:cNvPr id="1040" name="Object 16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00000000-0008-0000-0000-00001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676275</xdr:colOff>
          <xdr:row>42</xdr:row>
          <xdr:rowOff>76200</xdr:rowOff>
        </xdr:from>
        <xdr:to>
          <xdr:col>21</xdr:col>
          <xdr:colOff>704850</xdr:colOff>
          <xdr:row>45</xdr:row>
          <xdr:rowOff>133350</xdr:rowOff>
        </xdr:to>
        <xdr:sp macro="" textlink="">
          <xdr:nvSpPr>
            <xdr:cNvPr id="1042" name="Object 18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00000000-0008-0000-0000-00001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457200</xdr:colOff>
          <xdr:row>39</xdr:row>
          <xdr:rowOff>133350</xdr:rowOff>
        </xdr:from>
        <xdr:to>
          <xdr:col>21</xdr:col>
          <xdr:colOff>209550</xdr:colOff>
          <xdr:row>41</xdr:row>
          <xdr:rowOff>57150</xdr:rowOff>
        </xdr:to>
        <xdr:sp macro="" textlink="">
          <xdr:nvSpPr>
            <xdr:cNvPr id="1043" name="Object 19" hidden="1">
              <a:extLst>
                <a:ext uri="{63B3BB69-23CF-44E3-9099-C40C66FF867C}">
                  <a14:compatExt spid="_x0000_s1043"/>
                </a:ext>
                <a:ext uri="{FF2B5EF4-FFF2-40B4-BE49-F238E27FC236}">
                  <a16:creationId xmlns:a16="http://schemas.microsoft.com/office/drawing/2014/main" id="{00000000-0008-0000-0000-00001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5.emf"/><Relationship Id="rId18" Type="http://schemas.openxmlformats.org/officeDocument/2006/relationships/oleObject" Target="../embeddings/oleObject8.bin"/><Relationship Id="rId26" Type="http://schemas.openxmlformats.org/officeDocument/2006/relationships/oleObject" Target="../embeddings/oleObject12.bin"/><Relationship Id="rId3" Type="http://schemas.openxmlformats.org/officeDocument/2006/relationships/vmlDrawing" Target="../drawings/vmlDrawing1.vml"/><Relationship Id="rId21" Type="http://schemas.openxmlformats.org/officeDocument/2006/relationships/image" Target="../media/image9.emf"/><Relationship Id="rId7" Type="http://schemas.openxmlformats.org/officeDocument/2006/relationships/image" Target="../media/image2.emf"/><Relationship Id="rId12" Type="http://schemas.openxmlformats.org/officeDocument/2006/relationships/oleObject" Target="../embeddings/oleObject5.bin"/><Relationship Id="rId17" Type="http://schemas.openxmlformats.org/officeDocument/2006/relationships/image" Target="../media/image7.emf"/><Relationship Id="rId25" Type="http://schemas.openxmlformats.org/officeDocument/2006/relationships/image" Target="../media/image11.emf"/><Relationship Id="rId33" Type="http://schemas.openxmlformats.org/officeDocument/2006/relationships/image" Target="../media/image15.emf"/><Relationship Id="rId2" Type="http://schemas.openxmlformats.org/officeDocument/2006/relationships/drawing" Target="../drawings/drawing1.xml"/><Relationship Id="rId16" Type="http://schemas.openxmlformats.org/officeDocument/2006/relationships/oleObject" Target="../embeddings/oleObject7.bin"/><Relationship Id="rId20" Type="http://schemas.openxmlformats.org/officeDocument/2006/relationships/oleObject" Target="../embeddings/oleObject9.bin"/><Relationship Id="rId29" Type="http://schemas.openxmlformats.org/officeDocument/2006/relationships/image" Target="../media/image13.emf"/><Relationship Id="rId1" Type="http://schemas.openxmlformats.org/officeDocument/2006/relationships/printerSettings" Target="../printerSettings/printerSettings1.bin"/><Relationship Id="rId6" Type="http://schemas.openxmlformats.org/officeDocument/2006/relationships/oleObject" Target="../embeddings/oleObject2.bin"/><Relationship Id="rId11" Type="http://schemas.openxmlformats.org/officeDocument/2006/relationships/image" Target="../media/image4.emf"/><Relationship Id="rId24" Type="http://schemas.openxmlformats.org/officeDocument/2006/relationships/oleObject" Target="../embeddings/oleObject11.bin"/><Relationship Id="rId32" Type="http://schemas.openxmlformats.org/officeDocument/2006/relationships/oleObject" Target="../embeddings/oleObject15.bin"/><Relationship Id="rId5" Type="http://schemas.openxmlformats.org/officeDocument/2006/relationships/image" Target="../media/image1.emf"/><Relationship Id="rId15" Type="http://schemas.openxmlformats.org/officeDocument/2006/relationships/image" Target="../media/image6.emf"/><Relationship Id="rId23" Type="http://schemas.openxmlformats.org/officeDocument/2006/relationships/image" Target="../media/image10.emf"/><Relationship Id="rId28" Type="http://schemas.openxmlformats.org/officeDocument/2006/relationships/oleObject" Target="../embeddings/oleObject13.bin"/><Relationship Id="rId10" Type="http://schemas.openxmlformats.org/officeDocument/2006/relationships/oleObject" Target="../embeddings/oleObject4.bin"/><Relationship Id="rId19" Type="http://schemas.openxmlformats.org/officeDocument/2006/relationships/image" Target="../media/image8.emf"/><Relationship Id="rId31" Type="http://schemas.openxmlformats.org/officeDocument/2006/relationships/image" Target="../media/image14.emf"/><Relationship Id="rId4" Type="http://schemas.openxmlformats.org/officeDocument/2006/relationships/oleObject" Target="../embeddings/oleObject1.bin"/><Relationship Id="rId9" Type="http://schemas.openxmlformats.org/officeDocument/2006/relationships/image" Target="../media/image3.emf"/><Relationship Id="rId14" Type="http://schemas.openxmlformats.org/officeDocument/2006/relationships/oleObject" Target="../embeddings/oleObject6.bin"/><Relationship Id="rId22" Type="http://schemas.openxmlformats.org/officeDocument/2006/relationships/oleObject" Target="../embeddings/oleObject10.bin"/><Relationship Id="rId27" Type="http://schemas.openxmlformats.org/officeDocument/2006/relationships/image" Target="../media/image12.emf"/><Relationship Id="rId30" Type="http://schemas.openxmlformats.org/officeDocument/2006/relationships/oleObject" Target="../embeddings/oleObject14.bin"/><Relationship Id="rId8" Type="http://schemas.openxmlformats.org/officeDocument/2006/relationships/oleObject" Target="../embeddings/oleObject3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297"/>
  <sheetViews>
    <sheetView topLeftCell="G1" zoomScale="90" zoomScaleNormal="90" workbookViewId="0">
      <selection activeCell="N25" sqref="N25"/>
    </sheetView>
  </sheetViews>
  <sheetFormatPr defaultColWidth="10.85546875" defaultRowHeight="15" x14ac:dyDescent="0.45"/>
  <cols>
    <col min="1" max="1" width="4.5703125" customWidth="1"/>
    <col min="2" max="2" width="13.42578125" customWidth="1"/>
    <col min="9" max="9" width="4.7109375" customWidth="1"/>
    <col min="11" max="11" width="21.5703125" bestFit="1" customWidth="1"/>
    <col min="12" max="12" width="17.42578125" customWidth="1"/>
    <col min="13" max="13" width="16.140625" customWidth="1"/>
    <col min="14" max="14" width="16.5703125" customWidth="1"/>
    <col min="16" max="16" width="4.85546875" customWidth="1"/>
    <col min="22" max="22" width="29.5703125" customWidth="1"/>
  </cols>
  <sheetData>
    <row r="1" spans="1:32" ht="15.4" thickBot="1" x14ac:dyDescent="0.5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</row>
    <row r="2" spans="1:32" ht="17.649999999999999" x14ac:dyDescent="0.5">
      <c r="A2" s="7"/>
      <c r="B2" s="112" t="s">
        <v>57</v>
      </c>
      <c r="C2" s="113"/>
      <c r="D2" s="113"/>
      <c r="E2" s="113"/>
      <c r="F2" s="113"/>
      <c r="G2" s="113"/>
      <c r="H2" s="114"/>
      <c r="I2" s="7"/>
      <c r="J2" s="103" t="s">
        <v>56</v>
      </c>
      <c r="K2" s="104"/>
      <c r="L2" s="104"/>
      <c r="M2" s="104"/>
      <c r="N2" s="104"/>
      <c r="O2" s="105"/>
      <c r="P2" s="7"/>
      <c r="Q2" s="103" t="s">
        <v>58</v>
      </c>
      <c r="R2" s="104"/>
      <c r="S2" s="104"/>
      <c r="T2" s="104"/>
      <c r="U2" s="104"/>
      <c r="V2" s="105"/>
      <c r="W2" s="7"/>
      <c r="X2" s="7"/>
      <c r="Y2" s="7"/>
      <c r="Z2" s="7"/>
      <c r="AA2" s="7"/>
      <c r="AB2" s="7"/>
      <c r="AC2" s="7"/>
      <c r="AD2" s="7"/>
      <c r="AE2" s="7"/>
      <c r="AF2" s="7"/>
    </row>
    <row r="3" spans="1:32" x14ac:dyDescent="0.45">
      <c r="A3" s="7"/>
      <c r="B3" s="24" t="s">
        <v>0</v>
      </c>
      <c r="C3" s="25" t="s">
        <v>1</v>
      </c>
      <c r="D3" s="25"/>
      <c r="E3" s="25"/>
      <c r="F3" s="25"/>
      <c r="G3" s="25"/>
      <c r="H3" s="26"/>
      <c r="I3" s="7"/>
      <c r="J3" s="106"/>
      <c r="K3" s="107"/>
      <c r="L3" s="107"/>
      <c r="M3" s="107"/>
      <c r="N3" s="107"/>
      <c r="O3" s="108"/>
      <c r="P3" s="7"/>
      <c r="Q3" s="106"/>
      <c r="R3" s="107"/>
      <c r="S3" s="107"/>
      <c r="T3" s="107"/>
      <c r="U3" s="107"/>
      <c r="V3" s="108"/>
      <c r="W3" s="7"/>
      <c r="X3" s="7"/>
      <c r="Y3" s="7"/>
      <c r="Z3" s="7"/>
      <c r="AA3" s="7"/>
      <c r="AB3" s="7"/>
      <c r="AC3" s="7"/>
      <c r="AD3" s="7"/>
      <c r="AE3" s="7"/>
      <c r="AF3" s="7"/>
    </row>
    <row r="4" spans="1:32" ht="15" customHeight="1" thickBot="1" x14ac:dyDescent="0.5">
      <c r="A4" s="7"/>
      <c r="B4" s="27"/>
      <c r="C4" s="28" t="s">
        <v>2</v>
      </c>
      <c r="D4" s="29"/>
      <c r="E4" s="29"/>
      <c r="F4" s="29"/>
      <c r="G4" s="28"/>
      <c r="H4" s="30"/>
      <c r="I4" s="7"/>
      <c r="J4" s="109"/>
      <c r="K4" s="110"/>
      <c r="L4" s="110"/>
      <c r="M4" s="110"/>
      <c r="N4" s="110"/>
      <c r="O4" s="111"/>
      <c r="P4" s="7"/>
      <c r="Q4" s="109"/>
      <c r="R4" s="110"/>
      <c r="S4" s="110"/>
      <c r="T4" s="110"/>
      <c r="U4" s="110"/>
      <c r="V4" s="111"/>
      <c r="W4" s="7"/>
      <c r="X4" s="7"/>
      <c r="Y4" s="7"/>
      <c r="Z4" s="7"/>
      <c r="AA4" s="7"/>
      <c r="AB4" s="7"/>
      <c r="AC4" s="7"/>
      <c r="AD4" s="7"/>
      <c r="AE4" s="7"/>
      <c r="AF4" s="7"/>
    </row>
    <row r="5" spans="1:32" ht="15" customHeight="1" x14ac:dyDescent="0.45">
      <c r="A5" s="7"/>
      <c r="B5" s="19"/>
      <c r="C5" s="1"/>
      <c r="D5" s="20"/>
      <c r="E5" s="20"/>
      <c r="F5" s="20"/>
      <c r="G5" s="1"/>
      <c r="H5" s="2"/>
      <c r="I5" s="7"/>
      <c r="J5" s="16"/>
      <c r="K5" s="17"/>
      <c r="L5" s="17"/>
      <c r="M5" s="17"/>
      <c r="N5" s="17"/>
      <c r="O5" s="18"/>
      <c r="P5" s="7"/>
      <c r="Q5" s="59"/>
      <c r="R5" s="60"/>
      <c r="S5" s="60"/>
      <c r="T5" s="60"/>
      <c r="U5" s="60"/>
      <c r="V5" s="61"/>
      <c r="W5" s="7"/>
      <c r="X5" s="7"/>
      <c r="Y5" s="7"/>
      <c r="Z5" s="7"/>
      <c r="AA5" s="7"/>
      <c r="AB5" s="7"/>
      <c r="AC5" s="7"/>
      <c r="AD5" s="7"/>
      <c r="AE5" s="7"/>
      <c r="AF5" s="7"/>
    </row>
    <row r="6" spans="1:32" ht="31.5" customHeight="1" thickBot="1" x14ac:dyDescent="0.5">
      <c r="A6" s="7"/>
      <c r="B6" s="21"/>
      <c r="C6" s="22"/>
      <c r="D6" s="22"/>
      <c r="E6" s="22"/>
      <c r="F6" s="22"/>
      <c r="G6" s="7"/>
      <c r="H6" s="14"/>
      <c r="I6" s="7"/>
      <c r="J6" s="11"/>
      <c r="K6" s="34" t="s">
        <v>21</v>
      </c>
      <c r="L6" s="35" t="s">
        <v>22</v>
      </c>
      <c r="M6" s="35" t="s">
        <v>25</v>
      </c>
      <c r="N6" s="13"/>
      <c r="O6" s="14"/>
      <c r="P6" s="7"/>
      <c r="Q6" s="12"/>
      <c r="R6" s="69"/>
      <c r="S6" s="80"/>
      <c r="T6" s="80"/>
      <c r="U6" s="3"/>
      <c r="V6" s="15"/>
      <c r="W6" s="7"/>
      <c r="X6" s="7"/>
      <c r="Y6" s="7"/>
      <c r="Z6" s="7"/>
      <c r="AA6" s="7"/>
      <c r="AB6" s="7"/>
      <c r="AC6" s="7"/>
      <c r="AD6" s="7"/>
      <c r="AE6" s="7"/>
      <c r="AF6" s="7"/>
    </row>
    <row r="7" spans="1:32" x14ac:dyDescent="0.45">
      <c r="A7" s="7"/>
      <c r="B7" s="11"/>
      <c r="C7" s="7"/>
      <c r="D7" s="7"/>
      <c r="E7" s="7"/>
      <c r="F7" s="7"/>
      <c r="G7" s="7"/>
      <c r="H7" s="14"/>
      <c r="I7" s="7"/>
      <c r="J7" s="11"/>
      <c r="K7" s="82" t="s">
        <v>74</v>
      </c>
      <c r="L7" s="83">
        <v>0</v>
      </c>
      <c r="M7" s="84">
        <v>0</v>
      </c>
      <c r="N7" s="13"/>
      <c r="O7" s="14"/>
      <c r="P7" s="7"/>
      <c r="Q7" s="11"/>
      <c r="R7" s="13"/>
      <c r="S7" s="62"/>
      <c r="T7" s="63"/>
      <c r="U7" s="13"/>
      <c r="V7" s="14"/>
      <c r="W7" s="7"/>
      <c r="X7" s="7"/>
      <c r="Y7" s="7"/>
      <c r="Z7" s="7"/>
      <c r="AA7" s="7"/>
      <c r="AB7" s="7"/>
      <c r="AC7" s="7"/>
      <c r="AD7" s="7"/>
      <c r="AE7" s="7"/>
      <c r="AF7" s="7"/>
    </row>
    <row r="8" spans="1:32" ht="15.4" thickBot="1" x14ac:dyDescent="0.5">
      <c r="A8" s="7"/>
      <c r="B8" s="11"/>
      <c r="C8" s="7"/>
      <c r="D8" s="7"/>
      <c r="E8" s="7"/>
      <c r="F8" s="7"/>
      <c r="G8" s="7"/>
      <c r="H8" s="14"/>
      <c r="I8" s="7"/>
      <c r="J8" s="11"/>
      <c r="K8" s="31" t="s">
        <v>23</v>
      </c>
      <c r="L8" s="32">
        <v>0</v>
      </c>
      <c r="M8" s="33">
        <v>0</v>
      </c>
      <c r="N8" s="13"/>
      <c r="O8" s="14"/>
      <c r="P8" s="7"/>
      <c r="Q8" s="12"/>
      <c r="R8" s="3"/>
      <c r="S8" s="78"/>
      <c r="T8" s="79"/>
      <c r="U8" s="3"/>
      <c r="V8" s="15"/>
      <c r="W8" s="7"/>
      <c r="X8" s="7"/>
      <c r="Y8" s="7"/>
      <c r="Z8" s="7"/>
      <c r="AA8" s="7"/>
      <c r="AB8" s="7"/>
      <c r="AC8" s="7"/>
      <c r="AD8" s="7"/>
      <c r="AE8" s="7"/>
      <c r="AF8" s="7"/>
    </row>
    <row r="9" spans="1:32" x14ac:dyDescent="0.45">
      <c r="A9" s="7"/>
      <c r="B9" s="11"/>
      <c r="C9" s="7"/>
      <c r="D9" s="7"/>
      <c r="E9" s="7"/>
      <c r="F9" s="7"/>
      <c r="G9" s="7"/>
      <c r="H9" s="14"/>
      <c r="I9" s="7"/>
      <c r="J9" s="11"/>
      <c r="K9" s="31" t="s">
        <v>63</v>
      </c>
      <c r="L9" s="32">
        <v>0</v>
      </c>
      <c r="M9" s="33">
        <v>0</v>
      </c>
      <c r="N9" s="13"/>
      <c r="O9" s="14"/>
      <c r="P9" s="7"/>
      <c r="Q9" s="65"/>
      <c r="R9" s="1"/>
      <c r="S9" s="76"/>
      <c r="T9" s="77"/>
      <c r="U9" s="1"/>
      <c r="V9" s="67"/>
      <c r="W9" s="7"/>
      <c r="X9" s="7"/>
      <c r="Y9" s="7"/>
      <c r="Z9" s="7"/>
      <c r="AA9" s="7"/>
      <c r="AB9" s="7"/>
      <c r="AC9" s="7"/>
      <c r="AD9" s="7"/>
      <c r="AE9" s="7"/>
      <c r="AF9" s="7"/>
    </row>
    <row r="10" spans="1:32" ht="15.4" thickBot="1" x14ac:dyDescent="0.5">
      <c r="A10" s="7"/>
      <c r="B10" s="11"/>
      <c r="C10" s="7"/>
      <c r="D10" s="7"/>
      <c r="E10" s="7"/>
      <c r="F10" s="7"/>
      <c r="G10" s="7"/>
      <c r="H10" s="14"/>
      <c r="I10" s="7"/>
      <c r="J10" s="11"/>
      <c r="K10" s="82" t="s">
        <v>16</v>
      </c>
      <c r="L10" s="83">
        <v>24</v>
      </c>
      <c r="M10" s="83">
        <v>1.9</v>
      </c>
      <c r="N10" s="13"/>
      <c r="O10" s="14"/>
      <c r="P10" s="7"/>
      <c r="Q10" s="12"/>
      <c r="R10" s="3"/>
      <c r="S10" s="78"/>
      <c r="T10" s="69"/>
      <c r="U10" s="3"/>
      <c r="V10" s="15"/>
      <c r="W10" s="7"/>
      <c r="X10" s="7"/>
      <c r="Y10" s="7"/>
      <c r="Z10" s="7"/>
      <c r="AA10" s="7"/>
      <c r="AB10" s="7"/>
      <c r="AC10" s="7"/>
      <c r="AD10" s="7"/>
      <c r="AE10" s="7"/>
      <c r="AF10" s="7"/>
    </row>
    <row r="11" spans="1:32" x14ac:dyDescent="0.45">
      <c r="A11" s="7"/>
      <c r="B11" s="11"/>
      <c r="C11" s="7"/>
      <c r="D11" s="7"/>
      <c r="E11" s="7"/>
      <c r="F11" s="7"/>
      <c r="G11" s="7"/>
      <c r="H11" s="14"/>
      <c r="I11" s="7"/>
      <c r="J11" s="11"/>
      <c r="K11" s="31" t="s">
        <v>75</v>
      </c>
      <c r="L11" s="32">
        <v>46.77</v>
      </c>
      <c r="M11" s="32">
        <v>1.6</v>
      </c>
      <c r="N11" s="13"/>
      <c r="O11" s="14"/>
      <c r="P11" s="7"/>
      <c r="Q11" s="65"/>
      <c r="R11" s="1"/>
      <c r="S11" s="76"/>
      <c r="T11" s="76"/>
      <c r="U11" s="1"/>
      <c r="V11" s="67"/>
      <c r="W11" s="7"/>
      <c r="X11" s="7"/>
      <c r="Y11" s="7"/>
      <c r="Z11" s="7"/>
      <c r="AA11" s="7"/>
      <c r="AB11" s="7"/>
      <c r="AC11" s="7"/>
      <c r="AD11" s="7"/>
      <c r="AE11" s="7"/>
      <c r="AF11" s="7"/>
    </row>
    <row r="12" spans="1:32" x14ac:dyDescent="0.45">
      <c r="A12" s="7"/>
      <c r="B12" s="11"/>
      <c r="C12" s="7"/>
      <c r="D12" s="7"/>
      <c r="E12" s="7"/>
      <c r="F12" s="7"/>
      <c r="G12" s="7"/>
      <c r="H12" s="14"/>
      <c r="I12" s="7"/>
      <c r="J12" s="11"/>
      <c r="K12" s="31" t="s">
        <v>24</v>
      </c>
      <c r="L12" s="32">
        <v>37.69</v>
      </c>
      <c r="M12" s="32">
        <v>1.46</v>
      </c>
      <c r="N12" s="13"/>
      <c r="O12" s="14"/>
      <c r="P12" s="7"/>
      <c r="Q12" s="11"/>
      <c r="R12" s="13"/>
      <c r="S12" s="62"/>
      <c r="T12" s="62"/>
      <c r="U12" s="13"/>
      <c r="V12" s="14"/>
      <c r="W12" s="7"/>
      <c r="X12" s="7"/>
      <c r="Y12" s="7"/>
      <c r="Z12" s="7"/>
      <c r="AA12" s="7"/>
      <c r="AB12" s="7"/>
      <c r="AC12" s="7"/>
      <c r="AD12" s="7"/>
      <c r="AE12" s="7"/>
      <c r="AF12" s="7"/>
    </row>
    <row r="13" spans="1:32" ht="15.4" thickBot="1" x14ac:dyDescent="0.5">
      <c r="A13" s="7"/>
      <c r="B13" s="11"/>
      <c r="C13" s="7"/>
      <c r="D13" s="7"/>
      <c r="E13" s="7"/>
      <c r="F13" s="7"/>
      <c r="G13" s="7"/>
      <c r="H13" s="14"/>
      <c r="I13" s="7"/>
      <c r="J13" s="11"/>
      <c r="K13" s="13"/>
      <c r="L13" s="13"/>
      <c r="M13" s="13"/>
      <c r="N13" s="13"/>
      <c r="O13" s="14"/>
      <c r="P13" s="7"/>
      <c r="Q13" s="12"/>
      <c r="R13" s="3"/>
      <c r="S13" s="3"/>
      <c r="T13" s="3"/>
      <c r="U13" s="3"/>
      <c r="V13" s="15"/>
      <c r="W13" s="7"/>
      <c r="X13" s="7"/>
      <c r="Y13" s="7"/>
      <c r="Z13" s="7"/>
      <c r="AA13" s="7"/>
      <c r="AB13" s="7"/>
      <c r="AC13" s="7"/>
      <c r="AD13" s="7"/>
      <c r="AE13" s="7"/>
      <c r="AF13" s="7"/>
    </row>
    <row r="14" spans="1:32" ht="33" customHeight="1" thickBot="1" x14ac:dyDescent="0.5">
      <c r="A14" s="7"/>
      <c r="B14" s="11"/>
      <c r="C14" s="7"/>
      <c r="D14" s="7"/>
      <c r="E14" s="7"/>
      <c r="F14" s="7"/>
      <c r="G14" s="7"/>
      <c r="H14" s="14"/>
      <c r="I14" s="7"/>
      <c r="J14" s="11"/>
      <c r="K14" s="36" t="s">
        <v>29</v>
      </c>
      <c r="L14" s="35" t="s">
        <v>26</v>
      </c>
      <c r="M14" s="35" t="s">
        <v>27</v>
      </c>
      <c r="N14" s="35" t="s">
        <v>28</v>
      </c>
      <c r="O14" s="14"/>
      <c r="P14" s="7"/>
      <c r="Q14" s="72"/>
      <c r="R14" s="73"/>
      <c r="S14" s="74"/>
      <c r="T14" s="74"/>
      <c r="U14" s="74"/>
      <c r="V14" s="75"/>
      <c r="W14" s="7"/>
      <c r="X14" s="7"/>
      <c r="Y14" s="7"/>
      <c r="Z14" s="7"/>
      <c r="AA14" s="7"/>
      <c r="AB14" s="7"/>
      <c r="AC14" s="7"/>
      <c r="AD14" s="7"/>
      <c r="AE14" s="7"/>
      <c r="AF14" s="7"/>
    </row>
    <row r="15" spans="1:32" x14ac:dyDescent="0.45">
      <c r="A15" s="7"/>
      <c r="B15" s="11"/>
      <c r="C15" s="7"/>
      <c r="D15" s="7"/>
      <c r="E15" s="7"/>
      <c r="F15" s="7"/>
      <c r="G15" s="7"/>
      <c r="H15" s="14"/>
      <c r="I15" s="7"/>
      <c r="J15" s="11"/>
      <c r="K15" s="31" t="s">
        <v>76</v>
      </c>
      <c r="L15" s="58">
        <f>M15/0.029*(0.018)</f>
        <v>4.619905956112852E-5</v>
      </c>
      <c r="M15" s="58">
        <v>7.4431818181818174E-5</v>
      </c>
      <c r="N15" s="58">
        <f>M15/0.029*(0.953)</f>
        <v>2.4459835423197487E-3</v>
      </c>
      <c r="O15" s="100">
        <f>SUM(L15:N15)</f>
        <v>2.5666144200626952E-3</v>
      </c>
      <c r="P15" s="9"/>
      <c r="Q15" s="65"/>
      <c r="R15" s="1"/>
      <c r="S15" s="70"/>
      <c r="T15" s="70"/>
      <c r="U15" s="70"/>
      <c r="V15" s="67"/>
      <c r="W15" s="7"/>
      <c r="X15" s="7"/>
      <c r="Y15" s="7"/>
      <c r="Z15" s="7"/>
      <c r="AA15" s="7"/>
      <c r="AB15" s="7"/>
      <c r="AC15" s="7"/>
      <c r="AD15" s="7"/>
      <c r="AE15" s="7"/>
      <c r="AF15" s="7"/>
    </row>
    <row r="16" spans="1:32" ht="15.4" thickBot="1" x14ac:dyDescent="0.5">
      <c r="A16" s="7"/>
      <c r="B16" s="11"/>
      <c r="C16" s="7"/>
      <c r="D16" s="7"/>
      <c r="E16" s="7"/>
      <c r="F16" s="7"/>
      <c r="G16" s="7"/>
      <c r="H16" s="14"/>
      <c r="I16" s="7"/>
      <c r="J16" s="11"/>
      <c r="K16" s="31" t="s">
        <v>30</v>
      </c>
      <c r="L16" s="58">
        <v>2.5484800000000001E-3</v>
      </c>
      <c r="M16" s="58">
        <v>2.2915000000000001E-4</v>
      </c>
      <c r="N16" s="58">
        <v>9.6669999999999994E-5</v>
      </c>
      <c r="O16" s="100"/>
      <c r="P16" s="9"/>
      <c r="Q16" s="12"/>
      <c r="R16" s="3"/>
      <c r="S16" s="71"/>
      <c r="T16" s="71"/>
      <c r="U16" s="71"/>
      <c r="V16" s="15"/>
      <c r="W16" s="7"/>
      <c r="X16" s="7"/>
      <c r="Y16" s="7"/>
      <c r="Z16" s="7"/>
      <c r="AA16" s="7"/>
      <c r="AB16" s="7"/>
      <c r="AC16" s="7"/>
      <c r="AD16" s="7"/>
      <c r="AE16" s="7"/>
      <c r="AF16" s="7"/>
    </row>
    <row r="17" spans="1:32" x14ac:dyDescent="0.45">
      <c r="A17" s="7"/>
      <c r="B17" s="11"/>
      <c r="C17" s="7"/>
      <c r="D17" s="7"/>
      <c r="E17" s="7"/>
      <c r="F17" s="7"/>
      <c r="G17" s="7"/>
      <c r="H17" s="14"/>
      <c r="I17" s="7"/>
      <c r="J17" s="101" t="s">
        <v>80</v>
      </c>
      <c r="K17" s="31" t="s">
        <v>80</v>
      </c>
      <c r="L17" s="81">
        <v>2.6205E-3</v>
      </c>
      <c r="M17" s="81">
        <v>2.8380000000000001E-4</v>
      </c>
      <c r="N17" s="81">
        <v>9.5699999999999995E-5</v>
      </c>
      <c r="O17" s="100"/>
      <c r="P17" s="9"/>
      <c r="Q17" s="65"/>
      <c r="R17" s="1"/>
      <c r="S17" s="70"/>
      <c r="T17" s="70"/>
      <c r="U17" s="70"/>
      <c r="V17" s="67"/>
      <c r="W17" s="7"/>
      <c r="X17" s="7"/>
      <c r="Y17" s="7"/>
      <c r="Z17" s="7"/>
      <c r="AA17" s="7"/>
      <c r="AB17" s="7"/>
      <c r="AC17" s="7"/>
      <c r="AD17" s="7"/>
      <c r="AE17" s="7"/>
      <c r="AF17" s="7"/>
    </row>
    <row r="18" spans="1:32" x14ac:dyDescent="0.45">
      <c r="A18" s="7"/>
      <c r="B18" s="11"/>
      <c r="C18" s="7"/>
      <c r="D18" s="7"/>
      <c r="E18" s="7"/>
      <c r="F18" s="7"/>
      <c r="G18" s="7"/>
      <c r="H18" s="14"/>
      <c r="I18" s="7"/>
      <c r="J18" s="11"/>
      <c r="K18" s="31" t="s">
        <v>31</v>
      </c>
      <c r="L18" s="58">
        <v>2.2457100000000002E-3</v>
      </c>
      <c r="M18" s="58">
        <v>3.0027E-4</v>
      </c>
      <c r="N18" s="58">
        <v>6.6229999999999994E-5</v>
      </c>
      <c r="O18" s="100"/>
      <c r="P18" s="9"/>
      <c r="Q18" s="11"/>
      <c r="R18" s="13"/>
      <c r="S18" s="64"/>
      <c r="T18" s="64"/>
      <c r="U18" s="64"/>
      <c r="V18" s="14"/>
      <c r="W18" s="7"/>
      <c r="X18" s="7"/>
      <c r="Y18" s="7"/>
      <c r="Z18" s="7"/>
      <c r="AA18" s="7"/>
      <c r="AB18" s="7"/>
      <c r="AC18" s="7"/>
      <c r="AD18" s="7"/>
      <c r="AE18" s="7"/>
      <c r="AF18" s="7"/>
    </row>
    <row r="19" spans="1:32" ht="15.4" thickBot="1" x14ac:dyDescent="0.5">
      <c r="A19" s="7"/>
      <c r="B19" s="11"/>
      <c r="C19" s="7"/>
      <c r="D19" s="7"/>
      <c r="E19" s="7"/>
      <c r="F19" s="7"/>
      <c r="G19" s="7"/>
      <c r="H19" s="14"/>
      <c r="I19" s="7"/>
      <c r="J19" s="11"/>
      <c r="K19" s="31" t="s">
        <v>32</v>
      </c>
      <c r="L19" s="58">
        <v>3.2730300000000001E-3</v>
      </c>
      <c r="M19" s="58">
        <v>3.9889999999999999E-4</v>
      </c>
      <c r="N19" s="58">
        <v>1.0728E-4</v>
      </c>
      <c r="O19" s="100"/>
      <c r="P19" s="9"/>
      <c r="Q19" s="12"/>
      <c r="R19" s="3"/>
      <c r="S19" s="71"/>
      <c r="T19" s="71"/>
      <c r="U19" s="71"/>
      <c r="V19" s="15"/>
      <c r="W19" s="7"/>
      <c r="X19" s="7"/>
      <c r="Y19" s="7"/>
      <c r="Z19" s="7"/>
      <c r="AA19" s="7"/>
      <c r="AB19" s="7"/>
      <c r="AC19" s="7"/>
      <c r="AD19" s="7"/>
      <c r="AE19" s="7"/>
      <c r="AF19" s="7"/>
    </row>
    <row r="20" spans="1:32" ht="15.4" thickBot="1" x14ac:dyDescent="0.5">
      <c r="A20" s="7"/>
      <c r="B20" s="11"/>
      <c r="C20" s="7"/>
      <c r="D20" s="7"/>
      <c r="E20" s="7"/>
      <c r="F20" s="7"/>
      <c r="G20" s="7"/>
      <c r="H20" s="14"/>
      <c r="I20" s="7"/>
      <c r="J20" s="12"/>
      <c r="K20" s="3"/>
      <c r="L20" s="3"/>
      <c r="M20" s="3"/>
      <c r="N20" s="3"/>
      <c r="O20" s="15"/>
      <c r="P20" s="7"/>
      <c r="Q20" s="65"/>
      <c r="R20" s="1"/>
      <c r="S20" s="1"/>
      <c r="T20" s="1"/>
      <c r="U20" s="1"/>
      <c r="V20" s="67"/>
      <c r="W20" s="7"/>
      <c r="X20" s="7"/>
      <c r="Y20" s="7"/>
      <c r="Z20" s="7"/>
      <c r="AA20" s="7"/>
      <c r="AB20" s="7"/>
      <c r="AC20" s="7"/>
      <c r="AD20" s="7"/>
      <c r="AE20" s="7"/>
      <c r="AF20" s="7"/>
    </row>
    <row r="21" spans="1:32" x14ac:dyDescent="0.45">
      <c r="A21" s="7"/>
      <c r="B21" s="11"/>
      <c r="C21" s="7"/>
      <c r="D21" s="7"/>
      <c r="E21" s="7"/>
      <c r="F21" s="7"/>
      <c r="G21" s="7"/>
      <c r="H21" s="14"/>
      <c r="I21" s="7"/>
      <c r="J21" s="7"/>
      <c r="K21" s="7"/>
      <c r="L21" s="7"/>
      <c r="M21" s="7"/>
      <c r="N21" s="7"/>
      <c r="O21" s="7"/>
      <c r="P21" s="7"/>
      <c r="Q21" s="11"/>
      <c r="R21" s="7"/>
      <c r="S21" s="7"/>
      <c r="T21" s="7"/>
      <c r="U21" s="7"/>
      <c r="V21" s="14"/>
      <c r="W21" s="7"/>
      <c r="X21" s="7"/>
      <c r="Y21" s="7"/>
      <c r="Z21" s="7"/>
      <c r="AA21" s="7"/>
      <c r="AB21" s="7"/>
      <c r="AC21" s="7"/>
      <c r="AD21" s="7"/>
      <c r="AE21" s="7"/>
      <c r="AF21" s="7"/>
    </row>
    <row r="22" spans="1:32" ht="15.4" thickBot="1" x14ac:dyDescent="0.5">
      <c r="A22" s="7"/>
      <c r="B22" s="11"/>
      <c r="C22" s="7"/>
      <c r="D22" s="7"/>
      <c r="E22" s="7"/>
      <c r="F22" s="7"/>
      <c r="G22" s="7"/>
      <c r="H22" s="14"/>
      <c r="I22" s="7"/>
      <c r="J22" s="7"/>
      <c r="K22" s="7"/>
      <c r="M22" s="7"/>
      <c r="N22" s="7"/>
      <c r="O22" s="7"/>
      <c r="P22" s="7"/>
      <c r="Q22" s="12"/>
      <c r="R22" s="23"/>
      <c r="S22" s="23"/>
      <c r="T22" s="23"/>
      <c r="U22" s="23"/>
      <c r="V22" s="15"/>
      <c r="W22" s="7"/>
      <c r="X22" s="7"/>
      <c r="Y22" s="7"/>
      <c r="Z22" s="7"/>
      <c r="AA22" s="7"/>
      <c r="AB22" s="7"/>
      <c r="AC22" s="7"/>
      <c r="AD22" s="7"/>
      <c r="AE22" s="7"/>
      <c r="AF22" s="7"/>
    </row>
    <row r="23" spans="1:32" x14ac:dyDescent="0.45">
      <c r="A23" s="7"/>
      <c r="B23" s="11"/>
      <c r="C23" s="7"/>
      <c r="D23" s="7"/>
      <c r="E23" s="7"/>
      <c r="F23" s="7"/>
      <c r="G23" s="7"/>
      <c r="H23" s="14"/>
      <c r="I23" s="7"/>
      <c r="J23" s="7"/>
      <c r="K23" s="7"/>
      <c r="L23" s="7"/>
      <c r="N23" s="7"/>
      <c r="O23" s="85"/>
      <c r="P23" s="7"/>
      <c r="Q23" s="65"/>
      <c r="R23" s="66"/>
      <c r="S23" s="66"/>
      <c r="T23" s="66"/>
      <c r="U23" s="66"/>
      <c r="V23" s="67"/>
      <c r="W23" s="7"/>
      <c r="X23" s="7"/>
      <c r="Y23" s="7"/>
      <c r="Z23" s="7"/>
      <c r="AA23" s="7"/>
      <c r="AB23" s="7"/>
      <c r="AC23" s="7"/>
      <c r="AD23" s="7"/>
      <c r="AE23" s="7"/>
      <c r="AF23" s="7"/>
    </row>
    <row r="24" spans="1:32" ht="15.4" thickBot="1" x14ac:dyDescent="0.5">
      <c r="A24" s="7"/>
      <c r="B24" s="12"/>
      <c r="C24" s="23"/>
      <c r="D24" s="23"/>
      <c r="E24" s="23"/>
      <c r="F24" s="23"/>
      <c r="G24" s="23"/>
      <c r="H24" s="15"/>
      <c r="I24" s="7"/>
      <c r="J24" s="7"/>
      <c r="K24" s="7"/>
      <c r="L24" s="7"/>
      <c r="M24" s="7"/>
      <c r="N24" s="7"/>
      <c r="O24" s="86"/>
      <c r="P24" s="7"/>
      <c r="Q24" s="11"/>
      <c r="R24" s="7"/>
      <c r="S24" s="7"/>
      <c r="T24" s="7"/>
      <c r="U24" s="7"/>
      <c r="V24" s="14"/>
      <c r="W24" s="7"/>
      <c r="X24" s="7"/>
      <c r="Y24" s="7"/>
      <c r="Z24" s="7"/>
      <c r="AA24" s="7"/>
      <c r="AB24" s="7"/>
      <c r="AC24" s="7"/>
      <c r="AD24" s="7"/>
      <c r="AE24" s="7"/>
      <c r="AF24" s="7"/>
    </row>
    <row r="25" spans="1:32" ht="15.4" thickBot="1" x14ac:dyDescent="0.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99"/>
      <c r="M25" s="7"/>
      <c r="N25" s="7"/>
      <c r="O25" s="87"/>
      <c r="P25" s="7"/>
      <c r="Q25" s="12"/>
      <c r="R25" s="23"/>
      <c r="S25" s="23"/>
      <c r="T25" s="23"/>
      <c r="U25" s="23"/>
      <c r="V25" s="15"/>
      <c r="W25" s="7"/>
      <c r="X25" s="7"/>
      <c r="Y25" s="7"/>
      <c r="Z25" s="7"/>
      <c r="AA25" s="7"/>
      <c r="AB25" s="7"/>
      <c r="AC25" s="7"/>
      <c r="AD25" s="7"/>
      <c r="AE25" s="7"/>
      <c r="AF25" s="7"/>
    </row>
    <row r="26" spans="1:32" x14ac:dyDescent="0.45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N26" s="7"/>
      <c r="O26" s="7"/>
      <c r="P26" s="7"/>
      <c r="Q26" s="65"/>
      <c r="R26" s="66"/>
      <c r="S26" s="66"/>
      <c r="T26" s="66"/>
      <c r="U26" s="66"/>
      <c r="V26" s="67"/>
      <c r="W26" s="7"/>
      <c r="X26" s="7"/>
      <c r="Y26" s="7"/>
      <c r="Z26" s="7"/>
      <c r="AA26" s="7"/>
      <c r="AB26" s="7"/>
      <c r="AC26" s="7"/>
      <c r="AD26" s="7"/>
      <c r="AE26" s="7"/>
      <c r="AF26" s="7"/>
    </row>
    <row r="27" spans="1:32" ht="15.4" thickBot="1" x14ac:dyDescent="0.5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12"/>
      <c r="R27" s="23"/>
      <c r="S27" s="23"/>
      <c r="T27" s="23"/>
      <c r="U27" s="23"/>
      <c r="V27" s="15"/>
      <c r="W27" s="7"/>
      <c r="X27" s="7"/>
      <c r="Y27" s="7"/>
      <c r="Z27" s="7"/>
      <c r="AA27" s="7"/>
      <c r="AB27" s="7"/>
      <c r="AC27" s="7"/>
      <c r="AD27" s="7"/>
      <c r="AE27" s="7"/>
      <c r="AF27" s="7"/>
    </row>
    <row r="28" spans="1:32" x14ac:dyDescent="0.45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65"/>
      <c r="R28" s="68"/>
      <c r="S28" s="66"/>
      <c r="T28" s="66"/>
      <c r="U28" s="66"/>
      <c r="V28" s="67"/>
      <c r="W28" s="7"/>
      <c r="X28" s="7"/>
      <c r="Y28" s="7"/>
      <c r="Z28" s="7"/>
      <c r="AA28" s="7"/>
      <c r="AB28" s="7"/>
      <c r="AC28" s="7"/>
      <c r="AD28" s="7"/>
      <c r="AE28" s="7"/>
      <c r="AF28" s="7"/>
    </row>
    <row r="29" spans="1:32" x14ac:dyDescent="0.45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11"/>
      <c r="R29" s="7"/>
      <c r="T29" s="7"/>
      <c r="U29" s="7"/>
      <c r="V29" s="14"/>
      <c r="W29" s="7"/>
      <c r="X29" s="7"/>
      <c r="Y29" s="7"/>
      <c r="Z29" s="7"/>
      <c r="AA29" s="7"/>
      <c r="AB29" s="7"/>
      <c r="AC29" s="7"/>
      <c r="AD29" s="7"/>
      <c r="AE29" s="7"/>
      <c r="AF29" s="7"/>
    </row>
    <row r="30" spans="1:32" x14ac:dyDescent="0.45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11"/>
      <c r="R30" s="7"/>
      <c r="S30" s="7"/>
      <c r="T30" s="7"/>
      <c r="U30" s="7"/>
      <c r="V30" s="14"/>
      <c r="W30" s="7"/>
      <c r="X30" s="7"/>
      <c r="Y30" s="7"/>
      <c r="Z30" s="7"/>
      <c r="AA30" s="7"/>
      <c r="AB30" s="7"/>
      <c r="AC30" s="7"/>
      <c r="AD30" s="7"/>
      <c r="AE30" s="7"/>
      <c r="AF30" s="7"/>
    </row>
    <row r="31" spans="1:32" ht="15.4" thickBot="1" x14ac:dyDescent="0.5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12"/>
      <c r="R31" s="23"/>
      <c r="S31" s="23"/>
      <c r="T31" s="23"/>
      <c r="U31" s="23"/>
      <c r="V31" s="15"/>
      <c r="W31" s="7"/>
      <c r="X31" s="7"/>
      <c r="Y31" s="7"/>
      <c r="Z31" s="7"/>
      <c r="AA31" s="7"/>
      <c r="AB31" s="7"/>
      <c r="AC31" s="7"/>
      <c r="AD31" s="7"/>
      <c r="AE31" s="7"/>
      <c r="AF31" s="7"/>
    </row>
    <row r="32" spans="1:32" x14ac:dyDescent="0.45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65"/>
      <c r="R32" s="66"/>
      <c r="S32" s="68"/>
      <c r="T32" s="66"/>
      <c r="U32" s="66"/>
      <c r="V32" s="67"/>
      <c r="W32" s="7"/>
      <c r="X32" s="7"/>
      <c r="Y32" s="7"/>
      <c r="Z32" s="7"/>
      <c r="AA32" s="7"/>
      <c r="AB32" s="7"/>
      <c r="AC32" s="7"/>
      <c r="AD32" s="7"/>
      <c r="AE32" s="7"/>
      <c r="AF32" s="7"/>
    </row>
    <row r="33" spans="1:32" x14ac:dyDescent="0.45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Q33" s="11"/>
      <c r="S33" s="7"/>
      <c r="T33" s="7"/>
      <c r="U33" s="7"/>
      <c r="V33" s="14"/>
      <c r="W33" s="7"/>
      <c r="X33" s="7"/>
      <c r="Y33" s="7"/>
      <c r="Z33" s="7"/>
      <c r="AA33" s="7"/>
      <c r="AB33" s="7"/>
      <c r="AC33" s="7"/>
      <c r="AD33" s="7"/>
      <c r="AE33" s="7"/>
      <c r="AF33" s="7"/>
    </row>
    <row r="34" spans="1:32" x14ac:dyDescent="0.45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P34" s="7"/>
      <c r="Q34" s="11"/>
      <c r="R34" s="7"/>
      <c r="S34" s="7"/>
      <c r="U34" s="7"/>
      <c r="V34" s="14"/>
      <c r="W34" s="7"/>
      <c r="X34" s="7"/>
      <c r="Y34" s="7"/>
      <c r="Z34" s="7"/>
      <c r="AA34" s="7"/>
      <c r="AB34" s="7"/>
      <c r="AC34" s="7"/>
      <c r="AD34" s="7"/>
      <c r="AE34" s="7"/>
      <c r="AF34" s="7"/>
    </row>
    <row r="35" spans="1:32" ht="15.4" thickBot="1" x14ac:dyDescent="0.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12"/>
      <c r="R35" s="23"/>
      <c r="S35" s="69"/>
      <c r="T35" s="23"/>
      <c r="U35" s="23"/>
      <c r="V35" s="15"/>
      <c r="W35" s="7"/>
      <c r="X35" s="7"/>
      <c r="Y35" s="7"/>
      <c r="Z35" s="7"/>
      <c r="AA35" s="7"/>
      <c r="AB35" s="7"/>
      <c r="AC35" s="7"/>
      <c r="AD35" s="7"/>
      <c r="AE35" s="7"/>
      <c r="AF35" s="7"/>
    </row>
    <row r="36" spans="1:32" x14ac:dyDescent="0.45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P36" s="7"/>
      <c r="Q36" s="65"/>
      <c r="R36" s="66"/>
      <c r="S36" s="66"/>
      <c r="T36" s="66"/>
      <c r="U36" s="66"/>
      <c r="V36" s="67"/>
      <c r="W36" s="7"/>
      <c r="X36" s="7"/>
      <c r="Y36" s="7"/>
      <c r="Z36" s="7"/>
      <c r="AA36" s="7"/>
      <c r="AB36" s="7"/>
      <c r="AC36" s="7"/>
      <c r="AD36" s="7"/>
      <c r="AE36" s="7"/>
      <c r="AF36" s="7"/>
    </row>
    <row r="37" spans="1:32" x14ac:dyDescent="0.45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11"/>
      <c r="S37" s="7"/>
      <c r="T37" s="7"/>
      <c r="U37" s="7"/>
      <c r="V37" s="14"/>
      <c r="W37" s="7"/>
      <c r="X37" s="7"/>
      <c r="Y37" s="7"/>
      <c r="Z37" s="7"/>
      <c r="AA37" s="7"/>
      <c r="AB37" s="7"/>
      <c r="AC37" s="7"/>
      <c r="AD37" s="7"/>
      <c r="AE37" s="7"/>
      <c r="AF37" s="7"/>
    </row>
    <row r="38" spans="1:32" x14ac:dyDescent="0.45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11"/>
      <c r="R38" s="7"/>
      <c r="S38" s="7"/>
      <c r="T38" s="7"/>
      <c r="U38" s="7"/>
      <c r="V38" s="14"/>
      <c r="W38" s="7"/>
      <c r="X38" s="7"/>
      <c r="Y38" s="7"/>
      <c r="Z38" s="7"/>
      <c r="AA38" s="7"/>
      <c r="AB38" s="7"/>
      <c r="AC38" s="7"/>
      <c r="AD38" s="7"/>
      <c r="AE38" s="7"/>
      <c r="AF38" s="7"/>
    </row>
    <row r="39" spans="1:32" ht="15.4" thickBot="1" x14ac:dyDescent="0.5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12"/>
      <c r="R39" s="23"/>
      <c r="S39" s="23"/>
      <c r="T39" s="23"/>
      <c r="U39" s="23"/>
      <c r="V39" s="15"/>
      <c r="W39" s="7"/>
      <c r="X39" s="7"/>
      <c r="Y39" s="7"/>
      <c r="Z39" s="7"/>
      <c r="AA39" s="7"/>
      <c r="AB39" s="7"/>
      <c r="AC39" s="7"/>
      <c r="AD39" s="7"/>
      <c r="AE39" s="7"/>
      <c r="AF39" s="7"/>
    </row>
    <row r="40" spans="1:32" x14ac:dyDescent="0.45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65"/>
      <c r="R40" s="66"/>
      <c r="S40" s="66"/>
      <c r="T40" s="66"/>
      <c r="U40" s="66"/>
      <c r="V40" s="67"/>
      <c r="W40" s="7"/>
      <c r="X40" s="7"/>
      <c r="Y40" s="7"/>
      <c r="Z40" s="7"/>
      <c r="AA40" s="7"/>
      <c r="AB40" s="7"/>
      <c r="AC40" s="7"/>
      <c r="AD40" s="7"/>
      <c r="AE40" s="7"/>
      <c r="AF40" s="7"/>
    </row>
    <row r="41" spans="1:32" x14ac:dyDescent="0.45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11"/>
      <c r="R41" s="7"/>
      <c r="S41" s="7"/>
      <c r="T41" s="7"/>
      <c r="U41" s="7"/>
      <c r="V41" s="14"/>
      <c r="W41" s="7"/>
      <c r="X41" s="7"/>
      <c r="Y41" s="7"/>
      <c r="Z41" s="7"/>
      <c r="AA41" s="7"/>
      <c r="AB41" s="7"/>
      <c r="AC41" s="7"/>
      <c r="AD41" s="7"/>
      <c r="AE41" s="7"/>
      <c r="AF41" s="7"/>
    </row>
    <row r="42" spans="1:32" ht="15.4" thickBot="1" x14ac:dyDescent="0.5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12"/>
      <c r="R42" s="23"/>
      <c r="S42" s="23"/>
      <c r="T42" s="23"/>
      <c r="U42" s="23"/>
      <c r="V42" s="15"/>
      <c r="W42" s="7"/>
      <c r="X42" s="7"/>
      <c r="Y42" s="7"/>
      <c r="Z42" s="7"/>
      <c r="AA42" s="7"/>
      <c r="AB42" s="7"/>
      <c r="AC42" s="7"/>
      <c r="AD42" s="7"/>
      <c r="AE42" s="7"/>
      <c r="AF42" s="7"/>
    </row>
    <row r="43" spans="1:32" x14ac:dyDescent="0.45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65"/>
      <c r="R43" s="66"/>
      <c r="S43" s="66"/>
      <c r="T43" s="66"/>
      <c r="U43" s="66"/>
      <c r="V43" s="67"/>
      <c r="W43" s="7"/>
      <c r="X43" s="7"/>
      <c r="Y43" s="7"/>
      <c r="Z43" s="7"/>
      <c r="AA43" s="7"/>
      <c r="AB43" s="7"/>
      <c r="AC43" s="7"/>
      <c r="AD43" s="7"/>
      <c r="AE43" s="7"/>
      <c r="AF43" s="7"/>
    </row>
    <row r="44" spans="1:32" x14ac:dyDescent="0.45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11"/>
      <c r="R44" s="7"/>
      <c r="S44" s="7"/>
      <c r="T44" s="7"/>
      <c r="U44" s="7"/>
      <c r="V44" s="14"/>
      <c r="W44" s="7"/>
      <c r="X44" s="7"/>
      <c r="Y44" s="7"/>
      <c r="Z44" s="7"/>
      <c r="AA44" s="7"/>
      <c r="AB44" s="7"/>
      <c r="AC44" s="7"/>
      <c r="AD44" s="7"/>
      <c r="AE44" s="7"/>
      <c r="AF44" s="7"/>
    </row>
    <row r="45" spans="1:32" x14ac:dyDescent="0.4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11"/>
      <c r="R45" s="7"/>
      <c r="S45" s="7"/>
      <c r="T45" s="7"/>
      <c r="U45" s="7"/>
      <c r="V45" s="14"/>
      <c r="W45" s="7"/>
      <c r="X45" s="7"/>
      <c r="Y45" s="7"/>
      <c r="Z45" s="7"/>
      <c r="AA45" s="7"/>
      <c r="AB45" s="7"/>
      <c r="AC45" s="7"/>
      <c r="AD45" s="7"/>
      <c r="AE45" s="7"/>
      <c r="AF45" s="7"/>
    </row>
    <row r="46" spans="1:32" ht="15.4" thickBot="1" x14ac:dyDescent="0.5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12"/>
      <c r="R46" s="23"/>
      <c r="S46" s="23"/>
      <c r="T46" s="23"/>
      <c r="U46" s="23"/>
      <c r="V46" s="15"/>
      <c r="W46" s="7"/>
      <c r="X46" s="7"/>
      <c r="Y46" s="7"/>
      <c r="Z46" s="7"/>
      <c r="AA46" s="7"/>
      <c r="AB46" s="7"/>
      <c r="AC46" s="7"/>
      <c r="AD46" s="7"/>
      <c r="AE46" s="7"/>
      <c r="AF46" s="7"/>
    </row>
    <row r="47" spans="1:32" x14ac:dyDescent="0.45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</row>
    <row r="48" spans="1:32" x14ac:dyDescent="0.45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</row>
    <row r="49" spans="1:32" x14ac:dyDescent="0.45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</row>
    <row r="50" spans="1:32" x14ac:dyDescent="0.45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</row>
    <row r="51" spans="1:32" x14ac:dyDescent="0.45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</row>
    <row r="52" spans="1:32" x14ac:dyDescent="0.45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</row>
    <row r="53" spans="1:32" x14ac:dyDescent="0.45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</row>
    <row r="54" spans="1:32" x14ac:dyDescent="0.45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</row>
    <row r="55" spans="1:32" x14ac:dyDescent="0.4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</row>
    <row r="56" spans="1:32" x14ac:dyDescent="0.45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</row>
    <row r="57" spans="1:32" x14ac:dyDescent="0.45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</row>
    <row r="58" spans="1:32" x14ac:dyDescent="0.45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</row>
    <row r="59" spans="1:32" x14ac:dyDescent="0.45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</row>
    <row r="60" spans="1:32" x14ac:dyDescent="0.45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</row>
    <row r="61" spans="1:32" x14ac:dyDescent="0.45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</row>
    <row r="62" spans="1:32" x14ac:dyDescent="0.45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</row>
    <row r="63" spans="1:32" x14ac:dyDescent="0.45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</row>
    <row r="64" spans="1:32" x14ac:dyDescent="0.45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</row>
    <row r="65" spans="1:32" x14ac:dyDescent="0.4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</row>
    <row r="66" spans="1:32" x14ac:dyDescent="0.45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</row>
    <row r="67" spans="1:32" x14ac:dyDescent="0.45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</row>
    <row r="68" spans="1:32" x14ac:dyDescent="0.45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</row>
    <row r="69" spans="1:32" x14ac:dyDescent="0.45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</row>
    <row r="70" spans="1:32" x14ac:dyDescent="0.45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</row>
    <row r="71" spans="1:32" x14ac:dyDescent="0.45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</row>
    <row r="72" spans="1:32" x14ac:dyDescent="0.45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</row>
    <row r="73" spans="1:32" x14ac:dyDescent="0.45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</row>
    <row r="74" spans="1:32" x14ac:dyDescent="0.45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</row>
    <row r="75" spans="1:32" x14ac:dyDescent="0.4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</row>
    <row r="76" spans="1:32" x14ac:dyDescent="0.45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</row>
    <row r="77" spans="1:32" x14ac:dyDescent="0.45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</row>
    <row r="78" spans="1:32" x14ac:dyDescent="0.45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</row>
    <row r="79" spans="1:32" x14ac:dyDescent="0.45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</row>
    <row r="80" spans="1:32" x14ac:dyDescent="0.45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</row>
    <row r="81" spans="1:32" x14ac:dyDescent="0.45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</row>
    <row r="82" spans="1:32" x14ac:dyDescent="0.45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</row>
    <row r="83" spans="1:32" x14ac:dyDescent="0.45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</row>
    <row r="84" spans="1:32" x14ac:dyDescent="0.45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</row>
    <row r="85" spans="1:32" x14ac:dyDescent="0.4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</row>
    <row r="86" spans="1:32" x14ac:dyDescent="0.45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</row>
    <row r="87" spans="1:32" x14ac:dyDescent="0.45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</row>
    <row r="88" spans="1:32" x14ac:dyDescent="0.45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</row>
    <row r="89" spans="1:32" x14ac:dyDescent="0.45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</row>
    <row r="90" spans="1:32" x14ac:dyDescent="0.45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</row>
    <row r="91" spans="1:32" x14ac:dyDescent="0.45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</row>
    <row r="92" spans="1:32" x14ac:dyDescent="0.45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</row>
    <row r="93" spans="1:32" x14ac:dyDescent="0.45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</row>
    <row r="94" spans="1:32" x14ac:dyDescent="0.45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</row>
    <row r="95" spans="1:32" x14ac:dyDescent="0.4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</row>
    <row r="96" spans="1:32" x14ac:dyDescent="0.45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</row>
    <row r="97" spans="1:32" x14ac:dyDescent="0.45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</row>
    <row r="98" spans="1:32" x14ac:dyDescent="0.45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</row>
    <row r="99" spans="1:32" x14ac:dyDescent="0.45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</row>
    <row r="100" spans="1:32" x14ac:dyDescent="0.45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</row>
    <row r="101" spans="1:32" x14ac:dyDescent="0.45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</row>
    <row r="102" spans="1:32" x14ac:dyDescent="0.45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</row>
    <row r="103" spans="1:32" x14ac:dyDescent="0.45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</row>
    <row r="104" spans="1:32" x14ac:dyDescent="0.45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</row>
    <row r="105" spans="1:32" x14ac:dyDescent="0.4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</row>
    <row r="106" spans="1:32" x14ac:dyDescent="0.45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</row>
    <row r="107" spans="1:32" x14ac:dyDescent="0.45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</row>
    <row r="108" spans="1:32" x14ac:dyDescent="0.45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</row>
    <row r="109" spans="1:32" x14ac:dyDescent="0.45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</row>
    <row r="110" spans="1:32" x14ac:dyDescent="0.45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</row>
    <row r="111" spans="1:32" x14ac:dyDescent="0.45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</row>
    <row r="112" spans="1:32" x14ac:dyDescent="0.45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</row>
    <row r="113" spans="1:32" x14ac:dyDescent="0.45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</row>
    <row r="114" spans="1:32" x14ac:dyDescent="0.45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</row>
    <row r="115" spans="1:32" x14ac:dyDescent="0.4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</row>
    <row r="116" spans="1:32" x14ac:dyDescent="0.45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</row>
    <row r="117" spans="1:32" x14ac:dyDescent="0.45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</row>
    <row r="118" spans="1:32" x14ac:dyDescent="0.45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</row>
    <row r="119" spans="1:32" x14ac:dyDescent="0.45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</row>
    <row r="120" spans="1:32" x14ac:dyDescent="0.45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</row>
    <row r="121" spans="1:32" x14ac:dyDescent="0.45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</row>
    <row r="122" spans="1:32" x14ac:dyDescent="0.45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</row>
    <row r="123" spans="1:32" x14ac:dyDescent="0.45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</row>
    <row r="124" spans="1:32" x14ac:dyDescent="0.45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</row>
    <row r="125" spans="1:32" x14ac:dyDescent="0.4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</row>
    <row r="126" spans="1:32" x14ac:dyDescent="0.45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</row>
    <row r="127" spans="1:32" x14ac:dyDescent="0.45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</row>
    <row r="128" spans="1:32" x14ac:dyDescent="0.45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</row>
    <row r="129" spans="1:32" x14ac:dyDescent="0.45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</row>
    <row r="130" spans="1:32" x14ac:dyDescent="0.45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</row>
    <row r="131" spans="1:32" x14ac:dyDescent="0.45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</row>
    <row r="132" spans="1:32" x14ac:dyDescent="0.45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</row>
    <row r="133" spans="1:32" x14ac:dyDescent="0.45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</row>
    <row r="134" spans="1:32" x14ac:dyDescent="0.45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</row>
    <row r="135" spans="1:32" x14ac:dyDescent="0.4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</row>
    <row r="136" spans="1:32" x14ac:dyDescent="0.45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</row>
    <row r="137" spans="1:32" x14ac:dyDescent="0.45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</row>
    <row r="138" spans="1:32" x14ac:dyDescent="0.45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</row>
    <row r="139" spans="1:32" x14ac:dyDescent="0.45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</row>
    <row r="140" spans="1:32" x14ac:dyDescent="0.45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</row>
    <row r="141" spans="1:32" x14ac:dyDescent="0.45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</row>
    <row r="142" spans="1:32" x14ac:dyDescent="0.45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</row>
    <row r="143" spans="1:32" x14ac:dyDescent="0.45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</row>
    <row r="144" spans="1:32" x14ac:dyDescent="0.45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</row>
    <row r="145" spans="1:32" x14ac:dyDescent="0.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</row>
    <row r="146" spans="1:32" x14ac:dyDescent="0.45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</row>
    <row r="147" spans="1:32" x14ac:dyDescent="0.45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</row>
    <row r="148" spans="1:32" x14ac:dyDescent="0.45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</row>
    <row r="149" spans="1:32" x14ac:dyDescent="0.45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</row>
    <row r="150" spans="1:32" x14ac:dyDescent="0.45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</row>
    <row r="151" spans="1:32" x14ac:dyDescent="0.45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</row>
    <row r="152" spans="1:32" x14ac:dyDescent="0.45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</row>
    <row r="153" spans="1:32" x14ac:dyDescent="0.45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</row>
    <row r="154" spans="1:32" x14ac:dyDescent="0.45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</row>
    <row r="155" spans="1:32" x14ac:dyDescent="0.4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</row>
    <row r="156" spans="1:32" x14ac:dyDescent="0.45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</row>
    <row r="157" spans="1:32" x14ac:dyDescent="0.45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</row>
    <row r="158" spans="1:32" x14ac:dyDescent="0.45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</row>
    <row r="159" spans="1:32" x14ac:dyDescent="0.45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</row>
    <row r="160" spans="1:32" x14ac:dyDescent="0.45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</row>
    <row r="161" spans="1:32" x14ac:dyDescent="0.45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</row>
    <row r="162" spans="1:32" x14ac:dyDescent="0.45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</row>
    <row r="163" spans="1:32" x14ac:dyDescent="0.45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</row>
    <row r="164" spans="1:32" x14ac:dyDescent="0.45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</row>
    <row r="165" spans="1:32" x14ac:dyDescent="0.4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</row>
    <row r="166" spans="1:32" x14ac:dyDescent="0.45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</row>
    <row r="167" spans="1:32" x14ac:dyDescent="0.45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</row>
    <row r="168" spans="1:32" x14ac:dyDescent="0.45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</row>
    <row r="169" spans="1:32" x14ac:dyDescent="0.45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</row>
    <row r="170" spans="1:32" x14ac:dyDescent="0.45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</row>
    <row r="171" spans="1:32" x14ac:dyDescent="0.45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</row>
    <row r="172" spans="1:32" x14ac:dyDescent="0.45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</row>
    <row r="173" spans="1:32" x14ac:dyDescent="0.45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</row>
    <row r="174" spans="1:32" x14ac:dyDescent="0.45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</row>
    <row r="175" spans="1:32" x14ac:dyDescent="0.4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</row>
    <row r="176" spans="1:32" x14ac:dyDescent="0.45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</row>
    <row r="177" spans="1:32" x14ac:dyDescent="0.45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</row>
    <row r="178" spans="1:32" x14ac:dyDescent="0.45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</row>
    <row r="179" spans="1:32" x14ac:dyDescent="0.45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</row>
    <row r="180" spans="1:32" x14ac:dyDescent="0.45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</row>
    <row r="181" spans="1:32" x14ac:dyDescent="0.45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</row>
    <row r="182" spans="1:32" x14ac:dyDescent="0.45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</row>
    <row r="183" spans="1:32" x14ac:dyDescent="0.45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</row>
    <row r="184" spans="1:32" x14ac:dyDescent="0.45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</row>
    <row r="185" spans="1:32" x14ac:dyDescent="0.4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</row>
    <row r="186" spans="1:32" x14ac:dyDescent="0.45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</row>
    <row r="187" spans="1:32" x14ac:dyDescent="0.45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</row>
    <row r="188" spans="1:32" x14ac:dyDescent="0.45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</row>
    <row r="189" spans="1:32" x14ac:dyDescent="0.45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</row>
    <row r="190" spans="1:32" x14ac:dyDescent="0.45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</row>
    <row r="191" spans="1:32" x14ac:dyDescent="0.45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</row>
    <row r="192" spans="1:32" x14ac:dyDescent="0.45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</row>
    <row r="193" spans="1:32" x14ac:dyDescent="0.45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</row>
    <row r="194" spans="1:32" x14ac:dyDescent="0.45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</row>
    <row r="195" spans="1:32" x14ac:dyDescent="0.4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</row>
    <row r="196" spans="1:32" x14ac:dyDescent="0.45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</row>
    <row r="197" spans="1:32" x14ac:dyDescent="0.45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</row>
    <row r="198" spans="1:32" x14ac:dyDescent="0.45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</row>
    <row r="199" spans="1:32" x14ac:dyDescent="0.45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</row>
    <row r="200" spans="1:32" x14ac:dyDescent="0.45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</row>
    <row r="201" spans="1:32" x14ac:dyDescent="0.45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</row>
    <row r="202" spans="1:32" x14ac:dyDescent="0.45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</row>
    <row r="203" spans="1:32" x14ac:dyDescent="0.45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</row>
    <row r="204" spans="1:32" x14ac:dyDescent="0.45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</row>
    <row r="205" spans="1:32" x14ac:dyDescent="0.4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</row>
    <row r="206" spans="1:32" x14ac:dyDescent="0.45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</row>
    <row r="207" spans="1:32" x14ac:dyDescent="0.45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</row>
    <row r="208" spans="1:32" x14ac:dyDescent="0.45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</row>
    <row r="209" spans="1:32" x14ac:dyDescent="0.45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</row>
    <row r="210" spans="1:32" x14ac:dyDescent="0.45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</row>
    <row r="211" spans="1:32" x14ac:dyDescent="0.45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</row>
    <row r="212" spans="1:32" x14ac:dyDescent="0.45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</row>
    <row r="213" spans="1:32" x14ac:dyDescent="0.45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</row>
    <row r="214" spans="1:32" x14ac:dyDescent="0.45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</row>
    <row r="215" spans="1:32" x14ac:dyDescent="0.4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</row>
    <row r="216" spans="1:32" x14ac:dyDescent="0.45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</row>
    <row r="217" spans="1:32" x14ac:dyDescent="0.45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</row>
    <row r="218" spans="1:32" x14ac:dyDescent="0.45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</row>
    <row r="219" spans="1:32" x14ac:dyDescent="0.45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</row>
    <row r="220" spans="1:32" x14ac:dyDescent="0.45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</row>
    <row r="221" spans="1:32" x14ac:dyDescent="0.45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</row>
    <row r="222" spans="1:32" x14ac:dyDescent="0.45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</row>
    <row r="223" spans="1:32" x14ac:dyDescent="0.45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</row>
    <row r="224" spans="1:32" x14ac:dyDescent="0.45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</row>
    <row r="225" spans="1:32" x14ac:dyDescent="0.4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</row>
    <row r="226" spans="1:32" x14ac:dyDescent="0.45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</row>
    <row r="227" spans="1:32" x14ac:dyDescent="0.45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</row>
    <row r="228" spans="1:32" x14ac:dyDescent="0.45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</row>
    <row r="229" spans="1:32" x14ac:dyDescent="0.45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</row>
    <row r="230" spans="1:32" x14ac:dyDescent="0.45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</row>
    <row r="231" spans="1:32" x14ac:dyDescent="0.45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</row>
    <row r="232" spans="1:32" x14ac:dyDescent="0.45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</row>
    <row r="233" spans="1:32" x14ac:dyDescent="0.45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</row>
    <row r="234" spans="1:32" x14ac:dyDescent="0.45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</row>
    <row r="235" spans="1:32" x14ac:dyDescent="0.4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</row>
    <row r="236" spans="1:32" x14ac:dyDescent="0.45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</row>
    <row r="237" spans="1:32" x14ac:dyDescent="0.45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</row>
    <row r="238" spans="1:32" x14ac:dyDescent="0.45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</row>
    <row r="239" spans="1:32" x14ac:dyDescent="0.45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</row>
    <row r="240" spans="1:32" x14ac:dyDescent="0.45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</row>
    <row r="241" spans="1:32" x14ac:dyDescent="0.45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</row>
    <row r="242" spans="1:32" x14ac:dyDescent="0.45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</row>
    <row r="243" spans="1:32" x14ac:dyDescent="0.45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</row>
    <row r="244" spans="1:32" x14ac:dyDescent="0.45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</row>
    <row r="245" spans="1:32" x14ac:dyDescent="0.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</row>
    <row r="246" spans="1:32" x14ac:dyDescent="0.45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</row>
    <row r="247" spans="1:32" x14ac:dyDescent="0.45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</row>
    <row r="248" spans="1:32" x14ac:dyDescent="0.45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</row>
    <row r="249" spans="1:32" x14ac:dyDescent="0.45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</row>
    <row r="250" spans="1:32" x14ac:dyDescent="0.45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</row>
    <row r="251" spans="1:32" x14ac:dyDescent="0.45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</row>
    <row r="252" spans="1:32" x14ac:dyDescent="0.45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</row>
    <row r="253" spans="1:32" x14ac:dyDescent="0.45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</row>
    <row r="254" spans="1:32" x14ac:dyDescent="0.45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</row>
    <row r="255" spans="1:32" x14ac:dyDescent="0.4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</row>
    <row r="256" spans="1:32" x14ac:dyDescent="0.45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</row>
    <row r="257" spans="1:32" x14ac:dyDescent="0.45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</row>
    <row r="258" spans="1:32" x14ac:dyDescent="0.45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</row>
    <row r="259" spans="1:32" x14ac:dyDescent="0.45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</row>
    <row r="260" spans="1:32" x14ac:dyDescent="0.45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</row>
    <row r="261" spans="1:32" x14ac:dyDescent="0.45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</row>
    <row r="262" spans="1:32" x14ac:dyDescent="0.45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</row>
    <row r="263" spans="1:32" x14ac:dyDescent="0.45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</row>
    <row r="264" spans="1:32" x14ac:dyDescent="0.45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</row>
    <row r="265" spans="1:32" x14ac:dyDescent="0.4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</row>
    <row r="266" spans="1:32" x14ac:dyDescent="0.45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</row>
    <row r="267" spans="1:32" x14ac:dyDescent="0.45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</row>
    <row r="268" spans="1:32" x14ac:dyDescent="0.45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</row>
    <row r="269" spans="1:32" x14ac:dyDescent="0.45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</row>
    <row r="270" spans="1:32" x14ac:dyDescent="0.45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</row>
    <row r="271" spans="1:32" x14ac:dyDescent="0.45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</row>
    <row r="272" spans="1:32" x14ac:dyDescent="0.45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</row>
    <row r="273" spans="1:32" x14ac:dyDescent="0.45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</row>
    <row r="274" spans="1:32" x14ac:dyDescent="0.45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</row>
    <row r="275" spans="1:32" x14ac:dyDescent="0.4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</row>
    <row r="276" spans="1:32" x14ac:dyDescent="0.45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</row>
    <row r="277" spans="1:32" x14ac:dyDescent="0.45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</row>
    <row r="278" spans="1:32" x14ac:dyDescent="0.45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</row>
    <row r="279" spans="1:32" x14ac:dyDescent="0.45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</row>
    <row r="280" spans="1:32" x14ac:dyDescent="0.45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</row>
    <row r="281" spans="1:32" x14ac:dyDescent="0.45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</row>
    <row r="282" spans="1:32" x14ac:dyDescent="0.45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</row>
    <row r="283" spans="1:32" x14ac:dyDescent="0.45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</row>
    <row r="284" spans="1:32" x14ac:dyDescent="0.45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</row>
    <row r="285" spans="1:32" x14ac:dyDescent="0.4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</row>
    <row r="286" spans="1:32" x14ac:dyDescent="0.45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</row>
    <row r="287" spans="1:32" x14ac:dyDescent="0.45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</row>
    <row r="288" spans="1:32" x14ac:dyDescent="0.45">
      <c r="A288" s="7"/>
      <c r="B288" s="7"/>
      <c r="C288" s="7"/>
      <c r="D288" s="7"/>
      <c r="E288" s="7"/>
      <c r="F288" s="7"/>
      <c r="G288" s="7"/>
      <c r="H288" s="7"/>
      <c r="I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</row>
    <row r="289" spans="1:32" x14ac:dyDescent="0.45">
      <c r="A289" s="7"/>
      <c r="B289" s="7"/>
      <c r="C289" s="7"/>
      <c r="D289" s="7"/>
      <c r="E289" s="7"/>
      <c r="F289" s="7"/>
      <c r="G289" s="7"/>
      <c r="H289" s="7"/>
      <c r="I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</row>
    <row r="290" spans="1:32" x14ac:dyDescent="0.45">
      <c r="A290" s="7"/>
      <c r="B290" s="7"/>
      <c r="C290" s="7"/>
      <c r="D290" s="7"/>
      <c r="E290" s="7"/>
      <c r="F290" s="7"/>
      <c r="G290" s="7"/>
      <c r="H290" s="7"/>
      <c r="I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</row>
    <row r="291" spans="1:32" x14ac:dyDescent="0.45">
      <c r="A291" s="7"/>
      <c r="B291" s="7"/>
      <c r="C291" s="7"/>
      <c r="D291" s="7"/>
      <c r="E291" s="7"/>
      <c r="F291" s="7"/>
      <c r="G291" s="7"/>
      <c r="H291" s="7"/>
      <c r="I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</row>
    <row r="292" spans="1:32" x14ac:dyDescent="0.45">
      <c r="A292" s="7"/>
      <c r="B292" s="7"/>
      <c r="C292" s="7"/>
      <c r="D292" s="7"/>
      <c r="E292" s="7"/>
      <c r="F292" s="7"/>
      <c r="G292" s="7"/>
      <c r="H292" s="7"/>
      <c r="I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</row>
    <row r="293" spans="1:32" x14ac:dyDescent="0.45">
      <c r="A293" s="7"/>
      <c r="B293" s="7"/>
      <c r="C293" s="7"/>
      <c r="D293" s="7"/>
      <c r="E293" s="7"/>
      <c r="F293" s="7"/>
      <c r="G293" s="7"/>
      <c r="H293" s="7"/>
      <c r="I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</row>
    <row r="294" spans="1:32" x14ac:dyDescent="0.45">
      <c r="A294" s="7"/>
      <c r="B294" s="7"/>
      <c r="C294" s="7"/>
      <c r="D294" s="7"/>
      <c r="E294" s="7"/>
      <c r="F294" s="7"/>
      <c r="G294" s="7"/>
      <c r="H294" s="7"/>
      <c r="I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</row>
    <row r="295" spans="1:32" x14ac:dyDescent="0.45">
      <c r="A295" s="7"/>
      <c r="B295" s="7"/>
      <c r="C295" s="7"/>
      <c r="D295" s="7"/>
      <c r="E295" s="7"/>
      <c r="F295" s="7"/>
      <c r="G295" s="7"/>
      <c r="H295" s="7"/>
      <c r="I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</row>
    <row r="296" spans="1:32" x14ac:dyDescent="0.45">
      <c r="A296" s="7"/>
      <c r="B296" s="7"/>
      <c r="C296" s="7"/>
      <c r="D296" s="7"/>
      <c r="E296" s="7"/>
      <c r="F296" s="7"/>
      <c r="G296" s="7"/>
      <c r="H296" s="7"/>
      <c r="I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</row>
    <row r="297" spans="1:32" x14ac:dyDescent="0.45">
      <c r="A297" s="7"/>
      <c r="B297" s="7"/>
      <c r="C297" s="7"/>
      <c r="D297" s="7"/>
      <c r="E297" s="7"/>
      <c r="F297" s="7"/>
      <c r="G297" s="7"/>
      <c r="H297" s="7"/>
      <c r="I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</row>
  </sheetData>
  <mergeCells count="3">
    <mergeCell ref="J2:O4"/>
    <mergeCell ref="B2:H2"/>
    <mergeCell ref="Q2:V4"/>
  </mergeCells>
  <phoneticPr fontId="17" type="noConversion"/>
  <pageMargins left="0.7" right="0.7" top="0.78740157499999996" bottom="0.78740157499999996" header="0.3" footer="0.3"/>
  <pageSetup paperSize="9" orientation="portrait" r:id="rId1"/>
  <drawing r:id="rId2"/>
  <legacyDrawing r:id="rId3"/>
  <oleObjects>
    <mc:AlternateContent xmlns:mc="http://schemas.openxmlformats.org/markup-compatibility/2006">
      <mc:Choice Requires="x14">
        <oleObject progId="Equation.3" shapeId="1027" r:id="rId4">
          <objectPr defaultSize="0" autoPict="0" r:id="rId5">
            <anchor moveWithCells="1" sizeWithCells="1">
              <from>
                <xdr:col>18</xdr:col>
                <xdr:colOff>190500</xdr:colOff>
                <xdr:row>4</xdr:row>
                <xdr:rowOff>133350</xdr:rowOff>
              </from>
              <to>
                <xdr:col>21</xdr:col>
                <xdr:colOff>104775</xdr:colOff>
                <xdr:row>5</xdr:row>
                <xdr:rowOff>304800</xdr:rowOff>
              </to>
            </anchor>
          </objectPr>
        </oleObject>
      </mc:Choice>
      <mc:Fallback>
        <oleObject progId="Equation.3" shapeId="1027" r:id="rId4"/>
      </mc:Fallback>
    </mc:AlternateContent>
    <mc:AlternateContent xmlns:mc="http://schemas.openxmlformats.org/markup-compatibility/2006">
      <mc:Choice Requires="x14">
        <oleObject progId="Equation.3" shapeId="1028" r:id="rId6">
          <objectPr defaultSize="0" autoPict="0" r:id="rId7">
            <anchor moveWithCells="1" sizeWithCells="1">
              <from>
                <xdr:col>16</xdr:col>
                <xdr:colOff>552450</xdr:colOff>
                <xdr:row>6</xdr:row>
                <xdr:rowOff>9525</xdr:rowOff>
              </from>
              <to>
                <xdr:col>21</xdr:col>
                <xdr:colOff>1304925</xdr:colOff>
                <xdr:row>7</xdr:row>
                <xdr:rowOff>180975</xdr:rowOff>
              </to>
            </anchor>
          </objectPr>
        </oleObject>
      </mc:Choice>
      <mc:Fallback>
        <oleObject progId="Equation.3" shapeId="1028" r:id="rId6"/>
      </mc:Fallback>
    </mc:AlternateContent>
    <mc:AlternateContent xmlns:mc="http://schemas.openxmlformats.org/markup-compatibility/2006">
      <mc:Choice Requires="x14">
        <oleObject progId="Equation.3" shapeId="1029" r:id="rId8">
          <objectPr defaultSize="0" autoPict="0" r:id="rId9">
            <anchor moveWithCells="1" sizeWithCells="1">
              <from>
                <xdr:col>17</xdr:col>
                <xdr:colOff>409575</xdr:colOff>
                <xdr:row>8</xdr:row>
                <xdr:rowOff>38100</xdr:rowOff>
              </from>
              <to>
                <xdr:col>21</xdr:col>
                <xdr:colOff>762000</xdr:colOff>
                <xdr:row>10</xdr:row>
                <xdr:rowOff>9525</xdr:rowOff>
              </to>
            </anchor>
          </objectPr>
        </oleObject>
      </mc:Choice>
      <mc:Fallback>
        <oleObject progId="Equation.3" shapeId="1029" r:id="rId8"/>
      </mc:Fallback>
    </mc:AlternateContent>
    <mc:AlternateContent xmlns:mc="http://schemas.openxmlformats.org/markup-compatibility/2006">
      <mc:Choice Requires="x14">
        <oleObject progId="Equation.3" shapeId="1030" r:id="rId10">
          <objectPr defaultSize="0" autoPict="0" r:id="rId11">
            <anchor moveWithCells="1" sizeWithCells="1">
              <from>
                <xdr:col>16</xdr:col>
                <xdr:colOff>0</xdr:colOff>
                <xdr:row>10</xdr:row>
                <xdr:rowOff>123825</xdr:rowOff>
              </from>
              <to>
                <xdr:col>21</xdr:col>
                <xdr:colOff>1933575</xdr:colOff>
                <xdr:row>12</xdr:row>
                <xdr:rowOff>66675</xdr:rowOff>
              </to>
            </anchor>
          </objectPr>
        </oleObject>
      </mc:Choice>
      <mc:Fallback>
        <oleObject progId="Equation.3" shapeId="1030" r:id="rId10"/>
      </mc:Fallback>
    </mc:AlternateContent>
    <mc:AlternateContent xmlns:mc="http://schemas.openxmlformats.org/markup-compatibility/2006">
      <mc:Choice Requires="x14">
        <oleObject progId="Equation.3" shapeId="1031" r:id="rId12">
          <objectPr defaultSize="0" autoPict="0" r:id="rId13">
            <anchor moveWithCells="1" sizeWithCells="1">
              <from>
                <xdr:col>16</xdr:col>
                <xdr:colOff>333375</xdr:colOff>
                <xdr:row>13</xdr:row>
                <xdr:rowOff>57150</xdr:rowOff>
              </from>
              <to>
                <xdr:col>21</xdr:col>
                <xdr:colOff>1695450</xdr:colOff>
                <xdr:row>13</xdr:row>
                <xdr:rowOff>381000</xdr:rowOff>
              </to>
            </anchor>
          </objectPr>
        </oleObject>
      </mc:Choice>
      <mc:Fallback>
        <oleObject progId="Equation.3" shapeId="1031" r:id="rId12"/>
      </mc:Fallback>
    </mc:AlternateContent>
    <mc:AlternateContent xmlns:mc="http://schemas.openxmlformats.org/markup-compatibility/2006">
      <mc:Choice Requires="x14">
        <oleObject progId="Equation.3" shapeId="1032" r:id="rId14">
          <objectPr defaultSize="0" autoPict="0" r:id="rId15">
            <anchor moveWithCells="1" sizeWithCells="1">
              <from>
                <xdr:col>16</xdr:col>
                <xdr:colOff>447675</xdr:colOff>
                <xdr:row>14</xdr:row>
                <xdr:rowOff>57150</xdr:rowOff>
              </from>
              <to>
                <xdr:col>21</xdr:col>
                <xdr:colOff>1543050</xdr:colOff>
                <xdr:row>15</xdr:row>
                <xdr:rowOff>152400</xdr:rowOff>
              </to>
            </anchor>
          </objectPr>
        </oleObject>
      </mc:Choice>
      <mc:Fallback>
        <oleObject progId="Equation.3" shapeId="1032" r:id="rId14"/>
      </mc:Fallback>
    </mc:AlternateContent>
    <mc:AlternateContent xmlns:mc="http://schemas.openxmlformats.org/markup-compatibility/2006">
      <mc:Choice Requires="x14">
        <oleObject progId="Equation.3" shapeId="1033" r:id="rId16">
          <objectPr defaultSize="0" autoPict="0" r:id="rId17">
            <anchor moveWithCells="1" sizeWithCells="1">
              <from>
                <xdr:col>16</xdr:col>
                <xdr:colOff>542925</xdr:colOff>
                <xdr:row>16</xdr:row>
                <xdr:rowOff>161925</xdr:rowOff>
              </from>
              <to>
                <xdr:col>21</xdr:col>
                <xdr:colOff>1476375</xdr:colOff>
                <xdr:row>18</xdr:row>
                <xdr:rowOff>104775</xdr:rowOff>
              </to>
            </anchor>
          </objectPr>
        </oleObject>
      </mc:Choice>
      <mc:Fallback>
        <oleObject progId="Equation.3" shapeId="1033" r:id="rId16"/>
      </mc:Fallback>
    </mc:AlternateContent>
    <mc:AlternateContent xmlns:mc="http://schemas.openxmlformats.org/markup-compatibility/2006">
      <mc:Choice Requires="x14">
        <oleObject progId="Equation.3" shapeId="1034" r:id="rId18">
          <objectPr defaultSize="0" autoPict="0" r:id="rId19">
            <anchor moveWithCells="1" sizeWithCells="1">
              <from>
                <xdr:col>17</xdr:col>
                <xdr:colOff>695325</xdr:colOff>
                <xdr:row>19</xdr:row>
                <xdr:rowOff>9525</xdr:rowOff>
              </from>
              <to>
                <xdr:col>21</xdr:col>
                <xdr:colOff>485775</xdr:colOff>
                <xdr:row>21</xdr:row>
                <xdr:rowOff>180975</xdr:rowOff>
              </to>
            </anchor>
          </objectPr>
        </oleObject>
      </mc:Choice>
      <mc:Fallback>
        <oleObject progId="Equation.3" shapeId="1034" r:id="rId18"/>
      </mc:Fallback>
    </mc:AlternateContent>
    <mc:AlternateContent xmlns:mc="http://schemas.openxmlformats.org/markup-compatibility/2006">
      <mc:Choice Requires="x14">
        <oleObject progId="Equation.3" shapeId="1035" r:id="rId20">
          <objectPr defaultSize="0" autoPict="0" r:id="rId21">
            <anchor moveWithCells="1" sizeWithCells="1">
              <from>
                <xdr:col>17</xdr:col>
                <xdr:colOff>752475</xdr:colOff>
                <xdr:row>22</xdr:row>
                <xdr:rowOff>9525</xdr:rowOff>
              </from>
              <to>
                <xdr:col>21</xdr:col>
                <xdr:colOff>542925</xdr:colOff>
                <xdr:row>24</xdr:row>
                <xdr:rowOff>190500</xdr:rowOff>
              </to>
            </anchor>
          </objectPr>
        </oleObject>
      </mc:Choice>
      <mc:Fallback>
        <oleObject progId="Equation.3" shapeId="1035" r:id="rId20"/>
      </mc:Fallback>
    </mc:AlternateContent>
    <mc:AlternateContent xmlns:mc="http://schemas.openxmlformats.org/markup-compatibility/2006">
      <mc:Choice Requires="x14">
        <oleObject progId="Equation.3" shapeId="1037" r:id="rId22">
          <objectPr defaultSize="0" autoPict="0" r:id="rId23">
            <anchor moveWithCells="1" sizeWithCells="1">
              <from>
                <xdr:col>18</xdr:col>
                <xdr:colOff>400050</xdr:colOff>
                <xdr:row>25</xdr:row>
                <xdr:rowOff>47625</xdr:rowOff>
              </from>
              <to>
                <xdr:col>20</xdr:col>
                <xdr:colOff>742950</xdr:colOff>
                <xdr:row>26</xdr:row>
                <xdr:rowOff>152400</xdr:rowOff>
              </to>
            </anchor>
          </objectPr>
        </oleObject>
      </mc:Choice>
      <mc:Fallback>
        <oleObject progId="Equation.3" shapeId="1037" r:id="rId22"/>
      </mc:Fallback>
    </mc:AlternateContent>
    <mc:AlternateContent xmlns:mc="http://schemas.openxmlformats.org/markup-compatibility/2006">
      <mc:Choice Requires="x14">
        <oleObject progId="Equation.3" shapeId="1038" r:id="rId24">
          <objectPr defaultSize="0" autoPict="0" r:id="rId25">
            <anchor moveWithCells="1" sizeWithCells="1">
              <from>
                <xdr:col>15</xdr:col>
                <xdr:colOff>323850</xdr:colOff>
                <xdr:row>27</xdr:row>
                <xdr:rowOff>114300</xdr:rowOff>
              </from>
              <to>
                <xdr:col>21</xdr:col>
                <xdr:colOff>1962150</xdr:colOff>
                <xdr:row>30</xdr:row>
                <xdr:rowOff>123825</xdr:rowOff>
              </to>
            </anchor>
          </objectPr>
        </oleObject>
      </mc:Choice>
      <mc:Fallback>
        <oleObject progId="Equation.3" shapeId="1038" r:id="rId24"/>
      </mc:Fallback>
    </mc:AlternateContent>
    <mc:AlternateContent xmlns:mc="http://schemas.openxmlformats.org/markup-compatibility/2006">
      <mc:Choice Requires="x14">
        <oleObject progId="Equation.3" shapeId="1039" r:id="rId26">
          <objectPr defaultSize="0" autoPict="0" r:id="rId27">
            <anchor moveWithCells="1" sizeWithCells="1">
              <from>
                <xdr:col>16</xdr:col>
                <xdr:colOff>180975</xdr:colOff>
                <xdr:row>31</xdr:row>
                <xdr:rowOff>123825</xdr:rowOff>
              </from>
              <to>
                <xdr:col>21</xdr:col>
                <xdr:colOff>1762125</xdr:colOff>
                <xdr:row>34</xdr:row>
                <xdr:rowOff>171450</xdr:rowOff>
              </to>
            </anchor>
          </objectPr>
        </oleObject>
      </mc:Choice>
      <mc:Fallback>
        <oleObject progId="Equation.3" shapeId="1039" r:id="rId26"/>
      </mc:Fallback>
    </mc:AlternateContent>
    <mc:AlternateContent xmlns:mc="http://schemas.openxmlformats.org/markup-compatibility/2006">
      <mc:Choice Requires="x14">
        <oleObject progId="Equation.3" shapeId="1040" r:id="rId28">
          <objectPr defaultSize="0" autoPict="0" r:id="rId29">
            <anchor moveWithCells="1" sizeWithCells="1">
              <from>
                <xdr:col>17</xdr:col>
                <xdr:colOff>666750</xdr:colOff>
                <xdr:row>35</xdr:row>
                <xdr:rowOff>76200</xdr:rowOff>
              </from>
              <to>
                <xdr:col>21</xdr:col>
                <xdr:colOff>685800</xdr:colOff>
                <xdr:row>38</xdr:row>
                <xdr:rowOff>133350</xdr:rowOff>
              </to>
            </anchor>
          </objectPr>
        </oleObject>
      </mc:Choice>
      <mc:Fallback>
        <oleObject progId="Equation.3" shapeId="1040" r:id="rId28"/>
      </mc:Fallback>
    </mc:AlternateContent>
    <mc:AlternateContent xmlns:mc="http://schemas.openxmlformats.org/markup-compatibility/2006">
      <mc:Choice Requires="x14">
        <oleObject progId="Equation.3" shapeId="1042" r:id="rId30">
          <objectPr defaultSize="0" autoPict="0" r:id="rId31">
            <anchor moveWithCells="1" sizeWithCells="1">
              <from>
                <xdr:col>17</xdr:col>
                <xdr:colOff>676275</xdr:colOff>
                <xdr:row>42</xdr:row>
                <xdr:rowOff>76200</xdr:rowOff>
              </from>
              <to>
                <xdr:col>21</xdr:col>
                <xdr:colOff>704850</xdr:colOff>
                <xdr:row>45</xdr:row>
                <xdr:rowOff>133350</xdr:rowOff>
              </to>
            </anchor>
          </objectPr>
        </oleObject>
      </mc:Choice>
      <mc:Fallback>
        <oleObject progId="Equation.3" shapeId="1042" r:id="rId30"/>
      </mc:Fallback>
    </mc:AlternateContent>
    <mc:AlternateContent xmlns:mc="http://schemas.openxmlformats.org/markup-compatibility/2006">
      <mc:Choice Requires="x14">
        <oleObject progId="Equation.3" shapeId="1043" r:id="rId32">
          <objectPr defaultSize="0" autoPict="0" r:id="rId33">
            <anchor moveWithCells="1" sizeWithCells="1">
              <from>
                <xdr:col>18</xdr:col>
                <xdr:colOff>457200</xdr:colOff>
                <xdr:row>39</xdr:row>
                <xdr:rowOff>133350</xdr:rowOff>
              </from>
              <to>
                <xdr:col>21</xdr:col>
                <xdr:colOff>209550</xdr:colOff>
                <xdr:row>41</xdr:row>
                <xdr:rowOff>57150</xdr:rowOff>
              </to>
            </anchor>
          </objectPr>
        </oleObject>
      </mc:Choice>
      <mc:Fallback>
        <oleObject progId="Equation.3" shapeId="1043" r:id="rId32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233"/>
  <sheetViews>
    <sheetView tabSelected="1" topLeftCell="A19" zoomScale="70" zoomScaleNormal="70" workbookViewId="0">
      <selection activeCell="R28" sqref="R28:V134"/>
    </sheetView>
  </sheetViews>
  <sheetFormatPr defaultColWidth="11.42578125" defaultRowHeight="15" x14ac:dyDescent="0.45"/>
  <cols>
    <col min="1" max="1" width="8.140625" customWidth="1"/>
    <col min="2" max="2" width="29.28515625" customWidth="1"/>
    <col min="3" max="3" width="23.140625" bestFit="1" customWidth="1"/>
    <col min="4" max="4" width="21.7109375" customWidth="1"/>
    <col min="5" max="5" width="18.5703125" customWidth="1"/>
    <col min="6" max="6" width="21.5703125" customWidth="1"/>
    <col min="7" max="7" width="5.5703125" customWidth="1"/>
    <col min="8" max="8" width="4.85546875" customWidth="1"/>
    <col min="9" max="9" width="19" customWidth="1"/>
    <col min="10" max="10" width="17.28515625" customWidth="1"/>
    <col min="11" max="11" width="9.5703125" customWidth="1"/>
    <col min="12" max="13" width="9.28515625" customWidth="1"/>
    <col min="14" max="14" width="9.42578125" customWidth="1"/>
    <col min="15" max="15" width="14.42578125" customWidth="1"/>
    <col min="16" max="16" width="11.42578125" customWidth="1"/>
    <col min="17" max="17" width="14.85546875" customWidth="1"/>
    <col min="19" max="19" width="18.42578125" bestFit="1" customWidth="1"/>
  </cols>
  <sheetData>
    <row r="1" spans="1:32" ht="15.4" thickBot="1" x14ac:dyDescent="0.5">
      <c r="A1" s="7"/>
      <c r="B1" s="7"/>
      <c r="C1" s="7"/>
      <c r="D1" s="7"/>
      <c r="E1" s="7"/>
      <c r="F1" s="7"/>
      <c r="G1" s="170"/>
      <c r="H1" s="170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</row>
    <row r="2" spans="1:32" ht="15" customHeight="1" x14ac:dyDescent="0.45">
      <c r="A2" s="7"/>
      <c r="B2" s="7"/>
      <c r="C2" s="7"/>
      <c r="D2" s="7"/>
      <c r="E2" s="7"/>
      <c r="F2" s="7"/>
      <c r="G2" s="170"/>
      <c r="H2" s="170"/>
      <c r="I2" s="115" t="s">
        <v>19</v>
      </c>
      <c r="J2" s="116"/>
      <c r="K2" s="116"/>
      <c r="L2" s="116"/>
      <c r="M2" s="116"/>
      <c r="N2" s="116"/>
      <c r="O2" s="116"/>
      <c r="P2" s="116"/>
      <c r="Q2" s="11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</row>
    <row r="3" spans="1:32" ht="15" customHeight="1" x14ac:dyDescent="0.45">
      <c r="A3" s="7"/>
      <c r="B3" s="7"/>
      <c r="C3" s="7"/>
      <c r="D3" s="7"/>
      <c r="E3" s="7"/>
      <c r="F3" s="7"/>
      <c r="G3" s="170"/>
      <c r="H3" s="170"/>
      <c r="I3" s="118"/>
      <c r="J3" s="119"/>
      <c r="K3" s="119"/>
      <c r="L3" s="119"/>
      <c r="M3" s="119"/>
      <c r="N3" s="119"/>
      <c r="O3" s="119"/>
      <c r="P3" s="119"/>
      <c r="Q3" s="120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</row>
    <row r="4" spans="1:32" ht="15" customHeight="1" thickBot="1" x14ac:dyDescent="0.5">
      <c r="A4" s="7"/>
      <c r="B4" s="7"/>
      <c r="C4" s="7"/>
      <c r="D4" s="7"/>
      <c r="E4" s="7"/>
      <c r="F4" s="7"/>
      <c r="G4" s="170"/>
      <c r="H4" s="170"/>
      <c r="I4" s="121"/>
      <c r="J4" s="122"/>
      <c r="K4" s="122"/>
      <c r="L4" s="122"/>
      <c r="M4" s="122"/>
      <c r="N4" s="122"/>
      <c r="O4" s="122"/>
      <c r="P4" s="122"/>
      <c r="Q4" s="123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</row>
    <row r="5" spans="1:32" ht="24.75" customHeight="1" x14ac:dyDescent="0.45">
      <c r="A5" s="7"/>
      <c r="B5" s="7"/>
      <c r="C5" s="7"/>
      <c r="D5" s="7"/>
      <c r="E5" s="7"/>
      <c r="F5" s="7"/>
      <c r="G5" s="170"/>
      <c r="H5" s="170"/>
      <c r="I5" s="124" t="s">
        <v>38</v>
      </c>
      <c r="J5" s="125"/>
      <c r="K5" s="125"/>
      <c r="L5" s="125"/>
      <c r="M5" s="125"/>
      <c r="N5" s="125"/>
      <c r="O5" s="125"/>
      <c r="P5" s="125"/>
      <c r="Q5" s="126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</row>
    <row r="6" spans="1:32" ht="15" customHeight="1" x14ac:dyDescent="0.45">
      <c r="A6" s="7"/>
      <c r="B6" s="7"/>
      <c r="C6" s="7"/>
      <c r="D6" s="7"/>
      <c r="E6" s="7"/>
      <c r="F6" s="7"/>
      <c r="G6" s="170"/>
      <c r="H6" s="170"/>
      <c r="I6" s="49" t="s">
        <v>49</v>
      </c>
      <c r="J6" s="49" t="s">
        <v>50</v>
      </c>
      <c r="K6" s="49" t="s">
        <v>46</v>
      </c>
      <c r="L6" s="167" t="s">
        <v>39</v>
      </c>
      <c r="M6" s="168"/>
      <c r="N6" s="168"/>
      <c r="O6" s="168"/>
      <c r="P6" s="168"/>
      <c r="Q6" s="169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</row>
    <row r="7" spans="1:32" ht="15" customHeight="1" thickBot="1" x14ac:dyDescent="0.5">
      <c r="A7" s="7"/>
      <c r="B7" s="7"/>
      <c r="C7" s="7"/>
      <c r="D7" s="7"/>
      <c r="E7" s="7"/>
      <c r="F7" s="7"/>
      <c r="G7" s="170"/>
      <c r="H7" s="170"/>
      <c r="I7" s="50" t="s">
        <v>20</v>
      </c>
      <c r="J7" s="37">
        <f>SUM(J13,J19)</f>
        <v>40.016800000000003</v>
      </c>
      <c r="K7" s="38">
        <f>J7/J7</f>
        <v>1</v>
      </c>
      <c r="L7" s="161" t="s">
        <v>68</v>
      </c>
      <c r="M7" s="162"/>
      <c r="N7" s="162"/>
      <c r="O7" s="162"/>
      <c r="P7" s="162"/>
      <c r="Q7" s="163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</row>
    <row r="8" spans="1:32" ht="15" customHeight="1" x14ac:dyDescent="0.45">
      <c r="A8" s="7"/>
      <c r="B8" s="142" t="s">
        <v>3</v>
      </c>
      <c r="C8" s="143"/>
      <c r="D8" s="143"/>
      <c r="E8" s="143"/>
      <c r="F8" s="144"/>
      <c r="G8" s="170"/>
      <c r="H8" s="170"/>
      <c r="I8" s="51" t="s">
        <v>6</v>
      </c>
      <c r="J8" s="37">
        <f>SUM(J14,J20)</f>
        <v>39.807474800000001</v>
      </c>
      <c r="K8" s="39">
        <f>J8/J7</f>
        <v>0.9947690669918634</v>
      </c>
      <c r="L8" s="161" t="s">
        <v>69</v>
      </c>
      <c r="M8" s="162"/>
      <c r="N8" s="162"/>
      <c r="O8" s="162"/>
      <c r="P8" s="162"/>
      <c r="Q8" s="163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</row>
    <row r="9" spans="1:32" ht="15" customHeight="1" x14ac:dyDescent="0.45">
      <c r="A9" s="7"/>
      <c r="B9" s="145"/>
      <c r="C9" s="146"/>
      <c r="D9" s="146"/>
      <c r="E9" s="146"/>
      <c r="F9" s="147"/>
      <c r="G9" s="170"/>
      <c r="H9" s="170"/>
      <c r="I9" s="50" t="s">
        <v>8</v>
      </c>
      <c r="J9" s="40">
        <f t="shared" ref="J9:J10" si="0">SUM(J15,J21)</f>
        <v>0.19358928000000003</v>
      </c>
      <c r="K9" s="39">
        <f>J9/J7</f>
        <v>4.8377001659303098E-3</v>
      </c>
      <c r="L9" s="161" t="s">
        <v>69</v>
      </c>
      <c r="M9" s="162"/>
      <c r="N9" s="162"/>
      <c r="O9" s="162"/>
      <c r="P9" s="162"/>
      <c r="Q9" s="163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</row>
    <row r="10" spans="1:32" ht="15" customHeight="1" thickBot="1" x14ac:dyDescent="0.5">
      <c r="A10" s="7"/>
      <c r="B10" s="148"/>
      <c r="C10" s="149"/>
      <c r="D10" s="149"/>
      <c r="E10" s="149"/>
      <c r="F10" s="150"/>
      <c r="G10" s="170"/>
      <c r="H10" s="170"/>
      <c r="I10" s="51" t="s">
        <v>9</v>
      </c>
      <c r="J10" s="40">
        <f t="shared" si="0"/>
        <v>1.573592E-2</v>
      </c>
      <c r="K10" s="39">
        <f>J10/J7</f>
        <v>3.9323284220627334E-4</v>
      </c>
      <c r="L10" s="161" t="s">
        <v>69</v>
      </c>
      <c r="M10" s="162"/>
      <c r="N10" s="162"/>
      <c r="O10" s="162"/>
      <c r="P10" s="162"/>
      <c r="Q10" s="163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</row>
    <row r="11" spans="1:32" ht="15" customHeight="1" x14ac:dyDescent="0.45">
      <c r="A11" s="7"/>
      <c r="B11" s="151" t="s">
        <v>36</v>
      </c>
      <c r="C11" s="152"/>
      <c r="D11" s="152"/>
      <c r="E11" s="152"/>
      <c r="F11" s="153"/>
      <c r="G11" s="170"/>
      <c r="H11" s="170"/>
      <c r="I11" s="186"/>
      <c r="J11" s="186"/>
      <c r="K11" s="186"/>
      <c r="L11" s="186"/>
      <c r="M11" s="186"/>
      <c r="N11" s="186"/>
      <c r="O11" s="186"/>
      <c r="P11" s="186"/>
      <c r="Q11" s="186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</row>
    <row r="12" spans="1:32" ht="15" customHeight="1" x14ac:dyDescent="0.45">
      <c r="A12" s="7"/>
      <c r="B12" s="154"/>
      <c r="C12" s="155"/>
      <c r="D12" s="155"/>
      <c r="E12" s="155"/>
      <c r="F12" s="156"/>
      <c r="G12" s="170"/>
      <c r="H12" s="170"/>
      <c r="I12" s="49" t="s">
        <v>51</v>
      </c>
      <c r="J12" s="49" t="s">
        <v>50</v>
      </c>
      <c r="K12" s="49" t="s">
        <v>46</v>
      </c>
      <c r="L12" s="167" t="s">
        <v>39</v>
      </c>
      <c r="M12" s="168"/>
      <c r="N12" s="168"/>
      <c r="O12" s="168"/>
      <c r="P12" s="168"/>
      <c r="Q12" s="169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</row>
    <row r="13" spans="1:32" ht="15" customHeight="1" x14ac:dyDescent="0.45">
      <c r="A13" s="8"/>
      <c r="B13" s="140" t="s">
        <v>4</v>
      </c>
      <c r="C13" s="141"/>
      <c r="D13" s="130" t="s">
        <v>39</v>
      </c>
      <c r="E13" s="130"/>
      <c r="F13" s="130"/>
      <c r="G13" s="170"/>
      <c r="H13" s="170"/>
      <c r="I13" s="50" t="s">
        <v>5</v>
      </c>
      <c r="J13" s="41">
        <f>SUM(J14:J16)</f>
        <v>40</v>
      </c>
      <c r="K13" s="38">
        <f>J13/J13</f>
        <v>1</v>
      </c>
      <c r="L13" s="161" t="s">
        <v>71</v>
      </c>
      <c r="M13" s="162"/>
      <c r="N13" s="162"/>
      <c r="O13" s="162"/>
      <c r="P13" s="162"/>
      <c r="Q13" s="163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</row>
    <row r="14" spans="1:32" ht="15" customHeight="1" x14ac:dyDescent="0.45">
      <c r="A14" s="7"/>
      <c r="B14" s="4" t="s">
        <v>33</v>
      </c>
      <c r="C14" s="43">
        <v>40</v>
      </c>
      <c r="D14" s="131" t="s">
        <v>17</v>
      </c>
      <c r="E14" s="131"/>
      <c r="F14" s="131"/>
      <c r="G14" s="170"/>
      <c r="H14" s="170"/>
      <c r="I14" s="51" t="s">
        <v>43</v>
      </c>
      <c r="J14" s="41">
        <f>C14-SUM(J15:J16)</f>
        <v>39.7928</v>
      </c>
      <c r="K14" s="39">
        <f>J14/J13</f>
        <v>0.99482000000000004</v>
      </c>
      <c r="L14" s="164" t="s">
        <v>70</v>
      </c>
      <c r="M14" s="165"/>
      <c r="N14" s="165"/>
      <c r="O14" s="165"/>
      <c r="P14" s="165"/>
      <c r="Q14" s="166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</row>
    <row r="15" spans="1:32" ht="15" customHeight="1" x14ac:dyDescent="0.45">
      <c r="A15" s="7"/>
      <c r="B15" s="5" t="s">
        <v>14</v>
      </c>
      <c r="C15" s="43" t="s">
        <v>13</v>
      </c>
      <c r="D15" s="132" t="s">
        <v>60</v>
      </c>
      <c r="E15" s="132"/>
      <c r="F15" s="132"/>
      <c r="G15" s="170"/>
      <c r="H15" s="170"/>
      <c r="I15" s="50" t="s">
        <v>44</v>
      </c>
      <c r="J15" s="42">
        <f>C14/1000*IF(AND(C15="OptiMEM",C17="FBS"),C16*'Model structure'!L7+'User input and model output'!C18*'Model structure'!L10,IF(AND(C15="OptiMEM",C17="d-FBS"),C16*'Model structure'!L7+'User input and model output'!C18*'Model structure'!L12,IF(AND(C15="OptiMEM",C17="cs-FBS"),C16*'Model structure'!L7+'User input and model output'!C18*'Model structure'!L11,IF(AND(C15="DMEM Glutamax",C17="FBS"),C16*'Model structure'!L8+'User input and model output'!C18*'Model structure'!L10,IF(AND(C15="DMEM Glutamax",C17="d-FBS"),C16*'Model structure'!L8+'User input and model output'!C18*'Model structure'!L12,IF(AND(C15="DMEM Glutamax",C17="cs-FBS"),C16*'Model structure'!L8+'User input and model output'!C18*'Model structure'!L11,IF(AND(C15="Phenol-Red free DMEM",C17="FBS"),C16*'Model structure'!L9+'User input and model output'!C18*'Model structure'!L10,IF(AND(C15="Phenol-Red free DMEM",C17="d-FBS"),C16*'Model structure'!L9+'User input and model output'!C18*'Model structure'!L12,IF(AND(C15="Phenol-Red free DMEM",C17="cs-FBS"),C16*'Model structure'!L9+'User input and model output'!C18*'Model structure'!L11,C16*AVERAGE('Model structure'!L7:L9)+'User input and model output'!C18*AVERAGE('Model structure'!L10:L12))))))))))</f>
        <v>0.19200000000000003</v>
      </c>
      <c r="K15" s="39">
        <f>J15/J13</f>
        <v>4.8000000000000004E-3</v>
      </c>
      <c r="L15" s="161" t="s">
        <v>69</v>
      </c>
      <c r="M15" s="162"/>
      <c r="N15" s="162"/>
      <c r="O15" s="162"/>
      <c r="P15" s="162"/>
      <c r="Q15" s="163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</row>
    <row r="16" spans="1:32" ht="15" customHeight="1" x14ac:dyDescent="0.45">
      <c r="A16" s="7"/>
      <c r="B16" s="4" t="s">
        <v>34</v>
      </c>
      <c r="C16" s="44">
        <v>0.8</v>
      </c>
      <c r="D16" s="133" t="s">
        <v>40</v>
      </c>
      <c r="E16" s="134"/>
      <c r="F16" s="135"/>
      <c r="G16" s="170"/>
      <c r="H16" s="170"/>
      <c r="I16" s="51" t="s">
        <v>45</v>
      </c>
      <c r="J16" s="42">
        <f>C14/1000*IF(AND(C15="OptiMEM",C17="FBS"),C16*'Model structure'!M7+'User input and model output'!C18*'Model structure'!M10,IF(AND(C15="OptiMEM",C17="d-FBS"),C16*'Model structure'!M7+'User input and model output'!C18*'Model structure'!M12,IF(AND(C15="OptiMEM",C17="cs-FBS"),C16*'Model structure'!M7+'User input and model output'!C18*'Model structure'!M11,IF(AND(C15="DMEM Glutamax",C17="FBS"),C16*'Model structure'!M8+'User input and model output'!C18*'Model structure'!M10,IF(AND(C15="DMEM Glutamax",C17="d-FBS"),C16*'Model structure'!M8+'User input and model output'!C18*'Model structure'!M12,IF(AND(C15="DMEM Glutamax",C17="cs-FBS"),C16*'Model structure'!M8+'User input and model output'!C18*'Model structure'!M11,IF(AND(C15="Phenol-Red free DMEM",C17="FBS"),C16*'Model structure'!M9+'User input and model output'!C18*'Model structure'!M10,IF(AND(C15="Phenol-Red free DMEM",C17="d-FBS"),C16*'Model structure'!M9+'User input and model output'!C18*'Model structure'!M12,IF(AND(C15="Phenol-Red free DMEM",C17="cs-FBS"),C16*'Model structure'!M9+'User input and model output'!C18*'Model structure'!M11,C16*AVERAGE('Model structure'!M7:M9)+'User input and model output'!C18*AVERAGE('Model structure'!M10:M13))))))))))</f>
        <v>1.52E-2</v>
      </c>
      <c r="K16" s="39">
        <f>J16/J13</f>
        <v>3.8000000000000002E-4</v>
      </c>
      <c r="L16" s="161" t="s">
        <v>69</v>
      </c>
      <c r="M16" s="162"/>
      <c r="N16" s="162"/>
      <c r="O16" s="162"/>
      <c r="P16" s="162"/>
      <c r="Q16" s="163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</row>
    <row r="17" spans="1:32" ht="15" customHeight="1" x14ac:dyDescent="0.45">
      <c r="A17" s="7"/>
      <c r="B17" s="5" t="s">
        <v>15</v>
      </c>
      <c r="C17" s="43" t="s">
        <v>77</v>
      </c>
      <c r="D17" s="136" t="s">
        <v>61</v>
      </c>
      <c r="E17" s="137"/>
      <c r="F17" s="138"/>
      <c r="G17" s="170"/>
      <c r="H17" s="170"/>
      <c r="I17" s="164"/>
      <c r="J17" s="165"/>
      <c r="K17" s="165"/>
      <c r="L17" s="165"/>
      <c r="M17" s="165"/>
      <c r="N17" s="165"/>
      <c r="O17" s="165"/>
      <c r="P17" s="165"/>
      <c r="Q17" s="166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</row>
    <row r="18" spans="1:32" ht="15" customHeight="1" x14ac:dyDescent="0.45">
      <c r="A18" s="7"/>
      <c r="B18" s="4" t="s">
        <v>35</v>
      </c>
      <c r="C18" s="44">
        <v>0.2</v>
      </c>
      <c r="D18" s="133" t="s">
        <v>41</v>
      </c>
      <c r="E18" s="134"/>
      <c r="F18" s="135"/>
      <c r="G18" s="170"/>
      <c r="H18" s="170"/>
      <c r="I18" s="49" t="s">
        <v>29</v>
      </c>
      <c r="J18" s="49" t="s">
        <v>50</v>
      </c>
      <c r="K18" s="49" t="s">
        <v>46</v>
      </c>
      <c r="L18" s="167" t="s">
        <v>39</v>
      </c>
      <c r="M18" s="168"/>
      <c r="N18" s="168"/>
      <c r="O18" s="168"/>
      <c r="P18" s="168"/>
      <c r="Q18" s="169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</row>
    <row r="19" spans="1:32" ht="15" customHeight="1" x14ac:dyDescent="0.45">
      <c r="A19" s="7"/>
      <c r="B19" s="132"/>
      <c r="C19" s="132"/>
      <c r="D19" s="132"/>
      <c r="E19" s="132"/>
      <c r="F19" s="132"/>
      <c r="G19" s="170"/>
      <c r="H19" s="170"/>
      <c r="I19" s="50" t="s">
        <v>5</v>
      </c>
      <c r="J19" s="41">
        <f>SUM(J20:J22)</f>
        <v>1.6799999999999999E-2</v>
      </c>
      <c r="K19" s="38">
        <f>J19/J19</f>
        <v>1</v>
      </c>
      <c r="L19" s="161" t="s">
        <v>55</v>
      </c>
      <c r="M19" s="162"/>
      <c r="N19" s="162"/>
      <c r="O19" s="162"/>
      <c r="P19" s="162"/>
      <c r="Q19" s="163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</row>
    <row r="20" spans="1:32" ht="15" customHeight="1" x14ac:dyDescent="0.45">
      <c r="A20" s="7"/>
      <c r="B20" s="140" t="s">
        <v>7</v>
      </c>
      <c r="C20" s="141"/>
      <c r="D20" s="130" t="s">
        <v>39</v>
      </c>
      <c r="E20" s="130"/>
      <c r="F20" s="130"/>
      <c r="G20" s="170"/>
      <c r="H20" s="170"/>
      <c r="I20" s="51" t="s">
        <v>43</v>
      </c>
      <c r="J20" s="42">
        <f>1000*IF(C21="HEK293T",C22/1000000*'Model structure'!L15,IF(C21="HEK293H",C22/1000000*'Model structure'!L16,IF(C21="HepG2",C22/1000000*'Model structure'!L17,IF(C21="HCT116",C22/1000000*'Model structure'!L18,IF(C21="ME-180",C22/1000000*'Model structure'!L19,C22/1000000*AVERAGE('Model structure'!L15:L19))))))</f>
        <v>1.46748E-2</v>
      </c>
      <c r="K20" s="39">
        <f>J20/J19</f>
        <v>0.87350000000000005</v>
      </c>
      <c r="L20" s="161" t="s">
        <v>69</v>
      </c>
      <c r="M20" s="162"/>
      <c r="N20" s="162"/>
      <c r="O20" s="162"/>
      <c r="P20" s="162"/>
      <c r="Q20" s="163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</row>
    <row r="21" spans="1:32" ht="15" customHeight="1" x14ac:dyDescent="0.45">
      <c r="A21" s="7"/>
      <c r="B21" s="4" t="s">
        <v>10</v>
      </c>
      <c r="C21" s="43" t="s">
        <v>80</v>
      </c>
      <c r="D21" s="136" t="s">
        <v>61</v>
      </c>
      <c r="E21" s="137"/>
      <c r="F21" s="138"/>
      <c r="G21" s="170"/>
      <c r="H21" s="170"/>
      <c r="I21" s="50" t="s">
        <v>44</v>
      </c>
      <c r="J21" s="42">
        <f>1000*IF(C21="HEK293T",C22/1000000*'Model structure'!M15,IF(C21="HEK293H",C22/1000000*'Model structure'!M16,IF(C21="HepG2",C22/1000000*'Model structure'!M17,IF(C21="HCT116",C22/1000000*'Model structure'!M18,IF(C21="ME-180",C22/1000000*'Model structure'!M19,C22/1000000*AVERAGE('Model structure'!M15:M19))))))</f>
        <v>1.58928E-3</v>
      </c>
      <c r="K21" s="39">
        <f>J21/J19</f>
        <v>9.4600000000000004E-2</v>
      </c>
      <c r="L21" s="161" t="s">
        <v>69</v>
      </c>
      <c r="M21" s="162"/>
      <c r="N21" s="162"/>
      <c r="O21" s="162"/>
      <c r="P21" s="162"/>
      <c r="Q21" s="163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</row>
    <row r="22" spans="1:32" ht="15" customHeight="1" thickBot="1" x14ac:dyDescent="0.5">
      <c r="A22" s="7"/>
      <c r="B22" s="6" t="s">
        <v>18</v>
      </c>
      <c r="C22" s="45">
        <v>5600</v>
      </c>
      <c r="D22" s="139" t="s">
        <v>67</v>
      </c>
      <c r="E22" s="139"/>
      <c r="F22" s="139"/>
      <c r="G22" s="170"/>
      <c r="H22" s="170"/>
      <c r="I22" s="52" t="s">
        <v>45</v>
      </c>
      <c r="J22" s="53">
        <f>1000*IF(C21="HEK293T",C22/1000000*'Model structure'!N15,IF(C21="HEK293H",C22/1000000*'Model structure'!N16,IF(C21="HepG2",C22/1000000*'Model structure'!N17,IF(C21="HCT116",C22/1000000*'Model structure'!N18,IF(C21="ME-180",C22/1000000*'Model structure'!N19,C22/1000000*AVERAGE('Model structure'!N15:N19))))))</f>
        <v>5.3591999999999995E-4</v>
      </c>
      <c r="K22" s="39">
        <f>J22/J19</f>
        <v>3.1899999999999998E-2</v>
      </c>
      <c r="L22" s="161" t="s">
        <v>69</v>
      </c>
      <c r="M22" s="162"/>
      <c r="N22" s="162"/>
      <c r="O22" s="162"/>
      <c r="P22" s="162"/>
      <c r="Q22" s="163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</row>
    <row r="23" spans="1:32" ht="15.75" customHeight="1" thickBot="1" x14ac:dyDescent="0.5">
      <c r="A23" s="7"/>
      <c r="B23" s="127"/>
      <c r="C23" s="128"/>
      <c r="D23" s="128"/>
      <c r="E23" s="128"/>
      <c r="F23" s="129"/>
      <c r="G23" s="170"/>
      <c r="H23" s="170"/>
      <c r="I23" s="181"/>
      <c r="J23" s="182"/>
      <c r="K23" s="182"/>
      <c r="L23" s="182"/>
      <c r="M23" s="182"/>
      <c r="N23" s="182"/>
      <c r="O23" s="182"/>
      <c r="P23" s="182"/>
      <c r="Q23" s="183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</row>
    <row r="24" spans="1:32" ht="15" customHeight="1" x14ac:dyDescent="0.45">
      <c r="A24" s="7"/>
      <c r="B24" s="151" t="s">
        <v>37</v>
      </c>
      <c r="C24" s="152"/>
      <c r="D24" s="152"/>
      <c r="E24" s="152"/>
      <c r="F24" s="153"/>
      <c r="G24" s="170"/>
      <c r="H24" s="170"/>
      <c r="I24" s="175" t="s">
        <v>42</v>
      </c>
      <c r="J24" s="176"/>
      <c r="K24" s="176"/>
      <c r="L24" s="176"/>
      <c r="M24" s="176"/>
      <c r="N24" s="176"/>
      <c r="O24" s="176"/>
      <c r="P24" s="176"/>
      <c r="Q24" s="17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</row>
    <row r="25" spans="1:32" ht="15" customHeight="1" x14ac:dyDescent="0.45">
      <c r="A25" s="7"/>
      <c r="B25" s="154"/>
      <c r="C25" s="155"/>
      <c r="D25" s="155"/>
      <c r="E25" s="155"/>
      <c r="F25" s="156"/>
      <c r="G25" s="170"/>
      <c r="H25" s="170"/>
      <c r="I25" s="178"/>
      <c r="J25" s="179"/>
      <c r="K25" s="179"/>
      <c r="L25" s="179"/>
      <c r="M25" s="179"/>
      <c r="N25" s="179"/>
      <c r="O25" s="179"/>
      <c r="P25" s="179"/>
      <c r="Q25" s="180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</row>
    <row r="26" spans="1:32" ht="19.5" customHeight="1" x14ac:dyDescent="0.45">
      <c r="A26" s="7"/>
      <c r="B26" s="173" t="s">
        <v>11</v>
      </c>
      <c r="C26" s="173" t="s">
        <v>12</v>
      </c>
      <c r="D26" s="157" t="s">
        <v>47</v>
      </c>
      <c r="E26" s="157" t="s">
        <v>48</v>
      </c>
      <c r="F26" s="159" t="s">
        <v>66</v>
      </c>
      <c r="G26" s="170"/>
      <c r="H26" s="170"/>
      <c r="I26" s="184" t="s">
        <v>53</v>
      </c>
      <c r="J26" s="184" t="s">
        <v>54</v>
      </c>
      <c r="K26" s="171" t="s">
        <v>73</v>
      </c>
      <c r="L26" s="171" t="s">
        <v>52</v>
      </c>
      <c r="M26" s="171" t="s">
        <v>59</v>
      </c>
      <c r="N26" s="171" t="s">
        <v>62</v>
      </c>
      <c r="O26" s="171" t="s">
        <v>72</v>
      </c>
      <c r="P26" s="171" t="s">
        <v>64</v>
      </c>
      <c r="Q26" s="171" t="s">
        <v>65</v>
      </c>
      <c r="R26" s="9"/>
      <c r="S26" s="10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</row>
    <row r="27" spans="1:32" ht="19.5" customHeight="1" x14ac:dyDescent="0.45">
      <c r="A27" s="7"/>
      <c r="B27" s="174"/>
      <c r="C27" s="174"/>
      <c r="D27" s="158"/>
      <c r="E27" s="158"/>
      <c r="F27" s="160"/>
      <c r="G27" s="170"/>
      <c r="H27" s="170"/>
      <c r="I27" s="185"/>
      <c r="J27" s="185"/>
      <c r="K27" s="172"/>
      <c r="L27" s="172"/>
      <c r="M27" s="172"/>
      <c r="N27" s="172"/>
      <c r="O27" s="172"/>
      <c r="P27" s="172"/>
      <c r="Q27" s="172"/>
      <c r="R27" s="7" t="s">
        <v>79</v>
      </c>
      <c r="S27" s="7" t="s">
        <v>78</v>
      </c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</row>
    <row r="28" spans="1:32" x14ac:dyDescent="0.45">
      <c r="A28" s="89"/>
      <c r="B28" s="46" t="s">
        <v>114</v>
      </c>
      <c r="C28" s="46" t="s">
        <v>115</v>
      </c>
      <c r="D28" s="47">
        <v>1.6437199999999998</v>
      </c>
      <c r="E28" s="47">
        <v>1.9024449999999995</v>
      </c>
      <c r="F28" s="98">
        <v>9.9999999999999995E-7</v>
      </c>
      <c r="G28" s="170"/>
      <c r="H28" s="170"/>
      <c r="I28" s="94">
        <f t="shared" ref="I28:I47" si="1">IF(D28=0,"",LOG($K$15*10^D28+$K$16*10^E28+$K$14))</f>
        <v>9.2195850977354138E-2</v>
      </c>
      <c r="J28" s="94">
        <f t="shared" ref="J28:J47" si="2">IF(D28=0,"",LOG($K$21*10^D28+$K$22*10^E28+$K$20))</f>
        <v>0.88005151635701673</v>
      </c>
      <c r="K28" s="95">
        <f t="shared" ref="K28:K47" si="3">IF(D28=0,"",1/(1+10^D28*$J$15/$J$14+10^E28*$J$16/$J$14+10^J28*$J$19/$J$14))</f>
        <v>0.80247395122952669</v>
      </c>
      <c r="L28" s="95">
        <f t="shared" ref="L28:L47" si="4">IF(D28=0,"",1/(1+10^I28/10^J28*$J$13/$J$19))</f>
        <v>2.5703202797295291E-3</v>
      </c>
      <c r="M28" s="95">
        <f t="shared" ref="M28:M47" si="5">IF(D28=0,"",1-L28)</f>
        <v>0.99742967972027052</v>
      </c>
      <c r="N28" s="95">
        <f t="shared" ref="N28:N47" si="6">IF(D28=0,"",1/(1/10^E28*$J$20/$J$22+10^D28/10^E28*$J$21/$J$22+10^I28/10^E28*$J$13/$J$22+1))</f>
        <v>8.6331921965909612E-4</v>
      </c>
      <c r="O28" s="40">
        <f t="shared" ref="O28:O47" si="7">IF(D28=0,"",F28*K28*$J$7/$J$14)</f>
        <v>8.069912047295422E-7</v>
      </c>
      <c r="P28" s="40">
        <f t="shared" ref="P28:P47" si="8">IF(D28=0,"",O28*10^J28)</f>
        <v>6.122380510111942E-6</v>
      </c>
      <c r="Q28" s="40">
        <f t="shared" ref="Q28:Q47" si="9">IF(D28=0,"",F28*N28*$J$7/$J$22)</f>
        <v>6.4463488112505827E-5</v>
      </c>
      <c r="R28" s="9">
        <f>F28*$C$14</f>
        <v>3.9999999999999996E-5</v>
      </c>
      <c r="S28" s="9">
        <f>$R28*L28</f>
        <v>1.0281281118918115E-7</v>
      </c>
      <c r="T28" s="9">
        <f>R28*K28</f>
        <v>3.2098958049181068E-5</v>
      </c>
      <c r="U28" s="9">
        <f>$R28*M28</f>
        <v>3.9897187188810819E-5</v>
      </c>
      <c r="V28" s="102">
        <f>K28/M28</f>
        <v>0.80454188154354978</v>
      </c>
      <c r="W28" s="7"/>
      <c r="X28" s="7"/>
      <c r="Y28" s="7"/>
      <c r="Z28" s="7"/>
      <c r="AA28" s="7"/>
      <c r="AB28" s="7"/>
      <c r="AC28" s="7"/>
      <c r="AD28" s="7"/>
      <c r="AE28" s="7"/>
      <c r="AF28" s="7"/>
    </row>
    <row r="29" spans="1:32" x14ac:dyDescent="0.45">
      <c r="A29" s="89"/>
      <c r="B29" s="46" t="s">
        <v>116</v>
      </c>
      <c r="C29" s="46" t="s">
        <v>117</v>
      </c>
      <c r="D29" s="47">
        <v>4.7386560000000006</v>
      </c>
      <c r="E29" s="47">
        <v>5.8355820000000005</v>
      </c>
      <c r="F29" s="98">
        <v>9.9999999999999995E-7</v>
      </c>
      <c r="G29" s="170"/>
      <c r="H29" s="170"/>
      <c r="I29" s="94">
        <f t="shared" si="1"/>
        <v>2.7194923137791687</v>
      </c>
      <c r="J29" s="94">
        <f t="shared" si="2"/>
        <v>4.4318380891863303</v>
      </c>
      <c r="K29" s="95">
        <f t="shared" si="3"/>
        <v>1.8575783790910959E-3</v>
      </c>
      <c r="L29" s="95">
        <f t="shared" si="4"/>
        <v>2.1197762369080969E-2</v>
      </c>
      <c r="M29" s="95">
        <f t="shared" si="5"/>
        <v>0.978802237630919</v>
      </c>
      <c r="N29" s="95">
        <f t="shared" si="6"/>
        <v>1.7132652775134455E-2</v>
      </c>
      <c r="O29" s="40">
        <f t="shared" si="7"/>
        <v>1.8680349832234117E-9</v>
      </c>
      <c r="P29" s="40">
        <f t="shared" si="8"/>
        <v>5.0492060545895246E-5</v>
      </c>
      <c r="Q29" s="40">
        <f t="shared" si="9"/>
        <v>1.2792841087699667E-3</v>
      </c>
      <c r="R29" s="9">
        <f>F29*$C$14</f>
        <v>3.9999999999999996E-5</v>
      </c>
      <c r="S29" s="9">
        <f t="shared" ref="S29:S49" si="10">$R29*L29</f>
        <v>8.4791049476323864E-7</v>
      </c>
      <c r="T29" s="9">
        <f t="shared" ref="T29:T49" si="11">R29*K29</f>
        <v>7.4303135163643828E-8</v>
      </c>
      <c r="U29" s="9">
        <f t="shared" ref="U29:U49" si="12">$R29*M29</f>
        <v>3.915208950523676E-5</v>
      </c>
      <c r="V29" s="102">
        <f t="shared" ref="V29:V49" si="13">K29/M29</f>
        <v>1.8978076547793311E-3</v>
      </c>
      <c r="W29" s="7"/>
      <c r="X29" s="7"/>
      <c r="Y29" s="7"/>
      <c r="Z29" s="7"/>
      <c r="AA29" s="7"/>
      <c r="AB29" s="7"/>
      <c r="AC29" s="7"/>
      <c r="AD29" s="7"/>
      <c r="AE29" s="7"/>
      <c r="AF29" s="7"/>
    </row>
    <row r="30" spans="1:32" x14ac:dyDescent="0.45">
      <c r="A30" s="90"/>
      <c r="B30" s="46" t="s">
        <v>118</v>
      </c>
      <c r="C30" s="46" t="s">
        <v>119</v>
      </c>
      <c r="D30" s="91">
        <v>7.1429999999999998</v>
      </c>
      <c r="E30" s="91">
        <v>9.299925</v>
      </c>
      <c r="F30" s="98">
        <v>9.9999999999999995E-7</v>
      </c>
      <c r="G30" s="170"/>
      <c r="H30" s="170"/>
      <c r="I30" s="94">
        <f t="shared" si="1"/>
        <v>5.9163420575972845</v>
      </c>
      <c r="J30" s="94">
        <f t="shared" si="2"/>
        <v>7.8125976975428566</v>
      </c>
      <c r="K30" s="95">
        <f t="shared" si="3"/>
        <v>1.1675364171511059E-6</v>
      </c>
      <c r="L30" s="95">
        <f t="shared" si="4"/>
        <v>3.2016430861992316E-2</v>
      </c>
      <c r="M30" s="95">
        <f t="shared" si="5"/>
        <v>0.96798356913800765</v>
      </c>
      <c r="N30" s="95">
        <f t="shared" si="6"/>
        <v>3.1368294117744742E-2</v>
      </c>
      <c r="O30" s="40">
        <f t="shared" si="7"/>
        <v>1.1741086653327331E-12</v>
      </c>
      <c r="P30" s="40">
        <f t="shared" si="8"/>
        <v>7.6261613721320123E-5</v>
      </c>
      <c r="Q30" s="40">
        <f t="shared" si="9"/>
        <v>2.3422502464005225E-3</v>
      </c>
      <c r="R30" s="9">
        <f t="shared" ref="R30:R49" si="14">F30*$C$14</f>
        <v>3.9999999999999996E-5</v>
      </c>
      <c r="S30" s="9">
        <f t="shared" si="10"/>
        <v>1.2806572344796925E-6</v>
      </c>
      <c r="T30" s="9">
        <f t="shared" si="11"/>
        <v>4.670145668604423E-11</v>
      </c>
      <c r="U30" s="9">
        <f t="shared" si="12"/>
        <v>3.8719342765520306E-5</v>
      </c>
      <c r="V30" s="102">
        <f t="shared" si="13"/>
        <v>1.2061531356268793E-6</v>
      </c>
      <c r="W30" s="7"/>
      <c r="X30" s="7"/>
      <c r="Y30" s="7"/>
      <c r="Z30" s="7"/>
      <c r="AA30" s="7"/>
      <c r="AB30" s="7"/>
      <c r="AC30" s="7"/>
      <c r="AD30" s="7"/>
      <c r="AE30" s="7"/>
      <c r="AF30" s="7"/>
    </row>
    <row r="31" spans="1:32" x14ac:dyDescent="0.45">
      <c r="A31" s="90"/>
      <c r="B31" s="46" t="s">
        <v>112</v>
      </c>
      <c r="C31" s="46" t="s">
        <v>113</v>
      </c>
      <c r="D31" s="47">
        <v>3.3511520000000004</v>
      </c>
      <c r="E31" s="47">
        <v>4.2962190000000007</v>
      </c>
      <c r="F31" s="98">
        <v>9.9999999999999995E-7</v>
      </c>
      <c r="G31" s="170"/>
      <c r="H31" s="170"/>
      <c r="I31" s="94">
        <f t="shared" si="1"/>
        <v>1.2852308448323728</v>
      </c>
      <c r="J31" s="94">
        <f t="shared" si="2"/>
        <v>2.9264404342876054</v>
      </c>
      <c r="K31" s="95">
        <f t="shared" si="3"/>
        <v>5.065260143431962E-2</v>
      </c>
      <c r="L31" s="95">
        <f t="shared" si="4"/>
        <v>1.8052899805493908E-2</v>
      </c>
      <c r="M31" s="95">
        <f t="shared" si="5"/>
        <v>0.98194710019450604</v>
      </c>
      <c r="N31" s="95">
        <f t="shared" si="6"/>
        <v>1.3493239238293833E-2</v>
      </c>
      <c r="O31" s="40">
        <f t="shared" si="7"/>
        <v>5.0937732983778002E-8</v>
      </c>
      <c r="P31" s="40">
        <f t="shared" si="8"/>
        <v>4.3001147674791006E-5</v>
      </c>
      <c r="Q31" s="40">
        <f t="shared" si="9"/>
        <v>1.0075314523640779E-3</v>
      </c>
      <c r="R31" s="9">
        <f t="shared" si="14"/>
        <v>3.9999999999999996E-5</v>
      </c>
      <c r="S31" s="9">
        <f t="shared" si="10"/>
        <v>7.2211599221975627E-7</v>
      </c>
      <c r="T31" s="9">
        <f t="shared" si="11"/>
        <v>2.0261040573727845E-6</v>
      </c>
      <c r="U31" s="9">
        <f t="shared" si="12"/>
        <v>3.9277884007780237E-5</v>
      </c>
      <c r="V31" s="102">
        <f t="shared" si="13"/>
        <v>5.1583839317093816E-2</v>
      </c>
      <c r="W31" s="7"/>
      <c r="X31" s="7"/>
      <c r="Y31" s="7"/>
      <c r="Z31" s="7"/>
      <c r="AA31" s="7"/>
      <c r="AB31" s="7"/>
      <c r="AC31" s="7"/>
      <c r="AD31" s="7"/>
      <c r="AE31" s="7"/>
      <c r="AF31" s="7"/>
    </row>
    <row r="32" spans="1:32" x14ac:dyDescent="0.45">
      <c r="A32" s="90"/>
      <c r="B32" s="46" t="s">
        <v>120</v>
      </c>
      <c r="C32" s="46" t="s">
        <v>121</v>
      </c>
      <c r="D32" s="47">
        <v>5.9183200000000005</v>
      </c>
      <c r="E32" s="47">
        <v>7.0401399999999992</v>
      </c>
      <c r="F32" s="98">
        <v>9.9999999999999995E-7</v>
      </c>
      <c r="G32" s="170"/>
      <c r="H32" s="170"/>
      <c r="I32" s="94">
        <f t="shared" si="1"/>
        <v>3.9109447814528924</v>
      </c>
      <c r="J32" s="94">
        <f t="shared" si="2"/>
        <v>5.6317189226525786</v>
      </c>
      <c r="K32" s="95">
        <f t="shared" si="3"/>
        <v>1.1948525366436841E-4</v>
      </c>
      <c r="L32" s="95">
        <f t="shared" si="4"/>
        <v>2.1604191347539731E-2</v>
      </c>
      <c r="M32" s="95">
        <f t="shared" si="5"/>
        <v>0.97839580865246023</v>
      </c>
      <c r="N32" s="95">
        <f t="shared" si="6"/>
        <v>1.7650205880009852E-2</v>
      </c>
      <c r="O32" s="40">
        <f t="shared" si="7"/>
        <v>1.2015785516063955E-10</v>
      </c>
      <c r="P32" s="40">
        <f t="shared" si="8"/>
        <v>5.1460155018823074E-5</v>
      </c>
      <c r="Q32" s="40">
        <f t="shared" si="9"/>
        <v>1.317929464582733E-3</v>
      </c>
      <c r="R32" s="9">
        <f t="shared" si="14"/>
        <v>3.9999999999999996E-5</v>
      </c>
      <c r="S32" s="9">
        <f t="shared" si="10"/>
        <v>8.6416765390158917E-7</v>
      </c>
      <c r="T32" s="9">
        <f t="shared" si="11"/>
        <v>4.7794101465747363E-9</v>
      </c>
      <c r="U32" s="9">
        <f t="shared" si="12"/>
        <v>3.9135832346098407E-5</v>
      </c>
      <c r="V32" s="102">
        <f t="shared" si="13"/>
        <v>1.221236360659955E-4</v>
      </c>
      <c r="W32" s="7"/>
      <c r="X32" s="7"/>
      <c r="Y32" s="7"/>
      <c r="Z32" s="7"/>
      <c r="AA32" s="7"/>
      <c r="AB32" s="7"/>
      <c r="AC32" s="7"/>
      <c r="AD32" s="7"/>
      <c r="AE32" s="7"/>
      <c r="AF32" s="7"/>
    </row>
    <row r="33" spans="1:32" x14ac:dyDescent="0.45">
      <c r="A33" s="90"/>
      <c r="B33" s="96" t="s">
        <v>122</v>
      </c>
      <c r="C33" s="96" t="s">
        <v>123</v>
      </c>
      <c r="D33" s="97">
        <v>5.5295200000000007</v>
      </c>
      <c r="E33" s="97">
        <v>6.5305900000000001</v>
      </c>
      <c r="F33" s="98">
        <v>9.9999999999999995E-7</v>
      </c>
      <c r="G33" s="170"/>
      <c r="H33" s="170"/>
      <c r="I33" s="94">
        <f t="shared" si="1"/>
        <v>3.4646398062685493</v>
      </c>
      <c r="J33" s="94">
        <f t="shared" si="2"/>
        <v>5.1469287331716504</v>
      </c>
      <c r="K33" s="95">
        <f t="shared" si="3"/>
        <v>3.3451506563114794E-4</v>
      </c>
      <c r="L33" s="95">
        <f t="shared" si="4"/>
        <v>1.9808390895999315E-2</v>
      </c>
      <c r="M33" s="95">
        <f t="shared" si="5"/>
        <v>0.98019160910400072</v>
      </c>
      <c r="N33" s="95">
        <f t="shared" si="6"/>
        <v>1.5286256673911786E-2</v>
      </c>
      <c r="O33" s="40">
        <f t="shared" si="7"/>
        <v>3.3639810413814866E-10</v>
      </c>
      <c r="P33" s="40">
        <f t="shared" si="8"/>
        <v>4.7182643857561101E-5</v>
      </c>
      <c r="Q33" s="40">
        <f t="shared" si="9"/>
        <v>1.1414149053377244E-3</v>
      </c>
      <c r="R33" s="9">
        <f t="shared" si="14"/>
        <v>3.9999999999999996E-5</v>
      </c>
      <c r="S33" s="9">
        <f t="shared" si="10"/>
        <v>7.9233563583997251E-7</v>
      </c>
      <c r="T33" s="9">
        <f t="shared" si="11"/>
        <v>1.3380602625245916E-8</v>
      </c>
      <c r="U33" s="9">
        <f t="shared" si="12"/>
        <v>3.9207664364160025E-5</v>
      </c>
      <c r="V33" s="102">
        <f t="shared" si="13"/>
        <v>3.4127517775522508E-4</v>
      </c>
      <c r="W33" s="7"/>
      <c r="X33" s="7"/>
      <c r="Y33" s="7"/>
      <c r="Z33" s="7"/>
      <c r="AA33" s="7"/>
      <c r="AB33" s="7"/>
      <c r="AC33" s="7"/>
      <c r="AD33" s="7"/>
      <c r="AE33" s="7"/>
      <c r="AF33" s="7"/>
    </row>
    <row r="34" spans="1:32" x14ac:dyDescent="0.45">
      <c r="A34" s="89"/>
      <c r="B34" s="46" t="s">
        <v>124</v>
      </c>
      <c r="C34" s="46" t="s">
        <v>125</v>
      </c>
      <c r="D34" s="91">
        <v>5.4845040000000003</v>
      </c>
      <c r="E34" s="91">
        <v>6.5678879999999999</v>
      </c>
      <c r="F34" s="98">
        <v>9.9999999999999995E-7</v>
      </c>
      <c r="G34" s="170"/>
      <c r="H34" s="170"/>
      <c r="I34" s="94">
        <f t="shared" si="1"/>
        <v>3.4579829545014036</v>
      </c>
      <c r="J34" s="94">
        <f t="shared" si="2"/>
        <v>5.1667621736278413</v>
      </c>
      <c r="K34" s="95">
        <f t="shared" si="3"/>
        <v>3.392593352366696E-4</v>
      </c>
      <c r="L34" s="95">
        <f t="shared" si="4"/>
        <v>2.1028038475825583E-2</v>
      </c>
      <c r="M34" s="95">
        <f t="shared" si="5"/>
        <v>0.97897196152417443</v>
      </c>
      <c r="N34" s="95">
        <f t="shared" si="6"/>
        <v>1.6893330257655159E-2</v>
      </c>
      <c r="O34" s="40">
        <f t="shared" si="7"/>
        <v>3.4116907999182664E-10</v>
      </c>
      <c r="P34" s="40">
        <f t="shared" si="8"/>
        <v>5.008778631425106E-5</v>
      </c>
      <c r="Q34" s="40">
        <f t="shared" si="9"/>
        <v>1.2614140510795176E-3</v>
      </c>
      <c r="R34" s="9">
        <f t="shared" si="14"/>
        <v>3.9999999999999996E-5</v>
      </c>
      <c r="S34" s="9">
        <f t="shared" si="10"/>
        <v>8.4112153903302325E-7</v>
      </c>
      <c r="T34" s="9">
        <f t="shared" si="11"/>
        <v>1.3570373409466783E-8</v>
      </c>
      <c r="U34" s="9">
        <f t="shared" si="12"/>
        <v>3.9158878460966973E-5</v>
      </c>
      <c r="V34" s="102">
        <f t="shared" si="13"/>
        <v>3.4654652898176192E-4</v>
      </c>
      <c r="W34" s="7"/>
      <c r="X34" s="7"/>
      <c r="Y34" s="7"/>
      <c r="Z34" s="7"/>
      <c r="AA34" s="7"/>
      <c r="AB34" s="7"/>
      <c r="AC34" s="7"/>
      <c r="AD34" s="7"/>
      <c r="AE34" s="7"/>
      <c r="AF34" s="7"/>
    </row>
    <row r="35" spans="1:32" x14ac:dyDescent="0.45">
      <c r="A35" s="89"/>
      <c r="B35" s="46" t="s">
        <v>126</v>
      </c>
      <c r="C35" s="46" t="s">
        <v>127</v>
      </c>
      <c r="D35" s="91">
        <v>2.7195840000000011</v>
      </c>
      <c r="E35" s="91">
        <v>3.2500779999999994</v>
      </c>
      <c r="F35" s="98">
        <v>9.9999999999999995E-7</v>
      </c>
      <c r="G35" s="170"/>
      <c r="H35" s="170"/>
      <c r="I35" s="94">
        <f t="shared" si="1"/>
        <v>0.62193942428688143</v>
      </c>
      <c r="J35" s="94">
        <f t="shared" si="2"/>
        <v>2.03023552063889</v>
      </c>
      <c r="K35" s="95">
        <f t="shared" si="3"/>
        <v>0.23504979514539873</v>
      </c>
      <c r="L35" s="95">
        <f t="shared" si="4"/>
        <v>1.0638984600206148E-2</v>
      </c>
      <c r="M35" s="95">
        <f t="shared" si="5"/>
        <v>0.98936101539979382</v>
      </c>
      <c r="N35" s="95">
        <f t="shared" si="6"/>
        <v>5.6303234217282803E-3</v>
      </c>
      <c r="O35" s="40">
        <f t="shared" si="7"/>
        <v>2.3637292782549586E-7</v>
      </c>
      <c r="P35" s="40">
        <f t="shared" si="8"/>
        <v>2.5341554699376747E-5</v>
      </c>
      <c r="Q35" s="40">
        <f t="shared" si="9"/>
        <v>4.2041261065572526E-4</v>
      </c>
      <c r="R35" s="9">
        <f t="shared" si="14"/>
        <v>3.9999999999999996E-5</v>
      </c>
      <c r="S35" s="9">
        <f t="shared" si="10"/>
        <v>4.2555938400824586E-7</v>
      </c>
      <c r="T35" s="9">
        <f t="shared" si="11"/>
        <v>9.4019918058159474E-6</v>
      </c>
      <c r="U35" s="9">
        <f t="shared" si="12"/>
        <v>3.9574440615991749E-5</v>
      </c>
      <c r="V35" s="102">
        <f t="shared" si="13"/>
        <v>0.23757737720281688</v>
      </c>
      <c r="W35" s="7"/>
      <c r="X35" s="7"/>
      <c r="Y35" s="7"/>
      <c r="Z35" s="7"/>
      <c r="AA35" s="7"/>
      <c r="AB35" s="7"/>
      <c r="AC35" s="7"/>
      <c r="AD35" s="7"/>
      <c r="AE35" s="7"/>
      <c r="AF35" s="7"/>
    </row>
    <row r="36" spans="1:32" x14ac:dyDescent="0.45">
      <c r="A36" s="89"/>
      <c r="B36" s="46" t="s">
        <v>81</v>
      </c>
      <c r="C36" s="46" t="s">
        <v>82</v>
      </c>
      <c r="D36" s="47">
        <v>7.5547280000000008</v>
      </c>
      <c r="E36" s="47">
        <v>9.7459910000000001</v>
      </c>
      <c r="F36" s="98">
        <v>9.9999999999999995E-7</v>
      </c>
      <c r="G36" s="170"/>
      <c r="H36" s="170"/>
      <c r="I36" s="94">
        <f t="shared" si="1"/>
        <v>6.3597288158186656</v>
      </c>
      <c r="J36" s="94">
        <f t="shared" si="2"/>
        <v>8.2579948157300773</v>
      </c>
      <c r="K36" s="95">
        <f t="shared" si="3"/>
        <v>4.2055148277036034E-7</v>
      </c>
      <c r="L36" s="95">
        <f t="shared" si="4"/>
        <v>3.2160201922416316E-2</v>
      </c>
      <c r="M36" s="95">
        <f t="shared" si="5"/>
        <v>0.96783979807758369</v>
      </c>
      <c r="N36" s="95">
        <f t="shared" si="6"/>
        <v>3.1557721138974065E-2</v>
      </c>
      <c r="O36" s="40">
        <f t="shared" si="7"/>
        <v>4.2291883395300037E-13</v>
      </c>
      <c r="P36" s="40">
        <f t="shared" si="8"/>
        <v>7.6604069541009006E-5</v>
      </c>
      <c r="Q36" s="40">
        <f t="shared" si="9"/>
        <v>2.3563946396366947E-3</v>
      </c>
      <c r="R36" s="9">
        <f t="shared" si="14"/>
        <v>3.9999999999999996E-5</v>
      </c>
      <c r="S36" s="9">
        <f t="shared" si="10"/>
        <v>1.2864080768966525E-6</v>
      </c>
      <c r="T36" s="9">
        <f t="shared" si="11"/>
        <v>1.6822059310814413E-11</v>
      </c>
      <c r="U36" s="9">
        <f t="shared" si="12"/>
        <v>3.8713591923103347E-5</v>
      </c>
      <c r="V36" s="102">
        <f t="shared" si="13"/>
        <v>4.3452592423425866E-7</v>
      </c>
      <c r="W36" s="7"/>
      <c r="X36" s="7"/>
      <c r="Y36" s="7"/>
      <c r="Z36" s="7"/>
      <c r="AA36" s="7"/>
      <c r="AB36" s="7"/>
      <c r="AC36" s="7"/>
      <c r="AD36" s="7"/>
      <c r="AE36" s="7"/>
      <c r="AF36" s="7"/>
    </row>
    <row r="37" spans="1:32" x14ac:dyDescent="0.45">
      <c r="A37" s="89"/>
      <c r="B37" s="96" t="s">
        <v>128</v>
      </c>
      <c r="C37" s="96" t="s">
        <v>129</v>
      </c>
      <c r="D37" s="97">
        <v>4.10616</v>
      </c>
      <c r="E37" s="97">
        <v>5.1108449999999994</v>
      </c>
      <c r="F37" s="98">
        <v>9.9999999999999995E-7</v>
      </c>
      <c r="G37" s="170"/>
      <c r="H37" s="170"/>
      <c r="I37" s="94">
        <f t="shared" si="1"/>
        <v>2.0466328175843658</v>
      </c>
      <c r="J37" s="94">
        <f t="shared" si="2"/>
        <v>3.7264296384905324</v>
      </c>
      <c r="K37" s="95">
        <f t="shared" si="3"/>
        <v>8.7593503380043233E-3</v>
      </c>
      <c r="L37" s="95">
        <f t="shared" si="4"/>
        <v>1.9697282687272177E-2</v>
      </c>
      <c r="M37" s="95">
        <f t="shared" si="5"/>
        <v>0.98030271731272778</v>
      </c>
      <c r="N37" s="95">
        <f t="shared" si="6"/>
        <v>1.5226930389130373E-2</v>
      </c>
      <c r="O37" s="40">
        <f t="shared" si="7"/>
        <v>8.8086581141777267E-9</v>
      </c>
      <c r="P37" s="40">
        <f t="shared" si="8"/>
        <v>4.6917989395240139E-5</v>
      </c>
      <c r="Q37" s="40">
        <f t="shared" si="9"/>
        <v>1.136985049999538E-3</v>
      </c>
      <c r="R37" s="9">
        <f t="shared" si="14"/>
        <v>3.9999999999999996E-5</v>
      </c>
      <c r="S37" s="9">
        <f t="shared" si="10"/>
        <v>7.8789130749088696E-7</v>
      </c>
      <c r="T37" s="9">
        <f t="shared" si="11"/>
        <v>3.5037401352017292E-7</v>
      </c>
      <c r="U37" s="9">
        <f t="shared" si="12"/>
        <v>3.9212108692509105E-5</v>
      </c>
      <c r="V37" s="102">
        <f t="shared" si="13"/>
        <v>8.9353525021495881E-3</v>
      </c>
      <c r="W37" s="7"/>
      <c r="X37" s="7"/>
      <c r="Y37" s="7"/>
      <c r="Z37" s="7"/>
      <c r="AA37" s="7"/>
      <c r="AB37" s="7"/>
      <c r="AC37" s="7"/>
      <c r="AD37" s="7"/>
      <c r="AE37" s="7"/>
      <c r="AF37" s="7"/>
    </row>
    <row r="38" spans="1:32" x14ac:dyDescent="0.45">
      <c r="A38" s="89"/>
      <c r="B38" s="46" t="s">
        <v>130</v>
      </c>
      <c r="C38" s="46" t="s">
        <v>131</v>
      </c>
      <c r="D38" s="91">
        <v>2.8295519999999996</v>
      </c>
      <c r="E38" s="91">
        <v>3.5791989999999991</v>
      </c>
      <c r="F38" s="98">
        <v>9.9999999999999995E-7</v>
      </c>
      <c r="G38" s="170"/>
      <c r="H38" s="170"/>
      <c r="I38" s="94">
        <f t="shared" si="1"/>
        <v>0.75425121724867172</v>
      </c>
      <c r="J38" s="94">
        <f t="shared" si="2"/>
        <v>2.2690970019934102</v>
      </c>
      <c r="K38" s="95">
        <f t="shared" si="3"/>
        <v>0.17280855502381917</v>
      </c>
      <c r="L38" s="95">
        <f t="shared" si="4"/>
        <v>1.3557106987641936E-2</v>
      </c>
      <c r="M38" s="95">
        <f t="shared" si="5"/>
        <v>0.9864428930123581</v>
      </c>
      <c r="N38" s="95">
        <f t="shared" si="6"/>
        <v>8.8320130973514009E-3</v>
      </c>
      <c r="O38" s="40">
        <f t="shared" si="7"/>
        <v>1.7378132186418567E-7</v>
      </c>
      <c r="P38" s="40">
        <f t="shared" si="8"/>
        <v>3.2292383268039879E-5</v>
      </c>
      <c r="Q38" s="40">
        <f t="shared" si="9"/>
        <v>6.5948070927394323E-4</v>
      </c>
      <c r="R38" s="9">
        <f t="shared" si="14"/>
        <v>3.9999999999999996E-5</v>
      </c>
      <c r="S38" s="9">
        <f t="shared" si="10"/>
        <v>5.4228427950567742E-7</v>
      </c>
      <c r="T38" s="9">
        <f t="shared" si="11"/>
        <v>6.912342200952766E-6</v>
      </c>
      <c r="U38" s="9">
        <f t="shared" si="12"/>
        <v>3.9457715720494324E-5</v>
      </c>
      <c r="V38" s="102">
        <f t="shared" si="13"/>
        <v>0.1751835369770911</v>
      </c>
      <c r="W38" s="7"/>
      <c r="X38" s="7"/>
      <c r="Y38" s="7"/>
      <c r="Z38" s="7"/>
      <c r="AA38" s="7"/>
      <c r="AB38" s="7"/>
      <c r="AC38" s="7"/>
      <c r="AD38" s="7"/>
      <c r="AE38" s="7"/>
      <c r="AF38" s="7"/>
    </row>
    <row r="39" spans="1:32" x14ac:dyDescent="0.45">
      <c r="A39" s="89"/>
      <c r="B39" s="46" t="s">
        <v>83</v>
      </c>
      <c r="C39" s="46" t="s">
        <v>84</v>
      </c>
      <c r="D39" s="91">
        <v>-2.3039999999996397E-3</v>
      </c>
      <c r="E39" s="91">
        <v>-1.314813</v>
      </c>
      <c r="F39" s="98">
        <v>9.9999999999999995E-7</v>
      </c>
      <c r="G39" s="170"/>
      <c r="H39" s="170"/>
      <c r="I39" s="94">
        <f t="shared" si="1"/>
        <v>-1.6810051832329899E-4</v>
      </c>
      <c r="J39" s="94">
        <f t="shared" si="2"/>
        <v>-1.3611403546582255E-2</v>
      </c>
      <c r="K39" s="95">
        <f t="shared" si="3"/>
        <v>0.99480005435853303</v>
      </c>
      <c r="L39" s="95">
        <f t="shared" si="4"/>
        <v>4.0703258622702253E-4</v>
      </c>
      <c r="M39" s="95">
        <f t="shared" si="5"/>
        <v>0.99959296741377301</v>
      </c>
      <c r="N39" s="95">
        <f t="shared" si="6"/>
        <v>6.4896050357489622E-7</v>
      </c>
      <c r="O39" s="40">
        <f t="shared" si="7"/>
        <v>1.000399942081345E-6</v>
      </c>
      <c r="P39" s="40">
        <f t="shared" si="8"/>
        <v>9.6953223788866159E-7</v>
      </c>
      <c r="Q39" s="40">
        <f t="shared" si="9"/>
        <v>4.8457461336497821E-8</v>
      </c>
      <c r="R39" s="9">
        <f t="shared" si="14"/>
        <v>3.9999999999999996E-5</v>
      </c>
      <c r="S39" s="9">
        <f t="shared" si="10"/>
        <v>1.62813034490809E-8</v>
      </c>
      <c r="T39" s="9">
        <f t="shared" si="11"/>
        <v>3.9792002174341315E-5</v>
      </c>
      <c r="U39" s="9">
        <f t="shared" si="12"/>
        <v>3.9983718696550914E-5</v>
      </c>
      <c r="V39" s="102">
        <f t="shared" si="13"/>
        <v>0.9952051352785718</v>
      </c>
      <c r="W39" s="7"/>
      <c r="X39" s="7"/>
      <c r="Y39" s="7"/>
      <c r="Z39" s="7"/>
      <c r="AA39" s="7"/>
      <c r="AB39" s="7"/>
      <c r="AC39" s="7"/>
      <c r="AD39" s="7"/>
      <c r="AE39" s="7"/>
      <c r="AF39" s="7"/>
    </row>
    <row r="40" spans="1:32" x14ac:dyDescent="0.45">
      <c r="A40" s="89"/>
      <c r="B40" s="46" t="s">
        <v>132</v>
      </c>
      <c r="C40" s="46" t="s">
        <v>133</v>
      </c>
      <c r="D40" s="47">
        <v>3.2352399999999997</v>
      </c>
      <c r="E40" s="47">
        <v>3.7544849999999994</v>
      </c>
      <c r="F40" s="98">
        <v>9.9999999999999995E-7</v>
      </c>
      <c r="G40" s="170"/>
      <c r="H40" s="170"/>
      <c r="I40" s="94">
        <f t="shared" si="1"/>
        <v>1.0570731161685156</v>
      </c>
      <c r="J40" s="94">
        <f t="shared" si="2"/>
        <v>2.5374746618878143</v>
      </c>
      <c r="K40" s="95">
        <f t="shared" si="3"/>
        <v>8.6137546745823579E-2</v>
      </c>
      <c r="L40" s="95">
        <f t="shared" si="4"/>
        <v>1.253637408803707E-2</v>
      </c>
      <c r="M40" s="95">
        <f t="shared" si="5"/>
        <v>0.98746362591196291</v>
      </c>
      <c r="N40" s="95">
        <f t="shared" si="6"/>
        <v>6.5913286157046527E-3</v>
      </c>
      <c r="O40" s="40">
        <f t="shared" si="7"/>
        <v>8.6622428696102632E-8</v>
      </c>
      <c r="P40" s="40">
        <f t="shared" si="8"/>
        <v>2.986104610750964E-5</v>
      </c>
      <c r="Q40" s="40">
        <f t="shared" si="9"/>
        <v>4.921702473296947E-4</v>
      </c>
      <c r="R40" s="9">
        <f t="shared" si="14"/>
        <v>3.9999999999999996E-5</v>
      </c>
      <c r="S40" s="9">
        <f t="shared" si="10"/>
        <v>5.0145496352148281E-7</v>
      </c>
      <c r="T40" s="9">
        <f t="shared" si="11"/>
        <v>3.4455018698329428E-6</v>
      </c>
      <c r="U40" s="9">
        <f t="shared" si="12"/>
        <v>3.9498545036478515E-5</v>
      </c>
      <c r="V40" s="102">
        <f t="shared" si="13"/>
        <v>8.7231108554780473E-2</v>
      </c>
      <c r="W40" s="7"/>
      <c r="X40" s="7"/>
      <c r="Y40" s="7"/>
      <c r="Z40" s="7"/>
      <c r="AA40" s="7"/>
      <c r="AB40" s="7"/>
      <c r="AC40" s="7"/>
      <c r="AD40" s="7"/>
      <c r="AE40" s="7"/>
      <c r="AF40" s="7"/>
    </row>
    <row r="41" spans="1:32" x14ac:dyDescent="0.45">
      <c r="A41" s="89"/>
      <c r="B41" s="96" t="s">
        <v>134</v>
      </c>
      <c r="C41" s="96" t="s">
        <v>135</v>
      </c>
      <c r="D41" s="97">
        <v>3.3303280000000011</v>
      </c>
      <c r="E41" s="97">
        <v>3.8215209999999997</v>
      </c>
      <c r="F41" s="98">
        <v>9.9999999999999995E-7</v>
      </c>
      <c r="G41" s="170"/>
      <c r="H41" s="170"/>
      <c r="I41" s="94">
        <f t="shared" si="1"/>
        <v>1.1393826628828596</v>
      </c>
      <c r="J41" s="94">
        <f t="shared" si="2"/>
        <v>2.6178158804762943</v>
      </c>
      <c r="K41" s="95">
        <f t="shared" si="3"/>
        <v>7.1270133525962134E-2</v>
      </c>
      <c r="L41" s="95">
        <f t="shared" si="4"/>
        <v>1.248039226137194E-2</v>
      </c>
      <c r="M41" s="95">
        <f t="shared" si="5"/>
        <v>0.98751960773862801</v>
      </c>
      <c r="N41" s="95">
        <f t="shared" si="6"/>
        <v>6.3639101317651027E-3</v>
      </c>
      <c r="O41" s="40">
        <f t="shared" si="7"/>
        <v>7.1671324442655995E-8</v>
      </c>
      <c r="P41" s="40">
        <f t="shared" si="8"/>
        <v>2.9727700062194566E-5</v>
      </c>
      <c r="Q41" s="40">
        <f t="shared" si="9"/>
        <v>4.7518905612930627E-4</v>
      </c>
      <c r="R41" s="9">
        <f t="shared" si="14"/>
        <v>3.9999999999999996E-5</v>
      </c>
      <c r="S41" s="9">
        <f t="shared" si="10"/>
        <v>4.9921569045487753E-7</v>
      </c>
      <c r="T41" s="9">
        <f t="shared" si="11"/>
        <v>2.850805341038485E-6</v>
      </c>
      <c r="U41" s="9">
        <f t="shared" si="12"/>
        <v>3.9500784309545117E-5</v>
      </c>
      <c r="V41" s="102">
        <f t="shared" si="13"/>
        <v>7.2170854094904785E-2</v>
      </c>
      <c r="W41" s="7"/>
      <c r="X41" s="7"/>
      <c r="Y41" s="7"/>
      <c r="Z41" s="7"/>
      <c r="AA41" s="7"/>
      <c r="AB41" s="7"/>
      <c r="AC41" s="7"/>
      <c r="AD41" s="7"/>
      <c r="AE41" s="7"/>
      <c r="AF41" s="7"/>
    </row>
    <row r="42" spans="1:32" x14ac:dyDescent="0.45">
      <c r="A42" s="90"/>
      <c r="B42" s="46" t="s">
        <v>136</v>
      </c>
      <c r="C42" s="46" t="s">
        <v>137</v>
      </c>
      <c r="D42" s="91">
        <v>4.4202640000000004</v>
      </c>
      <c r="E42" s="91">
        <v>5.6388380000000007</v>
      </c>
      <c r="F42" s="98">
        <v>9.9999999999999995E-7</v>
      </c>
      <c r="G42" s="170"/>
      <c r="H42" s="170"/>
      <c r="I42" s="94">
        <f t="shared" si="1"/>
        <v>2.466507651261447</v>
      </c>
      <c r="J42" s="94">
        <f t="shared" si="2"/>
        <v>4.2142679595923802</v>
      </c>
      <c r="K42" s="95">
        <f t="shared" si="3"/>
        <v>3.3200937507132508E-3</v>
      </c>
      <c r="L42" s="95">
        <f t="shared" si="4"/>
        <v>2.2957420517947219E-2</v>
      </c>
      <c r="M42" s="95">
        <f t="shared" si="5"/>
        <v>0.97704257948205275</v>
      </c>
      <c r="N42" s="95">
        <f t="shared" si="6"/>
        <v>1.946631796284079E-2</v>
      </c>
      <c r="O42" s="40">
        <f t="shared" si="7"/>
        <v>3.3387830864764987E-9</v>
      </c>
      <c r="P42" s="40">
        <f t="shared" si="8"/>
        <v>5.4683482463249458E-5</v>
      </c>
      <c r="Q42" s="40">
        <f t="shared" si="9"/>
        <v>1.4535373799361986E-3</v>
      </c>
      <c r="R42" s="9">
        <f t="shared" si="14"/>
        <v>3.9999999999999996E-5</v>
      </c>
      <c r="S42" s="9">
        <f t="shared" si="10"/>
        <v>9.1829682071788866E-7</v>
      </c>
      <c r="T42" s="9">
        <f t="shared" si="11"/>
        <v>1.3280375002853002E-7</v>
      </c>
      <c r="U42" s="9">
        <f t="shared" si="12"/>
        <v>3.908170317928211E-5</v>
      </c>
      <c r="V42" s="102">
        <f t="shared" si="13"/>
        <v>3.3981054873507052E-3</v>
      </c>
      <c r="W42" s="7"/>
      <c r="X42" s="7"/>
      <c r="Y42" s="7"/>
      <c r="Z42" s="7"/>
      <c r="AA42" s="7"/>
      <c r="AB42" s="7"/>
      <c r="AC42" s="7"/>
      <c r="AD42" s="7"/>
      <c r="AE42" s="7"/>
      <c r="AF42" s="7"/>
    </row>
    <row r="43" spans="1:32" x14ac:dyDescent="0.45">
      <c r="A43" s="90"/>
      <c r="B43" s="46" t="s">
        <v>138</v>
      </c>
      <c r="C43" s="46" t="s">
        <v>139</v>
      </c>
      <c r="D43" s="91">
        <v>4.2752879999999998</v>
      </c>
      <c r="E43" s="91">
        <v>5.3084609999999994</v>
      </c>
      <c r="F43" s="98">
        <v>9.9999999999999995E-7</v>
      </c>
      <c r="G43" s="170"/>
      <c r="H43" s="170"/>
      <c r="I43" s="94">
        <f t="shared" si="1"/>
        <v>2.2273249528367836</v>
      </c>
      <c r="J43" s="94">
        <f t="shared" si="2"/>
        <v>3.9177203460984957</v>
      </c>
      <c r="K43" s="95">
        <f t="shared" si="3"/>
        <v>5.7752193187202584E-3</v>
      </c>
      <c r="L43" s="95">
        <f t="shared" si="4"/>
        <v>2.017407403452038E-2</v>
      </c>
      <c r="M43" s="95">
        <f t="shared" si="5"/>
        <v>0.97982592596547957</v>
      </c>
      <c r="N43" s="95">
        <f t="shared" si="6"/>
        <v>1.5824316012349939E-2</v>
      </c>
      <c r="O43" s="40">
        <f t="shared" si="7"/>
        <v>5.8077289467784329E-9</v>
      </c>
      <c r="P43" s="40">
        <f t="shared" si="8"/>
        <v>4.80536836800355E-5</v>
      </c>
      <c r="Q43" s="40">
        <f t="shared" si="9"/>
        <v>1.1815914483561075E-3</v>
      </c>
      <c r="R43" s="9">
        <f t="shared" si="14"/>
        <v>3.9999999999999996E-5</v>
      </c>
      <c r="S43" s="9">
        <f t="shared" si="10"/>
        <v>8.0696296138081507E-7</v>
      </c>
      <c r="T43" s="9">
        <f t="shared" si="11"/>
        <v>2.3100877274881031E-7</v>
      </c>
      <c r="U43" s="9">
        <f t="shared" si="12"/>
        <v>3.9193037038619177E-5</v>
      </c>
      <c r="V43" s="102">
        <f t="shared" si="13"/>
        <v>5.894127891165564E-3</v>
      </c>
      <c r="W43" s="7"/>
      <c r="X43" s="7"/>
      <c r="Y43" s="7"/>
      <c r="Z43" s="7"/>
      <c r="AA43" s="7"/>
      <c r="AB43" s="7"/>
      <c r="AC43" s="7"/>
      <c r="AD43" s="7"/>
      <c r="AE43" s="7"/>
      <c r="AF43" s="7"/>
    </row>
    <row r="44" spans="1:32" x14ac:dyDescent="0.45">
      <c r="A44" s="90"/>
      <c r="B44" s="46" t="s">
        <v>85</v>
      </c>
      <c r="C44" s="46" t="s">
        <v>86</v>
      </c>
      <c r="D44" s="91">
        <v>2.7665919999999997</v>
      </c>
      <c r="E44" s="91">
        <v>3.5255839999999989</v>
      </c>
      <c r="F44" s="98">
        <v>9.9999999999999995E-7</v>
      </c>
      <c r="G44" s="170"/>
      <c r="H44" s="170"/>
      <c r="I44" s="94">
        <f t="shared" si="1"/>
        <v>0.70532975413914478</v>
      </c>
      <c r="J44" s="94">
        <f t="shared" si="2"/>
        <v>2.2125616665002772</v>
      </c>
      <c r="K44" s="95">
        <f t="shared" si="3"/>
        <v>0.19345904361157884</v>
      </c>
      <c r="L44" s="95">
        <f t="shared" si="4"/>
        <v>1.3324640039722516E-2</v>
      </c>
      <c r="M44" s="95">
        <f t="shared" si="5"/>
        <v>0.98667535996027744</v>
      </c>
      <c r="N44" s="95">
        <f t="shared" si="6"/>
        <v>8.7391360832862249E-3</v>
      </c>
      <c r="O44" s="40">
        <f t="shared" si="7"/>
        <v>1.9454805533653897E-7</v>
      </c>
      <c r="P44" s="40">
        <f t="shared" si="8"/>
        <v>3.1738658067950481E-5</v>
      </c>
      <c r="Q44" s="40">
        <f t="shared" si="9"/>
        <v>6.5254564266615958E-4</v>
      </c>
      <c r="R44" s="9">
        <f t="shared" si="14"/>
        <v>3.9999999999999996E-5</v>
      </c>
      <c r="S44" s="9">
        <f t="shared" si="10"/>
        <v>5.329856015889006E-7</v>
      </c>
      <c r="T44" s="9">
        <f t="shared" si="11"/>
        <v>7.738361744463153E-6</v>
      </c>
      <c r="U44" s="9">
        <f t="shared" si="12"/>
        <v>3.9467014398411093E-5</v>
      </c>
      <c r="V44" s="102">
        <f t="shared" si="13"/>
        <v>0.19607162746961401</v>
      </c>
      <c r="W44" s="7"/>
      <c r="X44" s="7"/>
      <c r="Y44" s="7"/>
      <c r="Z44" s="7"/>
      <c r="AA44" s="7"/>
      <c r="AB44" s="7"/>
      <c r="AC44" s="7"/>
      <c r="AD44" s="7"/>
      <c r="AE44" s="7"/>
      <c r="AF44" s="7"/>
    </row>
    <row r="45" spans="1:32" x14ac:dyDescent="0.45">
      <c r="A45" s="90"/>
      <c r="B45" s="46" t="s">
        <v>140</v>
      </c>
      <c r="C45" s="46" t="s">
        <v>141</v>
      </c>
      <c r="D45" s="91">
        <v>4.4687359999999998</v>
      </c>
      <c r="E45" s="91">
        <v>5.2666120000000003</v>
      </c>
      <c r="F45" s="98">
        <v>9.9999999999999995E-7</v>
      </c>
      <c r="G45" s="170"/>
      <c r="H45" s="170"/>
      <c r="I45" s="94">
        <f t="shared" si="1"/>
        <v>2.3272580136650043</v>
      </c>
      <c r="J45" s="94">
        <f t="shared" si="2"/>
        <v>3.9384447971611571</v>
      </c>
      <c r="K45" s="95">
        <f t="shared" si="3"/>
        <v>4.603610701280611E-3</v>
      </c>
      <c r="L45" s="95">
        <f t="shared" si="4"/>
        <v>1.6867401033336477E-2</v>
      </c>
      <c r="M45" s="95">
        <f t="shared" si="5"/>
        <v>0.9831325989666635</v>
      </c>
      <c r="N45" s="95">
        <f t="shared" si="6"/>
        <v>1.1455289166417519E-2</v>
      </c>
      <c r="O45" s="40">
        <f t="shared" si="7"/>
        <v>4.6295251580940764E-9</v>
      </c>
      <c r="P45" s="40">
        <f t="shared" si="8"/>
        <v>4.0177346051834464E-5</v>
      </c>
      <c r="Q45" s="40">
        <f t="shared" si="9"/>
        <v>8.5535903775693504E-4</v>
      </c>
      <c r="R45" s="9">
        <f t="shared" si="14"/>
        <v>3.9999999999999996E-5</v>
      </c>
      <c r="S45" s="9">
        <f t="shared" si="10"/>
        <v>6.7469604133345899E-7</v>
      </c>
      <c r="T45" s="9">
        <f t="shared" si="11"/>
        <v>1.8414442805122443E-7</v>
      </c>
      <c r="U45" s="9">
        <f t="shared" si="12"/>
        <v>3.9325303958666539E-5</v>
      </c>
      <c r="V45" s="102">
        <f t="shared" si="13"/>
        <v>4.6825938903046309E-3</v>
      </c>
      <c r="W45" s="7"/>
      <c r="X45" s="7"/>
      <c r="Y45" s="7"/>
      <c r="Z45" s="7"/>
      <c r="AA45" s="7"/>
      <c r="AB45" s="7"/>
      <c r="AC45" s="7"/>
      <c r="AD45" s="7"/>
      <c r="AE45" s="7"/>
      <c r="AF45" s="7"/>
    </row>
    <row r="46" spans="1:32" x14ac:dyDescent="0.45">
      <c r="A46" s="89"/>
      <c r="B46" s="46" t="s">
        <v>87</v>
      </c>
      <c r="C46" s="46" t="s">
        <v>88</v>
      </c>
      <c r="D46" s="93">
        <v>2.6972559999999999</v>
      </c>
      <c r="E46" s="93">
        <v>3.431432</v>
      </c>
      <c r="F46" s="98">
        <v>9.9999999999999995E-7</v>
      </c>
      <c r="G46" s="170"/>
      <c r="H46" s="170"/>
      <c r="I46" s="94">
        <f t="shared" si="1"/>
        <v>0.64458903464573347</v>
      </c>
      <c r="J46" s="94">
        <f t="shared" si="2"/>
        <v>2.1275282735995251</v>
      </c>
      <c r="K46" s="95">
        <f t="shared" si="3"/>
        <v>0.22266126634217195</v>
      </c>
      <c r="L46" s="95">
        <f t="shared" si="4"/>
        <v>1.260891540230576E-2</v>
      </c>
      <c r="M46" s="95">
        <f t="shared" si="5"/>
        <v>0.9873910845976942</v>
      </c>
      <c r="N46" s="95">
        <f t="shared" si="6"/>
        <v>8.097894983112558E-3</v>
      </c>
      <c r="O46" s="40">
        <f t="shared" si="7"/>
        <v>2.2391466202331648E-7</v>
      </c>
      <c r="P46" s="40">
        <f t="shared" si="8"/>
        <v>3.0033836063749362E-5</v>
      </c>
      <c r="Q46" s="40">
        <f t="shared" si="9"/>
        <v>6.0466458419207838E-4</v>
      </c>
      <c r="R46" s="9">
        <f t="shared" si="14"/>
        <v>3.9999999999999996E-5</v>
      </c>
      <c r="S46" s="9">
        <f t="shared" si="10"/>
        <v>5.043566160922304E-7</v>
      </c>
      <c r="T46" s="9">
        <f t="shared" si="11"/>
        <v>8.9064506536868775E-6</v>
      </c>
      <c r="U46" s="9">
        <f t="shared" si="12"/>
        <v>3.9495643383907762E-5</v>
      </c>
      <c r="V46" s="102">
        <f t="shared" si="13"/>
        <v>0.22550463521036732</v>
      </c>
      <c r="W46" s="7"/>
      <c r="X46" s="7"/>
      <c r="Y46" s="7"/>
      <c r="Z46" s="7"/>
      <c r="AA46" s="7"/>
      <c r="AB46" s="7"/>
      <c r="AC46" s="7"/>
      <c r="AD46" s="7"/>
      <c r="AE46" s="7"/>
      <c r="AF46" s="7"/>
    </row>
    <row r="47" spans="1:32" x14ac:dyDescent="0.45">
      <c r="A47" s="89"/>
      <c r="B47" s="46" t="s">
        <v>142</v>
      </c>
      <c r="C47" s="46" t="s">
        <v>143</v>
      </c>
      <c r="D47" s="91">
        <v>3.859360000000001</v>
      </c>
      <c r="E47" s="91">
        <v>4.2614199999999993</v>
      </c>
      <c r="F47" s="98">
        <v>9.9999999999999995E-7</v>
      </c>
      <c r="G47" s="170"/>
      <c r="H47" s="170"/>
      <c r="I47" s="94">
        <f t="shared" si="1"/>
        <v>1.6299602750984028</v>
      </c>
      <c r="J47" s="94">
        <f t="shared" si="2"/>
        <v>3.1029707241226632</v>
      </c>
      <c r="K47" s="95">
        <f t="shared" si="3"/>
        <v>2.3035477702953982E-2</v>
      </c>
      <c r="L47" s="95">
        <f t="shared" si="4"/>
        <v>1.2327435238617811E-2</v>
      </c>
      <c r="M47" s="95">
        <f t="shared" si="5"/>
        <v>0.98767256476138221</v>
      </c>
      <c r="N47" s="95">
        <f t="shared" si="6"/>
        <v>5.6638623309988581E-3</v>
      </c>
      <c r="O47" s="40">
        <f t="shared" si="7"/>
        <v>2.3165148070594906E-8</v>
      </c>
      <c r="P47" s="40">
        <f t="shared" si="8"/>
        <v>2.9363363717661996E-5</v>
      </c>
      <c r="Q47" s="40">
        <f t="shared" si="9"/>
        <v>4.2291693933257783E-4</v>
      </c>
      <c r="R47" s="9">
        <f t="shared" si="14"/>
        <v>3.9999999999999996E-5</v>
      </c>
      <c r="S47" s="9">
        <f t="shared" si="10"/>
        <v>4.930974095447124E-7</v>
      </c>
      <c r="T47" s="9">
        <f t="shared" si="11"/>
        <v>9.2141910811815924E-7</v>
      </c>
      <c r="U47" s="9">
        <f t="shared" si="12"/>
        <v>3.9506902590455282E-5</v>
      </c>
      <c r="V47" s="102">
        <f t="shared" si="13"/>
        <v>2.3322990356140206E-2</v>
      </c>
      <c r="W47" s="7"/>
      <c r="X47" s="7"/>
      <c r="Y47" s="7"/>
      <c r="Z47" s="7"/>
      <c r="AA47" s="7"/>
      <c r="AB47" s="7"/>
      <c r="AC47" s="7"/>
      <c r="AD47" s="7"/>
      <c r="AE47" s="7"/>
      <c r="AF47" s="7"/>
    </row>
    <row r="48" spans="1:32" x14ac:dyDescent="0.45">
      <c r="A48" s="89"/>
      <c r="B48" s="46" t="s">
        <v>144</v>
      </c>
      <c r="C48" s="46" t="s">
        <v>145</v>
      </c>
      <c r="D48" s="91">
        <v>2.0184960000000003</v>
      </c>
      <c r="E48" s="91">
        <v>2.3512620000000002</v>
      </c>
      <c r="F48" s="98">
        <v>9.9999999999999995E-7</v>
      </c>
      <c r="G48" s="170"/>
      <c r="H48" s="170"/>
      <c r="I48" s="94">
        <f t="shared" ref="I48:I50" si="15">IF(D48=0,"",LOG($K$15*10^D48+$K$16*10^E48+$K$14))</f>
        <v>0.19893820408979257</v>
      </c>
      <c r="J48" s="94">
        <f t="shared" ref="J48:J50" si="16">IF(D48=0,"",LOG($K$21*10^D48+$K$22*10^E48+$K$20))</f>
        <v>1.2530323770467107</v>
      </c>
      <c r="K48" s="95">
        <f t="shared" ref="K48:K50" si="17">IF(D48=0,"",1/(1+10^D48*$J$15/$J$14+10^E48*$J$16/$J$14+10^J48*$J$19/$J$14))</f>
        <v>0.62624635965700814</v>
      </c>
      <c r="L48" s="95">
        <f t="shared" ref="L48:L50" si="18">IF(D48=0,"",1/(1+10^I48/10^J48*$J$13/$J$19))</f>
        <v>4.7345899727787109E-3</v>
      </c>
      <c r="M48" s="95">
        <f t="shared" ref="M48:M92" si="19">IF(D48=0,"",1-L48)</f>
        <v>0.99526541002722124</v>
      </c>
      <c r="N48" s="95">
        <f t="shared" ref="N48:N50" si="20">IF(D48=0,"",1/(1/10^E48*$J$20/$J$22+10^D48/10^E48*$J$21/$J$22+10^I48/10^E48*$J$13/$J$22+1))</f>
        <v>1.8936629405192503E-3</v>
      </c>
      <c r="O48" s="40">
        <f t="shared" ref="O48:O92" si="21">IF(D48=0,"",F48*K48*$J$7/$J$14)</f>
        <v>6.2977160001614772E-7</v>
      </c>
      <c r="P48" s="40">
        <f t="shared" ref="P48:P50" si="22">IF(D48=0,"",O48*10^J48)</f>
        <v>1.1277567858493518E-5</v>
      </c>
      <c r="Q48" s="40">
        <f t="shared" ref="Q48:Q50" si="23">IF(D48=0,"",F48*N48*$J$7/$J$22)</f>
        <v>1.4139858777088138E-4</v>
      </c>
      <c r="R48" s="9">
        <f t="shared" si="14"/>
        <v>3.9999999999999996E-5</v>
      </c>
      <c r="S48" s="9">
        <f t="shared" si="10"/>
        <v>1.8938359891114841E-7</v>
      </c>
      <c r="T48" s="9">
        <f t="shared" si="11"/>
        <v>2.5049854386280322E-5</v>
      </c>
      <c r="U48" s="9">
        <f t="shared" si="12"/>
        <v>3.9810616401088849E-5</v>
      </c>
      <c r="V48" s="102">
        <f t="shared" si="13"/>
        <v>0.62922548432571357</v>
      </c>
      <c r="W48" s="7"/>
      <c r="X48" s="7"/>
      <c r="Y48" s="7"/>
      <c r="Z48" s="7"/>
      <c r="AA48" s="7"/>
      <c r="AB48" s="7"/>
      <c r="AC48" s="7"/>
      <c r="AD48" s="7"/>
      <c r="AE48" s="7"/>
      <c r="AF48" s="7"/>
    </row>
    <row r="49" spans="1:32" x14ac:dyDescent="0.45">
      <c r="A49" s="89"/>
      <c r="B49" s="46" t="s">
        <v>146</v>
      </c>
      <c r="C49" s="46" t="s">
        <v>147</v>
      </c>
      <c r="D49" s="91">
        <v>1.4665360000000003</v>
      </c>
      <c r="E49" s="91">
        <v>1.8522119999999997</v>
      </c>
      <c r="F49" s="98">
        <v>9.9999999999999995E-7</v>
      </c>
      <c r="G49" s="170"/>
      <c r="H49" s="170"/>
      <c r="I49" s="94">
        <f t="shared" si="15"/>
        <v>6.5352597387686409E-2</v>
      </c>
      <c r="J49" s="94">
        <f t="shared" si="16"/>
        <v>0.77181105160959218</v>
      </c>
      <c r="K49" s="95">
        <f t="shared" si="17"/>
        <v>0.85401405800028196</v>
      </c>
      <c r="L49" s="95">
        <f t="shared" si="18"/>
        <v>2.1319688448360507E-3</v>
      </c>
      <c r="M49" s="95">
        <f t="shared" si="19"/>
        <v>0.99786803115516398</v>
      </c>
      <c r="N49" s="95">
        <f t="shared" si="20"/>
        <v>8.1841293610442772E-4</v>
      </c>
      <c r="O49" s="40">
        <f t="shared" si="21"/>
        <v>8.5882143895844688E-7</v>
      </c>
      <c r="P49" s="40">
        <f t="shared" si="22"/>
        <v>5.0782482660735279E-6</v>
      </c>
      <c r="Q49" s="40">
        <f t="shared" si="23"/>
        <v>6.1110364945334507E-5</v>
      </c>
      <c r="R49" s="9">
        <f t="shared" si="14"/>
        <v>3.9999999999999996E-5</v>
      </c>
      <c r="S49" s="9">
        <f t="shared" si="10"/>
        <v>8.5278753793442016E-8</v>
      </c>
      <c r="T49" s="9">
        <f t="shared" si="11"/>
        <v>3.4160562320011272E-5</v>
      </c>
      <c r="U49" s="9">
        <f t="shared" si="12"/>
        <v>3.9914721246206555E-5</v>
      </c>
      <c r="V49" s="102">
        <f t="shared" si="13"/>
        <v>0.85583867940097047</v>
      </c>
      <c r="W49" s="7"/>
      <c r="X49" s="7"/>
      <c r="Y49" s="7"/>
      <c r="Z49" s="7"/>
      <c r="AA49" s="7"/>
      <c r="AB49" s="7"/>
      <c r="AC49" s="7"/>
      <c r="AD49" s="7"/>
      <c r="AE49" s="7"/>
      <c r="AF49" s="7"/>
    </row>
    <row r="50" spans="1:32" x14ac:dyDescent="0.45">
      <c r="A50" s="89"/>
      <c r="B50" s="46" t="s">
        <v>148</v>
      </c>
      <c r="C50" s="46" t="s">
        <v>149</v>
      </c>
      <c r="D50" s="91"/>
      <c r="E50" s="91"/>
      <c r="F50" s="92"/>
      <c r="G50" s="170"/>
      <c r="H50" s="170"/>
      <c r="I50" s="94" t="str">
        <f t="shared" si="15"/>
        <v/>
      </c>
      <c r="J50" s="94" t="str">
        <f t="shared" si="16"/>
        <v/>
      </c>
      <c r="K50" s="95" t="str">
        <f t="shared" si="17"/>
        <v/>
      </c>
      <c r="L50" s="95" t="str">
        <f t="shared" si="18"/>
        <v/>
      </c>
      <c r="M50" s="95" t="str">
        <f t="shared" si="19"/>
        <v/>
      </c>
      <c r="N50" s="95" t="str">
        <f t="shared" si="20"/>
        <v/>
      </c>
      <c r="O50" s="40" t="str">
        <f t="shared" si="21"/>
        <v/>
      </c>
      <c r="P50" s="40" t="str">
        <f t="shared" si="22"/>
        <v/>
      </c>
      <c r="Q50" s="40" t="str">
        <f t="shared" si="23"/>
        <v/>
      </c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</row>
    <row r="51" spans="1:32" x14ac:dyDescent="0.45">
      <c r="A51" s="89"/>
      <c r="B51" s="46" t="s">
        <v>150</v>
      </c>
      <c r="C51" s="46" t="s">
        <v>151</v>
      </c>
      <c r="D51" s="91"/>
      <c r="E51" s="91"/>
      <c r="F51" s="92"/>
      <c r="G51" s="170"/>
      <c r="H51" s="170"/>
      <c r="I51" s="94" t="str">
        <f t="shared" ref="I51:I70" si="24">IF(D51=0,"",LOG($K$15*10^D51+$K$16*10^E51+$K$14))</f>
        <v/>
      </c>
      <c r="J51" s="94" t="str">
        <f t="shared" ref="J51:J70" si="25">IF(D51=0,"",LOG($K$21*10^D51+$K$22*10^E51+$K$20))</f>
        <v/>
      </c>
      <c r="K51" s="95" t="str">
        <f t="shared" ref="K51:K70" si="26">IF(D51=0,"",1/(1+10^D51*$J$15/$J$14+10^E51*$J$16/$J$14+10^J51*$J$19/$J$14))</f>
        <v/>
      </c>
      <c r="L51" s="95" t="str">
        <f t="shared" ref="L51:L70" si="27">IF(D51=0,"",1/(1+10^I51/10^J51*$J$13/$J$19))</f>
        <v/>
      </c>
      <c r="M51" s="95" t="str">
        <f t="shared" ref="M51:M70" si="28">IF(D51=0,"",1-L51)</f>
        <v/>
      </c>
      <c r="N51" s="95" t="str">
        <f t="shared" ref="N51:N70" si="29">IF(D51=0,"",1/(1/10^E51*$J$20/$J$22+10^D51/10^E51*$J$21/$J$22+10^I51/10^E51*$J$13/$J$22+1))</f>
        <v/>
      </c>
      <c r="O51" s="40" t="str">
        <f t="shared" ref="O51:O70" si="30">IF(D51=0,"",F51*K51*$J$7/$J$14)</f>
        <v/>
      </c>
      <c r="P51" s="40" t="str">
        <f t="shared" ref="P51:P70" si="31">IF(D51=0,"",O51*10^J51)</f>
        <v/>
      </c>
      <c r="Q51" s="40" t="str">
        <f t="shared" ref="Q51:Q70" si="32">IF(D51=0,"",F51*N51*$J$7/$J$22)</f>
        <v/>
      </c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</row>
    <row r="52" spans="1:32" x14ac:dyDescent="0.45">
      <c r="A52" s="7"/>
      <c r="B52" s="46" t="s">
        <v>152</v>
      </c>
      <c r="C52" s="46" t="s">
        <v>153</v>
      </c>
      <c r="D52" s="47"/>
      <c r="E52" s="47"/>
      <c r="F52" s="92"/>
      <c r="G52" s="170"/>
      <c r="H52" s="170"/>
      <c r="I52" s="94" t="str">
        <f t="shared" si="24"/>
        <v/>
      </c>
      <c r="J52" s="94" t="str">
        <f t="shared" si="25"/>
        <v/>
      </c>
      <c r="K52" s="95" t="str">
        <f t="shared" si="26"/>
        <v/>
      </c>
      <c r="L52" s="95" t="str">
        <f t="shared" si="27"/>
        <v/>
      </c>
      <c r="M52" s="95" t="str">
        <f t="shared" si="28"/>
        <v/>
      </c>
      <c r="N52" s="95" t="str">
        <f t="shared" si="29"/>
        <v/>
      </c>
      <c r="O52" s="40" t="str">
        <f t="shared" si="30"/>
        <v/>
      </c>
      <c r="P52" s="40" t="str">
        <f t="shared" si="31"/>
        <v/>
      </c>
      <c r="Q52" s="40" t="str">
        <f t="shared" si="32"/>
        <v/>
      </c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</row>
    <row r="53" spans="1:32" x14ac:dyDescent="0.45">
      <c r="A53" s="7"/>
      <c r="B53" s="46" t="s">
        <v>154</v>
      </c>
      <c r="C53" s="46" t="s">
        <v>155</v>
      </c>
      <c r="D53" s="47"/>
      <c r="E53" s="47"/>
      <c r="F53" s="92"/>
      <c r="G53" s="170"/>
      <c r="H53" s="170"/>
      <c r="I53" s="94" t="str">
        <f t="shared" si="24"/>
        <v/>
      </c>
      <c r="J53" s="94" t="str">
        <f t="shared" si="25"/>
        <v/>
      </c>
      <c r="K53" s="95" t="str">
        <f t="shared" si="26"/>
        <v/>
      </c>
      <c r="L53" s="95" t="str">
        <f t="shared" si="27"/>
        <v/>
      </c>
      <c r="M53" s="95" t="str">
        <f t="shared" si="28"/>
        <v/>
      </c>
      <c r="N53" s="95" t="str">
        <f t="shared" si="29"/>
        <v/>
      </c>
      <c r="O53" s="40" t="str">
        <f t="shared" si="30"/>
        <v/>
      </c>
      <c r="P53" s="40" t="str">
        <f t="shared" si="31"/>
        <v/>
      </c>
      <c r="Q53" s="40" t="str">
        <f t="shared" si="32"/>
        <v/>
      </c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</row>
    <row r="54" spans="1:32" x14ac:dyDescent="0.45">
      <c r="A54" s="7"/>
      <c r="B54" s="46" t="s">
        <v>156</v>
      </c>
      <c r="C54" s="46" t="s">
        <v>157</v>
      </c>
      <c r="D54" s="47"/>
      <c r="E54" s="47"/>
      <c r="F54" s="92"/>
      <c r="G54" s="170"/>
      <c r="H54" s="170"/>
      <c r="I54" s="94" t="str">
        <f t="shared" si="24"/>
        <v/>
      </c>
      <c r="J54" s="94" t="str">
        <f t="shared" si="25"/>
        <v/>
      </c>
      <c r="K54" s="95" t="str">
        <f t="shared" si="26"/>
        <v/>
      </c>
      <c r="L54" s="95" t="str">
        <f t="shared" si="27"/>
        <v/>
      </c>
      <c r="M54" s="95" t="str">
        <f t="shared" si="28"/>
        <v/>
      </c>
      <c r="N54" s="95" t="str">
        <f t="shared" si="29"/>
        <v/>
      </c>
      <c r="O54" s="40" t="str">
        <f t="shared" si="30"/>
        <v/>
      </c>
      <c r="P54" s="40" t="str">
        <f t="shared" si="31"/>
        <v/>
      </c>
      <c r="Q54" s="40" t="str">
        <f t="shared" si="32"/>
        <v/>
      </c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</row>
    <row r="55" spans="1:32" x14ac:dyDescent="0.45">
      <c r="A55" s="7"/>
      <c r="B55" s="46" t="s">
        <v>158</v>
      </c>
      <c r="C55" s="46" t="s">
        <v>159</v>
      </c>
      <c r="D55" s="47"/>
      <c r="E55" s="47"/>
      <c r="F55" s="57"/>
      <c r="G55" s="170"/>
      <c r="H55" s="170"/>
      <c r="I55" s="54" t="str">
        <f t="shared" si="24"/>
        <v/>
      </c>
      <c r="J55" s="54" t="str">
        <f t="shared" si="25"/>
        <v/>
      </c>
      <c r="K55" s="55" t="str">
        <f t="shared" si="26"/>
        <v/>
      </c>
      <c r="L55" s="55" t="str">
        <f t="shared" si="27"/>
        <v/>
      </c>
      <c r="M55" s="55" t="str">
        <f t="shared" si="28"/>
        <v/>
      </c>
      <c r="N55" s="55" t="str">
        <f t="shared" si="29"/>
        <v/>
      </c>
      <c r="O55" s="56" t="str">
        <f t="shared" si="30"/>
        <v/>
      </c>
      <c r="P55" s="56" t="str">
        <f t="shared" si="31"/>
        <v/>
      </c>
      <c r="Q55" s="56" t="str">
        <f t="shared" si="32"/>
        <v/>
      </c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</row>
    <row r="56" spans="1:32" x14ac:dyDescent="0.45">
      <c r="A56" s="7"/>
      <c r="B56" s="46" t="s">
        <v>160</v>
      </c>
      <c r="C56" s="46" t="s">
        <v>161</v>
      </c>
      <c r="D56" s="47"/>
      <c r="E56" s="47"/>
      <c r="F56" s="57"/>
      <c r="G56" s="170"/>
      <c r="H56" s="170"/>
      <c r="I56" s="54" t="str">
        <f t="shared" si="24"/>
        <v/>
      </c>
      <c r="J56" s="54" t="str">
        <f t="shared" si="25"/>
        <v/>
      </c>
      <c r="K56" s="55" t="str">
        <f t="shared" si="26"/>
        <v/>
      </c>
      <c r="L56" s="55" t="str">
        <f t="shared" si="27"/>
        <v/>
      </c>
      <c r="M56" s="55" t="str">
        <f t="shared" si="28"/>
        <v/>
      </c>
      <c r="N56" s="55" t="str">
        <f t="shared" si="29"/>
        <v/>
      </c>
      <c r="O56" s="56" t="str">
        <f t="shared" si="30"/>
        <v/>
      </c>
      <c r="P56" s="56" t="str">
        <f t="shared" si="31"/>
        <v/>
      </c>
      <c r="Q56" s="56" t="str">
        <f t="shared" si="32"/>
        <v/>
      </c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</row>
    <row r="57" spans="1:32" x14ac:dyDescent="0.45">
      <c r="A57" s="7"/>
      <c r="B57" s="88" t="s">
        <v>89</v>
      </c>
      <c r="C57" s="88" t="s">
        <v>90</v>
      </c>
      <c r="D57" s="91">
        <v>6.5247999999999973E-2</v>
      </c>
      <c r="E57" s="91">
        <v>8.2216000000000289E-2</v>
      </c>
      <c r="F57" s="98">
        <v>9.9999999999999995E-7</v>
      </c>
      <c r="G57" s="170"/>
      <c r="H57" s="170"/>
      <c r="I57" s="54">
        <f t="shared" si="24"/>
        <v>3.7217650281818146E-4</v>
      </c>
      <c r="J57" s="54">
        <f t="shared" si="25"/>
        <v>9.4441934040065591E-3</v>
      </c>
      <c r="K57" s="55">
        <f t="shared" si="26"/>
        <v>0.9935417402500798</v>
      </c>
      <c r="L57" s="55">
        <f t="shared" si="27"/>
        <v>4.2868184699548968E-4</v>
      </c>
      <c r="M57" s="55">
        <f t="shared" si="28"/>
        <v>0.99957131815300448</v>
      </c>
      <c r="N57" s="55">
        <f t="shared" si="29"/>
        <v>1.6169536941133371E-5</v>
      </c>
      <c r="O57" s="56">
        <f t="shared" si="30"/>
        <v>9.9913454472264811E-7</v>
      </c>
      <c r="P57" s="56">
        <f t="shared" si="31"/>
        <v>1.021099746121971E-6</v>
      </c>
      <c r="Q57" s="56">
        <f t="shared" si="32"/>
        <v>1.2073688719695962E-6</v>
      </c>
      <c r="R57" s="9">
        <f t="shared" ref="R57:R58" si="33">F57*$C$14</f>
        <v>3.9999999999999996E-5</v>
      </c>
      <c r="S57" s="9">
        <f t="shared" ref="S57:S58" si="34">$R57*L57</f>
        <v>1.7147273879819587E-8</v>
      </c>
      <c r="T57" s="9">
        <f t="shared" ref="T57:T58" si="35">R57*K57</f>
        <v>3.9741669610003186E-5</v>
      </c>
      <c r="U57" s="9">
        <f t="shared" ref="U57:U58" si="36">$R57*M57</f>
        <v>3.9982852726120175E-5</v>
      </c>
      <c r="V57" s="102">
        <f t="shared" ref="V57:V58" si="37">K57/M57</f>
        <v>0.99396783621796381</v>
      </c>
      <c r="W57" s="7"/>
      <c r="X57" s="7"/>
      <c r="Y57" s="7"/>
      <c r="Z57" s="7"/>
      <c r="AA57" s="7"/>
      <c r="AB57" s="7"/>
      <c r="AC57" s="7"/>
      <c r="AD57" s="7"/>
      <c r="AE57" s="7"/>
      <c r="AF57" s="7"/>
    </row>
    <row r="58" spans="1:32" x14ac:dyDescent="0.45">
      <c r="A58" s="7"/>
      <c r="B58" s="46" t="s">
        <v>162</v>
      </c>
      <c r="C58" s="46" t="s">
        <v>163</v>
      </c>
      <c r="D58" s="47">
        <v>2.1823520000000003</v>
      </c>
      <c r="E58" s="47">
        <v>2.5882690000000008</v>
      </c>
      <c r="F58" s="98">
        <v>9.9999999999999995E-7</v>
      </c>
      <c r="G58" s="170"/>
      <c r="H58" s="170"/>
      <c r="I58" s="54">
        <f t="shared" si="24"/>
        <v>0.27242732253974722</v>
      </c>
      <c r="J58" s="54">
        <f t="shared" si="25"/>
        <v>1.4413921389547872</v>
      </c>
      <c r="K58" s="55">
        <f t="shared" si="26"/>
        <v>0.52800005318403609</v>
      </c>
      <c r="L58" s="55">
        <f t="shared" si="27"/>
        <v>6.1592933359458646E-3</v>
      </c>
      <c r="M58" s="55">
        <f t="shared" si="28"/>
        <v>0.99384070666405411</v>
      </c>
      <c r="N58" s="55">
        <f t="shared" si="29"/>
        <v>2.7554874156167221E-3</v>
      </c>
      <c r="O58" s="56">
        <f t="shared" si="30"/>
        <v>5.3097224945856882E-7</v>
      </c>
      <c r="P58" s="56">
        <f t="shared" si="31"/>
        <v>1.4671143426540386E-5</v>
      </c>
      <c r="Q58" s="56">
        <f t="shared" si="32"/>
        <v>2.0575046427312148E-4</v>
      </c>
      <c r="R58" s="9">
        <f t="shared" si="33"/>
        <v>3.9999999999999996E-5</v>
      </c>
      <c r="S58" s="9">
        <f t="shared" si="34"/>
        <v>2.4637173343783455E-7</v>
      </c>
      <c r="T58" s="9">
        <f t="shared" si="35"/>
        <v>2.1120002127361443E-5</v>
      </c>
      <c r="U58" s="9">
        <f t="shared" si="36"/>
        <v>3.9753628266562158E-5</v>
      </c>
      <c r="V58" s="102">
        <f t="shared" si="37"/>
        <v>0.53127231521471063</v>
      </c>
      <c r="W58" s="7"/>
      <c r="X58" s="7"/>
      <c r="Y58" s="7"/>
      <c r="Z58" s="7"/>
      <c r="AA58" s="7"/>
      <c r="AB58" s="7"/>
      <c r="AC58" s="7"/>
      <c r="AD58" s="7"/>
      <c r="AE58" s="7"/>
      <c r="AF58" s="7"/>
    </row>
    <row r="59" spans="1:32" x14ac:dyDescent="0.45">
      <c r="A59" s="7"/>
      <c r="B59" s="46" t="s">
        <v>164</v>
      </c>
      <c r="C59" s="46" t="s">
        <v>165</v>
      </c>
      <c r="D59" s="47"/>
      <c r="E59" s="47"/>
      <c r="F59" s="57"/>
      <c r="G59" s="170"/>
      <c r="H59" s="170"/>
      <c r="I59" s="54" t="str">
        <f t="shared" si="24"/>
        <v/>
      </c>
      <c r="J59" s="54" t="str">
        <f t="shared" si="25"/>
        <v/>
      </c>
      <c r="K59" s="55" t="str">
        <f t="shared" si="26"/>
        <v/>
      </c>
      <c r="L59" s="55" t="str">
        <f t="shared" si="27"/>
        <v/>
      </c>
      <c r="M59" s="55" t="str">
        <f t="shared" si="28"/>
        <v/>
      </c>
      <c r="N59" s="55" t="str">
        <f t="shared" si="29"/>
        <v/>
      </c>
      <c r="O59" s="56" t="str">
        <f t="shared" si="30"/>
        <v/>
      </c>
      <c r="P59" s="56" t="str">
        <f t="shared" si="31"/>
        <v/>
      </c>
      <c r="Q59" s="56" t="str">
        <f t="shared" si="32"/>
        <v/>
      </c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</row>
    <row r="60" spans="1:32" x14ac:dyDescent="0.45">
      <c r="A60" s="7"/>
      <c r="B60" s="46" t="s">
        <v>91</v>
      </c>
      <c r="C60" s="46" t="s">
        <v>92</v>
      </c>
      <c r="D60" s="47">
        <v>2.3628240000000003</v>
      </c>
      <c r="E60" s="47">
        <v>2.5674030000000005</v>
      </c>
      <c r="F60" s="98">
        <v>9.9999999999999995E-7</v>
      </c>
      <c r="G60" s="170"/>
      <c r="H60" s="170"/>
      <c r="I60" s="54">
        <f t="shared" si="24"/>
        <v>0.35062624883359406</v>
      </c>
      <c r="J60" s="54">
        <f t="shared" si="25"/>
        <v>1.5374135578346044</v>
      </c>
      <c r="K60" s="55">
        <f t="shared" si="26"/>
        <v>0.44088263830727015</v>
      </c>
      <c r="L60" s="55">
        <f t="shared" si="27"/>
        <v>6.4156599561273359E-3</v>
      </c>
      <c r="M60" s="55">
        <f t="shared" si="28"/>
        <v>0.99358434004387264</v>
      </c>
      <c r="N60" s="55">
        <f t="shared" si="29"/>
        <v>2.192913305070971E-3</v>
      </c>
      <c r="O60" s="56">
        <f t="shared" si="30"/>
        <v>4.4336443679797276E-7</v>
      </c>
      <c r="P60" s="56">
        <f t="shared" si="31"/>
        <v>1.5281796507878362E-5</v>
      </c>
      <c r="Q60" s="56">
        <f t="shared" si="32"/>
        <v>1.6374341906695786E-4</v>
      </c>
      <c r="R60" s="9">
        <f t="shared" ref="R60:R65" si="38">F60*$C$14</f>
        <v>3.9999999999999996E-5</v>
      </c>
      <c r="S60" s="9">
        <f t="shared" ref="S60:S93" si="39">$R60*L60</f>
        <v>2.5662639824509343E-7</v>
      </c>
      <c r="T60" s="9">
        <f t="shared" ref="T60:T93" si="40">R60*K60</f>
        <v>1.7635305532290806E-5</v>
      </c>
      <c r="U60" s="9">
        <f t="shared" ref="U60:U93" si="41">$R60*M60</f>
        <v>3.9743373601754902E-5</v>
      </c>
      <c r="V60" s="102">
        <f t="shared" ref="V60:V93" si="42">K60/M60</f>
        <v>0.44372945560696192</v>
      </c>
      <c r="W60" s="7"/>
      <c r="X60" s="7"/>
      <c r="Y60" s="7"/>
      <c r="Z60" s="7"/>
      <c r="AA60" s="7"/>
      <c r="AB60" s="7"/>
      <c r="AC60" s="7"/>
      <c r="AD60" s="7"/>
      <c r="AE60" s="7"/>
      <c r="AF60" s="7"/>
    </row>
    <row r="61" spans="1:32" x14ac:dyDescent="0.45">
      <c r="A61" s="7"/>
      <c r="B61" s="46" t="s">
        <v>93</v>
      </c>
      <c r="C61" s="46" t="s">
        <v>94</v>
      </c>
      <c r="D61" s="47">
        <v>3.2672240000000001</v>
      </c>
      <c r="E61" s="47">
        <v>3.6253630000000006</v>
      </c>
      <c r="F61" s="98">
        <v>9.9999999999999995E-7</v>
      </c>
      <c r="G61" s="170"/>
      <c r="H61" s="170"/>
      <c r="I61" s="54">
        <f t="shared" si="24"/>
        <v>1.0599296125914559</v>
      </c>
      <c r="J61" s="54">
        <f t="shared" si="25"/>
        <v>2.4921150802892003</v>
      </c>
      <c r="K61" s="55">
        <f t="shared" si="26"/>
        <v>8.5685727498783421E-2</v>
      </c>
      <c r="L61" s="55">
        <f t="shared" si="27"/>
        <v>1.1233843031529646E-2</v>
      </c>
      <c r="M61" s="55">
        <f t="shared" si="28"/>
        <v>0.98876615696847037</v>
      </c>
      <c r="N61" s="55">
        <f t="shared" si="29"/>
        <v>4.8704260544869017E-3</v>
      </c>
      <c r="O61" s="56">
        <f t="shared" si="30"/>
        <v>8.6168066086661816E-8</v>
      </c>
      <c r="P61" s="56">
        <f t="shared" si="31"/>
        <v>2.6758479156197359E-5</v>
      </c>
      <c r="Q61" s="56">
        <f t="shared" si="32"/>
        <v>3.6367156541497139E-4</v>
      </c>
      <c r="R61" s="9">
        <f t="shared" si="38"/>
        <v>3.9999999999999996E-5</v>
      </c>
      <c r="S61" s="9">
        <f t="shared" si="39"/>
        <v>4.4935372126118577E-7</v>
      </c>
      <c r="T61" s="9">
        <f t="shared" si="40"/>
        <v>3.4274290999513364E-6</v>
      </c>
      <c r="U61" s="9">
        <f t="shared" si="41"/>
        <v>3.955064627873881E-5</v>
      </c>
      <c r="V61" s="102">
        <f t="shared" si="42"/>
        <v>8.6659243841327949E-2</v>
      </c>
      <c r="W61" s="7"/>
      <c r="X61" s="7"/>
      <c r="Y61" s="7"/>
      <c r="Z61" s="7"/>
      <c r="AA61" s="7"/>
      <c r="AB61" s="7"/>
      <c r="AC61" s="7"/>
      <c r="AD61" s="7"/>
      <c r="AE61" s="7"/>
      <c r="AF61" s="7"/>
    </row>
    <row r="62" spans="1:32" x14ac:dyDescent="0.45">
      <c r="A62" s="7"/>
      <c r="B62" s="46" t="s">
        <v>166</v>
      </c>
      <c r="C62" s="46" t="s">
        <v>111</v>
      </c>
      <c r="D62" s="47">
        <v>2.9091840000000002</v>
      </c>
      <c r="E62" s="47">
        <v>3.4102429999999995</v>
      </c>
      <c r="F62" s="98">
        <v>9.9999999999999995E-7</v>
      </c>
      <c r="G62" s="170"/>
      <c r="H62" s="170"/>
      <c r="I62" s="54">
        <f t="shared" si="24"/>
        <v>0.76837016932652724</v>
      </c>
      <c r="J62" s="54">
        <f t="shared" si="25"/>
        <v>2.20320821086194</v>
      </c>
      <c r="K62" s="55">
        <f t="shared" si="26"/>
        <v>0.16766331276487814</v>
      </c>
      <c r="L62" s="55">
        <f t="shared" si="27"/>
        <v>1.130188896688092E-2</v>
      </c>
      <c r="M62" s="55">
        <f t="shared" si="28"/>
        <v>0.98869811103311911</v>
      </c>
      <c r="N62" s="55">
        <f t="shared" si="29"/>
        <v>5.8073300419295357E-3</v>
      </c>
      <c r="O62" s="56">
        <f t="shared" si="30"/>
        <v>1.6860711621824994E-7</v>
      </c>
      <c r="P62" s="56">
        <f t="shared" si="31"/>
        <v>2.6920561333921473E-5</v>
      </c>
      <c r="Q62" s="56">
        <f t="shared" si="32"/>
        <v>4.3362958057524602E-4</v>
      </c>
      <c r="R62" s="9">
        <f t="shared" si="38"/>
        <v>3.9999999999999996E-5</v>
      </c>
      <c r="S62" s="9">
        <f t="shared" si="39"/>
        <v>4.5207555867523676E-7</v>
      </c>
      <c r="T62" s="9">
        <f t="shared" si="40"/>
        <v>6.706532510595125E-6</v>
      </c>
      <c r="U62" s="9">
        <f t="shared" si="41"/>
        <v>3.9547924441324759E-5</v>
      </c>
      <c r="V62" s="102">
        <f t="shared" si="42"/>
        <v>0.16957988580526559</v>
      </c>
      <c r="W62" s="7"/>
      <c r="X62" s="7"/>
      <c r="Y62" s="7"/>
      <c r="Z62" s="7"/>
      <c r="AA62" s="7"/>
      <c r="AB62" s="7"/>
      <c r="AC62" s="7"/>
      <c r="AD62" s="7"/>
      <c r="AE62" s="7"/>
      <c r="AF62" s="7"/>
    </row>
    <row r="63" spans="1:32" x14ac:dyDescent="0.45">
      <c r="A63" s="7"/>
      <c r="B63" s="46" t="s">
        <v>95</v>
      </c>
      <c r="C63" s="46" t="s">
        <v>96</v>
      </c>
      <c r="D63" s="47">
        <v>2.857424</v>
      </c>
      <c r="E63" s="47">
        <v>3.3289280000000003</v>
      </c>
      <c r="F63" s="98">
        <v>9.9999999999999995E-7</v>
      </c>
      <c r="G63" s="170"/>
      <c r="H63" s="170"/>
      <c r="I63" s="54">
        <f t="shared" si="24"/>
        <v>0.7211484450377651</v>
      </c>
      <c r="J63" s="54">
        <f t="shared" si="25"/>
        <v>2.1368242314772878</v>
      </c>
      <c r="K63" s="55">
        <f t="shared" si="26"/>
        <v>0.18701294968116558</v>
      </c>
      <c r="L63" s="55">
        <f t="shared" si="27"/>
        <v>1.081933814399753E-2</v>
      </c>
      <c r="M63" s="55">
        <f t="shared" si="28"/>
        <v>0.98918066185600251</v>
      </c>
      <c r="N63" s="55">
        <f t="shared" si="29"/>
        <v>5.3714946298349386E-3</v>
      </c>
      <c r="O63" s="56">
        <f t="shared" si="30"/>
        <v>1.8806567531817982E-7</v>
      </c>
      <c r="P63" s="56">
        <f t="shared" si="31"/>
        <v>2.577114825242383E-5</v>
      </c>
      <c r="Q63" s="56">
        <f t="shared" si="32"/>
        <v>4.0108603206295493E-4</v>
      </c>
      <c r="R63" s="9">
        <f t="shared" si="38"/>
        <v>3.9999999999999996E-5</v>
      </c>
      <c r="S63" s="9">
        <f t="shared" si="39"/>
        <v>4.3277352575990116E-7</v>
      </c>
      <c r="T63" s="9">
        <f t="shared" si="40"/>
        <v>7.4805179872466229E-6</v>
      </c>
      <c r="U63" s="9">
        <f t="shared" si="41"/>
        <v>3.9567226474240094E-5</v>
      </c>
      <c r="V63" s="102">
        <f t="shared" si="42"/>
        <v>0.18905843683829468</v>
      </c>
      <c r="W63" s="7"/>
      <c r="X63" s="7"/>
      <c r="Y63" s="7"/>
      <c r="Z63" s="7"/>
      <c r="AA63" s="7"/>
      <c r="AB63" s="7"/>
      <c r="AC63" s="7"/>
      <c r="AD63" s="7"/>
      <c r="AE63" s="7"/>
      <c r="AF63" s="7"/>
    </row>
    <row r="64" spans="1:32" x14ac:dyDescent="0.45">
      <c r="A64" s="7"/>
      <c r="B64" s="46" t="s">
        <v>97</v>
      </c>
      <c r="C64" s="46" t="s">
        <v>98</v>
      </c>
      <c r="D64" s="47">
        <v>2.0783680000000002</v>
      </c>
      <c r="E64" s="47">
        <v>2.5770209999999998</v>
      </c>
      <c r="F64" s="98">
        <v>9.9999999999999995E-7</v>
      </c>
      <c r="G64" s="170"/>
      <c r="H64" s="170"/>
      <c r="I64" s="54">
        <f t="shared" si="24"/>
        <v>0.2338148544799136</v>
      </c>
      <c r="J64" s="54">
        <f t="shared" si="25"/>
        <v>1.3847009580887457</v>
      </c>
      <c r="K64" s="55">
        <f t="shared" si="26"/>
        <v>0.577238798818132</v>
      </c>
      <c r="L64" s="55">
        <f t="shared" si="27"/>
        <v>5.9096431213388582E-3</v>
      </c>
      <c r="M64" s="55">
        <f t="shared" si="28"/>
        <v>0.9940903568786611</v>
      </c>
      <c r="N64" s="55">
        <f t="shared" si="29"/>
        <v>2.9354317002340063E-3</v>
      </c>
      <c r="O64" s="56">
        <f t="shared" si="30"/>
        <v>5.8048816782295852E-7</v>
      </c>
      <c r="P64" s="56">
        <f t="shared" si="31"/>
        <v>1.4076488503451956E-5</v>
      </c>
      <c r="Q64" s="56">
        <f t="shared" si="32"/>
        <v>2.1918678769578334E-4</v>
      </c>
      <c r="R64" s="9">
        <f t="shared" si="38"/>
        <v>3.9999999999999996E-5</v>
      </c>
      <c r="S64" s="9">
        <f t="shared" si="39"/>
        <v>2.3638572485355432E-7</v>
      </c>
      <c r="T64" s="9">
        <f t="shared" si="40"/>
        <v>2.3089551952725277E-5</v>
      </c>
      <c r="U64" s="9">
        <f t="shared" si="41"/>
        <v>3.976361427514644E-5</v>
      </c>
      <c r="V64" s="102">
        <f t="shared" si="42"/>
        <v>0.5806703533777362</v>
      </c>
      <c r="W64" s="7"/>
      <c r="X64" s="7"/>
      <c r="Y64" s="7"/>
      <c r="Z64" s="7"/>
      <c r="AA64" s="7"/>
      <c r="AB64" s="7"/>
      <c r="AC64" s="7"/>
      <c r="AD64" s="7"/>
      <c r="AE64" s="7"/>
      <c r="AF64" s="7"/>
    </row>
    <row r="65" spans="1:32" x14ac:dyDescent="0.45">
      <c r="A65" s="7"/>
      <c r="B65" s="46" t="s">
        <v>167</v>
      </c>
      <c r="C65" s="46" t="s">
        <v>168</v>
      </c>
      <c r="D65" s="47">
        <v>3.4409280000000009</v>
      </c>
      <c r="E65" s="47">
        <v>4.1160660000000009</v>
      </c>
      <c r="F65" s="98">
        <v>9.9999999999999995E-7</v>
      </c>
      <c r="G65" s="170"/>
      <c r="H65" s="170"/>
      <c r="I65" s="54">
        <f t="shared" si="24"/>
        <v>1.2834731216469764</v>
      </c>
      <c r="J65" s="54">
        <f t="shared" si="25"/>
        <v>2.8316859841390225</v>
      </c>
      <c r="K65" s="55">
        <f t="shared" si="26"/>
        <v>5.103562014839666E-2</v>
      </c>
      <c r="L65" s="55">
        <f t="shared" si="27"/>
        <v>1.4623932139624726E-2</v>
      </c>
      <c r="M65" s="55">
        <f t="shared" si="28"/>
        <v>0.98537606786037524</v>
      </c>
      <c r="N65" s="55">
        <f t="shared" si="29"/>
        <v>8.9791424609475881E-3</v>
      </c>
      <c r="O65" s="56">
        <f t="shared" si="30"/>
        <v>5.1322907771113354E-8</v>
      </c>
      <c r="P65" s="56">
        <f t="shared" si="31"/>
        <v>3.4833509978865185E-5</v>
      </c>
      <c r="Q65" s="56">
        <f t="shared" si="32"/>
        <v>6.7046676375438015E-4</v>
      </c>
      <c r="R65" s="9">
        <f t="shared" si="38"/>
        <v>3.9999999999999996E-5</v>
      </c>
      <c r="S65" s="9">
        <f t="shared" si="39"/>
        <v>5.8495728558498897E-7</v>
      </c>
      <c r="T65" s="9">
        <f t="shared" si="40"/>
        <v>2.0414248059358661E-6</v>
      </c>
      <c r="U65" s="9">
        <f t="shared" si="41"/>
        <v>3.9415042714415007E-5</v>
      </c>
      <c r="V65" s="102">
        <f t="shared" si="42"/>
        <v>5.1793038021731463E-2</v>
      </c>
      <c r="W65" s="7"/>
      <c r="X65" s="7"/>
      <c r="Y65" s="7"/>
      <c r="Z65" s="7"/>
      <c r="AA65" s="7"/>
      <c r="AB65" s="7"/>
      <c r="AC65" s="7"/>
      <c r="AD65" s="7"/>
      <c r="AE65" s="7"/>
      <c r="AF65" s="7"/>
    </row>
    <row r="66" spans="1:32" x14ac:dyDescent="0.45">
      <c r="A66" s="7"/>
      <c r="B66" s="46" t="s">
        <v>169</v>
      </c>
      <c r="C66" s="46" t="s">
        <v>170</v>
      </c>
      <c r="D66" s="47"/>
      <c r="E66" s="47"/>
      <c r="F66" s="57"/>
      <c r="G66" s="170"/>
      <c r="H66" s="170"/>
      <c r="I66" s="54" t="str">
        <f t="shared" si="24"/>
        <v/>
      </c>
      <c r="J66" s="54" t="str">
        <f t="shared" si="25"/>
        <v/>
      </c>
      <c r="K66" s="55" t="str">
        <f t="shared" si="26"/>
        <v/>
      </c>
      <c r="L66" s="55" t="str">
        <f t="shared" si="27"/>
        <v/>
      </c>
      <c r="M66" s="55" t="str">
        <f t="shared" si="28"/>
        <v/>
      </c>
      <c r="N66" s="55" t="str">
        <f t="shared" si="29"/>
        <v/>
      </c>
      <c r="O66" s="56" t="str">
        <f t="shared" si="30"/>
        <v/>
      </c>
      <c r="P66" s="56" t="str">
        <f t="shared" si="31"/>
        <v/>
      </c>
      <c r="Q66" s="56" t="str">
        <f t="shared" si="32"/>
        <v/>
      </c>
      <c r="R66" s="9"/>
      <c r="S66" s="9"/>
      <c r="T66" s="9"/>
      <c r="U66" s="9"/>
      <c r="V66" s="102"/>
      <c r="W66" s="7"/>
      <c r="X66" s="7"/>
      <c r="Y66" s="7"/>
      <c r="Z66" s="7"/>
      <c r="AA66" s="7"/>
      <c r="AB66" s="7"/>
      <c r="AC66" s="7"/>
      <c r="AD66" s="7"/>
      <c r="AE66" s="7"/>
      <c r="AF66" s="7"/>
    </row>
    <row r="67" spans="1:32" x14ac:dyDescent="0.45">
      <c r="A67" s="7"/>
      <c r="B67" s="46" t="s">
        <v>171</v>
      </c>
      <c r="C67" s="46" t="s">
        <v>172</v>
      </c>
      <c r="D67" s="47"/>
      <c r="E67" s="47"/>
      <c r="F67" s="57"/>
      <c r="G67" s="170"/>
      <c r="H67" s="170"/>
      <c r="I67" s="54" t="str">
        <f t="shared" si="24"/>
        <v/>
      </c>
      <c r="J67" s="54" t="str">
        <f t="shared" si="25"/>
        <v/>
      </c>
      <c r="K67" s="55" t="str">
        <f t="shared" si="26"/>
        <v/>
      </c>
      <c r="L67" s="55" t="str">
        <f t="shared" si="27"/>
        <v/>
      </c>
      <c r="M67" s="55" t="str">
        <f t="shared" si="28"/>
        <v/>
      </c>
      <c r="N67" s="55" t="str">
        <f t="shared" si="29"/>
        <v/>
      </c>
      <c r="O67" s="56" t="str">
        <f t="shared" si="30"/>
        <v/>
      </c>
      <c r="P67" s="56" t="str">
        <f t="shared" si="31"/>
        <v/>
      </c>
      <c r="Q67" s="56" t="str">
        <f t="shared" si="32"/>
        <v/>
      </c>
      <c r="R67" s="9"/>
      <c r="S67" s="9"/>
      <c r="T67" s="9"/>
      <c r="U67" s="9"/>
      <c r="V67" s="102"/>
      <c r="W67" s="7"/>
      <c r="X67" s="7"/>
      <c r="Y67" s="7"/>
      <c r="Z67" s="7"/>
      <c r="AA67" s="7"/>
      <c r="AB67" s="7"/>
      <c r="AC67" s="7"/>
      <c r="AD67" s="7"/>
      <c r="AE67" s="7"/>
      <c r="AF67" s="7"/>
    </row>
    <row r="68" spans="1:32" x14ac:dyDescent="0.45">
      <c r="A68" s="7"/>
      <c r="B68" s="46" t="s">
        <v>99</v>
      </c>
      <c r="C68" s="46" t="s">
        <v>100</v>
      </c>
      <c r="D68" s="47">
        <v>2.3414159999999997</v>
      </c>
      <c r="E68" s="47">
        <v>2.4767320000000002</v>
      </c>
      <c r="F68" s="98">
        <v>9.9999999999999995E-7</v>
      </c>
      <c r="G68" s="170"/>
      <c r="H68" s="170"/>
      <c r="I68" s="54">
        <f t="shared" si="24"/>
        <v>0.33491051106253611</v>
      </c>
      <c r="J68" s="54">
        <f t="shared" si="25"/>
        <v>1.4941370637576192</v>
      </c>
      <c r="K68" s="55">
        <f t="shared" si="26"/>
        <v>0.4573093649850859</v>
      </c>
      <c r="L68" s="55">
        <f t="shared" si="27"/>
        <v>6.0235419810349437E-3</v>
      </c>
      <c r="M68" s="55">
        <f t="shared" si="28"/>
        <v>0.99397645801896506</v>
      </c>
      <c r="N68" s="55">
        <f t="shared" si="29"/>
        <v>1.8460249259926401E-3</v>
      </c>
      <c r="O68" s="56">
        <f t="shared" si="30"/>
        <v>4.5988363213282769E-7</v>
      </c>
      <c r="P68" s="56">
        <f t="shared" si="31"/>
        <v>1.4347790163492803E-5</v>
      </c>
      <c r="Q68" s="56">
        <f t="shared" si="32"/>
        <v>1.3784148801773078E-4</v>
      </c>
      <c r="R68" s="9">
        <f>F68*$C$14</f>
        <v>3.9999999999999996E-5</v>
      </c>
      <c r="S68" s="9">
        <f t="shared" si="39"/>
        <v>2.4094167924139771E-7</v>
      </c>
      <c r="T68" s="9">
        <f t="shared" si="40"/>
        <v>1.8292374599403434E-5</v>
      </c>
      <c r="U68" s="9">
        <f t="shared" si="41"/>
        <v>3.9759058320758599E-5</v>
      </c>
      <c r="V68" s="102">
        <f t="shared" si="42"/>
        <v>0.46008068027739996</v>
      </c>
      <c r="W68" s="7"/>
      <c r="X68" s="7"/>
      <c r="Y68" s="7"/>
      <c r="Z68" s="7"/>
      <c r="AA68" s="7"/>
      <c r="AB68" s="7"/>
      <c r="AC68" s="7"/>
      <c r="AD68" s="7"/>
      <c r="AE68" s="7"/>
      <c r="AF68" s="7"/>
    </row>
    <row r="69" spans="1:32" x14ac:dyDescent="0.45">
      <c r="A69" s="7"/>
      <c r="B69" s="46" t="s">
        <v>173</v>
      </c>
      <c r="C69" s="46" t="s">
        <v>174</v>
      </c>
      <c r="D69" s="47">
        <v>4.3302640000000006</v>
      </c>
      <c r="E69" s="47">
        <v>5.074033</v>
      </c>
      <c r="F69" s="98">
        <v>9.9999999999999995E-7</v>
      </c>
      <c r="G69" s="170"/>
      <c r="H69" s="170"/>
      <c r="I69" s="54">
        <f t="shared" si="24"/>
        <v>2.1724337273682748</v>
      </c>
      <c r="J69" s="54">
        <f t="shared" si="25"/>
        <v>3.7639896073264434</v>
      </c>
      <c r="K69" s="55">
        <f t="shared" si="26"/>
        <v>6.5803159742290731E-3</v>
      </c>
      <c r="L69" s="55">
        <f t="shared" si="27"/>
        <v>1.6133966023573105E-2</v>
      </c>
      <c r="M69" s="55">
        <f t="shared" si="28"/>
        <v>0.98386603397642691</v>
      </c>
      <c r="N69" s="55">
        <f t="shared" si="29"/>
        <v>1.0509334461534054E-2</v>
      </c>
      <c r="O69" s="56">
        <f t="shared" si="30"/>
        <v>6.6173576194067776E-9</v>
      </c>
      <c r="P69" s="56">
        <f t="shared" si="31"/>
        <v>3.8430338784054822E-5</v>
      </c>
      <c r="Q69" s="56">
        <f t="shared" si="32"/>
        <v>7.8472521137542173E-4</v>
      </c>
      <c r="R69" s="9">
        <f>F69*$C$14</f>
        <v>3.9999999999999996E-5</v>
      </c>
      <c r="S69" s="9">
        <f t="shared" si="39"/>
        <v>6.4535864094292416E-7</v>
      </c>
      <c r="T69" s="9">
        <f t="shared" si="40"/>
        <v>2.632126389691629E-7</v>
      </c>
      <c r="U69" s="9">
        <f t="shared" si="41"/>
        <v>3.9354641359057073E-5</v>
      </c>
      <c r="V69" s="102">
        <f t="shared" si="42"/>
        <v>6.6882235456730233E-3</v>
      </c>
      <c r="W69" s="7"/>
      <c r="X69" s="7"/>
      <c r="Y69" s="7"/>
      <c r="Z69" s="7"/>
      <c r="AA69" s="7"/>
      <c r="AB69" s="7"/>
      <c r="AC69" s="7"/>
      <c r="AD69" s="7"/>
      <c r="AE69" s="7"/>
      <c r="AF69" s="7"/>
    </row>
    <row r="70" spans="1:32" x14ac:dyDescent="0.45">
      <c r="A70" s="7"/>
      <c r="B70" s="46" t="s">
        <v>175</v>
      </c>
      <c r="C70" s="46" t="s">
        <v>176</v>
      </c>
      <c r="D70" s="47">
        <v>1.4854320000000003</v>
      </c>
      <c r="E70" s="47">
        <v>1.5057189999999996</v>
      </c>
      <c r="F70" s="98">
        <v>9.9999999999999995E-7</v>
      </c>
      <c r="G70" s="170"/>
      <c r="H70" s="170"/>
      <c r="I70" s="54">
        <f t="shared" si="24"/>
        <v>6.2122287627494992E-2</v>
      </c>
      <c r="J70" s="54">
        <f t="shared" si="25"/>
        <v>0.68019675641126665</v>
      </c>
      <c r="K70" s="55">
        <f t="shared" si="26"/>
        <v>0.86072785509756622</v>
      </c>
      <c r="L70" s="55">
        <f t="shared" si="27"/>
        <v>1.7400727141207385E-3</v>
      </c>
      <c r="M70" s="55">
        <f t="shared" si="28"/>
        <v>0.99825992728587931</v>
      </c>
      <c r="N70" s="55">
        <f t="shared" si="29"/>
        <v>3.7143286105843461E-4</v>
      </c>
      <c r="O70" s="56">
        <f t="shared" si="30"/>
        <v>8.6557302908737972E-7</v>
      </c>
      <c r="P70" s="56">
        <f t="shared" si="31"/>
        <v>4.1447703444301654E-6</v>
      </c>
      <c r="Q70" s="56">
        <f t="shared" si="32"/>
        <v>2.773465165398412E-5</v>
      </c>
      <c r="R70" s="9">
        <f t="shared" ref="R70:R86" si="43">F70*$C$14</f>
        <v>3.9999999999999996E-5</v>
      </c>
      <c r="S70" s="9">
        <f t="shared" si="39"/>
        <v>6.9602908564829536E-8</v>
      </c>
      <c r="T70" s="9">
        <f t="shared" si="40"/>
        <v>3.4429114203902647E-5</v>
      </c>
      <c r="U70" s="9">
        <f t="shared" si="41"/>
        <v>3.9930397091435172E-5</v>
      </c>
      <c r="V70" s="102">
        <f t="shared" si="42"/>
        <v>0.86222819485277502</v>
      </c>
      <c r="W70" s="7"/>
      <c r="X70" s="7"/>
      <c r="Y70" s="7"/>
      <c r="Z70" s="7"/>
      <c r="AA70" s="7"/>
      <c r="AB70" s="7"/>
      <c r="AC70" s="7"/>
      <c r="AD70" s="7"/>
      <c r="AE70" s="7"/>
      <c r="AF70" s="7"/>
    </row>
    <row r="71" spans="1:32" x14ac:dyDescent="0.45">
      <c r="A71" s="7"/>
      <c r="B71" s="46" t="s">
        <v>177</v>
      </c>
      <c r="C71" s="46" t="s">
        <v>178</v>
      </c>
      <c r="D71" s="47">
        <v>2.0758240000000003</v>
      </c>
      <c r="E71" s="47">
        <v>2.477398</v>
      </c>
      <c r="F71" s="98">
        <v>9.9999999999999995E-7</v>
      </c>
      <c r="G71" s="170"/>
      <c r="H71" s="170"/>
      <c r="I71" s="54">
        <f t="shared" ref="I71:I122" si="44">IF(D71=0,"",LOG($K$15*10^D71+$K$16*10^E71+$K$14))</f>
        <v>0.22542744412672311</v>
      </c>
      <c r="J71" s="54">
        <f t="shared" ref="J71:J122" si="45">IF(D71=0,"",LOG($K$21*10^D71+$K$22*10^E71+$K$20))</f>
        <v>1.3367435070507094</v>
      </c>
      <c r="K71" s="55">
        <f t="shared" ref="K71:K122" si="46">IF(D71=0,"",1/(1+10^D71*$J$15/$J$14+10^E71*$J$16/$J$14+10^J71*$J$19/$J$14))</f>
        <v>0.58879822230163881</v>
      </c>
      <c r="L71" s="55">
        <f t="shared" ref="L71:L122" si="47">IF(D71=0,"",1/(1+10^I71/10^J71*$J$13/$J$19))</f>
        <v>5.3977750276082617E-3</v>
      </c>
      <c r="M71" s="55">
        <f t="shared" si="19"/>
        <v>0.9946022249723917</v>
      </c>
      <c r="N71" s="55">
        <f t="shared" ref="N71:N122" si="48">IF(D71=0,"",1/(1/10^E71*$J$20/$J$22+10^D71/10^E71*$J$21/$J$22+10^I71/10^E71*$J$13/$J$22+1))</f>
        <v>2.3804548890366557E-3</v>
      </c>
      <c r="O71" s="56">
        <f t="shared" si="21"/>
        <v>5.9211266113970918E-7</v>
      </c>
      <c r="P71" s="56">
        <f t="shared" ref="P71:P122" si="49">IF(D71=0,"",O71*10^J71)</f>
        <v>1.2857243078856799E-5</v>
      </c>
      <c r="Q71" s="56">
        <f t="shared" ref="Q71:Q122" si="50">IF(D71=0,"",F71*N71*$J$7/$J$22)</f>
        <v>1.7774702792133537E-4</v>
      </c>
      <c r="R71" s="9">
        <f t="shared" si="43"/>
        <v>3.9999999999999996E-5</v>
      </c>
      <c r="S71" s="9">
        <f t="shared" si="39"/>
        <v>2.1591100110433044E-7</v>
      </c>
      <c r="T71" s="9">
        <f t="shared" si="40"/>
        <v>2.3551928892065549E-5</v>
      </c>
      <c r="U71" s="9">
        <f t="shared" si="41"/>
        <v>3.9784088998895666E-5</v>
      </c>
      <c r="V71" s="102">
        <f t="shared" si="42"/>
        <v>0.59199367095522304</v>
      </c>
      <c r="W71" s="7"/>
      <c r="X71" s="7"/>
      <c r="Y71" s="7"/>
      <c r="Z71" s="7"/>
      <c r="AA71" s="7"/>
      <c r="AB71" s="7"/>
      <c r="AC71" s="7"/>
      <c r="AD71" s="7"/>
      <c r="AE71" s="7"/>
      <c r="AF71" s="7"/>
    </row>
    <row r="72" spans="1:32" x14ac:dyDescent="0.45">
      <c r="A72" s="7"/>
      <c r="B72" s="46" t="s">
        <v>179</v>
      </c>
      <c r="C72" s="46" t="s">
        <v>180</v>
      </c>
      <c r="D72" s="47">
        <v>2.3078000000000003</v>
      </c>
      <c r="E72" s="47">
        <v>2.5099249999999995</v>
      </c>
      <c r="F72" s="98">
        <v>9.9999999999999995E-7</v>
      </c>
      <c r="G72" s="170"/>
      <c r="H72" s="170"/>
      <c r="I72" s="54">
        <f t="shared" si="44"/>
        <v>0.32073739190116707</v>
      </c>
      <c r="J72" s="54">
        <f t="shared" si="45"/>
        <v>1.483039277776858</v>
      </c>
      <c r="K72" s="55">
        <f t="shared" si="46"/>
        <v>0.47245954194561718</v>
      </c>
      <c r="L72" s="55">
        <f t="shared" si="47"/>
        <v>6.0660877019372656E-3</v>
      </c>
      <c r="M72" s="55">
        <f t="shared" si="19"/>
        <v>0.99393391229806272</v>
      </c>
      <c r="N72" s="55">
        <f t="shared" si="48"/>
        <v>2.0586621995041621E-3</v>
      </c>
      <c r="O72" s="56">
        <f t="shared" si="21"/>
        <v>4.7511909184901227E-7</v>
      </c>
      <c r="P72" s="56">
        <f t="shared" si="49"/>
        <v>1.4449132044695434E-5</v>
      </c>
      <c r="Q72" s="56">
        <f t="shared" si="50"/>
        <v>1.5371897578951739E-4</v>
      </c>
      <c r="R72" s="9">
        <f t="shared" si="43"/>
        <v>3.9999999999999996E-5</v>
      </c>
      <c r="S72" s="9">
        <f t="shared" si="39"/>
        <v>2.4264350807749062E-7</v>
      </c>
      <c r="T72" s="9">
        <f t="shared" si="40"/>
        <v>1.8898381677824685E-5</v>
      </c>
      <c r="U72" s="9">
        <f t="shared" si="41"/>
        <v>3.9757356491922508E-5</v>
      </c>
      <c r="V72" s="102">
        <f t="shared" si="42"/>
        <v>0.47534301435922344</v>
      </c>
      <c r="W72" s="7"/>
      <c r="X72" s="7"/>
      <c r="Y72" s="7"/>
      <c r="Z72" s="7"/>
      <c r="AA72" s="7"/>
      <c r="AB72" s="7"/>
      <c r="AC72" s="7"/>
      <c r="AD72" s="7"/>
      <c r="AE72" s="7"/>
      <c r="AF72" s="7"/>
    </row>
    <row r="73" spans="1:32" x14ac:dyDescent="0.45">
      <c r="A73" s="7"/>
      <c r="B73" s="46" t="s">
        <v>181</v>
      </c>
      <c r="C73" s="46" t="s">
        <v>182</v>
      </c>
      <c r="D73" s="47">
        <v>5.676184000000001</v>
      </c>
      <c r="E73" s="47">
        <v>7.0708080000000004</v>
      </c>
      <c r="F73" s="98">
        <v>9.9999999999999995E-7</v>
      </c>
      <c r="G73" s="170"/>
      <c r="H73" s="170"/>
      <c r="I73" s="54">
        <f t="shared" si="44"/>
        <v>3.8293839195374848</v>
      </c>
      <c r="J73" s="54">
        <f t="shared" si="45"/>
        <v>5.6236352715565152</v>
      </c>
      <c r="K73" s="55">
        <f t="shared" si="46"/>
        <v>1.4359820164035889E-4</v>
      </c>
      <c r="L73" s="55">
        <f t="shared" si="47"/>
        <v>2.548525921210203E-2</v>
      </c>
      <c r="M73" s="55">
        <f t="shared" si="19"/>
        <v>0.97451474078789802</v>
      </c>
      <c r="N73" s="55">
        <f t="shared" si="48"/>
        <v>2.2764203886065836E-2</v>
      </c>
      <c r="O73" s="56">
        <f t="shared" si="21"/>
        <v>1.4440653875580291E-10</v>
      </c>
      <c r="P73" s="56">
        <f t="shared" si="49"/>
        <v>6.0704673859455039E-5</v>
      </c>
      <c r="Q73" s="56">
        <f t="shared" si="50"/>
        <v>1.6997883901849519E-3</v>
      </c>
      <c r="R73" s="9">
        <f t="shared" si="43"/>
        <v>3.9999999999999996E-5</v>
      </c>
      <c r="S73" s="9">
        <f t="shared" si="39"/>
        <v>1.0194103684840811E-6</v>
      </c>
      <c r="T73" s="9">
        <f t="shared" si="40"/>
        <v>5.7439280656143553E-9</v>
      </c>
      <c r="U73" s="9">
        <f t="shared" si="41"/>
        <v>3.8980589631515918E-5</v>
      </c>
      <c r="V73" s="102">
        <f t="shared" si="42"/>
        <v>1.4735354492868862E-4</v>
      </c>
      <c r="W73" s="7"/>
      <c r="X73" s="7"/>
      <c r="Y73" s="7"/>
      <c r="Z73" s="7"/>
      <c r="AA73" s="7"/>
      <c r="AB73" s="7"/>
      <c r="AC73" s="7"/>
      <c r="AD73" s="7"/>
      <c r="AE73" s="7"/>
      <c r="AF73" s="7"/>
    </row>
    <row r="74" spans="1:32" x14ac:dyDescent="0.45">
      <c r="A74" s="7"/>
      <c r="B74" s="46" t="s">
        <v>183</v>
      </c>
      <c r="C74" s="46" t="s">
        <v>184</v>
      </c>
      <c r="D74" s="47">
        <v>1.2599279999999999</v>
      </c>
      <c r="E74" s="47">
        <v>1.3925860000000003</v>
      </c>
      <c r="F74" s="98">
        <v>9.9999999999999995E-7</v>
      </c>
      <c r="G74" s="170"/>
      <c r="H74" s="170"/>
      <c r="I74" s="54">
        <f t="shared" si="44"/>
        <v>3.8037572032670899E-2</v>
      </c>
      <c r="J74" s="54">
        <f t="shared" si="45"/>
        <v>0.52922244534276219</v>
      </c>
      <c r="K74" s="55">
        <f t="shared" si="46"/>
        <v>0.91021100486155737</v>
      </c>
      <c r="L74" s="55">
        <f t="shared" si="47"/>
        <v>1.2997783834361697E-3</v>
      </c>
      <c r="M74" s="55">
        <f t="shared" si="19"/>
        <v>0.9987002216165638</v>
      </c>
      <c r="N74" s="55">
        <f t="shared" si="48"/>
        <v>3.0270775533584247E-4</v>
      </c>
      <c r="O74" s="56">
        <f t="shared" si="21"/>
        <v>9.15334727371383E-7</v>
      </c>
      <c r="P74" s="56">
        <f t="shared" si="49"/>
        <v>3.0960102151362219E-6</v>
      </c>
      <c r="Q74" s="56">
        <f t="shared" si="50"/>
        <v>2.2602992431189998E-5</v>
      </c>
      <c r="R74" s="9">
        <f t="shared" si="43"/>
        <v>3.9999999999999996E-5</v>
      </c>
      <c r="S74" s="9">
        <f t="shared" si="39"/>
        <v>5.1991135337446781E-8</v>
      </c>
      <c r="T74" s="9">
        <f t="shared" si="40"/>
        <v>3.640844019446229E-5</v>
      </c>
      <c r="U74" s="9">
        <f t="shared" si="41"/>
        <v>3.9948008864662549E-5</v>
      </c>
      <c r="V74" s="102">
        <f t="shared" si="42"/>
        <v>0.91139561718353101</v>
      </c>
      <c r="W74" s="7"/>
      <c r="X74" s="7"/>
      <c r="Y74" s="7"/>
      <c r="Z74" s="7"/>
      <c r="AA74" s="7"/>
      <c r="AB74" s="7"/>
      <c r="AC74" s="7"/>
      <c r="AD74" s="7"/>
      <c r="AE74" s="7"/>
      <c r="AF74" s="7"/>
    </row>
    <row r="75" spans="1:32" x14ac:dyDescent="0.45">
      <c r="A75" s="7"/>
      <c r="B75" s="46" t="s">
        <v>185</v>
      </c>
      <c r="C75" s="46" t="s">
        <v>186</v>
      </c>
      <c r="D75" s="47">
        <v>1.2889359999999999</v>
      </c>
      <c r="E75" s="47">
        <v>1.371977</v>
      </c>
      <c r="F75" s="98">
        <v>9.9999999999999995E-7</v>
      </c>
      <c r="G75" s="170"/>
      <c r="H75" s="170"/>
      <c r="I75" s="54">
        <f t="shared" si="44"/>
        <v>4.0258976380178252E-2</v>
      </c>
      <c r="J75" s="54">
        <f t="shared" si="45"/>
        <v>0.53967320644667971</v>
      </c>
      <c r="K75" s="55">
        <f t="shared" si="46"/>
        <v>0.90554467167617003</v>
      </c>
      <c r="L75" s="55">
        <f t="shared" si="47"/>
        <v>1.3246095093729334E-3</v>
      </c>
      <c r="M75" s="55">
        <f t="shared" si="19"/>
        <v>0.99867539049062704</v>
      </c>
      <c r="N75" s="55">
        <f t="shared" si="48"/>
        <v>2.8719861759210876E-4</v>
      </c>
      <c r="O75" s="56">
        <f t="shared" si="21"/>
        <v>9.1064212665434369E-7</v>
      </c>
      <c r="P75" s="56">
        <f t="shared" si="49"/>
        <v>3.1551567746830249E-6</v>
      </c>
      <c r="Q75" s="56">
        <f t="shared" si="50"/>
        <v>2.1444935140431216E-5</v>
      </c>
      <c r="R75" s="9">
        <f t="shared" si="43"/>
        <v>3.9999999999999996E-5</v>
      </c>
      <c r="S75" s="9">
        <f t="shared" si="39"/>
        <v>5.2984380374917331E-8</v>
      </c>
      <c r="T75" s="9">
        <f t="shared" si="40"/>
        <v>3.6221786867046799E-5</v>
      </c>
      <c r="U75" s="9">
        <f t="shared" si="41"/>
        <v>3.9947015619625075E-5</v>
      </c>
      <c r="V75" s="102">
        <f t="shared" si="42"/>
        <v>0.90674575572678928</v>
      </c>
      <c r="W75" s="7"/>
      <c r="X75" s="7"/>
      <c r="Y75" s="7"/>
      <c r="Z75" s="7"/>
      <c r="AA75" s="7"/>
      <c r="AB75" s="7"/>
      <c r="AC75" s="7"/>
      <c r="AD75" s="7"/>
      <c r="AE75" s="7"/>
      <c r="AF75" s="7"/>
    </row>
    <row r="76" spans="1:32" x14ac:dyDescent="0.45">
      <c r="A76" s="7"/>
      <c r="B76" s="46" t="s">
        <v>187</v>
      </c>
      <c r="C76" s="46" t="s">
        <v>188</v>
      </c>
      <c r="D76" s="47">
        <v>3.3144320000000005</v>
      </c>
      <c r="E76" s="47">
        <v>3.8699789999999998</v>
      </c>
      <c r="F76" s="98">
        <v>9.9999999999999995E-7</v>
      </c>
      <c r="G76" s="170"/>
      <c r="H76" s="170"/>
      <c r="I76" s="54">
        <f t="shared" si="44"/>
        <v>1.137117589232139</v>
      </c>
      <c r="J76" s="54">
        <f t="shared" si="45"/>
        <v>2.6359556091931937</v>
      </c>
      <c r="K76" s="55">
        <f t="shared" si="46"/>
        <v>7.1599829340350446E-2</v>
      </c>
      <c r="L76" s="55">
        <f t="shared" si="47"/>
        <v>1.3072913240227335E-2</v>
      </c>
      <c r="M76" s="55">
        <f t="shared" si="19"/>
        <v>0.9869270867597727</v>
      </c>
      <c r="N76" s="55">
        <f t="shared" si="48"/>
        <v>7.1480314197111955E-3</v>
      </c>
      <c r="O76" s="56">
        <f t="shared" si="21"/>
        <v>7.2002876167219603E-8</v>
      </c>
      <c r="P76" s="56">
        <f t="shared" si="49"/>
        <v>3.1139056818543422E-5</v>
      </c>
      <c r="Q76" s="56">
        <f t="shared" si="50"/>
        <v>5.3373888587158341E-4</v>
      </c>
      <c r="R76" s="9">
        <f t="shared" si="43"/>
        <v>3.9999999999999996E-5</v>
      </c>
      <c r="S76" s="9">
        <f t="shared" si="39"/>
        <v>5.2291652960909338E-7</v>
      </c>
      <c r="T76" s="9">
        <f t="shared" si="40"/>
        <v>2.8639931736140177E-6</v>
      </c>
      <c r="U76" s="9">
        <f t="shared" si="41"/>
        <v>3.9477083470390906E-5</v>
      </c>
      <c r="V76" s="102">
        <f t="shared" si="42"/>
        <v>7.2548246269563091E-2</v>
      </c>
      <c r="W76" s="7"/>
      <c r="X76" s="7"/>
      <c r="Y76" s="7"/>
      <c r="Z76" s="7"/>
      <c r="AA76" s="7"/>
      <c r="AB76" s="7"/>
      <c r="AC76" s="7"/>
      <c r="AD76" s="7"/>
      <c r="AE76" s="7"/>
      <c r="AF76" s="7"/>
    </row>
    <row r="77" spans="1:32" x14ac:dyDescent="0.45">
      <c r="A77" s="7"/>
      <c r="B77" s="46" t="s">
        <v>101</v>
      </c>
      <c r="C77" s="46" t="s">
        <v>102</v>
      </c>
      <c r="D77" s="47">
        <v>0.29376000000000013</v>
      </c>
      <c r="E77" s="47">
        <v>0.18140000000000034</v>
      </c>
      <c r="F77" s="98">
        <v>9.9999999999999995E-7</v>
      </c>
      <c r="G77" s="170"/>
      <c r="H77" s="170"/>
      <c r="I77" s="54">
        <f t="shared" si="44"/>
        <v>2.0958974367173925E-3</v>
      </c>
      <c r="J77" s="54">
        <f t="shared" si="45"/>
        <v>4.4538856592537125E-2</v>
      </c>
      <c r="K77" s="55">
        <f t="shared" si="46"/>
        <v>0.98957229314850848</v>
      </c>
      <c r="L77" s="55">
        <f t="shared" si="47"/>
        <v>4.629042479943245E-4</v>
      </c>
      <c r="M77" s="55">
        <f t="shared" si="19"/>
        <v>0.99953709575200567</v>
      </c>
      <c r="N77" s="55">
        <f t="shared" si="48"/>
        <v>2.0236853732555957E-5</v>
      </c>
      <c r="O77" s="56">
        <f t="shared" si="21"/>
        <v>9.9514275297202587E-7</v>
      </c>
      <c r="P77" s="56">
        <f t="shared" si="49"/>
        <v>1.1026158756630524E-6</v>
      </c>
      <c r="Q77" s="56">
        <f t="shared" si="50"/>
        <v>1.5110727878133777E-6</v>
      </c>
      <c r="R77" s="9">
        <f t="shared" si="43"/>
        <v>3.9999999999999996E-5</v>
      </c>
      <c r="S77" s="9">
        <f t="shared" si="39"/>
        <v>1.851616991977298E-8</v>
      </c>
      <c r="T77" s="9">
        <f t="shared" si="40"/>
        <v>3.9582891725940337E-5</v>
      </c>
      <c r="U77" s="9">
        <f t="shared" si="41"/>
        <v>3.9981483830080223E-5</v>
      </c>
      <c r="V77" s="102">
        <f t="shared" si="42"/>
        <v>0.99003058251079701</v>
      </c>
      <c r="W77" s="7"/>
      <c r="X77" s="7"/>
      <c r="Y77" s="7"/>
      <c r="Z77" s="7"/>
      <c r="AA77" s="7"/>
      <c r="AB77" s="7"/>
      <c r="AC77" s="7"/>
      <c r="AD77" s="7"/>
      <c r="AE77" s="7"/>
      <c r="AF77" s="7"/>
    </row>
    <row r="78" spans="1:32" x14ac:dyDescent="0.45">
      <c r="A78" s="7"/>
      <c r="B78" s="46" t="s">
        <v>189</v>
      </c>
      <c r="C78" s="46" t="s">
        <v>190</v>
      </c>
      <c r="D78" s="47">
        <v>1.6175039999999998</v>
      </c>
      <c r="E78" s="47">
        <v>1.8999029999999997</v>
      </c>
      <c r="F78" s="98">
        <v>9.9999999999999995E-7</v>
      </c>
      <c r="G78" s="7"/>
      <c r="H78" s="7"/>
      <c r="I78" s="54">
        <f t="shared" si="44"/>
        <v>8.7763082204907472E-2</v>
      </c>
      <c r="J78" s="54">
        <f t="shared" si="45"/>
        <v>0.8649751353960996</v>
      </c>
      <c r="K78" s="55">
        <f t="shared" si="46"/>
        <v>0.81075705866868519</v>
      </c>
      <c r="L78" s="55">
        <f t="shared" si="47"/>
        <v>2.5082490500465335E-3</v>
      </c>
      <c r="M78" s="55">
        <f t="shared" si="19"/>
        <v>0.99749175094995346</v>
      </c>
      <c r="N78" s="55">
        <f t="shared" si="48"/>
        <v>8.6713996804064879E-4</v>
      </c>
      <c r="O78" s="56">
        <f t="shared" si="21"/>
        <v>8.1532093909785305E-7</v>
      </c>
      <c r="P78" s="56">
        <f t="shared" si="49"/>
        <v>5.9745297967798897E-6</v>
      </c>
      <c r="Q78" s="56">
        <f t="shared" si="50"/>
        <v>6.4748780924557832E-5</v>
      </c>
      <c r="R78" s="9">
        <f t="shared" si="43"/>
        <v>3.9999999999999996E-5</v>
      </c>
      <c r="S78" s="9">
        <f t="shared" si="39"/>
        <v>1.0032996200186134E-7</v>
      </c>
      <c r="T78" s="9">
        <f t="shared" si="40"/>
        <v>3.2430282346747402E-5</v>
      </c>
      <c r="U78" s="9">
        <f t="shared" si="41"/>
        <v>3.9899670037998133E-5</v>
      </c>
      <c r="V78" s="102">
        <f t="shared" si="42"/>
        <v>0.81279575284363714</v>
      </c>
      <c r="W78" s="7"/>
      <c r="X78" s="7"/>
      <c r="Y78" s="7"/>
      <c r="Z78" s="7"/>
      <c r="AA78" s="7"/>
      <c r="AB78" s="7"/>
      <c r="AC78" s="7"/>
      <c r="AD78" s="7"/>
      <c r="AE78" s="7"/>
      <c r="AF78" s="7"/>
    </row>
    <row r="79" spans="1:32" x14ac:dyDescent="0.45">
      <c r="A79" s="7"/>
      <c r="B79" s="46" t="s">
        <v>191</v>
      </c>
      <c r="C79" s="46" t="s">
        <v>192</v>
      </c>
      <c r="D79" s="47">
        <v>2.5898400000000001</v>
      </c>
      <c r="E79" s="47">
        <v>2.96393</v>
      </c>
      <c r="F79" s="98">
        <v>9.9999999999999995E-7</v>
      </c>
      <c r="G79" s="7"/>
      <c r="H79" s="7"/>
      <c r="I79" s="54">
        <f t="shared" si="44"/>
        <v>0.50667591684415281</v>
      </c>
      <c r="J79" s="54">
        <f t="shared" si="45"/>
        <v>1.8262123505679773</v>
      </c>
      <c r="K79" s="55">
        <f t="shared" si="46"/>
        <v>0.30709892177682513</v>
      </c>
      <c r="L79" s="55">
        <f t="shared" si="47"/>
        <v>8.6895127502685451E-3</v>
      </c>
      <c r="M79" s="55">
        <f t="shared" si="19"/>
        <v>0.99131048724973148</v>
      </c>
      <c r="N79" s="55">
        <f t="shared" si="48"/>
        <v>3.8063065060717511E-3</v>
      </c>
      <c r="O79" s="56">
        <f t="shared" si="21"/>
        <v>3.0882763044970088E-7</v>
      </c>
      <c r="P79" s="56">
        <f t="shared" si="49"/>
        <v>2.0698005584818236E-5</v>
      </c>
      <c r="Q79" s="56">
        <f t="shared" si="50"/>
        <v>2.842144465445814E-4</v>
      </c>
      <c r="R79" s="9">
        <f t="shared" si="43"/>
        <v>3.9999999999999996E-5</v>
      </c>
      <c r="S79" s="9">
        <f t="shared" si="39"/>
        <v>3.475805100107418E-7</v>
      </c>
      <c r="T79" s="9">
        <f t="shared" si="40"/>
        <v>1.2283956871073004E-5</v>
      </c>
      <c r="U79" s="9">
        <f t="shared" si="41"/>
        <v>3.9652419489989253E-5</v>
      </c>
      <c r="V79" s="102">
        <f t="shared" si="42"/>
        <v>0.3097908533468996</v>
      </c>
      <c r="W79" s="7"/>
      <c r="X79" s="7"/>
      <c r="Y79" s="7"/>
      <c r="Z79" s="7"/>
      <c r="AA79" s="7"/>
      <c r="AB79" s="7"/>
      <c r="AC79" s="7"/>
      <c r="AD79" s="7"/>
      <c r="AE79" s="7"/>
      <c r="AF79" s="7"/>
    </row>
    <row r="80" spans="1:32" x14ac:dyDescent="0.45">
      <c r="A80" s="7"/>
      <c r="B80" s="46" t="s">
        <v>193</v>
      </c>
      <c r="C80" s="46" t="s">
        <v>194</v>
      </c>
      <c r="D80" s="47">
        <v>5.0487680000000008</v>
      </c>
      <c r="E80" s="47">
        <v>6.0352960000000007</v>
      </c>
      <c r="F80" s="98">
        <v>9.9999999999999995E-7</v>
      </c>
      <c r="G80" s="7"/>
      <c r="H80" s="7"/>
      <c r="I80" s="54">
        <f t="shared" si="44"/>
        <v>2.9778200964006376</v>
      </c>
      <c r="J80" s="54">
        <f t="shared" si="45"/>
        <v>4.65500335522374</v>
      </c>
      <c r="K80" s="55">
        <f t="shared" si="46"/>
        <v>1.0264456212399772E-3</v>
      </c>
      <c r="L80" s="55">
        <f t="shared" si="47"/>
        <v>1.9581415560769585E-2</v>
      </c>
      <c r="M80" s="55">
        <f t="shared" si="19"/>
        <v>0.98041858443923047</v>
      </c>
      <c r="N80" s="55">
        <f t="shared" si="48"/>
        <v>1.4994341991670096E-2</v>
      </c>
      <c r="O80" s="56">
        <f t="shared" si="21"/>
        <v>1.0322236468917976E-9</v>
      </c>
      <c r="P80" s="56">
        <f t="shared" si="49"/>
        <v>4.6641999417393105E-5</v>
      </c>
      <c r="Q80" s="56">
        <f t="shared" si="50"/>
        <v>1.1196178246982086E-3</v>
      </c>
      <c r="R80" s="9">
        <f t="shared" si="43"/>
        <v>3.9999999999999996E-5</v>
      </c>
      <c r="S80" s="9">
        <f t="shared" si="39"/>
        <v>7.8325662243078334E-7</v>
      </c>
      <c r="T80" s="9">
        <f t="shared" si="40"/>
        <v>4.1057824849599086E-8</v>
      </c>
      <c r="U80" s="9">
        <f t="shared" si="41"/>
        <v>3.9216743377569217E-5</v>
      </c>
      <c r="V80" s="102">
        <f t="shared" si="42"/>
        <v>1.0469463120459644E-3</v>
      </c>
      <c r="W80" s="7"/>
      <c r="X80" s="7"/>
      <c r="Y80" s="7"/>
      <c r="Z80" s="7"/>
      <c r="AA80" s="7"/>
      <c r="AB80" s="7"/>
      <c r="AC80" s="7"/>
      <c r="AD80" s="7"/>
      <c r="AE80" s="7"/>
      <c r="AF80" s="7"/>
    </row>
    <row r="81" spans="1:32" x14ac:dyDescent="0.45">
      <c r="A81" s="7"/>
      <c r="B81" s="46" t="s">
        <v>195</v>
      </c>
      <c r="C81" s="46" t="s">
        <v>196</v>
      </c>
      <c r="D81" s="47">
        <v>2.7330160000000001</v>
      </c>
      <c r="E81" s="47">
        <v>3.3310319999999995</v>
      </c>
      <c r="F81" s="98">
        <v>9.9999999999999995E-7</v>
      </c>
      <c r="G81" s="7"/>
      <c r="H81" s="7"/>
      <c r="I81" s="54">
        <f t="shared" si="44"/>
        <v>0.64393554165863076</v>
      </c>
      <c r="J81" s="54">
        <f t="shared" si="45"/>
        <v>2.0806048106090933</v>
      </c>
      <c r="K81" s="55">
        <f t="shared" si="46"/>
        <v>0.22328108353665932</v>
      </c>
      <c r="L81" s="55">
        <f t="shared" si="47"/>
        <v>1.134910265282235E-2</v>
      </c>
      <c r="M81" s="55">
        <f t="shared" si="19"/>
        <v>0.9886508973471777</v>
      </c>
      <c r="N81" s="55">
        <f t="shared" si="48"/>
        <v>6.4443541142081128E-3</v>
      </c>
      <c r="O81" s="56">
        <f t="shared" si="21"/>
        <v>2.2453796826736972E-7</v>
      </c>
      <c r="P81" s="56">
        <f t="shared" si="49"/>
        <v>2.7033022085563183E-5</v>
      </c>
      <c r="Q81" s="56">
        <f t="shared" si="50"/>
        <v>4.8119575630214067E-4</v>
      </c>
      <c r="R81" s="9">
        <f t="shared" si="43"/>
        <v>3.9999999999999996E-5</v>
      </c>
      <c r="S81" s="9">
        <f t="shared" si="39"/>
        <v>4.5396410611289397E-7</v>
      </c>
      <c r="T81" s="9">
        <f t="shared" si="40"/>
        <v>8.9312433414663718E-6</v>
      </c>
      <c r="U81" s="9">
        <f t="shared" si="41"/>
        <v>3.9546035893887103E-5</v>
      </c>
      <c r="V81" s="102">
        <f t="shared" si="42"/>
        <v>0.22584421269002425</v>
      </c>
      <c r="W81" s="7"/>
      <c r="X81" s="7"/>
      <c r="Y81" s="7"/>
      <c r="Z81" s="7"/>
      <c r="AA81" s="7"/>
      <c r="AB81" s="7"/>
      <c r="AC81" s="7"/>
      <c r="AD81" s="7"/>
      <c r="AE81" s="7"/>
      <c r="AF81" s="7"/>
    </row>
    <row r="82" spans="1:32" x14ac:dyDescent="0.45">
      <c r="A82" s="7"/>
      <c r="B82" s="46" t="s">
        <v>197</v>
      </c>
      <c r="C82" s="46" t="s">
        <v>198</v>
      </c>
      <c r="D82" s="47">
        <v>3.4406639999999999</v>
      </c>
      <c r="E82" s="47">
        <v>4.222847999999999</v>
      </c>
      <c r="F82" s="98">
        <v>9.9999999999999995E-7</v>
      </c>
      <c r="G82" s="7"/>
      <c r="H82" s="7"/>
      <c r="I82" s="54">
        <f t="shared" si="44"/>
        <v>1.3135143326183101</v>
      </c>
      <c r="J82" s="54">
        <f t="shared" si="45"/>
        <v>2.9002106257320843</v>
      </c>
      <c r="K82" s="55">
        <f t="shared" si="46"/>
        <v>4.7560248732172065E-2</v>
      </c>
      <c r="L82" s="55">
        <f t="shared" si="47"/>
        <v>1.5957304248945963E-2</v>
      </c>
      <c r="M82" s="55">
        <f t="shared" si="19"/>
        <v>0.98404269575105408</v>
      </c>
      <c r="N82" s="55">
        <f t="shared" si="48"/>
        <v>1.0700093751826512E-2</v>
      </c>
      <c r="O82" s="56">
        <f t="shared" si="21"/>
        <v>4.7827972936450391E-8</v>
      </c>
      <c r="P82" s="56">
        <f t="shared" si="49"/>
        <v>3.8009538849358385E-5</v>
      </c>
      <c r="Q82" s="56">
        <f t="shared" si="50"/>
        <v>7.9896908428140625E-4</v>
      </c>
      <c r="R82" s="9">
        <f t="shared" si="43"/>
        <v>3.9999999999999996E-5</v>
      </c>
      <c r="S82" s="9">
        <f t="shared" si="39"/>
        <v>6.3829216995783848E-7</v>
      </c>
      <c r="T82" s="9">
        <f t="shared" si="40"/>
        <v>1.9024099492868824E-6</v>
      </c>
      <c r="U82" s="9">
        <f t="shared" si="41"/>
        <v>3.9361707830042156E-5</v>
      </c>
      <c r="V82" s="102">
        <f t="shared" si="42"/>
        <v>4.8331489007062342E-2</v>
      </c>
      <c r="W82" s="7"/>
      <c r="X82" s="7"/>
      <c r="Y82" s="7"/>
      <c r="Z82" s="7"/>
      <c r="AA82" s="7"/>
      <c r="AB82" s="7"/>
      <c r="AC82" s="7"/>
      <c r="AD82" s="7"/>
      <c r="AE82" s="7"/>
      <c r="AF82" s="7"/>
    </row>
    <row r="83" spans="1:32" x14ac:dyDescent="0.45">
      <c r="A83" s="7"/>
      <c r="B83" s="46" t="s">
        <v>199</v>
      </c>
      <c r="C83" s="46" t="s">
        <v>200</v>
      </c>
      <c r="D83" s="47">
        <v>2.8976480000000002</v>
      </c>
      <c r="E83" s="47">
        <v>3.5312959999999993</v>
      </c>
      <c r="F83" s="98">
        <v>9.9999999999999995E-7</v>
      </c>
      <c r="G83" s="7"/>
      <c r="H83" s="7"/>
      <c r="I83" s="54">
        <f t="shared" si="44"/>
        <v>0.78379345695532832</v>
      </c>
      <c r="J83" s="54">
        <f t="shared" si="45"/>
        <v>2.2648778324590841</v>
      </c>
      <c r="K83" s="55">
        <f t="shared" si="46"/>
        <v>0.16160827362881339</v>
      </c>
      <c r="L83" s="55">
        <f t="shared" si="47"/>
        <v>1.2555852524270841E-2</v>
      </c>
      <c r="M83" s="55">
        <f t="shared" si="19"/>
        <v>0.98744414747572917</v>
      </c>
      <c r="N83" s="55">
        <f t="shared" si="48"/>
        <v>7.3969904264496039E-3</v>
      </c>
      <c r="O83" s="56">
        <f t="shared" si="21"/>
        <v>1.6251799230387153E-7</v>
      </c>
      <c r="P83" s="56">
        <f t="shared" si="49"/>
        <v>2.9907442815073905E-5</v>
      </c>
      <c r="Q83" s="56">
        <f t="shared" si="50"/>
        <v>5.5232849398631977E-4</v>
      </c>
      <c r="R83" s="9">
        <f t="shared" si="43"/>
        <v>3.9999999999999996E-5</v>
      </c>
      <c r="S83" s="9">
        <f t="shared" si="39"/>
        <v>5.0223410097083366E-7</v>
      </c>
      <c r="T83" s="9">
        <f t="shared" si="40"/>
        <v>6.4643309451525345E-6</v>
      </c>
      <c r="U83" s="9">
        <f t="shared" si="41"/>
        <v>3.9497765899029167E-5</v>
      </c>
      <c r="V83" s="102">
        <f t="shared" si="42"/>
        <v>0.16366320469055759</v>
      </c>
      <c r="W83" s="7"/>
      <c r="X83" s="7"/>
      <c r="Y83" s="7"/>
      <c r="Z83" s="7"/>
      <c r="AA83" s="7"/>
      <c r="AB83" s="7"/>
      <c r="AC83" s="7"/>
      <c r="AD83" s="7"/>
      <c r="AE83" s="7"/>
      <c r="AF83" s="7"/>
    </row>
    <row r="84" spans="1:32" x14ac:dyDescent="0.45">
      <c r="A84" s="7"/>
      <c r="B84" s="46" t="s">
        <v>103</v>
      </c>
      <c r="C84" s="46" t="s">
        <v>104</v>
      </c>
      <c r="D84" s="47">
        <v>1.423632</v>
      </c>
      <c r="E84" s="47">
        <v>1.638849</v>
      </c>
      <c r="F84" s="98">
        <v>9.9999999999999995E-7</v>
      </c>
      <c r="G84" s="7"/>
      <c r="H84" s="7"/>
      <c r="I84" s="54">
        <f t="shared" si="44"/>
        <v>5.6400487609719711E-2</v>
      </c>
      <c r="J84" s="54">
        <f t="shared" si="45"/>
        <v>0.678648535608118</v>
      </c>
      <c r="K84" s="55">
        <f t="shared" si="46"/>
        <v>0.87212826262727516</v>
      </c>
      <c r="L84" s="55">
        <f t="shared" si="47"/>
        <v>1.7568459381555508E-3</v>
      </c>
      <c r="M84" s="55">
        <f t="shared" si="19"/>
        <v>0.9982431540618445</v>
      </c>
      <c r="N84" s="55">
        <f t="shared" si="48"/>
        <v>5.1135773110419676E-4</v>
      </c>
      <c r="O84" s="56">
        <f t="shared" si="21"/>
        <v>8.7703761132423827E-7</v>
      </c>
      <c r="P84" s="56">
        <f t="shared" si="49"/>
        <v>4.184723365356134E-6</v>
      </c>
      <c r="Q84" s="56">
        <f t="shared" si="50"/>
        <v>3.8182751257744485E-5</v>
      </c>
      <c r="R84" s="9">
        <f t="shared" si="43"/>
        <v>3.9999999999999996E-5</v>
      </c>
      <c r="S84" s="9">
        <f t="shared" si="39"/>
        <v>7.0273837526222026E-8</v>
      </c>
      <c r="T84" s="9">
        <f t="shared" si="40"/>
        <v>3.4885130505091003E-5</v>
      </c>
      <c r="U84" s="9">
        <f t="shared" si="41"/>
        <v>3.9929726162473777E-5</v>
      </c>
      <c r="V84" s="102">
        <f t="shared" si="42"/>
        <v>0.8736631541910318</v>
      </c>
      <c r="W84" s="7"/>
      <c r="X84" s="7"/>
      <c r="Y84" s="7"/>
      <c r="Z84" s="7"/>
      <c r="AA84" s="7"/>
      <c r="AB84" s="7"/>
      <c r="AC84" s="7"/>
      <c r="AD84" s="7"/>
      <c r="AE84" s="7"/>
      <c r="AF84" s="7"/>
    </row>
    <row r="85" spans="1:32" x14ac:dyDescent="0.45">
      <c r="A85" s="7"/>
      <c r="B85" s="46" t="s">
        <v>201</v>
      </c>
      <c r="C85" s="46" t="s">
        <v>202</v>
      </c>
      <c r="D85" s="47">
        <v>2.6912000000000003</v>
      </c>
      <c r="E85" s="47">
        <v>3.3249699999999995</v>
      </c>
      <c r="F85" s="98">
        <v>9.9999999999999995E-7</v>
      </c>
      <c r="G85" s="7"/>
      <c r="H85" s="7"/>
      <c r="I85" s="54">
        <f t="shared" si="44"/>
        <v>0.61860589125383425</v>
      </c>
      <c r="J85" s="54">
        <f t="shared" si="45"/>
        <v>2.0597542825278099</v>
      </c>
      <c r="K85" s="55">
        <f t="shared" si="46"/>
        <v>0.23666306644593926</v>
      </c>
      <c r="L85" s="55">
        <f t="shared" si="47"/>
        <v>1.1465409020541373E-2</v>
      </c>
      <c r="M85" s="55">
        <f t="shared" si="19"/>
        <v>0.98853459097945862</v>
      </c>
      <c r="N85" s="55">
        <f t="shared" si="48"/>
        <v>6.7359049934102534E-3</v>
      </c>
      <c r="O85" s="56">
        <f t="shared" si="21"/>
        <v>2.3799528048676799E-7</v>
      </c>
      <c r="P85" s="56">
        <f t="shared" si="49"/>
        <v>2.7310058315071431E-5</v>
      </c>
      <c r="Q85" s="56">
        <f t="shared" si="50"/>
        <v>5.0296567200384295E-4</v>
      </c>
      <c r="R85" s="9">
        <f t="shared" si="43"/>
        <v>3.9999999999999996E-5</v>
      </c>
      <c r="S85" s="9">
        <f t="shared" si="39"/>
        <v>4.5861636082165488E-7</v>
      </c>
      <c r="T85" s="9">
        <f t="shared" si="40"/>
        <v>9.4665226578375693E-6</v>
      </c>
      <c r="U85" s="9">
        <f t="shared" si="41"/>
        <v>3.954138363917834E-5</v>
      </c>
      <c r="V85" s="102">
        <f t="shared" si="42"/>
        <v>0.23940797682299519</v>
      </c>
      <c r="W85" s="7"/>
      <c r="X85" s="7"/>
      <c r="Y85" s="7"/>
      <c r="Z85" s="7"/>
      <c r="AA85" s="7"/>
      <c r="AB85" s="7"/>
      <c r="AC85" s="7"/>
      <c r="AD85" s="7"/>
      <c r="AE85" s="7"/>
      <c r="AF85" s="7"/>
    </row>
    <row r="86" spans="1:32" x14ac:dyDescent="0.45">
      <c r="A86" s="7"/>
      <c r="B86" s="46" t="s">
        <v>105</v>
      </c>
      <c r="C86" s="46" t="s">
        <v>106</v>
      </c>
      <c r="D86" s="47">
        <v>2.1493200000000003</v>
      </c>
      <c r="E86" s="47">
        <v>2.6108399999999996</v>
      </c>
      <c r="F86" s="98">
        <v>9.9999999999999995E-7</v>
      </c>
      <c r="G86" s="7"/>
      <c r="H86" s="7"/>
      <c r="I86" s="54">
        <f t="shared" si="44"/>
        <v>0.26171036693668792</v>
      </c>
      <c r="J86" s="54">
        <f t="shared" si="45"/>
        <v>1.435139969210834</v>
      </c>
      <c r="K86" s="55">
        <f t="shared" si="46"/>
        <v>0.54115700058213434</v>
      </c>
      <c r="L86" s="55">
        <f t="shared" si="47"/>
        <v>6.2225448107373149E-3</v>
      </c>
      <c r="M86" s="55">
        <f t="shared" si="19"/>
        <v>0.99377745518926264</v>
      </c>
      <c r="N86" s="55">
        <f t="shared" si="48"/>
        <v>2.9748066704826004E-3</v>
      </c>
      <c r="O86" s="56">
        <f t="shared" si="21"/>
        <v>5.4420325940610241E-7</v>
      </c>
      <c r="P86" s="56">
        <f t="shared" si="49"/>
        <v>1.4821805427518634E-5</v>
      </c>
      <c r="Q86" s="56">
        <f t="shared" si="50"/>
        <v>2.221268912736381E-4</v>
      </c>
      <c r="R86" s="9">
        <f t="shared" si="43"/>
        <v>3.9999999999999996E-5</v>
      </c>
      <c r="S86" s="9">
        <f t="shared" si="39"/>
        <v>2.4890179242949256E-7</v>
      </c>
      <c r="T86" s="9">
        <f t="shared" si="40"/>
        <v>2.1646280023285371E-5</v>
      </c>
      <c r="U86" s="9">
        <f t="shared" si="41"/>
        <v>3.97510982075705E-5</v>
      </c>
      <c r="V86" s="102">
        <f t="shared" si="42"/>
        <v>0.54454545910288554</v>
      </c>
      <c r="W86" s="7"/>
      <c r="X86" s="7"/>
      <c r="Y86" s="7"/>
      <c r="Z86" s="7"/>
      <c r="AA86" s="7"/>
      <c r="AB86" s="7"/>
      <c r="AC86" s="7"/>
      <c r="AD86" s="7"/>
      <c r="AE86" s="7"/>
      <c r="AF86" s="7"/>
    </row>
    <row r="87" spans="1:32" x14ac:dyDescent="0.45">
      <c r="A87" s="7"/>
      <c r="B87" s="46" t="s">
        <v>203</v>
      </c>
      <c r="C87" s="46" t="s">
        <v>204</v>
      </c>
      <c r="D87" s="47"/>
      <c r="E87" s="47"/>
      <c r="F87" s="57"/>
      <c r="G87" s="7"/>
      <c r="H87" s="7"/>
      <c r="I87" s="54" t="str">
        <f t="shared" si="44"/>
        <v/>
      </c>
      <c r="J87" s="54" t="str">
        <f t="shared" si="45"/>
        <v/>
      </c>
      <c r="K87" s="55" t="str">
        <f t="shared" si="46"/>
        <v/>
      </c>
      <c r="L87" s="55" t="str">
        <f t="shared" si="47"/>
        <v/>
      </c>
      <c r="M87" s="55" t="str">
        <f t="shared" si="19"/>
        <v/>
      </c>
      <c r="N87" s="55" t="str">
        <f t="shared" si="48"/>
        <v/>
      </c>
      <c r="O87" s="56" t="str">
        <f t="shared" si="21"/>
        <v/>
      </c>
      <c r="P87" s="56" t="str">
        <f t="shared" si="49"/>
        <v/>
      </c>
      <c r="Q87" s="56" t="str">
        <f t="shared" si="50"/>
        <v/>
      </c>
      <c r="R87" s="9"/>
      <c r="S87" s="9"/>
      <c r="T87" s="9"/>
      <c r="U87" s="9"/>
      <c r="V87" s="102"/>
      <c r="W87" s="7"/>
      <c r="X87" s="7"/>
      <c r="Y87" s="7"/>
      <c r="Z87" s="7"/>
      <c r="AA87" s="7"/>
      <c r="AB87" s="7"/>
      <c r="AC87" s="7"/>
      <c r="AD87" s="7"/>
      <c r="AE87" s="7"/>
      <c r="AF87" s="7"/>
    </row>
    <row r="88" spans="1:32" x14ac:dyDescent="0.45">
      <c r="A88" s="7"/>
      <c r="B88" s="46" t="s">
        <v>205</v>
      </c>
      <c r="C88" s="46" t="s">
        <v>206</v>
      </c>
      <c r="D88" s="47">
        <v>4.1575040000000012</v>
      </c>
      <c r="E88" s="47">
        <v>5.2456879999999995</v>
      </c>
      <c r="F88" s="98">
        <v>9.9999999999999995E-7</v>
      </c>
      <c r="G88" s="7"/>
      <c r="H88" s="7"/>
      <c r="I88" s="54">
        <f t="shared" si="44"/>
        <v>2.1363569008891736</v>
      </c>
      <c r="J88" s="54">
        <f t="shared" si="45"/>
        <v>3.8436743524136028</v>
      </c>
      <c r="K88" s="55">
        <f t="shared" si="46"/>
        <v>7.1152235231686104E-3</v>
      </c>
      <c r="L88" s="55">
        <f t="shared" si="47"/>
        <v>2.0958861265251344E-2</v>
      </c>
      <c r="M88" s="55">
        <f t="shared" si="19"/>
        <v>0.97904113873474863</v>
      </c>
      <c r="N88" s="55">
        <f t="shared" si="48"/>
        <v>1.6872211606034502E-2</v>
      </c>
      <c r="O88" s="56">
        <f t="shared" si="21"/>
        <v>7.1552762480130482E-9</v>
      </c>
      <c r="P88" s="56">
        <f t="shared" si="49"/>
        <v>4.9923009492816062E-5</v>
      </c>
      <c r="Q88" s="56">
        <f t="shared" si="50"/>
        <v>1.2598371350133631E-3</v>
      </c>
      <c r="R88" s="9">
        <f>F88*$C$14</f>
        <v>3.9999999999999996E-5</v>
      </c>
      <c r="S88" s="9">
        <f t="shared" si="39"/>
        <v>8.383544506100537E-7</v>
      </c>
      <c r="T88" s="9">
        <f t="shared" si="40"/>
        <v>2.8460894092674438E-7</v>
      </c>
      <c r="U88" s="9">
        <f t="shared" si="41"/>
        <v>3.9161645549389945E-5</v>
      </c>
      <c r="V88" s="102">
        <f t="shared" si="42"/>
        <v>7.2675429475454719E-3</v>
      </c>
      <c r="W88" s="7"/>
      <c r="X88" s="7"/>
      <c r="Y88" s="7"/>
      <c r="Z88" s="7"/>
      <c r="AA88" s="7"/>
      <c r="AB88" s="7"/>
      <c r="AC88" s="7"/>
      <c r="AD88" s="7"/>
      <c r="AE88" s="7"/>
      <c r="AF88" s="7"/>
    </row>
    <row r="89" spans="1:32" x14ac:dyDescent="0.45">
      <c r="A89" s="7"/>
      <c r="B89" s="46" t="s">
        <v>207</v>
      </c>
      <c r="C89" s="46" t="s">
        <v>208</v>
      </c>
      <c r="D89" s="47">
        <v>5.4191360000000008</v>
      </c>
      <c r="E89" s="47">
        <v>6.7333169999999996</v>
      </c>
      <c r="F89" s="98">
        <v>9.9999999999999995E-7</v>
      </c>
      <c r="G89" s="7"/>
      <c r="H89" s="7"/>
      <c r="I89" s="54">
        <f t="shared" si="44"/>
        <v>3.5207953657582807</v>
      </c>
      <c r="J89" s="54">
        <f t="shared" si="45"/>
        <v>5.2954798864379393</v>
      </c>
      <c r="K89" s="55">
        <f t="shared" si="46"/>
        <v>2.9256706020225353E-4</v>
      </c>
      <c r="L89" s="55">
        <f t="shared" si="47"/>
        <v>2.4389904333330107E-2</v>
      </c>
      <c r="M89" s="55">
        <f t="shared" si="19"/>
        <v>0.9756100956666699</v>
      </c>
      <c r="N89" s="55">
        <f t="shared" si="48"/>
        <v>2.1322488726510852E-2</v>
      </c>
      <c r="O89" s="56">
        <f t="shared" si="21"/>
        <v>2.942139667151228E-10</v>
      </c>
      <c r="P89" s="56">
        <f t="shared" si="49"/>
        <v>5.8095590697976486E-5</v>
      </c>
      <c r="Q89" s="56">
        <f t="shared" si="50"/>
        <v>1.5921364510953866E-3</v>
      </c>
      <c r="R89" s="9">
        <f>F89*$C$14</f>
        <v>3.9999999999999996E-5</v>
      </c>
      <c r="S89" s="9">
        <f t="shared" si="39"/>
        <v>9.7559617333320414E-7</v>
      </c>
      <c r="T89" s="9">
        <f t="shared" si="40"/>
        <v>1.1702682408090141E-8</v>
      </c>
      <c r="U89" s="9">
        <f t="shared" si="41"/>
        <v>3.9024403826666792E-5</v>
      </c>
      <c r="V89" s="102">
        <f t="shared" si="42"/>
        <v>2.9988113233118176E-4</v>
      </c>
      <c r="W89" s="7"/>
      <c r="X89" s="7"/>
      <c r="Y89" s="7"/>
      <c r="Z89" s="7"/>
      <c r="AA89" s="7"/>
      <c r="AB89" s="7"/>
      <c r="AC89" s="7"/>
      <c r="AD89" s="7"/>
      <c r="AE89" s="7"/>
      <c r="AF89" s="7"/>
    </row>
    <row r="90" spans="1:32" x14ac:dyDescent="0.45">
      <c r="A90" s="7"/>
      <c r="B90" s="46" t="s">
        <v>209</v>
      </c>
      <c r="C90" s="46" t="s">
        <v>210</v>
      </c>
      <c r="D90" s="47">
        <v>5.6895360000000004</v>
      </c>
      <c r="E90" s="47">
        <v>7.1197670000000004</v>
      </c>
      <c r="F90" s="98">
        <v>9.9999999999999995E-7</v>
      </c>
      <c r="G90" s="7"/>
      <c r="H90" s="7"/>
      <c r="I90" s="54">
        <f t="shared" si="44"/>
        <v>3.8666483056990257</v>
      </c>
      <c r="J90" s="54">
        <f t="shared" si="45"/>
        <v>5.6689287455654798</v>
      </c>
      <c r="K90" s="55">
        <f t="shared" si="46"/>
        <v>1.3172801191820021E-4</v>
      </c>
      <c r="L90" s="55">
        <f t="shared" si="47"/>
        <v>2.5948464616279969E-2</v>
      </c>
      <c r="M90" s="55">
        <f t="shared" si="19"/>
        <v>0.97405153538372002</v>
      </c>
      <c r="N90" s="55">
        <f t="shared" si="48"/>
        <v>2.3374407065561941E-2</v>
      </c>
      <c r="O90" s="56">
        <f t="shared" si="21"/>
        <v>1.3246952984781754E-10</v>
      </c>
      <c r="P90" s="56">
        <f t="shared" si="49"/>
        <v>6.1808007074806725E-5</v>
      </c>
      <c r="Q90" s="56">
        <f t="shared" si="50"/>
        <v>1.7453518671838694E-3</v>
      </c>
      <c r="R90" s="9">
        <f>F90*$C$14</f>
        <v>3.9999999999999996E-5</v>
      </c>
      <c r="S90" s="9">
        <f t="shared" si="39"/>
        <v>1.0379385846511988E-6</v>
      </c>
      <c r="T90" s="9">
        <f t="shared" si="40"/>
        <v>5.2691204767280083E-9</v>
      </c>
      <c r="U90" s="9">
        <f t="shared" si="41"/>
        <v>3.8962061415348797E-5</v>
      </c>
      <c r="V90" s="102">
        <f t="shared" si="42"/>
        <v>1.3523720987340467E-4</v>
      </c>
      <c r="W90" s="7"/>
      <c r="X90" s="7"/>
      <c r="Y90" s="7"/>
      <c r="Z90" s="7"/>
      <c r="AA90" s="7"/>
      <c r="AB90" s="7"/>
      <c r="AC90" s="7"/>
      <c r="AD90" s="7"/>
      <c r="AE90" s="7"/>
      <c r="AF90" s="7"/>
    </row>
    <row r="91" spans="1:32" x14ac:dyDescent="0.45">
      <c r="A91" s="7"/>
      <c r="B91" s="46" t="s">
        <v>107</v>
      </c>
      <c r="C91" s="46" t="s">
        <v>108</v>
      </c>
      <c r="D91" s="47">
        <v>6.0065360000000005</v>
      </c>
      <c r="E91" s="47">
        <v>7.5552170000000007</v>
      </c>
      <c r="F91" s="98">
        <v>9.9999999999999995E-7</v>
      </c>
      <c r="G91" s="7"/>
      <c r="H91" s="7"/>
      <c r="I91" s="54">
        <f t="shared" si="44"/>
        <v>4.2676323009395754</v>
      </c>
      <c r="J91" s="54">
        <f t="shared" si="45"/>
        <v>6.0939707025144498</v>
      </c>
      <c r="K91" s="55">
        <f t="shared" si="46"/>
        <v>5.2245962490186556E-5</v>
      </c>
      <c r="L91" s="55">
        <f t="shared" si="47"/>
        <v>2.7385975758708565E-2</v>
      </c>
      <c r="M91" s="55">
        <f t="shared" si="19"/>
        <v>0.9726140242412914</v>
      </c>
      <c r="N91" s="55">
        <f t="shared" si="48"/>
        <v>2.5267670211642071E-2</v>
      </c>
      <c r="O91" s="56">
        <f t="shared" si="21"/>
        <v>5.2540063322442691E-11</v>
      </c>
      <c r="P91" s="56">
        <f t="shared" si="49"/>
        <v>6.5232090163160088E-5</v>
      </c>
      <c r="Q91" s="56">
        <f t="shared" si="50"/>
        <v>1.8867206025623949E-3</v>
      </c>
      <c r="R91" s="9">
        <f t="shared" ref="R91:R92" si="51">F91*$C$14</f>
        <v>3.9999999999999996E-5</v>
      </c>
      <c r="S91" s="9">
        <f t="shared" si="39"/>
        <v>1.0954390303483426E-6</v>
      </c>
      <c r="T91" s="9">
        <f t="shared" si="40"/>
        <v>2.0898384996074621E-9</v>
      </c>
      <c r="U91" s="9">
        <f t="shared" si="41"/>
        <v>3.890456096965165E-5</v>
      </c>
      <c r="V91" s="102">
        <f t="shared" si="42"/>
        <v>5.3717056497249412E-5</v>
      </c>
      <c r="W91" s="7"/>
      <c r="X91" s="7"/>
      <c r="Y91" s="7"/>
      <c r="Z91" s="7"/>
      <c r="AA91" s="7"/>
      <c r="AB91" s="7"/>
      <c r="AC91" s="7"/>
      <c r="AD91" s="7"/>
      <c r="AE91" s="7"/>
      <c r="AF91" s="7"/>
    </row>
    <row r="92" spans="1:32" x14ac:dyDescent="0.45">
      <c r="A92" s="7"/>
      <c r="B92" s="46" t="s">
        <v>109</v>
      </c>
      <c r="C92" s="46" t="s">
        <v>110</v>
      </c>
      <c r="D92" s="47">
        <v>7.0428240000000013</v>
      </c>
      <c r="E92" s="47">
        <v>8.8261279999999989</v>
      </c>
      <c r="F92" s="98">
        <v>9.9999999999999995E-7</v>
      </c>
      <c r="G92" s="7"/>
      <c r="H92" s="7"/>
      <c r="I92" s="54">
        <f t="shared" si="44"/>
        <v>5.487995486122375</v>
      </c>
      <c r="J92" s="54">
        <f t="shared" si="45"/>
        <v>7.3506289103249456</v>
      </c>
      <c r="K92" s="55">
        <f t="shared" si="46"/>
        <v>3.1380083423299628E-6</v>
      </c>
      <c r="L92" s="55">
        <f t="shared" si="47"/>
        <v>2.9702143142376115E-2</v>
      </c>
      <c r="M92" s="55">
        <f t="shared" si="19"/>
        <v>0.97029785685762393</v>
      </c>
      <c r="N92" s="55">
        <f t="shared" si="48"/>
        <v>2.831897691533317E-2</v>
      </c>
      <c r="O92" s="56">
        <f t="shared" si="21"/>
        <v>3.1556726903698575E-12</v>
      </c>
      <c r="P92" s="56">
        <f t="shared" si="49"/>
        <v>7.0749090577371324E-5</v>
      </c>
      <c r="Q92" s="56">
        <f t="shared" si="50"/>
        <v>2.1145597018687574E-3</v>
      </c>
      <c r="R92" s="9">
        <f t="shared" si="51"/>
        <v>3.9999999999999996E-5</v>
      </c>
      <c r="S92" s="9">
        <f t="shared" si="39"/>
        <v>1.1880857256950444E-6</v>
      </c>
      <c r="T92" s="9">
        <f t="shared" si="40"/>
        <v>1.255203336931985E-10</v>
      </c>
      <c r="U92" s="9">
        <f t="shared" si="41"/>
        <v>3.8811914274304951E-5</v>
      </c>
      <c r="V92" s="102">
        <f t="shared" si="42"/>
        <v>3.2340670652335744E-6</v>
      </c>
      <c r="W92" s="7"/>
      <c r="X92" s="7"/>
      <c r="Y92" s="7"/>
      <c r="Z92" s="7"/>
      <c r="AA92" s="7"/>
      <c r="AB92" s="7"/>
      <c r="AC92" s="7"/>
      <c r="AD92" s="7"/>
      <c r="AE92" s="7"/>
      <c r="AF92" s="7"/>
    </row>
    <row r="93" spans="1:32" x14ac:dyDescent="0.45">
      <c r="A93" s="7"/>
      <c r="B93" s="46" t="s">
        <v>211</v>
      </c>
      <c r="C93" s="46" t="s">
        <v>212</v>
      </c>
      <c r="D93" s="47">
        <v>2.17</v>
      </c>
      <c r="E93" s="47">
        <v>2.25</v>
      </c>
      <c r="F93" s="98">
        <v>9.9999999999999995E-7</v>
      </c>
      <c r="G93" s="7"/>
      <c r="H93" s="7"/>
      <c r="I93" s="54">
        <f t="shared" si="44"/>
        <v>0.24855356797573289</v>
      </c>
      <c r="J93" s="54">
        <f t="shared" si="45"/>
        <v>1.3125703435581537</v>
      </c>
      <c r="K93" s="55">
        <f t="shared" si="46"/>
        <v>0.5585760786049212</v>
      </c>
      <c r="L93" s="55">
        <f t="shared" si="47"/>
        <v>4.8434794223412665E-3</v>
      </c>
      <c r="M93" s="55">
        <f t="shared" ref="M93:M127" si="52">IF(D93=0,"",1-L93)</f>
        <v>0.99515652057765869</v>
      </c>
      <c r="N93" s="55">
        <f t="shared" si="48"/>
        <v>1.3377587443894087E-3</v>
      </c>
      <c r="O93" s="56">
        <f t="shared" ref="O93:O127" si="53">IF(D93=0,"",F93*K93*$J$7/$J$14)</f>
        <v>5.6172039218947674E-7</v>
      </c>
      <c r="P93" s="56">
        <f t="shared" si="49"/>
        <v>1.1536937342139641E-5</v>
      </c>
      <c r="Q93" s="56">
        <f t="shared" si="50"/>
        <v>9.9889580762953603E-5</v>
      </c>
      <c r="R93" s="9">
        <f>F93*$C$14</f>
        <v>3.9999999999999996E-5</v>
      </c>
      <c r="S93" s="9">
        <f t="shared" si="39"/>
        <v>1.9373917689365064E-7</v>
      </c>
      <c r="T93" s="9">
        <f t="shared" si="40"/>
        <v>2.2343043144196846E-5</v>
      </c>
      <c r="U93" s="9">
        <f t="shared" si="41"/>
        <v>3.9806260823106343E-5</v>
      </c>
      <c r="V93" s="102">
        <f t="shared" si="42"/>
        <v>0.56129469792418629</v>
      </c>
      <c r="W93" s="7"/>
      <c r="X93" s="7"/>
      <c r="Y93" s="7"/>
      <c r="Z93" s="7"/>
      <c r="AA93" s="7"/>
      <c r="AB93" s="7"/>
      <c r="AC93" s="7"/>
      <c r="AD93" s="7"/>
      <c r="AE93" s="7"/>
      <c r="AF93" s="7"/>
    </row>
    <row r="94" spans="1:32" x14ac:dyDescent="0.45">
      <c r="A94" s="7"/>
      <c r="B94" s="46" t="s">
        <v>213</v>
      </c>
      <c r="C94" s="46" t="s">
        <v>214</v>
      </c>
      <c r="D94" s="47"/>
      <c r="E94" s="47"/>
      <c r="F94" s="57"/>
      <c r="G94" s="7"/>
      <c r="H94" s="7"/>
      <c r="I94" s="54" t="str">
        <f t="shared" si="44"/>
        <v/>
      </c>
      <c r="J94" s="54" t="str">
        <f t="shared" si="45"/>
        <v/>
      </c>
      <c r="K94" s="55" t="str">
        <f t="shared" si="46"/>
        <v/>
      </c>
      <c r="L94" s="55" t="str">
        <f t="shared" si="47"/>
        <v/>
      </c>
      <c r="M94" s="55" t="str">
        <f t="shared" si="52"/>
        <v/>
      </c>
      <c r="N94" s="55" t="str">
        <f t="shared" si="48"/>
        <v/>
      </c>
      <c r="O94" s="56" t="str">
        <f t="shared" si="53"/>
        <v/>
      </c>
      <c r="P94" s="56" t="str">
        <f t="shared" si="49"/>
        <v/>
      </c>
      <c r="Q94" s="56" t="str">
        <f t="shared" si="50"/>
        <v/>
      </c>
      <c r="R94" s="9"/>
      <c r="S94" s="9"/>
      <c r="T94" s="9"/>
      <c r="U94" s="9"/>
      <c r="V94" s="102"/>
      <c r="W94" s="7"/>
      <c r="X94" s="7"/>
      <c r="Y94" s="7"/>
      <c r="Z94" s="7"/>
      <c r="AA94" s="7"/>
      <c r="AB94" s="7"/>
      <c r="AC94" s="7"/>
      <c r="AD94" s="7"/>
      <c r="AE94" s="7"/>
      <c r="AF94" s="7"/>
    </row>
    <row r="95" spans="1:32" x14ac:dyDescent="0.45">
      <c r="A95" s="7"/>
      <c r="B95" s="46" t="s">
        <v>215</v>
      </c>
      <c r="C95" s="46" t="s">
        <v>216</v>
      </c>
      <c r="D95" s="47"/>
      <c r="E95" s="47"/>
      <c r="F95" s="57"/>
      <c r="G95" s="7"/>
      <c r="H95" s="7"/>
      <c r="I95" s="54" t="str">
        <f t="shared" si="44"/>
        <v/>
      </c>
      <c r="J95" s="54" t="str">
        <f t="shared" si="45"/>
        <v/>
      </c>
      <c r="K95" s="55" t="str">
        <f t="shared" si="46"/>
        <v/>
      </c>
      <c r="L95" s="55" t="str">
        <f t="shared" si="47"/>
        <v/>
      </c>
      <c r="M95" s="55" t="str">
        <f t="shared" si="52"/>
        <v/>
      </c>
      <c r="N95" s="55" t="str">
        <f t="shared" si="48"/>
        <v/>
      </c>
      <c r="O95" s="56" t="str">
        <f t="shared" si="53"/>
        <v/>
      </c>
      <c r="P95" s="56" t="str">
        <f t="shared" si="49"/>
        <v/>
      </c>
      <c r="Q95" s="56" t="str">
        <f t="shared" si="50"/>
        <v/>
      </c>
      <c r="R95" s="9"/>
      <c r="S95" s="9"/>
      <c r="T95" s="9"/>
      <c r="U95" s="9"/>
      <c r="V95" s="102"/>
      <c r="W95" s="7"/>
      <c r="X95" s="7"/>
      <c r="Y95" s="7"/>
      <c r="Z95" s="7"/>
      <c r="AA95" s="7"/>
      <c r="AB95" s="7"/>
      <c r="AC95" s="7"/>
      <c r="AD95" s="7"/>
      <c r="AE95" s="7"/>
      <c r="AF95" s="7"/>
    </row>
    <row r="96" spans="1:32" x14ac:dyDescent="0.45">
      <c r="A96" s="7"/>
      <c r="B96" s="46" t="s">
        <v>217</v>
      </c>
      <c r="C96" s="46" t="s">
        <v>218</v>
      </c>
      <c r="D96" s="47"/>
      <c r="E96" s="47"/>
      <c r="F96" s="57"/>
      <c r="G96" s="7"/>
      <c r="H96" s="7"/>
      <c r="I96" s="54" t="str">
        <f t="shared" si="44"/>
        <v/>
      </c>
      <c r="J96" s="54" t="str">
        <f t="shared" si="45"/>
        <v/>
      </c>
      <c r="K96" s="55" t="str">
        <f t="shared" si="46"/>
        <v/>
      </c>
      <c r="L96" s="55" t="str">
        <f t="shared" si="47"/>
        <v/>
      </c>
      <c r="M96" s="55" t="str">
        <f t="shared" si="52"/>
        <v/>
      </c>
      <c r="N96" s="55" t="str">
        <f t="shared" si="48"/>
        <v/>
      </c>
      <c r="O96" s="56" t="str">
        <f t="shared" si="53"/>
        <v/>
      </c>
      <c r="P96" s="56" t="str">
        <f t="shared" si="49"/>
        <v/>
      </c>
      <c r="Q96" s="56" t="str">
        <f t="shared" si="50"/>
        <v/>
      </c>
      <c r="R96" s="9"/>
      <c r="S96" s="9"/>
      <c r="T96" s="9"/>
      <c r="U96" s="9"/>
      <c r="V96" s="102"/>
      <c r="W96" s="7"/>
      <c r="X96" s="7"/>
      <c r="Y96" s="7"/>
      <c r="Z96" s="7"/>
      <c r="AA96" s="7"/>
      <c r="AB96" s="7"/>
      <c r="AC96" s="7"/>
      <c r="AD96" s="7"/>
      <c r="AE96" s="7"/>
      <c r="AF96" s="7"/>
    </row>
    <row r="97" spans="1:32" x14ac:dyDescent="0.45">
      <c r="A97" s="7"/>
      <c r="B97" s="46" t="s">
        <v>219</v>
      </c>
      <c r="C97" s="46" t="s">
        <v>220</v>
      </c>
      <c r="D97" s="47"/>
      <c r="E97" s="47"/>
      <c r="F97" s="57"/>
      <c r="G97" s="7"/>
      <c r="H97" s="7"/>
      <c r="I97" s="54" t="str">
        <f t="shared" si="44"/>
        <v/>
      </c>
      <c r="J97" s="54" t="str">
        <f t="shared" si="45"/>
        <v/>
      </c>
      <c r="K97" s="55" t="str">
        <f t="shared" si="46"/>
        <v/>
      </c>
      <c r="L97" s="55" t="str">
        <f t="shared" si="47"/>
        <v/>
      </c>
      <c r="M97" s="55" t="str">
        <f t="shared" si="52"/>
        <v/>
      </c>
      <c r="N97" s="55" t="str">
        <f t="shared" si="48"/>
        <v/>
      </c>
      <c r="O97" s="56" t="str">
        <f t="shared" si="53"/>
        <v/>
      </c>
      <c r="P97" s="56" t="str">
        <f t="shared" si="49"/>
        <v/>
      </c>
      <c r="Q97" s="56" t="str">
        <f t="shared" si="50"/>
        <v/>
      </c>
      <c r="R97" s="9"/>
      <c r="S97" s="9"/>
      <c r="T97" s="9"/>
      <c r="U97" s="9"/>
      <c r="V97" s="102"/>
      <c r="W97" s="7"/>
      <c r="X97" s="7"/>
      <c r="Y97" s="7"/>
      <c r="Z97" s="7"/>
      <c r="AA97" s="7"/>
      <c r="AB97" s="7"/>
      <c r="AC97" s="7"/>
      <c r="AD97" s="7"/>
      <c r="AE97" s="7"/>
      <c r="AF97" s="7"/>
    </row>
    <row r="98" spans="1:32" x14ac:dyDescent="0.45">
      <c r="A98" s="7"/>
      <c r="B98" s="46" t="s">
        <v>221</v>
      </c>
      <c r="C98" s="46" t="s">
        <v>222</v>
      </c>
      <c r="D98" s="47"/>
      <c r="E98" s="47"/>
      <c r="F98" s="57"/>
      <c r="G98" s="7"/>
      <c r="H98" s="7"/>
      <c r="I98" s="54" t="str">
        <f t="shared" si="44"/>
        <v/>
      </c>
      <c r="J98" s="54" t="str">
        <f t="shared" si="45"/>
        <v/>
      </c>
      <c r="K98" s="55" t="str">
        <f t="shared" si="46"/>
        <v/>
      </c>
      <c r="L98" s="55" t="str">
        <f t="shared" si="47"/>
        <v/>
      </c>
      <c r="M98" s="55" t="str">
        <f t="shared" si="52"/>
        <v/>
      </c>
      <c r="N98" s="55" t="str">
        <f t="shared" si="48"/>
        <v/>
      </c>
      <c r="O98" s="56" t="str">
        <f t="shared" si="53"/>
        <v/>
      </c>
      <c r="P98" s="56" t="str">
        <f t="shared" si="49"/>
        <v/>
      </c>
      <c r="Q98" s="56" t="str">
        <f t="shared" si="50"/>
        <v/>
      </c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</row>
    <row r="99" spans="1:32" x14ac:dyDescent="0.45">
      <c r="A99" s="7"/>
      <c r="B99" s="46" t="s">
        <v>223</v>
      </c>
      <c r="C99" s="46" t="s">
        <v>224</v>
      </c>
      <c r="D99" s="47"/>
      <c r="E99" s="47"/>
      <c r="F99" s="57"/>
      <c r="G99" s="7"/>
      <c r="H99" s="7"/>
      <c r="I99" s="54" t="str">
        <f t="shared" si="44"/>
        <v/>
      </c>
      <c r="J99" s="54" t="str">
        <f t="shared" si="45"/>
        <v/>
      </c>
      <c r="K99" s="55" t="str">
        <f t="shared" si="46"/>
        <v/>
      </c>
      <c r="L99" s="55" t="str">
        <f t="shared" si="47"/>
        <v/>
      </c>
      <c r="M99" s="55" t="str">
        <f t="shared" si="52"/>
        <v/>
      </c>
      <c r="N99" s="55" t="str">
        <f t="shared" si="48"/>
        <v/>
      </c>
      <c r="O99" s="56" t="str">
        <f t="shared" si="53"/>
        <v/>
      </c>
      <c r="P99" s="56" t="str">
        <f t="shared" si="49"/>
        <v/>
      </c>
      <c r="Q99" s="56" t="str">
        <f t="shared" si="50"/>
        <v/>
      </c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</row>
    <row r="100" spans="1:32" x14ac:dyDescent="0.45">
      <c r="A100" s="7"/>
      <c r="B100" s="46" t="s">
        <v>225</v>
      </c>
      <c r="C100" s="46" t="s">
        <v>226</v>
      </c>
      <c r="D100" s="47"/>
      <c r="E100" s="47"/>
      <c r="F100" s="57"/>
      <c r="G100" s="7"/>
      <c r="H100" s="7"/>
      <c r="I100" s="54" t="str">
        <f t="shared" si="44"/>
        <v/>
      </c>
      <c r="J100" s="54" t="str">
        <f t="shared" si="45"/>
        <v/>
      </c>
      <c r="K100" s="55" t="str">
        <f t="shared" si="46"/>
        <v/>
      </c>
      <c r="L100" s="55" t="str">
        <f t="shared" si="47"/>
        <v/>
      </c>
      <c r="M100" s="55" t="str">
        <f t="shared" si="52"/>
        <v/>
      </c>
      <c r="N100" s="55" t="str">
        <f t="shared" si="48"/>
        <v/>
      </c>
      <c r="O100" s="56" t="str">
        <f t="shared" si="53"/>
        <v/>
      </c>
      <c r="P100" s="56" t="str">
        <f t="shared" si="49"/>
        <v/>
      </c>
      <c r="Q100" s="56" t="str">
        <f t="shared" si="50"/>
        <v/>
      </c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</row>
    <row r="101" spans="1:32" x14ac:dyDescent="0.45">
      <c r="A101" s="7"/>
      <c r="B101" s="46" t="s">
        <v>227</v>
      </c>
      <c r="C101" s="46" t="s">
        <v>228</v>
      </c>
      <c r="D101" s="47"/>
      <c r="E101" s="47"/>
      <c r="F101" s="57"/>
      <c r="G101" s="7"/>
      <c r="H101" s="7"/>
      <c r="I101" s="54" t="str">
        <f t="shared" si="44"/>
        <v/>
      </c>
      <c r="J101" s="54" t="str">
        <f t="shared" si="45"/>
        <v/>
      </c>
      <c r="K101" s="55" t="str">
        <f t="shared" si="46"/>
        <v/>
      </c>
      <c r="L101" s="55" t="str">
        <f t="shared" si="47"/>
        <v/>
      </c>
      <c r="M101" s="55" t="str">
        <f t="shared" si="52"/>
        <v/>
      </c>
      <c r="N101" s="55" t="str">
        <f t="shared" si="48"/>
        <v/>
      </c>
      <c r="O101" s="56" t="str">
        <f t="shared" si="53"/>
        <v/>
      </c>
      <c r="P101" s="56" t="str">
        <f t="shared" si="49"/>
        <v/>
      </c>
      <c r="Q101" s="56" t="str">
        <f t="shared" si="50"/>
        <v/>
      </c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</row>
    <row r="102" spans="1:32" x14ac:dyDescent="0.45">
      <c r="A102" s="7"/>
      <c r="B102" s="46" t="s">
        <v>229</v>
      </c>
      <c r="C102" s="46" t="s">
        <v>230</v>
      </c>
      <c r="D102" s="47"/>
      <c r="E102" s="47"/>
      <c r="F102" s="57"/>
      <c r="G102" s="7"/>
      <c r="H102" s="7"/>
      <c r="I102" s="54" t="str">
        <f t="shared" si="44"/>
        <v/>
      </c>
      <c r="J102" s="54" t="str">
        <f t="shared" si="45"/>
        <v/>
      </c>
      <c r="K102" s="55" t="str">
        <f t="shared" si="46"/>
        <v/>
      </c>
      <c r="L102" s="55" t="str">
        <f t="shared" si="47"/>
        <v/>
      </c>
      <c r="M102" s="55" t="str">
        <f t="shared" si="52"/>
        <v/>
      </c>
      <c r="N102" s="55" t="str">
        <f t="shared" si="48"/>
        <v/>
      </c>
      <c r="O102" s="56" t="str">
        <f t="shared" si="53"/>
        <v/>
      </c>
      <c r="P102" s="56" t="str">
        <f t="shared" si="49"/>
        <v/>
      </c>
      <c r="Q102" s="56" t="str">
        <f t="shared" si="50"/>
        <v/>
      </c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</row>
    <row r="103" spans="1:32" x14ac:dyDescent="0.45">
      <c r="A103" s="7"/>
      <c r="B103" s="46" t="s">
        <v>231</v>
      </c>
      <c r="C103" s="46" t="s">
        <v>232</v>
      </c>
      <c r="D103" s="47"/>
      <c r="E103" s="47"/>
      <c r="F103" s="57"/>
      <c r="G103" s="7"/>
      <c r="H103" s="7"/>
      <c r="I103" s="54" t="str">
        <f t="shared" si="44"/>
        <v/>
      </c>
      <c r="J103" s="54" t="str">
        <f t="shared" si="45"/>
        <v/>
      </c>
      <c r="K103" s="55" t="str">
        <f t="shared" si="46"/>
        <v/>
      </c>
      <c r="L103" s="55" t="str">
        <f t="shared" si="47"/>
        <v/>
      </c>
      <c r="M103" s="55" t="str">
        <f t="shared" si="52"/>
        <v/>
      </c>
      <c r="N103" s="55" t="str">
        <f t="shared" si="48"/>
        <v/>
      </c>
      <c r="O103" s="56" t="str">
        <f t="shared" si="53"/>
        <v/>
      </c>
      <c r="P103" s="56" t="str">
        <f t="shared" si="49"/>
        <v/>
      </c>
      <c r="Q103" s="56" t="str">
        <f t="shared" si="50"/>
        <v/>
      </c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</row>
    <row r="104" spans="1:32" x14ac:dyDescent="0.45">
      <c r="A104" s="7"/>
      <c r="B104" s="46" t="s">
        <v>233</v>
      </c>
      <c r="C104" s="46" t="s">
        <v>234</v>
      </c>
      <c r="D104" s="47"/>
      <c r="E104" s="47"/>
      <c r="F104" s="57"/>
      <c r="G104" s="7"/>
      <c r="H104" s="7"/>
      <c r="I104" s="54" t="str">
        <f t="shared" si="44"/>
        <v/>
      </c>
      <c r="J104" s="54" t="str">
        <f t="shared" si="45"/>
        <v/>
      </c>
      <c r="K104" s="55" t="str">
        <f t="shared" si="46"/>
        <v/>
      </c>
      <c r="L104" s="55" t="str">
        <f t="shared" si="47"/>
        <v/>
      </c>
      <c r="M104" s="55" t="str">
        <f t="shared" si="52"/>
        <v/>
      </c>
      <c r="N104" s="55" t="str">
        <f t="shared" si="48"/>
        <v/>
      </c>
      <c r="O104" s="56" t="str">
        <f t="shared" si="53"/>
        <v/>
      </c>
      <c r="P104" s="56" t="str">
        <f t="shared" si="49"/>
        <v/>
      </c>
      <c r="Q104" s="56" t="str">
        <f t="shared" si="50"/>
        <v/>
      </c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</row>
    <row r="105" spans="1:32" x14ac:dyDescent="0.45">
      <c r="A105" s="7"/>
      <c r="B105" s="46" t="s">
        <v>235</v>
      </c>
      <c r="C105" s="46" t="s">
        <v>236</v>
      </c>
      <c r="D105" s="47"/>
      <c r="E105" s="47"/>
      <c r="F105" s="57"/>
      <c r="G105" s="7"/>
      <c r="H105" s="7"/>
      <c r="I105" s="54" t="str">
        <f t="shared" si="44"/>
        <v/>
      </c>
      <c r="J105" s="54" t="str">
        <f t="shared" si="45"/>
        <v/>
      </c>
      <c r="K105" s="55" t="str">
        <f t="shared" si="46"/>
        <v/>
      </c>
      <c r="L105" s="55" t="str">
        <f t="shared" si="47"/>
        <v/>
      </c>
      <c r="M105" s="55" t="str">
        <f t="shared" si="52"/>
        <v/>
      </c>
      <c r="N105" s="55" t="str">
        <f t="shared" si="48"/>
        <v/>
      </c>
      <c r="O105" s="56" t="str">
        <f t="shared" si="53"/>
        <v/>
      </c>
      <c r="P105" s="56" t="str">
        <f t="shared" si="49"/>
        <v/>
      </c>
      <c r="Q105" s="56" t="str">
        <f t="shared" si="50"/>
        <v/>
      </c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</row>
    <row r="106" spans="1:32" x14ac:dyDescent="0.45">
      <c r="A106" s="7"/>
      <c r="B106" s="46" t="s">
        <v>237</v>
      </c>
      <c r="C106" s="46" t="s">
        <v>238</v>
      </c>
      <c r="D106" s="47"/>
      <c r="E106" s="47"/>
      <c r="F106" s="57"/>
      <c r="G106" s="7"/>
      <c r="H106" s="7"/>
      <c r="I106" s="54" t="str">
        <f t="shared" si="44"/>
        <v/>
      </c>
      <c r="J106" s="54" t="str">
        <f t="shared" si="45"/>
        <v/>
      </c>
      <c r="K106" s="55" t="str">
        <f t="shared" si="46"/>
        <v/>
      </c>
      <c r="L106" s="55" t="str">
        <f t="shared" si="47"/>
        <v/>
      </c>
      <c r="M106" s="55" t="str">
        <f t="shared" si="52"/>
        <v/>
      </c>
      <c r="N106" s="55" t="str">
        <f t="shared" si="48"/>
        <v/>
      </c>
      <c r="O106" s="56" t="str">
        <f t="shared" si="53"/>
        <v/>
      </c>
      <c r="P106" s="56" t="str">
        <f t="shared" si="49"/>
        <v/>
      </c>
      <c r="Q106" s="56" t="str">
        <f t="shared" si="50"/>
        <v/>
      </c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</row>
    <row r="107" spans="1:32" x14ac:dyDescent="0.45">
      <c r="A107" s="7"/>
      <c r="B107" s="46" t="s">
        <v>239</v>
      </c>
      <c r="C107" s="46" t="s">
        <v>240</v>
      </c>
      <c r="D107" s="47">
        <v>0.97789599999999988</v>
      </c>
      <c r="E107" s="47">
        <v>1.067612</v>
      </c>
      <c r="F107" s="98">
        <v>9.9999999999999995E-7</v>
      </c>
      <c r="G107" s="7"/>
      <c r="H107" s="7"/>
      <c r="I107" s="54">
        <f t="shared" si="44"/>
        <v>1.9065682325616583E-2</v>
      </c>
      <c r="J107" s="54">
        <f t="shared" si="45"/>
        <v>0.33148681110620515</v>
      </c>
      <c r="K107" s="55">
        <f t="shared" si="46"/>
        <v>0.9512714974270976</v>
      </c>
      <c r="L107" s="55">
        <f t="shared" si="47"/>
        <v>8.6158093041582005E-4</v>
      </c>
      <c r="M107" s="55">
        <f t="shared" si="52"/>
        <v>0.99913841906958423</v>
      </c>
      <c r="N107" s="55">
        <f t="shared" si="48"/>
        <v>1.4969660465489156E-4</v>
      </c>
      <c r="O107" s="56">
        <f t="shared" si="53"/>
        <v>9.5662635597999327E-7</v>
      </c>
      <c r="P107" s="56">
        <f t="shared" si="49"/>
        <v>2.0522447485871295E-6</v>
      </c>
      <c r="Q107" s="56">
        <f t="shared" si="50"/>
        <v>1.1177748710915557E-5</v>
      </c>
      <c r="R107" s="9">
        <f>F107*$C$14</f>
        <v>3.9999999999999996E-5</v>
      </c>
      <c r="S107" s="9">
        <f t="shared" ref="S107:S108" si="54">$R107*L107</f>
        <v>3.4463237216632801E-8</v>
      </c>
      <c r="T107" s="9">
        <f t="shared" ref="T107:T108" si="55">R107*K107</f>
        <v>3.80508598970839E-5</v>
      </c>
      <c r="U107" s="9">
        <f t="shared" ref="U107:U108" si="56">$R107*M107</f>
        <v>3.9965536762783365E-5</v>
      </c>
      <c r="V107" s="102">
        <f t="shared" ref="V107:V108" si="57">K107/M107</f>
        <v>0.9520918015673332</v>
      </c>
      <c r="W107" s="7"/>
      <c r="X107" s="7"/>
      <c r="Y107" s="7"/>
      <c r="Z107" s="7"/>
      <c r="AA107" s="7"/>
      <c r="AB107" s="7"/>
      <c r="AC107" s="7"/>
      <c r="AD107" s="7"/>
      <c r="AE107" s="7"/>
      <c r="AF107" s="7"/>
    </row>
    <row r="108" spans="1:32" x14ac:dyDescent="0.45">
      <c r="A108" s="7"/>
      <c r="B108" s="46" t="s">
        <v>241</v>
      </c>
      <c r="C108" s="46" t="s">
        <v>242</v>
      </c>
      <c r="D108" s="47">
        <v>1.8253520000000001</v>
      </c>
      <c r="E108" s="47">
        <v>2.0793489999999997</v>
      </c>
      <c r="F108" s="98">
        <v>9.9999999999999995E-7</v>
      </c>
      <c r="G108" s="7"/>
      <c r="H108" s="7"/>
      <c r="I108" s="54">
        <f t="shared" si="44"/>
        <v>0.13401854480859055</v>
      </c>
      <c r="J108" s="54">
        <f t="shared" si="45"/>
        <v>1.0426006689905334</v>
      </c>
      <c r="K108" s="55">
        <f t="shared" si="46"/>
        <v>0.72819999461842144</v>
      </c>
      <c r="L108" s="55">
        <f t="shared" si="47"/>
        <v>3.391221234684212E-3</v>
      </c>
      <c r="M108" s="55">
        <f t="shared" si="52"/>
        <v>0.99660877876531584</v>
      </c>
      <c r="N108" s="55">
        <f t="shared" si="48"/>
        <v>1.1773216679518131E-3</v>
      </c>
      <c r="O108" s="56">
        <f t="shared" si="53"/>
        <v>7.3229914820385726E-7</v>
      </c>
      <c r="P108" s="56">
        <f t="shared" si="49"/>
        <v>8.0777274942923354E-6</v>
      </c>
      <c r="Q108" s="56">
        <f t="shared" si="50"/>
        <v>8.790984796628996E-5</v>
      </c>
      <c r="R108" s="9">
        <f>F108*$C$14</f>
        <v>3.9999999999999996E-5</v>
      </c>
      <c r="S108" s="9">
        <f t="shared" si="54"/>
        <v>1.3564884938736848E-7</v>
      </c>
      <c r="T108" s="9">
        <f t="shared" si="55"/>
        <v>2.9127999784736856E-5</v>
      </c>
      <c r="U108" s="9">
        <f t="shared" si="56"/>
        <v>3.9864351150612633E-5</v>
      </c>
      <c r="V108" s="102">
        <f t="shared" si="57"/>
        <v>0.73067788497767183</v>
      </c>
      <c r="W108" s="7"/>
      <c r="X108" s="7"/>
      <c r="Y108" s="7"/>
      <c r="Z108" s="7"/>
      <c r="AA108" s="7"/>
      <c r="AB108" s="7"/>
      <c r="AC108" s="7"/>
      <c r="AD108" s="7"/>
      <c r="AE108" s="7"/>
      <c r="AF108" s="7"/>
    </row>
    <row r="109" spans="1:32" x14ac:dyDescent="0.45">
      <c r="A109" s="7"/>
      <c r="B109" s="46" t="s">
        <v>243</v>
      </c>
      <c r="C109" s="46" t="s">
        <v>244</v>
      </c>
      <c r="D109" s="47"/>
      <c r="E109" s="47"/>
      <c r="F109" s="98"/>
      <c r="G109" s="7"/>
      <c r="H109" s="7"/>
      <c r="I109" s="54" t="str">
        <f t="shared" si="44"/>
        <v/>
      </c>
      <c r="J109" s="54" t="str">
        <f t="shared" si="45"/>
        <v/>
      </c>
      <c r="K109" s="55" t="str">
        <f t="shared" si="46"/>
        <v/>
      </c>
      <c r="L109" s="55" t="str">
        <f t="shared" si="47"/>
        <v/>
      </c>
      <c r="M109" s="55" t="str">
        <f t="shared" si="52"/>
        <v/>
      </c>
      <c r="N109" s="55" t="str">
        <f t="shared" si="48"/>
        <v/>
      </c>
      <c r="O109" s="56" t="str">
        <f t="shared" si="53"/>
        <v/>
      </c>
      <c r="P109" s="56" t="str">
        <f t="shared" si="49"/>
        <v/>
      </c>
      <c r="Q109" s="56" t="str">
        <f t="shared" si="50"/>
        <v/>
      </c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</row>
    <row r="110" spans="1:32" x14ac:dyDescent="0.45">
      <c r="A110" s="7"/>
      <c r="B110" s="46" t="s">
        <v>245</v>
      </c>
      <c r="C110" s="46" t="s">
        <v>246</v>
      </c>
      <c r="D110" s="47"/>
      <c r="E110" s="47"/>
      <c r="F110" s="98"/>
      <c r="G110" s="7"/>
      <c r="H110" s="7"/>
      <c r="I110" s="54" t="str">
        <f t="shared" si="44"/>
        <v/>
      </c>
      <c r="J110" s="54" t="str">
        <f t="shared" si="45"/>
        <v/>
      </c>
      <c r="K110" s="55" t="str">
        <f t="shared" si="46"/>
        <v/>
      </c>
      <c r="L110" s="55" t="str">
        <f t="shared" si="47"/>
        <v/>
      </c>
      <c r="M110" s="55" t="str">
        <f t="shared" si="52"/>
        <v/>
      </c>
      <c r="N110" s="55" t="str">
        <f t="shared" si="48"/>
        <v/>
      </c>
      <c r="O110" s="56" t="str">
        <f t="shared" si="53"/>
        <v/>
      </c>
      <c r="P110" s="56" t="str">
        <f t="shared" si="49"/>
        <v/>
      </c>
      <c r="Q110" s="56" t="str">
        <f t="shared" si="50"/>
        <v/>
      </c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</row>
    <row r="111" spans="1:32" x14ac:dyDescent="0.45">
      <c r="A111" s="7"/>
      <c r="B111" s="46" t="s">
        <v>247</v>
      </c>
      <c r="C111" s="46" t="s">
        <v>248</v>
      </c>
      <c r="D111" s="47"/>
      <c r="E111" s="47"/>
      <c r="F111" s="98"/>
      <c r="G111" s="7"/>
      <c r="H111" s="7"/>
      <c r="I111" s="54" t="str">
        <f t="shared" si="44"/>
        <v/>
      </c>
      <c r="J111" s="54" t="str">
        <f t="shared" si="45"/>
        <v/>
      </c>
      <c r="K111" s="55" t="str">
        <f t="shared" si="46"/>
        <v/>
      </c>
      <c r="L111" s="55" t="str">
        <f t="shared" si="47"/>
        <v/>
      </c>
      <c r="M111" s="55" t="str">
        <f t="shared" si="52"/>
        <v/>
      </c>
      <c r="N111" s="55" t="str">
        <f t="shared" si="48"/>
        <v/>
      </c>
      <c r="O111" s="56" t="str">
        <f t="shared" si="53"/>
        <v/>
      </c>
      <c r="P111" s="56" t="str">
        <f t="shared" si="49"/>
        <v/>
      </c>
      <c r="Q111" s="56" t="str">
        <f t="shared" si="50"/>
        <v/>
      </c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</row>
    <row r="112" spans="1:32" x14ac:dyDescent="0.45">
      <c r="A112" s="7"/>
      <c r="B112" s="46" t="s">
        <v>249</v>
      </c>
      <c r="C112" s="46" t="s">
        <v>250</v>
      </c>
      <c r="D112" s="47"/>
      <c r="E112" s="47"/>
      <c r="F112" s="98"/>
      <c r="G112" s="7"/>
      <c r="H112" s="7"/>
      <c r="I112" s="54" t="str">
        <f t="shared" si="44"/>
        <v/>
      </c>
      <c r="J112" s="54" t="str">
        <f t="shared" si="45"/>
        <v/>
      </c>
      <c r="K112" s="55" t="str">
        <f t="shared" si="46"/>
        <v/>
      </c>
      <c r="L112" s="55" t="str">
        <f t="shared" si="47"/>
        <v/>
      </c>
      <c r="M112" s="55" t="str">
        <f t="shared" si="52"/>
        <v/>
      </c>
      <c r="N112" s="55" t="str">
        <f t="shared" si="48"/>
        <v/>
      </c>
      <c r="O112" s="56" t="str">
        <f t="shared" si="53"/>
        <v/>
      </c>
      <c r="P112" s="56" t="str">
        <f t="shared" si="49"/>
        <v/>
      </c>
      <c r="Q112" s="56" t="str">
        <f t="shared" si="50"/>
        <v/>
      </c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</row>
    <row r="113" spans="1:32" x14ac:dyDescent="0.45">
      <c r="A113" s="7"/>
      <c r="B113" s="46" t="s">
        <v>251</v>
      </c>
      <c r="C113" s="46" t="s">
        <v>252</v>
      </c>
      <c r="D113" s="47"/>
      <c r="E113" s="47"/>
      <c r="F113" s="57"/>
      <c r="G113" s="7"/>
      <c r="H113" s="7"/>
      <c r="I113" s="54" t="str">
        <f t="shared" si="44"/>
        <v/>
      </c>
      <c r="J113" s="54" t="str">
        <f t="shared" si="45"/>
        <v/>
      </c>
      <c r="K113" s="55" t="str">
        <f t="shared" si="46"/>
        <v/>
      </c>
      <c r="L113" s="55" t="str">
        <f t="shared" si="47"/>
        <v/>
      </c>
      <c r="M113" s="55" t="str">
        <f t="shared" si="52"/>
        <v/>
      </c>
      <c r="N113" s="55" t="str">
        <f t="shared" si="48"/>
        <v/>
      </c>
      <c r="O113" s="56" t="str">
        <f t="shared" si="53"/>
        <v/>
      </c>
      <c r="P113" s="56" t="str">
        <f t="shared" si="49"/>
        <v/>
      </c>
      <c r="Q113" s="56" t="str">
        <f t="shared" si="50"/>
        <v/>
      </c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</row>
    <row r="114" spans="1:32" x14ac:dyDescent="0.45">
      <c r="A114" s="7"/>
      <c r="B114" s="46" t="s">
        <v>253</v>
      </c>
      <c r="C114" s="46" t="s">
        <v>254</v>
      </c>
      <c r="D114" s="47">
        <v>1.6430320000000003</v>
      </c>
      <c r="E114" s="47">
        <v>1.9699289999999996</v>
      </c>
      <c r="F114" s="98">
        <v>9.9999999999999995E-7</v>
      </c>
      <c r="G114" s="7"/>
      <c r="H114" s="7"/>
      <c r="I114" s="54">
        <f t="shared" si="44"/>
        <v>9.3867444440884892E-2</v>
      </c>
      <c r="J114" s="54">
        <f t="shared" si="45"/>
        <v>0.90354926162364302</v>
      </c>
      <c r="K114" s="55">
        <f t="shared" si="46"/>
        <v>0.79928529013041638</v>
      </c>
      <c r="L114" s="55">
        <f t="shared" si="47"/>
        <v>2.7024387812751502E-3</v>
      </c>
      <c r="M114" s="55">
        <f t="shared" si="52"/>
        <v>0.99729756121872482</v>
      </c>
      <c r="N114" s="55">
        <f t="shared" si="48"/>
        <v>1.0044452886247039E-3</v>
      </c>
      <c r="O114" s="56">
        <f t="shared" si="53"/>
        <v>8.0378459414996798E-7</v>
      </c>
      <c r="P114" s="56">
        <f t="shared" si="49"/>
        <v>6.4370804894363952E-6</v>
      </c>
      <c r="Q114" s="56">
        <f t="shared" si="50"/>
        <v>7.5001280463197963E-5</v>
      </c>
      <c r="R114" s="9">
        <f>F114*$C$14</f>
        <v>3.9999999999999996E-5</v>
      </c>
      <c r="S114" s="9">
        <f t="shared" ref="S114:S116" si="58">$R114*L114</f>
        <v>1.08097551251006E-7</v>
      </c>
      <c r="T114" s="9">
        <f t="shared" ref="T114:T116" si="59">R114*K114</f>
        <v>3.1971411605216656E-5</v>
      </c>
      <c r="U114" s="9">
        <f t="shared" ref="U114:U116" si="60">$R114*M114</f>
        <v>3.9891902448748991E-5</v>
      </c>
      <c r="V114" s="102">
        <f t="shared" ref="V114:V116" si="61">K114/M114</f>
        <v>0.80145116283415752</v>
      </c>
      <c r="W114" s="7"/>
      <c r="X114" s="7"/>
      <c r="Y114" s="7"/>
      <c r="Z114" s="7"/>
      <c r="AA114" s="7"/>
      <c r="AB114" s="7"/>
      <c r="AC114" s="7"/>
      <c r="AD114" s="7"/>
      <c r="AE114" s="7"/>
      <c r="AF114" s="7"/>
    </row>
    <row r="115" spans="1:32" x14ac:dyDescent="0.45">
      <c r="A115" s="7"/>
      <c r="B115" s="46" t="s">
        <v>255</v>
      </c>
      <c r="C115" s="46" t="s">
        <v>256</v>
      </c>
      <c r="D115" s="47">
        <v>1.9888079999999992</v>
      </c>
      <c r="E115" s="47">
        <v>1.7269960000000002</v>
      </c>
      <c r="F115" s="98">
        <v>9.9999999999999995E-7</v>
      </c>
      <c r="G115" s="7"/>
      <c r="H115" s="7"/>
      <c r="I115" s="54">
        <f t="shared" si="44"/>
        <v>0.17110445915344102</v>
      </c>
      <c r="J115" s="54">
        <f t="shared" si="45"/>
        <v>1.0716665691586713</v>
      </c>
      <c r="K115" s="55">
        <f t="shared" si="46"/>
        <v>0.66863900254737885</v>
      </c>
      <c r="L115" s="55">
        <f t="shared" si="47"/>
        <v>3.3293776337876254E-3</v>
      </c>
      <c r="M115" s="55">
        <f t="shared" si="52"/>
        <v>0.9966706223662124</v>
      </c>
      <c r="N115" s="55">
        <f t="shared" si="48"/>
        <v>4.8026747006567062E-4</v>
      </c>
      <c r="O115" s="56">
        <f t="shared" si="53"/>
        <v>6.7240287783563736E-7</v>
      </c>
      <c r="P115" s="56">
        <f t="shared" si="49"/>
        <v>7.9304189818900407E-6</v>
      </c>
      <c r="Q115" s="56">
        <f t="shared" si="50"/>
        <v>3.5861261561658327E-5</v>
      </c>
      <c r="R115" s="9">
        <f>F115*$C$14</f>
        <v>3.9999999999999996E-5</v>
      </c>
      <c r="S115" s="9">
        <f t="shared" si="58"/>
        <v>1.33175105351505E-7</v>
      </c>
      <c r="T115" s="9">
        <f t="shared" si="59"/>
        <v>2.6745560101895151E-5</v>
      </c>
      <c r="U115" s="9">
        <f t="shared" si="60"/>
        <v>3.9866824894648493E-5</v>
      </c>
      <c r="V115" s="102">
        <f t="shared" si="61"/>
        <v>0.67087259074613015</v>
      </c>
      <c r="W115" s="7"/>
      <c r="X115" s="7"/>
      <c r="Y115" s="7"/>
      <c r="Z115" s="7"/>
      <c r="AA115" s="7"/>
      <c r="AB115" s="7"/>
      <c r="AC115" s="7"/>
      <c r="AD115" s="7"/>
      <c r="AE115" s="7"/>
      <c r="AF115" s="7"/>
    </row>
    <row r="116" spans="1:32" x14ac:dyDescent="0.45">
      <c r="A116" s="7"/>
      <c r="B116" s="46" t="s">
        <v>257</v>
      </c>
      <c r="C116" s="46" t="s">
        <v>258</v>
      </c>
      <c r="D116" s="47">
        <v>0.57692000000000121</v>
      </c>
      <c r="E116" s="47">
        <v>0.1355349999999973</v>
      </c>
      <c r="F116" s="98">
        <v>9.9999999999999995E-7</v>
      </c>
      <c r="G116" s="7"/>
      <c r="H116" s="7"/>
      <c r="I116" s="54">
        <f t="shared" si="44"/>
        <v>5.8063156695311677E-3</v>
      </c>
      <c r="J116" s="54">
        <f t="shared" si="45"/>
        <v>0.1052380650673532</v>
      </c>
      <c r="K116" s="55">
        <f t="shared" si="46"/>
        <v>0.98109016087422685</v>
      </c>
      <c r="L116" s="55">
        <f t="shared" si="47"/>
        <v>5.2777858929228653E-4</v>
      </c>
      <c r="M116" s="55">
        <f t="shared" si="52"/>
        <v>0.99947222141070768</v>
      </c>
      <c r="N116" s="55">
        <f t="shared" si="48"/>
        <v>1.8052584476916572E-5</v>
      </c>
      <c r="O116" s="56">
        <f t="shared" si="53"/>
        <v>9.8661287342614144E-7</v>
      </c>
      <c r="P116" s="56">
        <f t="shared" si="49"/>
        <v>1.2571434673804508E-6</v>
      </c>
      <c r="Q116" s="56">
        <f t="shared" si="50"/>
        <v>1.347974814330264E-6</v>
      </c>
      <c r="R116" s="9">
        <f>F116*$C$14</f>
        <v>3.9999999999999996E-5</v>
      </c>
      <c r="S116" s="9">
        <f t="shared" si="58"/>
        <v>2.111114357169146E-8</v>
      </c>
      <c r="T116" s="9">
        <f t="shared" si="59"/>
        <v>3.9243606434969072E-5</v>
      </c>
      <c r="U116" s="9">
        <f t="shared" si="60"/>
        <v>3.9978888856428303E-5</v>
      </c>
      <c r="V116" s="102">
        <f t="shared" si="61"/>
        <v>0.98160823268250974</v>
      </c>
      <c r="W116" s="7"/>
      <c r="X116" s="7"/>
      <c r="Y116" s="7"/>
      <c r="Z116" s="7"/>
      <c r="AA116" s="7"/>
      <c r="AB116" s="7"/>
      <c r="AC116" s="7"/>
      <c r="AD116" s="7"/>
      <c r="AE116" s="7"/>
      <c r="AF116" s="7"/>
    </row>
    <row r="117" spans="1:32" x14ac:dyDescent="0.45">
      <c r="A117" s="7"/>
      <c r="B117" s="46" t="s">
        <v>259</v>
      </c>
      <c r="C117" s="46" t="s">
        <v>260</v>
      </c>
      <c r="D117" s="47"/>
      <c r="E117" s="47"/>
      <c r="F117" s="98"/>
      <c r="G117" s="7"/>
      <c r="H117" s="7"/>
      <c r="I117" s="54" t="str">
        <f t="shared" si="44"/>
        <v/>
      </c>
      <c r="J117" s="54" t="str">
        <f t="shared" si="45"/>
        <v/>
      </c>
      <c r="K117" s="55" t="str">
        <f t="shared" si="46"/>
        <v/>
      </c>
      <c r="L117" s="55" t="str">
        <f t="shared" si="47"/>
        <v/>
      </c>
      <c r="M117" s="55" t="str">
        <f t="shared" si="52"/>
        <v/>
      </c>
      <c r="N117" s="55" t="str">
        <f t="shared" si="48"/>
        <v/>
      </c>
      <c r="O117" s="56" t="str">
        <f t="shared" si="53"/>
        <v/>
      </c>
      <c r="P117" s="56" t="str">
        <f t="shared" si="49"/>
        <v/>
      </c>
      <c r="Q117" s="56" t="str">
        <f t="shared" si="50"/>
        <v/>
      </c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</row>
    <row r="118" spans="1:32" x14ac:dyDescent="0.45">
      <c r="A118" s="7"/>
      <c r="B118" s="46" t="s">
        <v>261</v>
      </c>
      <c r="C118" s="46" t="s">
        <v>262</v>
      </c>
      <c r="D118" s="47"/>
      <c r="E118" s="47"/>
      <c r="F118" s="57"/>
      <c r="G118" s="7"/>
      <c r="H118" s="7"/>
      <c r="I118" s="54" t="str">
        <f t="shared" si="44"/>
        <v/>
      </c>
      <c r="J118" s="54" t="str">
        <f t="shared" si="45"/>
        <v/>
      </c>
      <c r="K118" s="55" t="str">
        <f t="shared" si="46"/>
        <v/>
      </c>
      <c r="L118" s="55" t="str">
        <f t="shared" si="47"/>
        <v/>
      </c>
      <c r="M118" s="55" t="str">
        <f t="shared" si="52"/>
        <v/>
      </c>
      <c r="N118" s="55" t="str">
        <f t="shared" si="48"/>
        <v/>
      </c>
      <c r="O118" s="56" t="str">
        <f t="shared" si="53"/>
        <v/>
      </c>
      <c r="P118" s="56" t="str">
        <f t="shared" si="49"/>
        <v/>
      </c>
      <c r="Q118" s="56" t="str">
        <f t="shared" si="50"/>
        <v/>
      </c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</row>
    <row r="119" spans="1:32" x14ac:dyDescent="0.45">
      <c r="A119" s="7"/>
      <c r="B119" s="46" t="s">
        <v>263</v>
      </c>
      <c r="C119" s="46" t="s">
        <v>264</v>
      </c>
      <c r="D119" s="47">
        <v>3.598704000000001</v>
      </c>
      <c r="E119" s="47">
        <v>4.3131730000000008</v>
      </c>
      <c r="F119" s="98">
        <v>9.9999999999999995E-7</v>
      </c>
      <c r="G119" s="7"/>
      <c r="H119" s="7"/>
      <c r="I119" s="54">
        <f t="shared" si="44"/>
        <v>1.4450204174697026</v>
      </c>
      <c r="J119" s="54">
        <f t="shared" si="45"/>
        <v>3.013869491074634</v>
      </c>
      <c r="K119" s="55">
        <f t="shared" si="46"/>
        <v>3.5157431814855818E-2</v>
      </c>
      <c r="L119" s="55">
        <f t="shared" si="47"/>
        <v>1.5324680077428985E-2</v>
      </c>
      <c r="M119" s="55">
        <f t="shared" si="52"/>
        <v>0.98467531992257107</v>
      </c>
      <c r="N119" s="55">
        <f t="shared" si="48"/>
        <v>9.7383551485885015E-3</v>
      </c>
      <c r="O119" s="56">
        <f t="shared" si="53"/>
        <v>3.5355338590114854E-8</v>
      </c>
      <c r="P119" s="56">
        <f t="shared" si="49"/>
        <v>3.6502658197765514E-5</v>
      </c>
      <c r="Q119" s="56">
        <f t="shared" si="50"/>
        <v>7.2715668441192054E-4</v>
      </c>
      <c r="R119" s="9">
        <f>F119*$C$14</f>
        <v>3.9999999999999996E-5</v>
      </c>
      <c r="S119" s="9">
        <f t="shared" ref="S119:S121" si="62">$R119*L119</f>
        <v>6.1298720309715939E-7</v>
      </c>
      <c r="T119" s="9">
        <f t="shared" ref="T119:T121" si="63">R119*K119</f>
        <v>1.4062972725942326E-6</v>
      </c>
      <c r="U119" s="9">
        <f t="shared" ref="U119:U121" si="64">$R119*M119</f>
        <v>3.9387012796902841E-5</v>
      </c>
      <c r="V119" s="102">
        <f t="shared" ref="V119:V121" si="65">K119/M119</f>
        <v>3.5704593284231381E-2</v>
      </c>
      <c r="W119" s="7"/>
      <c r="X119" s="7"/>
      <c r="Y119" s="7"/>
      <c r="Z119" s="7"/>
      <c r="AA119" s="7"/>
      <c r="AB119" s="7"/>
      <c r="AC119" s="7"/>
      <c r="AD119" s="7"/>
      <c r="AE119" s="7"/>
      <c r="AF119" s="7"/>
    </row>
    <row r="120" spans="1:32" x14ac:dyDescent="0.45">
      <c r="A120" s="7"/>
      <c r="B120" s="46" t="s">
        <v>265</v>
      </c>
      <c r="C120" s="46" t="s">
        <v>266</v>
      </c>
      <c r="D120" s="47">
        <v>2.0168880000000002</v>
      </c>
      <c r="E120" s="47">
        <v>2.2161360000000005</v>
      </c>
      <c r="F120" s="98">
        <v>9.9999999999999995E-7</v>
      </c>
      <c r="G120" s="7"/>
      <c r="H120" s="7"/>
      <c r="I120" s="54">
        <f t="shared" si="44"/>
        <v>0.19210968761462099</v>
      </c>
      <c r="J120" s="54">
        <f t="shared" si="45"/>
        <v>1.2029184961851247</v>
      </c>
      <c r="K120" s="55">
        <f t="shared" si="46"/>
        <v>0.63645665383556127</v>
      </c>
      <c r="L120" s="55">
        <f t="shared" si="47"/>
        <v>4.2873813056585712E-3</v>
      </c>
      <c r="M120" s="55">
        <f t="shared" si="52"/>
        <v>0.99571261869434147</v>
      </c>
      <c r="N120" s="55">
        <f t="shared" si="48"/>
        <v>1.4099389130180333E-3</v>
      </c>
      <c r="O120" s="56">
        <f t="shared" si="53"/>
        <v>6.4003936956451643E-7</v>
      </c>
      <c r="P120" s="56">
        <f t="shared" si="49"/>
        <v>1.0212338109064162E-5</v>
      </c>
      <c r="Q120" s="56">
        <f t="shared" si="50"/>
        <v>1.05279227299709E-4</v>
      </c>
      <c r="R120" s="9">
        <f>F120*$C$14</f>
        <v>3.9999999999999996E-5</v>
      </c>
      <c r="S120" s="9">
        <f t="shared" si="62"/>
        <v>1.7149525222634282E-7</v>
      </c>
      <c r="T120" s="9">
        <f t="shared" si="63"/>
        <v>2.5458266153422448E-5</v>
      </c>
      <c r="U120" s="9">
        <f t="shared" si="64"/>
        <v>3.9828504747773653E-5</v>
      </c>
      <c r="V120" s="102">
        <f t="shared" si="65"/>
        <v>0.63919713568573078</v>
      </c>
      <c r="W120" s="7"/>
      <c r="X120" s="7"/>
      <c r="Y120" s="7"/>
      <c r="Z120" s="7"/>
      <c r="AA120" s="7"/>
      <c r="AB120" s="7"/>
      <c r="AC120" s="7"/>
      <c r="AD120" s="7"/>
      <c r="AE120" s="7"/>
      <c r="AF120" s="7"/>
    </row>
    <row r="121" spans="1:32" x14ac:dyDescent="0.45">
      <c r="A121" s="7"/>
      <c r="B121" s="46" t="s">
        <v>267</v>
      </c>
      <c r="C121" s="46" t="s">
        <v>268</v>
      </c>
      <c r="D121" s="47">
        <v>4.2132720000000008</v>
      </c>
      <c r="E121" s="47">
        <v>4.705258999999999</v>
      </c>
      <c r="F121" s="98">
        <v>9.9999999999999995E-7</v>
      </c>
      <c r="G121" s="7"/>
      <c r="H121" s="7"/>
      <c r="I121" s="54">
        <f t="shared" si="44"/>
        <v>1.9943504269299017</v>
      </c>
      <c r="J121" s="54">
        <f t="shared" si="45"/>
        <v>3.500370099559007</v>
      </c>
      <c r="K121" s="55">
        <f t="shared" si="46"/>
        <v>9.9445353089432677E-3</v>
      </c>
      <c r="L121" s="55">
        <f t="shared" si="47"/>
        <v>1.3287992559189457E-2</v>
      </c>
      <c r="M121" s="55">
        <f t="shared" si="52"/>
        <v>0.98671200744081056</v>
      </c>
      <c r="N121" s="55">
        <f t="shared" si="48"/>
        <v>6.7942098990203988E-3</v>
      </c>
      <c r="O121" s="56">
        <f t="shared" si="53"/>
        <v>1.0000514679814463E-8</v>
      </c>
      <c r="P121" s="56">
        <f t="shared" si="49"/>
        <v>3.1651365514438858E-5</v>
      </c>
      <c r="Q121" s="56">
        <f t="shared" si="50"/>
        <v>5.0731926161949451E-4</v>
      </c>
      <c r="R121" s="9">
        <f>F121*$C$14</f>
        <v>3.9999999999999996E-5</v>
      </c>
      <c r="S121" s="9">
        <f t="shared" si="62"/>
        <v>5.3151970236757822E-7</v>
      </c>
      <c r="T121" s="9">
        <f t="shared" si="63"/>
        <v>3.9778141235773065E-7</v>
      </c>
      <c r="U121" s="9">
        <f t="shared" si="64"/>
        <v>3.9468480297632418E-5</v>
      </c>
      <c r="V121" s="102">
        <f t="shared" si="65"/>
        <v>1.0078457780944563E-2</v>
      </c>
      <c r="W121" s="7"/>
      <c r="X121" s="7"/>
      <c r="Y121" s="7"/>
      <c r="Z121" s="7"/>
      <c r="AA121" s="7"/>
      <c r="AB121" s="7"/>
      <c r="AC121" s="7"/>
      <c r="AD121" s="7"/>
      <c r="AE121" s="7"/>
      <c r="AF121" s="7"/>
    </row>
    <row r="122" spans="1:32" x14ac:dyDescent="0.45">
      <c r="A122" s="7"/>
      <c r="B122" s="46" t="s">
        <v>269</v>
      </c>
      <c r="C122" s="46" t="s">
        <v>270</v>
      </c>
      <c r="D122" s="47"/>
      <c r="E122" s="47"/>
      <c r="F122" s="57"/>
      <c r="G122" s="7"/>
      <c r="H122" s="7"/>
      <c r="I122" s="54" t="str">
        <f t="shared" si="44"/>
        <v/>
      </c>
      <c r="J122" s="54" t="str">
        <f t="shared" si="45"/>
        <v/>
      </c>
      <c r="K122" s="55" t="str">
        <f t="shared" si="46"/>
        <v/>
      </c>
      <c r="L122" s="55" t="str">
        <f t="shared" si="47"/>
        <v/>
      </c>
      <c r="M122" s="55" t="str">
        <f t="shared" si="52"/>
        <v/>
      </c>
      <c r="N122" s="55" t="str">
        <f t="shared" si="48"/>
        <v/>
      </c>
      <c r="O122" s="56" t="str">
        <f t="shared" si="53"/>
        <v/>
      </c>
      <c r="P122" s="56" t="str">
        <f t="shared" si="49"/>
        <v/>
      </c>
      <c r="Q122" s="56" t="str">
        <f t="shared" si="50"/>
        <v/>
      </c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</row>
    <row r="123" spans="1:32" x14ac:dyDescent="0.45">
      <c r="A123" s="7"/>
      <c r="B123" s="46" t="s">
        <v>271</v>
      </c>
      <c r="C123" s="46" t="s">
        <v>272</v>
      </c>
      <c r="D123" s="46"/>
      <c r="E123" s="46"/>
      <c r="F123" s="46"/>
      <c r="G123" s="7"/>
      <c r="H123" s="7"/>
      <c r="I123" s="54" t="str">
        <f t="shared" ref="I123:I127" si="66">IF(D123=0,"",LOG($K$15*10^D123+$K$16*10^E123+$K$14))</f>
        <v/>
      </c>
      <c r="J123" s="54" t="str">
        <f t="shared" ref="J123:J127" si="67">IF(D123=0,"",LOG($K$21*10^D123+$K$22*10^E123+$K$20))</f>
        <v/>
      </c>
      <c r="K123" s="55" t="str">
        <f t="shared" ref="K123:K127" si="68">IF(D123=0,"",1/(1+10^D123*$J$15/$J$14+10^E123*$J$16/$J$14+10^J123*$J$19/$J$14))</f>
        <v/>
      </c>
      <c r="L123" s="55" t="str">
        <f t="shared" ref="L123:L127" si="69">IF(D123=0,"",1/(1+10^I123/10^J123*$J$13/$J$19))</f>
        <v/>
      </c>
      <c r="M123" s="55" t="str">
        <f t="shared" si="52"/>
        <v/>
      </c>
      <c r="N123" s="55" t="str">
        <f t="shared" ref="N123:N127" si="70">IF(D123=0,"",1/(1/10^E123*$J$20/$J$22+10^D123/10^E123*$J$21/$J$22+10^I123/10^E123*$J$13/$J$22+1))</f>
        <v/>
      </c>
      <c r="O123" s="56" t="str">
        <f t="shared" si="53"/>
        <v/>
      </c>
      <c r="P123" s="56" t="str">
        <f t="shared" ref="P123:P127" si="71">IF(D123=0,"",O123*10^J123)</f>
        <v/>
      </c>
      <c r="Q123" s="56" t="str">
        <f t="shared" ref="Q123:Q127" si="72">IF(D123=0,"",F123*N123*$J$7/$J$22)</f>
        <v/>
      </c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</row>
    <row r="124" spans="1:32" x14ac:dyDescent="0.45">
      <c r="A124" s="7"/>
      <c r="B124" s="46" t="s">
        <v>273</v>
      </c>
      <c r="C124" s="46" t="s">
        <v>274</v>
      </c>
      <c r="D124" s="46">
        <v>2.7542720000000003</v>
      </c>
      <c r="E124" s="46">
        <v>3.4524839999999992</v>
      </c>
      <c r="F124" s="98">
        <v>9.9999999999999995E-7</v>
      </c>
      <c r="G124" s="7"/>
      <c r="H124" s="7"/>
      <c r="I124" s="54">
        <f t="shared" si="66"/>
        <v>0.68104843309954888</v>
      </c>
      <c r="J124" s="54">
        <f t="shared" si="67"/>
        <v>2.1614248336382942</v>
      </c>
      <c r="K124" s="55">
        <f t="shared" si="68"/>
        <v>0.20474697633423136</v>
      </c>
      <c r="L124" s="55">
        <f t="shared" si="69"/>
        <v>1.2535657365204688E-2</v>
      </c>
      <c r="M124" s="55">
        <f t="shared" si="52"/>
        <v>0.98746434263479532</v>
      </c>
      <c r="N124" s="55">
        <f t="shared" si="70"/>
        <v>7.8162233791483886E-3</v>
      </c>
      <c r="O124" s="56">
        <f t="shared" si="53"/>
        <v>2.0589952962776356E-7</v>
      </c>
      <c r="P124" s="56">
        <f t="shared" si="71"/>
        <v>2.985933890785256E-5</v>
      </c>
      <c r="Q124" s="56">
        <f t="shared" si="72"/>
        <v>5.8363234758677658E-4</v>
      </c>
      <c r="R124" s="9">
        <f>F124*$C$14</f>
        <v>3.9999999999999996E-5</v>
      </c>
      <c r="S124" s="9">
        <f t="shared" ref="S124:S127" si="73">$R124*L124</f>
        <v>5.0142629460818751E-7</v>
      </c>
      <c r="T124" s="9">
        <f t="shared" ref="T124:T127" si="74">R124*K124</f>
        <v>8.1898790533692541E-6</v>
      </c>
      <c r="U124" s="9">
        <f t="shared" ref="U124:U127" si="75">$R124*M124</f>
        <v>3.9498573705391808E-5</v>
      </c>
      <c r="V124" s="102">
        <f t="shared" ref="V124:V127" si="76">K124/M124</f>
        <v>0.20734619721854114</v>
      </c>
      <c r="W124" s="7"/>
      <c r="X124" s="7"/>
      <c r="Y124" s="7"/>
      <c r="Z124" s="7"/>
      <c r="AA124" s="7"/>
      <c r="AB124" s="7"/>
      <c r="AC124" s="7"/>
      <c r="AD124" s="7"/>
      <c r="AE124" s="7"/>
      <c r="AF124" s="7"/>
    </row>
    <row r="125" spans="1:32" x14ac:dyDescent="0.45">
      <c r="A125" s="7"/>
      <c r="B125" s="46" t="s">
        <v>275</v>
      </c>
      <c r="C125" s="46" t="s">
        <v>276</v>
      </c>
      <c r="D125" s="46"/>
      <c r="E125" s="46"/>
      <c r="F125" s="46"/>
      <c r="G125" s="7"/>
      <c r="H125" s="7"/>
      <c r="I125" s="54" t="str">
        <f t="shared" si="66"/>
        <v/>
      </c>
      <c r="J125" s="54" t="str">
        <f t="shared" si="67"/>
        <v/>
      </c>
      <c r="K125" s="55" t="str">
        <f t="shared" si="68"/>
        <v/>
      </c>
      <c r="L125" s="55" t="str">
        <f t="shared" si="69"/>
        <v/>
      </c>
      <c r="M125" s="55" t="str">
        <f t="shared" si="52"/>
        <v/>
      </c>
      <c r="N125" s="55" t="str">
        <f t="shared" si="70"/>
        <v/>
      </c>
      <c r="O125" s="56" t="str">
        <f t="shared" si="53"/>
        <v/>
      </c>
      <c r="P125" s="56" t="str">
        <f t="shared" si="71"/>
        <v/>
      </c>
      <c r="Q125" s="56" t="str">
        <f t="shared" si="72"/>
        <v/>
      </c>
      <c r="R125" s="9"/>
      <c r="S125" s="9"/>
      <c r="T125" s="9"/>
      <c r="U125" s="9"/>
      <c r="V125" s="102"/>
      <c r="W125" s="7"/>
      <c r="X125" s="7"/>
      <c r="Y125" s="7"/>
      <c r="Z125" s="7"/>
      <c r="AA125" s="7"/>
      <c r="AB125" s="7"/>
      <c r="AC125" s="7"/>
      <c r="AD125" s="7"/>
      <c r="AE125" s="7"/>
      <c r="AF125" s="7"/>
    </row>
    <row r="126" spans="1:32" x14ac:dyDescent="0.45">
      <c r="A126" s="7"/>
      <c r="B126" s="46" t="s">
        <v>277</v>
      </c>
      <c r="C126" s="46" t="s">
        <v>278</v>
      </c>
      <c r="D126" s="46">
        <v>2.3368320000000007</v>
      </c>
      <c r="E126" s="46">
        <v>2.6380540000000012</v>
      </c>
      <c r="F126" s="98">
        <v>9.9999999999999995E-7</v>
      </c>
      <c r="G126" s="7"/>
      <c r="H126" s="7"/>
      <c r="I126" s="54">
        <f t="shared" si="66"/>
        <v>0.34290559098075568</v>
      </c>
      <c r="J126" s="54">
        <f t="shared" si="67"/>
        <v>1.5475520078740366</v>
      </c>
      <c r="K126" s="55">
        <f t="shared" si="68"/>
        <v>0.44866966151669857</v>
      </c>
      <c r="L126" s="55">
        <f t="shared" si="69"/>
        <v>6.6831851749534921E-3</v>
      </c>
      <c r="M126" s="55">
        <f t="shared" si="52"/>
        <v>0.99331681482504652</v>
      </c>
      <c r="N126" s="55">
        <f t="shared" si="70"/>
        <v>2.6258878259263945E-3</v>
      </c>
      <c r="O126" s="56">
        <f t="shared" si="53"/>
        <v>4.5119529439952516E-7</v>
      </c>
      <c r="P126" s="56">
        <f t="shared" si="71"/>
        <v>1.5919028839826131E-5</v>
      </c>
      <c r="Q126" s="56">
        <f t="shared" si="72"/>
        <v>1.9607334667960023E-4</v>
      </c>
      <c r="R126" s="9">
        <f>F126*$C$14</f>
        <v>3.9999999999999996E-5</v>
      </c>
      <c r="S126" s="9">
        <f t="shared" si="73"/>
        <v>2.6732740699813967E-7</v>
      </c>
      <c r="T126" s="9">
        <f t="shared" si="74"/>
        <v>1.7946786460667943E-5</v>
      </c>
      <c r="U126" s="9">
        <f t="shared" si="75"/>
        <v>3.9732672593001854E-5</v>
      </c>
      <c r="V126" s="102">
        <f t="shared" si="76"/>
        <v>0.45168837859220479</v>
      </c>
      <c r="W126" s="7"/>
      <c r="X126" s="7"/>
      <c r="Y126" s="7"/>
      <c r="Z126" s="7"/>
      <c r="AA126" s="7"/>
      <c r="AB126" s="7"/>
      <c r="AC126" s="7"/>
      <c r="AD126" s="7"/>
      <c r="AE126" s="7"/>
      <c r="AF126" s="7"/>
    </row>
    <row r="127" spans="1:32" x14ac:dyDescent="0.45">
      <c r="A127" s="7"/>
      <c r="B127" s="46" t="s">
        <v>279</v>
      </c>
      <c r="C127" s="46" t="s">
        <v>280</v>
      </c>
      <c r="D127" s="46">
        <v>9.5872000000000845E-2</v>
      </c>
      <c r="E127" s="46">
        <v>7.4959000000001108E-2</v>
      </c>
      <c r="F127" s="98">
        <v>9.9999999999999995E-7</v>
      </c>
      <c r="G127" s="7"/>
      <c r="H127" s="7"/>
      <c r="I127" s="54">
        <f t="shared" si="66"/>
        <v>5.456801422185465E-4</v>
      </c>
      <c r="J127" s="54">
        <f t="shared" si="67"/>
        <v>1.2574607383316736E-2</v>
      </c>
      <c r="K127" s="55">
        <f t="shared" si="68"/>
        <v>0.99314198418228483</v>
      </c>
      <c r="L127" s="55">
        <f t="shared" si="69"/>
        <v>4.3160923808051831E-4</v>
      </c>
      <c r="M127" s="55">
        <f t="shared" si="52"/>
        <v>0.9995683907619195</v>
      </c>
      <c r="N127" s="55">
        <f t="shared" si="70"/>
        <v>1.5895193067244923E-5</v>
      </c>
      <c r="O127" s="56">
        <f t="shared" si="53"/>
        <v>9.9873253836436874E-7</v>
      </c>
      <c r="P127" s="56">
        <f t="shared" si="71"/>
        <v>1.0280726522869337E-6</v>
      </c>
      <c r="Q127" s="56">
        <f t="shared" si="72"/>
        <v>1.1868837922326593E-6</v>
      </c>
      <c r="R127" s="9">
        <f>F127*$C$14</f>
        <v>3.9999999999999996E-5</v>
      </c>
      <c r="S127" s="9">
        <f t="shared" si="73"/>
        <v>1.7264369523220732E-8</v>
      </c>
      <c r="T127" s="9">
        <f t="shared" si="74"/>
        <v>3.972567936729139E-5</v>
      </c>
      <c r="U127" s="9">
        <f t="shared" si="75"/>
        <v>3.9982735630476779E-5</v>
      </c>
      <c r="V127" s="102">
        <f t="shared" si="76"/>
        <v>0.99357081852624796</v>
      </c>
      <c r="W127" s="7"/>
      <c r="X127" s="7"/>
      <c r="Y127" s="7"/>
      <c r="Z127" s="7"/>
      <c r="AA127" s="7"/>
      <c r="AB127" s="7"/>
      <c r="AC127" s="7"/>
      <c r="AD127" s="7"/>
      <c r="AE127" s="7"/>
      <c r="AF127" s="7"/>
    </row>
    <row r="128" spans="1:32" x14ac:dyDescent="0.45">
      <c r="A128" s="7"/>
      <c r="B128" s="46" t="s">
        <v>281</v>
      </c>
      <c r="C128" s="46" t="s">
        <v>282</v>
      </c>
      <c r="D128" s="46"/>
      <c r="E128" s="46"/>
      <c r="F128" s="46"/>
      <c r="G128" s="7"/>
      <c r="H128" s="7"/>
      <c r="I128" s="54" t="str">
        <f t="shared" ref="I128:I134" si="77">IF(D128=0,"",LOG($K$15*10^D128+$K$16*10^E128+$K$14))</f>
        <v/>
      </c>
      <c r="J128" s="54" t="str">
        <f t="shared" ref="J128:J134" si="78">IF(D128=0,"",LOG($K$21*10^D128+$K$22*10^E128+$K$20))</f>
        <v/>
      </c>
      <c r="K128" s="55" t="str">
        <f t="shared" ref="K128:K134" si="79">IF(D128=0,"",1/(1+10^D128*$J$15/$J$14+10^E128*$J$16/$J$14+10^J128*$J$19/$J$14))</f>
        <v/>
      </c>
      <c r="L128" s="55" t="str">
        <f t="shared" ref="L128:L134" si="80">IF(D128=0,"",1/(1+10^I128/10^J128*$J$13/$J$19))</f>
        <v/>
      </c>
      <c r="M128" s="55" t="str">
        <f t="shared" ref="M128:M134" si="81">IF(D128=0,"",1-L128)</f>
        <v/>
      </c>
      <c r="N128" s="55" t="str">
        <f t="shared" ref="N128:N134" si="82">IF(D128=0,"",1/(1/10^E128*$J$20/$J$22+10^D128/10^E128*$J$21/$J$22+10^I128/10^E128*$J$13/$J$22+1))</f>
        <v/>
      </c>
      <c r="O128" s="56" t="str">
        <f t="shared" ref="O128:O134" si="83">IF(D128=0,"",F128*K128*$J$7/$J$14)</f>
        <v/>
      </c>
      <c r="P128" s="56" t="str">
        <f t="shared" ref="P128:P134" si="84">IF(D128=0,"",O128*10^J128)</f>
        <v/>
      </c>
      <c r="Q128" s="56" t="str">
        <f t="shared" ref="Q128:Q134" si="85">IF(D128=0,"",F128*N128*$J$7/$J$22)</f>
        <v/>
      </c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</row>
    <row r="129" spans="1:32" x14ac:dyDescent="0.45">
      <c r="A129" s="7"/>
      <c r="B129" s="46" t="s">
        <v>283</v>
      </c>
      <c r="C129" s="46" t="s">
        <v>284</v>
      </c>
      <c r="D129" s="46"/>
      <c r="E129" s="46"/>
      <c r="F129" s="46"/>
      <c r="G129" s="7"/>
      <c r="H129" s="7"/>
      <c r="I129" s="54" t="str">
        <f t="shared" si="77"/>
        <v/>
      </c>
      <c r="J129" s="54" t="str">
        <f t="shared" si="78"/>
        <v/>
      </c>
      <c r="K129" s="55" t="str">
        <f t="shared" si="79"/>
        <v/>
      </c>
      <c r="L129" s="55" t="str">
        <f t="shared" si="80"/>
        <v/>
      </c>
      <c r="M129" s="55" t="str">
        <f t="shared" si="81"/>
        <v/>
      </c>
      <c r="N129" s="55" t="str">
        <f t="shared" si="82"/>
        <v/>
      </c>
      <c r="O129" s="56" t="str">
        <f t="shared" si="83"/>
        <v/>
      </c>
      <c r="P129" s="56" t="str">
        <f t="shared" si="84"/>
        <v/>
      </c>
      <c r="Q129" s="56" t="str">
        <f t="shared" si="85"/>
        <v/>
      </c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</row>
    <row r="130" spans="1:32" x14ac:dyDescent="0.45">
      <c r="A130" s="7"/>
      <c r="B130" s="46" t="s">
        <v>285</v>
      </c>
      <c r="C130" s="46" t="s">
        <v>286</v>
      </c>
      <c r="D130" s="46">
        <v>1.0310160000000004</v>
      </c>
      <c r="E130" s="46">
        <v>0.78085199999999966</v>
      </c>
      <c r="F130" s="98">
        <v>9.9999999999999995E-7</v>
      </c>
      <c r="G130" s="7"/>
      <c r="H130" s="7"/>
      <c r="I130" s="54">
        <f t="shared" si="77"/>
        <v>2.0637855846763784E-2</v>
      </c>
      <c r="J130" s="54">
        <f t="shared" si="78"/>
        <v>0.3185068789023815</v>
      </c>
      <c r="K130" s="55">
        <f t="shared" si="79"/>
        <v>0.94786097079674214</v>
      </c>
      <c r="L130" s="55">
        <f t="shared" si="80"/>
        <v>8.332135089634858E-4</v>
      </c>
      <c r="M130" s="55">
        <f t="shared" si="81"/>
        <v>0.99916678649103652</v>
      </c>
      <c r="N130" s="55">
        <f t="shared" si="82"/>
        <v>7.7071197467654446E-5</v>
      </c>
      <c r="O130" s="56">
        <f t="shared" si="83"/>
        <v>9.5319663095281242E-7</v>
      </c>
      <c r="P130" s="56">
        <f t="shared" si="84"/>
        <v>1.9846749015172641E-6</v>
      </c>
      <c r="Q130" s="56">
        <f t="shared" si="85"/>
        <v>5.7548564987752555E-6</v>
      </c>
      <c r="R130" s="9">
        <f>F130*$C$14</f>
        <v>3.9999999999999996E-5</v>
      </c>
      <c r="S130" s="9">
        <f t="shared" ref="S130:S131" si="86">$R130*L130</f>
        <v>3.3328540358539431E-8</v>
      </c>
      <c r="T130" s="9">
        <f t="shared" ref="T130:T131" si="87">R130*K130</f>
        <v>3.7914438831869683E-5</v>
      </c>
      <c r="U130" s="9">
        <f t="shared" ref="U130:U131" si="88">$R130*M130</f>
        <v>3.9966671459641459E-5</v>
      </c>
      <c r="V130" s="102">
        <f t="shared" ref="V130:V131" si="89">K130/M130</f>
        <v>0.94865139995848469</v>
      </c>
      <c r="W130" s="7"/>
      <c r="X130" s="7"/>
      <c r="Y130" s="7"/>
      <c r="Z130" s="7"/>
      <c r="AA130" s="7"/>
      <c r="AB130" s="7"/>
      <c r="AC130" s="7"/>
      <c r="AD130" s="7"/>
      <c r="AE130" s="7"/>
      <c r="AF130" s="7"/>
    </row>
    <row r="131" spans="1:32" x14ac:dyDescent="0.45">
      <c r="A131" s="7"/>
      <c r="B131" s="46" t="s">
        <v>287</v>
      </c>
      <c r="C131" s="46" t="s">
        <v>288</v>
      </c>
      <c r="D131" s="46">
        <v>-0.1224400000000001</v>
      </c>
      <c r="E131" s="46">
        <v>-0.24365499999999995</v>
      </c>
      <c r="F131" s="98">
        <v>9.9999999999999995E-7</v>
      </c>
      <c r="G131" s="7"/>
      <c r="H131" s="7"/>
      <c r="I131" s="54">
        <f t="shared" si="77"/>
        <v>-5.8338548275705044E-4</v>
      </c>
      <c r="J131" s="54">
        <f t="shared" si="78"/>
        <v>-1.6345714255076655E-2</v>
      </c>
      <c r="K131" s="55">
        <f t="shared" si="79"/>
        <v>0.99575392440023158</v>
      </c>
      <c r="L131" s="55">
        <f t="shared" si="80"/>
        <v>4.04865802454301E-4</v>
      </c>
      <c r="M131" s="55">
        <f t="shared" si="81"/>
        <v>0.99959513419754575</v>
      </c>
      <c r="N131" s="55">
        <f t="shared" si="82"/>
        <v>7.6523088915182856E-6</v>
      </c>
      <c r="O131" s="56">
        <f t="shared" si="83"/>
        <v>1.0013591816092154E-6</v>
      </c>
      <c r="P131" s="56">
        <f t="shared" si="84"/>
        <v>9.6437106212221869E-7</v>
      </c>
      <c r="Q131" s="56">
        <f t="shared" si="85"/>
        <v>5.7139295874404572E-7</v>
      </c>
      <c r="R131" s="9">
        <f>F131*$C$14</f>
        <v>3.9999999999999996E-5</v>
      </c>
      <c r="S131" s="9">
        <f t="shared" si="86"/>
        <v>1.6194632098172037E-8</v>
      </c>
      <c r="T131" s="9">
        <f t="shared" si="87"/>
        <v>3.9830156976009261E-5</v>
      </c>
      <c r="U131" s="9">
        <f t="shared" si="88"/>
        <v>3.9983805367901824E-5</v>
      </c>
      <c r="V131" s="102">
        <f t="shared" si="89"/>
        <v>0.99615723439830683</v>
      </c>
      <c r="W131" s="7"/>
      <c r="X131" s="7"/>
      <c r="Y131" s="7"/>
      <c r="Z131" s="7"/>
      <c r="AA131" s="7"/>
      <c r="AB131" s="7"/>
      <c r="AC131" s="7"/>
      <c r="AD131" s="7"/>
      <c r="AE131" s="7"/>
      <c r="AF131" s="7"/>
    </row>
    <row r="132" spans="1:32" x14ac:dyDescent="0.45">
      <c r="A132" s="7"/>
      <c r="B132" s="46" t="s">
        <v>289</v>
      </c>
      <c r="C132" s="46" t="s">
        <v>290</v>
      </c>
      <c r="D132" s="46"/>
      <c r="E132" s="46"/>
      <c r="F132" s="46"/>
      <c r="G132" s="7"/>
      <c r="H132" s="7"/>
      <c r="I132" s="54" t="str">
        <f t="shared" si="77"/>
        <v/>
      </c>
      <c r="J132" s="54" t="str">
        <f t="shared" si="78"/>
        <v/>
      </c>
      <c r="K132" s="55" t="str">
        <f t="shared" si="79"/>
        <v/>
      </c>
      <c r="L132" s="55" t="str">
        <f t="shared" si="80"/>
        <v/>
      </c>
      <c r="M132" s="55" t="str">
        <f t="shared" si="81"/>
        <v/>
      </c>
      <c r="N132" s="55" t="str">
        <f t="shared" si="82"/>
        <v/>
      </c>
      <c r="O132" s="56" t="str">
        <f t="shared" si="83"/>
        <v/>
      </c>
      <c r="P132" s="56" t="str">
        <f t="shared" si="84"/>
        <v/>
      </c>
      <c r="Q132" s="56" t="str">
        <f t="shared" si="85"/>
        <v/>
      </c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</row>
    <row r="133" spans="1:32" x14ac:dyDescent="0.45">
      <c r="A133" s="7"/>
      <c r="B133" s="46" t="s">
        <v>291</v>
      </c>
      <c r="C133" s="46" t="s">
        <v>292</v>
      </c>
      <c r="D133" s="46"/>
      <c r="E133" s="46"/>
      <c r="F133" s="46"/>
      <c r="G133" s="7"/>
      <c r="H133" s="7"/>
      <c r="I133" s="54" t="str">
        <f t="shared" si="77"/>
        <v/>
      </c>
      <c r="J133" s="54" t="str">
        <f t="shared" si="78"/>
        <v/>
      </c>
      <c r="K133" s="55" t="str">
        <f t="shared" si="79"/>
        <v/>
      </c>
      <c r="L133" s="55" t="str">
        <f t="shared" si="80"/>
        <v/>
      </c>
      <c r="M133" s="55" t="str">
        <f t="shared" si="81"/>
        <v/>
      </c>
      <c r="N133" s="55" t="str">
        <f t="shared" si="82"/>
        <v/>
      </c>
      <c r="O133" s="56" t="str">
        <f t="shared" si="83"/>
        <v/>
      </c>
      <c r="P133" s="56" t="str">
        <f t="shared" si="84"/>
        <v/>
      </c>
      <c r="Q133" s="56" t="str">
        <f t="shared" si="85"/>
        <v/>
      </c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</row>
    <row r="134" spans="1:32" x14ac:dyDescent="0.45">
      <c r="A134" s="7"/>
      <c r="B134" s="46" t="s">
        <v>97</v>
      </c>
      <c r="C134" s="46" t="s">
        <v>293</v>
      </c>
      <c r="D134" s="46"/>
      <c r="E134" s="46"/>
      <c r="F134" s="46"/>
      <c r="G134" s="7"/>
      <c r="H134" s="7"/>
      <c r="I134" s="54" t="str">
        <f t="shared" si="77"/>
        <v/>
      </c>
      <c r="J134" s="54" t="str">
        <f t="shared" si="78"/>
        <v/>
      </c>
      <c r="K134" s="55" t="str">
        <f t="shared" si="79"/>
        <v/>
      </c>
      <c r="L134" s="55" t="str">
        <f t="shared" si="80"/>
        <v/>
      </c>
      <c r="M134" s="55" t="str">
        <f t="shared" si="81"/>
        <v/>
      </c>
      <c r="N134" s="55" t="str">
        <f t="shared" si="82"/>
        <v/>
      </c>
      <c r="O134" s="56" t="str">
        <f t="shared" si="83"/>
        <v/>
      </c>
      <c r="P134" s="56" t="str">
        <f t="shared" si="84"/>
        <v/>
      </c>
      <c r="Q134" s="56" t="str">
        <f t="shared" si="85"/>
        <v/>
      </c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</row>
    <row r="135" spans="1:32" x14ac:dyDescent="0.45">
      <c r="A135" s="7"/>
      <c r="B135" s="48"/>
      <c r="C135" s="48"/>
      <c r="D135" s="48"/>
      <c r="E135" s="48"/>
      <c r="F135" s="48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</row>
    <row r="136" spans="1:32" x14ac:dyDescent="0.45">
      <c r="A136" s="7"/>
      <c r="B136" s="48"/>
      <c r="C136" s="48"/>
      <c r="D136" s="48"/>
      <c r="E136" s="48"/>
      <c r="F136" s="48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</row>
    <row r="137" spans="1:32" x14ac:dyDescent="0.45">
      <c r="A137" s="7"/>
      <c r="B137" s="48"/>
      <c r="C137" s="48"/>
      <c r="D137" s="48"/>
      <c r="E137" s="48"/>
      <c r="F137" s="48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</row>
    <row r="138" spans="1:32" x14ac:dyDescent="0.45">
      <c r="A138" s="7"/>
      <c r="B138" s="48"/>
      <c r="C138" s="48"/>
      <c r="D138" s="48"/>
      <c r="E138" s="48"/>
      <c r="F138" s="48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</row>
    <row r="139" spans="1:32" x14ac:dyDescent="0.45">
      <c r="A139" s="7"/>
      <c r="B139" s="48"/>
      <c r="C139" s="48"/>
      <c r="D139" s="48"/>
      <c r="E139" s="48"/>
      <c r="F139" s="48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</row>
    <row r="140" spans="1:32" x14ac:dyDescent="0.45">
      <c r="A140" s="7"/>
      <c r="B140" s="48"/>
      <c r="C140" s="48"/>
      <c r="D140" s="48"/>
      <c r="E140" s="48"/>
      <c r="F140" s="48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</row>
    <row r="141" spans="1:32" x14ac:dyDescent="0.45">
      <c r="A141" s="7"/>
      <c r="B141" s="48"/>
      <c r="C141" s="48"/>
      <c r="D141" s="48"/>
      <c r="E141" s="48"/>
      <c r="F141" s="48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</row>
    <row r="142" spans="1:32" x14ac:dyDescent="0.45">
      <c r="A142" s="7"/>
      <c r="B142" s="48"/>
      <c r="C142" s="48"/>
      <c r="D142" s="48"/>
      <c r="E142" s="48"/>
      <c r="F142" s="48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</row>
    <row r="143" spans="1:32" x14ac:dyDescent="0.45">
      <c r="A143" s="7"/>
      <c r="B143" s="48"/>
      <c r="C143" s="48"/>
      <c r="D143" s="48"/>
      <c r="E143" s="48"/>
      <c r="F143" s="48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</row>
    <row r="144" spans="1:32" x14ac:dyDescent="0.45">
      <c r="A144" s="7"/>
      <c r="B144" s="48"/>
      <c r="C144" s="48"/>
      <c r="D144" s="48"/>
      <c r="E144" s="48"/>
      <c r="F144" s="48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</row>
    <row r="145" spans="1:32" x14ac:dyDescent="0.45">
      <c r="A145" s="7"/>
      <c r="B145" s="48"/>
      <c r="C145" s="48"/>
      <c r="D145" s="48"/>
      <c r="E145" s="48"/>
      <c r="F145" s="48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</row>
    <row r="146" spans="1:32" x14ac:dyDescent="0.45">
      <c r="A146" s="7"/>
      <c r="B146" s="48"/>
      <c r="C146" s="48"/>
      <c r="D146" s="48"/>
      <c r="E146" s="48"/>
      <c r="F146" s="48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</row>
    <row r="147" spans="1:32" x14ac:dyDescent="0.45">
      <c r="A147" s="7"/>
      <c r="B147" s="48"/>
      <c r="C147" s="48"/>
      <c r="D147" s="48"/>
      <c r="E147" s="48"/>
      <c r="F147" s="48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</row>
    <row r="148" spans="1:32" x14ac:dyDescent="0.45">
      <c r="A148" s="7"/>
      <c r="B148" s="48"/>
      <c r="C148" s="48"/>
      <c r="D148" s="48"/>
      <c r="E148" s="48"/>
      <c r="F148" s="48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</row>
    <row r="149" spans="1:32" x14ac:dyDescent="0.45">
      <c r="A149" s="7"/>
      <c r="B149" s="48"/>
      <c r="C149" s="48"/>
      <c r="D149" s="48"/>
      <c r="E149" s="48"/>
      <c r="F149" s="48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</row>
    <row r="150" spans="1:32" x14ac:dyDescent="0.45">
      <c r="A150" s="7"/>
      <c r="B150" s="48"/>
      <c r="C150" s="48"/>
      <c r="D150" s="48"/>
      <c r="E150" s="48"/>
      <c r="F150" s="48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</row>
    <row r="151" spans="1:32" x14ac:dyDescent="0.45">
      <c r="A151" s="7"/>
      <c r="B151" s="48"/>
      <c r="C151" s="48"/>
      <c r="D151" s="48"/>
      <c r="E151" s="48"/>
      <c r="F151" s="48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</row>
    <row r="152" spans="1:32" x14ac:dyDescent="0.45">
      <c r="A152" s="7"/>
      <c r="B152" s="48"/>
      <c r="C152" s="48"/>
      <c r="D152" s="48"/>
      <c r="E152" s="48"/>
      <c r="F152" s="48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</row>
    <row r="153" spans="1:32" x14ac:dyDescent="0.45">
      <c r="A153" s="7"/>
      <c r="B153" s="48"/>
      <c r="C153" s="48"/>
      <c r="D153" s="48"/>
      <c r="E153" s="48"/>
      <c r="F153" s="48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</row>
    <row r="154" spans="1:32" x14ac:dyDescent="0.45">
      <c r="A154" s="7"/>
      <c r="B154" s="48"/>
      <c r="C154" s="48"/>
      <c r="D154" s="48"/>
      <c r="E154" s="48"/>
      <c r="F154" s="48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</row>
    <row r="155" spans="1:32" x14ac:dyDescent="0.45">
      <c r="A155" s="7"/>
      <c r="B155" s="48"/>
      <c r="C155" s="48"/>
      <c r="D155" s="48"/>
      <c r="E155" s="48"/>
      <c r="F155" s="48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</row>
    <row r="156" spans="1:32" x14ac:dyDescent="0.45">
      <c r="A156" s="7"/>
      <c r="B156" s="48"/>
      <c r="C156" s="48"/>
      <c r="D156" s="48"/>
      <c r="E156" s="48"/>
      <c r="F156" s="48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</row>
    <row r="157" spans="1:32" x14ac:dyDescent="0.45">
      <c r="A157" s="7"/>
      <c r="B157" s="48"/>
      <c r="C157" s="48"/>
      <c r="D157" s="48"/>
      <c r="E157" s="48"/>
      <c r="F157" s="48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</row>
    <row r="158" spans="1:32" x14ac:dyDescent="0.45">
      <c r="A158" s="7"/>
      <c r="B158" s="48"/>
      <c r="C158" s="48"/>
      <c r="D158" s="48"/>
      <c r="E158" s="48"/>
      <c r="F158" s="48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</row>
    <row r="159" spans="1:32" x14ac:dyDescent="0.45">
      <c r="A159" s="7"/>
      <c r="B159" s="48"/>
      <c r="C159" s="48"/>
      <c r="D159" s="48"/>
      <c r="E159" s="48"/>
      <c r="F159" s="48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</row>
    <row r="160" spans="1:32" x14ac:dyDescent="0.45">
      <c r="A160" s="7"/>
      <c r="B160" s="48"/>
      <c r="C160" s="48"/>
      <c r="D160" s="48"/>
      <c r="E160" s="48"/>
      <c r="F160" s="48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</row>
    <row r="161" spans="1:32" x14ac:dyDescent="0.45">
      <c r="A161" s="7"/>
      <c r="B161" s="48"/>
      <c r="C161" s="48"/>
      <c r="D161" s="48"/>
      <c r="E161" s="48"/>
      <c r="F161" s="48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</row>
    <row r="162" spans="1:32" x14ac:dyDescent="0.45">
      <c r="A162" s="7"/>
      <c r="B162" s="48"/>
      <c r="C162" s="48"/>
      <c r="D162" s="48"/>
      <c r="E162" s="48"/>
      <c r="F162" s="48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</row>
    <row r="163" spans="1:32" x14ac:dyDescent="0.45">
      <c r="A163" s="7"/>
      <c r="B163" s="48"/>
      <c r="C163" s="48"/>
      <c r="D163" s="48"/>
      <c r="E163" s="48"/>
      <c r="F163" s="48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</row>
    <row r="164" spans="1:32" x14ac:dyDescent="0.45">
      <c r="A164" s="7"/>
      <c r="B164" s="48"/>
      <c r="C164" s="48"/>
      <c r="D164" s="48"/>
      <c r="E164" s="48"/>
      <c r="F164" s="48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</row>
    <row r="165" spans="1:32" x14ac:dyDescent="0.45">
      <c r="A165" s="7"/>
      <c r="B165" s="48"/>
      <c r="C165" s="48"/>
      <c r="D165" s="48"/>
      <c r="E165" s="48"/>
      <c r="F165" s="48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</row>
    <row r="166" spans="1:32" x14ac:dyDescent="0.45">
      <c r="A166" s="7"/>
      <c r="B166" s="48"/>
      <c r="C166" s="48"/>
      <c r="D166" s="48"/>
      <c r="E166" s="48"/>
      <c r="F166" s="48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</row>
    <row r="167" spans="1:32" x14ac:dyDescent="0.45">
      <c r="A167" s="7"/>
      <c r="B167" s="48"/>
      <c r="C167" s="48"/>
      <c r="D167" s="48"/>
      <c r="E167" s="48"/>
      <c r="F167" s="48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</row>
    <row r="168" spans="1:32" x14ac:dyDescent="0.45">
      <c r="A168" s="7"/>
      <c r="B168" s="48"/>
      <c r="C168" s="48"/>
      <c r="D168" s="48"/>
      <c r="E168" s="48"/>
      <c r="F168" s="48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</row>
    <row r="169" spans="1:32" x14ac:dyDescent="0.45">
      <c r="A169" s="7"/>
      <c r="B169" s="48"/>
      <c r="C169" s="48"/>
      <c r="D169" s="48"/>
      <c r="E169" s="48"/>
      <c r="F169" s="48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</row>
    <row r="170" spans="1:32" x14ac:dyDescent="0.45">
      <c r="A170" s="7"/>
      <c r="B170" s="48"/>
      <c r="C170" s="48"/>
      <c r="D170" s="48"/>
      <c r="E170" s="48"/>
      <c r="F170" s="48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</row>
    <row r="171" spans="1:32" x14ac:dyDescent="0.45">
      <c r="A171" s="7"/>
      <c r="B171" s="48"/>
      <c r="C171" s="48"/>
      <c r="D171" s="48"/>
      <c r="E171" s="48"/>
      <c r="F171" s="48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</row>
    <row r="172" spans="1:32" x14ac:dyDescent="0.45">
      <c r="A172" s="7"/>
      <c r="B172" s="48"/>
      <c r="C172" s="48"/>
      <c r="D172" s="48"/>
      <c r="E172" s="48"/>
      <c r="F172" s="48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</row>
    <row r="173" spans="1:32" x14ac:dyDescent="0.45">
      <c r="A173" s="7"/>
      <c r="B173" s="48"/>
      <c r="C173" s="48"/>
      <c r="D173" s="48"/>
      <c r="E173" s="48"/>
      <c r="F173" s="48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</row>
    <row r="174" spans="1:32" x14ac:dyDescent="0.45">
      <c r="A174" s="7"/>
      <c r="B174" s="48"/>
      <c r="C174" s="48"/>
      <c r="D174" s="48"/>
      <c r="E174" s="48"/>
      <c r="F174" s="48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</row>
    <row r="175" spans="1:32" x14ac:dyDescent="0.45">
      <c r="A175" s="7"/>
      <c r="B175" s="48"/>
      <c r="C175" s="48"/>
      <c r="D175" s="48"/>
      <c r="E175" s="48"/>
      <c r="F175" s="48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</row>
    <row r="176" spans="1:32" x14ac:dyDescent="0.45">
      <c r="A176" s="7"/>
      <c r="B176" s="48"/>
      <c r="C176" s="48"/>
      <c r="D176" s="48"/>
      <c r="E176" s="48"/>
      <c r="F176" s="48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</row>
    <row r="177" spans="1:32" x14ac:dyDescent="0.45">
      <c r="A177" s="7"/>
      <c r="B177" s="48"/>
      <c r="C177" s="48"/>
      <c r="D177" s="48"/>
      <c r="E177" s="48"/>
      <c r="F177" s="48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</row>
    <row r="178" spans="1:32" x14ac:dyDescent="0.45">
      <c r="A178" s="7"/>
      <c r="B178" s="48"/>
      <c r="C178" s="48"/>
      <c r="D178" s="48"/>
      <c r="E178" s="48"/>
      <c r="F178" s="48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</row>
    <row r="179" spans="1:32" x14ac:dyDescent="0.45">
      <c r="A179" s="7"/>
      <c r="B179" s="48"/>
      <c r="C179" s="48"/>
      <c r="D179" s="48"/>
      <c r="E179" s="48"/>
      <c r="F179" s="48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</row>
    <row r="180" spans="1:32" x14ac:dyDescent="0.45">
      <c r="A180" s="7"/>
      <c r="B180" s="48"/>
      <c r="C180" s="48"/>
      <c r="D180" s="48"/>
      <c r="E180" s="48"/>
      <c r="F180" s="48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</row>
    <row r="181" spans="1:32" x14ac:dyDescent="0.45">
      <c r="A181" s="7"/>
      <c r="B181" s="48"/>
      <c r="C181" s="48"/>
      <c r="D181" s="48"/>
      <c r="E181" s="48"/>
      <c r="F181" s="48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</row>
    <row r="182" spans="1:32" x14ac:dyDescent="0.45">
      <c r="A182" s="7"/>
      <c r="B182" s="48"/>
      <c r="C182" s="48"/>
      <c r="D182" s="48"/>
      <c r="E182" s="48"/>
      <c r="F182" s="48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</row>
    <row r="183" spans="1:32" x14ac:dyDescent="0.45">
      <c r="A183" s="7"/>
      <c r="B183" s="48"/>
      <c r="C183" s="48"/>
      <c r="D183" s="48"/>
      <c r="E183" s="48"/>
      <c r="F183" s="48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</row>
    <row r="184" spans="1:32" x14ac:dyDescent="0.45">
      <c r="A184" s="7"/>
      <c r="B184" s="48"/>
      <c r="C184" s="48"/>
      <c r="D184" s="48"/>
      <c r="E184" s="48"/>
      <c r="F184" s="48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</row>
    <row r="185" spans="1:32" x14ac:dyDescent="0.45">
      <c r="A185" s="7"/>
      <c r="B185" s="48"/>
      <c r="C185" s="48"/>
      <c r="D185" s="48"/>
      <c r="E185" s="48"/>
      <c r="F185" s="48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</row>
    <row r="186" spans="1:32" x14ac:dyDescent="0.45">
      <c r="A186" s="7"/>
      <c r="B186" s="48"/>
      <c r="C186" s="48"/>
      <c r="D186" s="48"/>
      <c r="E186" s="48"/>
      <c r="F186" s="48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</row>
    <row r="187" spans="1:32" x14ac:dyDescent="0.45">
      <c r="A187" s="7"/>
      <c r="B187" s="48"/>
      <c r="C187" s="48"/>
      <c r="D187" s="48"/>
      <c r="E187" s="48"/>
      <c r="F187" s="48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</row>
    <row r="188" spans="1:32" x14ac:dyDescent="0.45">
      <c r="A188" s="7"/>
      <c r="B188" s="48"/>
      <c r="C188" s="48"/>
      <c r="D188" s="48"/>
      <c r="E188" s="48"/>
      <c r="F188" s="48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</row>
    <row r="189" spans="1:32" x14ac:dyDescent="0.45">
      <c r="A189" s="7"/>
      <c r="B189" s="48"/>
      <c r="C189" s="48"/>
      <c r="D189" s="48"/>
      <c r="E189" s="48"/>
      <c r="F189" s="48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</row>
    <row r="190" spans="1:32" x14ac:dyDescent="0.45">
      <c r="A190" s="7"/>
      <c r="B190" s="48"/>
      <c r="C190" s="48"/>
      <c r="D190" s="48"/>
      <c r="E190" s="48"/>
      <c r="F190" s="48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</row>
    <row r="191" spans="1:32" x14ac:dyDescent="0.45">
      <c r="A191" s="7"/>
      <c r="B191" s="48"/>
      <c r="C191" s="48"/>
      <c r="D191" s="48"/>
      <c r="E191" s="48"/>
      <c r="F191" s="48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</row>
    <row r="192" spans="1:32" x14ac:dyDescent="0.45">
      <c r="A192" s="7"/>
      <c r="B192" s="48"/>
      <c r="C192" s="48"/>
      <c r="D192" s="48"/>
      <c r="E192" s="48"/>
      <c r="F192" s="48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</row>
    <row r="193" spans="1:32" x14ac:dyDescent="0.45">
      <c r="A193" s="7"/>
      <c r="B193" s="48"/>
      <c r="C193" s="48"/>
      <c r="D193" s="48"/>
      <c r="E193" s="48"/>
      <c r="F193" s="48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</row>
    <row r="194" spans="1:32" x14ac:dyDescent="0.45">
      <c r="A194" s="7"/>
      <c r="B194" s="48"/>
      <c r="C194" s="48"/>
      <c r="D194" s="48"/>
      <c r="E194" s="48"/>
      <c r="F194" s="48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</row>
    <row r="195" spans="1:32" x14ac:dyDescent="0.45">
      <c r="A195" s="7"/>
      <c r="B195" s="48"/>
      <c r="C195" s="48"/>
      <c r="D195" s="48"/>
      <c r="E195" s="48"/>
      <c r="F195" s="48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</row>
    <row r="196" spans="1:32" x14ac:dyDescent="0.45">
      <c r="A196" s="7"/>
      <c r="B196" s="48"/>
      <c r="C196" s="48"/>
      <c r="D196" s="48"/>
      <c r="E196" s="48"/>
      <c r="F196" s="48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</row>
    <row r="197" spans="1:32" x14ac:dyDescent="0.45">
      <c r="A197" s="7"/>
      <c r="B197" s="48"/>
      <c r="C197" s="48"/>
      <c r="D197" s="48"/>
      <c r="E197" s="48"/>
      <c r="F197" s="48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</row>
    <row r="198" spans="1:32" x14ac:dyDescent="0.45">
      <c r="A198" s="7"/>
      <c r="B198" s="48"/>
      <c r="C198" s="48"/>
      <c r="D198" s="48"/>
      <c r="E198" s="48"/>
      <c r="F198" s="48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</row>
    <row r="199" spans="1:32" x14ac:dyDescent="0.45">
      <c r="A199" s="7"/>
      <c r="B199" s="48"/>
      <c r="C199" s="48"/>
      <c r="D199" s="48"/>
      <c r="E199" s="48"/>
      <c r="F199" s="48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</row>
    <row r="200" spans="1:32" x14ac:dyDescent="0.45">
      <c r="A200" s="7"/>
      <c r="B200" s="48"/>
      <c r="C200" s="48"/>
      <c r="D200" s="48"/>
      <c r="E200" s="48"/>
      <c r="F200" s="48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</row>
    <row r="201" spans="1:32" x14ac:dyDescent="0.45">
      <c r="A201" s="7"/>
      <c r="B201" s="48"/>
      <c r="C201" s="48"/>
      <c r="D201" s="48"/>
      <c r="E201" s="48"/>
      <c r="F201" s="48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</row>
    <row r="202" spans="1:32" x14ac:dyDescent="0.45">
      <c r="A202" s="7"/>
      <c r="B202" s="48"/>
      <c r="C202" s="48"/>
      <c r="D202" s="48"/>
      <c r="E202" s="48"/>
      <c r="F202" s="48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</row>
    <row r="203" spans="1:32" x14ac:dyDescent="0.45">
      <c r="A203" s="7"/>
      <c r="B203" s="48"/>
      <c r="C203" s="48"/>
      <c r="D203" s="48"/>
      <c r="E203" s="48"/>
      <c r="F203" s="48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</row>
    <row r="204" spans="1:32" x14ac:dyDescent="0.45">
      <c r="A204" s="7"/>
      <c r="B204" s="48"/>
      <c r="C204" s="48"/>
      <c r="D204" s="48"/>
      <c r="E204" s="48"/>
      <c r="F204" s="48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</row>
    <row r="205" spans="1:32" x14ac:dyDescent="0.45">
      <c r="A205" s="7"/>
      <c r="B205" s="48"/>
      <c r="C205" s="48"/>
      <c r="D205" s="48"/>
      <c r="E205" s="48"/>
      <c r="F205" s="48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</row>
    <row r="206" spans="1:32" x14ac:dyDescent="0.45">
      <c r="A206" s="7"/>
      <c r="B206" s="48"/>
      <c r="C206" s="48"/>
      <c r="D206" s="48"/>
      <c r="E206" s="48"/>
      <c r="F206" s="48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</row>
    <row r="207" spans="1:32" x14ac:dyDescent="0.45">
      <c r="A207" s="7"/>
      <c r="B207" s="48"/>
      <c r="C207" s="48"/>
      <c r="D207" s="48"/>
      <c r="E207" s="48"/>
      <c r="F207" s="48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</row>
    <row r="208" spans="1:32" x14ac:dyDescent="0.45">
      <c r="A208" s="7"/>
      <c r="B208" s="48"/>
      <c r="C208" s="48"/>
      <c r="D208" s="48"/>
      <c r="E208" s="48"/>
      <c r="F208" s="48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</row>
    <row r="209" spans="1:32" x14ac:dyDescent="0.45">
      <c r="A209" s="7"/>
      <c r="B209" s="48"/>
      <c r="C209" s="48"/>
      <c r="D209" s="48"/>
      <c r="E209" s="48"/>
      <c r="F209" s="48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</row>
    <row r="210" spans="1:32" x14ac:dyDescent="0.45">
      <c r="A210" s="7"/>
      <c r="B210" s="48"/>
      <c r="C210" s="48"/>
      <c r="D210" s="48"/>
      <c r="E210" s="48"/>
      <c r="F210" s="48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</row>
    <row r="211" spans="1:32" x14ac:dyDescent="0.45">
      <c r="A211" s="7"/>
      <c r="B211" s="48"/>
      <c r="C211" s="48"/>
      <c r="D211" s="48"/>
      <c r="E211" s="48"/>
      <c r="F211" s="48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</row>
    <row r="212" spans="1:32" x14ac:dyDescent="0.45">
      <c r="A212" s="7"/>
      <c r="B212" s="48"/>
      <c r="C212" s="48"/>
      <c r="D212" s="48"/>
      <c r="E212" s="48"/>
      <c r="F212" s="48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</row>
    <row r="213" spans="1:32" x14ac:dyDescent="0.45">
      <c r="A213" s="7"/>
      <c r="B213" s="48"/>
      <c r="C213" s="48"/>
      <c r="D213" s="48"/>
      <c r="E213" s="48"/>
      <c r="F213" s="48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</row>
    <row r="214" spans="1:32" x14ac:dyDescent="0.45">
      <c r="A214" s="7"/>
      <c r="B214" s="48"/>
      <c r="C214" s="48"/>
      <c r="D214" s="48"/>
      <c r="E214" s="48"/>
      <c r="F214" s="48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</row>
    <row r="215" spans="1:32" x14ac:dyDescent="0.45">
      <c r="A215" s="7"/>
      <c r="B215" s="48"/>
      <c r="C215" s="48"/>
      <c r="D215" s="48"/>
      <c r="E215" s="48"/>
      <c r="F215" s="48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</row>
    <row r="216" spans="1:32" x14ac:dyDescent="0.45">
      <c r="A216" s="7"/>
      <c r="B216" s="48"/>
      <c r="C216" s="48"/>
      <c r="D216" s="48"/>
      <c r="E216" s="48"/>
      <c r="F216" s="48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</row>
    <row r="217" spans="1:32" x14ac:dyDescent="0.45">
      <c r="A217" s="7"/>
      <c r="B217" s="48"/>
      <c r="C217" s="48"/>
      <c r="D217" s="48"/>
      <c r="E217" s="48"/>
      <c r="F217" s="48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</row>
    <row r="218" spans="1:32" x14ac:dyDescent="0.45">
      <c r="A218" s="7"/>
      <c r="B218" s="48"/>
      <c r="C218" s="48"/>
      <c r="D218" s="48"/>
      <c r="E218" s="48"/>
      <c r="F218" s="48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</row>
    <row r="219" spans="1:32" x14ac:dyDescent="0.45">
      <c r="A219" s="7"/>
      <c r="B219" s="48"/>
      <c r="C219" s="48"/>
      <c r="D219" s="48"/>
      <c r="E219" s="48"/>
      <c r="F219" s="48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</row>
    <row r="220" spans="1:32" x14ac:dyDescent="0.45">
      <c r="A220" s="7"/>
      <c r="B220" s="48"/>
      <c r="C220" s="48"/>
      <c r="D220" s="48"/>
      <c r="E220" s="48"/>
      <c r="F220" s="48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</row>
    <row r="221" spans="1:32" x14ac:dyDescent="0.45">
      <c r="A221" s="7"/>
      <c r="B221" s="48"/>
      <c r="C221" s="48"/>
      <c r="D221" s="48"/>
      <c r="E221" s="48"/>
      <c r="F221" s="48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</row>
    <row r="222" spans="1:32" x14ac:dyDescent="0.45">
      <c r="A222" s="7"/>
      <c r="B222" s="48"/>
      <c r="C222" s="48"/>
      <c r="D222" s="48"/>
      <c r="E222" s="48"/>
      <c r="F222" s="48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</row>
    <row r="223" spans="1:32" x14ac:dyDescent="0.45">
      <c r="A223" s="7"/>
      <c r="B223" s="48"/>
      <c r="C223" s="48"/>
      <c r="D223" s="48"/>
      <c r="E223" s="48"/>
      <c r="F223" s="48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</row>
    <row r="224" spans="1:32" x14ac:dyDescent="0.45">
      <c r="A224" s="7"/>
      <c r="B224" s="48"/>
      <c r="C224" s="48"/>
      <c r="D224" s="48"/>
      <c r="E224" s="48"/>
      <c r="F224" s="48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</row>
    <row r="225" spans="1:32" x14ac:dyDescent="0.45">
      <c r="A225" s="7"/>
      <c r="B225" s="48"/>
      <c r="C225" s="48"/>
      <c r="D225" s="48"/>
      <c r="E225" s="48"/>
      <c r="F225" s="48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</row>
    <row r="226" spans="1:32" x14ac:dyDescent="0.45">
      <c r="A226" s="7"/>
      <c r="B226" s="48"/>
      <c r="C226" s="48"/>
      <c r="D226" s="48"/>
      <c r="E226" s="48"/>
      <c r="F226" s="48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</row>
    <row r="227" spans="1:32" x14ac:dyDescent="0.45">
      <c r="A227" s="7"/>
      <c r="B227" s="48"/>
      <c r="C227" s="48"/>
      <c r="D227" s="48"/>
      <c r="E227" s="48"/>
      <c r="F227" s="48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</row>
    <row r="228" spans="1:32" x14ac:dyDescent="0.45">
      <c r="A228" s="7"/>
      <c r="B228" s="48"/>
      <c r="C228" s="48"/>
      <c r="D228" s="48"/>
      <c r="E228" s="48"/>
      <c r="F228" s="48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</row>
    <row r="229" spans="1:32" x14ac:dyDescent="0.45">
      <c r="A229" s="7"/>
      <c r="B229" s="48"/>
      <c r="C229" s="48"/>
      <c r="D229" s="48"/>
      <c r="E229" s="48"/>
      <c r="F229" s="48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</row>
    <row r="230" spans="1:32" x14ac:dyDescent="0.45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</row>
    <row r="231" spans="1:32" x14ac:dyDescent="0.45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</row>
    <row r="232" spans="1:32" x14ac:dyDescent="0.45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</row>
    <row r="233" spans="1:32" x14ac:dyDescent="0.45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</row>
  </sheetData>
  <mergeCells count="52">
    <mergeCell ref="L8:Q8"/>
    <mergeCell ref="L9:Q9"/>
    <mergeCell ref="P26:P27"/>
    <mergeCell ref="I24:Q25"/>
    <mergeCell ref="I23:Q23"/>
    <mergeCell ref="Q26:Q27"/>
    <mergeCell ref="I26:I27"/>
    <mergeCell ref="J26:J27"/>
    <mergeCell ref="O26:O27"/>
    <mergeCell ref="K26:K27"/>
    <mergeCell ref="L10:Q10"/>
    <mergeCell ref="I11:Q11"/>
    <mergeCell ref="L12:Q12"/>
    <mergeCell ref="L13:Q13"/>
    <mergeCell ref="M26:M27"/>
    <mergeCell ref="B20:C20"/>
    <mergeCell ref="L14:Q14"/>
    <mergeCell ref="L15:Q15"/>
    <mergeCell ref="L16:Q16"/>
    <mergeCell ref="L18:Q18"/>
    <mergeCell ref="G1:H77"/>
    <mergeCell ref="L22:Q22"/>
    <mergeCell ref="L26:L27"/>
    <mergeCell ref="N26:N27"/>
    <mergeCell ref="C26:C27"/>
    <mergeCell ref="L6:Q6"/>
    <mergeCell ref="L7:Q7"/>
    <mergeCell ref="B24:F25"/>
    <mergeCell ref="I17:Q17"/>
    <mergeCell ref="B26:B27"/>
    <mergeCell ref="D26:D27"/>
    <mergeCell ref="E26:E27"/>
    <mergeCell ref="F26:F27"/>
    <mergeCell ref="L19:Q19"/>
    <mergeCell ref="L20:Q20"/>
    <mergeCell ref="L21:Q21"/>
    <mergeCell ref="I2:Q4"/>
    <mergeCell ref="I5:Q5"/>
    <mergeCell ref="B23:F23"/>
    <mergeCell ref="D13:F13"/>
    <mergeCell ref="D14:F14"/>
    <mergeCell ref="D15:F15"/>
    <mergeCell ref="D16:F16"/>
    <mergeCell ref="D17:F17"/>
    <mergeCell ref="D18:F18"/>
    <mergeCell ref="B19:F19"/>
    <mergeCell ref="D20:F20"/>
    <mergeCell ref="D21:F21"/>
    <mergeCell ref="D22:F22"/>
    <mergeCell ref="B13:C13"/>
    <mergeCell ref="B8:F10"/>
    <mergeCell ref="B11:F12"/>
  </mergeCells>
  <phoneticPr fontId="17" type="noConversion"/>
  <pageMargins left="0.7" right="0.7" top="0.78740157499999996" bottom="0.78740157499999996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Model structure</vt:lpstr>
      <vt:lpstr>User input and model output</vt:lpstr>
    </vt:vector>
  </TitlesOfParts>
  <Company>UFZ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Fabian Fischer</dc:creator>
  <cp:lastModifiedBy>Hsing-Chieh Lin</cp:lastModifiedBy>
  <dcterms:created xsi:type="dcterms:W3CDTF">2016-11-02T11:21:18Z</dcterms:created>
  <dcterms:modified xsi:type="dcterms:W3CDTF">2024-10-28T22:56:10Z</dcterms:modified>
</cp:coreProperties>
</file>