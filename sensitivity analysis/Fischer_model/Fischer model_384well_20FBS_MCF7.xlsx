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384well_1um\"/>
    </mc:Choice>
  </mc:AlternateContent>
  <xr:revisionPtr revIDLastSave="0" documentId="13_ncr:1_{598B7B25-A8B8-41ED-A36D-B3068D24792F}" xr6:coauthVersionLast="47" xr6:coauthVersionMax="47" xr10:uidLastSave="{00000000-0000-0000-0000-000000000000}"/>
  <bookViews>
    <workbookView minimized="1" xWindow="46695" yWindow="3495" windowWidth="16200" windowHeight="999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T131" i="4"/>
  <c r="S131" i="4"/>
  <c r="R131" i="4"/>
  <c r="U131" i="4" s="1"/>
  <c r="V130" i="4"/>
  <c r="R130" i="4"/>
  <c r="T130" i="4" s="1"/>
  <c r="V127" i="4"/>
  <c r="U127" i="4"/>
  <c r="R127" i="4"/>
  <c r="T127" i="4" s="1"/>
  <c r="V126" i="4"/>
  <c r="R126" i="4"/>
  <c r="U126" i="4" s="1"/>
  <c r="V124" i="4"/>
  <c r="U124" i="4"/>
  <c r="T124" i="4"/>
  <c r="S124" i="4"/>
  <c r="R124" i="4"/>
  <c r="V121" i="4"/>
  <c r="T121" i="4"/>
  <c r="R121" i="4"/>
  <c r="U121" i="4" s="1"/>
  <c r="V120" i="4"/>
  <c r="R120" i="4"/>
  <c r="V119" i="4"/>
  <c r="R119" i="4"/>
  <c r="U119" i="4" s="1"/>
  <c r="V116" i="4"/>
  <c r="R116" i="4"/>
  <c r="S116" i="4" s="1"/>
  <c r="V115" i="4"/>
  <c r="U115" i="4"/>
  <c r="T115" i="4"/>
  <c r="S115" i="4"/>
  <c r="R115" i="4"/>
  <c r="V114" i="4"/>
  <c r="R114" i="4"/>
  <c r="U114" i="4" s="1"/>
  <c r="V108" i="4"/>
  <c r="R108" i="4"/>
  <c r="S108" i="4" s="1"/>
  <c r="V107" i="4"/>
  <c r="T107" i="4"/>
  <c r="S107" i="4"/>
  <c r="R107" i="4"/>
  <c r="U107" i="4" s="1"/>
  <c r="V93" i="4"/>
  <c r="R93" i="4"/>
  <c r="T93" i="4" s="1"/>
  <c r="V92" i="4"/>
  <c r="U92" i="4"/>
  <c r="R92" i="4"/>
  <c r="T92" i="4" s="1"/>
  <c r="V91" i="4"/>
  <c r="R91" i="4"/>
  <c r="U91" i="4" s="1"/>
  <c r="V90" i="4"/>
  <c r="U90" i="4"/>
  <c r="T90" i="4"/>
  <c r="S90" i="4"/>
  <c r="R90" i="4"/>
  <c r="V89" i="4"/>
  <c r="T89" i="4"/>
  <c r="R89" i="4"/>
  <c r="U89" i="4" s="1"/>
  <c r="V88" i="4"/>
  <c r="R88" i="4"/>
  <c r="V86" i="4"/>
  <c r="R86" i="4"/>
  <c r="U86" i="4" s="1"/>
  <c r="V85" i="4"/>
  <c r="R85" i="4"/>
  <c r="S85" i="4" s="1"/>
  <c r="V84" i="4"/>
  <c r="U84" i="4"/>
  <c r="T84" i="4"/>
  <c r="S84" i="4"/>
  <c r="R84" i="4"/>
  <c r="V83" i="4"/>
  <c r="R83" i="4"/>
  <c r="U83" i="4" s="1"/>
  <c r="V82" i="4"/>
  <c r="R82" i="4"/>
  <c r="V81" i="4"/>
  <c r="T81" i="4"/>
  <c r="S81" i="4"/>
  <c r="R81" i="4"/>
  <c r="U81" i="4" s="1"/>
  <c r="V80" i="4"/>
  <c r="R80" i="4"/>
  <c r="U80" i="4" s="1"/>
  <c r="V79" i="4"/>
  <c r="U79" i="4"/>
  <c r="R79" i="4"/>
  <c r="T79" i="4" s="1"/>
  <c r="V78" i="4"/>
  <c r="R78" i="4"/>
  <c r="S78" i="4" s="1"/>
  <c r="V77" i="4"/>
  <c r="U77" i="4"/>
  <c r="T77" i="4"/>
  <c r="S77" i="4"/>
  <c r="R77" i="4"/>
  <c r="V76" i="4"/>
  <c r="T76" i="4"/>
  <c r="R76" i="4"/>
  <c r="U76" i="4" s="1"/>
  <c r="V75" i="4"/>
  <c r="R75" i="4"/>
  <c r="V74" i="4"/>
  <c r="R74" i="4"/>
  <c r="U74" i="4" s="1"/>
  <c r="V73" i="4"/>
  <c r="R73" i="4"/>
  <c r="T73" i="4" s="1"/>
  <c r="V72" i="4"/>
  <c r="U72" i="4"/>
  <c r="T72" i="4"/>
  <c r="S72" i="4"/>
  <c r="R72" i="4"/>
  <c r="V71" i="4"/>
  <c r="R71" i="4"/>
  <c r="U71" i="4" s="1"/>
  <c r="V70" i="4"/>
  <c r="R70" i="4"/>
  <c r="V69" i="4"/>
  <c r="T69" i="4"/>
  <c r="S69" i="4"/>
  <c r="R69" i="4"/>
  <c r="U69" i="4" s="1"/>
  <c r="V68" i="4"/>
  <c r="R68" i="4"/>
  <c r="U68" i="4" s="1"/>
  <c r="V65" i="4"/>
  <c r="U65" i="4"/>
  <c r="R65" i="4"/>
  <c r="T65" i="4" s="1"/>
  <c r="V64" i="4"/>
  <c r="R64" i="4"/>
  <c r="S64" i="4" s="1"/>
  <c r="V63" i="4"/>
  <c r="U63" i="4"/>
  <c r="T63" i="4"/>
  <c r="S63" i="4"/>
  <c r="R63" i="4"/>
  <c r="V62" i="4"/>
  <c r="T62" i="4"/>
  <c r="R62" i="4"/>
  <c r="U62" i="4" s="1"/>
  <c r="V61" i="4"/>
  <c r="R61" i="4"/>
  <c r="V60" i="4"/>
  <c r="R60" i="4"/>
  <c r="U60" i="4" s="1"/>
  <c r="V58" i="4"/>
  <c r="R58" i="4"/>
  <c r="T58" i="4" s="1"/>
  <c r="V57" i="4"/>
  <c r="U57" i="4"/>
  <c r="T57" i="4"/>
  <c r="S57" i="4"/>
  <c r="R57" i="4"/>
  <c r="V49" i="4"/>
  <c r="R49" i="4"/>
  <c r="U49" i="4" s="1"/>
  <c r="V48" i="4"/>
  <c r="R48" i="4"/>
  <c r="V47" i="4"/>
  <c r="T47" i="4"/>
  <c r="S47" i="4"/>
  <c r="R47" i="4"/>
  <c r="U47" i="4" s="1"/>
  <c r="V46" i="4"/>
  <c r="R46" i="4"/>
  <c r="U46" i="4" s="1"/>
  <c r="V45" i="4"/>
  <c r="U45" i="4"/>
  <c r="R45" i="4"/>
  <c r="T45" i="4" s="1"/>
  <c r="V44" i="4"/>
  <c r="R44" i="4"/>
  <c r="S44" i="4" s="1"/>
  <c r="V43" i="4"/>
  <c r="U43" i="4"/>
  <c r="T43" i="4"/>
  <c r="S43" i="4"/>
  <c r="R43" i="4"/>
  <c r="V42" i="4"/>
  <c r="T42" i="4"/>
  <c r="R42" i="4"/>
  <c r="U42" i="4" s="1"/>
  <c r="V41" i="4"/>
  <c r="R41" i="4"/>
  <c r="V40" i="4"/>
  <c r="R40" i="4"/>
  <c r="U40" i="4" s="1"/>
  <c r="V39" i="4"/>
  <c r="R39" i="4"/>
  <c r="T39" i="4" s="1"/>
  <c r="V38" i="4"/>
  <c r="U38" i="4"/>
  <c r="T38" i="4"/>
  <c r="S38" i="4"/>
  <c r="R38" i="4"/>
  <c r="V37" i="4"/>
  <c r="R37" i="4"/>
  <c r="U37" i="4" s="1"/>
  <c r="V36" i="4"/>
  <c r="R36" i="4"/>
  <c r="V35" i="4"/>
  <c r="T35" i="4"/>
  <c r="S35" i="4"/>
  <c r="R35" i="4"/>
  <c r="U35" i="4" s="1"/>
  <c r="V34" i="4"/>
  <c r="R34" i="4"/>
  <c r="U34" i="4" s="1"/>
  <c r="V33" i="4"/>
  <c r="U33" i="4"/>
  <c r="R33" i="4"/>
  <c r="T33" i="4" s="1"/>
  <c r="V32" i="4"/>
  <c r="R32" i="4"/>
  <c r="S32" i="4" s="1"/>
  <c r="V31" i="4"/>
  <c r="U31" i="4"/>
  <c r="T31" i="4"/>
  <c r="S31" i="4"/>
  <c r="R31" i="4"/>
  <c r="V30" i="4"/>
  <c r="T30" i="4"/>
  <c r="R30" i="4"/>
  <c r="U30" i="4" s="1"/>
  <c r="V29" i="4"/>
  <c r="R29" i="4"/>
  <c r="V28" i="4"/>
  <c r="R28" i="4"/>
  <c r="U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O130" i="4" s="1"/>
  <c r="P130" i="4" s="1"/>
  <c r="L130" i="4"/>
  <c r="M130" i="4"/>
  <c r="N130" i="4"/>
  <c r="Q130" i="4" s="1"/>
  <c r="I131" i="4"/>
  <c r="J131" i="4"/>
  <c r="K131" i="4"/>
  <c r="L131" i="4"/>
  <c r="M131" i="4"/>
  <c r="N131" i="4"/>
  <c r="O131" i="4"/>
  <c r="P131" i="4"/>
  <c r="Q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U82" i="4" l="1"/>
  <c r="T82" i="4"/>
  <c r="U70" i="4"/>
  <c r="T70" i="4"/>
  <c r="S82" i="4"/>
  <c r="U48" i="4"/>
  <c r="T48" i="4"/>
  <c r="S70" i="4"/>
  <c r="U88" i="4"/>
  <c r="T88" i="4"/>
  <c r="S88" i="4"/>
  <c r="U36" i="4"/>
  <c r="T36" i="4"/>
  <c r="S48" i="4"/>
  <c r="U75" i="4"/>
  <c r="T75" i="4"/>
  <c r="S75" i="4"/>
  <c r="U61" i="4"/>
  <c r="T61" i="4"/>
  <c r="S61" i="4"/>
  <c r="U41" i="4"/>
  <c r="T41" i="4"/>
  <c r="S41" i="4"/>
  <c r="U108" i="4"/>
  <c r="T108" i="4"/>
  <c r="U120" i="4"/>
  <c r="T120" i="4"/>
  <c r="S120" i="4"/>
  <c r="S36" i="4"/>
  <c r="U29" i="4"/>
  <c r="T29" i="4"/>
  <c r="S29" i="4"/>
  <c r="T85" i="4"/>
  <c r="S91" i="4"/>
  <c r="U93" i="4"/>
  <c r="T116" i="4"/>
  <c r="S126" i="4"/>
  <c r="U130" i="4"/>
  <c r="T32" i="4"/>
  <c r="S37" i="4"/>
  <c r="U39" i="4"/>
  <c r="T44" i="4"/>
  <c r="S49" i="4"/>
  <c r="U58" i="4"/>
  <c r="T64" i="4"/>
  <c r="S71" i="4"/>
  <c r="U73" i="4"/>
  <c r="T78" i="4"/>
  <c r="S83" i="4"/>
  <c r="U85" i="4"/>
  <c r="T91" i="4"/>
  <c r="S114" i="4"/>
  <c r="U116" i="4"/>
  <c r="T126" i="4"/>
  <c r="S30" i="4"/>
  <c r="U32" i="4"/>
  <c r="T37" i="4"/>
  <c r="S42" i="4"/>
  <c r="U44" i="4"/>
  <c r="T49" i="4"/>
  <c r="S62" i="4"/>
  <c r="U64" i="4"/>
  <c r="T71" i="4"/>
  <c r="S76" i="4"/>
  <c r="U78" i="4"/>
  <c r="T83" i="4"/>
  <c r="S89" i="4"/>
  <c r="T114" i="4"/>
  <c r="S121" i="4"/>
  <c r="S34" i="4"/>
  <c r="S46" i="4"/>
  <c r="S68" i="4"/>
  <c r="S80" i="4"/>
  <c r="S93" i="4"/>
  <c r="S130" i="4"/>
  <c r="T34" i="4"/>
  <c r="S39" i="4"/>
  <c r="T46" i="4"/>
  <c r="S58" i="4"/>
  <c r="T68" i="4"/>
  <c r="S73" i="4"/>
  <c r="T80" i="4"/>
  <c r="S40" i="4"/>
  <c r="S60" i="4"/>
  <c r="S74" i="4"/>
  <c r="S86" i="4"/>
  <c r="S119" i="4"/>
  <c r="T28" i="4"/>
  <c r="S33" i="4"/>
  <c r="T40" i="4"/>
  <c r="S45" i="4"/>
  <c r="T60" i="4"/>
  <c r="S65" i="4"/>
  <c r="T74" i="4"/>
  <c r="S79" i="4"/>
  <c r="T86" i="4"/>
  <c r="S92" i="4"/>
  <c r="T119" i="4"/>
  <c r="S127" i="4"/>
  <c r="S28" i="4"/>
  <c r="O15" i="1" l="1"/>
  <c r="L15" i="1"/>
  <c r="N15" i="1"/>
  <c r="M87" i="4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4" i="4"/>
  <c r="M125" i="4"/>
  <c r="J16" i="4"/>
  <c r="J15" i="4"/>
  <c r="J87" i="4"/>
  <c r="K87" i="4" s="1"/>
  <c r="J122" i="4"/>
  <c r="K122" i="4"/>
  <c r="J117" i="4"/>
  <c r="K117" i="4"/>
  <c r="J120" i="4"/>
  <c r="L120" i="4" s="1"/>
  <c r="M120" i="4" s="1"/>
  <c r="K120" i="4"/>
  <c r="O120" i="4" s="1"/>
  <c r="P120" i="4" s="1"/>
  <c r="J101" i="4"/>
  <c r="K101" i="4"/>
  <c r="J86" i="4"/>
  <c r="K86" i="4" s="1"/>
  <c r="J85" i="4"/>
  <c r="K85" i="4" s="1"/>
  <c r="J88" i="4"/>
  <c r="K88" i="4" s="1"/>
  <c r="J119" i="4"/>
  <c r="K119" i="4"/>
  <c r="O119" i="4" s="1"/>
  <c r="P119" i="4" s="1"/>
  <c r="J72" i="4"/>
  <c r="K72" i="4"/>
  <c r="J103" i="4"/>
  <c r="K103" i="4"/>
  <c r="J118" i="4"/>
  <c r="K118" i="4"/>
  <c r="J104" i="4"/>
  <c r="K104" i="4"/>
  <c r="J90" i="4"/>
  <c r="K90" i="4" s="1"/>
  <c r="J71" i="4"/>
  <c r="K71" i="4"/>
  <c r="J110" i="4"/>
  <c r="K110" i="4"/>
  <c r="J82" i="4"/>
  <c r="K82" i="4"/>
  <c r="J113" i="4"/>
  <c r="K113" i="4"/>
  <c r="J97" i="4"/>
  <c r="K97" i="4" s="1"/>
  <c r="J81" i="4"/>
  <c r="K81" i="4" s="1"/>
  <c r="J116" i="4"/>
  <c r="K116" i="4"/>
  <c r="J100" i="4"/>
  <c r="K100" i="4"/>
  <c r="O100" i="4"/>
  <c r="J84" i="4"/>
  <c r="K84" i="4" s="1"/>
  <c r="J114" i="4"/>
  <c r="K114" i="4"/>
  <c r="O114" i="4" s="1"/>
  <c r="P114" i="4" s="1"/>
  <c r="J78" i="4"/>
  <c r="K78" i="4"/>
  <c r="J115" i="4"/>
  <c r="L115" i="4" s="1"/>
  <c r="M115" i="4" s="1"/>
  <c r="K115" i="4"/>
  <c r="O115" i="4" s="1"/>
  <c r="P115" i="4" s="1"/>
  <c r="J99" i="4"/>
  <c r="K99" i="4"/>
  <c r="J83" i="4"/>
  <c r="K83" i="4"/>
  <c r="J102" i="4"/>
  <c r="K102" i="4"/>
  <c r="J74" i="4"/>
  <c r="K74" i="4" s="1"/>
  <c r="J125" i="4"/>
  <c r="K125" i="4"/>
  <c r="J109" i="4"/>
  <c r="K109" i="4"/>
  <c r="J93" i="4"/>
  <c r="K93" i="4"/>
  <c r="J77" i="4"/>
  <c r="K77" i="4"/>
  <c r="J112" i="4"/>
  <c r="K112" i="4"/>
  <c r="J96" i="4"/>
  <c r="K96" i="4" s="1"/>
  <c r="J80" i="4"/>
  <c r="K80" i="4" s="1"/>
  <c r="J106" i="4"/>
  <c r="K106" i="4"/>
  <c r="J127" i="4"/>
  <c r="L127" i="4" s="1"/>
  <c r="M127" i="4" s="1"/>
  <c r="K127" i="4"/>
  <c r="O127" i="4" s="1"/>
  <c r="P127" i="4" s="1"/>
  <c r="J111" i="4"/>
  <c r="K111" i="4"/>
  <c r="J95" i="4"/>
  <c r="K95" i="4" s="1"/>
  <c r="J79" i="4"/>
  <c r="K79" i="4" s="1"/>
  <c r="J126" i="4"/>
  <c r="K126" i="4"/>
  <c r="J94" i="4"/>
  <c r="K94" i="4"/>
  <c r="J121" i="4"/>
  <c r="L121" i="4" s="1"/>
  <c r="M121" i="4" s="1"/>
  <c r="K121" i="4"/>
  <c r="O121" i="4" s="1"/>
  <c r="P121" i="4" s="1"/>
  <c r="J105" i="4"/>
  <c r="K105" i="4"/>
  <c r="J89" i="4"/>
  <c r="K89" i="4" s="1"/>
  <c r="J73" i="4"/>
  <c r="K73" i="4" s="1"/>
  <c r="J124" i="4"/>
  <c r="K124" i="4"/>
  <c r="J108" i="4"/>
  <c r="K108" i="4"/>
  <c r="O108" i="4" s="1"/>
  <c r="P108" i="4" s="1"/>
  <c r="J92" i="4"/>
  <c r="K92" i="4"/>
  <c r="J76" i="4"/>
  <c r="L76" i="4" s="1"/>
  <c r="K76" i="4"/>
  <c r="J98" i="4"/>
  <c r="K98" i="4"/>
  <c r="J123" i="4"/>
  <c r="K123" i="4"/>
  <c r="J107" i="4"/>
  <c r="K107" i="4"/>
  <c r="J91" i="4"/>
  <c r="K91" i="4"/>
  <c r="O91" i="4" s="1"/>
  <c r="P91" i="4" s="1"/>
  <c r="J75" i="4"/>
  <c r="K75" i="4"/>
  <c r="P100" i="4"/>
  <c r="O107" i="4"/>
  <c r="P107" i="4"/>
  <c r="O112" i="4"/>
  <c r="P112" i="4"/>
  <c r="O98" i="4"/>
  <c r="P98" i="4"/>
  <c r="O105" i="4"/>
  <c r="P105" i="4"/>
  <c r="O126" i="4"/>
  <c r="P126" i="4"/>
  <c r="O111" i="4"/>
  <c r="P111" i="4"/>
  <c r="O104" i="4"/>
  <c r="P104" i="4"/>
  <c r="O124" i="4"/>
  <c r="P124" i="4"/>
  <c r="O102" i="4"/>
  <c r="P102" i="4"/>
  <c r="O110" i="4"/>
  <c r="P110" i="4"/>
  <c r="O118" i="4"/>
  <c r="P118" i="4"/>
  <c r="O117" i="4"/>
  <c r="P117" i="4"/>
  <c r="O106" i="4"/>
  <c r="P106" i="4"/>
  <c r="O109" i="4"/>
  <c r="P109" i="4"/>
  <c r="O116" i="4"/>
  <c r="P116" i="4"/>
  <c r="O113" i="4"/>
  <c r="P113" i="4"/>
  <c r="O71" i="4"/>
  <c r="P71" i="4"/>
  <c r="O103" i="4"/>
  <c r="P103" i="4"/>
  <c r="O122" i="4"/>
  <c r="P122" i="4"/>
  <c r="O123" i="4"/>
  <c r="P123" i="4"/>
  <c r="O125" i="4"/>
  <c r="P125" i="4"/>
  <c r="O99" i="4"/>
  <c r="P99" i="4"/>
  <c r="O101" i="4"/>
  <c r="P101" i="4"/>
  <c r="I76" i="4"/>
  <c r="I77" i="4"/>
  <c r="I81" i="4"/>
  <c r="N81" i="4" s="1"/>
  <c r="Q81" i="4" s="1"/>
  <c r="I89" i="4"/>
  <c r="N89" i="4" s="1"/>
  <c r="Q89" i="4" s="1"/>
  <c r="I90" i="4"/>
  <c r="L90" i="4" s="1"/>
  <c r="I96" i="4"/>
  <c r="L96" i="4" s="1"/>
  <c r="I99" i="4"/>
  <c r="I102" i="4"/>
  <c r="I104" i="4"/>
  <c r="I108" i="4"/>
  <c r="L108" i="4" s="1"/>
  <c r="M108" i="4" s="1"/>
  <c r="I111" i="4"/>
  <c r="I113" i="4"/>
  <c r="I115" i="4"/>
  <c r="I119" i="4"/>
  <c r="I120" i="4"/>
  <c r="I123" i="4"/>
  <c r="I125" i="4"/>
  <c r="I79" i="4"/>
  <c r="N79" i="4" s="1"/>
  <c r="Q79" i="4" s="1"/>
  <c r="I92" i="4"/>
  <c r="L92" i="4" s="1"/>
  <c r="I100" i="4"/>
  <c r="I103" i="4"/>
  <c r="I107" i="4"/>
  <c r="N107" i="4" s="1"/>
  <c r="Q107" i="4" s="1"/>
  <c r="I109" i="4"/>
  <c r="I110" i="4"/>
  <c r="I117" i="4"/>
  <c r="I124" i="4"/>
  <c r="I72" i="4"/>
  <c r="I106" i="4"/>
  <c r="I71" i="4"/>
  <c r="N71" i="4" s="1"/>
  <c r="Q71" i="4" s="1"/>
  <c r="I75" i="4"/>
  <c r="N75" i="4" s="1"/>
  <c r="Q75" i="4" s="1"/>
  <c r="I80" i="4"/>
  <c r="I83" i="4"/>
  <c r="L83" i="4" s="1"/>
  <c r="I86" i="4"/>
  <c r="N86" i="4" s="1"/>
  <c r="Q86" i="4" s="1"/>
  <c r="I88" i="4"/>
  <c r="N88" i="4" s="1"/>
  <c r="Q88" i="4" s="1"/>
  <c r="I94" i="4"/>
  <c r="I95" i="4"/>
  <c r="I98" i="4"/>
  <c r="I101" i="4"/>
  <c r="I118" i="4"/>
  <c r="I127" i="4"/>
  <c r="I73" i="4"/>
  <c r="N73" i="4" s="1"/>
  <c r="Q73" i="4" s="1"/>
  <c r="I74" i="4"/>
  <c r="N74" i="4" s="1"/>
  <c r="Q74" i="4" s="1"/>
  <c r="I78" i="4"/>
  <c r="L78" i="4" s="1"/>
  <c r="I82" i="4"/>
  <c r="N82" i="4" s="1"/>
  <c r="Q82" i="4" s="1"/>
  <c r="I85" i="4"/>
  <c r="N85" i="4" s="1"/>
  <c r="Q85" i="4" s="1"/>
  <c r="I93" i="4"/>
  <c r="N93" i="4" s="1"/>
  <c r="Q93" i="4" s="1"/>
  <c r="I112" i="4"/>
  <c r="I114" i="4"/>
  <c r="N114" i="4" s="1"/>
  <c r="Q114" i="4" s="1"/>
  <c r="I121" i="4"/>
  <c r="I122" i="4"/>
  <c r="I84" i="4"/>
  <c r="N84" i="4" s="1"/>
  <c r="Q84" i="4" s="1"/>
  <c r="I87" i="4"/>
  <c r="I91" i="4"/>
  <c r="I97" i="4"/>
  <c r="I105" i="4"/>
  <c r="I116" i="4"/>
  <c r="N116" i="4" s="1"/>
  <c r="Q116" i="4" s="1"/>
  <c r="I126" i="4"/>
  <c r="N126" i="4" s="1"/>
  <c r="Q126" i="4" s="1"/>
  <c r="L105" i="4"/>
  <c r="N105" i="4"/>
  <c r="Q105" i="4"/>
  <c r="N121" i="4"/>
  <c r="Q121" i="4"/>
  <c r="L73" i="4"/>
  <c r="N101" i="4"/>
  <c r="Q101" i="4"/>
  <c r="L101" i="4"/>
  <c r="L106" i="4"/>
  <c r="N106" i="4"/>
  <c r="Q106" i="4"/>
  <c r="L124" i="4"/>
  <c r="N124" i="4"/>
  <c r="Q124" i="4"/>
  <c r="N119" i="4"/>
  <c r="Q119" i="4"/>
  <c r="L119" i="4"/>
  <c r="M119" i="4" s="1"/>
  <c r="N108" i="4"/>
  <c r="Q108" i="4" s="1"/>
  <c r="N77" i="4"/>
  <c r="Q77" i="4"/>
  <c r="L77" i="4"/>
  <c r="N97" i="4"/>
  <c r="Q97" i="4"/>
  <c r="N98" i="4"/>
  <c r="Q98" i="4"/>
  <c r="L98" i="4"/>
  <c r="L71" i="4"/>
  <c r="M71" i="4" s="1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04" i="4"/>
  <c r="N104" i="4"/>
  <c r="Q104" i="4"/>
  <c r="N76" i="4"/>
  <c r="Q76" i="4" s="1"/>
  <c r="N91" i="4"/>
  <c r="Q91" i="4"/>
  <c r="L91" i="4"/>
  <c r="M91" i="4" s="1"/>
  <c r="L112" i="4"/>
  <c r="N112" i="4"/>
  <c r="Q112" i="4"/>
  <c r="N127" i="4"/>
  <c r="Q127" i="4"/>
  <c r="N95" i="4"/>
  <c r="Q95" i="4"/>
  <c r="L95" i="4"/>
  <c r="N83" i="4"/>
  <c r="Q83" i="4" s="1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L89" i="4"/>
  <c r="N87" i="4"/>
  <c r="Q87" i="4" s="1"/>
  <c r="L87" i="4"/>
  <c r="N122" i="4"/>
  <c r="Q122" i="4"/>
  <c r="L122" i="4"/>
  <c r="N118" i="4"/>
  <c r="Q118" i="4"/>
  <c r="L118" i="4"/>
  <c r="L94" i="4"/>
  <c r="N94" i="4"/>
  <c r="Q94" i="4"/>
  <c r="N80" i="4"/>
  <c r="Q80" i="4"/>
  <c r="N109" i="4"/>
  <c r="Q109" i="4"/>
  <c r="L109" i="4"/>
  <c r="N120" i="4"/>
  <c r="Q120" i="4"/>
  <c r="N111" i="4"/>
  <c r="Q111" i="4"/>
  <c r="L111" i="4"/>
  <c r="N99" i="4"/>
  <c r="Q99" i="4"/>
  <c r="L99" i="4"/>
  <c r="L81" i="4"/>
  <c r="M78" i="4" l="1"/>
  <c r="M92" i="4"/>
  <c r="M76" i="4"/>
  <c r="M81" i="4"/>
  <c r="O81" i="4"/>
  <c r="P81" i="4" s="1"/>
  <c r="O97" i="4"/>
  <c r="P97" i="4" s="1"/>
  <c r="L114" i="4"/>
  <c r="M114" i="4" s="1"/>
  <c r="O76" i="4"/>
  <c r="P76" i="4" s="1"/>
  <c r="M95" i="4"/>
  <c r="L107" i="4"/>
  <c r="M107" i="4" s="1"/>
  <c r="M73" i="4"/>
  <c r="M83" i="4"/>
  <c r="O75" i="4"/>
  <c r="P75" i="4" s="1"/>
  <c r="O92" i="4"/>
  <c r="P92" i="4" s="1"/>
  <c r="O94" i="4"/>
  <c r="P94" i="4" s="1"/>
  <c r="O80" i="4"/>
  <c r="P80" i="4" s="1"/>
  <c r="O74" i="4"/>
  <c r="P74" i="4" s="1"/>
  <c r="O82" i="4"/>
  <c r="P82" i="4" s="1"/>
  <c r="L80" i="4"/>
  <c r="L116" i="4"/>
  <c r="M116" i="4" s="1"/>
  <c r="M72" i="4"/>
  <c r="L85" i="4"/>
  <c r="O96" i="4"/>
  <c r="P96" i="4" s="1"/>
  <c r="O72" i="4"/>
  <c r="P72" i="4" s="1"/>
  <c r="L126" i="4"/>
  <c r="M126" i="4" s="1"/>
  <c r="M96" i="4"/>
  <c r="O84" i="4"/>
  <c r="P84" i="4" s="1"/>
  <c r="M90" i="4"/>
  <c r="O83" i="4"/>
  <c r="P83" i="4" s="1"/>
  <c r="M77" i="4"/>
  <c r="M94" i="4"/>
  <c r="M89" i="4"/>
  <c r="O79" i="4"/>
  <c r="P79" i="4" s="1"/>
  <c r="O77" i="4"/>
  <c r="P77" i="4" s="1"/>
  <c r="O87" i="4"/>
  <c r="P87" i="4" s="1"/>
  <c r="L86" i="4"/>
  <c r="O78" i="4"/>
  <c r="P78" i="4" s="1"/>
  <c r="O95" i="4"/>
  <c r="P95" i="4" s="1"/>
  <c r="O88" i="4"/>
  <c r="P88" i="4" s="1"/>
  <c r="N92" i="4"/>
  <c r="Q92" i="4" s="1"/>
  <c r="N78" i="4"/>
  <c r="Q78" i="4" s="1"/>
  <c r="O73" i="4"/>
  <c r="P73" i="4" s="1"/>
  <c r="O93" i="4"/>
  <c r="P93" i="4" s="1"/>
  <c r="O90" i="4"/>
  <c r="P90" i="4" s="1"/>
  <c r="O85" i="4"/>
  <c r="P85" i="4" s="1"/>
  <c r="N90" i="4"/>
  <c r="Q90" i="4" s="1"/>
  <c r="O89" i="4"/>
  <c r="P89" i="4" s="1"/>
  <c r="O86" i="4"/>
  <c r="P86" i="4" s="1"/>
  <c r="L97" i="4"/>
  <c r="L74" i="4"/>
  <c r="L79" i="4"/>
  <c r="L75" i="4"/>
  <c r="L93" i="4"/>
  <c r="L88" i="4"/>
  <c r="N96" i="4"/>
  <c r="Q96" i="4" s="1"/>
  <c r="L82" i="4"/>
  <c r="L84" i="4"/>
  <c r="J14" i="4"/>
  <c r="J13" i="4" s="1"/>
  <c r="K16" i="4" s="1"/>
  <c r="M84" i="4" l="1"/>
  <c r="M82" i="4"/>
  <c r="M86" i="4"/>
  <c r="M80" i="4"/>
  <c r="M88" i="4"/>
  <c r="M93" i="4"/>
  <c r="M75" i="4"/>
  <c r="M79" i="4"/>
  <c r="M74" i="4"/>
  <c r="M97" i="4"/>
  <c r="M85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M64" i="4" l="1"/>
  <c r="O64" i="4"/>
  <c r="P64" i="4" s="1"/>
  <c r="M69" i="4"/>
  <c r="M58" i="4"/>
  <c r="O69" i="4"/>
  <c r="P69" i="4" s="1"/>
  <c r="M57" i="4"/>
  <c r="O65" i="4"/>
  <c r="P65" i="4" s="1"/>
  <c r="O66" i="4"/>
  <c r="P66" i="4" s="1"/>
  <c r="M65" i="4"/>
  <c r="M66" i="4"/>
  <c r="O67" i="4"/>
  <c r="P67" i="4" s="1"/>
  <c r="M67" i="4"/>
  <c r="M68" i="4"/>
  <c r="O68" i="4"/>
  <c r="P68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J45" i="4" s="1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J30" i="4"/>
  <c r="J43" i="4"/>
  <c r="L43" i="4" s="1"/>
  <c r="J31" i="4"/>
  <c r="J44" i="4"/>
  <c r="L44" i="4" s="1"/>
  <c r="J36" i="4"/>
  <c r="L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L47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K30" i="4"/>
  <c r="L30" i="4"/>
  <c r="O48" i="4" l="1"/>
  <c r="P48" i="4" s="1"/>
  <c r="M48" i="4"/>
  <c r="O49" i="4"/>
  <c r="P49" i="4" s="1"/>
  <c r="M49" i="4"/>
  <c r="O35" i="4"/>
  <c r="P35" i="4" s="1"/>
  <c r="M43" i="4"/>
  <c r="M47" i="4"/>
  <c r="O30" i="4"/>
  <c r="P30" i="4" s="1"/>
  <c r="M31" i="4"/>
  <c r="O33" i="4"/>
  <c r="P33" i="4" s="1"/>
  <c r="L35" i="4"/>
  <c r="K43" i="4"/>
  <c r="M44" i="4"/>
  <c r="M45" i="4"/>
  <c r="O47" i="4"/>
  <c r="P47" i="4" s="1"/>
  <c r="O31" i="4"/>
  <c r="P31" i="4" s="1"/>
  <c r="O28" i="4"/>
  <c r="P28" i="4" s="1"/>
  <c r="O46" i="4"/>
  <c r="P46" i="4" s="1"/>
  <c r="O45" i="4"/>
  <c r="P45" i="4" s="1"/>
  <c r="O39" i="4"/>
  <c r="P39" i="4" s="1"/>
  <c r="M39" i="4"/>
  <c r="O41" i="4"/>
  <c r="P41" i="4" s="1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32" i="4" l="1"/>
  <c r="P32" i="4" s="1"/>
  <c r="O38" i="4"/>
  <c r="P38" i="4" s="1"/>
  <c r="O43" i="4"/>
  <c r="P43" i="4" s="1"/>
  <c r="O37" i="4"/>
  <c r="P37" i="4" s="1"/>
  <c r="M46" i="4"/>
  <c r="O44" i="4"/>
  <c r="P44" i="4" s="1"/>
  <c r="O36" i="4"/>
  <c r="P36" i="4" s="1"/>
  <c r="O29" i="4"/>
  <c r="P29" i="4" s="1"/>
  <c r="O40" i="4"/>
  <c r="P40" i="4" s="1"/>
  <c r="M33" i="4"/>
  <c r="M35" i="4"/>
  <c r="O34" i="4"/>
  <c r="P34" i="4" s="1"/>
  <c r="O42" i="4"/>
  <c r="P42" i="4" s="1"/>
  <c r="M41" i="4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<sst xmlns="http://schemas.openxmlformats.org/spreadsheetml/2006/main" count="318" uniqueCount="295">
  <si>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</si>
  <si>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</si>
  <si>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</si>
  <si>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</si>
  <si>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</si>
  <si>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</si>
  <si>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</si>
  <si>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</si>
  <si>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</si>
  <si>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</si>
  <si>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</si>
  <si>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</si>
  <si>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</si>
  <si>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</si>
  <si>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</si>
  <si>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</si>
  <si>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</si>
  <si>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</si>
  <si>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</si>
  <si>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</si>
  <si>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</si>
  <si>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</si>
  <si>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</si>
  <si>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</si>
  <si>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</si>
  <si>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</si>
  <si>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</si>
  <si>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</si>
  <si>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</si>
  <si>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</si>
  <si>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</si>
  <si>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</si>
  <si>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</si>
  <si>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</si>
  <si>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</si>
  <si>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</si>
  <si>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</si>
  <si>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</si>
  <si>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</si>
  <si>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</si>
  <si>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</si>
  <si>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</si>
  <si>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</si>
  <si>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</si>
  <si>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</si>
  <si>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</si>
  <si>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</si>
  <si>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</si>
  <si>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</si>
  <si>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</si>
  <si>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</si>
  <si>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</si>
  <si>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</si>
  <si>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</si>
  <si>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</si>
  <si>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</si>
  <si>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</si>
  <si>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</si>
  <si>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</si>
  <si>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</si>
  <si>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</si>
  <si>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</si>
  <si>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</si>
  <si>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</si>
  <si>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</si>
  <si>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</si>
  <si>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</si>
  <si>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</si>
  <si>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</si>
  <si>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</si>
  <si>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</si>
  <si>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</si>
  <si>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</si>
  <si>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</si>
  <si>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</si>
  <si>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</si>
  <si>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</si>
  <si>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</si>
  <si>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</si>
  <si>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</si>
  <si>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</si>
  <si>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</si>
  <si>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</si>
  <si>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</si>
  <si>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</si>
  <si>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</si>
  <si>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</si>
  <si>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</si>
  <si>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</si>
  <si>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</si>
  <si>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</si>
  <si>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</si>
  <si>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</si>
  <si>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</si>
  <si>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</si>
  <si>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</si>
  <si>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</si>
  <si>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</si>
  <si>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</si>
  <si>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</si>
  <si>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</si>
  <si>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</si>
  <si>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</si>
  <si>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</si>
  <si>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</si>
  <si>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</si>
  <si>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</si>
  <si>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</si>
  <si>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</si>
  <si>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</si>
  <si>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</si>
  <si>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</si>
  <si>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MCF7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</si>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</sst>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P28" sqref="P28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112</v>
      </c>
      <c r="K17" s="31" t="s">
        <v>80</v>
      </c>
      <c r="L17" s="81">
        <v>9.8986000000000005E-3</v>
      </c>
      <c r="M17" s="81">
        <v>5.1399999999999996E-5</v>
      </c>
      <c r="N17" s="81">
        <v>5.0000000000000002E-5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9" zoomScale="70" zoomScaleNormal="70" workbookViewId="0">
      <selection activeCell="R28" sqref="R28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40.055999999999997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39.848232160000002</v>
      </c>
      <c r="K8" s="39">
        <f>J8/J7</f>
        <v>0.99481306570800887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0.19228784000000004</v>
      </c>
      <c r="K9" s="39">
        <f>J9/J7</f>
        <v>4.8004753345316569E-3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1.5480000000000001E-2</v>
      </c>
      <c r="K10" s="39">
        <f>J10/J7</f>
        <v>3.8645895745955669E-4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40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39.7928</v>
      </c>
      <c r="K14" s="39">
        <f>J14/J13</f>
        <v>0.99482000000000004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0.19200000000000003</v>
      </c>
      <c r="K15" s="39">
        <f>J15/J13</f>
        <v>4.8000000000000004E-3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1.52E-2</v>
      </c>
      <c r="K16" s="39">
        <f>J16/J13</f>
        <v>3.8000000000000002E-4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5.6000000000000008E-2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5.5432160000000008E-2</v>
      </c>
      <c r="K20" s="39">
        <f>J20/J19</f>
        <v>0.98985999999999996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2.8783999999999998E-4</v>
      </c>
      <c r="K21" s="39">
        <f>J21/J19</f>
        <v>5.1399999999999987E-3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2.8000000000000003E-4</v>
      </c>
      <c r="K22" s="39">
        <f>J22/J19</f>
        <v>5.0000000000000001E-3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115</v>
      </c>
      <c r="C28" s="46" t="s">
        <v>116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9.2195850977354138E-2</v>
      </c>
      <c r="J28" s="94">
        <f t="shared" ref="J28:J47" si="2">IF(D28=0,"",LOG($K$21*10^D28+$K$22*10^E28+$K$20))</f>
        <v>0.20832460750095885</v>
      </c>
      <c r="K28" s="95">
        <f t="shared" ref="K28:K47" si="3">IF(D28=0,"",1/(1+10^D28*$J$15/$J$14+10^E28*$J$16/$J$14+10^J28*$J$19/$J$14))</f>
        <v>0.80307291545104187</v>
      </c>
      <c r="L28" s="95">
        <f t="shared" ref="L28:L47" si="4">IF(D28=0,"",1/(1+10^I28/10^J28*$J$13/$J$19))</f>
        <v>1.8258416699074348E-3</v>
      </c>
      <c r="M28" s="95">
        <f t="shared" ref="M28:M47" si="5">IF(D28=0,"",1-L28)</f>
        <v>0.9981741583300926</v>
      </c>
      <c r="N28" s="95">
        <f t="shared" ref="N28:N47" si="6">IF(D28=0,"",1/(1/10^E28*$J$20/$J$22+10^D28/10^E28*$J$21/$J$22+10^I28/10^E28*$J$13/$J$22+1))</f>
        <v>4.5139163981811439E-4</v>
      </c>
      <c r="O28" s="40">
        <f t="shared" ref="O28:O47" si="7">IF(D28=0,"",F28*K28*$J$7/$J$14)</f>
        <v>8.0838465001977575E-7</v>
      </c>
      <c r="P28" s="40">
        <f t="shared" ref="P28:P47" si="8">IF(D28=0,"",O28*10^J28)</f>
        <v>1.3059984630323606E-6</v>
      </c>
      <c r="Q28" s="40">
        <f t="shared" ref="Q28:Q47" si="9">IF(D28=0,"",F28*N28*$J$7/$J$22)</f>
        <v>6.4574798301979949E-5</v>
      </c>
      <c r="R28" s="9">
        <f>F28*$C$14</f>
        <v>3.9999999999999996E-5</v>
      </c>
      <c r="S28" s="9">
        <f>$R28*L28</f>
        <v>7.3033666796297391E-8</v>
      </c>
      <c r="T28" s="9">
        <f>R28*K28</f>
        <v>3.212291661804167E-5</v>
      </c>
      <c r="U28" s="9">
        <f>$R28*M28</f>
        <v>3.9926966333203699E-5</v>
      </c>
      <c r="V28" s="102">
        <f>K28/M28</f>
        <v>0.80454188154354978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117</v>
      </c>
      <c r="C29" s="46" t="s">
        <v>118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2.7194923137791687</v>
      </c>
      <c r="J29" s="94">
        <f t="shared" si="2"/>
        <v>3.5689903624588988</v>
      </c>
      <c r="K29" s="95">
        <f t="shared" si="3"/>
        <v>1.8792039261666838E-3</v>
      </c>
      <c r="L29" s="95">
        <f t="shared" si="4"/>
        <v>9.802747167657588E-3</v>
      </c>
      <c r="M29" s="95">
        <f t="shared" si="5"/>
        <v>0.99019725283234239</v>
      </c>
      <c r="N29" s="95">
        <f t="shared" si="6"/>
        <v>9.0554376228546059E-3</v>
      </c>
      <c r="O29" s="40">
        <f t="shared" si="7"/>
        <v>1.8916334730537349E-9</v>
      </c>
      <c r="P29" s="40">
        <f t="shared" si="8"/>
        <v>7.0117650097802215E-6</v>
      </c>
      <c r="Q29" s="40">
        <f t="shared" si="9"/>
        <v>1.2954450336466574E-3</v>
      </c>
      <c r="R29" s="9">
        <f>F29*$C$14</f>
        <v>3.9999999999999996E-5</v>
      </c>
      <c r="S29" s="9">
        <f t="shared" ref="S29:S49" si="10">$R29*L29</f>
        <v>3.921098867063035E-7</v>
      </c>
      <c r="T29" s="9">
        <f t="shared" ref="T29:T49" si="11">R29*K29</f>
        <v>7.5168157046667349E-8</v>
      </c>
      <c r="U29" s="9">
        <f t="shared" ref="U29:U49" si="12">$R29*M29</f>
        <v>3.9607890113293689E-5</v>
      </c>
      <c r="V29" s="102">
        <f t="shared" ref="V29:V49" si="13">K29/M29</f>
        <v>1.8978076547793309E-3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119</v>
      </c>
      <c r="C30" s="46" t="s">
        <v>120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5.9163420575972845</v>
      </c>
      <c r="J30" s="94">
        <f t="shared" si="2"/>
        <v>7.0019946190511906</v>
      </c>
      <c r="K30" s="95">
        <f t="shared" si="3"/>
        <v>1.1859304048230966E-6</v>
      </c>
      <c r="L30" s="95">
        <f t="shared" si="4"/>
        <v>1.6766304548279588E-2</v>
      </c>
      <c r="M30" s="95">
        <f t="shared" si="5"/>
        <v>0.98323369545172046</v>
      </c>
      <c r="N30" s="95">
        <f t="shared" si="6"/>
        <v>1.6647067321223154E-2</v>
      </c>
      <c r="O30" s="40">
        <f t="shared" si="7"/>
        <v>1.1937744590879242E-12</v>
      </c>
      <c r="P30" s="40">
        <f t="shared" si="8"/>
        <v>1.1992698124748016E-5</v>
      </c>
      <c r="Q30" s="40">
        <f t="shared" si="9"/>
        <v>2.3814818879246947E-3</v>
      </c>
      <c r="R30" s="9">
        <f t="shared" ref="R30:R49" si="14">F30*$C$14</f>
        <v>3.9999999999999996E-5</v>
      </c>
      <c r="S30" s="9">
        <f t="shared" si="10"/>
        <v>6.706521819311834E-7</v>
      </c>
      <c r="T30" s="9">
        <f t="shared" si="11"/>
        <v>4.743721619292386E-11</v>
      </c>
      <c r="U30" s="9">
        <f t="shared" si="12"/>
        <v>3.9329347818068816E-5</v>
      </c>
      <c r="V30" s="102">
        <f t="shared" si="13"/>
        <v>1.2061531356268791E-6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113</v>
      </c>
      <c r="C31" s="46" t="s">
        <v>114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1.2852308448323728</v>
      </c>
      <c r="J31" s="94">
        <f t="shared" si="2"/>
        <v>2.0469857256800985</v>
      </c>
      <c r="K31" s="95">
        <f t="shared" si="3"/>
        <v>5.1169937055647492E-2</v>
      </c>
      <c r="L31" s="95">
        <f t="shared" si="4"/>
        <v>8.0238746655129974E-3</v>
      </c>
      <c r="M31" s="95">
        <f t="shared" si="5"/>
        <v>0.99197612533448698</v>
      </c>
      <c r="N31" s="95">
        <f t="shared" si="6"/>
        <v>7.1217613265370369E-3</v>
      </c>
      <c r="O31" s="40">
        <f t="shared" si="7"/>
        <v>5.1508388419538607E-8</v>
      </c>
      <c r="P31" s="40">
        <f t="shared" si="8"/>
        <v>5.7393629214605125E-6</v>
      </c>
      <c r="Q31" s="40">
        <f t="shared" si="9"/>
        <v>1.0188188274848839E-3</v>
      </c>
      <c r="R31" s="9">
        <f t="shared" si="14"/>
        <v>3.9999999999999996E-5</v>
      </c>
      <c r="S31" s="9">
        <f t="shared" si="10"/>
        <v>3.2095498662051988E-7</v>
      </c>
      <c r="T31" s="9">
        <f t="shared" si="11"/>
        <v>2.0467974822258995E-6</v>
      </c>
      <c r="U31" s="9">
        <f t="shared" si="12"/>
        <v>3.9679045013379475E-5</v>
      </c>
      <c r="V31" s="102">
        <f t="shared" si="13"/>
        <v>5.1583839317093816E-2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121</v>
      </c>
      <c r="C32" s="46" t="s">
        <v>122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3.9109447814528924</v>
      </c>
      <c r="J32" s="94">
        <f t="shared" si="2"/>
        <v>4.7715972923878738</v>
      </c>
      <c r="K32" s="95">
        <f t="shared" si="3"/>
        <v>1.2089565620747258E-4</v>
      </c>
      <c r="L32" s="95">
        <f t="shared" si="4"/>
        <v>1.0055218613531191E-2</v>
      </c>
      <c r="M32" s="95">
        <f t="shared" si="5"/>
        <v>0.9899447813864688</v>
      </c>
      <c r="N32" s="95">
        <f t="shared" si="6"/>
        <v>9.330485216676395E-3</v>
      </c>
      <c r="O32" s="40">
        <f t="shared" si="7"/>
        <v>1.2169529173736258E-10</v>
      </c>
      <c r="P32" s="40">
        <f t="shared" si="8"/>
        <v>7.1923542282786657E-6</v>
      </c>
      <c r="Q32" s="40">
        <f t="shared" si="9"/>
        <v>1.3347925565685343E-3</v>
      </c>
      <c r="R32" s="9">
        <f t="shared" si="14"/>
        <v>3.9999999999999996E-5</v>
      </c>
      <c r="S32" s="9">
        <f t="shared" si="10"/>
        <v>4.0220874454124759E-7</v>
      </c>
      <c r="T32" s="9">
        <f t="shared" si="11"/>
        <v>4.8358262482989025E-9</v>
      </c>
      <c r="U32" s="9">
        <f t="shared" si="12"/>
        <v>3.9597791255458751E-5</v>
      </c>
      <c r="V32" s="102">
        <f t="shared" si="13"/>
        <v>1.221236360659955E-4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123</v>
      </c>
      <c r="C33" s="96" t="s">
        <v>124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3.4646398062685493</v>
      </c>
      <c r="J33" s="94">
        <f t="shared" si="2"/>
        <v>4.2719801127259966</v>
      </c>
      <c r="K33" s="95">
        <f t="shared" si="3"/>
        <v>3.3823647110231114E-4</v>
      </c>
      <c r="L33" s="95">
        <f t="shared" si="4"/>
        <v>8.9039779362254084E-3</v>
      </c>
      <c r="M33" s="95">
        <f t="shared" si="5"/>
        <v>0.99109602206377456</v>
      </c>
      <c r="N33" s="95">
        <f t="shared" si="6"/>
        <v>8.0753985730811842E-3</v>
      </c>
      <c r="O33" s="40">
        <f t="shared" si="7"/>
        <v>3.404736556983719E-10</v>
      </c>
      <c r="P33" s="40">
        <f t="shared" si="8"/>
        <v>6.3688882180972372E-6</v>
      </c>
      <c r="Q33" s="40">
        <f t="shared" si="9"/>
        <v>1.1552434472976423E-3</v>
      </c>
      <c r="R33" s="9">
        <f t="shared" si="14"/>
        <v>3.9999999999999996E-5</v>
      </c>
      <c r="S33" s="9">
        <f t="shared" si="10"/>
        <v>3.561591174490163E-7</v>
      </c>
      <c r="T33" s="9">
        <f t="shared" si="11"/>
        <v>1.3529458844092445E-8</v>
      </c>
      <c r="U33" s="9">
        <f t="shared" si="12"/>
        <v>3.9643840882550981E-5</v>
      </c>
      <c r="V33" s="102">
        <f t="shared" si="13"/>
        <v>3.4127517775522508E-4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125</v>
      </c>
      <c r="C34" s="46" t="s">
        <v>126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3.4579829545014036</v>
      </c>
      <c r="J34" s="94">
        <f t="shared" si="2"/>
        <v>4.3022457905640747</v>
      </c>
      <c r="K34" s="95">
        <f t="shared" si="3"/>
        <v>3.4318973137769705E-4</v>
      </c>
      <c r="L34" s="95">
        <f t="shared" si="4"/>
        <v>9.6864268527749216E-3</v>
      </c>
      <c r="M34" s="95">
        <f t="shared" si="5"/>
        <v>0.99031357314722512</v>
      </c>
      <c r="N34" s="95">
        <f t="shared" si="6"/>
        <v>8.9284447805922009E-3</v>
      </c>
      <c r="O34" s="40">
        <f t="shared" si="7"/>
        <v>3.4545967813436179E-10</v>
      </c>
      <c r="P34" s="40">
        <f t="shared" si="8"/>
        <v>6.9285627502634381E-6</v>
      </c>
      <c r="Q34" s="40">
        <f t="shared" si="9"/>
        <v>1.2772778004692897E-3</v>
      </c>
      <c r="R34" s="9">
        <f t="shared" si="14"/>
        <v>3.9999999999999996E-5</v>
      </c>
      <c r="S34" s="9">
        <f t="shared" si="10"/>
        <v>3.8745707411099682E-7</v>
      </c>
      <c r="T34" s="9">
        <f t="shared" si="11"/>
        <v>1.3727589255107881E-8</v>
      </c>
      <c r="U34" s="9">
        <f t="shared" si="12"/>
        <v>3.9612542925889E-5</v>
      </c>
      <c r="V34" s="102">
        <f t="shared" si="13"/>
        <v>3.4654652898176192E-4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127</v>
      </c>
      <c r="C35" s="46" t="s">
        <v>128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0.62193942428688143</v>
      </c>
      <c r="J35" s="94">
        <f t="shared" si="2"/>
        <v>1.0996040565396161</v>
      </c>
      <c r="K35" s="95">
        <f t="shared" si="3"/>
        <v>0.23658248675675986</v>
      </c>
      <c r="L35" s="95">
        <f t="shared" si="4"/>
        <v>4.1876480739479992E-3</v>
      </c>
      <c r="M35" s="95">
        <f t="shared" si="5"/>
        <v>0.995812351926052</v>
      </c>
      <c r="N35" s="95">
        <f t="shared" si="6"/>
        <v>2.9608344458957854E-3</v>
      </c>
      <c r="O35" s="40">
        <f t="shared" si="7"/>
        <v>2.3814730527956745E-7</v>
      </c>
      <c r="P35" s="40">
        <f t="shared" si="8"/>
        <v>2.9953648437510897E-6</v>
      </c>
      <c r="Q35" s="40">
        <f t="shared" si="9"/>
        <v>4.2356851630286269E-4</v>
      </c>
      <c r="R35" s="9">
        <f t="shared" si="14"/>
        <v>3.9999999999999996E-5</v>
      </c>
      <c r="S35" s="9">
        <f t="shared" si="10"/>
        <v>1.6750592295791996E-7</v>
      </c>
      <c r="T35" s="9">
        <f t="shared" si="11"/>
        <v>9.4632994702703937E-6</v>
      </c>
      <c r="U35" s="9">
        <f t="shared" si="12"/>
        <v>3.9832494077042077E-5</v>
      </c>
      <c r="V35" s="102">
        <f t="shared" si="13"/>
        <v>0.23757737720281685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81</v>
      </c>
      <c r="C36" s="46" t="s">
        <v>82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6.3597288158186656</v>
      </c>
      <c r="J36" s="94">
        <f t="shared" si="2"/>
        <v>7.4478257337388314</v>
      </c>
      <c r="K36" s="95">
        <f t="shared" si="3"/>
        <v>4.2720010323900995E-7</v>
      </c>
      <c r="L36" s="95">
        <f t="shared" si="4"/>
        <v>1.6859341610419767E-2</v>
      </c>
      <c r="M36" s="95">
        <f t="shared" si="5"/>
        <v>0.9831406583895802</v>
      </c>
      <c r="N36" s="95">
        <f t="shared" si="6"/>
        <v>1.6748498596146313E-2</v>
      </c>
      <c r="O36" s="40">
        <f t="shared" si="7"/>
        <v>4.3002571659550923E-13</v>
      </c>
      <c r="P36" s="40">
        <f t="shared" si="8"/>
        <v>1.205924620619598E-5</v>
      </c>
      <c r="Q36" s="40">
        <f t="shared" si="9"/>
        <v>2.3959923563115593E-3</v>
      </c>
      <c r="R36" s="9">
        <f t="shared" si="14"/>
        <v>3.9999999999999996E-5</v>
      </c>
      <c r="S36" s="9">
        <f t="shared" si="10"/>
        <v>6.7437366441679063E-7</v>
      </c>
      <c r="T36" s="9">
        <f t="shared" si="11"/>
        <v>1.7088004129560395E-11</v>
      </c>
      <c r="U36" s="9">
        <f t="shared" si="12"/>
        <v>3.9325626335583205E-5</v>
      </c>
      <c r="V36" s="102">
        <f t="shared" si="13"/>
        <v>4.3452592423425871E-7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129</v>
      </c>
      <c r="C37" s="96" t="s">
        <v>130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2.0466328175843658</v>
      </c>
      <c r="J37" s="94">
        <f t="shared" si="2"/>
        <v>2.8524813659648856</v>
      </c>
      <c r="K37" s="95">
        <f t="shared" si="3"/>
        <v>8.8560627122079988E-3</v>
      </c>
      <c r="L37" s="95">
        <f t="shared" si="4"/>
        <v>8.8737170606884713E-3</v>
      </c>
      <c r="M37" s="95">
        <f t="shared" si="5"/>
        <v>0.99112628293931149</v>
      </c>
      <c r="N37" s="95">
        <f t="shared" si="6"/>
        <v>8.0433916408123914E-3</v>
      </c>
      <c r="O37" s="40">
        <f t="shared" si="7"/>
        <v>8.9146390301814282E-9</v>
      </c>
      <c r="P37" s="40">
        <f t="shared" si="8"/>
        <v>6.3472430461238884E-6</v>
      </c>
      <c r="Q37" s="40">
        <f t="shared" si="9"/>
        <v>1.1506646270156467E-3</v>
      </c>
      <c r="R37" s="9">
        <f t="shared" si="14"/>
        <v>3.9999999999999996E-5</v>
      </c>
      <c r="S37" s="9">
        <f t="shared" si="10"/>
        <v>3.5494868242753884E-7</v>
      </c>
      <c r="T37" s="9">
        <f t="shared" si="11"/>
        <v>3.5424250848831991E-7</v>
      </c>
      <c r="U37" s="9">
        <f t="shared" si="12"/>
        <v>3.9645051317572456E-5</v>
      </c>
      <c r="V37" s="102">
        <f t="shared" si="13"/>
        <v>8.9353525021495898E-3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131</v>
      </c>
      <c r="C38" s="46" t="s">
        <v>132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0.75425121724867172</v>
      </c>
      <c r="J38" s="94">
        <f t="shared" si="2"/>
        <v>1.3698795093743001</v>
      </c>
      <c r="K38" s="95">
        <f t="shared" si="3"/>
        <v>0.17417719031972551</v>
      </c>
      <c r="L38" s="95">
        <f t="shared" si="4"/>
        <v>5.7445275665214297E-3</v>
      </c>
      <c r="M38" s="95">
        <f t="shared" si="5"/>
        <v>0.99425547243347856</v>
      </c>
      <c r="N38" s="95">
        <f t="shared" si="6"/>
        <v>4.6509729408094067E-3</v>
      </c>
      <c r="O38" s="40">
        <f t="shared" si="7"/>
        <v>1.7532924386941667E-7</v>
      </c>
      <c r="P38" s="40">
        <f t="shared" si="8"/>
        <v>4.1089785036532568E-6</v>
      </c>
      <c r="Q38" s="40">
        <f t="shared" si="9"/>
        <v>6.6535490041807707E-4</v>
      </c>
      <c r="R38" s="9">
        <f t="shared" si="14"/>
        <v>3.9999999999999996E-5</v>
      </c>
      <c r="S38" s="9">
        <f t="shared" si="10"/>
        <v>2.2978110266085718E-7</v>
      </c>
      <c r="T38" s="9">
        <f t="shared" si="11"/>
        <v>6.9670876127890198E-6</v>
      </c>
      <c r="U38" s="9">
        <f t="shared" si="12"/>
        <v>3.9770218897339139E-5</v>
      </c>
      <c r="V38" s="102">
        <f t="shared" si="13"/>
        <v>0.17518353697709113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83</v>
      </c>
      <c r="C39" s="46" t="s">
        <v>84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-1.6810051832329899E-4</v>
      </c>
      <c r="J39" s="94">
        <f t="shared" si="2"/>
        <v>-2.0830894197039467E-3</v>
      </c>
      <c r="K39" s="95">
        <f t="shared" si="3"/>
        <v>0.99381990894385186</v>
      </c>
      <c r="L39" s="95">
        <f t="shared" si="4"/>
        <v>1.3919003084046618E-3</v>
      </c>
      <c r="M39" s="95">
        <f t="shared" si="5"/>
        <v>0.99860809969159536</v>
      </c>
      <c r="N39" s="95">
        <f t="shared" si="6"/>
        <v>3.3872575917717561E-7</v>
      </c>
      <c r="O39" s="40">
        <f t="shared" si="7"/>
        <v>1.0003932940797062E-6</v>
      </c>
      <c r="P39" s="40">
        <f t="shared" si="8"/>
        <v>9.9560640631173437E-7</v>
      </c>
      <c r="Q39" s="40">
        <f t="shared" si="9"/>
        <v>4.8457139320003366E-8</v>
      </c>
      <c r="R39" s="9">
        <f t="shared" si="14"/>
        <v>3.9999999999999996E-5</v>
      </c>
      <c r="S39" s="9">
        <f t="shared" si="10"/>
        <v>5.5676012336186469E-8</v>
      </c>
      <c r="T39" s="9">
        <f t="shared" si="11"/>
        <v>3.9752796357754068E-5</v>
      </c>
      <c r="U39" s="9">
        <f t="shared" si="12"/>
        <v>3.9944323987663814E-5</v>
      </c>
      <c r="V39" s="102">
        <f t="shared" si="13"/>
        <v>0.99520513527857202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133</v>
      </c>
      <c r="C40" s="46" t="s">
        <v>134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1.0570731161685156</v>
      </c>
      <c r="J40" s="94">
        <f t="shared" si="2"/>
        <v>1.5824466515947846</v>
      </c>
      <c r="K40" s="95">
        <f t="shared" si="3"/>
        <v>8.6823597543701461E-2</v>
      </c>
      <c r="L40" s="95">
        <f t="shared" si="4"/>
        <v>4.671624811727536E-3</v>
      </c>
      <c r="M40" s="95">
        <f t="shared" si="5"/>
        <v>0.99532837518827244</v>
      </c>
      <c r="N40" s="95">
        <f t="shared" si="6"/>
        <v>3.4711734002666754E-3</v>
      </c>
      <c r="O40" s="40">
        <f t="shared" si="7"/>
        <v>8.73978715549171E-8</v>
      </c>
      <c r="P40" s="40">
        <f t="shared" si="8"/>
        <v>3.3415464903313953E-6</v>
      </c>
      <c r="Q40" s="40">
        <f t="shared" si="9"/>
        <v>4.9657614900386403E-4</v>
      </c>
      <c r="R40" s="9">
        <f t="shared" si="14"/>
        <v>3.9999999999999996E-5</v>
      </c>
      <c r="S40" s="9">
        <f t="shared" si="10"/>
        <v>1.8686499246910143E-7</v>
      </c>
      <c r="T40" s="9">
        <f t="shared" si="11"/>
        <v>3.4729439017480581E-6</v>
      </c>
      <c r="U40" s="9">
        <f t="shared" si="12"/>
        <v>3.9813135007530891E-5</v>
      </c>
      <c r="V40" s="102">
        <f t="shared" si="13"/>
        <v>8.7231108554780473E-2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135</v>
      </c>
      <c r="C41" s="96" t="s">
        <v>136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1.1393826628828596</v>
      </c>
      <c r="J41" s="94">
        <f t="shared" si="2"/>
        <v>1.6545409469670944</v>
      </c>
      <c r="K41" s="95">
        <f t="shared" si="3"/>
        <v>7.1841501023781257E-2</v>
      </c>
      <c r="L41" s="95">
        <f t="shared" si="4"/>
        <v>4.5635190999740432E-3</v>
      </c>
      <c r="M41" s="95">
        <f t="shared" si="5"/>
        <v>0.99543648090002601</v>
      </c>
      <c r="N41" s="95">
        <f t="shared" si="6"/>
        <v>3.3515826218930007E-3</v>
      </c>
      <c r="O41" s="40">
        <f t="shared" si="7"/>
        <v>7.2316679525154841E-8</v>
      </c>
      <c r="P41" s="40">
        <f t="shared" si="8"/>
        <v>3.2642200190814336E-6</v>
      </c>
      <c r="Q41" s="40">
        <f t="shared" si="9"/>
        <v>4.7946783393766434E-4</v>
      </c>
      <c r="R41" s="9">
        <f t="shared" si="14"/>
        <v>3.9999999999999996E-5</v>
      </c>
      <c r="S41" s="9">
        <f t="shared" si="10"/>
        <v>1.8254076399896171E-7</v>
      </c>
      <c r="T41" s="9">
        <f t="shared" si="11"/>
        <v>2.8736600409512502E-6</v>
      </c>
      <c r="U41" s="9">
        <f t="shared" si="12"/>
        <v>3.9817459236001035E-5</v>
      </c>
      <c r="V41" s="102">
        <f t="shared" si="13"/>
        <v>7.2170854094904785E-2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137</v>
      </c>
      <c r="C42" s="46" t="s">
        <v>138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2.466507651261447</v>
      </c>
      <c r="J42" s="94">
        <f t="shared" si="2"/>
        <v>3.3641784665212624</v>
      </c>
      <c r="K42" s="95">
        <f t="shared" si="3"/>
        <v>3.3609298605081759E-3</v>
      </c>
      <c r="L42" s="95">
        <f t="shared" si="4"/>
        <v>1.0940103825768262E-2</v>
      </c>
      <c r="M42" s="95">
        <f t="shared" si="5"/>
        <v>0.98905989617423173</v>
      </c>
      <c r="N42" s="95">
        <f t="shared" si="6"/>
        <v>1.0295583885317089E-2</v>
      </c>
      <c r="O42" s="40">
        <f t="shared" si="7"/>
        <v>3.3831599307541935E-9</v>
      </c>
      <c r="P42" s="40">
        <f t="shared" si="8"/>
        <v>7.8252999793745303E-6</v>
      </c>
      <c r="Q42" s="40">
        <f t="shared" si="9"/>
        <v>1.4728568146795044E-3</v>
      </c>
      <c r="R42" s="9">
        <f t="shared" si="14"/>
        <v>3.9999999999999996E-5</v>
      </c>
      <c r="S42" s="9">
        <f t="shared" si="10"/>
        <v>4.3760415303073044E-7</v>
      </c>
      <c r="T42" s="9">
        <f t="shared" si="11"/>
        <v>1.3443719442032701E-7</v>
      </c>
      <c r="U42" s="9">
        <f t="shared" si="12"/>
        <v>3.9562395846969263E-5</v>
      </c>
      <c r="V42" s="102">
        <f t="shared" si="13"/>
        <v>3.3981054873507056E-3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139</v>
      </c>
      <c r="C43" s="46" t="s">
        <v>140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2.2273249528367836</v>
      </c>
      <c r="J43" s="94">
        <f t="shared" si="2"/>
        <v>3.0473260422149981</v>
      </c>
      <c r="K43" s="95">
        <f t="shared" si="3"/>
        <v>5.8401084561671302E-3</v>
      </c>
      <c r="L43" s="95">
        <f t="shared" si="4"/>
        <v>9.1649580728306087E-3</v>
      </c>
      <c r="M43" s="95">
        <f t="shared" si="5"/>
        <v>0.99083504192716942</v>
      </c>
      <c r="N43" s="95">
        <f t="shared" si="6"/>
        <v>8.3605614762471067E-3</v>
      </c>
      <c r="O43" s="40">
        <f t="shared" si="7"/>
        <v>5.8787364628834998E-9</v>
      </c>
      <c r="P43" s="40">
        <f t="shared" si="8"/>
        <v>6.5555635815232719E-6</v>
      </c>
      <c r="Q43" s="40">
        <f t="shared" si="9"/>
        <v>1.1960380374734074E-3</v>
      </c>
      <c r="R43" s="9">
        <f t="shared" si="14"/>
        <v>3.9999999999999996E-5</v>
      </c>
      <c r="S43" s="9">
        <f t="shared" si="10"/>
        <v>3.665983229132243E-7</v>
      </c>
      <c r="T43" s="9">
        <f t="shared" si="11"/>
        <v>2.3360433824668518E-7</v>
      </c>
      <c r="U43" s="9">
        <f t="shared" si="12"/>
        <v>3.9633401677086773E-5</v>
      </c>
      <c r="V43" s="102">
        <f t="shared" si="13"/>
        <v>5.894127891165564E-3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85</v>
      </c>
      <c r="C44" s="46" t="s">
        <v>86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0.70532975413914478</v>
      </c>
      <c r="J44" s="94">
        <f t="shared" si="2"/>
        <v>1.3173040593206689</v>
      </c>
      <c r="K44" s="95">
        <f t="shared" si="3"/>
        <v>0.19495467167007505</v>
      </c>
      <c r="L44" s="95">
        <f t="shared" si="4"/>
        <v>5.6966722516344041E-3</v>
      </c>
      <c r="M44" s="95">
        <f t="shared" si="5"/>
        <v>0.99430332774836561</v>
      </c>
      <c r="N44" s="95">
        <f t="shared" si="6"/>
        <v>4.601200717002223E-3</v>
      </c>
      <c r="O44" s="40">
        <f t="shared" si="7"/>
        <v>1.9624415292255196E-7</v>
      </c>
      <c r="P44" s="40">
        <f t="shared" si="8"/>
        <v>4.0747482805619224E-6</v>
      </c>
      <c r="Q44" s="40">
        <f t="shared" si="9"/>
        <v>6.5823462828657506E-4</v>
      </c>
      <c r="R44" s="9">
        <f t="shared" si="14"/>
        <v>3.9999999999999996E-5</v>
      </c>
      <c r="S44" s="9">
        <f t="shared" si="10"/>
        <v>2.2786689006537616E-7</v>
      </c>
      <c r="T44" s="9">
        <f t="shared" si="11"/>
        <v>7.7981868668030005E-6</v>
      </c>
      <c r="U44" s="9">
        <f t="shared" si="12"/>
        <v>3.9772133109934619E-5</v>
      </c>
      <c r="V44" s="102">
        <f t="shared" si="13"/>
        <v>0.19607162746961398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141</v>
      </c>
      <c r="C45" s="46" t="s">
        <v>142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2.3272580136650043</v>
      </c>
      <c r="J45" s="94">
        <f t="shared" si="2"/>
        <v>3.0318323583249076</v>
      </c>
      <c r="K45" s="95">
        <f t="shared" si="3"/>
        <v>4.6496237955290466E-3</v>
      </c>
      <c r="L45" s="95">
        <f t="shared" si="4"/>
        <v>7.0409895771336812E-3</v>
      </c>
      <c r="M45" s="95">
        <f t="shared" si="5"/>
        <v>0.99295901042286627</v>
      </c>
      <c r="N45" s="95">
        <f t="shared" si="6"/>
        <v>6.0448196420046819E-3</v>
      </c>
      <c r="O45" s="40">
        <f t="shared" si="7"/>
        <v>4.6803776249399752E-9</v>
      </c>
      <c r="P45" s="40">
        <f t="shared" si="8"/>
        <v>5.0363192589583311E-6</v>
      </c>
      <c r="Q45" s="40">
        <f t="shared" si="9"/>
        <v>8.6475462707192685E-4</v>
      </c>
      <c r="R45" s="9">
        <f t="shared" si="14"/>
        <v>3.9999999999999996E-5</v>
      </c>
      <c r="S45" s="9">
        <f t="shared" si="10"/>
        <v>2.8163958308534725E-7</v>
      </c>
      <c r="T45" s="9">
        <f t="shared" si="11"/>
        <v>1.8598495182116185E-7</v>
      </c>
      <c r="U45" s="9">
        <f t="shared" si="12"/>
        <v>3.9718360416914644E-5</v>
      </c>
      <c r="V45" s="102">
        <f t="shared" si="13"/>
        <v>4.6825938903046318E-3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87</v>
      </c>
      <c r="C46" s="46" t="s">
        <v>88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0.64458903464573347</v>
      </c>
      <c r="J46" s="94">
        <f t="shared" si="2"/>
        <v>1.2317717173887035</v>
      </c>
      <c r="K46" s="95">
        <f t="shared" si="3"/>
        <v>0.22429090438895757</v>
      </c>
      <c r="L46" s="95">
        <f t="shared" si="4"/>
        <v>5.3822876868027565E-3</v>
      </c>
      <c r="M46" s="95">
        <f t="shared" si="5"/>
        <v>0.99461771231319729</v>
      </c>
      <c r="N46" s="95">
        <f t="shared" si="6"/>
        <v>4.261840521312313E-3</v>
      </c>
      <c r="O46" s="40">
        <f t="shared" si="7"/>
        <v>2.2577442316710771E-7</v>
      </c>
      <c r="P46" s="40">
        <f t="shared" si="8"/>
        <v>3.8498734925459138E-6</v>
      </c>
      <c r="Q46" s="40">
        <f t="shared" si="9"/>
        <v>6.0968672829173553E-4</v>
      </c>
      <c r="R46" s="9">
        <f t="shared" si="14"/>
        <v>3.9999999999999996E-5</v>
      </c>
      <c r="S46" s="9">
        <f t="shared" si="10"/>
        <v>2.1529150747211023E-7</v>
      </c>
      <c r="T46" s="9">
        <f t="shared" si="11"/>
        <v>8.9716361755583025E-6</v>
      </c>
      <c r="U46" s="9">
        <f t="shared" si="12"/>
        <v>3.9784708492527887E-5</v>
      </c>
      <c r="V46" s="102">
        <f t="shared" si="13"/>
        <v>0.22550463521036726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143</v>
      </c>
      <c r="C47" s="46" t="s">
        <v>144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1.6299602750984028</v>
      </c>
      <c r="J47" s="94">
        <f t="shared" si="2"/>
        <v>2.1121156644685484</v>
      </c>
      <c r="K47" s="95">
        <f t="shared" si="3"/>
        <v>2.3224311009852908E-2</v>
      </c>
      <c r="L47" s="95">
        <f t="shared" si="4"/>
        <v>4.230990313869535E-3</v>
      </c>
      <c r="M47" s="95">
        <f t="shared" si="5"/>
        <v>0.99576900968613047</v>
      </c>
      <c r="N47" s="95">
        <f t="shared" si="6"/>
        <v>2.983433561731154E-3</v>
      </c>
      <c r="O47" s="40">
        <f t="shared" si="7"/>
        <v>2.3377922684773828E-8</v>
      </c>
      <c r="P47" s="40">
        <f t="shared" si="8"/>
        <v>3.0263669287921103E-6</v>
      </c>
      <c r="Q47" s="40">
        <f t="shared" si="9"/>
        <v>4.2680148124536814E-4</v>
      </c>
      <c r="R47" s="9">
        <f t="shared" si="14"/>
        <v>3.9999999999999996E-5</v>
      </c>
      <c r="S47" s="9">
        <f t="shared" si="10"/>
        <v>1.6923961255478138E-7</v>
      </c>
      <c r="T47" s="9">
        <f t="shared" si="11"/>
        <v>9.2897244039411627E-7</v>
      </c>
      <c r="U47" s="9">
        <f t="shared" si="12"/>
        <v>3.9830760387445219E-5</v>
      </c>
      <c r="V47" s="102">
        <f t="shared" si="13"/>
        <v>2.3322990356140209E-2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145</v>
      </c>
      <c r="C48" s="46" t="s">
        <v>146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0.19893820408979257</v>
      </c>
      <c r="J48" s="94">
        <f t="shared" ref="J48:J50" si="16">IF(D48=0,"",LOG($K$21*10^D48+$K$22*10^E48+$K$20))</f>
        <v>0.42305595357710185</v>
      </c>
      <c r="K48" s="95">
        <f t="shared" ref="K48:K50" si="17">IF(D48=0,"",1/(1+10^D48*$J$15/$J$14+10^E48*$J$16/$J$14+10^J48*$J$19/$J$14))</f>
        <v>0.62775305445350138</v>
      </c>
      <c r="L48" s="95">
        <f t="shared" ref="L48:L50" si="18">IF(D48=0,"",1/(1+10^I48/10^J48*$J$13/$J$19))</f>
        <v>2.3400671283840629E-3</v>
      </c>
      <c r="M48" s="95">
        <f t="shared" ref="M48:M92" si="19">IF(D48=0,"",1-L48)</f>
        <v>0.99765993287161592</v>
      </c>
      <c r="N48" s="95">
        <f t="shared" ref="N48:N50" si="20">IF(D48=0,"",1/(1/10^E48*$J$20/$J$22+10^D48/10^E48*$J$21/$J$22+10^I48/10^E48*$J$13/$J$22+1))</f>
        <v>9.9175492708154355E-4</v>
      </c>
      <c r="O48" s="40">
        <f t="shared" ref="O48:O92" si="21">IF(D48=0,"",F48*K48*$J$7/$J$14)</f>
        <v>6.3190517754944229E-7</v>
      </c>
      <c r="P48" s="40">
        <f t="shared" ref="P48:P50" si="22">IF(D48=0,"",O48*10^J48)</f>
        <v>1.6738165874027141E-6</v>
      </c>
      <c r="Q48" s="40">
        <f t="shared" ref="Q48:Q50" si="23">IF(D48=0,"",F48*N48*$J$7/$J$22)</f>
        <v>1.4187762628277965E-4</v>
      </c>
      <c r="R48" s="9">
        <f t="shared" si="14"/>
        <v>3.9999999999999996E-5</v>
      </c>
      <c r="S48" s="9">
        <f t="shared" si="10"/>
        <v>9.3602685135362512E-8</v>
      </c>
      <c r="T48" s="9">
        <f t="shared" si="11"/>
        <v>2.5110122178140054E-5</v>
      </c>
      <c r="U48" s="9">
        <f t="shared" si="12"/>
        <v>3.990639731486463E-5</v>
      </c>
      <c r="V48" s="102">
        <f t="shared" si="13"/>
        <v>0.62922548432571357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147</v>
      </c>
      <c r="C49" s="46" t="s">
        <v>148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6.5352597387686409E-2</v>
      </c>
      <c r="J49" s="94">
        <f t="shared" si="16"/>
        <v>0.17496858668585646</v>
      </c>
      <c r="K49" s="95">
        <f t="shared" si="17"/>
        <v>0.85429927026245478</v>
      </c>
      <c r="L49" s="95">
        <f t="shared" si="18"/>
        <v>1.7987141450457201E-3</v>
      </c>
      <c r="M49" s="95">
        <f t="shared" si="19"/>
        <v>0.99820128585495427</v>
      </c>
      <c r="N49" s="95">
        <f t="shared" si="20"/>
        <v>4.2773576738619479E-4</v>
      </c>
      <c r="O49" s="40">
        <f t="shared" si="21"/>
        <v>8.5994982935689091E-7</v>
      </c>
      <c r="P49" s="40">
        <f t="shared" si="22"/>
        <v>1.2865945320348456E-6</v>
      </c>
      <c r="Q49" s="40">
        <f t="shared" si="23"/>
        <v>6.119065678007648E-5</v>
      </c>
      <c r="R49" s="9">
        <f t="shared" si="14"/>
        <v>3.9999999999999996E-5</v>
      </c>
      <c r="S49" s="9">
        <f t="shared" si="10"/>
        <v>7.1948565801828799E-8</v>
      </c>
      <c r="T49" s="9">
        <f t="shared" si="11"/>
        <v>3.4171970810498189E-5</v>
      </c>
      <c r="U49" s="9">
        <f t="shared" si="12"/>
        <v>3.992805143419817E-5</v>
      </c>
      <c r="V49" s="102">
        <f t="shared" si="13"/>
        <v>0.85583867940097058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149</v>
      </c>
      <c r="C50" s="46" t="s">
        <v>150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151</v>
      </c>
      <c r="C51" s="46" t="s">
        <v>152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153</v>
      </c>
      <c r="C52" s="46" t="s">
        <v>154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155</v>
      </c>
      <c r="C53" s="46" t="s">
        <v>156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157</v>
      </c>
      <c r="C54" s="46" t="s">
        <v>158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159</v>
      </c>
      <c r="C55" s="46" t="s">
        <v>160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161</v>
      </c>
      <c r="C56" s="46" t="s">
        <v>162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89</v>
      </c>
      <c r="C57" s="88" t="s">
        <v>90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3.7217650281818146E-4</v>
      </c>
      <c r="J57" s="54">
        <f t="shared" si="25"/>
        <v>8.1368247852758456E-4</v>
      </c>
      <c r="K57" s="55">
        <f t="shared" si="26"/>
        <v>0.99257681527618069</v>
      </c>
      <c r="L57" s="55">
        <f t="shared" si="27"/>
        <v>1.3994627301784179E-3</v>
      </c>
      <c r="M57" s="55">
        <f t="shared" si="28"/>
        <v>0.99860053726982156</v>
      </c>
      <c r="N57" s="55">
        <f t="shared" si="29"/>
        <v>8.4398292224885224E-6</v>
      </c>
      <c r="O57" s="56">
        <f t="shared" si="30"/>
        <v>9.9914197826497977E-7</v>
      </c>
      <c r="P57" s="56">
        <f t="shared" si="31"/>
        <v>1.0010156985719052E-6</v>
      </c>
      <c r="Q57" s="56">
        <f t="shared" si="32"/>
        <v>1.2073778547714291E-6</v>
      </c>
      <c r="R57" s="9">
        <f t="shared" ref="R57:R58" si="33">F57*$C$14</f>
        <v>3.9999999999999996E-5</v>
      </c>
      <c r="S57" s="9">
        <f t="shared" ref="S57:S58" si="34">$R57*L57</f>
        <v>5.5978509207136713E-8</v>
      </c>
      <c r="T57" s="9">
        <f t="shared" ref="T57:T58" si="35">R57*K57</f>
        <v>3.9703072611047223E-5</v>
      </c>
      <c r="U57" s="9">
        <f t="shared" ref="U57:U58" si="36">$R57*M57</f>
        <v>3.9944021490792858E-5</v>
      </c>
      <c r="V57" s="102">
        <f t="shared" ref="V57:V58" si="37">K57/M57</f>
        <v>0.99396783621796381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163</v>
      </c>
      <c r="C58" s="46" t="s">
        <v>164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0.27242732253974722</v>
      </c>
      <c r="J58" s="54">
        <f t="shared" si="25"/>
        <v>0.56932041838992553</v>
      </c>
      <c r="K58" s="55">
        <f t="shared" si="26"/>
        <v>0.52980293060145323</v>
      </c>
      <c r="L58" s="55">
        <f t="shared" si="27"/>
        <v>2.7657842714117671E-3</v>
      </c>
      <c r="M58" s="55">
        <f t="shared" si="28"/>
        <v>0.99723421572858828</v>
      </c>
      <c r="N58" s="55">
        <f t="shared" si="29"/>
        <v>1.4445643355388011E-3</v>
      </c>
      <c r="O58" s="56">
        <f t="shared" si="30"/>
        <v>5.3330718592739918E-7</v>
      </c>
      <c r="P58" s="56">
        <f t="shared" si="31"/>
        <v>1.9783259781369599E-6</v>
      </c>
      <c r="Q58" s="56">
        <f t="shared" si="32"/>
        <v>2.0665524651550788E-4</v>
      </c>
      <c r="R58" s="9">
        <f t="shared" si="33"/>
        <v>3.9999999999999996E-5</v>
      </c>
      <c r="S58" s="9">
        <f t="shared" si="34"/>
        <v>1.1063137085647067E-7</v>
      </c>
      <c r="T58" s="9">
        <f t="shared" si="35"/>
        <v>2.1192117224058127E-5</v>
      </c>
      <c r="U58" s="9">
        <f t="shared" si="36"/>
        <v>3.9889368629143531E-5</v>
      </c>
      <c r="V58" s="102">
        <f t="shared" si="37"/>
        <v>0.53127231521471052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165</v>
      </c>
      <c r="C59" s="46" t="s">
        <v>166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91</v>
      </c>
      <c r="C60" s="46" t="s">
        <v>92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0.35062624883359406</v>
      </c>
      <c r="J60" s="54">
        <f t="shared" si="25"/>
        <v>0.60440409790510707</v>
      </c>
      <c r="K60" s="55">
        <f t="shared" si="26"/>
        <v>0.44261789064464468</v>
      </c>
      <c r="L60" s="55">
        <f t="shared" si="27"/>
        <v>2.5050511032600766E-3</v>
      </c>
      <c r="M60" s="55">
        <f t="shared" si="28"/>
        <v>0.99749494889673995</v>
      </c>
      <c r="N60" s="55">
        <f t="shared" si="29"/>
        <v>1.1502321341770063E-3</v>
      </c>
      <c r="O60" s="56">
        <f t="shared" si="30"/>
        <v>4.4554548128460141E-7</v>
      </c>
      <c r="P60" s="56">
        <f t="shared" si="31"/>
        <v>1.7918272677176004E-6</v>
      </c>
      <c r="Q60" s="56">
        <f t="shared" si="32"/>
        <v>1.6454892273783624E-4</v>
      </c>
      <c r="R60" s="9">
        <f t="shared" ref="R60:R65" si="38">F60*$C$14</f>
        <v>3.9999999999999996E-5</v>
      </c>
      <c r="S60" s="9">
        <f t="shared" ref="S60:S93" si="39">$R60*L60</f>
        <v>1.0020204413040305E-7</v>
      </c>
      <c r="T60" s="9">
        <f t="shared" ref="T60:T93" si="40">R60*K60</f>
        <v>1.7704715625785784E-5</v>
      </c>
      <c r="U60" s="9">
        <f t="shared" ref="U60:U93" si="41">$R60*M60</f>
        <v>3.9899797955869592E-5</v>
      </c>
      <c r="V60" s="102">
        <f t="shared" ref="V60:V93" si="42">K60/M60</f>
        <v>0.44372945560696186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93</v>
      </c>
      <c r="C61" s="46" t="s">
        <v>94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1.0599296125914559</v>
      </c>
      <c r="J61" s="54">
        <f t="shared" si="25"/>
        <v>1.499720898757618</v>
      </c>
      <c r="K61" s="55">
        <f t="shared" si="26"/>
        <v>8.6326535542292221E-2</v>
      </c>
      <c r="L61" s="55">
        <f t="shared" si="27"/>
        <v>3.8392707377521342E-3</v>
      </c>
      <c r="M61" s="55">
        <f t="shared" si="28"/>
        <v>0.99616072926224786</v>
      </c>
      <c r="N61" s="55">
        <f t="shared" si="29"/>
        <v>2.5636624620689955E-3</v>
      </c>
      <c r="O61" s="56">
        <f t="shared" si="30"/>
        <v>8.6897521855261685E-8</v>
      </c>
      <c r="P61" s="56">
        <f t="shared" si="31"/>
        <v>2.7461755119892767E-6</v>
      </c>
      <c r="Q61" s="56">
        <f t="shared" si="32"/>
        <v>3.6675022707369882E-4</v>
      </c>
      <c r="R61" s="9">
        <f t="shared" si="38"/>
        <v>3.9999999999999996E-5</v>
      </c>
      <c r="S61" s="9">
        <f t="shared" si="39"/>
        <v>1.5357082951008537E-7</v>
      </c>
      <c r="T61" s="9">
        <f t="shared" si="40"/>
        <v>3.4530614216916885E-6</v>
      </c>
      <c r="U61" s="9">
        <f t="shared" si="41"/>
        <v>3.9846429170489909E-5</v>
      </c>
      <c r="V61" s="102">
        <f t="shared" si="42"/>
        <v>8.6659243841327963E-2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167</v>
      </c>
      <c r="C62" s="46" t="s">
        <v>111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0.76837016932652724</v>
      </c>
      <c r="J62" s="54">
        <f t="shared" si="25"/>
        <v>1.2557340163142241</v>
      </c>
      <c r="K62" s="55">
        <f t="shared" si="26"/>
        <v>0.16885377540361485</v>
      </c>
      <c r="L62" s="55">
        <f t="shared" si="27"/>
        <v>4.281819145016675E-3</v>
      </c>
      <c r="M62" s="55">
        <f t="shared" si="28"/>
        <v>0.99571818085498331</v>
      </c>
      <c r="N62" s="55">
        <f t="shared" si="29"/>
        <v>3.0556760319077514E-3</v>
      </c>
      <c r="O62" s="56">
        <f t="shared" si="30"/>
        <v>1.6997061849297349E-7</v>
      </c>
      <c r="P62" s="56">
        <f t="shared" si="31"/>
        <v>3.0627240655854987E-6</v>
      </c>
      <c r="Q62" s="56">
        <f t="shared" si="32"/>
        <v>4.3713628262177453E-4</v>
      </c>
      <c r="R62" s="9">
        <f t="shared" si="38"/>
        <v>3.9999999999999996E-5</v>
      </c>
      <c r="S62" s="9">
        <f t="shared" si="39"/>
        <v>1.7127276580066699E-7</v>
      </c>
      <c r="T62" s="9">
        <f t="shared" si="40"/>
        <v>6.7541510161445934E-6</v>
      </c>
      <c r="U62" s="9">
        <f t="shared" si="41"/>
        <v>3.9828727234199332E-5</v>
      </c>
      <c r="V62" s="102">
        <f t="shared" si="42"/>
        <v>0.16957988580526559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95</v>
      </c>
      <c r="C63" s="46" t="s">
        <v>96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0.7211484450377651</v>
      </c>
      <c r="J63" s="54">
        <f t="shared" si="25"/>
        <v>1.1862468902307319</v>
      </c>
      <c r="K63" s="55">
        <f t="shared" si="26"/>
        <v>0.18828921443503316</v>
      </c>
      <c r="L63" s="55">
        <f t="shared" si="27"/>
        <v>4.0687018052491053E-3</v>
      </c>
      <c r="M63" s="55">
        <f t="shared" si="28"/>
        <v>0.9959312981947509</v>
      </c>
      <c r="N63" s="55">
        <f t="shared" si="29"/>
        <v>2.8255758870643988E-3</v>
      </c>
      <c r="O63" s="56">
        <f t="shared" si="30"/>
        <v>1.8953460860783073E-7</v>
      </c>
      <c r="P63" s="56">
        <f t="shared" si="31"/>
        <v>2.9102842769831808E-6</v>
      </c>
      <c r="Q63" s="56">
        <f t="shared" si="32"/>
        <v>4.0421881332946977E-4</v>
      </c>
      <c r="R63" s="9">
        <f t="shared" si="38"/>
        <v>3.9999999999999996E-5</v>
      </c>
      <c r="S63" s="9">
        <f t="shared" si="39"/>
        <v>1.6274807220996419E-7</v>
      </c>
      <c r="T63" s="9">
        <f t="shared" si="40"/>
        <v>7.5315685774013258E-6</v>
      </c>
      <c r="U63" s="9">
        <f t="shared" si="41"/>
        <v>3.9837251927790036E-5</v>
      </c>
      <c r="V63" s="102">
        <f t="shared" si="42"/>
        <v>0.18905843683829471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97</v>
      </c>
      <c r="C64" s="46" t="s">
        <v>98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0.2338148544799136</v>
      </c>
      <c r="J64" s="54">
        <f t="shared" si="25"/>
        <v>0.54325556656441554</v>
      </c>
      <c r="K64" s="55">
        <f t="shared" si="26"/>
        <v>0.57901740091711718</v>
      </c>
      <c r="L64" s="55">
        <f t="shared" si="27"/>
        <v>2.8466279550932593E-3</v>
      </c>
      <c r="M64" s="55">
        <f t="shared" si="28"/>
        <v>0.99715337204490673</v>
      </c>
      <c r="N64" s="55">
        <f t="shared" si="29"/>
        <v>1.5383889358076186E-3</v>
      </c>
      <c r="O64" s="56">
        <f t="shared" si="30"/>
        <v>5.8284717363784511E-7</v>
      </c>
      <c r="P64" s="56">
        <f t="shared" si="31"/>
        <v>2.0361523101645642E-6</v>
      </c>
      <c r="Q64" s="56">
        <f t="shared" si="32"/>
        <v>2.2007752575967842E-4</v>
      </c>
      <c r="R64" s="9">
        <f t="shared" si="38"/>
        <v>3.9999999999999996E-5</v>
      </c>
      <c r="S64" s="9">
        <f t="shared" si="39"/>
        <v>1.1386511820373036E-7</v>
      </c>
      <c r="T64" s="9">
        <f t="shared" si="40"/>
        <v>2.3160696036684684E-5</v>
      </c>
      <c r="U64" s="9">
        <f t="shared" si="41"/>
        <v>3.9886134881796268E-5</v>
      </c>
      <c r="V64" s="102">
        <f t="shared" si="42"/>
        <v>0.58067035337773609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168</v>
      </c>
      <c r="C65" s="46" t="s">
        <v>169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1.2834731216469764</v>
      </c>
      <c r="J65" s="54">
        <f t="shared" si="25"/>
        <v>1.9057707829015962</v>
      </c>
      <c r="K65" s="55">
        <f t="shared" si="26"/>
        <v>5.1490934027847171E-2</v>
      </c>
      <c r="L65" s="55">
        <f t="shared" si="27"/>
        <v>5.832907383373406E-3</v>
      </c>
      <c r="M65" s="55">
        <f t="shared" si="28"/>
        <v>0.99416709261662661</v>
      </c>
      <c r="N65" s="55">
        <f t="shared" si="29"/>
        <v>4.7331503704461791E-3</v>
      </c>
      <c r="O65" s="56">
        <f t="shared" si="30"/>
        <v>5.183150854977398E-8</v>
      </c>
      <c r="P65" s="56">
        <f t="shared" si="31"/>
        <v>4.1721953240786648E-6</v>
      </c>
      <c r="Q65" s="56">
        <f t="shared" si="32"/>
        <v>6.7711096870925764E-4</v>
      </c>
      <c r="R65" s="9">
        <f t="shared" si="38"/>
        <v>3.9999999999999996E-5</v>
      </c>
      <c r="S65" s="9">
        <f t="shared" si="39"/>
        <v>2.3331629533493621E-7</v>
      </c>
      <c r="T65" s="9">
        <f t="shared" si="40"/>
        <v>2.0596373611138866E-6</v>
      </c>
      <c r="U65" s="9">
        <f t="shared" si="41"/>
        <v>3.9766683704665059E-5</v>
      </c>
      <c r="V65" s="102">
        <f t="shared" si="42"/>
        <v>5.179303802173147E-2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170</v>
      </c>
      <c r="C66" s="46" t="s">
        <v>171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172</v>
      </c>
      <c r="C67" s="46" t="s">
        <v>173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99</v>
      </c>
      <c r="C68" s="46" t="s">
        <v>100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0.33491051106253611</v>
      </c>
      <c r="J68" s="54">
        <f t="shared" si="25"/>
        <v>0.55831225094540515</v>
      </c>
      <c r="K68" s="55">
        <f t="shared" si="26"/>
        <v>0.45900582998916428</v>
      </c>
      <c r="L68" s="55">
        <f t="shared" si="27"/>
        <v>2.3362213070708448E-3</v>
      </c>
      <c r="M68" s="55">
        <f t="shared" si="28"/>
        <v>0.9976637786929291</v>
      </c>
      <c r="N68" s="55">
        <f t="shared" si="29"/>
        <v>9.6806325073199703E-4</v>
      </c>
      <c r="O68" s="56">
        <f t="shared" si="30"/>
        <v>4.6204181475156221E-7</v>
      </c>
      <c r="P68" s="56">
        <f t="shared" si="31"/>
        <v>1.671065726357674E-6</v>
      </c>
      <c r="Q68" s="56">
        <f t="shared" si="32"/>
        <v>1.3848836275471738E-4</v>
      </c>
      <c r="R68" s="9">
        <f>F68*$C$14</f>
        <v>3.9999999999999996E-5</v>
      </c>
      <c r="S68" s="9">
        <f t="shared" si="39"/>
        <v>9.3448852282833788E-8</v>
      </c>
      <c r="T68" s="9">
        <f t="shared" si="40"/>
        <v>1.8360233199566571E-5</v>
      </c>
      <c r="U68" s="9">
        <f t="shared" si="41"/>
        <v>3.990655114771716E-5</v>
      </c>
      <c r="V68" s="102">
        <f t="shared" si="42"/>
        <v>0.46008068027740001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174</v>
      </c>
      <c r="C69" s="46" t="s">
        <v>175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2.1724337273682748</v>
      </c>
      <c r="J69" s="54">
        <f t="shared" si="25"/>
        <v>2.847496995843116</v>
      </c>
      <c r="K69" s="55">
        <f t="shared" si="26"/>
        <v>6.6442051371361768E-3</v>
      </c>
      <c r="L69" s="55">
        <f t="shared" si="27"/>
        <v>6.5814798557868879E-3</v>
      </c>
      <c r="M69" s="55">
        <f t="shared" si="28"/>
        <v>0.99341852014421306</v>
      </c>
      <c r="N69" s="55">
        <f t="shared" si="29"/>
        <v>5.544080975680688E-3</v>
      </c>
      <c r="O69" s="56">
        <f t="shared" si="30"/>
        <v>6.6881516498745163E-9</v>
      </c>
      <c r="P69" s="56">
        <f t="shared" si="31"/>
        <v>4.7076385197035669E-6</v>
      </c>
      <c r="Q69" s="56">
        <f t="shared" si="32"/>
        <v>7.9312038414951994E-4</v>
      </c>
      <c r="R69" s="9">
        <f>F69*$C$14</f>
        <v>3.9999999999999996E-5</v>
      </c>
      <c r="S69" s="9">
        <f t="shared" si="39"/>
        <v>2.632591942314755E-7</v>
      </c>
      <c r="T69" s="9">
        <f t="shared" si="40"/>
        <v>2.6576820548544705E-7</v>
      </c>
      <c r="U69" s="9">
        <f t="shared" si="41"/>
        <v>3.9736740805768515E-5</v>
      </c>
      <c r="V69" s="102">
        <f t="shared" si="42"/>
        <v>6.6882235456730233E-3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176</v>
      </c>
      <c r="C70" s="46" t="s">
        <v>177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6.2122287627494992E-2</v>
      </c>
      <c r="J70" s="54">
        <f t="shared" si="25"/>
        <v>0.11635831463150176</v>
      </c>
      <c r="K70" s="55">
        <f t="shared" si="26"/>
        <v>0.86086267524377191</v>
      </c>
      <c r="L70" s="55">
        <f t="shared" si="27"/>
        <v>1.5837102256165464E-3</v>
      </c>
      <c r="M70" s="55">
        <f t="shared" si="28"/>
        <v>0.99841628977438346</v>
      </c>
      <c r="N70" s="55">
        <f t="shared" si="29"/>
        <v>1.9409145269660052E-4</v>
      </c>
      <c r="O70" s="56">
        <f t="shared" si="30"/>
        <v>8.6655664641755596E-7</v>
      </c>
      <c r="P70" s="56">
        <f t="shared" si="31"/>
        <v>1.1328052999517208E-6</v>
      </c>
      <c r="Q70" s="56">
        <f t="shared" si="32"/>
        <v>2.7766168675767962E-5</v>
      </c>
      <c r="R70" s="9">
        <f t="shared" ref="R70:R86" si="43">F70*$C$14</f>
        <v>3.9999999999999996E-5</v>
      </c>
      <c r="S70" s="9">
        <f t="shared" si="39"/>
        <v>6.3348409024661848E-8</v>
      </c>
      <c r="T70" s="9">
        <f t="shared" si="40"/>
        <v>3.4434507009750877E-5</v>
      </c>
      <c r="U70" s="9">
        <f t="shared" si="41"/>
        <v>3.9936651590975334E-5</v>
      </c>
      <c r="V70" s="102">
        <f t="shared" si="42"/>
        <v>0.86222819485277513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178</v>
      </c>
      <c r="C71" s="46" t="s">
        <v>179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4">IF(D71=0,"",LOG($K$15*10^D71+$K$16*10^E71+$K$14))</f>
        <v>0.22542744412672311</v>
      </c>
      <c r="J71" s="54">
        <f t="shared" ref="J71:J122" si="45">IF(D71=0,"",LOG($K$21*10^D71+$K$22*10^E71+$K$20))</f>
        <v>0.49176308419639264</v>
      </c>
      <c r="K71" s="55">
        <f t="shared" ref="K71:K122" si="46">IF(D71=0,"",1/(1+10^D71*$J$15/$J$14+10^E71*$J$16/$J$14+10^J71*$J$19/$J$14))</f>
        <v>0.59046730198486297</v>
      </c>
      <c r="L71" s="55">
        <f t="shared" ref="L71:L122" si="47">IF(D71=0,"",1/(1+10^I71/10^J71*$J$13/$J$19))</f>
        <v>2.5783535285051652E-3</v>
      </c>
      <c r="M71" s="55">
        <f t="shared" si="19"/>
        <v>0.99742164647149478</v>
      </c>
      <c r="N71" s="55">
        <f t="shared" ref="N71:N122" si="48">IF(D71=0,"",1/(1/10^E71*$J$20/$J$22+10^D71/10^E71*$J$21/$J$22+10^I71/10^E71*$J$13/$J$22+1))</f>
        <v>1.2472324025777318E-3</v>
      </c>
      <c r="O71" s="56">
        <f t="shared" si="21"/>
        <v>5.9437280734971323E-7</v>
      </c>
      <c r="P71" s="56">
        <f t="shared" ref="P71:P122" si="49">IF(D71=0,"",O71*10^J71)</f>
        <v>1.8442594453179082E-6</v>
      </c>
      <c r="Q71" s="56">
        <f t="shared" ref="Q71:Q122" si="50">IF(D71=0,"",F71*N71*$J$7/$J$22)</f>
        <v>1.7842550399162004E-4</v>
      </c>
      <c r="R71" s="9">
        <f t="shared" si="43"/>
        <v>3.9999999999999996E-5</v>
      </c>
      <c r="S71" s="9">
        <f t="shared" si="39"/>
        <v>1.031341411402066E-7</v>
      </c>
      <c r="T71" s="9">
        <f t="shared" si="40"/>
        <v>2.3618692079394515E-5</v>
      </c>
      <c r="U71" s="9">
        <f t="shared" si="41"/>
        <v>3.9896865858859789E-5</v>
      </c>
      <c r="V71" s="102">
        <f t="shared" si="42"/>
        <v>0.59199367095522315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180</v>
      </c>
      <c r="C72" s="46" t="s">
        <v>181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4"/>
        <v>0.32073739190116707</v>
      </c>
      <c r="J72" s="54">
        <f t="shared" si="45"/>
        <v>0.56249502482927183</v>
      </c>
      <c r="K72" s="55">
        <f t="shared" si="46"/>
        <v>0.47418468199973374</v>
      </c>
      <c r="L72" s="55">
        <f t="shared" si="47"/>
        <v>2.4368347161917198E-3</v>
      </c>
      <c r="M72" s="55">
        <f t="shared" si="19"/>
        <v>0.99756316528380828</v>
      </c>
      <c r="N72" s="55">
        <f t="shared" si="48"/>
        <v>1.0795084661694822E-3</v>
      </c>
      <c r="O72" s="56">
        <f t="shared" si="21"/>
        <v>4.7732106366431442E-7</v>
      </c>
      <c r="P72" s="56">
        <f t="shared" si="49"/>
        <v>1.7430330605674201E-6</v>
      </c>
      <c r="Q72" s="56">
        <f t="shared" si="50"/>
        <v>1.5443139686030274E-4</v>
      </c>
      <c r="R72" s="9">
        <f t="shared" si="43"/>
        <v>3.9999999999999996E-5</v>
      </c>
      <c r="S72" s="9">
        <f t="shared" si="39"/>
        <v>9.7473388647668781E-8</v>
      </c>
      <c r="T72" s="9">
        <f t="shared" si="40"/>
        <v>1.8967387279989348E-5</v>
      </c>
      <c r="U72" s="9">
        <f t="shared" si="41"/>
        <v>3.9902526611352329E-5</v>
      </c>
      <c r="V72" s="102">
        <f t="shared" si="42"/>
        <v>0.47534301435922349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182</v>
      </c>
      <c r="C73" s="46" t="s">
        <v>183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4"/>
        <v>3.8293839195374848</v>
      </c>
      <c r="J73" s="54">
        <f t="shared" si="45"/>
        <v>4.7874172575965854</v>
      </c>
      <c r="K73" s="55">
        <f t="shared" si="46"/>
        <v>1.4550412018006809E-4</v>
      </c>
      <c r="L73" s="55">
        <f t="shared" si="47"/>
        <v>1.255093489278163E-2</v>
      </c>
      <c r="M73" s="55">
        <f t="shared" si="19"/>
        <v>0.98744906510721842</v>
      </c>
      <c r="N73" s="55">
        <f t="shared" si="48"/>
        <v>1.2051381186358394E-2</v>
      </c>
      <c r="O73" s="56">
        <f t="shared" si="21"/>
        <v>1.4646652253505173E-10</v>
      </c>
      <c r="P73" s="56">
        <f t="shared" si="49"/>
        <v>8.9775044297368E-6</v>
      </c>
      <c r="Q73" s="56">
        <f t="shared" si="50"/>
        <v>1.7240361600027562E-3</v>
      </c>
      <c r="R73" s="9">
        <f t="shared" si="43"/>
        <v>3.9999999999999996E-5</v>
      </c>
      <c r="S73" s="9">
        <f t="shared" si="39"/>
        <v>5.0203739571126515E-7</v>
      </c>
      <c r="T73" s="9">
        <f t="shared" si="40"/>
        <v>5.8201648072027229E-9</v>
      </c>
      <c r="U73" s="9">
        <f t="shared" si="41"/>
        <v>3.949796260428873E-5</v>
      </c>
      <c r="V73" s="102">
        <f t="shared" si="42"/>
        <v>1.4735354492868862E-4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184</v>
      </c>
      <c r="C74" s="46" t="s">
        <v>185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4"/>
        <v>3.8037572032670899E-2</v>
      </c>
      <c r="J74" s="54">
        <f t="shared" si="45"/>
        <v>8.1651701078615704E-2</v>
      </c>
      <c r="K74" s="55">
        <f t="shared" si="46"/>
        <v>0.90998705061342466</v>
      </c>
      <c r="L74" s="55">
        <f t="shared" si="47"/>
        <v>1.5455050952068205E-3</v>
      </c>
      <c r="M74" s="55">
        <f t="shared" si="19"/>
        <v>0.99845449490479321</v>
      </c>
      <c r="N74" s="55">
        <f t="shared" si="48"/>
        <v>1.5811560874961163E-4</v>
      </c>
      <c r="O74" s="56">
        <f t="shared" si="21"/>
        <v>9.1600594327042422E-7</v>
      </c>
      <c r="P74" s="56">
        <f t="shared" si="49"/>
        <v>1.1054777159572216E-6</v>
      </c>
      <c r="Q74" s="56">
        <f t="shared" si="50"/>
        <v>2.2619567228837293E-5</v>
      </c>
      <c r="R74" s="9">
        <f t="shared" si="43"/>
        <v>3.9999999999999996E-5</v>
      </c>
      <c r="S74" s="9">
        <f t="shared" si="39"/>
        <v>6.1820203808272814E-8</v>
      </c>
      <c r="T74" s="9">
        <f t="shared" si="40"/>
        <v>3.6399482024536986E-5</v>
      </c>
      <c r="U74" s="9">
        <f t="shared" si="41"/>
        <v>3.9938179796191725E-5</v>
      </c>
      <c r="V74" s="102">
        <f t="shared" si="42"/>
        <v>0.9113956171835309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186</v>
      </c>
      <c r="C75" s="46" t="s">
        <v>187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4"/>
        <v>4.0258976380178252E-2</v>
      </c>
      <c r="J75" s="54">
        <f t="shared" si="45"/>
        <v>8.191699132953921E-2</v>
      </c>
      <c r="K75" s="55">
        <f t="shared" si="46"/>
        <v>0.9053506636413623</v>
      </c>
      <c r="L75" s="55">
        <f t="shared" si="47"/>
        <v>1.538570295604821E-3</v>
      </c>
      <c r="M75" s="55">
        <f t="shared" si="19"/>
        <v>0.99846142970439522</v>
      </c>
      <c r="N75" s="55">
        <f t="shared" si="48"/>
        <v>1.5001937661748827E-4</v>
      </c>
      <c r="O75" s="56">
        <f t="shared" si="21"/>
        <v>9.1133889002076766E-7</v>
      </c>
      <c r="P75" s="56">
        <f t="shared" si="49"/>
        <v>1.1005173528704768E-6</v>
      </c>
      <c r="Q75" s="56">
        <f t="shared" si="50"/>
        <v>2.1461343392107528E-5</v>
      </c>
      <c r="R75" s="9">
        <f t="shared" si="43"/>
        <v>3.9999999999999996E-5</v>
      </c>
      <c r="S75" s="9">
        <f t="shared" si="39"/>
        <v>6.1542811824192836E-8</v>
      </c>
      <c r="T75" s="9">
        <f t="shared" si="40"/>
        <v>3.6214026545654491E-5</v>
      </c>
      <c r="U75" s="9">
        <f t="shared" si="41"/>
        <v>3.9938457188175802E-5</v>
      </c>
      <c r="V75" s="102">
        <f t="shared" si="42"/>
        <v>0.90674575572678928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188</v>
      </c>
      <c r="C76" s="46" t="s">
        <v>189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4"/>
        <v>1.137117589232139</v>
      </c>
      <c r="J76" s="54">
        <f t="shared" si="45"/>
        <v>1.6871342472773443</v>
      </c>
      <c r="K76" s="55">
        <f t="shared" si="46"/>
        <v>7.2189638610069315E-2</v>
      </c>
      <c r="L76" s="55">
        <f t="shared" si="47"/>
        <v>4.9430231319625966E-3</v>
      </c>
      <c r="M76" s="55">
        <f t="shared" si="19"/>
        <v>0.9950569768680374</v>
      </c>
      <c r="N76" s="55">
        <f t="shared" si="48"/>
        <v>3.7653677613043246E-3</v>
      </c>
      <c r="O76" s="56">
        <f t="shared" si="21"/>
        <v>7.2667119784607671E-8</v>
      </c>
      <c r="P76" s="56">
        <f t="shared" si="49"/>
        <v>3.5356738316766742E-6</v>
      </c>
      <c r="Q76" s="56">
        <f t="shared" si="50"/>
        <v>5.3866275373859289E-4</v>
      </c>
      <c r="R76" s="9">
        <f t="shared" si="43"/>
        <v>3.9999999999999996E-5</v>
      </c>
      <c r="S76" s="9">
        <f t="shared" si="39"/>
        <v>1.9772092527850384E-7</v>
      </c>
      <c r="T76" s="9">
        <f t="shared" si="40"/>
        <v>2.8875855444027724E-6</v>
      </c>
      <c r="U76" s="9">
        <f t="shared" si="41"/>
        <v>3.9802279074721492E-5</v>
      </c>
      <c r="V76" s="102">
        <f t="shared" si="42"/>
        <v>7.2548246269563091E-2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101</v>
      </c>
      <c r="C77" s="46" t="s">
        <v>102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4"/>
        <v>2.0958974367173925E-3</v>
      </c>
      <c r="J77" s="54">
        <f t="shared" si="45"/>
        <v>3.2716025135218711E-3</v>
      </c>
      <c r="K77" s="55">
        <f t="shared" si="46"/>
        <v>0.98864273063045616</v>
      </c>
      <c r="L77" s="55">
        <f t="shared" si="47"/>
        <v>1.4018272817604876E-3</v>
      </c>
      <c r="M77" s="55">
        <f t="shared" si="19"/>
        <v>0.99859817271823947</v>
      </c>
      <c r="N77" s="55">
        <f t="shared" si="48"/>
        <v>1.0563136930412127E-5</v>
      </c>
      <c r="O77" s="56">
        <f t="shared" si="21"/>
        <v>9.9518187255316409E-7</v>
      </c>
      <c r="P77" s="56">
        <f t="shared" si="49"/>
        <v>1.0027070285392513E-6</v>
      </c>
      <c r="Q77" s="56">
        <f t="shared" si="50"/>
        <v>1.5111321888735287E-6</v>
      </c>
      <c r="R77" s="9">
        <f t="shared" si="43"/>
        <v>3.9999999999999996E-5</v>
      </c>
      <c r="S77" s="9">
        <f t="shared" si="39"/>
        <v>5.6073091270419498E-8</v>
      </c>
      <c r="T77" s="9">
        <f t="shared" si="40"/>
        <v>3.9545709225218242E-5</v>
      </c>
      <c r="U77" s="9">
        <f t="shared" si="41"/>
        <v>3.9943926908729574E-5</v>
      </c>
      <c r="V77" s="102">
        <f t="shared" si="42"/>
        <v>0.99003058251079701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190</v>
      </c>
      <c r="C78" s="46" t="s">
        <v>191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8.7763082204907472E-2</v>
      </c>
      <c r="J78" s="54">
        <f t="shared" si="45"/>
        <v>0.20411410518597825</v>
      </c>
      <c r="K78" s="55">
        <f t="shared" si="46"/>
        <v>0.81131095817124044</v>
      </c>
      <c r="L78" s="55">
        <f t="shared" si="47"/>
        <v>1.8267746444317525E-3</v>
      </c>
      <c r="M78" s="55">
        <f t="shared" si="19"/>
        <v>0.99817322535556829</v>
      </c>
      <c r="N78" s="55">
        <f t="shared" si="48"/>
        <v>4.5336070411229319E-4</v>
      </c>
      <c r="O78" s="56">
        <f t="shared" si="21"/>
        <v>8.1667718131187559E-7</v>
      </c>
      <c r="P78" s="56">
        <f t="shared" si="49"/>
        <v>1.3066658063813973E-6</v>
      </c>
      <c r="Q78" s="56">
        <f t="shared" si="50"/>
        <v>6.4856487014007183E-5</v>
      </c>
      <c r="R78" s="9">
        <f t="shared" si="43"/>
        <v>3.9999999999999996E-5</v>
      </c>
      <c r="S78" s="9">
        <f t="shared" si="39"/>
        <v>7.3070985777270088E-8</v>
      </c>
      <c r="T78" s="9">
        <f t="shared" si="40"/>
        <v>3.2452438326849616E-5</v>
      </c>
      <c r="U78" s="9">
        <f t="shared" si="41"/>
        <v>3.9926929014222725E-5</v>
      </c>
      <c r="V78" s="102">
        <f t="shared" si="42"/>
        <v>0.81279575284363692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192</v>
      </c>
      <c r="C79" s="46" t="s">
        <v>193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0.50667591684415281</v>
      </c>
      <c r="J79" s="54">
        <f t="shared" si="45"/>
        <v>0.88026017671842771</v>
      </c>
      <c r="K79" s="55">
        <f t="shared" si="46"/>
        <v>0.30876909986285556</v>
      </c>
      <c r="L79" s="55">
        <f t="shared" si="47"/>
        <v>3.2982041690555958E-3</v>
      </c>
      <c r="M79" s="55">
        <f t="shared" si="19"/>
        <v>0.99670179583094443</v>
      </c>
      <c r="N79" s="55">
        <f t="shared" si="48"/>
        <v>1.9994813789597611E-3</v>
      </c>
      <c r="O79" s="56">
        <f t="shared" si="21"/>
        <v>3.1081137954872593E-7</v>
      </c>
      <c r="P79" s="56">
        <f t="shared" si="49"/>
        <v>2.3591583249230523E-6</v>
      </c>
      <c r="Q79" s="56">
        <f t="shared" si="50"/>
        <v>2.8604009327004348E-4</v>
      </c>
      <c r="R79" s="9">
        <f t="shared" si="43"/>
        <v>3.9999999999999996E-5</v>
      </c>
      <c r="S79" s="9">
        <f t="shared" si="39"/>
        <v>1.3192816676222381E-7</v>
      </c>
      <c r="T79" s="9">
        <f t="shared" si="40"/>
        <v>1.2350763994514222E-5</v>
      </c>
      <c r="U79" s="9">
        <f t="shared" si="41"/>
        <v>3.9868071833237775E-5</v>
      </c>
      <c r="V79" s="102">
        <f t="shared" si="42"/>
        <v>0.3097908533468996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194</v>
      </c>
      <c r="C80" s="46" t="s">
        <v>195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2.9778200964006376</v>
      </c>
      <c r="J80" s="54">
        <f t="shared" si="45"/>
        <v>3.7781080579293054</v>
      </c>
      <c r="K80" s="55">
        <f t="shared" si="46"/>
        <v>1.0377731633608267E-3</v>
      </c>
      <c r="L80" s="55">
        <f t="shared" si="47"/>
        <v>8.7618138385829013E-3</v>
      </c>
      <c r="M80" s="55">
        <f t="shared" si="19"/>
        <v>0.99123818616141712</v>
      </c>
      <c r="N80" s="55">
        <f t="shared" si="48"/>
        <v>7.9204885035336833E-3</v>
      </c>
      <c r="O80" s="56">
        <f t="shared" si="21"/>
        <v>1.0446372668317201E-9</v>
      </c>
      <c r="P80" s="56">
        <f t="shared" si="49"/>
        <v>6.2672002699692216E-6</v>
      </c>
      <c r="Q80" s="56">
        <f t="shared" si="50"/>
        <v>1.1330824553483756E-3</v>
      </c>
      <c r="R80" s="9">
        <f t="shared" si="43"/>
        <v>3.9999999999999996E-5</v>
      </c>
      <c r="S80" s="9">
        <f t="shared" si="39"/>
        <v>3.5047255354331603E-7</v>
      </c>
      <c r="T80" s="9">
        <f t="shared" si="40"/>
        <v>4.1510926534433066E-8</v>
      </c>
      <c r="U80" s="9">
        <f t="shared" si="41"/>
        <v>3.9649527446456681E-5</v>
      </c>
      <c r="V80" s="102">
        <f t="shared" si="42"/>
        <v>1.0469463120459644E-3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196</v>
      </c>
      <c r="C81" s="46" t="s">
        <v>197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0.64393554165863076</v>
      </c>
      <c r="J81" s="54">
        <f t="shared" si="45"/>
        <v>1.1609089688318674</v>
      </c>
      <c r="K81" s="55">
        <f t="shared" si="46"/>
        <v>0.224809271478213</v>
      </c>
      <c r="L81" s="55">
        <f t="shared" si="47"/>
        <v>4.5825447527925349E-3</v>
      </c>
      <c r="M81" s="55">
        <f t="shared" si="19"/>
        <v>0.99541745524720748</v>
      </c>
      <c r="N81" s="55">
        <f t="shared" si="48"/>
        <v>3.3900004078025107E-3</v>
      </c>
      <c r="O81" s="56">
        <f t="shared" si="21"/>
        <v>2.2629621887203961E-7</v>
      </c>
      <c r="P81" s="56">
        <f t="shared" si="49"/>
        <v>3.2778287967474592E-6</v>
      </c>
      <c r="Q81" s="56">
        <f t="shared" si="50"/>
        <v>4.8496377262477621E-4</v>
      </c>
      <c r="R81" s="9">
        <f t="shared" si="43"/>
        <v>3.9999999999999996E-5</v>
      </c>
      <c r="S81" s="9">
        <f t="shared" si="39"/>
        <v>1.8330179011170137E-7</v>
      </c>
      <c r="T81" s="9">
        <f t="shared" si="40"/>
        <v>8.9923708591285185E-6</v>
      </c>
      <c r="U81" s="9">
        <f t="shared" si="41"/>
        <v>3.9816698209888295E-5</v>
      </c>
      <c r="V81" s="102">
        <f t="shared" si="42"/>
        <v>0.22584421269002422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198</v>
      </c>
      <c r="C82" s="46" t="s">
        <v>199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1.3135143326183101</v>
      </c>
      <c r="J82" s="54">
        <f t="shared" si="45"/>
        <v>1.9942887659269517</v>
      </c>
      <c r="K82" s="55">
        <f t="shared" si="46"/>
        <v>4.8009213676984457E-2</v>
      </c>
      <c r="L82" s="55">
        <f t="shared" si="47"/>
        <v>6.6680198913548431E-3</v>
      </c>
      <c r="M82" s="55">
        <f t="shared" si="19"/>
        <v>0.99333198010864521</v>
      </c>
      <c r="N82" s="55">
        <f t="shared" si="48"/>
        <v>5.6432088720984085E-3</v>
      </c>
      <c r="O82" s="56">
        <f t="shared" si="21"/>
        <v>4.8326759188729852E-8</v>
      </c>
      <c r="P82" s="56">
        <f t="shared" si="49"/>
        <v>4.7695393708590999E-6</v>
      </c>
      <c r="Q82" s="56">
        <f t="shared" si="50"/>
        <v>8.0730133778847781E-4</v>
      </c>
      <c r="R82" s="9">
        <f t="shared" si="43"/>
        <v>3.9999999999999996E-5</v>
      </c>
      <c r="S82" s="9">
        <f t="shared" si="39"/>
        <v>2.6672079565419369E-7</v>
      </c>
      <c r="T82" s="9">
        <f t="shared" si="40"/>
        <v>1.9203685470793782E-6</v>
      </c>
      <c r="U82" s="9">
        <f t="shared" si="41"/>
        <v>3.9733279204345808E-5</v>
      </c>
      <c r="V82" s="102">
        <f t="shared" si="42"/>
        <v>4.8331489007062342E-2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200</v>
      </c>
      <c r="C83" s="46" t="s">
        <v>201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0.78379345695532832</v>
      </c>
      <c r="J83" s="54">
        <f t="shared" si="45"/>
        <v>1.3432804907607612</v>
      </c>
      <c r="K83" s="55">
        <f t="shared" si="46"/>
        <v>0.16283646888790507</v>
      </c>
      <c r="L83" s="55">
        <f t="shared" si="47"/>
        <v>5.051445767640027E-3</v>
      </c>
      <c r="M83" s="55">
        <f t="shared" si="19"/>
        <v>0.99494855423235995</v>
      </c>
      <c r="N83" s="55">
        <f t="shared" si="48"/>
        <v>3.8940471731819218E-3</v>
      </c>
      <c r="O83" s="56">
        <f t="shared" si="21"/>
        <v>1.6391351193617752E-7</v>
      </c>
      <c r="P83" s="56">
        <f t="shared" si="49"/>
        <v>3.6132269940819452E-6</v>
      </c>
      <c r="Q83" s="56">
        <f t="shared" si="50"/>
        <v>5.5707126274633925E-4</v>
      </c>
      <c r="R83" s="9">
        <f t="shared" si="43"/>
        <v>3.9999999999999996E-5</v>
      </c>
      <c r="S83" s="9">
        <f t="shared" si="39"/>
        <v>2.0205783070560106E-7</v>
      </c>
      <c r="T83" s="9">
        <f t="shared" si="40"/>
        <v>6.5134587555162022E-6</v>
      </c>
      <c r="U83" s="9">
        <f t="shared" si="41"/>
        <v>3.9797942169294397E-5</v>
      </c>
      <c r="V83" s="102">
        <f t="shared" si="42"/>
        <v>0.16366320469055759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103</v>
      </c>
      <c r="C84" s="46" t="s">
        <v>104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5.6400487609719711E-2</v>
      </c>
      <c r="J84" s="54">
        <f t="shared" si="45"/>
        <v>0.12835770982382372</v>
      </c>
      <c r="K84" s="55">
        <f t="shared" si="46"/>
        <v>0.87222199388602728</v>
      </c>
      <c r="L84" s="55">
        <f t="shared" si="47"/>
        <v>1.6495605864700804E-3</v>
      </c>
      <c r="M84" s="55">
        <f t="shared" si="19"/>
        <v>0.99835043941352997</v>
      </c>
      <c r="N84" s="55">
        <f t="shared" si="48"/>
        <v>2.6719576219984791E-4</v>
      </c>
      <c r="O84" s="56">
        <f t="shared" si="21"/>
        <v>8.7799109856805005E-7</v>
      </c>
      <c r="P84" s="56">
        <f t="shared" si="49"/>
        <v>1.1799071223508128E-6</v>
      </c>
      <c r="Q84" s="56">
        <f t="shared" si="50"/>
        <v>3.8224262323846813E-5</v>
      </c>
      <c r="R84" s="9">
        <f t="shared" si="43"/>
        <v>3.9999999999999996E-5</v>
      </c>
      <c r="S84" s="9">
        <f t="shared" si="39"/>
        <v>6.5982423458803205E-8</v>
      </c>
      <c r="T84" s="9">
        <f t="shared" si="40"/>
        <v>3.4888879755441086E-5</v>
      </c>
      <c r="U84" s="9">
        <f t="shared" si="41"/>
        <v>3.9934017576541196E-5</v>
      </c>
      <c r="V84" s="102">
        <f t="shared" si="42"/>
        <v>0.87366315419103191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202</v>
      </c>
      <c r="C85" s="46" t="s">
        <v>203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0.61860589125383425</v>
      </c>
      <c r="J85" s="54">
        <f t="shared" si="45"/>
        <v>1.1486336221473528</v>
      </c>
      <c r="K85" s="55">
        <f t="shared" si="46"/>
        <v>0.23827755922627536</v>
      </c>
      <c r="L85" s="55">
        <f t="shared" si="47"/>
        <v>4.7217206866739404E-3</v>
      </c>
      <c r="M85" s="55">
        <f t="shared" si="19"/>
        <v>0.99527827931332602</v>
      </c>
      <c r="N85" s="55">
        <f t="shared" si="48"/>
        <v>3.5432898079184715E-3</v>
      </c>
      <c r="O85" s="56">
        <f t="shared" si="21"/>
        <v>2.3985358940229599E-7</v>
      </c>
      <c r="P85" s="56">
        <f t="shared" si="49"/>
        <v>3.3773793540252034E-6</v>
      </c>
      <c r="Q85" s="56">
        <f t="shared" si="50"/>
        <v>5.0689291623565093E-4</v>
      </c>
      <c r="R85" s="9">
        <f t="shared" si="43"/>
        <v>3.9999999999999996E-5</v>
      </c>
      <c r="S85" s="9">
        <f t="shared" si="39"/>
        <v>1.8886882746695759E-7</v>
      </c>
      <c r="T85" s="9">
        <f t="shared" si="40"/>
        <v>9.5311023690510131E-6</v>
      </c>
      <c r="U85" s="9">
        <f t="shared" si="41"/>
        <v>3.9811131172533036E-5</v>
      </c>
      <c r="V85" s="102">
        <f t="shared" si="42"/>
        <v>0.23940797682299525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105</v>
      </c>
      <c r="C86" s="46" t="s">
        <v>106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0.26171036693668792</v>
      </c>
      <c r="J86" s="54">
        <f t="shared" si="45"/>
        <v>0.57468086792098039</v>
      </c>
      <c r="K86" s="55">
        <f t="shared" si="46"/>
        <v>0.54298272693856775</v>
      </c>
      <c r="L86" s="55">
        <f t="shared" si="47"/>
        <v>2.8697919304888934E-3</v>
      </c>
      <c r="M86" s="55">
        <f t="shared" si="19"/>
        <v>0.99713020806951114</v>
      </c>
      <c r="N86" s="55">
        <f t="shared" si="48"/>
        <v>1.5594790559480493E-3</v>
      </c>
      <c r="O86" s="56">
        <f t="shared" si="21"/>
        <v>5.4657415688896652E-7</v>
      </c>
      <c r="P86" s="56">
        <f t="shared" si="49"/>
        <v>2.052721170851126E-6</v>
      </c>
      <c r="Q86" s="56">
        <f t="shared" si="50"/>
        <v>2.2309461808948231E-4</v>
      </c>
      <c r="R86" s="9">
        <f t="shared" si="43"/>
        <v>3.9999999999999996E-5</v>
      </c>
      <c r="S86" s="9">
        <f t="shared" si="39"/>
        <v>1.1479167721955572E-7</v>
      </c>
      <c r="T86" s="9">
        <f t="shared" si="40"/>
        <v>2.1719309077542707E-5</v>
      </c>
      <c r="U86" s="9">
        <f t="shared" si="41"/>
        <v>3.9885208322780442E-5</v>
      </c>
      <c r="V86" s="102">
        <f t="shared" si="42"/>
        <v>0.54454545910288554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204</v>
      </c>
      <c r="C87" s="46" t="s">
        <v>205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206</v>
      </c>
      <c r="C88" s="46" t="s">
        <v>207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2.1363569008891736</v>
      </c>
      <c r="J88" s="54">
        <f t="shared" si="45"/>
        <v>2.9801011501568286</v>
      </c>
      <c r="K88" s="55">
        <f t="shared" si="46"/>
        <v>7.1972296212257916E-3</v>
      </c>
      <c r="L88" s="55">
        <f t="shared" si="47"/>
        <v>9.6749791266699543E-3</v>
      </c>
      <c r="M88" s="55">
        <f t="shared" si="19"/>
        <v>0.99032502087333008</v>
      </c>
      <c r="N88" s="55">
        <f t="shared" si="48"/>
        <v>8.9167561688143909E-3</v>
      </c>
      <c r="O88" s="56">
        <f t="shared" si="21"/>
        <v>7.2448339827260275E-9</v>
      </c>
      <c r="P88" s="56">
        <f t="shared" si="49"/>
        <v>6.9203743553194916E-6</v>
      </c>
      <c r="Q88" s="56">
        <f t="shared" si="50"/>
        <v>1.27560566106439E-3</v>
      </c>
      <c r="R88" s="9">
        <f>F88*$C$14</f>
        <v>3.9999999999999996E-5</v>
      </c>
      <c r="S88" s="9">
        <f t="shared" si="39"/>
        <v>3.8699916506679813E-7</v>
      </c>
      <c r="T88" s="9">
        <f t="shared" si="40"/>
        <v>2.8788918484903165E-7</v>
      </c>
      <c r="U88" s="9">
        <f t="shared" si="41"/>
        <v>3.9613000834933199E-5</v>
      </c>
      <c r="V88" s="102">
        <f t="shared" si="42"/>
        <v>7.267542947545471E-3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208</v>
      </c>
      <c r="C89" s="46" t="s">
        <v>209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3.5207953657582807</v>
      </c>
      <c r="J89" s="54">
        <f t="shared" si="45"/>
        <v>4.4534363688963623</v>
      </c>
      <c r="K89" s="55">
        <f t="shared" si="46"/>
        <v>2.963285630685666E-4</v>
      </c>
      <c r="L89" s="55">
        <f t="shared" si="47"/>
        <v>1.1846591464419789E-2</v>
      </c>
      <c r="M89" s="55">
        <f t="shared" si="19"/>
        <v>0.9881534085355802</v>
      </c>
      <c r="N89" s="55">
        <f t="shared" si="48"/>
        <v>1.1283505561397738E-2</v>
      </c>
      <c r="O89" s="56">
        <f t="shared" si="21"/>
        <v>2.9828855778619503E-10</v>
      </c>
      <c r="P89" s="56">
        <f t="shared" si="49"/>
        <v>8.4736976374785563E-6</v>
      </c>
      <c r="Q89" s="56">
        <f t="shared" si="50"/>
        <v>1.6141860670262416E-3</v>
      </c>
      <c r="R89" s="9">
        <f>F89*$C$14</f>
        <v>3.9999999999999996E-5</v>
      </c>
      <c r="S89" s="9">
        <f t="shared" si="39"/>
        <v>4.7386365857679155E-7</v>
      </c>
      <c r="T89" s="9">
        <f t="shared" si="40"/>
        <v>1.1853142522742664E-8</v>
      </c>
      <c r="U89" s="9">
        <f t="shared" si="41"/>
        <v>3.9526136341423205E-5</v>
      </c>
      <c r="V89" s="102">
        <f t="shared" si="42"/>
        <v>2.9988113233118171E-4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210</v>
      </c>
      <c r="C90" s="46" t="s">
        <v>211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3.8666483056990257</v>
      </c>
      <c r="J90" s="54">
        <f t="shared" si="45"/>
        <v>4.835013233934724</v>
      </c>
      <c r="K90" s="55">
        <f t="shared" si="46"/>
        <v>1.3349951842845764E-4</v>
      </c>
      <c r="L90" s="55">
        <f t="shared" si="47"/>
        <v>1.284921100171838E-2</v>
      </c>
      <c r="M90" s="55">
        <f t="shared" si="19"/>
        <v>0.98715078899828157</v>
      </c>
      <c r="N90" s="55">
        <f t="shared" si="48"/>
        <v>1.2376567971146821E-2</v>
      </c>
      <c r="O90" s="56">
        <f t="shared" si="21"/>
        <v>1.3438251920373279E-10</v>
      </c>
      <c r="P90" s="56">
        <f t="shared" si="49"/>
        <v>9.1908570693719961E-6</v>
      </c>
      <c r="Q90" s="56">
        <f t="shared" si="50"/>
        <v>1.7705564523294894E-3</v>
      </c>
      <c r="R90" s="9">
        <f>F90*$C$14</f>
        <v>3.9999999999999996E-5</v>
      </c>
      <c r="S90" s="9">
        <f t="shared" si="39"/>
        <v>5.1396844006873518E-7</v>
      </c>
      <c r="T90" s="9">
        <f t="shared" si="40"/>
        <v>5.339980737138305E-9</v>
      </c>
      <c r="U90" s="9">
        <f t="shared" si="41"/>
        <v>3.9486031559931258E-5</v>
      </c>
      <c r="V90" s="102">
        <f t="shared" si="42"/>
        <v>1.352372098734047E-4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107</v>
      </c>
      <c r="C91" s="46" t="s">
        <v>108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4.2676323009395754</v>
      </c>
      <c r="J91" s="54">
        <f t="shared" si="45"/>
        <v>5.2666304943820279</v>
      </c>
      <c r="K91" s="55">
        <f t="shared" si="46"/>
        <v>5.2977086183617756E-5</v>
      </c>
      <c r="L91" s="55">
        <f t="shared" si="47"/>
        <v>1.3775332489961349E-2</v>
      </c>
      <c r="M91" s="55">
        <f t="shared" si="19"/>
        <v>0.98622466751003868</v>
      </c>
      <c r="N91" s="55">
        <f t="shared" si="48"/>
        <v>1.3386239780033721E-2</v>
      </c>
      <c r="O91" s="56">
        <f t="shared" si="21"/>
        <v>5.3327490505091187E-11</v>
      </c>
      <c r="P91" s="56">
        <f t="shared" si="49"/>
        <v>9.853298539605211E-6</v>
      </c>
      <c r="Q91" s="56">
        <f t="shared" si="50"/>
        <v>1.9149972165322523E-3</v>
      </c>
      <c r="R91" s="9">
        <f t="shared" ref="R91:R92" si="51">F91*$C$14</f>
        <v>3.9999999999999996E-5</v>
      </c>
      <c r="S91" s="9">
        <f t="shared" si="39"/>
        <v>5.5101329959845393E-7</v>
      </c>
      <c r="T91" s="9">
        <f t="shared" si="40"/>
        <v>2.1190834473447101E-9</v>
      </c>
      <c r="U91" s="9">
        <f t="shared" si="41"/>
        <v>3.9448986700401545E-5</v>
      </c>
      <c r="V91" s="102">
        <f t="shared" si="42"/>
        <v>5.3717056497249405E-5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109</v>
      </c>
      <c r="C92" s="46" t="s">
        <v>110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5.487995486122375</v>
      </c>
      <c r="J92" s="54">
        <f t="shared" si="45"/>
        <v>6.5323897253277963</v>
      </c>
      <c r="K92" s="55">
        <f t="shared" si="46"/>
        <v>3.1846828155939969E-6</v>
      </c>
      <c r="L92" s="55">
        <f t="shared" si="47"/>
        <v>1.5270014085502853E-2</v>
      </c>
      <c r="M92" s="55">
        <f t="shared" si="19"/>
        <v>0.98472998591449712</v>
      </c>
      <c r="N92" s="55">
        <f t="shared" si="48"/>
        <v>1.5015773775419537E-2</v>
      </c>
      <c r="O92" s="56">
        <f t="shared" si="21"/>
        <v>3.2057471417299901E-12</v>
      </c>
      <c r="P92" s="56">
        <f t="shared" si="49"/>
        <v>1.0922422932301841E-5</v>
      </c>
      <c r="Q92" s="56">
        <f t="shared" si="50"/>
        <v>2.1481136941007314E-3</v>
      </c>
      <c r="R92" s="9">
        <f t="shared" si="51"/>
        <v>3.9999999999999996E-5</v>
      </c>
      <c r="S92" s="9">
        <f t="shared" si="39"/>
        <v>6.1080056342011412E-7</v>
      </c>
      <c r="T92" s="9">
        <f t="shared" si="40"/>
        <v>1.2738731262375988E-10</v>
      </c>
      <c r="U92" s="9">
        <f t="shared" si="41"/>
        <v>3.9389199436579879E-5</v>
      </c>
      <c r="V92" s="102">
        <f t="shared" si="42"/>
        <v>3.2340670652335744E-6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212</v>
      </c>
      <c r="C93" s="46" t="s">
        <v>213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0.24855356797573289</v>
      </c>
      <c r="J93" s="54">
        <f t="shared" si="45"/>
        <v>0.42148240883964078</v>
      </c>
      <c r="K93" s="55">
        <f t="shared" si="46"/>
        <v>0.56012696545150031</v>
      </c>
      <c r="L93" s="55">
        <f t="shared" si="47"/>
        <v>2.080426693864277E-3</v>
      </c>
      <c r="M93" s="55">
        <f t="shared" ref="M93:M127" si="52">IF(D93=0,"",1-L93)</f>
        <v>0.99791957330613568</v>
      </c>
      <c r="N93" s="55">
        <f t="shared" si="48"/>
        <v>7.0087410262056535E-4</v>
      </c>
      <c r="O93" s="56">
        <f t="shared" ref="O93:O127" si="53">IF(D93=0,"",F93*K93*$J$7/$J$14)</f>
        <v>5.6383179188509715E-7</v>
      </c>
      <c r="P93" s="56">
        <f t="shared" si="49"/>
        <v>1.4880994937397759E-6</v>
      </c>
      <c r="Q93" s="56">
        <f t="shared" si="50"/>
        <v>1.00265046623462E-4</v>
      </c>
      <c r="R93" s="9">
        <f>F93*$C$14</f>
        <v>3.9999999999999996E-5</v>
      </c>
      <c r="S93" s="9">
        <f t="shared" si="39"/>
        <v>8.321706775457107E-8</v>
      </c>
      <c r="T93" s="9">
        <f t="shared" si="40"/>
        <v>2.2405078618060009E-5</v>
      </c>
      <c r="U93" s="9">
        <f t="shared" si="41"/>
        <v>3.9916782932245425E-5</v>
      </c>
      <c r="V93" s="102">
        <f t="shared" si="42"/>
        <v>0.56129469792418629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214</v>
      </c>
      <c r="C94" s="46" t="s">
        <v>215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216</v>
      </c>
      <c r="C95" s="46" t="s">
        <v>217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218</v>
      </c>
      <c r="C96" s="46" t="s">
        <v>219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220</v>
      </c>
      <c r="C97" s="46" t="s">
        <v>221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222</v>
      </c>
      <c r="C98" s="46" t="s">
        <v>223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224</v>
      </c>
      <c r="C99" s="46" t="s">
        <v>225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226</v>
      </c>
      <c r="C100" s="46" t="s">
        <v>227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228</v>
      </c>
      <c r="C101" s="46" t="s">
        <v>229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230</v>
      </c>
      <c r="C102" s="46" t="s">
        <v>231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232</v>
      </c>
      <c r="C103" s="46" t="s">
        <v>233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234</v>
      </c>
      <c r="C104" s="46" t="s">
        <v>235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236</v>
      </c>
      <c r="C105" s="46" t="s">
        <v>237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238</v>
      </c>
      <c r="C106" s="46" t="s">
        <v>239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240</v>
      </c>
      <c r="C107" s="46" t="s">
        <v>241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1.9065682325616583E-2</v>
      </c>
      <c r="J107" s="54">
        <f t="shared" si="45"/>
        <v>4.0258937016961469E-2</v>
      </c>
      <c r="K107" s="55">
        <f t="shared" si="46"/>
        <v>0.95069426826409331</v>
      </c>
      <c r="L107" s="55">
        <f t="shared" si="47"/>
        <v>1.4678556216316668E-3</v>
      </c>
      <c r="M107" s="55">
        <f t="shared" si="52"/>
        <v>0.99853214437836835</v>
      </c>
      <c r="N107" s="55">
        <f t="shared" si="48"/>
        <v>7.8163933714719085E-5</v>
      </c>
      <c r="O107" s="56">
        <f t="shared" si="53"/>
        <v>9.569824091188988E-7</v>
      </c>
      <c r="P107" s="56">
        <f t="shared" si="49"/>
        <v>1.0499361567871075E-6</v>
      </c>
      <c r="Q107" s="56">
        <f t="shared" si="50"/>
        <v>1.118190903170281E-5</v>
      </c>
      <c r="R107" s="9">
        <f>F107*$C$14</f>
        <v>3.9999999999999996E-5</v>
      </c>
      <c r="S107" s="9">
        <f t="shared" ref="S107:S108" si="54">$R107*L107</f>
        <v>5.8714224865266666E-8</v>
      </c>
      <c r="T107" s="9">
        <f t="shared" ref="T107:T108" si="55">R107*K107</f>
        <v>3.8027770730563728E-5</v>
      </c>
      <c r="U107" s="9">
        <f t="shared" ref="U107:U108" si="56">$R107*M107</f>
        <v>3.9941285775134733E-5</v>
      </c>
      <c r="V107" s="102">
        <f t="shared" ref="V107:V108" si="57">K107/M107</f>
        <v>0.95209180156733331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242</v>
      </c>
      <c r="C108" s="46" t="s">
        <v>243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0.13401854480859055</v>
      </c>
      <c r="J108" s="54">
        <f t="shared" si="45"/>
        <v>0.28643381699467835</v>
      </c>
      <c r="K108" s="55">
        <f t="shared" si="46"/>
        <v>0.72922775644222826</v>
      </c>
      <c r="L108" s="55">
        <f t="shared" si="47"/>
        <v>1.9846344952509335E-3</v>
      </c>
      <c r="M108" s="55">
        <f t="shared" si="52"/>
        <v>0.99801536550474912</v>
      </c>
      <c r="N108" s="55">
        <f t="shared" si="48"/>
        <v>6.1597873980510616E-4</v>
      </c>
      <c r="O108" s="56">
        <f t="shared" si="53"/>
        <v>7.3405105979096446E-7</v>
      </c>
      <c r="P108" s="56">
        <f t="shared" si="49"/>
        <v>1.4195807025316318E-6</v>
      </c>
      <c r="Q108" s="56">
        <f t="shared" si="50"/>
        <v>8.812015857726188E-5</v>
      </c>
      <c r="R108" s="9">
        <f>F108*$C$14</f>
        <v>3.9999999999999996E-5</v>
      </c>
      <c r="S108" s="9">
        <f t="shared" si="54"/>
        <v>7.9385379810037332E-8</v>
      </c>
      <c r="T108" s="9">
        <f t="shared" si="55"/>
        <v>2.9169110257689129E-5</v>
      </c>
      <c r="U108" s="9">
        <f t="shared" si="56"/>
        <v>3.9920614620189959E-5</v>
      </c>
      <c r="V108" s="102">
        <f t="shared" si="57"/>
        <v>0.73067788497767194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244</v>
      </c>
      <c r="C109" s="46" t="s">
        <v>245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246</v>
      </c>
      <c r="C110" s="46" t="s">
        <v>247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248</v>
      </c>
      <c r="C111" s="46" t="s">
        <v>249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250</v>
      </c>
      <c r="C112" s="46" t="s">
        <v>251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252</v>
      </c>
      <c r="C113" s="46" t="s">
        <v>253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254</v>
      </c>
      <c r="C114" s="46" t="s">
        <v>255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9.3867444440884892E-2</v>
      </c>
      <c r="J114" s="54">
        <f t="shared" si="45"/>
        <v>0.22591684515469179</v>
      </c>
      <c r="K114" s="55">
        <f t="shared" si="46"/>
        <v>0.79993330458564582</v>
      </c>
      <c r="L114" s="55">
        <f t="shared" si="47"/>
        <v>1.8938873869045281E-3</v>
      </c>
      <c r="M114" s="55">
        <f t="shared" si="52"/>
        <v>0.99810611261309545</v>
      </c>
      <c r="N114" s="55">
        <f t="shared" si="48"/>
        <v>5.2521402036811646E-4</v>
      </c>
      <c r="O114" s="56">
        <f t="shared" si="53"/>
        <v>8.0522427294592552E-7</v>
      </c>
      <c r="P114" s="56">
        <f t="shared" si="49"/>
        <v>1.3546705923187101E-6</v>
      </c>
      <c r="Q114" s="56">
        <f t="shared" si="50"/>
        <v>7.5135617142375972E-5</v>
      </c>
      <c r="R114" s="9">
        <f>F114*$C$14</f>
        <v>3.9999999999999996E-5</v>
      </c>
      <c r="S114" s="9">
        <f t="shared" ref="S114:S116" si="58">$R114*L114</f>
        <v>7.5755495476181119E-8</v>
      </c>
      <c r="T114" s="9">
        <f t="shared" ref="T114:T116" si="59">R114*K114</f>
        <v>3.1997332183425832E-5</v>
      </c>
      <c r="U114" s="9">
        <f t="shared" ref="U114:U116" si="60">$R114*M114</f>
        <v>3.9924244504523811E-5</v>
      </c>
      <c r="V114" s="102">
        <f t="shared" ref="V114:V116" si="61">K114/M114</f>
        <v>0.8014511628341574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256</v>
      </c>
      <c r="C115" s="46" t="s">
        <v>257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0.17110445915344102</v>
      </c>
      <c r="J115" s="54">
        <f t="shared" si="45"/>
        <v>0.24488252340606687</v>
      </c>
      <c r="K115" s="55">
        <f t="shared" si="46"/>
        <v>0.66976130395549349</v>
      </c>
      <c r="L115" s="55">
        <f t="shared" si="47"/>
        <v>1.6564796445189415E-3</v>
      </c>
      <c r="M115" s="55">
        <f t="shared" si="52"/>
        <v>0.99834352035548102</v>
      </c>
      <c r="N115" s="55">
        <f t="shared" si="48"/>
        <v>2.5134461464809091E-4</v>
      </c>
      <c r="O115" s="56">
        <f t="shared" si="53"/>
        <v>6.741912806146148E-7</v>
      </c>
      <c r="P115" s="56">
        <f t="shared" si="49"/>
        <v>1.1848562257294768E-6</v>
      </c>
      <c r="Q115" s="56">
        <f t="shared" si="50"/>
        <v>3.5956642444085458E-5</v>
      </c>
      <c r="R115" s="9">
        <f>F115*$C$14</f>
        <v>3.9999999999999996E-5</v>
      </c>
      <c r="S115" s="9">
        <f t="shared" si="58"/>
        <v>6.6259185780757656E-8</v>
      </c>
      <c r="T115" s="9">
        <f t="shared" si="59"/>
        <v>2.6790452158219736E-5</v>
      </c>
      <c r="U115" s="9">
        <f t="shared" si="60"/>
        <v>3.9933740814219239E-5</v>
      </c>
      <c r="V115" s="102">
        <f t="shared" si="61"/>
        <v>0.67087259074613015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258</v>
      </c>
      <c r="C116" s="46" t="s">
        <v>259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5.8063156695311677E-3</v>
      </c>
      <c r="J116" s="54">
        <f t="shared" si="45"/>
        <v>6.9342980082594723E-3</v>
      </c>
      <c r="K116" s="55">
        <f t="shared" si="46"/>
        <v>0.98023233846933744</v>
      </c>
      <c r="L116" s="55">
        <f t="shared" si="47"/>
        <v>1.4016734654030642E-3</v>
      </c>
      <c r="M116" s="55">
        <f t="shared" si="52"/>
        <v>0.9985983265345969</v>
      </c>
      <c r="N116" s="55">
        <f t="shared" si="48"/>
        <v>9.4236155094971974E-6</v>
      </c>
      <c r="O116" s="56">
        <f t="shared" si="53"/>
        <v>9.8671585185580738E-7</v>
      </c>
      <c r="P116" s="56">
        <f t="shared" si="49"/>
        <v>1.002597005896163E-6</v>
      </c>
      <c r="Q116" s="56">
        <f t="shared" si="50"/>
        <v>1.3481155101729273E-6</v>
      </c>
      <c r="R116" s="9">
        <f>F116*$C$14</f>
        <v>3.9999999999999996E-5</v>
      </c>
      <c r="S116" s="9">
        <f t="shared" si="58"/>
        <v>5.6066938616122563E-8</v>
      </c>
      <c r="T116" s="9">
        <f t="shared" si="59"/>
        <v>3.9209293538773492E-5</v>
      </c>
      <c r="U116" s="9">
        <f t="shared" si="60"/>
        <v>3.9943933061383874E-5</v>
      </c>
      <c r="V116" s="102">
        <f t="shared" si="61"/>
        <v>0.98160823268250974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260</v>
      </c>
      <c r="C117" s="46" t="s">
        <v>261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262</v>
      </c>
      <c r="C118" s="46" t="s">
        <v>263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264</v>
      </c>
      <c r="C119" s="46" t="s">
        <v>265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1.4450204174697026</v>
      </c>
      <c r="J119" s="54">
        <f t="shared" si="45"/>
        <v>2.094216282910164</v>
      </c>
      <c r="K119" s="55">
        <f t="shared" si="46"/>
        <v>3.5483107656478503E-2</v>
      </c>
      <c r="L119" s="55">
        <f t="shared" si="47"/>
        <v>6.203281073382123E-3</v>
      </c>
      <c r="M119" s="55">
        <f t="shared" si="52"/>
        <v>0.99379671892661792</v>
      </c>
      <c r="N119" s="55">
        <f t="shared" si="48"/>
        <v>5.1350914361490592E-3</v>
      </c>
      <c r="O119" s="56">
        <f t="shared" si="53"/>
        <v>3.5717802222711219E-8</v>
      </c>
      <c r="P119" s="56">
        <f t="shared" si="49"/>
        <v>4.4371183334891858E-6</v>
      </c>
      <c r="Q119" s="56">
        <f t="shared" si="50"/>
        <v>7.3461150916566669E-4</v>
      </c>
      <c r="R119" s="9">
        <f>F119*$C$14</f>
        <v>3.9999999999999996E-5</v>
      </c>
      <c r="S119" s="9">
        <f t="shared" ref="S119:S121" si="62">$R119*L119</f>
        <v>2.4813124293528488E-7</v>
      </c>
      <c r="T119" s="9">
        <f t="shared" ref="T119:T121" si="63">R119*K119</f>
        <v>1.41932430625914E-6</v>
      </c>
      <c r="U119" s="9">
        <f t="shared" ref="U119:U121" si="64">$R119*M119</f>
        <v>3.9751868757064713E-5</v>
      </c>
      <c r="V119" s="102">
        <f t="shared" ref="V119:V121" si="65">K119/M119</f>
        <v>3.5704593284231381E-2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266</v>
      </c>
      <c r="C120" s="46" t="s">
        <v>267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0.19210968761462099</v>
      </c>
      <c r="J120" s="54">
        <f t="shared" si="45"/>
        <v>0.37045470607538694</v>
      </c>
      <c r="K120" s="55">
        <f t="shared" si="46"/>
        <v>0.6378506799615693</v>
      </c>
      <c r="L120" s="55">
        <f t="shared" si="47"/>
        <v>2.1064795960279823E-3</v>
      </c>
      <c r="M120" s="55">
        <f t="shared" si="52"/>
        <v>0.99789352040397206</v>
      </c>
      <c r="N120" s="55">
        <f t="shared" si="48"/>
        <v>7.3825866844419127E-4</v>
      </c>
      <c r="O120" s="56">
        <f t="shared" si="53"/>
        <v>6.420695913969517E-7</v>
      </c>
      <c r="P120" s="56">
        <f t="shared" si="49"/>
        <v>1.5067347624731579E-6</v>
      </c>
      <c r="Q120" s="56">
        <f t="shared" si="50"/>
        <v>1.0561317579714471E-4</v>
      </c>
      <c r="R120" s="9">
        <f>F120*$C$14</f>
        <v>3.9999999999999996E-5</v>
      </c>
      <c r="S120" s="9">
        <f t="shared" si="62"/>
        <v>8.4259183841119283E-8</v>
      </c>
      <c r="T120" s="9">
        <f t="shared" si="63"/>
        <v>2.5514027198462771E-5</v>
      </c>
      <c r="U120" s="9">
        <f t="shared" si="64"/>
        <v>3.9915740816158878E-5</v>
      </c>
      <c r="V120" s="102">
        <f t="shared" si="65"/>
        <v>0.63919713568573078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268</v>
      </c>
      <c r="C121" s="46" t="s">
        <v>269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1.9943504269299017</v>
      </c>
      <c r="J121" s="54">
        <f t="shared" si="45"/>
        <v>2.5297227295182512</v>
      </c>
      <c r="K121" s="55">
        <f t="shared" si="46"/>
        <v>1.0030283687064849E-2</v>
      </c>
      <c r="L121" s="55">
        <f t="shared" si="47"/>
        <v>4.7799072960148731E-3</v>
      </c>
      <c r="M121" s="55">
        <f t="shared" si="52"/>
        <v>0.99522009270398515</v>
      </c>
      <c r="N121" s="55">
        <f t="shared" si="48"/>
        <v>3.5803521851249021E-3</v>
      </c>
      <c r="O121" s="56">
        <f t="shared" si="53"/>
        <v>1.0096626610066885E-8</v>
      </c>
      <c r="P121" s="56">
        <f t="shared" si="49"/>
        <v>3.418999404449496E-6</v>
      </c>
      <c r="Q121" s="56">
        <f t="shared" si="50"/>
        <v>5.1219495402629654E-4</v>
      </c>
      <c r="R121" s="9">
        <f>F121*$C$14</f>
        <v>3.9999999999999996E-5</v>
      </c>
      <c r="S121" s="9">
        <f t="shared" si="62"/>
        <v>1.911962918405949E-7</v>
      </c>
      <c r="T121" s="9">
        <f t="shared" si="63"/>
        <v>4.0121134748259389E-7</v>
      </c>
      <c r="U121" s="9">
        <f t="shared" si="64"/>
        <v>3.9808803708159401E-5</v>
      </c>
      <c r="V121" s="102">
        <f t="shared" si="65"/>
        <v>1.0078457780944563E-2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270</v>
      </c>
      <c r="C122" s="46" t="s">
        <v>271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272</v>
      </c>
      <c r="C123" s="46" t="s">
        <v>273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274</v>
      </c>
      <c r="C124" s="46" t="s">
        <v>275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0.68104843309954888</v>
      </c>
      <c r="J124" s="54">
        <f t="shared" si="67"/>
        <v>1.2572371673508673</v>
      </c>
      <c r="K124" s="55">
        <f t="shared" si="68"/>
        <v>0.20625795024653948</v>
      </c>
      <c r="L124" s="55">
        <f t="shared" si="69"/>
        <v>5.2484539702199818E-3</v>
      </c>
      <c r="M124" s="55">
        <f t="shared" si="52"/>
        <v>0.99475154602978</v>
      </c>
      <c r="N124" s="55">
        <f t="shared" si="70"/>
        <v>4.1138478913393889E-3</v>
      </c>
      <c r="O124" s="56">
        <f t="shared" si="53"/>
        <v>2.076221943435844E-7</v>
      </c>
      <c r="P124" s="56">
        <f t="shared" si="71"/>
        <v>3.754144146984492E-6</v>
      </c>
      <c r="Q124" s="56">
        <f t="shared" si="72"/>
        <v>5.8851532548389468E-4</v>
      </c>
      <c r="R124" s="9">
        <f>F124*$C$14</f>
        <v>3.9999999999999996E-5</v>
      </c>
      <c r="S124" s="9">
        <f t="shared" ref="S124:S127" si="73">$R124*L124</f>
        <v>2.0993815880879926E-7</v>
      </c>
      <c r="T124" s="9">
        <f t="shared" ref="T124:T127" si="74">R124*K124</f>
        <v>8.2503180098615782E-6</v>
      </c>
      <c r="U124" s="9">
        <f t="shared" ref="U124:U127" si="75">$R124*M124</f>
        <v>3.9790061841191195E-5</v>
      </c>
      <c r="V124" s="102">
        <f t="shared" ref="V124:V127" si="76">K124/M124</f>
        <v>0.20734619721854114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276</v>
      </c>
      <c r="C125" s="46" t="s">
        <v>277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278</v>
      </c>
      <c r="C126" s="46" t="s">
        <v>279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0.34290559098075568</v>
      </c>
      <c r="J126" s="54">
        <f t="shared" si="67"/>
        <v>0.63134408871011904</v>
      </c>
      <c r="K126" s="55">
        <f t="shared" si="68"/>
        <v>0.45046312557877743</v>
      </c>
      <c r="L126" s="55">
        <f t="shared" si="69"/>
        <v>2.7126069022323116E-3</v>
      </c>
      <c r="M126" s="55">
        <f t="shared" si="52"/>
        <v>0.9972873930977677</v>
      </c>
      <c r="N126" s="55">
        <f t="shared" si="70"/>
        <v>1.3774212480384856E-3</v>
      </c>
      <c r="O126" s="56">
        <f t="shared" si="53"/>
        <v>4.5344260665707135E-7</v>
      </c>
      <c r="P126" s="56">
        <f t="shared" si="71"/>
        <v>1.9402889656395984E-6</v>
      </c>
      <c r="Q126" s="56">
        <f t="shared" si="72"/>
        <v>1.970499482551056E-4</v>
      </c>
      <c r="R126" s="9">
        <f>F126*$C$14</f>
        <v>3.9999999999999996E-5</v>
      </c>
      <c r="S126" s="9">
        <f t="shared" si="73"/>
        <v>1.0850427608929245E-7</v>
      </c>
      <c r="T126" s="9">
        <f t="shared" si="74"/>
        <v>1.8018525023151096E-5</v>
      </c>
      <c r="U126" s="9">
        <f t="shared" si="75"/>
        <v>3.9891495723910707E-5</v>
      </c>
      <c r="V126" s="102">
        <f t="shared" si="76"/>
        <v>0.45168837859220479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280</v>
      </c>
      <c r="C127" s="46" t="s">
        <v>281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5.456801422185465E-4</v>
      </c>
      <c r="J127" s="54">
        <f t="shared" si="67"/>
        <v>9.5943034079013759E-4</v>
      </c>
      <c r="K127" s="55">
        <f t="shared" si="68"/>
        <v>0.99218044193343025</v>
      </c>
      <c r="L127" s="55">
        <f t="shared" si="69"/>
        <v>1.3993734184747485E-3</v>
      </c>
      <c r="M127" s="55">
        <f t="shared" si="52"/>
        <v>0.99860062658152526</v>
      </c>
      <c r="N127" s="55">
        <f t="shared" si="70"/>
        <v>8.2966581120842292E-6</v>
      </c>
      <c r="O127" s="56">
        <f t="shared" si="53"/>
        <v>9.9874298320513955E-7</v>
      </c>
      <c r="P127" s="56">
        <f t="shared" si="71"/>
        <v>1.0009518151861523E-6</v>
      </c>
      <c r="Q127" s="56">
        <f t="shared" si="72"/>
        <v>1.1868962047773065E-6</v>
      </c>
      <c r="R127" s="9">
        <f>F127*$C$14</f>
        <v>3.9999999999999996E-5</v>
      </c>
      <c r="S127" s="9">
        <f t="shared" si="73"/>
        <v>5.5974936738989934E-8</v>
      </c>
      <c r="T127" s="9">
        <f t="shared" si="74"/>
        <v>3.9687217677337209E-5</v>
      </c>
      <c r="U127" s="9">
        <f t="shared" si="75"/>
        <v>3.9944025063261005E-5</v>
      </c>
      <c r="V127" s="102">
        <f t="shared" si="76"/>
        <v>0.99357081852624807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282</v>
      </c>
      <c r="C128" s="46" t="s">
        <v>283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284</v>
      </c>
      <c r="C129" s="46" t="s">
        <v>285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286</v>
      </c>
      <c r="C130" s="46" t="s">
        <v>287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2.0637855846763784E-2</v>
      </c>
      <c r="J130" s="54">
        <f t="shared" si="78"/>
        <v>3.1510352752518005E-2</v>
      </c>
      <c r="K130" s="55">
        <f t="shared" si="79"/>
        <v>0.94729157125006624</v>
      </c>
      <c r="L130" s="55">
        <f t="shared" si="80"/>
        <v>1.4334335125400417E-3</v>
      </c>
      <c r="M130" s="55">
        <f t="shared" si="81"/>
        <v>0.99856656648746001</v>
      </c>
      <c r="N130" s="55">
        <f t="shared" si="82"/>
        <v>4.0242894052720378E-5</v>
      </c>
      <c r="O130" s="56">
        <f t="shared" si="83"/>
        <v>9.5355720577573453E-7</v>
      </c>
      <c r="P130" s="56">
        <f t="shared" si="84"/>
        <v>1.0253145138982841E-6</v>
      </c>
      <c r="Q130" s="56">
        <f t="shared" si="85"/>
        <v>5.7570334434848819E-6</v>
      </c>
      <c r="R130" s="9">
        <f>F130*$C$14</f>
        <v>3.9999999999999996E-5</v>
      </c>
      <c r="S130" s="9">
        <f t="shared" ref="S130:S131" si="86">$R130*L130</f>
        <v>5.7337340501601663E-8</v>
      </c>
      <c r="T130" s="9">
        <f t="shared" ref="T130:T131" si="87">R130*K130</f>
        <v>3.7891662850002649E-5</v>
      </c>
      <c r="U130" s="9">
        <f t="shared" ref="U130:U131" si="88">$R130*M130</f>
        <v>3.9942662659498398E-5</v>
      </c>
      <c r="V130" s="102">
        <f t="shared" ref="V130:V131" si="89">K130/M130</f>
        <v>0.94865139995848469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288</v>
      </c>
      <c r="C131" s="46" t="s">
        <v>289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-5.8338548275705044E-4</v>
      </c>
      <c r="J131" s="54">
        <f t="shared" si="78"/>
        <v>-1.4833307878910978E-3</v>
      </c>
      <c r="K131" s="55">
        <f t="shared" si="79"/>
        <v>0.99476744289107122</v>
      </c>
      <c r="L131" s="55">
        <f t="shared" si="80"/>
        <v>1.3951527522411582E-3</v>
      </c>
      <c r="M131" s="55">
        <f t="shared" si="81"/>
        <v>0.99860484724775889</v>
      </c>
      <c r="N131" s="55">
        <f t="shared" si="82"/>
        <v>3.9941106795083628E-6</v>
      </c>
      <c r="O131" s="56">
        <f t="shared" si="83"/>
        <v>1.0013470952645891E-6</v>
      </c>
      <c r="P131" s="56">
        <f t="shared" si="84"/>
        <v>9.9793283292449654E-7</v>
      </c>
      <c r="Q131" s="56">
        <f t="shared" si="85"/>
        <v>5.713860620656677E-7</v>
      </c>
      <c r="R131" s="9">
        <f>F131*$C$14</f>
        <v>3.9999999999999996E-5</v>
      </c>
      <c r="S131" s="9">
        <f t="shared" si="86"/>
        <v>5.5806110089646326E-8</v>
      </c>
      <c r="T131" s="9">
        <f t="shared" si="87"/>
        <v>3.9790697715642847E-5</v>
      </c>
      <c r="U131" s="9">
        <f t="shared" si="88"/>
        <v>3.9944193889910355E-5</v>
      </c>
      <c r="V131" s="102">
        <f t="shared" si="89"/>
        <v>0.99615723439830695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290</v>
      </c>
      <c r="C132" s="46" t="s">
        <v>291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292</v>
      </c>
      <c r="C133" s="46" t="s">
        <v>293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97</v>
      </c>
      <c r="C134" s="46" t="s">
        <v>294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2024-10-28T22:56:06Z</dcterms:modified>
</cp:coreProperties>
</file>