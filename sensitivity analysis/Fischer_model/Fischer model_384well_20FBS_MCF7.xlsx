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F5FA1D29-2A64-4BD2-AFA9-1A6FCB934621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S142" i="4" s="1"/>
  <c r="V141" i="4"/>
  <c r="U141" i="4"/>
  <c r="R141" i="4"/>
  <c r="T141" i="4" s="1"/>
  <c r="V140" i="4"/>
  <c r="R140" i="4"/>
  <c r="U140" i="4" s="1"/>
  <c r="V139" i="4"/>
  <c r="U139" i="4"/>
  <c r="T139" i="4"/>
  <c r="S139" i="4"/>
  <c r="R139" i="4"/>
  <c r="V138" i="4"/>
  <c r="U138" i="4"/>
  <c r="T138" i="4"/>
  <c r="R138" i="4"/>
  <c r="S138" i="4" s="1"/>
  <c r="V137" i="4"/>
  <c r="R137" i="4"/>
  <c r="U137" i="4" s="1"/>
  <c r="V136" i="4"/>
  <c r="R136" i="4"/>
  <c r="U136" i="4" s="1"/>
  <c r="V135" i="4"/>
  <c r="R135" i="4"/>
  <c r="U135" i="4" s="1"/>
  <c r="V134" i="4"/>
  <c r="U134" i="4"/>
  <c r="T134" i="4"/>
  <c r="R134" i="4"/>
  <c r="S134" i="4" s="1"/>
  <c r="V133" i="4"/>
  <c r="U133" i="4"/>
  <c r="S133" i="4"/>
  <c r="R133" i="4"/>
  <c r="T133" i="4" s="1"/>
  <c r="V132" i="4"/>
  <c r="R132" i="4"/>
  <c r="U132" i="4" s="1"/>
  <c r="V131" i="4"/>
  <c r="U131" i="4"/>
  <c r="T131" i="4"/>
  <c r="S131" i="4"/>
  <c r="R131" i="4"/>
  <c r="V130" i="4"/>
  <c r="R130" i="4"/>
  <c r="U130" i="4" s="1"/>
  <c r="V129" i="4"/>
  <c r="U129" i="4"/>
  <c r="R129" i="4"/>
  <c r="T129" i="4" s="1"/>
  <c r="V128" i="4"/>
  <c r="R128" i="4"/>
  <c r="U128" i="4" s="1"/>
  <c r="V127" i="4"/>
  <c r="U127" i="4"/>
  <c r="T127" i="4"/>
  <c r="S127" i="4"/>
  <c r="R127" i="4"/>
  <c r="V126" i="4"/>
  <c r="U126" i="4"/>
  <c r="T126" i="4"/>
  <c r="R126" i="4"/>
  <c r="S126" i="4" s="1"/>
  <c r="V125" i="4"/>
  <c r="R125" i="4"/>
  <c r="U125" i="4" s="1"/>
  <c r="V124" i="4"/>
  <c r="R124" i="4"/>
  <c r="U124" i="4" s="1"/>
  <c r="V123" i="4"/>
  <c r="R123" i="4"/>
  <c r="U123" i="4" s="1"/>
  <c r="V122" i="4"/>
  <c r="U122" i="4"/>
  <c r="T122" i="4"/>
  <c r="R122" i="4"/>
  <c r="S122" i="4" s="1"/>
  <c r="V121" i="4"/>
  <c r="U121" i="4"/>
  <c r="S121" i="4"/>
  <c r="R121" i="4"/>
  <c r="T121" i="4" s="1"/>
  <c r="V120" i="4"/>
  <c r="R120" i="4"/>
  <c r="U120" i="4" s="1"/>
  <c r="V119" i="4"/>
  <c r="U119" i="4"/>
  <c r="T119" i="4"/>
  <c r="S119" i="4"/>
  <c r="R119" i="4"/>
  <c r="V118" i="4"/>
  <c r="R118" i="4"/>
  <c r="S118" i="4" s="1"/>
  <c r="V117" i="4"/>
  <c r="U117" i="4"/>
  <c r="R117" i="4"/>
  <c r="T117" i="4" s="1"/>
  <c r="V116" i="4"/>
  <c r="R116" i="4"/>
  <c r="U116" i="4" s="1"/>
  <c r="V115" i="4"/>
  <c r="U115" i="4"/>
  <c r="T115" i="4"/>
  <c r="S115" i="4"/>
  <c r="R115" i="4"/>
  <c r="V114" i="4"/>
  <c r="U114" i="4"/>
  <c r="T114" i="4"/>
  <c r="R114" i="4"/>
  <c r="S114" i="4" s="1"/>
  <c r="V113" i="4"/>
  <c r="R113" i="4"/>
  <c r="T113" i="4" s="1"/>
  <c r="V112" i="4"/>
  <c r="R112" i="4"/>
  <c r="U112" i="4" s="1"/>
  <c r="V111" i="4"/>
  <c r="R111" i="4"/>
  <c r="U111" i="4" s="1"/>
  <c r="V110" i="4"/>
  <c r="U110" i="4"/>
  <c r="T110" i="4"/>
  <c r="R110" i="4"/>
  <c r="S110" i="4" s="1"/>
  <c r="V109" i="4"/>
  <c r="U109" i="4"/>
  <c r="S109" i="4"/>
  <c r="R109" i="4"/>
  <c r="T109" i="4" s="1"/>
  <c r="V108" i="4"/>
  <c r="R108" i="4"/>
  <c r="U108" i="4" s="1"/>
  <c r="R107" i="4"/>
  <c r="V106" i="4"/>
  <c r="U106" i="4"/>
  <c r="T106" i="4"/>
  <c r="R106" i="4"/>
  <c r="S106" i="4" s="1"/>
  <c r="V105" i="4"/>
  <c r="R105" i="4"/>
  <c r="U105" i="4" s="1"/>
  <c r="V104" i="4"/>
  <c r="R104" i="4"/>
  <c r="U104" i="4" s="1"/>
  <c r="V103" i="4"/>
  <c r="R103" i="4"/>
  <c r="U103" i="4" s="1"/>
  <c r="V102" i="4"/>
  <c r="U102" i="4"/>
  <c r="T102" i="4"/>
  <c r="R102" i="4"/>
  <c r="S102" i="4" s="1"/>
  <c r="V101" i="4"/>
  <c r="U101" i="4"/>
  <c r="S101" i="4"/>
  <c r="R101" i="4"/>
  <c r="T101" i="4" s="1"/>
  <c r="R100" i="4"/>
  <c r="V99" i="4"/>
  <c r="U99" i="4"/>
  <c r="T99" i="4"/>
  <c r="S99" i="4"/>
  <c r="R99" i="4"/>
  <c r="V98" i="4"/>
  <c r="U98" i="4"/>
  <c r="T98" i="4"/>
  <c r="R98" i="4"/>
  <c r="S98" i="4" s="1"/>
  <c r="R97" i="4"/>
  <c r="V96" i="4"/>
  <c r="R96" i="4"/>
  <c r="U96" i="4" s="1"/>
  <c r="V95" i="4"/>
  <c r="U95" i="4"/>
  <c r="T95" i="4"/>
  <c r="S95" i="4"/>
  <c r="R95" i="4"/>
  <c r="V94" i="4"/>
  <c r="R94" i="4"/>
  <c r="T94" i="4" s="1"/>
  <c r="V93" i="4"/>
  <c r="U93" i="4"/>
  <c r="R93" i="4"/>
  <c r="T93" i="4" s="1"/>
  <c r="V92" i="4"/>
  <c r="R92" i="4"/>
  <c r="U92" i="4" s="1"/>
  <c r="V91" i="4"/>
  <c r="U91" i="4"/>
  <c r="T91" i="4"/>
  <c r="S91" i="4"/>
  <c r="R91" i="4"/>
  <c r="V90" i="4"/>
  <c r="U90" i="4"/>
  <c r="T90" i="4"/>
  <c r="R90" i="4"/>
  <c r="S90" i="4" s="1"/>
  <c r="V89" i="4"/>
  <c r="R89" i="4"/>
  <c r="U89" i="4" s="1"/>
  <c r="V88" i="4"/>
  <c r="R88" i="4"/>
  <c r="U88" i="4" s="1"/>
  <c r="V87" i="4"/>
  <c r="R87" i="4"/>
  <c r="U87" i="4" s="1"/>
  <c r="V86" i="4"/>
  <c r="U86" i="4"/>
  <c r="T86" i="4"/>
  <c r="R86" i="4"/>
  <c r="S86" i="4" s="1"/>
  <c r="V85" i="4"/>
  <c r="U85" i="4"/>
  <c r="S85" i="4"/>
  <c r="R85" i="4"/>
  <c r="T85" i="4" s="1"/>
  <c r="V84" i="4"/>
  <c r="R84" i="4"/>
  <c r="U84" i="4" s="1"/>
  <c r="V83" i="4"/>
  <c r="U83" i="4"/>
  <c r="T83" i="4"/>
  <c r="S83" i="4"/>
  <c r="R83" i="4"/>
  <c r="V82" i="4"/>
  <c r="R82" i="4"/>
  <c r="S82" i="4" s="1"/>
  <c r="V81" i="4"/>
  <c r="U81" i="4"/>
  <c r="R81" i="4"/>
  <c r="T81" i="4" s="1"/>
  <c r="V80" i="4"/>
  <c r="R80" i="4"/>
  <c r="U80" i="4" s="1"/>
  <c r="V79" i="4"/>
  <c r="U79" i="4"/>
  <c r="T79" i="4"/>
  <c r="S79" i="4"/>
  <c r="R79" i="4"/>
  <c r="V78" i="4"/>
  <c r="U78" i="4"/>
  <c r="T78" i="4"/>
  <c r="R78" i="4"/>
  <c r="S78" i="4" s="1"/>
  <c r="V77" i="4"/>
  <c r="R77" i="4"/>
  <c r="U77" i="4" s="1"/>
  <c r="V76" i="4"/>
  <c r="R76" i="4"/>
  <c r="U76" i="4" s="1"/>
  <c r="V75" i="4"/>
  <c r="R75" i="4"/>
  <c r="U75" i="4" s="1"/>
  <c r="V74" i="4"/>
  <c r="U74" i="4"/>
  <c r="T74" i="4"/>
  <c r="R74" i="4"/>
  <c r="S74" i="4" s="1"/>
  <c r="V73" i="4"/>
  <c r="U73" i="4"/>
  <c r="S73" i="4"/>
  <c r="R73" i="4"/>
  <c r="T73" i="4" s="1"/>
  <c r="V72" i="4"/>
  <c r="R72" i="4"/>
  <c r="U72" i="4" s="1"/>
  <c r="V71" i="4"/>
  <c r="U71" i="4"/>
  <c r="T71" i="4"/>
  <c r="S71" i="4"/>
  <c r="R71" i="4"/>
  <c r="V70" i="4"/>
  <c r="R70" i="4"/>
  <c r="S70" i="4" s="1"/>
  <c r="V69" i="4"/>
  <c r="U69" i="4"/>
  <c r="R69" i="4"/>
  <c r="T69" i="4" s="1"/>
  <c r="V68" i="4"/>
  <c r="R68" i="4"/>
  <c r="U68" i="4" s="1"/>
  <c r="V67" i="4"/>
  <c r="U67" i="4"/>
  <c r="T67" i="4"/>
  <c r="S67" i="4"/>
  <c r="R67" i="4"/>
  <c r="V66" i="4"/>
  <c r="U66" i="4"/>
  <c r="T66" i="4"/>
  <c r="R66" i="4"/>
  <c r="S66" i="4" s="1"/>
  <c r="V65" i="4"/>
  <c r="R65" i="4"/>
  <c r="U65" i="4" s="1"/>
  <c r="V64" i="4"/>
  <c r="R64" i="4"/>
  <c r="U64" i="4" s="1"/>
  <c r="V63" i="4"/>
  <c r="R63" i="4"/>
  <c r="U63" i="4" s="1"/>
  <c r="V62" i="4"/>
  <c r="U62" i="4"/>
  <c r="T62" i="4"/>
  <c r="R62" i="4"/>
  <c r="S62" i="4" s="1"/>
  <c r="V61" i="4"/>
  <c r="U61" i="4"/>
  <c r="S61" i="4"/>
  <c r="R61" i="4"/>
  <c r="T61" i="4" s="1"/>
  <c r="V60" i="4"/>
  <c r="R60" i="4"/>
  <c r="U60" i="4" s="1"/>
  <c r="V59" i="4"/>
  <c r="U59" i="4"/>
  <c r="T59" i="4"/>
  <c r="S59" i="4"/>
  <c r="R59" i="4"/>
  <c r="V58" i="4"/>
  <c r="R58" i="4"/>
  <c r="T58" i="4" s="1"/>
  <c r="V57" i="4"/>
  <c r="U57" i="4"/>
  <c r="R57" i="4"/>
  <c r="T57" i="4" s="1"/>
  <c r="V56" i="4"/>
  <c r="R56" i="4"/>
  <c r="U56" i="4" s="1"/>
  <c r="V55" i="4"/>
  <c r="U55" i="4"/>
  <c r="T55" i="4"/>
  <c r="S55" i="4"/>
  <c r="R55" i="4"/>
  <c r="V54" i="4"/>
  <c r="U54" i="4"/>
  <c r="T54" i="4"/>
  <c r="R54" i="4"/>
  <c r="S54" i="4" s="1"/>
  <c r="V53" i="4"/>
  <c r="R53" i="4"/>
  <c r="U53" i="4" s="1"/>
  <c r="V52" i="4"/>
  <c r="R52" i="4"/>
  <c r="U52" i="4" s="1"/>
  <c r="V51" i="4"/>
  <c r="R51" i="4"/>
  <c r="U51" i="4" s="1"/>
  <c r="V50" i="4"/>
  <c r="U50" i="4"/>
  <c r="T50" i="4"/>
  <c r="R50" i="4"/>
  <c r="S50" i="4" s="1"/>
  <c r="V49" i="4"/>
  <c r="U49" i="4"/>
  <c r="T49" i="4"/>
  <c r="S49" i="4"/>
  <c r="R49" i="4"/>
  <c r="V48" i="4"/>
  <c r="R48" i="4"/>
  <c r="U48" i="4" s="1"/>
  <c r="V47" i="4"/>
  <c r="U47" i="4"/>
  <c r="T47" i="4"/>
  <c r="S47" i="4"/>
  <c r="R47" i="4"/>
  <c r="V46" i="4"/>
  <c r="R46" i="4"/>
  <c r="S46" i="4" s="1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T42" i="4"/>
  <c r="R42" i="4"/>
  <c r="S42" i="4" s="1"/>
  <c r="V41" i="4"/>
  <c r="R41" i="4"/>
  <c r="U41" i="4" s="1"/>
  <c r="V40" i="4"/>
  <c r="R40" i="4"/>
  <c r="U40" i="4" s="1"/>
  <c r="V39" i="4"/>
  <c r="R39" i="4"/>
  <c r="U39" i="4" s="1"/>
  <c r="V38" i="4"/>
  <c r="U38" i="4"/>
  <c r="T38" i="4"/>
  <c r="R38" i="4"/>
  <c r="S38" i="4" s="1"/>
  <c r="V37" i="4"/>
  <c r="U37" i="4"/>
  <c r="S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T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T30" i="4"/>
  <c r="R30" i="4"/>
  <c r="S30" i="4" s="1"/>
  <c r="V29" i="4"/>
  <c r="R29" i="4"/>
  <c r="T29" i="4" s="1"/>
  <c r="V28" i="4"/>
  <c r="R28" i="4"/>
  <c r="U28" i="4" s="1"/>
  <c r="I135" i="4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 s="1"/>
  <c r="O139" i="4" s="1"/>
  <c r="P139" i="4" s="1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 s="1"/>
  <c r="O143" i="4" s="1"/>
  <c r="P143" i="4" s="1"/>
  <c r="N143" i="4"/>
  <c r="Q143" i="4"/>
  <c r="S36" i="4" l="1"/>
  <c r="S48" i="4"/>
  <c r="S60" i="4"/>
  <c r="S72" i="4"/>
  <c r="S84" i="4"/>
  <c r="S96" i="4"/>
  <c r="S108" i="4"/>
  <c r="S120" i="4"/>
  <c r="S132" i="4"/>
  <c r="S29" i="4"/>
  <c r="T36" i="4"/>
  <c r="S41" i="4"/>
  <c r="T48" i="4"/>
  <c r="S53" i="4"/>
  <c r="T60" i="4"/>
  <c r="S65" i="4"/>
  <c r="T72" i="4"/>
  <c r="S77" i="4"/>
  <c r="T84" i="4"/>
  <c r="S89" i="4"/>
  <c r="T96" i="4"/>
  <c r="S105" i="4"/>
  <c r="T108" i="4"/>
  <c r="S113" i="4"/>
  <c r="T120" i="4"/>
  <c r="S125" i="4"/>
  <c r="T132" i="4"/>
  <c r="T77" i="4"/>
  <c r="T105" i="4"/>
  <c r="T125" i="4"/>
  <c r="S130" i="4"/>
  <c r="T137" i="4"/>
  <c r="U29" i="4"/>
  <c r="S39" i="4"/>
  <c r="T46" i="4"/>
  <c r="S51" i="4"/>
  <c r="S63" i="4"/>
  <c r="T70" i="4"/>
  <c r="S75" i="4"/>
  <c r="T82" i="4"/>
  <c r="S87" i="4"/>
  <c r="S103" i="4"/>
  <c r="S111" i="4"/>
  <c r="U113" i="4"/>
  <c r="T118" i="4"/>
  <c r="S123" i="4"/>
  <c r="T130" i="4"/>
  <c r="S135" i="4"/>
  <c r="T142" i="4"/>
  <c r="S32" i="4"/>
  <c r="U34" i="4"/>
  <c r="T39" i="4"/>
  <c r="S44" i="4"/>
  <c r="U46" i="4"/>
  <c r="T51" i="4"/>
  <c r="S56" i="4"/>
  <c r="U58" i="4"/>
  <c r="T63" i="4"/>
  <c r="S68" i="4"/>
  <c r="U70" i="4"/>
  <c r="T75" i="4"/>
  <c r="S80" i="4"/>
  <c r="U82" i="4"/>
  <c r="T87" i="4"/>
  <c r="S92" i="4"/>
  <c r="U94" i="4"/>
  <c r="T103" i="4"/>
  <c r="T111" i="4"/>
  <c r="S116" i="4"/>
  <c r="U118" i="4"/>
  <c r="T123" i="4"/>
  <c r="S128" i="4"/>
  <c r="T135" i="4"/>
  <c r="S140" i="4"/>
  <c r="U142" i="4"/>
  <c r="S137" i="4"/>
  <c r="T32" i="4"/>
  <c r="T44" i="4"/>
  <c r="T56" i="4"/>
  <c r="T68" i="4"/>
  <c r="T80" i="4"/>
  <c r="T92" i="4"/>
  <c r="T116" i="4"/>
  <c r="T128" i="4"/>
  <c r="T140" i="4"/>
  <c r="S34" i="4"/>
  <c r="T41" i="4"/>
  <c r="T53" i="4"/>
  <c r="S58" i="4"/>
  <c r="T65" i="4"/>
  <c r="T89" i="4"/>
  <c r="S94" i="4"/>
  <c r="S28" i="4"/>
  <c r="S40" i="4"/>
  <c r="S52" i="4"/>
  <c r="S64" i="4"/>
  <c r="S76" i="4"/>
  <c r="S88" i="4"/>
  <c r="S104" i="4"/>
  <c r="S112" i="4"/>
  <c r="S124" i="4"/>
  <c r="S136" i="4"/>
  <c r="T28" i="4"/>
  <c r="S33" i="4"/>
  <c r="T40" i="4"/>
  <c r="S45" i="4"/>
  <c r="T52" i="4"/>
  <c r="S57" i="4"/>
  <c r="T64" i="4"/>
  <c r="S69" i="4"/>
  <c r="T76" i="4"/>
  <c r="S81" i="4"/>
  <c r="T88" i="4"/>
  <c r="S93" i="4"/>
  <c r="T104" i="4"/>
  <c r="T112" i="4"/>
  <c r="S117" i="4"/>
  <c r="T124" i="4"/>
  <c r="S129" i="4"/>
  <c r="T136" i="4"/>
  <c r="S141" i="4"/>
  <c r="L143" i="4"/>
  <c r="M143" i="4" s="1"/>
  <c r="L139" i="4"/>
  <c r="M139" i="4" s="1"/>
  <c r="L135" i="4"/>
  <c r="M135" i="4" s="1"/>
  <c r="N140" i="4"/>
  <c r="Q140" i="4" s="1"/>
  <c r="N136" i="4"/>
  <c r="Q136" i="4" s="1"/>
  <c r="I128" i="4" l="1"/>
  <c r="J128" i="4"/>
  <c r="K128" i="4"/>
  <c r="L128" i="4"/>
  <c r="M128" i="4"/>
  <c r="N128" i="4"/>
  <c r="O128" i="4"/>
  <c r="P128" i="4"/>
  <c r="Q128" i="4"/>
  <c r="I129" i="4"/>
  <c r="J129" i="4"/>
  <c r="K129" i="4" s="1"/>
  <c r="O129" i="4" s="1"/>
  <c r="P129" i="4" s="1"/>
  <c r="N129" i="4"/>
  <c r="Q129" i="4"/>
  <c r="I130" i="4"/>
  <c r="L130" i="4" s="1"/>
  <c r="M130" i="4" s="1"/>
  <c r="J130" i="4"/>
  <c r="K130" i="4"/>
  <c r="I131" i="4"/>
  <c r="J131" i="4"/>
  <c r="K131" i="4"/>
  <c r="L131" i="4"/>
  <c r="M131" i="4"/>
  <c r="N131" i="4"/>
  <c r="O131" i="4"/>
  <c r="P131" i="4"/>
  <c r="Q131" i="4"/>
  <c r="I132" i="4"/>
  <c r="L132" i="4" s="1"/>
  <c r="M132" i="4" s="1"/>
  <c r="J132" i="4"/>
  <c r="K132" i="4" s="1"/>
  <c r="O132" i="4" s="1"/>
  <c r="P132" i="4" s="1"/>
  <c r="N132" i="4"/>
  <c r="Q132" i="4"/>
  <c r="I133" i="4"/>
  <c r="J133" i="4"/>
  <c r="K133" i="4"/>
  <c r="O133" i="4" s="1"/>
  <c r="P133" i="4" s="1"/>
  <c r="I134" i="4"/>
  <c r="J134" i="4"/>
  <c r="K134" i="4"/>
  <c r="O134" i="4" s="1"/>
  <c r="P134" i="4" s="1"/>
  <c r="L134" i="4"/>
  <c r="M134" i="4"/>
  <c r="N134" i="4"/>
  <c r="Q134" i="4" s="1"/>
  <c r="L133" i="4" l="1"/>
  <c r="M133" i="4" s="1"/>
  <c r="O130" i="4"/>
  <c r="P130" i="4" s="1"/>
  <c r="L129" i="4"/>
  <c r="M129" i="4" s="1"/>
  <c r="N133" i="4"/>
  <c r="Q133" i="4" s="1"/>
  <c r="N130" i="4"/>
  <c r="Q130" i="4" s="1"/>
  <c r="O15" i="1" l="1"/>
  <c r="L15" i="1"/>
  <c r="N15" i="1"/>
  <c r="M100" i="4"/>
  <c r="M112" i="4"/>
  <c r="J16" i="4"/>
  <c r="J15" i="4"/>
  <c r="J87" i="4"/>
  <c r="K87" i="4" s="1"/>
  <c r="J122" i="4"/>
  <c r="K122" i="4"/>
  <c r="J117" i="4"/>
  <c r="K117" i="4"/>
  <c r="O117" i="4" s="1"/>
  <c r="P117" i="4" s="1"/>
  <c r="J120" i="4"/>
  <c r="K120" i="4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/>
  <c r="J103" i="4"/>
  <c r="L103" i="4" s="1"/>
  <c r="M103" i="4" s="1"/>
  <c r="K103" i="4"/>
  <c r="O103" i="4" s="1"/>
  <c r="P103" i="4" s="1"/>
  <c r="J118" i="4"/>
  <c r="K118" i="4"/>
  <c r="O118" i="4" s="1"/>
  <c r="P118" i="4" s="1"/>
  <c r="J104" i="4"/>
  <c r="L104" i="4" s="1"/>
  <c r="M104" i="4" s="1"/>
  <c r="K104" i="4"/>
  <c r="O104" i="4" s="1"/>
  <c r="P104" i="4" s="1"/>
  <c r="J90" i="4"/>
  <c r="K90" i="4" s="1"/>
  <c r="J71" i="4"/>
  <c r="K71" i="4" s="1"/>
  <c r="J110" i="4"/>
  <c r="K110" i="4"/>
  <c r="O110" i="4" s="1"/>
  <c r="P110" i="4" s="1"/>
  <c r="J82" i="4"/>
  <c r="K82" i="4"/>
  <c r="J113" i="4"/>
  <c r="K113" i="4"/>
  <c r="O113" i="4" s="1"/>
  <c r="P113" i="4" s="1"/>
  <c r="J97" i="4"/>
  <c r="K97" i="4" s="1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/>
  <c r="J78" i="4"/>
  <c r="K78" i="4"/>
  <c r="J115" i="4"/>
  <c r="L115" i="4" s="1"/>
  <c r="K115" i="4"/>
  <c r="J99" i="4"/>
  <c r="K99" i="4" s="1"/>
  <c r="O99" i="4" s="1"/>
  <c r="P99" i="4" s="1"/>
  <c r="J83" i="4"/>
  <c r="K83" i="4" s="1"/>
  <c r="J102" i="4"/>
  <c r="L102" i="4" s="1"/>
  <c r="M102" i="4" s="1"/>
  <c r="K102" i="4"/>
  <c r="J74" i="4"/>
  <c r="K74" i="4" s="1"/>
  <c r="J125" i="4"/>
  <c r="K125" i="4"/>
  <c r="J109" i="4"/>
  <c r="L109" i="4" s="1"/>
  <c r="M109" i="4" s="1"/>
  <c r="K109" i="4"/>
  <c r="J93" i="4"/>
  <c r="K93" i="4"/>
  <c r="J77" i="4"/>
  <c r="K77" i="4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O111" i="4" s="1"/>
  <c r="P111" i="4" s="1"/>
  <c r="J95" i="4"/>
  <c r="K95" i="4" s="1"/>
  <c r="J79" i="4"/>
  <c r="K79" i="4" s="1"/>
  <c r="J126" i="4"/>
  <c r="K126" i="4"/>
  <c r="J94" i="4"/>
  <c r="K94" i="4"/>
  <c r="J121" i="4"/>
  <c r="L121" i="4" s="1"/>
  <c r="K121" i="4"/>
  <c r="J105" i="4"/>
  <c r="K105" i="4"/>
  <c r="O105" i="4" s="1"/>
  <c r="P105" i="4" s="1"/>
  <c r="J89" i="4"/>
  <c r="K89" i="4" s="1"/>
  <c r="J73" i="4"/>
  <c r="K73" i="4" s="1"/>
  <c r="J124" i="4"/>
  <c r="K124" i="4"/>
  <c r="J108" i="4"/>
  <c r="K108" i="4"/>
  <c r="J92" i="4"/>
  <c r="K92" i="4"/>
  <c r="J76" i="4"/>
  <c r="L76" i="4" s="1"/>
  <c r="K76" i="4"/>
  <c r="J98" i="4"/>
  <c r="K98" i="4"/>
  <c r="J123" i="4"/>
  <c r="K123" i="4"/>
  <c r="O123" i="4" s="1"/>
  <c r="P123" i="4" s="1"/>
  <c r="J107" i="4"/>
  <c r="K107" i="4"/>
  <c r="J91" i="4"/>
  <c r="K91" i="4"/>
  <c r="J75" i="4"/>
  <c r="K75" i="4"/>
  <c r="O107" i="4"/>
  <c r="P107" i="4"/>
  <c r="O112" i="4"/>
  <c r="P112" i="4"/>
  <c r="O98" i="4"/>
  <c r="P98" i="4" s="1"/>
  <c r="O126" i="4"/>
  <c r="P126" i="4"/>
  <c r="O124" i="4"/>
  <c r="P124" i="4"/>
  <c r="O102" i="4"/>
  <c r="P102" i="4" s="1"/>
  <c r="O106" i="4"/>
  <c r="P106" i="4"/>
  <c r="O109" i="4"/>
  <c r="P109" i="4"/>
  <c r="O122" i="4"/>
  <c r="P122" i="4"/>
  <c r="O125" i="4"/>
  <c r="P125" i="4" s="1"/>
  <c r="I76" i="4"/>
  <c r="I77" i="4"/>
  <c r="I81" i="4"/>
  <c r="N81" i="4" s="1"/>
  <c r="Q81" i="4" s="1"/>
  <c r="I89" i="4"/>
  <c r="N89" i="4" s="1"/>
  <c r="Q89" i="4" s="1"/>
  <c r="I90" i="4"/>
  <c r="L90" i="4" s="1"/>
  <c r="I96" i="4"/>
  <c r="L96" i="4" s="1"/>
  <c r="I99" i="4"/>
  <c r="N99" i="4" s="1"/>
  <c r="Q99" i="4" s="1"/>
  <c r="I102" i="4"/>
  <c r="I104" i="4"/>
  <c r="I108" i="4"/>
  <c r="L108" i="4" s="1"/>
  <c r="I111" i="4"/>
  <c r="L111" i="4" s="1"/>
  <c r="M111" i="4" s="1"/>
  <c r="I113" i="4"/>
  <c r="I115" i="4"/>
  <c r="I119" i="4"/>
  <c r="N119" i="4" s="1"/>
  <c r="Q119" i="4" s="1"/>
  <c r="I120" i="4"/>
  <c r="I123" i="4"/>
  <c r="N123" i="4" s="1"/>
  <c r="Q123" i="4" s="1"/>
  <c r="I125" i="4"/>
  <c r="L125" i="4" s="1"/>
  <c r="M125" i="4" s="1"/>
  <c r="I79" i="4"/>
  <c r="N79" i="4" s="1"/>
  <c r="Q79" i="4" s="1"/>
  <c r="I92" i="4"/>
  <c r="L92" i="4" s="1"/>
  <c r="I100" i="4"/>
  <c r="I103" i="4"/>
  <c r="N103" i="4" s="1"/>
  <c r="Q103" i="4" s="1"/>
  <c r="I107" i="4"/>
  <c r="N107" i="4" s="1"/>
  <c r="Q107" i="4" s="1"/>
  <c r="I109" i="4"/>
  <c r="I110" i="4"/>
  <c r="N110" i="4" s="1"/>
  <c r="Q110" i="4" s="1"/>
  <c r="I117" i="4"/>
  <c r="I124" i="4"/>
  <c r="L124" i="4" s="1"/>
  <c r="I72" i="4"/>
  <c r="L72" i="4" s="1"/>
  <c r="I106" i="4"/>
  <c r="N106" i="4" s="1"/>
  <c r="Q106" i="4" s="1"/>
  <c r="I71" i="4"/>
  <c r="N71" i="4" s="1"/>
  <c r="Q71" i="4" s="1"/>
  <c r="I75" i="4"/>
  <c r="N75" i="4" s="1"/>
  <c r="Q75" i="4" s="1"/>
  <c r="I80" i="4"/>
  <c r="N80" i="4" s="1"/>
  <c r="Q80" i="4" s="1"/>
  <c r="I83" i="4"/>
  <c r="I86" i="4"/>
  <c r="N86" i="4" s="1"/>
  <c r="Q86" i="4" s="1"/>
  <c r="I88" i="4"/>
  <c r="N88" i="4" s="1"/>
  <c r="Q88" i="4" s="1"/>
  <c r="I94" i="4"/>
  <c r="L94" i="4" s="1"/>
  <c r="I95" i="4"/>
  <c r="I98" i="4"/>
  <c r="N98" i="4" s="1"/>
  <c r="Q98" i="4" s="1"/>
  <c r="I101" i="4"/>
  <c r="I118" i="4"/>
  <c r="I127" i="4"/>
  <c r="N127" i="4" s="1"/>
  <c r="Q127" i="4" s="1"/>
  <c r="I73" i="4"/>
  <c r="N73" i="4" s="1"/>
  <c r="Q73" i="4" s="1"/>
  <c r="I74" i="4"/>
  <c r="N74" i="4" s="1"/>
  <c r="Q74" i="4" s="1"/>
  <c r="I78" i="4"/>
  <c r="L78" i="4" s="1"/>
  <c r="I82" i="4"/>
  <c r="N82" i="4" s="1"/>
  <c r="Q82" i="4" s="1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I122" i="4"/>
  <c r="I84" i="4"/>
  <c r="N84" i="4" s="1"/>
  <c r="Q84" i="4" s="1"/>
  <c r="I87" i="4"/>
  <c r="L87" i="4" s="1"/>
  <c r="M87" i="4" s="1"/>
  <c r="I91" i="4"/>
  <c r="N91" i="4" s="1"/>
  <c r="Q91" i="4" s="1"/>
  <c r="I97" i="4"/>
  <c r="N97" i="4" s="1"/>
  <c r="Q97" i="4" s="1"/>
  <c r="I105" i="4"/>
  <c r="L105" i="4" s="1"/>
  <c r="M105" i="4" s="1"/>
  <c r="I116" i="4"/>
  <c r="N116" i="4" s="1"/>
  <c r="Q116" i="4" s="1"/>
  <c r="I126" i="4"/>
  <c r="N126" i="4" s="1"/>
  <c r="Q126" i="4" s="1"/>
  <c r="N121" i="4"/>
  <c r="Q121" i="4"/>
  <c r="N101" i="4"/>
  <c r="Q101" i="4"/>
  <c r="L101" i="4"/>
  <c r="M101" i="4" s="1"/>
  <c r="L106" i="4"/>
  <c r="M106" i="4" s="1"/>
  <c r="L119" i="4"/>
  <c r="N108" i="4"/>
  <c r="Q108" i="4" s="1"/>
  <c r="N77" i="4"/>
  <c r="Q77" i="4"/>
  <c r="L77" i="4"/>
  <c r="N72" i="4"/>
  <c r="Q72" i="4"/>
  <c r="N117" i="4"/>
  <c r="Q117" i="4"/>
  <c r="L117" i="4"/>
  <c r="M117" i="4" s="1"/>
  <c r="N115" i="4"/>
  <c r="Q115" i="4"/>
  <c r="N104" i="4"/>
  <c r="Q104" i="4"/>
  <c r="N76" i="4"/>
  <c r="Q76" i="4" s="1"/>
  <c r="L112" i="4"/>
  <c r="N112" i="4"/>
  <c r="Q112" i="4"/>
  <c r="N95" i="4"/>
  <c r="Q95" i="4"/>
  <c r="L95" i="4"/>
  <c r="N83" i="4"/>
  <c r="Q83" i="4" s="1"/>
  <c r="L100" i="4"/>
  <c r="N100" i="4"/>
  <c r="Q100" i="4"/>
  <c r="N113" i="4"/>
  <c r="Q113" i="4"/>
  <c r="L113" i="4"/>
  <c r="M113" i="4" s="1"/>
  <c r="N102" i="4"/>
  <c r="Q102" i="4"/>
  <c r="N122" i="4"/>
  <c r="Q122" i="4"/>
  <c r="L122" i="4"/>
  <c r="M122" i="4" s="1"/>
  <c r="N118" i="4"/>
  <c r="Q118" i="4"/>
  <c r="L118" i="4"/>
  <c r="M118" i="4" s="1"/>
  <c r="N109" i="4"/>
  <c r="Q109" i="4"/>
  <c r="N120" i="4"/>
  <c r="Q120" i="4"/>
  <c r="N111" i="4"/>
  <c r="Q111" i="4"/>
  <c r="M124" i="4" l="1"/>
  <c r="O116" i="4"/>
  <c r="P116" i="4" s="1"/>
  <c r="O71" i="4"/>
  <c r="P71" i="4" s="1"/>
  <c r="O115" i="4"/>
  <c r="P115" i="4" s="1"/>
  <c r="O127" i="4"/>
  <c r="P127" i="4" s="1"/>
  <c r="M115" i="4"/>
  <c r="M119" i="4"/>
  <c r="L73" i="4"/>
  <c r="O121" i="4"/>
  <c r="P121" i="4" s="1"/>
  <c r="L120" i="4"/>
  <c r="L123" i="4"/>
  <c r="M123" i="4" s="1"/>
  <c r="M121" i="4"/>
  <c r="L71" i="4"/>
  <c r="L81" i="4"/>
  <c r="N87" i="4"/>
  <c r="Q87" i="4" s="1"/>
  <c r="N125" i="4"/>
  <c r="Q125" i="4" s="1"/>
  <c r="L98" i="4"/>
  <c r="M98" i="4" s="1"/>
  <c r="N124" i="4"/>
  <c r="Q124" i="4" s="1"/>
  <c r="M108" i="4"/>
  <c r="L127" i="4"/>
  <c r="O120" i="4"/>
  <c r="P120" i="4" s="1"/>
  <c r="O114" i="4"/>
  <c r="P114" i="4" s="1"/>
  <c r="L99" i="4"/>
  <c r="M99" i="4" s="1"/>
  <c r="L89" i="4"/>
  <c r="N105" i="4"/>
  <c r="Q105" i="4" s="1"/>
  <c r="O91" i="4"/>
  <c r="P91" i="4" s="1"/>
  <c r="O108" i="4"/>
  <c r="P108" i="4" s="1"/>
  <c r="O119" i="4"/>
  <c r="P119" i="4" s="1"/>
  <c r="L110" i="4"/>
  <c r="M110" i="4" s="1"/>
  <c r="L91" i="4"/>
  <c r="N94" i="4"/>
  <c r="Q94" i="4" s="1"/>
  <c r="L83" i="4"/>
  <c r="M78" i="4"/>
  <c r="M92" i="4"/>
  <c r="M76" i="4"/>
  <c r="M81" i="4"/>
  <c r="O81" i="4"/>
  <c r="P81" i="4" s="1"/>
  <c r="O97" i="4"/>
  <c r="P97" i="4" s="1"/>
  <c r="L114" i="4"/>
  <c r="O76" i="4"/>
  <c r="P76" i="4" s="1"/>
  <c r="M95" i="4"/>
  <c r="L107" i="4"/>
  <c r="M83" i="4"/>
  <c r="O75" i="4"/>
  <c r="P75" i="4" s="1"/>
  <c r="O92" i="4"/>
  <c r="P92" i="4" s="1"/>
  <c r="O94" i="4"/>
  <c r="P94" i="4" s="1"/>
  <c r="O80" i="4"/>
  <c r="P80" i="4" s="1"/>
  <c r="O74" i="4"/>
  <c r="P74" i="4" s="1"/>
  <c r="O82" i="4"/>
  <c r="P82" i="4" s="1"/>
  <c r="L80" i="4"/>
  <c r="L116" i="4"/>
  <c r="M72" i="4"/>
  <c r="L85" i="4"/>
  <c r="O96" i="4"/>
  <c r="P96" i="4" s="1"/>
  <c r="O72" i="4"/>
  <c r="P72" i="4" s="1"/>
  <c r="L126" i="4"/>
  <c r="M96" i="4"/>
  <c r="O84" i="4"/>
  <c r="P84" i="4" s="1"/>
  <c r="M90" i="4"/>
  <c r="O83" i="4"/>
  <c r="P83" i="4" s="1"/>
  <c r="M77" i="4"/>
  <c r="M94" i="4"/>
  <c r="M89" i="4"/>
  <c r="O79" i="4"/>
  <c r="P79" i="4" s="1"/>
  <c r="O77" i="4"/>
  <c r="P77" i="4" s="1"/>
  <c r="O87" i="4"/>
  <c r="P87" i="4" s="1"/>
  <c r="L86" i="4"/>
  <c r="O78" i="4"/>
  <c r="P78" i="4" s="1"/>
  <c r="O95" i="4"/>
  <c r="P95" i="4" s="1"/>
  <c r="O88" i="4"/>
  <c r="P88" i="4" s="1"/>
  <c r="N92" i="4"/>
  <c r="Q92" i="4" s="1"/>
  <c r="N78" i="4"/>
  <c r="Q78" i="4" s="1"/>
  <c r="O73" i="4"/>
  <c r="P73" i="4" s="1"/>
  <c r="O93" i="4"/>
  <c r="P93" i="4" s="1"/>
  <c r="O90" i="4"/>
  <c r="P90" i="4" s="1"/>
  <c r="O85" i="4"/>
  <c r="P85" i="4" s="1"/>
  <c r="N90" i="4"/>
  <c r="Q90" i="4" s="1"/>
  <c r="O89" i="4"/>
  <c r="P89" i="4" s="1"/>
  <c r="O86" i="4"/>
  <c r="P86" i="4" s="1"/>
  <c r="L97" i="4"/>
  <c r="L74" i="4"/>
  <c r="L79" i="4"/>
  <c r="L75" i="4"/>
  <c r="L93" i="4"/>
  <c r="L88" i="4"/>
  <c r="N96" i="4"/>
  <c r="Q96" i="4" s="1"/>
  <c r="L82" i="4"/>
  <c r="L84" i="4"/>
  <c r="J14" i="4"/>
  <c r="J13" i="4" s="1"/>
  <c r="K16" i="4" s="1"/>
  <c r="M73" i="4" l="1"/>
  <c r="M116" i="4"/>
  <c r="M91" i="4"/>
  <c r="M127" i="4"/>
  <c r="M120" i="4"/>
  <c r="M126" i="4"/>
  <c r="M107" i="4"/>
  <c r="M71" i="4"/>
  <c r="M114" i="4"/>
  <c r="M84" i="4"/>
  <c r="M82" i="4"/>
  <c r="M86" i="4"/>
  <c r="M80" i="4"/>
  <c r="M88" i="4"/>
  <c r="M93" i="4"/>
  <c r="M75" i="4"/>
  <c r="M79" i="4"/>
  <c r="M74" i="4"/>
  <c r="M97" i="4"/>
  <c r="M85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1" i="4" l="1"/>
  <c r="P61" i="4" s="1"/>
  <c r="O60" i="4"/>
  <c r="P60" i="4" s="1"/>
  <c r="O62" i="4"/>
  <c r="P62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3" i="4" l="1"/>
  <c r="M60" i="4"/>
  <c r="M61" i="4"/>
  <c r="M62" i="4"/>
  <c r="M70" i="4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30" i="4"/>
  <c r="J43" i="4"/>
  <c r="L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O48" i="4" l="1"/>
  <c r="P48" i="4" s="1"/>
  <c r="M48" i="4"/>
  <c r="O49" i="4"/>
  <c r="P49" i="4" s="1"/>
  <c r="M49" i="4"/>
  <c r="O35" i="4"/>
  <c r="P35" i="4" s="1"/>
  <c r="M43" i="4"/>
  <c r="M47" i="4"/>
  <c r="O30" i="4"/>
  <c r="P30" i="4" s="1"/>
  <c r="M31" i="4"/>
  <c r="O33" i="4"/>
  <c r="P33" i="4" s="1"/>
  <c r="L35" i="4"/>
  <c r="K43" i="4"/>
  <c r="M44" i="4"/>
  <c r="M45" i="4"/>
  <c r="O47" i="4"/>
  <c r="P47" i="4" s="1"/>
  <c r="O31" i="4"/>
  <c r="P31" i="4" s="1"/>
  <c r="O28" i="4"/>
  <c r="P28" i="4" s="1"/>
  <c r="O46" i="4"/>
  <c r="P46" i="4" s="1"/>
  <c r="O45" i="4"/>
  <c r="P45" i="4" s="1"/>
  <c r="O39" i="4"/>
  <c r="P39" i="4" s="1"/>
  <c r="M39" i="4"/>
  <c r="O41" i="4"/>
  <c r="P41" i="4" s="1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32" i="4" l="1"/>
  <c r="P32" i="4" s="1"/>
  <c r="O38" i="4"/>
  <c r="P38" i="4" s="1"/>
  <c r="O43" i="4"/>
  <c r="P43" i="4" s="1"/>
  <c r="O37" i="4"/>
  <c r="P37" i="4" s="1"/>
  <c r="M46" i="4"/>
  <c r="O44" i="4"/>
  <c r="P44" i="4" s="1"/>
  <c r="O36" i="4"/>
  <c r="P36" i="4" s="1"/>
  <c r="O29" i="4"/>
  <c r="P29" i="4" s="1"/>
  <c r="O40" i="4"/>
  <c r="P40" i="4" s="1"/>
  <c r="M33" i="4"/>
  <c r="M35" i="4"/>
  <c r="O34" i="4"/>
  <c r="P34" i="4" s="1"/>
  <c r="O42" i="4"/>
  <c r="P42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<sst xmlns="http://schemas.openxmlformats.org/spreadsheetml/2006/main" count="340" uniqueCount="315">
  <si>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</si>
  <si>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</si>
  <si>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</si>
  <si>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</si>
  <si>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</si>
  <si>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</si>
  <si>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</si>
  <si>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</si>
  <si>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</si>
  <si>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</si>
  <si>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</si>
  <si>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</si>
  <si>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</si>
  <si>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</si>
  <si>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</si>
  <si>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</si>
  <si>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</si>
  <si>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</si>
  <si>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</si>
  <si>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</si>
  <si>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</si>
  <si>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</si>
  <si>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</si>
  <si>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</si>
  <si>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</si>
  <si>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</si>
  <si>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</si>
  <si>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</si>
  <si>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</si>
  <si>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</si>
  <si>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</si>
  <si>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</si>
  <si>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</si>
  <si>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</si>
  <si>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</si>
  <si>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</si>
  <si>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</si>
  <si>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</si>
  <si>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</si>
  <si>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</si>
  <si>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</si>
  <si>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</si>
  <si>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</si>
  <si>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</si>
  <si>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</si>
  <si>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</si>
  <si>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</si>
  <si>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</si>
  <si>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</si>
  <si>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</si>
  <si>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</si>
  <si>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</si>
  <si>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</si>
  <si>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</si>
  <si>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</si>
  <si>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</si>
  <si>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</si>
  <si>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</si>
  <si>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</si>
  <si>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</si>
  <si>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</si>
  <si>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</si>
  <si>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</si>
  <si>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</si>
  <si>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</si>
  <si>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</si>
  <si>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</si>
  <si>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</si>
  <si>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</si>
  <si>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</si>
  <si>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</si>
  <si>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</si>
  <si>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</si>
  <si>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</si>
  <si>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</si>
  <si>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</si>
  <si>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</si>
  <si>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</si>
  <si>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</si>
  <si>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</si>
  <si>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</si>
  <si>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</si>
  <si>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</si>
  <si>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</si>
  <si>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</si>
  <si>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</si>
  <si>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</si>
  <si>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</si>
  <si>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</si>
  <si>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</si>
  <si>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</si>
  <si>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</si>
  <si>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</si>
  <si>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</si>
  <si>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</si>
  <si>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</si>
  <si>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</si>
  <si>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</si>
  <si>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</si>
  <si>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</si>
  <si>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</si>
  <si>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</si>
  <si>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</si>
  <si>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</si>
  <si>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</si>
  <si>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</si>
  <si>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</si>
  <si>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</si>
  <si>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</si>
  <si>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</si>
  <si>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</si>
  <si>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</si>
  <si>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MCF7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</si>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</sst>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P28" sqref="P28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9.8986000000000005E-3</v>
      </c>
      <c r="M17" s="80">
        <v>5.1399999999999996E-5</v>
      </c>
      <c r="N17" s="80">
        <v>5.0000000000000002E-5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05" zoomScale="70" zoomScaleNormal="70" workbookViewId="0">
      <selection activeCell="S28" sqref="S28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40.055999999999997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39.848232160000002</v>
      </c>
      <c r="K8" s="39">
        <f>J8/J7</f>
        <v>0.99481306570800887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0.19228784000000004</v>
      </c>
      <c r="K9" s="39">
        <f>J9/J7</f>
        <v>4.8004753345316569E-3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1.5480000000000001E-2</v>
      </c>
      <c r="K10" s="39">
        <f>J10/J7</f>
        <v>3.8645895745955669E-4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39.7928</v>
      </c>
      <c r="K14" s="39">
        <f>J14/J13</f>
        <v>0.99482000000000004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5.6000000000000008E-2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5.5432160000000008E-2</v>
      </c>
      <c r="K20" s="39">
        <f>J20/J19</f>
        <v>0.98985999999999996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2.8783999999999998E-4</v>
      </c>
      <c r="K21" s="39">
        <f>J21/J19</f>
        <v>5.1399999999999987E-3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2.8000000000000003E-4</v>
      </c>
      <c r="K22" s="39">
        <f>J22/J19</f>
        <v>5.0000000000000001E-3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8.1368247852758456E-4</v>
      </c>
      <c r="K28" s="93">
        <f t="shared" ref="K28:K47" si="3">IF(D28=0,"",1/(1+10^D28*$J$15/$J$14+10^E28*$J$16/$J$14+10^J28*$J$19/$J$14))</f>
        <v>0.99257681527618069</v>
      </c>
      <c r="L28" s="93">
        <f t="shared" ref="L28:L47" si="4">IF(D28=0,"",1/(1+10^I28/10^J28*$J$13/$J$19))</f>
        <v>1.3994627301784179E-3</v>
      </c>
      <c r="M28" s="93">
        <f t="shared" ref="M28:M47" si="5">IF(D28=0,"",1-L28)</f>
        <v>0.99860053726982156</v>
      </c>
      <c r="N28" s="93">
        <f t="shared" ref="N28:N47" si="6">IF(D28=0,"",1/(1/10^E28*$J$20/$J$22+10^D28/10^E28*$J$21/$J$22+10^I28/10^E28*$J$13/$J$22+1))</f>
        <v>8.4398292224885224E-6</v>
      </c>
      <c r="O28" s="40">
        <f t="shared" ref="O28:O47" si="7">IF(D28=0,"",F28*K28*$J$7/$J$14)</f>
        <v>9.9914197826497977E-7</v>
      </c>
      <c r="P28" s="40">
        <f t="shared" ref="P28:P47" si="8">IF(D28=0,"",O28*10^J28)</f>
        <v>1.0010156985719052E-6</v>
      </c>
      <c r="Q28" s="40">
        <f t="shared" ref="Q28:Q47" si="9">IF(D28=0,"",F28*N28*$J$7/$J$22)</f>
        <v>1.2073778547714291E-6</v>
      </c>
      <c r="R28" s="9">
        <f>F28*$C$14</f>
        <v>3.9999999999999996E-5</v>
      </c>
      <c r="S28" s="9">
        <f>$R28*L28</f>
        <v>5.5978509207136713E-8</v>
      </c>
      <c r="T28" s="9">
        <f t="shared" ref="T28:T91" si="10">R28*K28</f>
        <v>3.9703072611047223E-5</v>
      </c>
      <c r="U28" s="9">
        <f t="shared" ref="U28:U91" si="11">$R28*M28</f>
        <v>3.9944021490792858E-5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0.32619780382173885</v>
      </c>
      <c r="J29" s="92">
        <f t="shared" si="2"/>
        <v>0.59552491133732621</v>
      </c>
      <c r="K29" s="93">
        <f t="shared" si="3"/>
        <v>0.46818527835355966</v>
      </c>
      <c r="L29" s="93">
        <f t="shared" si="4"/>
        <v>2.5961285476290056E-3</v>
      </c>
      <c r="M29" s="93">
        <f t="shared" si="5"/>
        <v>0.99740387145237097</v>
      </c>
      <c r="N29" s="93">
        <f t="shared" si="6"/>
        <v>1.2524814020666028E-3</v>
      </c>
      <c r="O29" s="40">
        <f t="shared" si="7"/>
        <v>4.712819783913216E-7</v>
      </c>
      <c r="P29" s="40">
        <f t="shared" si="8"/>
        <v>1.8569736625683468E-6</v>
      </c>
      <c r="Q29" s="40">
        <f t="shared" si="9"/>
        <v>1.7917641086135654E-4</v>
      </c>
      <c r="R29" s="9">
        <f t="shared" ref="R29:R92" si="12">F29*$C$14</f>
        <v>3.9999999999999996E-5</v>
      </c>
      <c r="S29" s="9">
        <f t="shared" ref="S29:S92" si="13">$R29*L29</f>
        <v>1.0384514190516021E-7</v>
      </c>
      <c r="T29" s="9">
        <f t="shared" si="10"/>
        <v>1.8727411134142385E-5</v>
      </c>
      <c r="U29" s="9">
        <f t="shared" si="11"/>
        <v>3.9896154858094839E-5</v>
      </c>
      <c r="V29" s="100">
        <f t="shared" ref="V29:V92" si="14">K29/M29</f>
        <v>0.46940391124791914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2.0854020627961285</v>
      </c>
      <c r="J30" s="92">
        <f t="shared" si="2"/>
        <v>2.1215053545079172</v>
      </c>
      <c r="K30" s="93">
        <f t="shared" si="3"/>
        <v>8.1598510244594597E-3</v>
      </c>
      <c r="L30" s="93">
        <f t="shared" si="4"/>
        <v>1.5190466533634573E-3</v>
      </c>
      <c r="M30" s="93">
        <f t="shared" si="5"/>
        <v>0.99848095334663656</v>
      </c>
      <c r="N30" s="93">
        <f t="shared" si="6"/>
        <v>2.5063156275792451E-5</v>
      </c>
      <c r="O30" s="40">
        <f t="shared" si="7"/>
        <v>8.2138224160086262E-9</v>
      </c>
      <c r="P30" s="40">
        <f t="shared" si="8"/>
        <v>1.0865523704844051E-6</v>
      </c>
      <c r="Q30" s="40">
        <f t="shared" si="9"/>
        <v>3.5854635277969362E-6</v>
      </c>
      <c r="R30" s="9">
        <f t="shared" si="12"/>
        <v>3.9999999999999996E-5</v>
      </c>
      <c r="S30" s="9">
        <f t="shared" si="13"/>
        <v>6.0761866134538282E-8</v>
      </c>
      <c r="T30" s="9">
        <f t="shared" si="10"/>
        <v>3.2639404097837837E-7</v>
      </c>
      <c r="U30" s="9">
        <f t="shared" si="11"/>
        <v>3.9939238133865456E-5</v>
      </c>
      <c r="V30" s="100">
        <f t="shared" si="14"/>
        <v>8.1722650763741255E-3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-2.0020416091501053E-3</v>
      </c>
      <c r="J31" s="92">
        <f t="shared" si="2"/>
        <v>-4.120725013364435E-3</v>
      </c>
      <c r="K31" s="93">
        <f t="shared" si="3"/>
        <v>0.99802614185889538</v>
      </c>
      <c r="L31" s="93">
        <f t="shared" si="4"/>
        <v>1.3912485349734836E-3</v>
      </c>
      <c r="M31" s="93">
        <f t="shared" si="5"/>
        <v>0.99860875146502648</v>
      </c>
      <c r="N31" s="93">
        <f t="shared" si="6"/>
        <v>1.1417912157564326E-7</v>
      </c>
      <c r="O31" s="40">
        <f t="shared" si="7"/>
        <v>1.0046273481207634E-6</v>
      </c>
      <c r="P31" s="40">
        <f t="shared" si="8"/>
        <v>9.951402020874616E-7</v>
      </c>
      <c r="Q31" s="40">
        <f t="shared" si="9"/>
        <v>1.6334138906549873E-8</v>
      </c>
      <c r="R31" s="9">
        <f t="shared" si="12"/>
        <v>3.9999999999999996E-5</v>
      </c>
      <c r="S31" s="9">
        <f t="shared" si="13"/>
        <v>5.5649941398939339E-8</v>
      </c>
      <c r="T31" s="9">
        <f t="shared" si="10"/>
        <v>3.992104567435581E-5</v>
      </c>
      <c r="U31" s="9">
        <f t="shared" si="11"/>
        <v>3.9944350058601053E-5</v>
      </c>
      <c r="V31" s="100">
        <f t="shared" si="14"/>
        <v>0.99941657870985368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5.4008424806920542E-3</v>
      </c>
      <c r="J32" s="92">
        <f t="shared" si="2"/>
        <v>7.7477876607213378E-3</v>
      </c>
      <c r="K32" s="93">
        <f t="shared" si="3"/>
        <v>0.981144081126198</v>
      </c>
      <c r="L32" s="93">
        <f t="shared" si="4"/>
        <v>1.4056076230111335E-3</v>
      </c>
      <c r="M32" s="93">
        <f t="shared" si="5"/>
        <v>0.99859439237698888</v>
      </c>
      <c r="N32" s="93">
        <f t="shared" si="6"/>
        <v>1.3818086347793338E-5</v>
      </c>
      <c r="O32" s="40">
        <f t="shared" si="7"/>
        <v>9.8763362501736436E-7</v>
      </c>
      <c r="P32" s="40">
        <f t="shared" si="8"/>
        <v>1.0054110526309635E-6</v>
      </c>
      <c r="Q32" s="40">
        <f t="shared" si="9"/>
        <v>1.9767759526686066E-6</v>
      </c>
      <c r="R32" s="9">
        <f t="shared" si="12"/>
        <v>3.9999999999999996E-5</v>
      </c>
      <c r="S32" s="9">
        <f t="shared" si="13"/>
        <v>5.6224304920445331E-8</v>
      </c>
      <c r="T32" s="9">
        <f t="shared" si="10"/>
        <v>3.9245763245047914E-5</v>
      </c>
      <c r="U32" s="9">
        <f t="shared" si="11"/>
        <v>3.9943775695079553E-5</v>
      </c>
      <c r="V32" s="100">
        <f t="shared" si="14"/>
        <v>0.98252512593300945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9.1527063522880606E-2</v>
      </c>
      <c r="J33" s="92">
        <f t="shared" si="2"/>
        <v>0.19910294819785618</v>
      </c>
      <c r="K33" s="93">
        <f t="shared" si="3"/>
        <v>0.80433919145373156</v>
      </c>
      <c r="L33" s="93">
        <f t="shared" si="4"/>
        <v>1.7902995656681184E-3</v>
      </c>
      <c r="M33" s="93">
        <f t="shared" si="5"/>
        <v>0.99820970043433188</v>
      </c>
      <c r="N33" s="93">
        <f t="shared" si="6"/>
        <v>4.1278905629425126E-4</v>
      </c>
      <c r="O33" s="40">
        <f t="shared" si="7"/>
        <v>8.0965930150355518E-7</v>
      </c>
      <c r="P33" s="40">
        <f t="shared" si="8"/>
        <v>1.2805757036143239E-6</v>
      </c>
      <c r="Q33" s="40">
        <f t="shared" si="9"/>
        <v>5.9052422996151875E-5</v>
      </c>
      <c r="R33" s="9">
        <f t="shared" si="12"/>
        <v>3.9999999999999996E-5</v>
      </c>
      <c r="S33" s="9">
        <f t="shared" si="13"/>
        <v>7.1611982626724727E-8</v>
      </c>
      <c r="T33" s="9">
        <f t="shared" si="10"/>
        <v>3.2173567658149258E-5</v>
      </c>
      <c r="U33" s="9">
        <f t="shared" si="11"/>
        <v>3.9928388017373272E-5</v>
      </c>
      <c r="V33" s="100">
        <f t="shared" si="14"/>
        <v>0.80578178222847852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3.1608226539332684E-3</v>
      </c>
      <c r="J34" s="92">
        <f t="shared" si="2"/>
        <v>3.8367123062800941E-3</v>
      </c>
      <c r="K34" s="93">
        <f t="shared" si="3"/>
        <v>0.98622305859814641</v>
      </c>
      <c r="L34" s="93">
        <f t="shared" si="4"/>
        <v>1.4002171499341797E-3</v>
      </c>
      <c r="M34" s="93">
        <f t="shared" si="5"/>
        <v>0.99859978285006579</v>
      </c>
      <c r="N34" s="93">
        <f t="shared" si="6"/>
        <v>8.528135551526035E-6</v>
      </c>
      <c r="O34" s="40">
        <f t="shared" si="7"/>
        <v>9.9274619617637715E-7</v>
      </c>
      <c r="P34" s="40">
        <f t="shared" si="8"/>
        <v>1.0015553242457766E-6</v>
      </c>
      <c r="Q34" s="40">
        <f t="shared" si="9"/>
        <v>1.2200107058997385E-6</v>
      </c>
      <c r="R34" s="9">
        <f t="shared" si="12"/>
        <v>3.9999999999999996E-5</v>
      </c>
      <c r="S34" s="9">
        <f t="shared" si="13"/>
        <v>5.6008685997367185E-8</v>
      </c>
      <c r="T34" s="9">
        <f t="shared" si="10"/>
        <v>3.9448922343925851E-5</v>
      </c>
      <c r="U34" s="9">
        <f t="shared" si="11"/>
        <v>3.9943991314002626E-5</v>
      </c>
      <c r="V34" s="100">
        <f t="shared" si="14"/>
        <v>0.98760592134659253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1.8333114105419375E-3</v>
      </c>
      <c r="J35" s="92">
        <f t="shared" si="2"/>
        <v>1.6189891917167312E-3</v>
      </c>
      <c r="K35" s="93">
        <f t="shared" si="3"/>
        <v>0.98924510255603482</v>
      </c>
      <c r="L35" s="93">
        <f t="shared" si="4"/>
        <v>1.3973539469020592E-3</v>
      </c>
      <c r="M35" s="93">
        <f t="shared" si="5"/>
        <v>0.9986026460530979</v>
      </c>
      <c r="N35" s="93">
        <f t="shared" si="6"/>
        <v>5.7557984327702564E-6</v>
      </c>
      <c r="O35" s="40">
        <f t="shared" si="7"/>
        <v>9.9578822872440558E-7</v>
      </c>
      <c r="P35" s="40">
        <f t="shared" si="8"/>
        <v>9.9950731601980129E-7</v>
      </c>
      <c r="Q35" s="40">
        <f t="shared" si="9"/>
        <v>8.2340807865373336E-7</v>
      </c>
      <c r="R35" s="9">
        <f t="shared" si="12"/>
        <v>3.9999999999999996E-5</v>
      </c>
      <c r="S35" s="9">
        <f t="shared" si="13"/>
        <v>5.5894157876082364E-8</v>
      </c>
      <c r="T35" s="9">
        <f t="shared" si="10"/>
        <v>3.9569804102241389E-5</v>
      </c>
      <c r="U35" s="9">
        <f t="shared" si="11"/>
        <v>3.9944105842123913E-5</v>
      </c>
      <c r="V35" s="100">
        <f t="shared" si="14"/>
        <v>0.99062936240550925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1.2834731216469764</v>
      </c>
      <c r="J36" s="92">
        <f t="shared" si="2"/>
        <v>1.9057707829015962</v>
      </c>
      <c r="K36" s="93">
        <f t="shared" si="3"/>
        <v>5.1490934027847171E-2</v>
      </c>
      <c r="L36" s="93">
        <f t="shared" si="4"/>
        <v>5.832907383373406E-3</v>
      </c>
      <c r="M36" s="93">
        <f t="shared" si="5"/>
        <v>0.99416709261662661</v>
      </c>
      <c r="N36" s="93">
        <f t="shared" si="6"/>
        <v>4.7331503704461791E-3</v>
      </c>
      <c r="O36" s="40">
        <f t="shared" si="7"/>
        <v>5.183150854977398E-8</v>
      </c>
      <c r="P36" s="40">
        <f t="shared" si="8"/>
        <v>4.1721953240786648E-6</v>
      </c>
      <c r="Q36" s="40">
        <f t="shared" si="9"/>
        <v>6.7711096870925764E-4</v>
      </c>
      <c r="R36" s="9">
        <f t="shared" si="12"/>
        <v>3.9999999999999996E-5</v>
      </c>
      <c r="S36" s="9">
        <f t="shared" si="13"/>
        <v>2.3331629533493621E-7</v>
      </c>
      <c r="T36" s="9">
        <f t="shared" si="10"/>
        <v>2.0596373611138866E-6</v>
      </c>
      <c r="U36" s="9">
        <f t="shared" si="11"/>
        <v>3.9766683704665059E-5</v>
      </c>
      <c r="V36" s="100">
        <f t="shared" si="14"/>
        <v>5.179303802173147E-2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3.1977472098667894</v>
      </c>
      <c r="J37" s="92">
        <f t="shared" si="2"/>
        <v>4.2067820330591283</v>
      </c>
      <c r="K37" s="93">
        <f t="shared" si="3"/>
        <v>6.2206148603438009E-4</v>
      </c>
      <c r="L37" s="93">
        <f t="shared" si="4"/>
        <v>1.4092851459928427E-2</v>
      </c>
      <c r="M37" s="93">
        <f t="shared" si="5"/>
        <v>0.98590714854007155</v>
      </c>
      <c r="N37" s="93">
        <f t="shared" si="6"/>
        <v>1.3732472764765623E-2</v>
      </c>
      <c r="O37" s="40">
        <f t="shared" si="7"/>
        <v>6.2617596360630884E-10</v>
      </c>
      <c r="P37" s="40">
        <f t="shared" si="8"/>
        <v>1.0080415322837384E-5</v>
      </c>
      <c r="Q37" s="40">
        <f t="shared" si="9"/>
        <v>1.9645283180908988E-3</v>
      </c>
      <c r="R37" s="9">
        <f t="shared" si="12"/>
        <v>3.9999999999999996E-5</v>
      </c>
      <c r="S37" s="9">
        <f t="shared" si="13"/>
        <v>5.6371405839713707E-7</v>
      </c>
      <c r="T37" s="9">
        <f t="shared" si="10"/>
        <v>2.4882459441375202E-8</v>
      </c>
      <c r="U37" s="9">
        <f t="shared" si="11"/>
        <v>3.9436285941602861E-5</v>
      </c>
      <c r="V37" s="100">
        <f t="shared" si="14"/>
        <v>6.3095341884428669E-4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-1.5996885357091404E-3</v>
      </c>
      <c r="J38" s="92">
        <f t="shared" si="2"/>
        <v>-3.5948759330246263E-3</v>
      </c>
      <c r="K38" s="93">
        <f t="shared" si="3"/>
        <v>0.99710155200761807</v>
      </c>
      <c r="L38" s="93">
        <f t="shared" si="4"/>
        <v>1.3916436561165067E-3</v>
      </c>
      <c r="M38" s="93">
        <f t="shared" si="5"/>
        <v>0.99860835634388345</v>
      </c>
      <c r="N38" s="93">
        <f t="shared" si="6"/>
        <v>4.3811317389807353E-7</v>
      </c>
      <c r="O38" s="40">
        <f t="shared" si="7"/>
        <v>1.0036966427900813E-6</v>
      </c>
      <c r="P38" s="40">
        <f t="shared" si="8"/>
        <v>9.954228265964781E-7</v>
      </c>
      <c r="Q38" s="40">
        <f t="shared" si="9"/>
        <v>6.2675218905932965E-8</v>
      </c>
      <c r="R38" s="9">
        <f t="shared" si="12"/>
        <v>3.9999999999999996E-5</v>
      </c>
      <c r="S38" s="9">
        <f t="shared" si="13"/>
        <v>5.5665746244660268E-8</v>
      </c>
      <c r="T38" s="9">
        <f t="shared" si="10"/>
        <v>3.9884062080304716E-5</v>
      </c>
      <c r="U38" s="9">
        <f t="shared" si="11"/>
        <v>3.9944334253755333E-5</v>
      </c>
      <c r="V38" s="100">
        <f t="shared" si="14"/>
        <v>0.99849109580678641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0.33491051106253611</v>
      </c>
      <c r="J39" s="92">
        <f t="shared" si="2"/>
        <v>0.55831225094540515</v>
      </c>
      <c r="K39" s="93">
        <f t="shared" si="3"/>
        <v>0.45900582998916428</v>
      </c>
      <c r="L39" s="93">
        <f t="shared" si="4"/>
        <v>2.3362213070708448E-3</v>
      </c>
      <c r="M39" s="93">
        <f t="shared" si="5"/>
        <v>0.9976637786929291</v>
      </c>
      <c r="N39" s="93">
        <f t="shared" si="6"/>
        <v>9.6806325073199703E-4</v>
      </c>
      <c r="O39" s="40">
        <f t="shared" si="7"/>
        <v>4.6204181475156221E-7</v>
      </c>
      <c r="P39" s="40">
        <f t="shared" si="8"/>
        <v>1.671065726357674E-6</v>
      </c>
      <c r="Q39" s="40">
        <f t="shared" si="9"/>
        <v>1.3848836275471738E-4</v>
      </c>
      <c r="R39" s="9">
        <f t="shared" si="12"/>
        <v>3.9999999999999996E-5</v>
      </c>
      <c r="S39" s="9">
        <f t="shared" si="13"/>
        <v>9.3448852282833788E-8</v>
      </c>
      <c r="T39" s="9">
        <f t="shared" si="10"/>
        <v>1.8360233199566571E-5</v>
      </c>
      <c r="U39" s="9">
        <f t="shared" si="11"/>
        <v>3.990655114771716E-5</v>
      </c>
      <c r="V39" s="100">
        <f t="shared" si="14"/>
        <v>0.46008068027740001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0.37071855582347524</v>
      </c>
      <c r="J40" s="92">
        <f t="shared" si="2"/>
        <v>0.76406237426847545</v>
      </c>
      <c r="K40" s="93">
        <f t="shared" si="3"/>
        <v>0.42220611731422442</v>
      </c>
      <c r="L40" s="93">
        <f t="shared" si="4"/>
        <v>3.4512023511430144E-3</v>
      </c>
      <c r="M40" s="93">
        <f t="shared" si="5"/>
        <v>0.99654879764885695</v>
      </c>
      <c r="N40" s="93">
        <f t="shared" si="6"/>
        <v>2.1793916037271461E-3</v>
      </c>
      <c r="O40" s="40">
        <f t="shared" si="7"/>
        <v>4.2499869914000957E-7</v>
      </c>
      <c r="P40" s="40">
        <f t="shared" si="8"/>
        <v>2.4685957388818676E-6</v>
      </c>
      <c r="Q40" s="40">
        <f t="shared" si="9"/>
        <v>3.1177753599605197E-4</v>
      </c>
      <c r="R40" s="9">
        <f t="shared" si="12"/>
        <v>3.9999999999999996E-5</v>
      </c>
      <c r="S40" s="9">
        <f t="shared" si="13"/>
        <v>1.3804809404572055E-7</v>
      </c>
      <c r="T40" s="9">
        <f t="shared" si="10"/>
        <v>1.6888244692568973E-5</v>
      </c>
      <c r="U40" s="9">
        <f t="shared" si="11"/>
        <v>3.9861951905954272E-5</v>
      </c>
      <c r="V40" s="100">
        <f t="shared" si="14"/>
        <v>0.42366828228615511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6.2122287627494992E-2</v>
      </c>
      <c r="J41" s="92">
        <f t="shared" si="2"/>
        <v>0.11635831463150176</v>
      </c>
      <c r="K41" s="93">
        <f t="shared" si="3"/>
        <v>0.86086267524377191</v>
      </c>
      <c r="L41" s="93">
        <f t="shared" si="4"/>
        <v>1.5837102256165464E-3</v>
      </c>
      <c r="M41" s="93">
        <f t="shared" si="5"/>
        <v>0.99841628977438346</v>
      </c>
      <c r="N41" s="93">
        <f t="shared" si="6"/>
        <v>1.9409145269660052E-4</v>
      </c>
      <c r="O41" s="40">
        <f t="shared" si="7"/>
        <v>8.6655664641755596E-7</v>
      </c>
      <c r="P41" s="40">
        <f t="shared" si="8"/>
        <v>1.1328052999517208E-6</v>
      </c>
      <c r="Q41" s="40">
        <f t="shared" si="9"/>
        <v>2.7766168675767962E-5</v>
      </c>
      <c r="R41" s="9">
        <f t="shared" si="12"/>
        <v>3.9999999999999996E-5</v>
      </c>
      <c r="S41" s="9">
        <f t="shared" si="13"/>
        <v>6.3348409024661848E-8</v>
      </c>
      <c r="T41" s="9">
        <f t="shared" si="10"/>
        <v>3.4434507009750877E-5</v>
      </c>
      <c r="U41" s="9">
        <f t="shared" si="11"/>
        <v>3.9936651590975334E-5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0.22542744412672311</v>
      </c>
      <c r="J42" s="92">
        <f t="shared" si="2"/>
        <v>0.49176308419639264</v>
      </c>
      <c r="K42" s="93">
        <f t="shared" si="3"/>
        <v>0.59046730198486297</v>
      </c>
      <c r="L42" s="93">
        <f t="shared" si="4"/>
        <v>2.5783535285051652E-3</v>
      </c>
      <c r="M42" s="93">
        <f t="shared" si="5"/>
        <v>0.99742164647149478</v>
      </c>
      <c r="N42" s="93">
        <f t="shared" si="6"/>
        <v>1.2472324025777318E-3</v>
      </c>
      <c r="O42" s="40">
        <f t="shared" si="7"/>
        <v>5.9437280734971323E-7</v>
      </c>
      <c r="P42" s="40">
        <f t="shared" si="8"/>
        <v>1.8442594453179082E-6</v>
      </c>
      <c r="Q42" s="40">
        <f t="shared" si="9"/>
        <v>1.7842550399162004E-4</v>
      </c>
      <c r="R42" s="9">
        <f t="shared" si="12"/>
        <v>3.9999999999999996E-5</v>
      </c>
      <c r="S42" s="9">
        <f t="shared" si="13"/>
        <v>1.031341411402066E-7</v>
      </c>
      <c r="T42" s="9">
        <f t="shared" si="10"/>
        <v>2.3618692079394515E-5</v>
      </c>
      <c r="U42" s="9">
        <f t="shared" si="11"/>
        <v>3.9896865858859789E-5</v>
      </c>
      <c r="V42" s="100">
        <f t="shared" si="14"/>
        <v>0.59199367095522315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0.32073739190116707</v>
      </c>
      <c r="J43" s="92">
        <f t="shared" si="2"/>
        <v>0.56249502482927183</v>
      </c>
      <c r="K43" s="93">
        <f t="shared" si="3"/>
        <v>0.47418468199973374</v>
      </c>
      <c r="L43" s="93">
        <f t="shared" si="4"/>
        <v>2.4368347161917198E-3</v>
      </c>
      <c r="M43" s="93">
        <f t="shared" si="5"/>
        <v>0.99756316528380828</v>
      </c>
      <c r="N43" s="93">
        <f t="shared" si="6"/>
        <v>1.0795084661694822E-3</v>
      </c>
      <c r="O43" s="40">
        <f t="shared" si="7"/>
        <v>4.7732106366431442E-7</v>
      </c>
      <c r="P43" s="40">
        <f t="shared" si="8"/>
        <v>1.7430330605674201E-6</v>
      </c>
      <c r="Q43" s="40">
        <f t="shared" si="9"/>
        <v>1.5443139686030274E-4</v>
      </c>
      <c r="R43" s="9">
        <f t="shared" si="12"/>
        <v>3.9999999999999996E-5</v>
      </c>
      <c r="S43" s="9">
        <f t="shared" si="13"/>
        <v>9.7473388647668781E-8</v>
      </c>
      <c r="T43" s="9">
        <f t="shared" si="10"/>
        <v>1.8967387279989348E-5</v>
      </c>
      <c r="U43" s="9">
        <f t="shared" si="11"/>
        <v>3.9902526611352329E-5</v>
      </c>
      <c r="V43" s="100">
        <f t="shared" si="14"/>
        <v>0.47534301435922349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3.8293839195374848</v>
      </c>
      <c r="J44" s="92">
        <f t="shared" si="2"/>
        <v>4.7874172575965854</v>
      </c>
      <c r="K44" s="93">
        <f t="shared" si="3"/>
        <v>1.4550412018006809E-4</v>
      </c>
      <c r="L44" s="93">
        <f t="shared" si="4"/>
        <v>1.255093489278163E-2</v>
      </c>
      <c r="M44" s="93">
        <f t="shared" si="5"/>
        <v>0.98744906510721842</v>
      </c>
      <c r="N44" s="93">
        <f t="shared" si="6"/>
        <v>1.2051381186358394E-2</v>
      </c>
      <c r="O44" s="40">
        <f t="shared" si="7"/>
        <v>1.4646652253505173E-10</v>
      </c>
      <c r="P44" s="40">
        <f t="shared" si="8"/>
        <v>8.9775044297368E-6</v>
      </c>
      <c r="Q44" s="40">
        <f t="shared" si="9"/>
        <v>1.7240361600027562E-3</v>
      </c>
      <c r="R44" s="9">
        <f t="shared" si="12"/>
        <v>3.9999999999999996E-5</v>
      </c>
      <c r="S44" s="9">
        <f t="shared" si="13"/>
        <v>5.0203739571126515E-7</v>
      </c>
      <c r="T44" s="9">
        <f t="shared" si="10"/>
        <v>5.8201648072027229E-9</v>
      </c>
      <c r="U44" s="9">
        <f t="shared" si="11"/>
        <v>3.949796260428873E-5</v>
      </c>
      <c r="V44" s="100">
        <f t="shared" si="14"/>
        <v>1.4735354492868862E-4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3.8037572032670899E-2</v>
      </c>
      <c r="J45" s="92">
        <f t="shared" si="2"/>
        <v>8.1651701078615704E-2</v>
      </c>
      <c r="K45" s="93">
        <f t="shared" si="3"/>
        <v>0.90998705061342466</v>
      </c>
      <c r="L45" s="93">
        <f t="shared" si="4"/>
        <v>1.5455050952068205E-3</v>
      </c>
      <c r="M45" s="93">
        <f t="shared" si="5"/>
        <v>0.99845449490479321</v>
      </c>
      <c r="N45" s="93">
        <f t="shared" si="6"/>
        <v>1.5811560874961163E-4</v>
      </c>
      <c r="O45" s="40">
        <f t="shared" si="7"/>
        <v>9.1600594327042422E-7</v>
      </c>
      <c r="P45" s="40">
        <f t="shared" si="8"/>
        <v>1.1054777159572216E-6</v>
      </c>
      <c r="Q45" s="40">
        <f t="shared" si="9"/>
        <v>2.2619567228837293E-5</v>
      </c>
      <c r="R45" s="9">
        <f t="shared" si="12"/>
        <v>3.9999999999999996E-5</v>
      </c>
      <c r="S45" s="9">
        <f t="shared" si="13"/>
        <v>6.1820203808272814E-8</v>
      </c>
      <c r="T45" s="9">
        <f t="shared" si="10"/>
        <v>3.6399482024536986E-5</v>
      </c>
      <c r="U45" s="9">
        <f t="shared" si="11"/>
        <v>3.9938179796191725E-5</v>
      </c>
      <c r="V45" s="100">
        <f t="shared" si="14"/>
        <v>0.9113956171835309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4.0258976380178252E-2</v>
      </c>
      <c r="J46" s="92">
        <f t="shared" si="2"/>
        <v>8.191699132953921E-2</v>
      </c>
      <c r="K46" s="93">
        <f t="shared" si="3"/>
        <v>0.9053506636413623</v>
      </c>
      <c r="L46" s="93">
        <f t="shared" si="4"/>
        <v>1.538570295604821E-3</v>
      </c>
      <c r="M46" s="93">
        <f t="shared" si="5"/>
        <v>0.99846142970439522</v>
      </c>
      <c r="N46" s="93">
        <f t="shared" si="6"/>
        <v>1.5001937661748827E-4</v>
      </c>
      <c r="O46" s="40">
        <f t="shared" si="7"/>
        <v>9.1133889002076766E-7</v>
      </c>
      <c r="P46" s="40">
        <f t="shared" si="8"/>
        <v>1.1005173528704768E-6</v>
      </c>
      <c r="Q46" s="40">
        <f t="shared" si="9"/>
        <v>2.1461343392107528E-5</v>
      </c>
      <c r="R46" s="9">
        <f t="shared" si="12"/>
        <v>3.9999999999999996E-5</v>
      </c>
      <c r="S46" s="9">
        <f t="shared" si="13"/>
        <v>6.1542811824192836E-8</v>
      </c>
      <c r="T46" s="9">
        <f t="shared" si="10"/>
        <v>3.6214026545654491E-5</v>
      </c>
      <c r="U46" s="9">
        <f t="shared" si="11"/>
        <v>3.9938457188175802E-5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0.50587648659747519</v>
      </c>
      <c r="J47" s="92">
        <f t="shared" si="2"/>
        <v>0.9883505302708685</v>
      </c>
      <c r="K47" s="93">
        <f t="shared" si="3"/>
        <v>0.30904753113807237</v>
      </c>
      <c r="L47" s="93">
        <f t="shared" si="4"/>
        <v>4.2340827027413886E-3</v>
      </c>
      <c r="M47" s="93">
        <f t="shared" si="5"/>
        <v>0.99576591729725861</v>
      </c>
      <c r="N47" s="93">
        <f t="shared" si="6"/>
        <v>3.0198320433824375E-3</v>
      </c>
      <c r="O47" s="40">
        <f t="shared" si="7"/>
        <v>3.1109165244131166E-7</v>
      </c>
      <c r="P47" s="40">
        <f t="shared" si="8"/>
        <v>3.0285788703751614E-6</v>
      </c>
      <c r="Q47" s="40">
        <f t="shared" si="9"/>
        <v>4.3200854403473892E-4</v>
      </c>
      <c r="R47" s="9">
        <f t="shared" si="12"/>
        <v>3.9999999999999996E-5</v>
      </c>
      <c r="S47" s="9">
        <f t="shared" si="13"/>
        <v>1.6936330810965552E-7</v>
      </c>
      <c r="T47" s="9">
        <f t="shared" si="10"/>
        <v>1.2361901245522893E-5</v>
      </c>
      <c r="U47" s="9">
        <f t="shared" si="11"/>
        <v>3.9830636691890341E-5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3.2716025135218711E-3</v>
      </c>
      <c r="K48" s="93">
        <f t="shared" ref="K48:K50" si="17">IF(D48=0,"",1/(1+10^D48*$J$15/$J$14+10^E48*$J$16/$J$14+10^J48*$J$19/$J$14))</f>
        <v>0.98864273063045616</v>
      </c>
      <c r="L48" s="93">
        <f t="shared" ref="L48:L50" si="18">IF(D48=0,"",1/(1+10^I48/10^J48*$J$13/$J$19))</f>
        <v>1.4018272817604876E-3</v>
      </c>
      <c r="M48" s="93">
        <f t="shared" ref="M48:M92" si="19">IF(D48=0,"",1-L48)</f>
        <v>0.99859817271823947</v>
      </c>
      <c r="N48" s="93">
        <f t="shared" ref="N48:N50" si="20">IF(D48=0,"",1/(1/10^E48*$J$20/$J$22+10^D48/10^E48*$J$21/$J$22+10^I48/10^E48*$J$13/$J$22+1))</f>
        <v>1.0563136930412127E-5</v>
      </c>
      <c r="O48" s="40">
        <f t="shared" ref="O48:O92" si="21">IF(D48=0,"",F48*K48*$J$7/$J$14)</f>
        <v>9.9518187255316409E-7</v>
      </c>
      <c r="P48" s="40">
        <f t="shared" ref="P48:P50" si="22">IF(D48=0,"",O48*10^J48)</f>
        <v>1.0027070285392513E-6</v>
      </c>
      <c r="Q48" s="40">
        <f t="shared" ref="Q48:Q50" si="23">IF(D48=0,"",F48*N48*$J$7/$J$22)</f>
        <v>1.5111321888735287E-6</v>
      </c>
      <c r="R48" s="9">
        <f t="shared" si="12"/>
        <v>3.9999999999999996E-5</v>
      </c>
      <c r="S48" s="9">
        <f t="shared" si="13"/>
        <v>5.6073091270419498E-8</v>
      </c>
      <c r="T48" s="9">
        <f t="shared" si="10"/>
        <v>3.9545709225218242E-5</v>
      </c>
      <c r="U48" s="9">
        <f t="shared" si="11"/>
        <v>3.9943926908729574E-5</v>
      </c>
      <c r="V48" s="100">
        <f t="shared" si="14"/>
        <v>0.99003058251079701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8.7763082204907472E-2</v>
      </c>
      <c r="J49" s="92">
        <f t="shared" si="16"/>
        <v>0.20411410518597825</v>
      </c>
      <c r="K49" s="93">
        <f t="shared" si="17"/>
        <v>0.81131095817124044</v>
      </c>
      <c r="L49" s="93">
        <f t="shared" si="18"/>
        <v>1.8267746444317525E-3</v>
      </c>
      <c r="M49" s="93">
        <f t="shared" si="19"/>
        <v>0.99817322535556829</v>
      </c>
      <c r="N49" s="93">
        <f t="shared" si="20"/>
        <v>4.5336070411229319E-4</v>
      </c>
      <c r="O49" s="40">
        <f t="shared" si="21"/>
        <v>8.1667718131187559E-7</v>
      </c>
      <c r="P49" s="40">
        <f t="shared" si="22"/>
        <v>1.3066658063813973E-6</v>
      </c>
      <c r="Q49" s="40">
        <f t="shared" si="23"/>
        <v>6.4856487014007183E-5</v>
      </c>
      <c r="R49" s="9">
        <f t="shared" si="12"/>
        <v>3.9999999999999996E-5</v>
      </c>
      <c r="S49" s="9">
        <f t="shared" si="13"/>
        <v>7.3070985777270088E-8</v>
      </c>
      <c r="T49" s="9">
        <f t="shared" si="10"/>
        <v>3.2452438326849616E-5</v>
      </c>
      <c r="U49" s="9">
        <f t="shared" si="11"/>
        <v>3.9926929014222725E-5</v>
      </c>
      <c r="V49" s="100">
        <f t="shared" si="14"/>
        <v>0.81279575284363692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0.50667591684415281</v>
      </c>
      <c r="J50" s="92">
        <f t="shared" si="16"/>
        <v>0.88026017671842771</v>
      </c>
      <c r="K50" s="93">
        <f t="shared" si="17"/>
        <v>0.30876909986285556</v>
      </c>
      <c r="L50" s="93">
        <f t="shared" si="18"/>
        <v>3.2982041690555958E-3</v>
      </c>
      <c r="M50" s="93">
        <f t="shared" si="19"/>
        <v>0.99670179583094443</v>
      </c>
      <c r="N50" s="93">
        <f t="shared" si="20"/>
        <v>1.9994813789597611E-3</v>
      </c>
      <c r="O50" s="40">
        <f t="shared" si="21"/>
        <v>3.1081137954872593E-7</v>
      </c>
      <c r="P50" s="40">
        <f t="shared" si="22"/>
        <v>2.3591583249230523E-6</v>
      </c>
      <c r="Q50" s="40">
        <f t="shared" si="23"/>
        <v>2.8604009327004348E-4</v>
      </c>
      <c r="R50" s="9">
        <f t="shared" si="12"/>
        <v>3.9999999999999996E-5</v>
      </c>
      <c r="S50" s="9">
        <f t="shared" si="13"/>
        <v>1.3192816676222381E-7</v>
      </c>
      <c r="T50" s="9">
        <f t="shared" si="10"/>
        <v>1.2350763994514222E-5</v>
      </c>
      <c r="U50" s="9">
        <f t="shared" si="11"/>
        <v>3.9868071833237775E-5</v>
      </c>
      <c r="V50" s="100">
        <f t="shared" si="14"/>
        <v>0.3097908533468996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3.7781080579293054</v>
      </c>
      <c r="K51" s="93">
        <f t="shared" ref="K51:K70" si="26">IF(D51=0,"",1/(1+10^D51*$J$15/$J$14+10^E51*$J$16/$J$14+10^J51*$J$19/$J$14))</f>
        <v>1.0377731633608267E-3</v>
      </c>
      <c r="L51" s="93">
        <f t="shared" ref="L51:L70" si="27">IF(D51=0,"",1/(1+10^I51/10^J51*$J$13/$J$19))</f>
        <v>8.7618138385829013E-3</v>
      </c>
      <c r="M51" s="93">
        <f t="shared" ref="M51:M70" si="28">IF(D51=0,"",1-L51)</f>
        <v>0.99123818616141712</v>
      </c>
      <c r="N51" s="93">
        <f t="shared" ref="N51:N70" si="29">IF(D51=0,"",1/(1/10^E51*$J$20/$J$22+10^D51/10^E51*$J$21/$J$22+10^I51/10^E51*$J$13/$J$22+1))</f>
        <v>7.9204885035336833E-3</v>
      </c>
      <c r="O51" s="40">
        <f t="shared" ref="O51:O70" si="30">IF(D51=0,"",F51*K51*$J$7/$J$14)</f>
        <v>1.0446372668317201E-9</v>
      </c>
      <c r="P51" s="40">
        <f t="shared" ref="P51:P70" si="31">IF(D51=0,"",O51*10^J51)</f>
        <v>6.2672002699692216E-6</v>
      </c>
      <c r="Q51" s="40">
        <f t="shared" ref="Q51:Q70" si="32">IF(D51=0,"",F51*N51*$J$7/$J$22)</f>
        <v>1.1330824553483756E-3</v>
      </c>
      <c r="R51" s="9">
        <f t="shared" si="12"/>
        <v>3.9999999999999996E-5</v>
      </c>
      <c r="S51" s="9">
        <f t="shared" si="13"/>
        <v>3.5047255354331603E-7</v>
      </c>
      <c r="T51" s="9">
        <f t="shared" si="10"/>
        <v>4.1510926534433066E-8</v>
      </c>
      <c r="U51" s="9">
        <f t="shared" si="11"/>
        <v>3.9649527446456681E-5</v>
      </c>
      <c r="V51" s="100">
        <f t="shared" si="14"/>
        <v>1.0469463120459644E-3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0.64393554165863076</v>
      </c>
      <c r="J52" s="92">
        <f t="shared" si="25"/>
        <v>1.1609089688318674</v>
      </c>
      <c r="K52" s="93">
        <f t="shared" si="26"/>
        <v>0.224809271478213</v>
      </c>
      <c r="L52" s="93">
        <f t="shared" si="27"/>
        <v>4.5825447527925349E-3</v>
      </c>
      <c r="M52" s="93">
        <f t="shared" si="28"/>
        <v>0.99541745524720748</v>
      </c>
      <c r="N52" s="93">
        <f t="shared" si="29"/>
        <v>3.3900004078025107E-3</v>
      </c>
      <c r="O52" s="40">
        <f t="shared" si="30"/>
        <v>2.2629621887203961E-7</v>
      </c>
      <c r="P52" s="40">
        <f t="shared" si="31"/>
        <v>3.2778287967474592E-6</v>
      </c>
      <c r="Q52" s="40">
        <f t="shared" si="32"/>
        <v>4.8496377262477621E-4</v>
      </c>
      <c r="R52" s="9">
        <f t="shared" si="12"/>
        <v>3.9999999999999996E-5</v>
      </c>
      <c r="S52" s="9">
        <f t="shared" si="13"/>
        <v>1.8330179011170137E-7</v>
      </c>
      <c r="T52" s="9">
        <f t="shared" si="10"/>
        <v>8.9923708591285185E-6</v>
      </c>
      <c r="U52" s="9">
        <f t="shared" si="11"/>
        <v>3.9816698209888295E-5</v>
      </c>
      <c r="V52" s="100">
        <f t="shared" si="14"/>
        <v>0.22584421269002422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1.3135143326183101</v>
      </c>
      <c r="J53" s="92">
        <f t="shared" si="25"/>
        <v>1.9942887659269517</v>
      </c>
      <c r="K53" s="93">
        <f t="shared" si="26"/>
        <v>4.8009213676984457E-2</v>
      </c>
      <c r="L53" s="93">
        <f t="shared" si="27"/>
        <v>6.6680198913548431E-3</v>
      </c>
      <c r="M53" s="93">
        <f t="shared" si="28"/>
        <v>0.99333198010864521</v>
      </c>
      <c r="N53" s="93">
        <f t="shared" si="29"/>
        <v>5.6432088720984085E-3</v>
      </c>
      <c r="O53" s="40">
        <f t="shared" si="30"/>
        <v>4.8326759188729852E-8</v>
      </c>
      <c r="P53" s="40">
        <f t="shared" si="31"/>
        <v>4.7695393708590999E-6</v>
      </c>
      <c r="Q53" s="40">
        <f t="shared" si="32"/>
        <v>8.0730133778847781E-4</v>
      </c>
      <c r="R53" s="9">
        <f t="shared" si="12"/>
        <v>3.9999999999999996E-5</v>
      </c>
      <c r="S53" s="9">
        <f t="shared" si="13"/>
        <v>2.6672079565419369E-7</v>
      </c>
      <c r="T53" s="9">
        <f t="shared" si="10"/>
        <v>1.9203685470793782E-6</v>
      </c>
      <c r="U53" s="9">
        <f t="shared" si="11"/>
        <v>3.9733279204345808E-5</v>
      </c>
      <c r="V53" s="100">
        <f t="shared" si="14"/>
        <v>4.8331489007062342E-2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0.78379345695532832</v>
      </c>
      <c r="J54" s="92">
        <f t="shared" si="25"/>
        <v>1.3432804907607612</v>
      </c>
      <c r="K54" s="93">
        <f t="shared" si="26"/>
        <v>0.16283646888790507</v>
      </c>
      <c r="L54" s="93">
        <f t="shared" si="27"/>
        <v>5.051445767640027E-3</v>
      </c>
      <c r="M54" s="93">
        <f t="shared" si="28"/>
        <v>0.99494855423235995</v>
      </c>
      <c r="N54" s="93">
        <f t="shared" si="29"/>
        <v>3.8940471731819218E-3</v>
      </c>
      <c r="O54" s="40">
        <f t="shared" si="30"/>
        <v>1.6391351193617752E-7</v>
      </c>
      <c r="P54" s="40">
        <f t="shared" si="31"/>
        <v>3.6132269940819452E-6</v>
      </c>
      <c r="Q54" s="40">
        <f t="shared" si="32"/>
        <v>5.5707126274633925E-4</v>
      </c>
      <c r="R54" s="9">
        <f t="shared" si="12"/>
        <v>3.9999999999999996E-5</v>
      </c>
      <c r="S54" s="9">
        <f t="shared" si="13"/>
        <v>2.0205783070560106E-7</v>
      </c>
      <c r="T54" s="9">
        <f t="shared" si="10"/>
        <v>6.5134587555162022E-6</v>
      </c>
      <c r="U54" s="9">
        <f t="shared" si="11"/>
        <v>3.9797942169294397E-5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5.6400487609719711E-2</v>
      </c>
      <c r="J55" s="54">
        <f t="shared" si="25"/>
        <v>0.12835770982382372</v>
      </c>
      <c r="K55" s="55">
        <f t="shared" si="26"/>
        <v>0.87222199388602728</v>
      </c>
      <c r="L55" s="55">
        <f t="shared" si="27"/>
        <v>1.6495605864700804E-3</v>
      </c>
      <c r="M55" s="55">
        <f t="shared" si="28"/>
        <v>0.99835043941352997</v>
      </c>
      <c r="N55" s="55">
        <f t="shared" si="29"/>
        <v>2.6719576219984791E-4</v>
      </c>
      <c r="O55" s="56">
        <f t="shared" si="30"/>
        <v>8.7799109856805005E-7</v>
      </c>
      <c r="P55" s="56">
        <f t="shared" si="31"/>
        <v>1.1799071223508128E-6</v>
      </c>
      <c r="Q55" s="56">
        <f t="shared" si="32"/>
        <v>3.8224262323846813E-5</v>
      </c>
      <c r="R55" s="9">
        <f t="shared" si="12"/>
        <v>3.9999999999999996E-5</v>
      </c>
      <c r="S55" s="9">
        <f t="shared" si="13"/>
        <v>6.5982423458803205E-8</v>
      </c>
      <c r="T55" s="9">
        <f t="shared" si="10"/>
        <v>3.4888879755441086E-5</v>
      </c>
      <c r="U55" s="9">
        <f t="shared" si="11"/>
        <v>3.9934017576541196E-5</v>
      </c>
      <c r="V55" s="100">
        <f t="shared" si="14"/>
        <v>0.87366315419103191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0.61860589125383425</v>
      </c>
      <c r="J56" s="54">
        <f t="shared" si="25"/>
        <v>1.1486336221473528</v>
      </c>
      <c r="K56" s="55">
        <f t="shared" si="26"/>
        <v>0.23827755922627536</v>
      </c>
      <c r="L56" s="55">
        <f t="shared" si="27"/>
        <v>4.7217206866739404E-3</v>
      </c>
      <c r="M56" s="55">
        <f t="shared" si="28"/>
        <v>0.99527827931332602</v>
      </c>
      <c r="N56" s="55">
        <f t="shared" si="29"/>
        <v>3.5432898079184715E-3</v>
      </c>
      <c r="O56" s="56">
        <f t="shared" si="30"/>
        <v>2.3985358940229599E-7</v>
      </c>
      <c r="P56" s="56">
        <f t="shared" si="31"/>
        <v>3.3773793540252034E-6</v>
      </c>
      <c r="Q56" s="56">
        <f t="shared" si="32"/>
        <v>5.0689291623565093E-4</v>
      </c>
      <c r="R56" s="9">
        <f t="shared" si="12"/>
        <v>3.9999999999999996E-5</v>
      </c>
      <c r="S56" s="9">
        <f t="shared" si="13"/>
        <v>1.8886882746695759E-7</v>
      </c>
      <c r="T56" s="9">
        <f t="shared" si="10"/>
        <v>9.5311023690510131E-6</v>
      </c>
      <c r="U56" s="9">
        <f t="shared" si="11"/>
        <v>3.9811131172533036E-5</v>
      </c>
      <c r="V56" s="100">
        <f t="shared" si="14"/>
        <v>0.23940797682299525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0.26171036693668792</v>
      </c>
      <c r="J57" s="54">
        <f t="shared" si="25"/>
        <v>0.57468086792098039</v>
      </c>
      <c r="K57" s="55">
        <f t="shared" si="26"/>
        <v>0.54298272693856775</v>
      </c>
      <c r="L57" s="55">
        <f t="shared" si="27"/>
        <v>2.8697919304888934E-3</v>
      </c>
      <c r="M57" s="55">
        <f t="shared" si="28"/>
        <v>0.99713020806951114</v>
      </c>
      <c r="N57" s="55">
        <f t="shared" si="29"/>
        <v>1.5594790559480493E-3</v>
      </c>
      <c r="O57" s="56">
        <f t="shared" si="30"/>
        <v>5.4657415688896652E-7</v>
      </c>
      <c r="P57" s="56">
        <f t="shared" si="31"/>
        <v>2.052721170851126E-6</v>
      </c>
      <c r="Q57" s="56">
        <f t="shared" si="32"/>
        <v>2.2309461808948231E-4</v>
      </c>
      <c r="R57" s="9">
        <f t="shared" si="12"/>
        <v>3.9999999999999996E-5</v>
      </c>
      <c r="S57" s="9">
        <f t="shared" si="13"/>
        <v>1.1479167721955572E-7</v>
      </c>
      <c r="T57" s="9">
        <f t="shared" si="10"/>
        <v>2.1719309077542707E-5</v>
      </c>
      <c r="U57" s="9">
        <f t="shared" si="11"/>
        <v>3.9885208322780442E-5</v>
      </c>
      <c r="V57" s="100">
        <f t="shared" si="14"/>
        <v>0.54454545910288554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0.19893820408979257</v>
      </c>
      <c r="J58" s="54">
        <f t="shared" si="25"/>
        <v>0.42305595357710185</v>
      </c>
      <c r="K58" s="55">
        <f t="shared" si="26"/>
        <v>0.62775305445350138</v>
      </c>
      <c r="L58" s="55">
        <f t="shared" si="27"/>
        <v>2.3400671283840629E-3</v>
      </c>
      <c r="M58" s="55">
        <f t="shared" si="28"/>
        <v>0.99765993287161592</v>
      </c>
      <c r="N58" s="55">
        <f t="shared" si="29"/>
        <v>9.9175492708154355E-4</v>
      </c>
      <c r="O58" s="56">
        <f t="shared" si="30"/>
        <v>6.3190517754944229E-7</v>
      </c>
      <c r="P58" s="56">
        <f t="shared" si="31"/>
        <v>1.6738165874027141E-6</v>
      </c>
      <c r="Q58" s="56">
        <f t="shared" si="32"/>
        <v>1.4187762628277965E-4</v>
      </c>
      <c r="R58" s="9">
        <f t="shared" si="12"/>
        <v>3.9999999999999996E-5</v>
      </c>
      <c r="S58" s="9">
        <f t="shared" si="13"/>
        <v>9.3602685135362512E-8</v>
      </c>
      <c r="T58" s="9">
        <f t="shared" si="10"/>
        <v>2.5110122178140054E-5</v>
      </c>
      <c r="U58" s="9">
        <f t="shared" si="11"/>
        <v>3.990639731486463E-5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6.5352597387686409E-2</v>
      </c>
      <c r="J59" s="54">
        <f t="shared" si="25"/>
        <v>0.17496858668585646</v>
      </c>
      <c r="K59" s="55">
        <f t="shared" si="26"/>
        <v>0.85429927026245478</v>
      </c>
      <c r="L59" s="55">
        <f t="shared" si="27"/>
        <v>1.7987141450457201E-3</v>
      </c>
      <c r="M59" s="55">
        <f t="shared" si="28"/>
        <v>0.99820128585495427</v>
      </c>
      <c r="N59" s="55">
        <f t="shared" si="29"/>
        <v>4.2773576738619479E-4</v>
      </c>
      <c r="O59" s="56">
        <f t="shared" si="30"/>
        <v>8.5994982935689091E-7</v>
      </c>
      <c r="P59" s="56">
        <f t="shared" si="31"/>
        <v>1.2865945320348456E-6</v>
      </c>
      <c r="Q59" s="56">
        <f t="shared" si="32"/>
        <v>6.119065678007648E-5</v>
      </c>
      <c r="R59" s="9">
        <f t="shared" si="12"/>
        <v>3.9999999999999996E-5</v>
      </c>
      <c r="S59" s="9">
        <f t="shared" si="13"/>
        <v>7.1948565801828799E-8</v>
      </c>
      <c r="T59" s="9">
        <f t="shared" si="10"/>
        <v>3.4171970810498189E-5</v>
      </c>
      <c r="U59" s="9">
        <f t="shared" si="11"/>
        <v>3.992805143419817E-5</v>
      </c>
      <c r="V59" s="100">
        <f t="shared" si="14"/>
        <v>0.85583867940097058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0.6487673116742505</v>
      </c>
      <c r="J60" s="54">
        <f t="shared" si="25"/>
        <v>1.2049718259520312</v>
      </c>
      <c r="K60" s="55">
        <f t="shared" si="26"/>
        <v>0.22222572957758235</v>
      </c>
      <c r="L60" s="55">
        <f t="shared" si="27"/>
        <v>5.0136001479889215E-3</v>
      </c>
      <c r="M60" s="55">
        <f t="shared" si="28"/>
        <v>0.99498639985201109</v>
      </c>
      <c r="N60" s="55">
        <f t="shared" si="29"/>
        <v>3.859649391937248E-3</v>
      </c>
      <c r="O60" s="56">
        <f t="shared" si="30"/>
        <v>2.2369558874870926E-7</v>
      </c>
      <c r="P60" s="56">
        <f t="shared" si="31"/>
        <v>3.5861565629972181E-6</v>
      </c>
      <c r="Q60" s="56">
        <f t="shared" si="32"/>
        <v>5.5215041444085127E-4</v>
      </c>
      <c r="R60" s="9">
        <f t="shared" si="12"/>
        <v>3.9999999999999996E-5</v>
      </c>
      <c r="S60" s="9">
        <f t="shared" si="13"/>
        <v>2.0054400591955685E-7</v>
      </c>
      <c r="T60" s="9">
        <f t="shared" si="10"/>
        <v>8.8890291831032936E-6</v>
      </c>
      <c r="U60" s="9">
        <f t="shared" si="11"/>
        <v>3.9799455994080443E-5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1.4117733403846819</v>
      </c>
      <c r="J61" s="54">
        <f t="shared" si="25"/>
        <v>2.1983266201231308</v>
      </c>
      <c r="K61" s="55">
        <f t="shared" si="26"/>
        <v>3.8217974438364138E-2</v>
      </c>
      <c r="L61" s="55">
        <f t="shared" si="27"/>
        <v>8.4913709488330102E-3</v>
      </c>
      <c r="M61" s="55">
        <f t="shared" si="28"/>
        <v>0.99150862905116699</v>
      </c>
      <c r="N61" s="55">
        <f t="shared" si="29"/>
        <v>7.6299410117193567E-3</v>
      </c>
      <c r="O61" s="56">
        <f t="shared" si="30"/>
        <v>3.8470758129689635E-8</v>
      </c>
      <c r="P61" s="56">
        <f t="shared" si="31"/>
        <v>6.0737563344009866E-6</v>
      </c>
      <c r="Q61" s="56">
        <f t="shared" si="32"/>
        <v>1.0915175613051089E-3</v>
      </c>
      <c r="R61" s="9">
        <f t="shared" si="12"/>
        <v>3.9999999999999996E-5</v>
      </c>
      <c r="S61" s="9">
        <f t="shared" si="13"/>
        <v>3.3965483795332036E-7</v>
      </c>
      <c r="T61" s="9">
        <f t="shared" si="10"/>
        <v>1.5287189775345654E-6</v>
      </c>
      <c r="U61" s="9">
        <f t="shared" si="11"/>
        <v>3.9660345162046673E-5</v>
      </c>
      <c r="V61" s="100">
        <f t="shared" si="14"/>
        <v>3.8545276680987811E-2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2.2542758302531842</v>
      </c>
      <c r="J62" s="54">
        <f t="shared" si="25"/>
        <v>3.1746738444272542</v>
      </c>
      <c r="K62" s="55">
        <f t="shared" si="26"/>
        <v>5.4756551193123086E-3</v>
      </c>
      <c r="L62" s="55">
        <f t="shared" si="27"/>
        <v>1.1521087071790059E-2</v>
      </c>
      <c r="M62" s="55">
        <f t="shared" si="28"/>
        <v>0.98847891292820989</v>
      </c>
      <c r="N62" s="55">
        <f t="shared" si="29"/>
        <v>1.0929230899604214E-2</v>
      </c>
      <c r="O62" s="56">
        <f t="shared" si="30"/>
        <v>5.5118725362169483E-9</v>
      </c>
      <c r="P62" s="56">
        <f t="shared" si="31"/>
        <v>8.2408689954932625E-6</v>
      </c>
      <c r="Q62" s="56">
        <f t="shared" si="32"/>
        <v>1.5635045461233797E-3</v>
      </c>
      <c r="R62" s="9">
        <f t="shared" si="12"/>
        <v>3.9999999999999996E-5</v>
      </c>
      <c r="S62" s="9">
        <f t="shared" si="13"/>
        <v>4.6084348287160232E-7</v>
      </c>
      <c r="T62" s="9">
        <f t="shared" si="10"/>
        <v>2.1902620477249232E-7</v>
      </c>
      <c r="U62" s="9">
        <f t="shared" si="11"/>
        <v>3.9539156517128389E-5</v>
      </c>
      <c r="V62" s="100">
        <f t="shared" si="14"/>
        <v>5.539475903528949E-3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3.3259932392561606</v>
      </c>
      <c r="J63" s="54">
        <f t="shared" si="25"/>
        <v>4.3437142739376391</v>
      </c>
      <c r="K63" s="55">
        <f t="shared" si="26"/>
        <v>4.6287492623577894E-4</v>
      </c>
      <c r="L63" s="55">
        <f t="shared" si="27"/>
        <v>1.4373464400084258E-2</v>
      </c>
      <c r="M63" s="55">
        <f t="shared" si="28"/>
        <v>0.98562653559991575</v>
      </c>
      <c r="N63" s="55">
        <f t="shared" si="29"/>
        <v>1.4038385708402846E-2</v>
      </c>
      <c r="O63" s="56">
        <f t="shared" si="30"/>
        <v>4.6593650221397741E-10</v>
      </c>
      <c r="P63" s="56">
        <f t="shared" si="31"/>
        <v>1.0281133750174559E-5</v>
      </c>
      <c r="Q63" s="56">
        <f t="shared" si="32"/>
        <v>2.0082913497706583E-3</v>
      </c>
      <c r="R63" s="9">
        <f t="shared" si="12"/>
        <v>3.9999999999999996E-5</v>
      </c>
      <c r="S63" s="9">
        <f t="shared" si="13"/>
        <v>5.749385760033703E-7</v>
      </c>
      <c r="T63" s="9">
        <f t="shared" si="10"/>
        <v>1.8514997049431155E-8</v>
      </c>
      <c r="U63" s="9">
        <f t="shared" si="11"/>
        <v>3.9425061423996629E-5</v>
      </c>
      <c r="V63" s="100">
        <f t="shared" si="14"/>
        <v>4.6962506539461566E-4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2.6313958666363746</v>
      </c>
      <c r="J64" s="54">
        <f t="shared" si="25"/>
        <v>3.5931104785941299</v>
      </c>
      <c r="K64" s="55">
        <f t="shared" si="26"/>
        <v>2.2951810356151236E-3</v>
      </c>
      <c r="L64" s="55">
        <f t="shared" si="27"/>
        <v>1.2656422183852978E-2</v>
      </c>
      <c r="M64" s="55">
        <f t="shared" si="28"/>
        <v>0.98734357781614701</v>
      </c>
      <c r="N64" s="55">
        <f t="shared" si="29"/>
        <v>1.2166634500739248E-2</v>
      </c>
      <c r="O64" s="56">
        <f t="shared" si="30"/>
        <v>2.3103619640387047E-9</v>
      </c>
      <c r="P64" s="56">
        <f t="shared" si="31"/>
        <v>9.0529579820788442E-6</v>
      </c>
      <c r="Q64" s="56">
        <f t="shared" si="32"/>
        <v>1.7405239698628971E-3</v>
      </c>
      <c r="R64" s="9">
        <f t="shared" si="12"/>
        <v>3.9999999999999996E-5</v>
      </c>
      <c r="S64" s="9">
        <f t="shared" si="13"/>
        <v>5.0625688735411908E-7</v>
      </c>
      <c r="T64" s="9">
        <f t="shared" si="10"/>
        <v>9.1807241424604934E-8</v>
      </c>
      <c r="U64" s="9">
        <f t="shared" si="11"/>
        <v>3.9493743112645877E-5</v>
      </c>
      <c r="V64" s="100">
        <f t="shared" si="14"/>
        <v>2.324602182243098E-3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2.3610319672695166</v>
      </c>
      <c r="J65" s="54">
        <f t="shared" si="25"/>
        <v>3.2940480664417366</v>
      </c>
      <c r="K65" s="55">
        <f t="shared" si="26"/>
        <v>4.2808742241149805E-3</v>
      </c>
      <c r="L65" s="55">
        <f t="shared" si="27"/>
        <v>1.1856706305460192E-2</v>
      </c>
      <c r="M65" s="55">
        <f t="shared" si="28"/>
        <v>0.98814329369453979</v>
      </c>
      <c r="N65" s="55">
        <f t="shared" si="29"/>
        <v>1.1294993434546988E-2</v>
      </c>
      <c r="O65" s="56">
        <f t="shared" si="30"/>
        <v>4.3091890472937221E-9</v>
      </c>
      <c r="P65" s="56">
        <f t="shared" si="31"/>
        <v>8.4809326387770337E-6</v>
      </c>
      <c r="Q65" s="56">
        <f t="shared" si="32"/>
        <v>1.6158294893364787E-3</v>
      </c>
      <c r="R65" s="9">
        <f t="shared" si="12"/>
        <v>3.9999999999999996E-5</v>
      </c>
      <c r="S65" s="9">
        <f t="shared" si="13"/>
        <v>4.7426825221840764E-7</v>
      </c>
      <c r="T65" s="9">
        <f t="shared" si="10"/>
        <v>1.7123496896459922E-7</v>
      </c>
      <c r="U65" s="9">
        <f t="shared" si="11"/>
        <v>3.9525731747781589E-5</v>
      </c>
      <c r="V65" s="100">
        <f t="shared" si="14"/>
        <v>4.3322403252966952E-3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2.6313958666363746</v>
      </c>
      <c r="J66" s="54">
        <f t="shared" si="25"/>
        <v>3.5931104785941299</v>
      </c>
      <c r="K66" s="55">
        <f t="shared" si="26"/>
        <v>2.2951810356151236E-3</v>
      </c>
      <c r="L66" s="55">
        <f t="shared" si="27"/>
        <v>1.2656422183852978E-2</v>
      </c>
      <c r="M66" s="55">
        <f t="shared" si="28"/>
        <v>0.98734357781614701</v>
      </c>
      <c r="N66" s="55">
        <f t="shared" si="29"/>
        <v>1.2166634500739248E-2</v>
      </c>
      <c r="O66" s="56">
        <f t="shared" si="30"/>
        <v>2.3103619640387047E-9</v>
      </c>
      <c r="P66" s="56">
        <f t="shared" si="31"/>
        <v>9.0529579820788442E-6</v>
      </c>
      <c r="Q66" s="56">
        <f t="shared" si="32"/>
        <v>1.7405239698628971E-3</v>
      </c>
      <c r="R66" s="9">
        <f t="shared" si="12"/>
        <v>3.9999999999999996E-5</v>
      </c>
      <c r="S66" s="9">
        <f t="shared" si="13"/>
        <v>5.0625688735411908E-7</v>
      </c>
      <c r="T66" s="9">
        <f t="shared" si="10"/>
        <v>9.1807241424604934E-8</v>
      </c>
      <c r="U66" s="9">
        <f t="shared" si="11"/>
        <v>3.9493743112645877E-5</v>
      </c>
      <c r="V66" s="100">
        <f t="shared" si="14"/>
        <v>2.324602182243098E-3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-1.8671766444063711E-3</v>
      </c>
      <c r="J67" s="54">
        <f t="shared" si="25"/>
        <v>-3.9484454940644457E-3</v>
      </c>
      <c r="K67" s="55">
        <f t="shared" si="26"/>
        <v>0.99771614528862007</v>
      </c>
      <c r="L67" s="55">
        <f t="shared" si="27"/>
        <v>1.3913682296983684E-3</v>
      </c>
      <c r="M67" s="55">
        <f t="shared" si="28"/>
        <v>0.99860863177030168</v>
      </c>
      <c r="N67" s="55">
        <f t="shared" si="29"/>
        <v>2.0885301443431934E-7</v>
      </c>
      <c r="O67" s="56">
        <f t="shared" si="30"/>
        <v>1.0043153011519912E-6</v>
      </c>
      <c r="P67" s="56">
        <f t="shared" si="31"/>
        <v>9.9522581801424696E-7</v>
      </c>
      <c r="Q67" s="56">
        <f t="shared" si="32"/>
        <v>2.9877915522075335E-8</v>
      </c>
      <c r="R67" s="9">
        <f t="shared" si="12"/>
        <v>3.9999999999999996E-5</v>
      </c>
      <c r="S67" s="9">
        <f t="shared" si="13"/>
        <v>5.5654729187934734E-8</v>
      </c>
      <c r="T67" s="9">
        <f t="shared" si="10"/>
        <v>3.9908645811544797E-5</v>
      </c>
      <c r="U67" s="9">
        <f t="shared" si="11"/>
        <v>3.9944345270812066E-5</v>
      </c>
      <c r="V67" s="100">
        <f t="shared" si="14"/>
        <v>0.99910627001080554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2.7194923137791687</v>
      </c>
      <c r="J68" s="54">
        <f t="shared" si="25"/>
        <v>3.5689903624588988</v>
      </c>
      <c r="K68" s="55">
        <f t="shared" si="26"/>
        <v>1.8792039261666838E-3</v>
      </c>
      <c r="L68" s="55">
        <f t="shared" si="27"/>
        <v>9.802747167657588E-3</v>
      </c>
      <c r="M68" s="55">
        <f t="shared" si="28"/>
        <v>0.99019725283234239</v>
      </c>
      <c r="N68" s="55">
        <f t="shared" si="29"/>
        <v>9.0554376228546059E-3</v>
      </c>
      <c r="O68" s="56">
        <f t="shared" si="30"/>
        <v>1.8916334730537349E-9</v>
      </c>
      <c r="P68" s="56">
        <f t="shared" si="31"/>
        <v>7.0117650097802215E-6</v>
      </c>
      <c r="Q68" s="56">
        <f t="shared" si="32"/>
        <v>1.2954450336466574E-3</v>
      </c>
      <c r="R68" s="9">
        <f t="shared" si="12"/>
        <v>3.9999999999999996E-5</v>
      </c>
      <c r="S68" s="9">
        <f t="shared" si="13"/>
        <v>3.921098867063035E-7</v>
      </c>
      <c r="T68" s="9">
        <f t="shared" si="10"/>
        <v>7.5168157046667349E-8</v>
      </c>
      <c r="U68" s="9">
        <f t="shared" si="11"/>
        <v>3.9607890113293689E-5</v>
      </c>
      <c r="V68" s="100">
        <f t="shared" si="14"/>
        <v>1.8978076547793309E-3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0.38500856866688477</v>
      </c>
      <c r="J69" s="54">
        <f t="shared" si="25"/>
        <v>0.78891704772139604</v>
      </c>
      <c r="K69" s="55">
        <f t="shared" si="26"/>
        <v>0.40850521236639736</v>
      </c>
      <c r="L69" s="55">
        <f t="shared" si="27"/>
        <v>3.5358853762535902E-3</v>
      </c>
      <c r="M69" s="55">
        <f t="shared" si="28"/>
        <v>0.9964641146237464</v>
      </c>
      <c r="N69" s="55">
        <f t="shared" si="29"/>
        <v>2.2701320339405611E-3</v>
      </c>
      <c r="O69" s="56">
        <f t="shared" si="30"/>
        <v>4.1120717281891225E-7</v>
      </c>
      <c r="P69" s="56">
        <f t="shared" si="31"/>
        <v>2.5291682969859604E-6</v>
      </c>
      <c r="Q69" s="56">
        <f t="shared" si="32"/>
        <v>3.2475860268401107E-4</v>
      </c>
      <c r="R69" s="9">
        <f t="shared" si="12"/>
        <v>3.9999999999999996E-5</v>
      </c>
      <c r="S69" s="9">
        <f t="shared" si="13"/>
        <v>1.414354150501436E-7</v>
      </c>
      <c r="T69" s="9">
        <f t="shared" si="10"/>
        <v>1.6340208494655893E-5</v>
      </c>
      <c r="U69" s="9">
        <f t="shared" si="11"/>
        <v>3.9858564584949854E-5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1.2852308448323728</v>
      </c>
      <c r="J70" s="54">
        <f t="shared" si="25"/>
        <v>2.0469857256800985</v>
      </c>
      <c r="K70" s="55">
        <f t="shared" si="26"/>
        <v>5.1169937055647492E-2</v>
      </c>
      <c r="L70" s="55">
        <f t="shared" si="27"/>
        <v>8.0238746655129974E-3</v>
      </c>
      <c r="M70" s="55">
        <f t="shared" si="28"/>
        <v>0.99197612533448698</v>
      </c>
      <c r="N70" s="55">
        <f t="shared" si="29"/>
        <v>7.1217613265370369E-3</v>
      </c>
      <c r="O70" s="56">
        <f t="shared" si="30"/>
        <v>5.1508388419538607E-8</v>
      </c>
      <c r="P70" s="56">
        <f t="shared" si="31"/>
        <v>5.7393629214605125E-6</v>
      </c>
      <c r="Q70" s="56">
        <f t="shared" si="32"/>
        <v>1.0188188274848839E-3</v>
      </c>
      <c r="R70" s="9">
        <f t="shared" si="12"/>
        <v>3.9999999999999996E-5</v>
      </c>
      <c r="S70" s="9">
        <f t="shared" si="13"/>
        <v>3.2095498662051988E-7</v>
      </c>
      <c r="T70" s="9">
        <f t="shared" si="10"/>
        <v>2.0467974822258995E-6</v>
      </c>
      <c r="U70" s="9">
        <f t="shared" si="11"/>
        <v>3.9679045013379475E-5</v>
      </c>
      <c r="V70" s="100">
        <f t="shared" si="14"/>
        <v>5.1583839317093816E-2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4.7715972923878738</v>
      </c>
      <c r="K71" s="55">
        <f t="shared" ref="K71:K122" si="35">IF(D71=0,"",1/(1+10^D71*$J$15/$J$14+10^E71*$J$16/$J$14+10^J71*$J$19/$J$14))</f>
        <v>1.2089565620747258E-4</v>
      </c>
      <c r="L71" s="55">
        <f t="shared" ref="L71:L122" si="36">IF(D71=0,"",1/(1+10^I71/10^J71*$J$13/$J$19))</f>
        <v>1.0055218613531191E-2</v>
      </c>
      <c r="M71" s="55">
        <f t="shared" si="19"/>
        <v>0.9899447813864688</v>
      </c>
      <c r="N71" s="55">
        <f t="shared" ref="N71:N122" si="37">IF(D71=0,"",1/(1/10^E71*$J$20/$J$22+10^D71/10^E71*$J$21/$J$22+10^I71/10^E71*$J$13/$J$22+1))</f>
        <v>9.330485216676395E-3</v>
      </c>
      <c r="O71" s="56">
        <f t="shared" si="21"/>
        <v>1.2169529173736258E-10</v>
      </c>
      <c r="P71" s="56">
        <f t="shared" ref="P71:P122" si="38">IF(D71=0,"",O71*10^J71)</f>
        <v>7.1923542282786657E-6</v>
      </c>
      <c r="Q71" s="56">
        <f t="shared" ref="Q71:Q122" si="39">IF(D71=0,"",F71*N71*$J$7/$J$22)</f>
        <v>1.3347925565685343E-3</v>
      </c>
      <c r="R71" s="9">
        <f t="shared" si="12"/>
        <v>3.9999999999999996E-5</v>
      </c>
      <c r="S71" s="9">
        <f t="shared" si="13"/>
        <v>4.0220874454124759E-7</v>
      </c>
      <c r="T71" s="9">
        <f t="shared" si="10"/>
        <v>4.8358262482989025E-9</v>
      </c>
      <c r="U71" s="9">
        <f t="shared" si="11"/>
        <v>3.9597791255458751E-5</v>
      </c>
      <c r="V71" s="100">
        <f t="shared" si="14"/>
        <v>1.221236360659955E-4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3.4646398062685493</v>
      </c>
      <c r="J72" s="54">
        <f t="shared" si="34"/>
        <v>4.2719801127259966</v>
      </c>
      <c r="K72" s="55">
        <f t="shared" si="35"/>
        <v>3.3823647110231114E-4</v>
      </c>
      <c r="L72" s="55">
        <f t="shared" si="36"/>
        <v>8.9039779362254084E-3</v>
      </c>
      <c r="M72" s="55">
        <f t="shared" si="19"/>
        <v>0.99109602206377456</v>
      </c>
      <c r="N72" s="55">
        <f t="shared" si="37"/>
        <v>8.0753985730811842E-3</v>
      </c>
      <c r="O72" s="56">
        <f t="shared" si="21"/>
        <v>3.404736556983719E-10</v>
      </c>
      <c r="P72" s="56">
        <f t="shared" si="38"/>
        <v>6.3688882180972372E-6</v>
      </c>
      <c r="Q72" s="56">
        <f t="shared" si="39"/>
        <v>1.1552434472976423E-3</v>
      </c>
      <c r="R72" s="9">
        <f t="shared" si="12"/>
        <v>3.9999999999999996E-5</v>
      </c>
      <c r="S72" s="9">
        <f t="shared" si="13"/>
        <v>3.561591174490163E-7</v>
      </c>
      <c r="T72" s="9">
        <f t="shared" si="10"/>
        <v>1.3529458844092445E-8</v>
      </c>
      <c r="U72" s="9">
        <f t="shared" si="11"/>
        <v>3.9643840882550981E-5</v>
      </c>
      <c r="V72" s="100">
        <f t="shared" si="14"/>
        <v>3.4127517775522508E-4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3.4579829545014036</v>
      </c>
      <c r="J73" s="54">
        <f t="shared" si="34"/>
        <v>4.3022457905640747</v>
      </c>
      <c r="K73" s="55">
        <f t="shared" si="35"/>
        <v>3.4318973137769705E-4</v>
      </c>
      <c r="L73" s="55">
        <f t="shared" si="36"/>
        <v>9.6864268527749216E-3</v>
      </c>
      <c r="M73" s="55">
        <f t="shared" si="19"/>
        <v>0.99031357314722512</v>
      </c>
      <c r="N73" s="55">
        <f t="shared" si="37"/>
        <v>8.9284447805922009E-3</v>
      </c>
      <c r="O73" s="56">
        <f t="shared" si="21"/>
        <v>3.4545967813436179E-10</v>
      </c>
      <c r="P73" s="56">
        <f t="shared" si="38"/>
        <v>6.9285627502634381E-6</v>
      </c>
      <c r="Q73" s="56">
        <f t="shared" si="39"/>
        <v>1.2772778004692897E-3</v>
      </c>
      <c r="R73" s="9">
        <f t="shared" si="12"/>
        <v>3.9999999999999996E-5</v>
      </c>
      <c r="S73" s="9">
        <f t="shared" si="13"/>
        <v>3.8745707411099682E-7</v>
      </c>
      <c r="T73" s="9">
        <f t="shared" si="10"/>
        <v>1.3727589255107881E-8</v>
      </c>
      <c r="U73" s="9">
        <f t="shared" si="11"/>
        <v>3.9612542925889E-5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0.62193942428688143</v>
      </c>
      <c r="J74" s="54">
        <f t="shared" si="34"/>
        <v>1.0996040565396161</v>
      </c>
      <c r="K74" s="55">
        <f t="shared" si="35"/>
        <v>0.23658248675675986</v>
      </c>
      <c r="L74" s="55">
        <f t="shared" si="36"/>
        <v>4.1876480739479992E-3</v>
      </c>
      <c r="M74" s="55">
        <f t="shared" si="19"/>
        <v>0.995812351926052</v>
      </c>
      <c r="N74" s="55">
        <f t="shared" si="37"/>
        <v>2.9608344458957854E-3</v>
      </c>
      <c r="O74" s="56">
        <f t="shared" si="21"/>
        <v>2.3814730527956745E-7</v>
      </c>
      <c r="P74" s="56">
        <f t="shared" si="38"/>
        <v>2.9953648437510897E-6</v>
      </c>
      <c r="Q74" s="56">
        <f t="shared" si="39"/>
        <v>4.2356851630286269E-4</v>
      </c>
      <c r="R74" s="9">
        <f t="shared" si="12"/>
        <v>3.9999999999999996E-5</v>
      </c>
      <c r="S74" s="9">
        <f t="shared" si="13"/>
        <v>1.6750592295791996E-7</v>
      </c>
      <c r="T74" s="9">
        <f t="shared" si="10"/>
        <v>9.4632994702703937E-6</v>
      </c>
      <c r="U74" s="9">
        <f t="shared" si="11"/>
        <v>3.9832494077042077E-5</v>
      </c>
      <c r="V74" s="100">
        <f t="shared" si="14"/>
        <v>0.23757737720281685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2.0259693417507676</v>
      </c>
      <c r="J75" s="54">
        <f t="shared" si="34"/>
        <v>2.9166215689730115</v>
      </c>
      <c r="K75" s="55">
        <f t="shared" si="35"/>
        <v>9.2698761626333753E-3</v>
      </c>
      <c r="L75" s="55">
        <f t="shared" si="36"/>
        <v>1.0766611174994041E-2</v>
      </c>
      <c r="M75" s="55">
        <f t="shared" si="19"/>
        <v>0.989233388825006</v>
      </c>
      <c r="N75" s="55">
        <f t="shared" si="37"/>
        <v>1.0107120584385558E-2</v>
      </c>
      <c r="O75" s="56">
        <f t="shared" si="21"/>
        <v>9.331189551135945E-9</v>
      </c>
      <c r="P75" s="56">
        <f t="shared" si="38"/>
        <v>7.7012031647421687E-6</v>
      </c>
      <c r="Q75" s="56">
        <f t="shared" si="39"/>
        <v>1.4458957933148136E-3</v>
      </c>
      <c r="R75" s="9">
        <f t="shared" si="12"/>
        <v>3.9999999999999996E-5</v>
      </c>
      <c r="S75" s="9">
        <f t="shared" si="13"/>
        <v>4.3066444699976156E-7</v>
      </c>
      <c r="T75" s="9">
        <f t="shared" si="10"/>
        <v>3.7079504650533497E-7</v>
      </c>
      <c r="U75" s="9">
        <f t="shared" si="11"/>
        <v>3.9569335553000235E-5</v>
      </c>
      <c r="V75" s="100">
        <f t="shared" si="14"/>
        <v>9.3707675735085847E-3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2.0466328175843658</v>
      </c>
      <c r="J76" s="54">
        <f t="shared" si="34"/>
        <v>2.8524813659648856</v>
      </c>
      <c r="K76" s="55">
        <f t="shared" si="35"/>
        <v>8.8560627122079988E-3</v>
      </c>
      <c r="L76" s="55">
        <f t="shared" si="36"/>
        <v>8.8737170606884713E-3</v>
      </c>
      <c r="M76" s="55">
        <f t="shared" si="19"/>
        <v>0.99112628293931149</v>
      </c>
      <c r="N76" s="55">
        <f t="shared" si="37"/>
        <v>8.0433916408123914E-3</v>
      </c>
      <c r="O76" s="56">
        <f t="shared" si="21"/>
        <v>8.9146390301814282E-9</v>
      </c>
      <c r="P76" s="56">
        <f t="shared" si="38"/>
        <v>6.3472430461238884E-6</v>
      </c>
      <c r="Q76" s="56">
        <f t="shared" si="39"/>
        <v>1.1506646270156467E-3</v>
      </c>
      <c r="R76" s="9">
        <f t="shared" si="12"/>
        <v>3.9999999999999996E-5</v>
      </c>
      <c r="S76" s="9">
        <f t="shared" si="13"/>
        <v>3.5494868242753884E-7</v>
      </c>
      <c r="T76" s="9">
        <f t="shared" si="10"/>
        <v>3.5424250848831991E-7</v>
      </c>
      <c r="U76" s="9">
        <f t="shared" si="11"/>
        <v>3.9645051317572456E-5</v>
      </c>
      <c r="V76" s="100">
        <f t="shared" si="14"/>
        <v>8.9353525021495898E-3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0.75425121724867172</v>
      </c>
      <c r="J77" s="54">
        <f t="shared" si="34"/>
        <v>1.3698795093743001</v>
      </c>
      <c r="K77" s="55">
        <f t="shared" si="35"/>
        <v>0.17417719031972551</v>
      </c>
      <c r="L77" s="55">
        <f t="shared" si="36"/>
        <v>5.7445275665214297E-3</v>
      </c>
      <c r="M77" s="55">
        <f t="shared" si="19"/>
        <v>0.99425547243347856</v>
      </c>
      <c r="N77" s="55">
        <f t="shared" si="37"/>
        <v>4.6509729408094067E-3</v>
      </c>
      <c r="O77" s="56">
        <f t="shared" si="21"/>
        <v>1.7532924386941667E-7</v>
      </c>
      <c r="P77" s="56">
        <f t="shared" si="38"/>
        <v>4.1089785036532568E-6</v>
      </c>
      <c r="Q77" s="56">
        <f t="shared" si="39"/>
        <v>6.6535490041807707E-4</v>
      </c>
      <c r="R77" s="9">
        <f t="shared" si="12"/>
        <v>3.9999999999999996E-5</v>
      </c>
      <c r="S77" s="9">
        <f t="shared" si="13"/>
        <v>2.2978110266085718E-7</v>
      </c>
      <c r="T77" s="9">
        <f t="shared" si="10"/>
        <v>6.9670876127890198E-6</v>
      </c>
      <c r="U77" s="9">
        <f t="shared" si="11"/>
        <v>3.9770218897339139E-5</v>
      </c>
      <c r="V77" s="100">
        <f t="shared" si="14"/>
        <v>0.17518353697709113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1.7168211447433379</v>
      </c>
      <c r="K78" s="55">
        <f t="shared" si="35"/>
        <v>0.10280580342657651</v>
      </c>
      <c r="L78" s="55">
        <f t="shared" si="36"/>
        <v>7.5374128558004065E-3</v>
      </c>
      <c r="M78" s="55">
        <f t="shared" si="19"/>
        <v>0.99246258714419955</v>
      </c>
      <c r="N78" s="55">
        <f t="shared" si="37"/>
        <v>6.5973748971282827E-3</v>
      </c>
      <c r="O78" s="56">
        <f t="shared" si="21"/>
        <v>1.0348578793286596E-7</v>
      </c>
      <c r="P78" s="56">
        <f t="shared" si="38"/>
        <v>5.3914037384275174E-6</v>
      </c>
      <c r="Q78" s="56">
        <f t="shared" si="39"/>
        <v>9.4380160314060883E-4</v>
      </c>
      <c r="R78" s="9">
        <f t="shared" si="12"/>
        <v>3.9999999999999996E-5</v>
      </c>
      <c r="S78" s="9">
        <f t="shared" si="13"/>
        <v>3.0149651423201625E-7</v>
      </c>
      <c r="T78" s="9">
        <f t="shared" si="10"/>
        <v>4.1122321370630601E-6</v>
      </c>
      <c r="U78" s="9">
        <f t="shared" si="11"/>
        <v>3.9698503485767975E-5</v>
      </c>
      <c r="V78" s="100">
        <f t="shared" si="14"/>
        <v>0.1035865782330386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1.5824466515947846</v>
      </c>
      <c r="K79" s="55">
        <f t="shared" si="35"/>
        <v>8.6823597543701461E-2</v>
      </c>
      <c r="L79" s="55">
        <f t="shared" si="36"/>
        <v>4.671624811727536E-3</v>
      </c>
      <c r="M79" s="55">
        <f t="shared" si="19"/>
        <v>0.99532837518827244</v>
      </c>
      <c r="N79" s="55">
        <f t="shared" si="37"/>
        <v>3.4711734002666754E-3</v>
      </c>
      <c r="O79" s="56">
        <f t="shared" si="21"/>
        <v>8.73978715549171E-8</v>
      </c>
      <c r="P79" s="56">
        <f t="shared" si="38"/>
        <v>3.3415464903313953E-6</v>
      </c>
      <c r="Q79" s="56">
        <f t="shared" si="39"/>
        <v>4.9657614900386403E-4</v>
      </c>
      <c r="R79" s="9">
        <f t="shared" si="12"/>
        <v>3.9999999999999996E-5</v>
      </c>
      <c r="S79" s="9">
        <f t="shared" si="13"/>
        <v>1.8686499246910143E-7</v>
      </c>
      <c r="T79" s="9">
        <f t="shared" si="10"/>
        <v>3.4729439017480581E-6</v>
      </c>
      <c r="U79" s="9">
        <f t="shared" si="11"/>
        <v>3.9813135007530891E-5</v>
      </c>
      <c r="V79" s="100">
        <f t="shared" si="14"/>
        <v>8.7231108554780473E-2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1.6545409469670944</v>
      </c>
      <c r="K80" s="55">
        <f t="shared" si="35"/>
        <v>7.1841501023781257E-2</v>
      </c>
      <c r="L80" s="55">
        <f t="shared" si="36"/>
        <v>4.5635190999740432E-3</v>
      </c>
      <c r="M80" s="55">
        <f t="shared" si="19"/>
        <v>0.99543648090002601</v>
      </c>
      <c r="N80" s="55">
        <f t="shared" si="37"/>
        <v>3.3515826218930007E-3</v>
      </c>
      <c r="O80" s="56">
        <f t="shared" si="21"/>
        <v>7.2316679525154841E-8</v>
      </c>
      <c r="P80" s="56">
        <f t="shared" si="38"/>
        <v>3.2642200190814336E-6</v>
      </c>
      <c r="Q80" s="56">
        <f t="shared" si="39"/>
        <v>4.7946783393766434E-4</v>
      </c>
      <c r="R80" s="9">
        <f t="shared" si="12"/>
        <v>3.9999999999999996E-5</v>
      </c>
      <c r="S80" s="9">
        <f t="shared" si="13"/>
        <v>1.8254076399896171E-7</v>
      </c>
      <c r="T80" s="9">
        <f t="shared" si="10"/>
        <v>2.8736600409512502E-6</v>
      </c>
      <c r="U80" s="9">
        <f t="shared" si="11"/>
        <v>3.9817459236001035E-5</v>
      </c>
      <c r="V80" s="100">
        <f t="shared" si="14"/>
        <v>7.2170854094904785E-2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3.3641784665212624</v>
      </c>
      <c r="K81" s="55">
        <f t="shared" si="35"/>
        <v>3.3609298605081759E-3</v>
      </c>
      <c r="L81" s="55">
        <f t="shared" si="36"/>
        <v>1.0940103825768262E-2</v>
      </c>
      <c r="M81" s="55">
        <f t="shared" si="19"/>
        <v>0.98905989617423173</v>
      </c>
      <c r="N81" s="55">
        <f t="shared" si="37"/>
        <v>1.0295583885317089E-2</v>
      </c>
      <c r="O81" s="56">
        <f t="shared" si="21"/>
        <v>3.3831599307541935E-9</v>
      </c>
      <c r="P81" s="56">
        <f t="shared" si="38"/>
        <v>7.8252999793745303E-6</v>
      </c>
      <c r="Q81" s="56">
        <f t="shared" si="39"/>
        <v>1.4728568146795044E-3</v>
      </c>
      <c r="R81" s="9">
        <f t="shared" si="12"/>
        <v>3.9999999999999996E-5</v>
      </c>
      <c r="S81" s="9">
        <f t="shared" si="13"/>
        <v>4.3760415303073044E-7</v>
      </c>
      <c r="T81" s="9">
        <f t="shared" si="10"/>
        <v>1.3443719442032701E-7</v>
      </c>
      <c r="U81" s="9">
        <f t="shared" si="11"/>
        <v>3.9562395846969263E-5</v>
      </c>
      <c r="V81" s="100">
        <f t="shared" si="14"/>
        <v>3.3981054873507056E-3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3.0473260422149981</v>
      </c>
      <c r="K82" s="55">
        <f t="shared" si="35"/>
        <v>5.8401084561671302E-3</v>
      </c>
      <c r="L82" s="55">
        <f t="shared" si="36"/>
        <v>9.1649580728306087E-3</v>
      </c>
      <c r="M82" s="55">
        <f t="shared" si="19"/>
        <v>0.99083504192716942</v>
      </c>
      <c r="N82" s="55">
        <f t="shared" si="37"/>
        <v>8.3605614762471067E-3</v>
      </c>
      <c r="O82" s="56">
        <f t="shared" si="21"/>
        <v>5.8787364628834998E-9</v>
      </c>
      <c r="P82" s="56">
        <f t="shared" si="38"/>
        <v>6.5555635815232719E-6</v>
      </c>
      <c r="Q82" s="56">
        <f t="shared" si="39"/>
        <v>1.1960380374734074E-3</v>
      </c>
      <c r="R82" s="9">
        <f t="shared" si="12"/>
        <v>3.9999999999999996E-5</v>
      </c>
      <c r="S82" s="9">
        <f t="shared" si="13"/>
        <v>3.665983229132243E-7</v>
      </c>
      <c r="T82" s="9">
        <f t="shared" si="10"/>
        <v>2.3360433824668518E-7</v>
      </c>
      <c r="U82" s="9">
        <f t="shared" si="11"/>
        <v>3.9633401677086773E-5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0.70532975413914478</v>
      </c>
      <c r="J83" s="54">
        <f t="shared" si="34"/>
        <v>1.3173040593206689</v>
      </c>
      <c r="K83" s="55">
        <f t="shared" si="35"/>
        <v>0.19495467167007505</v>
      </c>
      <c r="L83" s="55">
        <f t="shared" si="36"/>
        <v>5.6966722516344041E-3</v>
      </c>
      <c r="M83" s="55">
        <f t="shared" si="19"/>
        <v>0.99430332774836561</v>
      </c>
      <c r="N83" s="55">
        <f t="shared" si="37"/>
        <v>4.601200717002223E-3</v>
      </c>
      <c r="O83" s="56">
        <f t="shared" si="21"/>
        <v>1.9624415292255196E-7</v>
      </c>
      <c r="P83" s="56">
        <f t="shared" si="38"/>
        <v>4.0747482805619224E-6</v>
      </c>
      <c r="Q83" s="56">
        <f t="shared" si="39"/>
        <v>6.5823462828657506E-4</v>
      </c>
      <c r="R83" s="9">
        <f t="shared" si="12"/>
        <v>3.9999999999999996E-5</v>
      </c>
      <c r="S83" s="9">
        <f t="shared" si="13"/>
        <v>2.2786689006537616E-7</v>
      </c>
      <c r="T83" s="9">
        <f t="shared" si="10"/>
        <v>7.7981868668030005E-6</v>
      </c>
      <c r="U83" s="9">
        <f t="shared" si="11"/>
        <v>3.9772133109934619E-5</v>
      </c>
      <c r="V83" s="100">
        <f t="shared" si="14"/>
        <v>0.19607162746961398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3.0318323583249076</v>
      </c>
      <c r="K84" s="55">
        <f t="shared" si="35"/>
        <v>4.6496237955290466E-3</v>
      </c>
      <c r="L84" s="55">
        <f t="shared" si="36"/>
        <v>7.0409895771336812E-3</v>
      </c>
      <c r="M84" s="55">
        <f t="shared" si="19"/>
        <v>0.99295901042286627</v>
      </c>
      <c r="N84" s="55">
        <f t="shared" si="37"/>
        <v>6.0448196420046819E-3</v>
      </c>
      <c r="O84" s="56">
        <f t="shared" si="21"/>
        <v>4.6803776249399752E-9</v>
      </c>
      <c r="P84" s="56">
        <f t="shared" si="38"/>
        <v>5.0363192589583311E-6</v>
      </c>
      <c r="Q84" s="56">
        <f t="shared" si="39"/>
        <v>8.6475462707192685E-4</v>
      </c>
      <c r="R84" s="9">
        <f t="shared" si="12"/>
        <v>3.9999999999999996E-5</v>
      </c>
      <c r="S84" s="9">
        <f t="shared" si="13"/>
        <v>2.8163958308534725E-7</v>
      </c>
      <c r="T84" s="9">
        <f t="shared" si="10"/>
        <v>1.8598495182116185E-7</v>
      </c>
      <c r="U84" s="9">
        <f t="shared" si="11"/>
        <v>3.9718360416914644E-5</v>
      </c>
      <c r="V84" s="100">
        <f t="shared" si="14"/>
        <v>4.6825938903046318E-3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1.2317717173887035</v>
      </c>
      <c r="K85" s="55">
        <f t="shared" si="35"/>
        <v>0.22429090438895757</v>
      </c>
      <c r="L85" s="55">
        <f t="shared" si="36"/>
        <v>5.3822876868027565E-3</v>
      </c>
      <c r="M85" s="55">
        <f t="shared" si="19"/>
        <v>0.99461771231319729</v>
      </c>
      <c r="N85" s="55">
        <f t="shared" si="37"/>
        <v>4.261840521312313E-3</v>
      </c>
      <c r="O85" s="56">
        <f t="shared" si="21"/>
        <v>2.2577442316710771E-7</v>
      </c>
      <c r="P85" s="56">
        <f t="shared" si="38"/>
        <v>3.8498734925459138E-6</v>
      </c>
      <c r="Q85" s="56">
        <f t="shared" si="39"/>
        <v>6.0968672829173553E-4</v>
      </c>
      <c r="R85" s="9">
        <f t="shared" si="12"/>
        <v>3.9999999999999996E-5</v>
      </c>
      <c r="S85" s="9">
        <f t="shared" si="13"/>
        <v>2.1529150747211023E-7</v>
      </c>
      <c r="T85" s="9">
        <f t="shared" si="10"/>
        <v>8.9716361755583025E-6</v>
      </c>
      <c r="U85" s="9">
        <f t="shared" si="11"/>
        <v>3.9784708492527887E-5</v>
      </c>
      <c r="V85" s="100">
        <f t="shared" si="14"/>
        <v>0.22550463521036726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2.1121156644685484</v>
      </c>
      <c r="K86" s="55">
        <f t="shared" si="35"/>
        <v>2.3224311009852908E-2</v>
      </c>
      <c r="L86" s="55">
        <f t="shared" si="36"/>
        <v>4.230990313869535E-3</v>
      </c>
      <c r="M86" s="55">
        <f t="shared" si="19"/>
        <v>0.99576900968613047</v>
      </c>
      <c r="N86" s="55">
        <f t="shared" si="37"/>
        <v>2.983433561731154E-3</v>
      </c>
      <c r="O86" s="56">
        <f t="shared" si="21"/>
        <v>2.3377922684773828E-8</v>
      </c>
      <c r="P86" s="56">
        <f t="shared" si="38"/>
        <v>3.0263669287921103E-6</v>
      </c>
      <c r="Q86" s="56">
        <f t="shared" si="39"/>
        <v>4.2680148124536814E-4</v>
      </c>
      <c r="R86" s="9">
        <f t="shared" si="12"/>
        <v>3.9999999999999996E-5</v>
      </c>
      <c r="S86" s="9">
        <f t="shared" si="13"/>
        <v>1.6923961255478138E-7</v>
      </c>
      <c r="T86" s="9">
        <f t="shared" si="10"/>
        <v>9.2897244039411627E-7</v>
      </c>
      <c r="U86" s="9">
        <f t="shared" si="11"/>
        <v>3.9830760387445219E-5</v>
      </c>
      <c r="V86" s="100">
        <f t="shared" si="14"/>
        <v>2.3322990356140209E-2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0.94754119329128106</v>
      </c>
      <c r="K87" s="55">
        <f t="shared" si="35"/>
        <v>0.32786604921533213</v>
      </c>
      <c r="L87" s="55">
        <f t="shared" si="36"/>
        <v>4.0890382080858408E-3</v>
      </c>
      <c r="M87" s="55">
        <f t="shared" si="19"/>
        <v>0.99591096179191418</v>
      </c>
      <c r="N87" s="55">
        <f t="shared" si="37"/>
        <v>2.8638753535012002E-3</v>
      </c>
      <c r="O87" s="56">
        <f t="shared" si="21"/>
        <v>3.3003464112526241E-7</v>
      </c>
      <c r="P87" s="56">
        <f t="shared" si="38"/>
        <v>2.9248306154122578E-6</v>
      </c>
      <c r="Q87" s="56">
        <f t="shared" si="39"/>
        <v>4.0969782557087158E-4</v>
      </c>
      <c r="R87" s="9">
        <f t="shared" si="12"/>
        <v>3.9999999999999996E-5</v>
      </c>
      <c r="S87" s="9">
        <f t="shared" si="13"/>
        <v>1.6356152832343363E-7</v>
      </c>
      <c r="T87" s="9">
        <f t="shared" si="10"/>
        <v>1.3114641968613284E-5</v>
      </c>
      <c r="U87" s="9">
        <f t="shared" si="11"/>
        <v>3.9836438471676566E-5</v>
      </c>
      <c r="V87" s="100">
        <f t="shared" si="14"/>
        <v>0.32921221052272798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0.18077336940563399</v>
      </c>
      <c r="K88" s="55">
        <f t="shared" si="35"/>
        <v>0.70442377606645645</v>
      </c>
      <c r="L88" s="55">
        <f t="shared" si="36"/>
        <v>1.5031104818938456E-3</v>
      </c>
      <c r="M88" s="55">
        <f t="shared" si="19"/>
        <v>0.99849688951810611</v>
      </c>
      <c r="N88" s="55">
        <f t="shared" si="37"/>
        <v>8.8142941219978934E-5</v>
      </c>
      <c r="O88" s="56">
        <f t="shared" si="21"/>
        <v>7.0908301939340725E-7</v>
      </c>
      <c r="P88" s="56">
        <f t="shared" si="38"/>
        <v>1.0751534546917833E-6</v>
      </c>
      <c r="Q88" s="56">
        <f t="shared" si="39"/>
        <v>1.2609477333955269E-5</v>
      </c>
      <c r="R88" s="9">
        <f t="shared" si="12"/>
        <v>3.9999999999999996E-5</v>
      </c>
      <c r="S88" s="9">
        <f t="shared" si="13"/>
        <v>6.0124419275753813E-8</v>
      </c>
      <c r="T88" s="9">
        <f t="shared" si="10"/>
        <v>2.8176951042658257E-5</v>
      </c>
      <c r="U88" s="9">
        <f t="shared" si="11"/>
        <v>3.9939875580724242E-5</v>
      </c>
      <c r="V88" s="100">
        <f t="shared" si="14"/>
        <v>0.70548419675741303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7.4106535684859906E-2</v>
      </c>
      <c r="K89" s="55">
        <f t="shared" si="35"/>
        <v>0.9114802270661595</v>
      </c>
      <c r="L89" s="55">
        <f t="shared" si="36"/>
        <v>1.5213786431516221E-3</v>
      </c>
      <c r="M89" s="55">
        <f t="shared" si="19"/>
        <v>0.99847862135684839</v>
      </c>
      <c r="N89" s="55">
        <f t="shared" si="37"/>
        <v>1.3198487700809503E-4</v>
      </c>
      <c r="O89" s="56">
        <f t="shared" si="21"/>
        <v>9.1750899598324518E-7</v>
      </c>
      <c r="P89" s="56">
        <f t="shared" si="38"/>
        <v>1.0882204094657388E-6</v>
      </c>
      <c r="Q89" s="56">
        <f t="shared" si="39"/>
        <v>1.8881379405129477E-5</v>
      </c>
      <c r="R89" s="9">
        <f t="shared" si="12"/>
        <v>3.9999999999999996E-5</v>
      </c>
      <c r="S89" s="9">
        <f t="shared" si="13"/>
        <v>6.0855145726064884E-8</v>
      </c>
      <c r="T89" s="9">
        <f t="shared" si="10"/>
        <v>3.6459209082646376E-5</v>
      </c>
      <c r="U89" s="9">
        <f t="shared" si="11"/>
        <v>3.9939144854273933E-5</v>
      </c>
      <c r="V89" s="100">
        <f t="shared" si="14"/>
        <v>0.91286904653755585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7.3722564111608664E-4</v>
      </c>
      <c r="K90" s="55">
        <f t="shared" si="35"/>
        <v>0.99048450081468498</v>
      </c>
      <c r="L90" s="55">
        <f t="shared" si="36"/>
        <v>1.3962668834131887E-3</v>
      </c>
      <c r="M90" s="55">
        <f t="shared" si="19"/>
        <v>0.99860373311658679</v>
      </c>
      <c r="N90" s="55">
        <f t="shared" si="37"/>
        <v>4.7138676424105815E-6</v>
      </c>
      <c r="O90" s="56">
        <f t="shared" si="21"/>
        <v>9.9703582468770783E-7</v>
      </c>
      <c r="P90" s="56">
        <f t="shared" si="38"/>
        <v>9.9872975503569091E-7</v>
      </c>
      <c r="Q90" s="56">
        <f t="shared" si="39"/>
        <v>6.7435243672999364E-7</v>
      </c>
      <c r="R90" s="9">
        <f t="shared" si="12"/>
        <v>3.9999999999999996E-5</v>
      </c>
      <c r="S90" s="9">
        <f t="shared" si="13"/>
        <v>5.585067533652754E-8</v>
      </c>
      <c r="T90" s="9">
        <f t="shared" si="10"/>
        <v>3.9619380032587398E-5</v>
      </c>
      <c r="U90" s="9">
        <f t="shared" si="11"/>
        <v>3.994414932466347E-5</v>
      </c>
      <c r="V90" s="100">
        <f t="shared" si="14"/>
        <v>0.99186941523184358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-1.6308597924744735E-3</v>
      </c>
      <c r="K91" s="55">
        <f t="shared" si="35"/>
        <v>0.99395905807561702</v>
      </c>
      <c r="L91" s="55">
        <f t="shared" si="36"/>
        <v>1.3935455343502675E-3</v>
      </c>
      <c r="M91" s="55">
        <f t="shared" si="19"/>
        <v>0.99860645446564977</v>
      </c>
      <c r="N91" s="55">
        <f t="shared" si="37"/>
        <v>2.148471556537619E-6</v>
      </c>
      <c r="O91" s="56">
        <f t="shared" si="21"/>
        <v>1.0005333635802686E-6</v>
      </c>
      <c r="P91" s="56">
        <f t="shared" si="38"/>
        <v>9.9678321292739839E-7</v>
      </c>
      <c r="Q91" s="56">
        <f t="shared" si="39"/>
        <v>3.0735420238811018E-7</v>
      </c>
      <c r="R91" s="9">
        <f t="shared" si="12"/>
        <v>3.9999999999999996E-5</v>
      </c>
      <c r="S91" s="9">
        <f t="shared" si="13"/>
        <v>5.5741821374010696E-8</v>
      </c>
      <c r="T91" s="9">
        <f t="shared" si="10"/>
        <v>3.9758362323024679E-5</v>
      </c>
      <c r="U91" s="9">
        <f t="shared" si="11"/>
        <v>3.9944258178625989E-5</v>
      </c>
      <c r="V91" s="100">
        <f t="shared" si="14"/>
        <v>0.99534611821378671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9.6782625218511734E-2</v>
      </c>
      <c r="K92" s="55">
        <f t="shared" si="35"/>
        <v>0.89067107259232814</v>
      </c>
      <c r="L92" s="55">
        <f t="shared" si="36"/>
        <v>1.5663308455842303E-3</v>
      </c>
      <c r="M92" s="55">
        <f t="shared" si="19"/>
        <v>0.99843366915441578</v>
      </c>
      <c r="N92" s="55">
        <f t="shared" si="37"/>
        <v>1.785883942035607E-4</v>
      </c>
      <c r="O92" s="56">
        <f t="shared" si="21"/>
        <v>8.9656220431229504E-7</v>
      </c>
      <c r="P92" s="56">
        <f t="shared" si="38"/>
        <v>1.1203740776914626E-6</v>
      </c>
      <c r="Q92" s="56">
        <f t="shared" si="39"/>
        <v>2.5548345422206521E-5</v>
      </c>
      <c r="R92" s="9">
        <f t="shared" si="12"/>
        <v>3.9999999999999996E-5</v>
      </c>
      <c r="S92" s="9">
        <f t="shared" si="13"/>
        <v>6.2653233823369213E-8</v>
      </c>
      <c r="T92" s="9">
        <f t="shared" ref="T92:T143" si="40">R92*K92</f>
        <v>3.562684290369312E-5</v>
      </c>
      <c r="U92" s="9">
        <f t="shared" ref="U92:U143" si="41">$R92*M92</f>
        <v>3.9937346766176626E-5</v>
      </c>
      <c r="V92" s="100">
        <f t="shared" si="14"/>
        <v>0.89206834676022795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-1.5403293623035036E-3</v>
      </c>
      <c r="K93" s="55">
        <f t="shared" si="35"/>
        <v>0.99382131415280917</v>
      </c>
      <c r="L93" s="55">
        <f t="shared" si="36"/>
        <v>1.3936428954864381E-3</v>
      </c>
      <c r="M93" s="55">
        <f t="shared" ref="M93:M127" si="42">IF(D93=0,"",1-L93)</f>
        <v>0.99860635710451351</v>
      </c>
      <c r="N93" s="55">
        <f t="shared" si="37"/>
        <v>2.2387007237555157E-6</v>
      </c>
      <c r="O93" s="56">
        <f t="shared" ref="O93:O127" si="43">IF(D93=0,"",F93*K93*$J$7/$J$14)</f>
        <v>1.0003947085830834E-6</v>
      </c>
      <c r="P93" s="56">
        <f t="shared" si="38"/>
        <v>9.968528539572276E-7</v>
      </c>
      <c r="Q93" s="56">
        <f t="shared" si="39"/>
        <v>3.2026212925268187E-7</v>
      </c>
      <c r="R93" s="9">
        <f t="shared" ref="R93:R143" si="44">F93*$C$14</f>
        <v>3.9999999999999996E-5</v>
      </c>
      <c r="S93" s="9">
        <f t="shared" ref="S93:S143" si="45">$R93*L93</f>
        <v>5.5745715819457519E-8</v>
      </c>
      <c r="T93" s="9">
        <f t="shared" si="40"/>
        <v>3.9752852566112362E-5</v>
      </c>
      <c r="U93" s="9">
        <f t="shared" si="41"/>
        <v>3.9944254284180534E-5</v>
      </c>
      <c r="V93" s="100">
        <f t="shared" ref="V93:V143" si="46">K93/M93</f>
        <v>0.99520827910050691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-3.6857986344730684E-3</v>
      </c>
      <c r="K94" s="55">
        <f t="shared" si="35"/>
        <v>0.99725733345783596</v>
      </c>
      <c r="L94" s="55">
        <f t="shared" si="36"/>
        <v>1.3915697128544546E-3</v>
      </c>
      <c r="M94" s="55">
        <f t="shared" si="42"/>
        <v>0.99860843028714552</v>
      </c>
      <c r="N94" s="55">
        <f t="shared" si="37"/>
        <v>3.7549901583595325E-7</v>
      </c>
      <c r="O94" s="56">
        <f t="shared" si="43"/>
        <v>1.0038534546196065E-6</v>
      </c>
      <c r="P94" s="56">
        <f t="shared" si="38"/>
        <v>9.9536993603746493E-7</v>
      </c>
      <c r="Q94" s="56">
        <f t="shared" si="39"/>
        <v>5.3717816351160497E-8</v>
      </c>
      <c r="R94" s="9">
        <f t="shared" si="44"/>
        <v>3.9999999999999996E-5</v>
      </c>
      <c r="S94" s="9">
        <f t="shared" si="45"/>
        <v>5.5662788514178174E-8</v>
      </c>
      <c r="T94" s="9">
        <f t="shared" si="40"/>
        <v>3.9890293338313437E-5</v>
      </c>
      <c r="U94" s="9">
        <f t="shared" si="41"/>
        <v>3.9944337211485815E-5</v>
      </c>
      <c r="V94" s="100">
        <f t="shared" si="46"/>
        <v>0.99864702040526432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2.775095201359258</v>
      </c>
      <c r="K95" s="55">
        <f t="shared" si="35"/>
        <v>1.2329121789809968E-2</v>
      </c>
      <c r="L95" s="55">
        <f t="shared" si="36"/>
        <v>1.0337389300932292E-2</v>
      </c>
      <c r="M95" s="55">
        <f t="shared" si="42"/>
        <v>0.98966261069906769</v>
      </c>
      <c r="N95" s="55">
        <f t="shared" si="37"/>
        <v>9.6395255193626218E-3</v>
      </c>
      <c r="O95" s="56">
        <f t="shared" si="43"/>
        <v>1.2410669830035282E-8</v>
      </c>
      <c r="P95" s="56">
        <f t="shared" si="38"/>
        <v>7.3941868899668564E-6</v>
      </c>
      <c r="Q95" s="56">
        <f t="shared" si="39"/>
        <v>1.3790029792985325E-3</v>
      </c>
      <c r="R95" s="9">
        <f t="shared" si="44"/>
        <v>3.9999999999999996E-5</v>
      </c>
      <c r="S95" s="9">
        <f t="shared" si="45"/>
        <v>4.1349557203729165E-7</v>
      </c>
      <c r="T95" s="9">
        <f t="shared" si="40"/>
        <v>4.9316487159239869E-7</v>
      </c>
      <c r="U95" s="9">
        <f t="shared" si="41"/>
        <v>3.9586504427962701E-5</v>
      </c>
      <c r="V95" s="100">
        <f t="shared" si="46"/>
        <v>1.2457903993261956E-2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-4.4262217719037919E-3</v>
      </c>
      <c r="K96" s="55">
        <f t="shared" si="35"/>
        <v>0.9986089108010191</v>
      </c>
      <c r="L96" s="55">
        <f t="shared" si="36"/>
        <v>1.3910820386738702E-3</v>
      </c>
      <c r="M96" s="55">
        <f t="shared" si="42"/>
        <v>0.99860891796132611</v>
      </c>
      <c r="N96" s="55">
        <f t="shared" si="37"/>
        <v>1.19880616924978E-14</v>
      </c>
      <c r="O96" s="56">
        <f t="shared" si="43"/>
        <v>1.0052139716492839E-6</v>
      </c>
      <c r="P96" s="56">
        <f t="shared" si="38"/>
        <v>9.9502110966286683E-7</v>
      </c>
      <c r="Q96" s="56">
        <f t="shared" si="39"/>
        <v>1.7149778541238993E-15</v>
      </c>
      <c r="R96" s="9">
        <f t="shared" si="44"/>
        <v>3.9999999999999996E-5</v>
      </c>
      <c r="S96" s="9">
        <f t="shared" si="45"/>
        <v>5.5643281546954801E-8</v>
      </c>
      <c r="T96" s="9">
        <f t="shared" si="40"/>
        <v>3.9944356432040759E-5</v>
      </c>
      <c r="U96" s="9">
        <f t="shared" si="41"/>
        <v>3.9944356718453044E-5</v>
      </c>
      <c r="V96" s="100">
        <f t="shared" si="46"/>
        <v>0.99999999282971852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2.4283398551706128</v>
      </c>
      <c r="K98" s="55">
        <f t="shared" si="35"/>
        <v>5.6989706833493114E-3</v>
      </c>
      <c r="L98" s="55">
        <f t="shared" si="36"/>
        <v>2.1504027458647233E-3</v>
      </c>
      <c r="M98" s="55">
        <f t="shared" si="42"/>
        <v>0.99784959725413525</v>
      </c>
      <c r="N98" s="55">
        <f t="shared" si="37"/>
        <v>7.1309920962896482E-4</v>
      </c>
      <c r="O98" s="56">
        <f t="shared" si="43"/>
        <v>5.736665167875595E-9</v>
      </c>
      <c r="P98" s="56">
        <f t="shared" si="38"/>
        <v>1.5381523640778109E-6</v>
      </c>
      <c r="Q98" s="56">
        <f t="shared" si="39"/>
        <v>1.0201393550320646E-4</v>
      </c>
      <c r="R98" s="9">
        <f t="shared" si="44"/>
        <v>3.9999999999999996E-5</v>
      </c>
      <c r="S98" s="9">
        <f t="shared" si="45"/>
        <v>8.6016109834588927E-8</v>
      </c>
      <c r="T98" s="9">
        <f t="shared" si="40"/>
        <v>2.2795882733397243E-7</v>
      </c>
      <c r="U98" s="9">
        <f t="shared" si="41"/>
        <v>3.9913983890165408E-5</v>
      </c>
      <c r="V98" s="100">
        <f t="shared" si="46"/>
        <v>5.7112521757102849E-3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0.74111806458001228</v>
      </c>
      <c r="K99" s="55">
        <f t="shared" si="35"/>
        <v>0.22990322996671644</v>
      </c>
      <c r="L99" s="55">
        <f t="shared" si="36"/>
        <v>1.7825702957122262E-3</v>
      </c>
      <c r="M99" s="55">
        <f t="shared" si="42"/>
        <v>0.99821742970428773</v>
      </c>
      <c r="N99" s="55">
        <f t="shared" si="37"/>
        <v>3.3798591723951569E-4</v>
      </c>
      <c r="O99" s="56">
        <f t="shared" si="43"/>
        <v>2.3142387013597417E-7</v>
      </c>
      <c r="P99" s="56">
        <f t="shared" si="38"/>
        <v>1.2750470672330165E-6</v>
      </c>
      <c r="Q99" s="56">
        <f t="shared" si="39"/>
        <v>4.8351299646235848E-5</v>
      </c>
      <c r="R99" s="9">
        <f t="shared" si="44"/>
        <v>3.9999999999999996E-5</v>
      </c>
      <c r="S99" s="9">
        <f t="shared" si="45"/>
        <v>7.1302811828489043E-8</v>
      </c>
      <c r="T99" s="9">
        <f t="shared" si="40"/>
        <v>9.1961291986686565E-6</v>
      </c>
      <c r="U99" s="9">
        <f t="shared" si="41"/>
        <v>3.9928697188171508E-5</v>
      </c>
      <c r="V99" s="100">
        <f t="shared" si="46"/>
        <v>0.23031378047047632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1.9956787366510347</v>
      </c>
      <c r="K101" s="55">
        <f t="shared" si="35"/>
        <v>1.2678259687345076E-2</v>
      </c>
      <c r="L101" s="55">
        <f t="shared" si="36"/>
        <v>1.7665336219532899E-3</v>
      </c>
      <c r="M101" s="55">
        <f t="shared" si="42"/>
        <v>0.99823346637804666</v>
      </c>
      <c r="N101" s="55">
        <f t="shared" si="37"/>
        <v>2.9540182586826455E-4</v>
      </c>
      <c r="O101" s="56">
        <f t="shared" si="43"/>
        <v>1.2762117017055708E-8</v>
      </c>
      <c r="P101" s="56">
        <f t="shared" si="38"/>
        <v>1.2635762635885888E-6</v>
      </c>
      <c r="Q101" s="56">
        <f t="shared" si="39"/>
        <v>4.2259341203497154E-5</v>
      </c>
      <c r="R101" s="9">
        <f t="shared" si="44"/>
        <v>3.9999999999999996E-5</v>
      </c>
      <c r="S101" s="9">
        <f t="shared" si="45"/>
        <v>7.0661344878131594E-8</v>
      </c>
      <c r="T101" s="9">
        <f t="shared" si="40"/>
        <v>5.0713038749380294E-7</v>
      </c>
      <c r="U101" s="9">
        <f t="shared" si="41"/>
        <v>3.9929338655121866E-5</v>
      </c>
      <c r="V101" s="100">
        <f t="shared" si="46"/>
        <v>1.2700695893663436E-2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1.1803151929421574</v>
      </c>
      <c r="K102" s="55">
        <f t="shared" si="35"/>
        <v>6.9878996724706849E-2</v>
      </c>
      <c r="L102" s="55">
        <f t="shared" si="36"/>
        <v>1.4895167175397199E-3</v>
      </c>
      <c r="M102" s="55">
        <f t="shared" si="42"/>
        <v>0.99851048328246028</v>
      </c>
      <c r="N102" s="55">
        <f t="shared" si="37"/>
        <v>5.6415670568520318E-10</v>
      </c>
      <c r="O102" s="56">
        <f t="shared" si="43"/>
        <v>7.034119470871257E-8</v>
      </c>
      <c r="P102" s="56">
        <f t="shared" si="38"/>
        <v>1.065430029245911E-6</v>
      </c>
      <c r="Q102" s="56">
        <f t="shared" si="39"/>
        <v>8.070664643902319E-11</v>
      </c>
      <c r="R102" s="9">
        <f t="shared" si="44"/>
        <v>3.9999999999999996E-5</v>
      </c>
      <c r="S102" s="9">
        <f t="shared" si="45"/>
        <v>5.958066870158879E-8</v>
      </c>
      <c r="T102" s="9">
        <f t="shared" si="40"/>
        <v>2.7951598689882736E-6</v>
      </c>
      <c r="U102" s="9">
        <f t="shared" si="41"/>
        <v>3.9940419331298411E-5</v>
      </c>
      <c r="V102" s="100">
        <f t="shared" si="46"/>
        <v>6.9983237927547487E-2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2.2036613995296537</v>
      </c>
      <c r="K103" s="55">
        <f t="shared" si="35"/>
        <v>6.6519663204215682E-3</v>
      </c>
      <c r="L103" s="55">
        <f t="shared" si="36"/>
        <v>1.4962183236247005E-3</v>
      </c>
      <c r="M103" s="55">
        <f t="shared" si="42"/>
        <v>0.99850378167637532</v>
      </c>
      <c r="N103" s="55">
        <f t="shared" si="37"/>
        <v>8.9557741995592472E-10</v>
      </c>
      <c r="O103" s="56">
        <f t="shared" si="43"/>
        <v>6.6959641676586287E-9</v>
      </c>
      <c r="P103" s="56">
        <f t="shared" si="38"/>
        <v>1.0702235923412676E-6</v>
      </c>
      <c r="Q103" s="56">
        <f t="shared" si="39"/>
        <v>1.2811874690626612E-10</v>
      </c>
      <c r="R103" s="9">
        <f t="shared" si="44"/>
        <v>3.9999999999999996E-5</v>
      </c>
      <c r="S103" s="9">
        <f t="shared" si="45"/>
        <v>5.9848732944988009E-8</v>
      </c>
      <c r="T103" s="9">
        <f t="shared" si="40"/>
        <v>2.6607865281686268E-7</v>
      </c>
      <c r="U103" s="9">
        <f t="shared" si="41"/>
        <v>3.9940151267055008E-5</v>
      </c>
      <c r="V103" s="100">
        <f t="shared" si="46"/>
        <v>6.6619340281853182E-3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2.970635068773662</v>
      </c>
      <c r="K104" s="55">
        <f t="shared" si="35"/>
        <v>1.3713118715661186E-3</v>
      </c>
      <c r="L104" s="55">
        <f t="shared" si="36"/>
        <v>1.8036606579228186E-3</v>
      </c>
      <c r="M104" s="55">
        <f t="shared" si="42"/>
        <v>0.99819633934207719</v>
      </c>
      <c r="N104" s="55">
        <f t="shared" si="37"/>
        <v>3.3457213519481102E-4</v>
      </c>
      <c r="O104" s="56">
        <f t="shared" si="43"/>
        <v>1.380382087399038E-9</v>
      </c>
      <c r="P104" s="56">
        <f t="shared" si="38"/>
        <v>1.2901327020313652E-6</v>
      </c>
      <c r="Q104" s="56">
        <f t="shared" si="39"/>
        <v>4.7862933740583385E-5</v>
      </c>
      <c r="R104" s="9">
        <f t="shared" si="44"/>
        <v>3.9999999999999996E-5</v>
      </c>
      <c r="S104" s="9">
        <f t="shared" si="45"/>
        <v>7.2146426316912732E-8</v>
      </c>
      <c r="T104" s="9">
        <f t="shared" si="40"/>
        <v>5.4852474862644737E-8</v>
      </c>
      <c r="U104" s="9">
        <f t="shared" si="41"/>
        <v>3.9927853573683081E-5</v>
      </c>
      <c r="V104" s="100">
        <f t="shared" si="46"/>
        <v>1.3737897220400209E-3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2.835620537354179</v>
      </c>
      <c r="K105" s="55">
        <f t="shared" si="35"/>
        <v>3.233481125859619E-3</v>
      </c>
      <c r="L105" s="55">
        <f t="shared" si="36"/>
        <v>3.1165521289113901E-3</v>
      </c>
      <c r="M105" s="55">
        <f t="shared" si="42"/>
        <v>0.99688344787108862</v>
      </c>
      <c r="N105" s="55">
        <f t="shared" si="37"/>
        <v>1.7661348590049214E-3</v>
      </c>
      <c r="O105" s="56">
        <f t="shared" si="43"/>
        <v>3.2548682167988399E-9</v>
      </c>
      <c r="P105" s="56">
        <f t="shared" si="38"/>
        <v>2.229225215637047E-6</v>
      </c>
      <c r="Q105" s="56">
        <f t="shared" si="39"/>
        <v>2.5265820682964684E-4</v>
      </c>
      <c r="R105" s="9">
        <f t="shared" si="44"/>
        <v>3.9999999999999996E-5</v>
      </c>
      <c r="S105" s="9">
        <f t="shared" si="45"/>
        <v>1.2466208515645559E-7</v>
      </c>
      <c r="T105" s="9">
        <f t="shared" si="40"/>
        <v>1.2933924503438475E-7</v>
      </c>
      <c r="U105" s="9">
        <f t="shared" si="41"/>
        <v>3.9875337914843541E-5</v>
      </c>
      <c r="V105" s="100">
        <f t="shared" si="46"/>
        <v>3.2435899430017967E-3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1.6884421390433322</v>
      </c>
      <c r="K106" s="55">
        <f t="shared" si="35"/>
        <v>2.3559058537496486E-2</v>
      </c>
      <c r="L106" s="55">
        <f t="shared" si="36"/>
        <v>1.6180189294731438E-3</v>
      </c>
      <c r="M106" s="55">
        <f t="shared" si="42"/>
        <v>0.99838198107052689</v>
      </c>
      <c r="N106" s="55">
        <f t="shared" si="37"/>
        <v>1.3474462915865642E-4</v>
      </c>
      <c r="O106" s="56">
        <f t="shared" si="43"/>
        <v>2.3714884320227758E-8</v>
      </c>
      <c r="P106" s="56">
        <f t="shared" si="38"/>
        <v>1.1573458256960045E-6</v>
      </c>
      <c r="Q106" s="56">
        <f t="shared" si="39"/>
        <v>1.9276181662782646E-5</v>
      </c>
      <c r="R106" s="9">
        <f t="shared" si="44"/>
        <v>3.9999999999999996E-5</v>
      </c>
      <c r="S106" s="9">
        <f t="shared" si="45"/>
        <v>6.472075717892575E-8</v>
      </c>
      <c r="T106" s="9">
        <f t="shared" si="40"/>
        <v>9.4236234149985939E-7</v>
      </c>
      <c r="U106" s="9">
        <f t="shared" si="41"/>
        <v>3.9935279242821069E-5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2.4437814319566185</v>
      </c>
      <c r="K108" s="55">
        <f t="shared" si="35"/>
        <v>4.9235748569443037E-3</v>
      </c>
      <c r="L108" s="55">
        <f t="shared" si="36"/>
        <v>1.9250654741556818E-3</v>
      </c>
      <c r="M108" s="55">
        <f t="shared" si="42"/>
        <v>0.99807493452584428</v>
      </c>
      <c r="N108" s="55">
        <f t="shared" si="37"/>
        <v>4.6734120867851183E-4</v>
      </c>
      <c r="O108" s="56">
        <f t="shared" si="43"/>
        <v>4.9561406704167846E-9</v>
      </c>
      <c r="P108" s="56">
        <f t="shared" si="38"/>
        <v>1.3769718327282135E-6</v>
      </c>
      <c r="Q108" s="56">
        <f t="shared" si="39"/>
        <v>6.6856498052951662E-5</v>
      </c>
      <c r="R108" s="9">
        <f t="shared" si="44"/>
        <v>3.9999999999999996E-5</v>
      </c>
      <c r="S108" s="9">
        <f t="shared" si="45"/>
        <v>7.7002618966227273E-8</v>
      </c>
      <c r="T108" s="9">
        <f t="shared" si="40"/>
        <v>1.9694299427777214E-7</v>
      </c>
      <c r="U108" s="9">
        <f t="shared" si="41"/>
        <v>3.9922997381033769E-5</v>
      </c>
      <c r="V108" s="100">
        <f t="shared" si="46"/>
        <v>4.9330713422668484E-3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2.8216463889123293</v>
      </c>
      <c r="K109" s="55">
        <f t="shared" si="35"/>
        <v>2.9524815107098853E-3</v>
      </c>
      <c r="L109" s="55">
        <f t="shared" si="36"/>
        <v>2.7556058838855519E-3</v>
      </c>
      <c r="M109" s="55">
        <f t="shared" si="42"/>
        <v>0.99724439411611443</v>
      </c>
      <c r="N109" s="55">
        <f t="shared" si="37"/>
        <v>1.3725896470142497E-3</v>
      </c>
      <c r="O109" s="56">
        <f t="shared" si="43"/>
        <v>2.972009996607305E-9</v>
      </c>
      <c r="P109" s="56">
        <f t="shared" si="38"/>
        <v>1.9710455229449936E-6</v>
      </c>
      <c r="Q109" s="56">
        <f t="shared" si="39"/>
        <v>1.9635875321715276E-4</v>
      </c>
      <c r="R109" s="9">
        <f t="shared" si="44"/>
        <v>3.9999999999999996E-5</v>
      </c>
      <c r="S109" s="9">
        <f t="shared" si="45"/>
        <v>1.1022423535542207E-7</v>
      </c>
      <c r="T109" s="9">
        <f t="shared" si="40"/>
        <v>1.180992604283954E-7</v>
      </c>
      <c r="U109" s="9">
        <f t="shared" si="41"/>
        <v>3.9889775764644577E-5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0.95791227506374221</v>
      </c>
      <c r="K110" s="55">
        <f t="shared" si="35"/>
        <v>0.11771078853277481</v>
      </c>
      <c r="L110" s="55">
        <f t="shared" si="36"/>
        <v>1.5035299097362845E-3</v>
      </c>
      <c r="M110" s="55">
        <f t="shared" si="42"/>
        <v>0.99849647009026377</v>
      </c>
      <c r="N110" s="55">
        <f t="shared" si="37"/>
        <v>2.0805099695466456E-5</v>
      </c>
      <c r="O110" s="56">
        <f t="shared" si="43"/>
        <v>1.1848935851382227E-7</v>
      </c>
      <c r="P110" s="56">
        <f t="shared" si="38"/>
        <v>1.0754534654356532E-6</v>
      </c>
      <c r="Q110" s="56">
        <f t="shared" si="39"/>
        <v>2.9763181192914437E-6</v>
      </c>
      <c r="R110" s="9">
        <f t="shared" si="44"/>
        <v>3.9999999999999996E-5</v>
      </c>
      <c r="S110" s="9">
        <f t="shared" si="45"/>
        <v>6.0141196389451381E-8</v>
      </c>
      <c r="T110" s="9">
        <f t="shared" si="40"/>
        <v>4.708431541310992E-6</v>
      </c>
      <c r="U110" s="9">
        <f t="shared" si="41"/>
        <v>3.9939858803610547E-5</v>
      </c>
      <c r="V110" s="100">
        <f t="shared" si="46"/>
        <v>0.1178880367219864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1.3555020598075196</v>
      </c>
      <c r="K111" s="55">
        <f t="shared" si="35"/>
        <v>0.17418782800445778</v>
      </c>
      <c r="L111" s="55">
        <f t="shared" si="36"/>
        <v>5.5578061056600452E-3</v>
      </c>
      <c r="M111" s="55">
        <f t="shared" si="42"/>
        <v>0.99444219389433997</v>
      </c>
      <c r="N111" s="55">
        <f t="shared" si="37"/>
        <v>4.4474057020681707E-3</v>
      </c>
      <c r="O111" s="56">
        <f t="shared" si="43"/>
        <v>1.7533995191458154E-7</v>
      </c>
      <c r="P111" s="56">
        <f t="shared" si="38"/>
        <v>3.9754193101485476E-6</v>
      </c>
      <c r="Q111" s="56">
        <f t="shared" si="39"/>
        <v>6.3623315286443784E-4</v>
      </c>
      <c r="R111" s="9">
        <f t="shared" si="44"/>
        <v>3.9999999999999996E-5</v>
      </c>
      <c r="S111" s="9">
        <f t="shared" si="45"/>
        <v>2.2231224422640179E-7</v>
      </c>
      <c r="T111" s="9">
        <f t="shared" si="40"/>
        <v>6.9675131201783105E-6</v>
      </c>
      <c r="U111" s="9">
        <f t="shared" si="41"/>
        <v>3.9777687755773592E-5</v>
      </c>
      <c r="V111" s="100">
        <f t="shared" si="46"/>
        <v>0.17516134077368536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4.4534363688963623</v>
      </c>
      <c r="K112" s="55">
        <f t="shared" si="35"/>
        <v>2.963285630685666E-4</v>
      </c>
      <c r="L112" s="55">
        <f t="shared" si="36"/>
        <v>1.1846591464419789E-2</v>
      </c>
      <c r="M112" s="55">
        <f t="shared" si="42"/>
        <v>0.9881534085355802</v>
      </c>
      <c r="N112" s="55">
        <f t="shared" si="37"/>
        <v>1.1283505561397738E-2</v>
      </c>
      <c r="O112" s="56">
        <f t="shared" si="43"/>
        <v>2.9828855778619503E-10</v>
      </c>
      <c r="P112" s="56">
        <f t="shared" si="38"/>
        <v>8.4736976374785563E-6</v>
      </c>
      <c r="Q112" s="56">
        <f t="shared" si="39"/>
        <v>1.6141860670262416E-3</v>
      </c>
      <c r="R112" s="9">
        <f t="shared" si="44"/>
        <v>3.9999999999999996E-5</v>
      </c>
      <c r="S112" s="9">
        <f t="shared" si="45"/>
        <v>4.7386365857679155E-7</v>
      </c>
      <c r="T112" s="9">
        <f t="shared" si="40"/>
        <v>1.1853142522742664E-8</v>
      </c>
      <c r="U112" s="9">
        <f t="shared" si="41"/>
        <v>3.9526136341423205E-5</v>
      </c>
      <c r="V112" s="100">
        <f t="shared" si="46"/>
        <v>2.9988113233118171E-4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4.835013233934724</v>
      </c>
      <c r="K113" s="55">
        <f t="shared" si="35"/>
        <v>1.3349951842845764E-4</v>
      </c>
      <c r="L113" s="55">
        <f t="shared" si="36"/>
        <v>1.284921100171838E-2</v>
      </c>
      <c r="M113" s="55">
        <f t="shared" si="42"/>
        <v>0.98715078899828157</v>
      </c>
      <c r="N113" s="55">
        <f t="shared" si="37"/>
        <v>1.2376567971146821E-2</v>
      </c>
      <c r="O113" s="56">
        <f t="shared" si="43"/>
        <v>1.3438251920373279E-10</v>
      </c>
      <c r="P113" s="56">
        <f t="shared" si="38"/>
        <v>9.1908570693719961E-6</v>
      </c>
      <c r="Q113" s="56">
        <f t="shared" si="39"/>
        <v>1.7705564523294894E-3</v>
      </c>
      <c r="R113" s="9">
        <f t="shared" si="44"/>
        <v>3.9999999999999996E-5</v>
      </c>
      <c r="S113" s="9">
        <f t="shared" si="45"/>
        <v>5.1396844006873518E-7</v>
      </c>
      <c r="T113" s="9">
        <f t="shared" si="40"/>
        <v>5.339980737138305E-9</v>
      </c>
      <c r="U113" s="9">
        <f t="shared" si="41"/>
        <v>3.9486031559931258E-5</v>
      </c>
      <c r="V113" s="100">
        <f t="shared" si="46"/>
        <v>1.352372098734047E-4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5.2666304943820279</v>
      </c>
      <c r="K114" s="55">
        <f t="shared" si="35"/>
        <v>5.2977086183617756E-5</v>
      </c>
      <c r="L114" s="55">
        <f t="shared" si="36"/>
        <v>1.3775332489961349E-2</v>
      </c>
      <c r="M114" s="55">
        <f t="shared" si="42"/>
        <v>0.98622466751003868</v>
      </c>
      <c r="N114" s="55">
        <f t="shared" si="37"/>
        <v>1.3386239780033721E-2</v>
      </c>
      <c r="O114" s="56">
        <f t="shared" si="43"/>
        <v>5.3327490505091187E-11</v>
      </c>
      <c r="P114" s="56">
        <f t="shared" si="38"/>
        <v>9.853298539605211E-6</v>
      </c>
      <c r="Q114" s="56">
        <f t="shared" si="39"/>
        <v>1.9149972165322523E-3</v>
      </c>
      <c r="R114" s="9">
        <f t="shared" si="44"/>
        <v>3.9999999999999996E-5</v>
      </c>
      <c r="S114" s="9">
        <f t="shared" si="45"/>
        <v>5.5101329959845393E-7</v>
      </c>
      <c r="T114" s="9">
        <f t="shared" si="40"/>
        <v>2.1190834473447101E-9</v>
      </c>
      <c r="U114" s="9">
        <f t="shared" si="41"/>
        <v>3.9448986700401545E-5</v>
      </c>
      <c r="V114" s="100">
        <f t="shared" si="46"/>
        <v>5.3717056497249405E-5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3.8521324112849911</v>
      </c>
      <c r="K115" s="55">
        <f t="shared" si="35"/>
        <v>1.3281931820398262E-3</v>
      </c>
      <c r="L115" s="55">
        <f t="shared" si="36"/>
        <v>1.3297720049626581E-2</v>
      </c>
      <c r="M115" s="55">
        <f t="shared" si="42"/>
        <v>0.98670227995037341</v>
      </c>
      <c r="N115" s="55">
        <f t="shared" si="37"/>
        <v>1.2865681947590104E-2</v>
      </c>
      <c r="O115" s="56">
        <f t="shared" si="43"/>
        <v>1.3369781995684463E-9</v>
      </c>
      <c r="P115" s="56">
        <f t="shared" si="38"/>
        <v>9.5116691840686088E-6</v>
      </c>
      <c r="Q115" s="56">
        <f t="shared" si="39"/>
        <v>1.8405277003309608E-3</v>
      </c>
      <c r="R115" s="9">
        <f t="shared" si="44"/>
        <v>3.9999999999999996E-5</v>
      </c>
      <c r="S115" s="9">
        <f t="shared" si="45"/>
        <v>5.3190880198506321E-7</v>
      </c>
      <c r="T115" s="9">
        <f t="shared" si="40"/>
        <v>5.3127727281593046E-8</v>
      </c>
      <c r="U115" s="9">
        <f t="shared" si="41"/>
        <v>3.9468091198014935E-5</v>
      </c>
      <c r="V115" s="100">
        <f t="shared" si="46"/>
        <v>1.346093151934977E-3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-2.2409333494947648E-3</v>
      </c>
      <c r="K116" s="55">
        <f t="shared" si="35"/>
        <v>0.99490060846795647</v>
      </c>
      <c r="L116" s="55">
        <f t="shared" si="36"/>
        <v>1.3929075454932036E-3</v>
      </c>
      <c r="M116" s="55">
        <f t="shared" si="42"/>
        <v>0.99860709245450685</v>
      </c>
      <c r="N116" s="55">
        <f t="shared" si="37"/>
        <v>1.5617167712396588E-6</v>
      </c>
      <c r="O116" s="56">
        <f t="shared" si="43"/>
        <v>1.0014811416334728E-6</v>
      </c>
      <c r="P116" s="56">
        <f t="shared" si="38"/>
        <v>9.9632686861206722E-7</v>
      </c>
      <c r="Q116" s="56">
        <f t="shared" si="39"/>
        <v>2.2341473924562775E-7</v>
      </c>
      <c r="R116" s="9">
        <f t="shared" si="44"/>
        <v>3.9999999999999996E-5</v>
      </c>
      <c r="S116" s="9">
        <f t="shared" si="45"/>
        <v>5.5716301819728139E-8</v>
      </c>
      <c r="T116" s="9">
        <f t="shared" si="40"/>
        <v>3.9796024338718252E-5</v>
      </c>
      <c r="U116" s="9">
        <f t="shared" si="41"/>
        <v>3.9944283698180273E-5</v>
      </c>
      <c r="V116" s="100">
        <f t="shared" si="46"/>
        <v>0.99628834602261829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0.28643381699467835</v>
      </c>
      <c r="K117" s="55">
        <f t="shared" si="35"/>
        <v>0.72922775644222826</v>
      </c>
      <c r="L117" s="55">
        <f t="shared" si="36"/>
        <v>1.9846344952509335E-3</v>
      </c>
      <c r="M117" s="55">
        <f t="shared" si="42"/>
        <v>0.99801536550474912</v>
      </c>
      <c r="N117" s="55">
        <f t="shared" si="37"/>
        <v>6.1597873980510616E-4</v>
      </c>
      <c r="O117" s="56">
        <f t="shared" si="43"/>
        <v>7.3405105979096446E-7</v>
      </c>
      <c r="P117" s="56">
        <f t="shared" si="38"/>
        <v>1.4195807025316318E-6</v>
      </c>
      <c r="Q117" s="56">
        <f t="shared" si="39"/>
        <v>8.812015857726188E-5</v>
      </c>
      <c r="R117" s="9">
        <f t="shared" si="44"/>
        <v>3.9999999999999996E-5</v>
      </c>
      <c r="S117" s="9">
        <f t="shared" si="45"/>
        <v>7.9385379810037332E-8</v>
      </c>
      <c r="T117" s="9">
        <f t="shared" si="40"/>
        <v>2.9169110257689129E-5</v>
      </c>
      <c r="U117" s="9">
        <f t="shared" si="41"/>
        <v>3.9920614620189959E-5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1.3686761084292649</v>
      </c>
      <c r="K118" s="55">
        <f t="shared" si="35"/>
        <v>0.1704282531428325</v>
      </c>
      <c r="L118" s="55">
        <f t="shared" si="36"/>
        <v>5.6053305574060019E-3</v>
      </c>
      <c r="M118" s="55">
        <f t="shared" si="42"/>
        <v>0.99439466944259403</v>
      </c>
      <c r="N118" s="55">
        <f t="shared" si="37"/>
        <v>4.4987836419660178E-3</v>
      </c>
      <c r="O118" s="56">
        <f t="shared" si="43"/>
        <v>1.7155551024027707E-7</v>
      </c>
      <c r="P118" s="56">
        <f t="shared" si="38"/>
        <v>4.009412871561692E-6</v>
      </c>
      <c r="Q118" s="56">
        <f t="shared" si="39"/>
        <v>6.4358313415210987E-4</v>
      </c>
      <c r="R118" s="9">
        <f t="shared" si="44"/>
        <v>3.9999999999999996E-5</v>
      </c>
      <c r="S118" s="9">
        <f t="shared" si="45"/>
        <v>2.2421322229624007E-7</v>
      </c>
      <c r="T118" s="9">
        <f t="shared" si="40"/>
        <v>6.8171301257132994E-6</v>
      </c>
      <c r="U118" s="9">
        <f t="shared" si="41"/>
        <v>3.9775786777703756E-5</v>
      </c>
      <c r="V118" s="100">
        <f t="shared" si="46"/>
        <v>0.17138894483250369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-4.1669766004283522E-3</v>
      </c>
      <c r="K119" s="55">
        <f t="shared" si="35"/>
        <v>0.99811097558088013</v>
      </c>
      <c r="L119" s="55">
        <f t="shared" si="36"/>
        <v>1.3912186230001782E-3</v>
      </c>
      <c r="M119" s="55">
        <f t="shared" si="42"/>
        <v>0.99860878137699982</v>
      </c>
      <c r="N119" s="55">
        <f t="shared" si="37"/>
        <v>9.137092861314327E-8</v>
      </c>
      <c r="O119" s="56">
        <f t="shared" si="43"/>
        <v>1.0047127429552011E-6</v>
      </c>
      <c r="P119" s="56">
        <f t="shared" si="38"/>
        <v>9.9511880648026984E-7</v>
      </c>
      <c r="Q119" s="56">
        <f t="shared" si="39"/>
        <v>1.3071263987600237E-8</v>
      </c>
      <c r="R119" s="9">
        <f t="shared" si="44"/>
        <v>3.9999999999999996E-5</v>
      </c>
      <c r="S119" s="9">
        <f t="shared" si="45"/>
        <v>5.5648744920007121E-8</v>
      </c>
      <c r="T119" s="9">
        <f t="shared" si="40"/>
        <v>3.9924439023235205E-5</v>
      </c>
      <c r="U119" s="9">
        <f t="shared" si="41"/>
        <v>3.994435125507999E-5</v>
      </c>
      <c r="V119" s="100">
        <f t="shared" si="46"/>
        <v>0.999501500682346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-4.4262249960394223E-3</v>
      </c>
      <c r="K120" s="55">
        <f t="shared" si="35"/>
        <v>0.99860891768309978</v>
      </c>
      <c r="L120" s="55">
        <f t="shared" si="36"/>
        <v>1.3910820379335659E-3</v>
      </c>
      <c r="M120" s="55">
        <f t="shared" si="42"/>
        <v>0.99860891796206641</v>
      </c>
      <c r="N120" s="55">
        <f t="shared" si="37"/>
        <v>1.1854929407111429E-16</v>
      </c>
      <c r="O120" s="56">
        <f t="shared" si="43"/>
        <v>1.0052139785768843E-6</v>
      </c>
      <c r="P120" s="56">
        <f t="shared" si="38"/>
        <v>9.9502110913333741E-7</v>
      </c>
      <c r="Q120" s="56">
        <f t="shared" si="39"/>
        <v>1.6959323297544832E-17</v>
      </c>
      <c r="R120" s="9">
        <f t="shared" si="44"/>
        <v>3.9999999999999996E-5</v>
      </c>
      <c r="S120" s="9">
        <f t="shared" si="45"/>
        <v>5.5643281517342628E-8</v>
      </c>
      <c r="T120" s="9">
        <f t="shared" si="40"/>
        <v>3.9944356707323986E-5</v>
      </c>
      <c r="U120" s="9">
        <f t="shared" si="41"/>
        <v>3.9944356718482656E-5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2.6173480936565248E-2</v>
      </c>
      <c r="K121" s="55">
        <f t="shared" si="35"/>
        <v>0.9596096669171833</v>
      </c>
      <c r="L121" s="55">
        <f t="shared" si="36"/>
        <v>1.4343383922589186E-3</v>
      </c>
      <c r="M121" s="55">
        <f t="shared" si="42"/>
        <v>0.99856566160774107</v>
      </c>
      <c r="N121" s="55">
        <f t="shared" si="37"/>
        <v>4.2652781763280316E-5</v>
      </c>
      <c r="O121" s="56">
        <f t="shared" si="43"/>
        <v>9.6595677655341391E-7</v>
      </c>
      <c r="P121" s="56">
        <f t="shared" si="38"/>
        <v>1.0259617614343431E-6</v>
      </c>
      <c r="Q121" s="56">
        <f t="shared" si="39"/>
        <v>6.1017850939641283E-6</v>
      </c>
      <c r="R121" s="9">
        <f t="shared" si="44"/>
        <v>3.9999999999999996E-5</v>
      </c>
      <c r="S121" s="9">
        <f t="shared" si="45"/>
        <v>5.7373535690356736E-8</v>
      </c>
      <c r="T121" s="9">
        <f t="shared" si="40"/>
        <v>3.838438667668733E-5</v>
      </c>
      <c r="U121" s="9">
        <f t="shared" si="41"/>
        <v>3.9942626464309638E-5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4.5142868350926486</v>
      </c>
      <c r="K122" s="55">
        <f t="shared" si="35"/>
        <v>3.196810652786418E-4</v>
      </c>
      <c r="L122" s="55">
        <f t="shared" si="36"/>
        <v>1.4702367586685567E-2</v>
      </c>
      <c r="M122" s="55">
        <f t="shared" si="42"/>
        <v>0.98529763241331447</v>
      </c>
      <c r="N122" s="55">
        <f t="shared" si="37"/>
        <v>1.4396947750300995E-2</v>
      </c>
      <c r="O122" s="56">
        <f t="shared" si="43"/>
        <v>3.2179551956135973E-10</v>
      </c>
      <c r="P122" s="56">
        <f t="shared" si="38"/>
        <v>1.0516393500933531E-5</v>
      </c>
      <c r="Q122" s="56">
        <f t="shared" si="39"/>
        <v>2.0595862110216307E-3</v>
      </c>
      <c r="R122" s="9">
        <f t="shared" si="44"/>
        <v>3.9999999999999996E-5</v>
      </c>
      <c r="S122" s="9">
        <f t="shared" si="45"/>
        <v>5.8809470346742262E-7</v>
      </c>
      <c r="T122" s="9">
        <f t="shared" si="40"/>
        <v>1.2787242611145672E-8</v>
      </c>
      <c r="U122" s="9">
        <f t="shared" si="41"/>
        <v>3.9411905296532575E-5</v>
      </c>
      <c r="V122" s="100">
        <f t="shared" si="46"/>
        <v>3.2445126707108678E-4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0.22591684515469179</v>
      </c>
      <c r="K123" s="55">
        <f t="shared" ref="K123:K127" si="49">IF(D123=0,"",1/(1+10^D123*$J$15/$J$14+10^E123*$J$16/$J$14+10^J123*$J$19/$J$14))</f>
        <v>0.79993330458564582</v>
      </c>
      <c r="L123" s="55">
        <f t="shared" ref="L123:L127" si="50">IF(D123=0,"",1/(1+10^I123/10^J123*$J$13/$J$19))</f>
        <v>1.8938873869045281E-3</v>
      </c>
      <c r="M123" s="55">
        <f t="shared" si="42"/>
        <v>0.99810611261309545</v>
      </c>
      <c r="N123" s="55">
        <f t="shared" ref="N123:N127" si="51">IF(D123=0,"",1/(1/10^E123*$J$20/$J$22+10^D123/10^E123*$J$21/$J$22+10^I123/10^E123*$J$13/$J$22+1))</f>
        <v>5.2521402036811646E-4</v>
      </c>
      <c r="O123" s="56">
        <f t="shared" si="43"/>
        <v>8.0522427294592552E-7</v>
      </c>
      <c r="P123" s="56">
        <f t="shared" ref="P123:P127" si="52">IF(D123=0,"",O123*10^J123)</f>
        <v>1.3546705923187101E-6</v>
      </c>
      <c r="Q123" s="56">
        <f t="shared" ref="Q123:Q127" si="53">IF(D123=0,"",F123*N123*$J$7/$J$22)</f>
        <v>7.5135617142375972E-5</v>
      </c>
      <c r="R123" s="9">
        <f t="shared" si="44"/>
        <v>3.9999999999999996E-5</v>
      </c>
      <c r="S123" s="9">
        <f t="shared" si="45"/>
        <v>7.5755495476181119E-8</v>
      </c>
      <c r="T123" s="9">
        <f t="shared" si="40"/>
        <v>3.1997332183425832E-5</v>
      </c>
      <c r="U123" s="9">
        <f t="shared" si="41"/>
        <v>3.9924244504523811E-5</v>
      </c>
      <c r="V123" s="100">
        <f t="shared" si="46"/>
        <v>0.8014511628341574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0.17110445915344102</v>
      </c>
      <c r="J124" s="54">
        <f t="shared" si="48"/>
        <v>0.24488252340606687</v>
      </c>
      <c r="K124" s="55">
        <f t="shared" si="49"/>
        <v>0.66976130395549349</v>
      </c>
      <c r="L124" s="55">
        <f t="shared" si="50"/>
        <v>1.6564796445189415E-3</v>
      </c>
      <c r="M124" s="55">
        <f t="shared" si="42"/>
        <v>0.99834352035548102</v>
      </c>
      <c r="N124" s="55">
        <f t="shared" si="51"/>
        <v>2.5134461464809091E-4</v>
      </c>
      <c r="O124" s="56">
        <f t="shared" si="43"/>
        <v>6.741912806146148E-7</v>
      </c>
      <c r="P124" s="56">
        <f t="shared" si="52"/>
        <v>1.1848562257294768E-6</v>
      </c>
      <c r="Q124" s="56">
        <f t="shared" si="53"/>
        <v>3.5956642444085458E-5</v>
      </c>
      <c r="R124" s="9">
        <f t="shared" si="44"/>
        <v>3.9999999999999996E-5</v>
      </c>
      <c r="S124" s="9">
        <f t="shared" si="45"/>
        <v>6.6259185780757656E-8</v>
      </c>
      <c r="T124" s="9">
        <f t="shared" si="40"/>
        <v>2.6790452158219736E-5</v>
      </c>
      <c r="U124" s="9">
        <f t="shared" si="41"/>
        <v>3.9933740814219239E-5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6.9342980082594723E-3</v>
      </c>
      <c r="K125" s="55">
        <f t="shared" si="49"/>
        <v>0.98023233846933744</v>
      </c>
      <c r="L125" s="55">
        <f t="shared" si="50"/>
        <v>1.4016734654030642E-3</v>
      </c>
      <c r="M125" s="55">
        <f t="shared" si="42"/>
        <v>0.9985983265345969</v>
      </c>
      <c r="N125" s="55">
        <f t="shared" si="51"/>
        <v>9.4236155094971974E-6</v>
      </c>
      <c r="O125" s="56">
        <f t="shared" si="43"/>
        <v>9.8671585185580738E-7</v>
      </c>
      <c r="P125" s="56">
        <f t="shared" si="52"/>
        <v>1.002597005896163E-6</v>
      </c>
      <c r="Q125" s="56">
        <f t="shared" si="53"/>
        <v>1.3481155101729273E-6</v>
      </c>
      <c r="R125" s="9">
        <f t="shared" si="44"/>
        <v>3.9999999999999996E-5</v>
      </c>
      <c r="S125" s="9">
        <f t="shared" si="45"/>
        <v>5.6066938616122563E-8</v>
      </c>
      <c r="T125" s="9">
        <f t="shared" si="40"/>
        <v>3.9209293538773492E-5</v>
      </c>
      <c r="U125" s="9">
        <f t="shared" si="41"/>
        <v>3.9943933061383874E-5</v>
      </c>
      <c r="V125" s="100">
        <f t="shared" si="46"/>
        <v>0.98160823268250974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3.4036065550970451</v>
      </c>
      <c r="K126" s="55">
        <f t="shared" si="49"/>
        <v>3.4105590605702919E-3</v>
      </c>
      <c r="L126" s="55">
        <f t="shared" si="50"/>
        <v>1.2156698828630455E-2</v>
      </c>
      <c r="M126" s="55">
        <f t="shared" si="42"/>
        <v>0.98784330117136954</v>
      </c>
      <c r="N126" s="55">
        <f t="shared" si="51"/>
        <v>1.1621952319215097E-2</v>
      </c>
      <c r="O126" s="56">
        <f t="shared" si="43"/>
        <v>3.4331173913422424E-9</v>
      </c>
      <c r="P126" s="56">
        <f t="shared" si="52"/>
        <v>8.6955130049932429E-6</v>
      </c>
      <c r="Q126" s="56">
        <f t="shared" si="53"/>
        <v>1.6626032932088564E-3</v>
      </c>
      <c r="R126" s="9">
        <f t="shared" si="44"/>
        <v>3.9999999999999996E-5</v>
      </c>
      <c r="S126" s="9">
        <f t="shared" si="45"/>
        <v>4.8626795314521809E-7</v>
      </c>
      <c r="T126" s="9">
        <f t="shared" si="40"/>
        <v>1.3642236242281165E-7</v>
      </c>
      <c r="U126" s="9">
        <f t="shared" si="41"/>
        <v>3.9513732046854781E-5</v>
      </c>
      <c r="V126" s="100">
        <f t="shared" si="46"/>
        <v>3.4525304332439191E-3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1.1960082768923535</v>
      </c>
      <c r="K127" s="55">
        <f t="shared" si="49"/>
        <v>0.22539296013618093</v>
      </c>
      <c r="L127" s="55">
        <f t="shared" si="50"/>
        <v>4.9811790407215274E-3</v>
      </c>
      <c r="M127" s="55">
        <f t="shared" si="42"/>
        <v>0.99501882095927852</v>
      </c>
      <c r="N127" s="55">
        <f t="shared" si="51"/>
        <v>3.8246690550759388E-3</v>
      </c>
      <c r="O127" s="56">
        <f t="shared" si="43"/>
        <v>2.2688376819964573E-7</v>
      </c>
      <c r="P127" s="56">
        <f t="shared" si="52"/>
        <v>3.5629662081275266E-6</v>
      </c>
      <c r="Q127" s="56">
        <f t="shared" si="53"/>
        <v>5.47146227393292E-4</v>
      </c>
      <c r="R127" s="9">
        <f t="shared" si="44"/>
        <v>3.9999999999999996E-5</v>
      </c>
      <c r="S127" s="9">
        <f t="shared" si="45"/>
        <v>1.9924716162886107E-7</v>
      </c>
      <c r="T127" s="9">
        <f t="shared" si="40"/>
        <v>9.0157184054472365E-6</v>
      </c>
      <c r="U127" s="9">
        <f t="shared" si="41"/>
        <v>3.9800752838371136E-5</v>
      </c>
      <c r="V127" s="100">
        <f t="shared" si="46"/>
        <v>0.22652130330447812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2.094216282910164</v>
      </c>
      <c r="K128" s="55">
        <f t="shared" ref="K128:K134" si="56">IF(D128=0,"",1/(1+10^D128*$J$15/$J$14+10^E128*$J$16/$J$14+10^J128*$J$19/$J$14))</f>
        <v>3.5483107656478503E-2</v>
      </c>
      <c r="L128" s="55">
        <f t="shared" ref="L128:L134" si="57">IF(D128=0,"",1/(1+10^I128/10^J128*$J$13/$J$19))</f>
        <v>6.203281073382123E-3</v>
      </c>
      <c r="M128" s="55">
        <f t="shared" ref="M128:M134" si="58">IF(D128=0,"",1-L128)</f>
        <v>0.99379671892661792</v>
      </c>
      <c r="N128" s="55">
        <f t="shared" ref="N128:N134" si="59">IF(D128=0,"",1/(1/10^E128*$J$20/$J$22+10^D128/10^E128*$J$21/$J$22+10^I128/10^E128*$J$13/$J$22+1))</f>
        <v>5.1350914361490592E-3</v>
      </c>
      <c r="O128" s="56">
        <f t="shared" ref="O128:O134" si="60">IF(D128=0,"",F128*K128*$J$7/$J$14)</f>
        <v>3.5717802222711219E-8</v>
      </c>
      <c r="P128" s="56">
        <f t="shared" ref="P128:P134" si="61">IF(D128=0,"",O128*10^J128)</f>
        <v>4.4371183334891858E-6</v>
      </c>
      <c r="Q128" s="56">
        <f t="shared" ref="Q128:Q134" si="62">IF(D128=0,"",F128*N128*$J$7/$J$22)</f>
        <v>7.3461150916566669E-4</v>
      </c>
      <c r="R128" s="9">
        <f t="shared" si="44"/>
        <v>3.9999999999999996E-5</v>
      </c>
      <c r="S128" s="9">
        <f t="shared" si="45"/>
        <v>2.4813124293528488E-7</v>
      </c>
      <c r="T128" s="9">
        <f t="shared" si="40"/>
        <v>1.41932430625914E-6</v>
      </c>
      <c r="U128" s="9">
        <f t="shared" si="41"/>
        <v>3.9751868757064713E-5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-4.2914078638979607E-3</v>
      </c>
      <c r="K129" s="55">
        <f t="shared" si="56"/>
        <v>0.99834375915268858</v>
      </c>
      <c r="L129" s="55">
        <f t="shared" si="57"/>
        <v>1.3911444498931433E-3</v>
      </c>
      <c r="M129" s="55">
        <f t="shared" si="58"/>
        <v>0.99860885555010681</v>
      </c>
      <c r="N129" s="55">
        <f t="shared" si="59"/>
        <v>3.7403838874413099E-8</v>
      </c>
      <c r="O129" s="56">
        <f t="shared" si="60"/>
        <v>1.0049470662185141E-6</v>
      </c>
      <c r="P129" s="56">
        <f t="shared" si="61"/>
        <v>9.9506575151642367E-7</v>
      </c>
      <c r="Q129" s="56">
        <f t="shared" si="62"/>
        <v>5.3508863212624671E-9</v>
      </c>
      <c r="R129" s="9">
        <f t="shared" si="44"/>
        <v>3.9999999999999996E-5</v>
      </c>
      <c r="S129" s="9">
        <f t="shared" si="45"/>
        <v>5.5645777995725729E-8</v>
      </c>
      <c r="T129" s="9">
        <f t="shared" si="40"/>
        <v>3.9933750366107539E-5</v>
      </c>
      <c r="U129" s="9">
        <f t="shared" si="41"/>
        <v>3.994435422200427E-5</v>
      </c>
      <c r="V129" s="100">
        <f t="shared" si="46"/>
        <v>0.99973453430144854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0.56673031230734872</v>
      </c>
      <c r="K130" s="55">
        <f t="shared" si="56"/>
        <v>0.54071541942695422</v>
      </c>
      <c r="L130" s="55">
        <f t="shared" si="57"/>
        <v>2.805967229044924E-3</v>
      </c>
      <c r="M130" s="55">
        <f t="shared" si="58"/>
        <v>0.99719403277095509</v>
      </c>
      <c r="N130" s="55">
        <f t="shared" si="59"/>
        <v>1.4896337601590882E-3</v>
      </c>
      <c r="O130" s="56">
        <f t="shared" si="60"/>
        <v>5.4429185281171655E-7</v>
      </c>
      <c r="P130" s="56">
        <f t="shared" si="61"/>
        <v>2.0070682736897044E-6</v>
      </c>
      <c r="Q130" s="56">
        <f t="shared" si="62"/>
        <v>2.1310274963190148E-4</v>
      </c>
      <c r="R130" s="9">
        <f t="shared" si="44"/>
        <v>3.9999999999999996E-5</v>
      </c>
      <c r="S130" s="9">
        <f t="shared" si="45"/>
        <v>1.1223868916179695E-7</v>
      </c>
      <c r="T130" s="9">
        <f t="shared" si="40"/>
        <v>2.1628616777078169E-5</v>
      </c>
      <c r="U130" s="9">
        <f t="shared" si="41"/>
        <v>3.9887761310838203E-5</v>
      </c>
      <c r="V130" s="100">
        <f t="shared" si="46"/>
        <v>0.54223691845050459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6.6795363533780584E-3</v>
      </c>
      <c r="K131" s="55">
        <f t="shared" si="56"/>
        <v>0.98250484877978628</v>
      </c>
      <c r="L131" s="55">
        <f t="shared" si="57"/>
        <v>1.4040991181179651E-3</v>
      </c>
      <c r="M131" s="55">
        <f t="shared" si="58"/>
        <v>0.99859590088188199</v>
      </c>
      <c r="N131" s="55">
        <f t="shared" si="59"/>
        <v>1.2330713781486373E-5</v>
      </c>
      <c r="O131" s="56">
        <f t="shared" si="60"/>
        <v>9.8900339314456682E-7</v>
      </c>
      <c r="P131" s="56">
        <f t="shared" si="61"/>
        <v>1.00433204063095E-6</v>
      </c>
      <c r="Q131" s="56">
        <f t="shared" si="62"/>
        <v>1.763996682968636E-6</v>
      </c>
      <c r="R131" s="9">
        <f t="shared" si="44"/>
        <v>3.9999999999999996E-5</v>
      </c>
      <c r="S131" s="9">
        <f t="shared" si="45"/>
        <v>5.6163964724718598E-8</v>
      </c>
      <c r="T131" s="9">
        <f t="shared" si="40"/>
        <v>3.9300193951191445E-5</v>
      </c>
      <c r="U131" s="9">
        <f t="shared" si="41"/>
        <v>3.9943836035275277E-5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2.8199434247480615E-2</v>
      </c>
      <c r="K132" s="55">
        <f t="shared" si="56"/>
        <v>0.95739694563663968</v>
      </c>
      <c r="L132" s="55">
        <f t="shared" si="57"/>
        <v>1.4377222694519868E-3</v>
      </c>
      <c r="M132" s="55">
        <f t="shared" si="58"/>
        <v>0.99856227773054806</v>
      </c>
      <c r="N132" s="55">
        <f t="shared" si="59"/>
        <v>4.608628886950547E-5</v>
      </c>
      <c r="O132" s="56">
        <f t="shared" si="60"/>
        <v>9.6372941975486123E-7</v>
      </c>
      <c r="P132" s="56">
        <f t="shared" si="61"/>
        <v>1.0283822004494424E-6</v>
      </c>
      <c r="Q132" s="56">
        <f t="shared" si="62"/>
        <v>6.592972810560395E-6</v>
      </c>
      <c r="R132" s="9">
        <f t="shared" si="44"/>
        <v>3.9999999999999996E-5</v>
      </c>
      <c r="S132" s="9">
        <f t="shared" si="45"/>
        <v>5.7508890778079463E-8</v>
      </c>
      <c r="T132" s="9">
        <f t="shared" si="40"/>
        <v>3.8295877825465582E-5</v>
      </c>
      <c r="U132" s="9">
        <f t="shared" si="41"/>
        <v>3.9942491109221918E-5</v>
      </c>
      <c r="V132" s="100">
        <f t="shared" si="46"/>
        <v>0.95877539837829084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1.4297811371420288</v>
      </c>
      <c r="K133" s="55">
        <f t="shared" si="56"/>
        <v>0.15387149070308553</v>
      </c>
      <c r="L133" s="55">
        <f t="shared" si="57"/>
        <v>5.8253607628387079E-3</v>
      </c>
      <c r="M133" s="55">
        <f t="shared" si="58"/>
        <v>0.99417463923716132</v>
      </c>
      <c r="N133" s="55">
        <f t="shared" si="59"/>
        <v>4.7367530012950273E-3</v>
      </c>
      <c r="O133" s="56">
        <f t="shared" si="60"/>
        <v>1.5488923703792629E-7</v>
      </c>
      <c r="P133" s="56">
        <f t="shared" si="61"/>
        <v>4.1667973342190592E-6</v>
      </c>
      <c r="Q133" s="56">
        <f t="shared" si="62"/>
        <v>6.7762635078526267E-4</v>
      </c>
      <c r="R133" s="9">
        <f t="shared" si="44"/>
        <v>3.9999999999999996E-5</v>
      </c>
      <c r="S133" s="9">
        <f t="shared" si="45"/>
        <v>2.3301443051354829E-7</v>
      </c>
      <c r="T133" s="9">
        <f t="shared" si="40"/>
        <v>6.154859628123421E-6</v>
      </c>
      <c r="U133" s="9">
        <f t="shared" si="41"/>
        <v>3.9766985569486447E-5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-4.3849060173013843E-3</v>
      </c>
      <c r="K134" s="55">
        <f t="shared" si="56"/>
        <v>0.99852509651525656</v>
      </c>
      <c r="L134" s="55">
        <f t="shared" si="57"/>
        <v>1.3910976167611985E-3</v>
      </c>
      <c r="M134" s="55">
        <f t="shared" si="58"/>
        <v>0.99860890238323885</v>
      </c>
      <c r="N134" s="55">
        <f t="shared" si="59"/>
        <v>7.2988358504788535E-9</v>
      </c>
      <c r="O134" s="56">
        <f t="shared" si="60"/>
        <v>1.0051296029938862E-6</v>
      </c>
      <c r="P134" s="56">
        <f t="shared" si="61"/>
        <v>9.9503225244618826E-7</v>
      </c>
      <c r="Q134" s="56">
        <f t="shared" si="62"/>
        <v>1.0441506029527891E-9</v>
      </c>
      <c r="R134" s="9">
        <f t="shared" si="44"/>
        <v>3.9999999999999996E-5</v>
      </c>
      <c r="S134" s="9">
        <f t="shared" si="45"/>
        <v>5.5643904670447933E-8</v>
      </c>
      <c r="T134" s="9">
        <f t="shared" si="40"/>
        <v>3.9941003860610259E-5</v>
      </c>
      <c r="U134" s="9">
        <f t="shared" si="41"/>
        <v>3.994435609532955E-5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5.2755991161798507E-2</v>
      </c>
      <c r="K135" s="55">
        <f t="shared" ref="K135:K143" si="65">IF(D135=0,"",1/(1+10^D135*$J$15/$J$14+10^E135*$J$16/$J$14+10^J135*$J$19/$J$14))</f>
        <v>0.93202720309885589</v>
      </c>
      <c r="L135" s="55">
        <f t="shared" ref="L135:L143" si="66">IF(D135=0,"",1/(1+10^I135/10^J135*$J$13/$J$19))</f>
        <v>1.4810444988152273E-3</v>
      </c>
      <c r="M135" s="55">
        <f t="shared" ref="M135:M143" si="67">IF(D135=0,"",1-L135)</f>
        <v>0.99851895550118475</v>
      </c>
      <c r="N135" s="55">
        <f t="shared" ref="N135:N143" si="68">IF(D135=0,"",1/(1/10^E135*$J$20/$J$22+10^D135/10^E135*$J$21/$J$22+10^I135/10^E135*$J$13/$J$22+1))</f>
        <v>9.0385788855747878E-5</v>
      </c>
      <c r="O135" s="56">
        <f t="shared" ref="O135:O143" si="69">IF(D135=0,"",F135*K135*$J$7/$J$14)</f>
        <v>9.3819187509619259E-7</v>
      </c>
      <c r="P135" s="56">
        <f t="shared" ref="P135:P143" si="70">IF(D135=0,"",O135*10^J135)</f>
        <v>1.0593699722239776E-6</v>
      </c>
      <c r="Q135" s="56">
        <f t="shared" ref="Q135:Q143" si="71">IF(D135=0,"",F135*N135*$J$7/$J$22)</f>
        <v>1.2930332708592273E-5</v>
      </c>
      <c r="R135" s="9">
        <f t="shared" si="44"/>
        <v>3.9999999999999996E-5</v>
      </c>
      <c r="S135" s="9">
        <f t="shared" si="45"/>
        <v>5.9241779952609087E-8</v>
      </c>
      <c r="T135" s="9">
        <f t="shared" si="40"/>
        <v>3.7281088123954231E-5</v>
      </c>
      <c r="U135" s="9">
        <f t="shared" si="41"/>
        <v>3.9940758220047383E-5</v>
      </c>
      <c r="V135" s="100">
        <f t="shared" si="46"/>
        <v>0.93340962428804897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-2.4626113408787245E-3</v>
      </c>
      <c r="K136" s="55">
        <f t="shared" si="65"/>
        <v>0.99524913772186163</v>
      </c>
      <c r="L136" s="55">
        <f t="shared" si="66"/>
        <v>1.3926844500296619E-3</v>
      </c>
      <c r="M136" s="55">
        <f t="shared" si="67"/>
        <v>0.99860731554997029</v>
      </c>
      <c r="N136" s="55">
        <f t="shared" si="68"/>
        <v>1.3587652526600779E-6</v>
      </c>
      <c r="O136" s="56">
        <f t="shared" si="69"/>
        <v>1.0018319761511351E-6</v>
      </c>
      <c r="P136" s="56">
        <f t="shared" si="70"/>
        <v>9.9616729161407361E-7</v>
      </c>
      <c r="Q136" s="56">
        <f t="shared" si="71"/>
        <v>1.9438107485911452E-7</v>
      </c>
      <c r="R136" s="9">
        <f t="shared" si="44"/>
        <v>3.9999999999999996E-5</v>
      </c>
      <c r="S136" s="9">
        <f t="shared" si="45"/>
        <v>5.5707378001186473E-8</v>
      </c>
      <c r="T136" s="9">
        <f t="shared" si="40"/>
        <v>3.9809965508874461E-5</v>
      </c>
      <c r="U136" s="9">
        <f t="shared" si="41"/>
        <v>3.9944292621998805E-5</v>
      </c>
      <c r="V136" s="100">
        <f t="shared" si="46"/>
        <v>0.99663713876734505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-4.421887076917202E-3</v>
      </c>
      <c r="K137" s="55">
        <f t="shared" si="65"/>
        <v>0.99859983836210275</v>
      </c>
      <c r="L137" s="55">
        <f t="shared" si="66"/>
        <v>1.3910832849249625E-3</v>
      </c>
      <c r="M137" s="55">
        <f t="shared" si="67"/>
        <v>0.99860891671507501</v>
      </c>
      <c r="N137" s="55">
        <f t="shared" si="68"/>
        <v>3.1037959288021663E-10</v>
      </c>
      <c r="O137" s="56">
        <f t="shared" si="69"/>
        <v>1.0052048392028805E-6</v>
      </c>
      <c r="P137" s="56">
        <f t="shared" si="70"/>
        <v>9.9502200108846971E-7</v>
      </c>
      <c r="Q137" s="56">
        <f t="shared" si="71"/>
        <v>4.4402017758606976E-11</v>
      </c>
      <c r="R137" s="9">
        <f t="shared" si="44"/>
        <v>3.9999999999999996E-5</v>
      </c>
      <c r="S137" s="9">
        <f t="shared" si="45"/>
        <v>5.5643331396998493E-8</v>
      </c>
      <c r="T137" s="9">
        <f t="shared" si="40"/>
        <v>3.9943993534484109E-5</v>
      </c>
      <c r="U137" s="9">
        <f t="shared" si="41"/>
        <v>3.9944356668603E-5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-2.6957393584216881E-3</v>
      </c>
      <c r="K138" s="55">
        <f t="shared" si="65"/>
        <v>0.99561990372449971</v>
      </c>
      <c r="L138" s="55">
        <f t="shared" si="66"/>
        <v>1.3924556081576249E-3</v>
      </c>
      <c r="M138" s="55">
        <f t="shared" si="67"/>
        <v>0.99860754439184241</v>
      </c>
      <c r="N138" s="55">
        <f t="shared" si="68"/>
        <v>1.1521183264192167E-6</v>
      </c>
      <c r="O138" s="56">
        <f t="shared" si="69"/>
        <v>1.0022051944972093E-6</v>
      </c>
      <c r="P138" s="56">
        <f t="shared" si="70"/>
        <v>9.9600360429217493E-7</v>
      </c>
      <c r="Q138" s="56">
        <f t="shared" si="71"/>
        <v>1.6481875601088618E-7</v>
      </c>
      <c r="R138" s="9">
        <f t="shared" si="44"/>
        <v>3.9999999999999996E-5</v>
      </c>
      <c r="S138" s="9">
        <f t="shared" si="45"/>
        <v>5.5698224326304989E-8</v>
      </c>
      <c r="T138" s="9">
        <f t="shared" si="40"/>
        <v>3.9824796148979984E-5</v>
      </c>
      <c r="U138" s="9">
        <f t="shared" si="41"/>
        <v>3.9944301775673693E-5</v>
      </c>
      <c r="V138" s="100">
        <f t="shared" si="46"/>
        <v>0.99700819337474345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3.1510352752518005E-2</v>
      </c>
      <c r="K139" s="55">
        <f t="shared" si="65"/>
        <v>0.94729157125006624</v>
      </c>
      <c r="L139" s="55">
        <f t="shared" si="66"/>
        <v>1.4334335125400417E-3</v>
      </c>
      <c r="M139" s="55">
        <f t="shared" si="67"/>
        <v>0.99856656648746001</v>
      </c>
      <c r="N139" s="55">
        <f t="shared" si="68"/>
        <v>4.0242894052720378E-5</v>
      </c>
      <c r="O139" s="56">
        <f t="shared" si="69"/>
        <v>9.5355720577573453E-7</v>
      </c>
      <c r="P139" s="56">
        <f t="shared" si="70"/>
        <v>1.0253145138982841E-6</v>
      </c>
      <c r="Q139" s="56">
        <f t="shared" si="71"/>
        <v>5.7570334434848819E-6</v>
      </c>
      <c r="R139" s="9">
        <f t="shared" si="44"/>
        <v>3.9999999999999996E-5</v>
      </c>
      <c r="S139" s="9">
        <f t="shared" si="45"/>
        <v>5.7337340501601663E-8</v>
      </c>
      <c r="T139" s="9">
        <f t="shared" si="40"/>
        <v>3.7891662850002649E-5</v>
      </c>
      <c r="U139" s="9">
        <f t="shared" si="41"/>
        <v>3.9942662659498398E-5</v>
      </c>
      <c r="V139" s="100">
        <f t="shared" si="46"/>
        <v>0.94865139995848469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-4.3926456876418607E-3</v>
      </c>
      <c r="K140" s="55">
        <f t="shared" si="65"/>
        <v>0.99854051403039967</v>
      </c>
      <c r="L140" s="55">
        <f t="shared" si="66"/>
        <v>1.3910943044494926E-3</v>
      </c>
      <c r="M140" s="55">
        <f t="shared" si="67"/>
        <v>0.9986089056955505</v>
      </c>
      <c r="N140" s="55">
        <f t="shared" si="68"/>
        <v>5.4691747856253193E-9</v>
      </c>
      <c r="O140" s="56">
        <f t="shared" si="69"/>
        <v>1.0051451224845119E-6</v>
      </c>
      <c r="P140" s="56">
        <f t="shared" si="70"/>
        <v>9.9502988319694351E-7</v>
      </c>
      <c r="Q140" s="56">
        <f t="shared" si="71"/>
        <v>7.8240451861788478E-10</v>
      </c>
      <c r="R140" s="9">
        <f t="shared" si="44"/>
        <v>3.9999999999999996E-5</v>
      </c>
      <c r="S140" s="9">
        <f t="shared" si="45"/>
        <v>5.56437721779797E-8</v>
      </c>
      <c r="T140" s="9">
        <f t="shared" si="40"/>
        <v>3.9941620561215982E-5</v>
      </c>
      <c r="U140" s="9">
        <f t="shared" si="41"/>
        <v>3.9944356227822016E-5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-4.3407954588776127E-3</v>
      </c>
      <c r="K141" s="55">
        <f t="shared" si="65"/>
        <v>0.9984386004907484</v>
      </c>
      <c r="L141" s="55">
        <f t="shared" si="66"/>
        <v>1.3911184009943237E-3</v>
      </c>
      <c r="M141" s="55">
        <f t="shared" si="67"/>
        <v>0.99860888159900563</v>
      </c>
      <c r="N141" s="55">
        <f t="shared" si="68"/>
        <v>1.9963654917496948E-8</v>
      </c>
      <c r="O141" s="56">
        <f t="shared" si="69"/>
        <v>1.0050425348620206E-6</v>
      </c>
      <c r="P141" s="56">
        <f t="shared" si="70"/>
        <v>9.9504711911122531E-7</v>
      </c>
      <c r="Q141" s="56">
        <f t="shared" si="71"/>
        <v>2.8559434334830629E-9</v>
      </c>
      <c r="R141" s="9">
        <f t="shared" si="44"/>
        <v>3.9999999999999996E-5</v>
      </c>
      <c r="S141" s="9">
        <f t="shared" si="45"/>
        <v>5.5644736039772943E-8</v>
      </c>
      <c r="T141" s="9">
        <f t="shared" si="40"/>
        <v>3.993754401962993E-5</v>
      </c>
      <c r="U141" s="9">
        <f t="shared" si="41"/>
        <v>3.994435526396022E-5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0.72928068716026373</v>
      </c>
      <c r="K142" s="55">
        <f t="shared" si="65"/>
        <v>0.44185242183294449</v>
      </c>
      <c r="L142" s="55">
        <f t="shared" si="66"/>
        <v>3.3338146812754584E-3</v>
      </c>
      <c r="M142" s="55">
        <f t="shared" si="67"/>
        <v>0.99666618531872453</v>
      </c>
      <c r="N142" s="55">
        <f t="shared" si="68"/>
        <v>2.0536827363465144E-3</v>
      </c>
      <c r="O142" s="56">
        <f t="shared" si="69"/>
        <v>4.447749494617223E-7</v>
      </c>
      <c r="P142" s="56">
        <f t="shared" si="70"/>
        <v>2.3846300155923163E-6</v>
      </c>
      <c r="Q142" s="56">
        <f t="shared" si="71"/>
        <v>2.9379398459677129E-4</v>
      </c>
      <c r="R142" s="9">
        <f t="shared" si="44"/>
        <v>3.9999999999999996E-5</v>
      </c>
      <c r="S142" s="9">
        <f t="shared" si="45"/>
        <v>1.3335258725101832E-7</v>
      </c>
      <c r="T142" s="9">
        <f t="shared" si="40"/>
        <v>1.7674096873317779E-5</v>
      </c>
      <c r="U142" s="9">
        <f t="shared" si="41"/>
        <v>3.9866647412748975E-5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1.253369354583612</v>
      </c>
      <c r="K143" s="55">
        <f t="shared" si="65"/>
        <v>6.621789254245658E-2</v>
      </c>
      <c r="L143" s="55">
        <f t="shared" si="66"/>
        <v>1.6700452447922477E-3</v>
      </c>
      <c r="M143" s="55">
        <f t="shared" si="67"/>
        <v>0.9983299547552078</v>
      </c>
      <c r="N143" s="55">
        <f t="shared" si="68"/>
        <v>1.9639429569738191E-4</v>
      </c>
      <c r="O143" s="56">
        <f t="shared" si="69"/>
        <v>6.6655875024643664E-8</v>
      </c>
      <c r="P143" s="56">
        <f t="shared" si="70"/>
        <v>1.1945595058106831E-6</v>
      </c>
      <c r="Q143" s="56">
        <f t="shared" si="71"/>
        <v>2.8095606815908311E-5</v>
      </c>
      <c r="R143" s="9">
        <f t="shared" si="44"/>
        <v>3.9999999999999996E-5</v>
      </c>
      <c r="S143" s="9">
        <f t="shared" si="45"/>
        <v>6.6801809791689906E-8</v>
      </c>
      <c r="T143" s="9">
        <f t="shared" si="40"/>
        <v>2.6487157016982629E-6</v>
      </c>
      <c r="U143" s="9">
        <f t="shared" si="41"/>
        <v>3.9933198190208309E-5</v>
      </c>
      <c r="V143" s="100">
        <f t="shared" si="46"/>
        <v>6.6328664413053018E-2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2025-02-02T17:33:08Z</dcterms:modified>
</cp:coreProperties>
</file>