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9D4466CA-01C7-4FF8-8B92-7CF9BDE5145A}" xr6:coauthVersionLast="47" xr6:coauthVersionMax="47" xr10:uidLastSave="{00000000-0000-0000-0000-000000000000}"/>
  <bookViews>
    <workbookView minimized="1" xWindow="47370" yWindow="4170" windowWidth="16200" windowHeight="999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U131" i="4"/>
  <c r="T131" i="4"/>
  <c r="S131" i="4"/>
  <c r="R131" i="4"/>
  <c r="V130" i="4"/>
  <c r="R130" i="4"/>
  <c r="U130" i="4" s="1"/>
  <c r="V127" i="4"/>
  <c r="R127" i="4"/>
  <c r="U127" i="4" s="1"/>
  <c r="V126" i="4"/>
  <c r="R126" i="4"/>
  <c r="U126" i="4" s="1"/>
  <c r="V124" i="4"/>
  <c r="T124" i="4"/>
  <c r="R124" i="4"/>
  <c r="U124" i="4" s="1"/>
  <c r="V121" i="4"/>
  <c r="U121" i="4"/>
  <c r="T121" i="4"/>
  <c r="R121" i="4"/>
  <c r="S121" i="4" s="1"/>
  <c r="V120" i="4"/>
  <c r="S120" i="4"/>
  <c r="R120" i="4"/>
  <c r="V119" i="4"/>
  <c r="U119" i="4"/>
  <c r="T119" i="4"/>
  <c r="R119" i="4"/>
  <c r="S119" i="4" s="1"/>
  <c r="V116" i="4"/>
  <c r="R116" i="4"/>
  <c r="U116" i="4" s="1"/>
  <c r="V115" i="4"/>
  <c r="U115" i="4"/>
  <c r="T115" i="4"/>
  <c r="S115" i="4"/>
  <c r="R115" i="4"/>
  <c r="V114" i="4"/>
  <c r="U114" i="4"/>
  <c r="R114" i="4"/>
  <c r="T114" i="4" s="1"/>
  <c r="V108" i="4"/>
  <c r="R108" i="4"/>
  <c r="U108" i="4" s="1"/>
  <c r="V107" i="4"/>
  <c r="U107" i="4"/>
  <c r="T107" i="4"/>
  <c r="S107" i="4"/>
  <c r="R107" i="4"/>
  <c r="V93" i="4"/>
  <c r="R93" i="4"/>
  <c r="V92" i="4"/>
  <c r="R92" i="4"/>
  <c r="U92" i="4" s="1"/>
  <c r="V91" i="4"/>
  <c r="R91" i="4"/>
  <c r="U91" i="4" s="1"/>
  <c r="V90" i="4"/>
  <c r="U90" i="4"/>
  <c r="R90" i="4"/>
  <c r="T90" i="4" s="1"/>
  <c r="V89" i="4"/>
  <c r="U89" i="4"/>
  <c r="T89" i="4"/>
  <c r="R89" i="4"/>
  <c r="S89" i="4" s="1"/>
  <c r="V88" i="4"/>
  <c r="R88" i="4"/>
  <c r="V86" i="4"/>
  <c r="U86" i="4"/>
  <c r="R86" i="4"/>
  <c r="T86" i="4" s="1"/>
  <c r="V85" i="4"/>
  <c r="R85" i="4"/>
  <c r="U85" i="4" s="1"/>
  <c r="V84" i="4"/>
  <c r="R84" i="4"/>
  <c r="U84" i="4" s="1"/>
  <c r="V83" i="4"/>
  <c r="U83" i="4"/>
  <c r="R83" i="4"/>
  <c r="T83" i="4" s="1"/>
  <c r="V82" i="4"/>
  <c r="T82" i="4"/>
  <c r="S82" i="4"/>
  <c r="R82" i="4"/>
  <c r="U82" i="4" s="1"/>
  <c r="V81" i="4"/>
  <c r="U81" i="4"/>
  <c r="T81" i="4"/>
  <c r="S81" i="4"/>
  <c r="R81" i="4"/>
  <c r="V80" i="4"/>
  <c r="R80" i="4"/>
  <c r="V79" i="4"/>
  <c r="U79" i="4"/>
  <c r="T79" i="4"/>
  <c r="S79" i="4"/>
  <c r="R79" i="4"/>
  <c r="V78" i="4"/>
  <c r="R78" i="4"/>
  <c r="U78" i="4" s="1"/>
  <c r="V77" i="4"/>
  <c r="R77" i="4"/>
  <c r="U77" i="4" s="1"/>
  <c r="V76" i="4"/>
  <c r="U76" i="4"/>
  <c r="T76" i="4"/>
  <c r="R76" i="4"/>
  <c r="S76" i="4" s="1"/>
  <c r="V75" i="4"/>
  <c r="R75" i="4"/>
  <c r="V74" i="4"/>
  <c r="R74" i="4"/>
  <c r="U74" i="4" s="1"/>
  <c r="V73" i="4"/>
  <c r="R73" i="4"/>
  <c r="U73" i="4" s="1"/>
  <c r="V72" i="4"/>
  <c r="U72" i="4"/>
  <c r="R72" i="4"/>
  <c r="T72" i="4" s="1"/>
  <c r="V71" i="4"/>
  <c r="U71" i="4"/>
  <c r="R71" i="4"/>
  <c r="T71" i="4" s="1"/>
  <c r="V70" i="4"/>
  <c r="T70" i="4"/>
  <c r="R70" i="4"/>
  <c r="U70" i="4" s="1"/>
  <c r="V69" i="4"/>
  <c r="U69" i="4"/>
  <c r="T69" i="4"/>
  <c r="S69" i="4"/>
  <c r="R69" i="4"/>
  <c r="V68" i="4"/>
  <c r="R68" i="4"/>
  <c r="V65" i="4"/>
  <c r="U65" i="4"/>
  <c r="T65" i="4"/>
  <c r="R65" i="4"/>
  <c r="S65" i="4" s="1"/>
  <c r="V64" i="4"/>
  <c r="R64" i="4"/>
  <c r="U64" i="4" s="1"/>
  <c r="V63" i="4"/>
  <c r="R63" i="4"/>
  <c r="U63" i="4" s="1"/>
  <c r="V62" i="4"/>
  <c r="U62" i="4"/>
  <c r="T62" i="4"/>
  <c r="R62" i="4"/>
  <c r="S62" i="4" s="1"/>
  <c r="V61" i="4"/>
  <c r="R61" i="4"/>
  <c r="V60" i="4"/>
  <c r="R60" i="4"/>
  <c r="U60" i="4" s="1"/>
  <c r="V58" i="4"/>
  <c r="R58" i="4"/>
  <c r="U58" i="4" s="1"/>
  <c r="V57" i="4"/>
  <c r="R57" i="4"/>
  <c r="U57" i="4" s="1"/>
  <c r="V49" i="4"/>
  <c r="U49" i="4"/>
  <c r="R49" i="4"/>
  <c r="T49" i="4" s="1"/>
  <c r="V48" i="4"/>
  <c r="R48" i="4"/>
  <c r="U48" i="4" s="1"/>
  <c r="V47" i="4"/>
  <c r="U47" i="4"/>
  <c r="T47" i="4"/>
  <c r="S47" i="4"/>
  <c r="R47" i="4"/>
  <c r="V46" i="4"/>
  <c r="R46" i="4"/>
  <c r="V45" i="4"/>
  <c r="R45" i="4"/>
  <c r="U45" i="4" s="1"/>
  <c r="V44" i="4"/>
  <c r="R44" i="4"/>
  <c r="U44" i="4" s="1"/>
  <c r="V43" i="4"/>
  <c r="U43" i="4"/>
  <c r="T43" i="4"/>
  <c r="R43" i="4"/>
  <c r="S43" i="4" s="1"/>
  <c r="V42" i="4"/>
  <c r="U42" i="4"/>
  <c r="T42" i="4"/>
  <c r="R42" i="4"/>
  <c r="S42" i="4" s="1"/>
  <c r="V41" i="4"/>
  <c r="S41" i="4"/>
  <c r="R41" i="4"/>
  <c r="V40" i="4"/>
  <c r="U40" i="4"/>
  <c r="T40" i="4"/>
  <c r="R40" i="4"/>
  <c r="S40" i="4" s="1"/>
  <c r="V39" i="4"/>
  <c r="R39" i="4"/>
  <c r="U39" i="4" s="1"/>
  <c r="V38" i="4"/>
  <c r="U38" i="4"/>
  <c r="T38" i="4"/>
  <c r="S38" i="4"/>
  <c r="R38" i="4"/>
  <c r="V37" i="4"/>
  <c r="U37" i="4"/>
  <c r="R37" i="4"/>
  <c r="T37" i="4" s="1"/>
  <c r="V36" i="4"/>
  <c r="R36" i="4"/>
  <c r="U36" i="4" s="1"/>
  <c r="V35" i="4"/>
  <c r="U35" i="4"/>
  <c r="T35" i="4"/>
  <c r="S35" i="4"/>
  <c r="R35" i="4"/>
  <c r="V34" i="4"/>
  <c r="R34" i="4"/>
  <c r="V33" i="4"/>
  <c r="R33" i="4"/>
  <c r="U33" i="4" s="1"/>
  <c r="V32" i="4"/>
  <c r="R32" i="4"/>
  <c r="U32" i="4" s="1"/>
  <c r="V31" i="4"/>
  <c r="U31" i="4"/>
  <c r="R31" i="4"/>
  <c r="T31" i="4" s="1"/>
  <c r="V30" i="4"/>
  <c r="U30" i="4"/>
  <c r="T30" i="4"/>
  <c r="R30" i="4"/>
  <c r="S30" i="4" s="1"/>
  <c r="V29" i="4"/>
  <c r="R29" i="4"/>
  <c r="V28" i="4"/>
  <c r="U28" i="4"/>
  <c r="R28" i="4"/>
  <c r="T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 s="1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80" i="4" l="1"/>
  <c r="T80" i="4"/>
  <c r="S80" i="4"/>
  <c r="S74" i="4"/>
  <c r="S77" i="4"/>
  <c r="S127" i="4"/>
  <c r="U29" i="4"/>
  <c r="T29" i="4"/>
  <c r="S45" i="4"/>
  <c r="S48" i="4"/>
  <c r="T74" i="4"/>
  <c r="T77" i="4"/>
  <c r="U88" i="4"/>
  <c r="T88" i="4"/>
  <c r="T127" i="4"/>
  <c r="S29" i="4"/>
  <c r="T45" i="4"/>
  <c r="T48" i="4"/>
  <c r="U68" i="4"/>
  <c r="T68" i="4"/>
  <c r="S68" i="4"/>
  <c r="S84" i="4"/>
  <c r="S88" i="4"/>
  <c r="S60" i="4"/>
  <c r="S63" i="4"/>
  <c r="T84" i="4"/>
  <c r="S33" i="4"/>
  <c r="S36" i="4"/>
  <c r="T60" i="4"/>
  <c r="T63" i="4"/>
  <c r="U75" i="4"/>
  <c r="T75" i="4"/>
  <c r="S92" i="4"/>
  <c r="S108" i="4"/>
  <c r="T33" i="4"/>
  <c r="T36" i="4"/>
  <c r="U46" i="4"/>
  <c r="T46" i="4"/>
  <c r="S46" i="4"/>
  <c r="S72" i="4"/>
  <c r="S75" i="4"/>
  <c r="T92" i="4"/>
  <c r="T108" i="4"/>
  <c r="S124" i="4"/>
  <c r="U61" i="4"/>
  <c r="T61" i="4"/>
  <c r="U34" i="4"/>
  <c r="T34" i="4"/>
  <c r="S34" i="4"/>
  <c r="S57" i="4"/>
  <c r="S61" i="4"/>
  <c r="U93" i="4"/>
  <c r="T93" i="4"/>
  <c r="S93" i="4"/>
  <c r="S28" i="4"/>
  <c r="S31" i="4"/>
  <c r="T57" i="4"/>
  <c r="S86" i="4"/>
  <c r="S90" i="4"/>
  <c r="U41" i="4"/>
  <c r="T41" i="4"/>
  <c r="S70" i="4"/>
  <c r="U120" i="4"/>
  <c r="T120" i="4"/>
  <c r="S130" i="4"/>
  <c r="S39" i="4"/>
  <c r="S58" i="4"/>
  <c r="S73" i="4"/>
  <c r="S85" i="4"/>
  <c r="S116" i="4"/>
  <c r="T130" i="4"/>
  <c r="S32" i="4"/>
  <c r="T39" i="4"/>
  <c r="S44" i="4"/>
  <c r="T58" i="4"/>
  <c r="S64" i="4"/>
  <c r="T73" i="4"/>
  <c r="S78" i="4"/>
  <c r="T85" i="4"/>
  <c r="S91" i="4"/>
  <c r="T116" i="4"/>
  <c r="S126" i="4"/>
  <c r="T32" i="4"/>
  <c r="S37" i="4"/>
  <c r="T44" i="4"/>
  <c r="S49" i="4"/>
  <c r="T64" i="4"/>
  <c r="S71" i="4"/>
  <c r="T78" i="4"/>
  <c r="S83" i="4"/>
  <c r="T91" i="4"/>
  <c r="S114" i="4"/>
  <c r="T126" i="4"/>
  <c r="O15" i="1" l="1"/>
  <c r="L15" i="1"/>
  <c r="N15" i="1"/>
  <c r="M90" i="4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/>
  <c r="J88" i="4"/>
  <c r="K88" i="4" s="1"/>
  <c r="J119" i="4"/>
  <c r="K119" i="4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O71" i="4" s="1"/>
  <c r="P71" i="4" s="1"/>
  <c r="J110" i="4"/>
  <c r="K110" i="4"/>
  <c r="J82" i="4"/>
  <c r="L82" i="4" s="1"/>
  <c r="K82" i="4"/>
  <c r="J113" i="4"/>
  <c r="K113" i="4"/>
  <c r="J97" i="4"/>
  <c r="K97" i="4"/>
  <c r="J81" i="4"/>
  <c r="K81" i="4" s="1"/>
  <c r="J116" i="4"/>
  <c r="K116" i="4"/>
  <c r="J100" i="4"/>
  <c r="K100" i="4"/>
  <c r="O100" i="4"/>
  <c r="J84" i="4"/>
  <c r="K84" i="4" s="1"/>
  <c r="J114" i="4"/>
  <c r="K114" i="4"/>
  <c r="O114" i="4" s="1"/>
  <c r="P114" i="4" s="1"/>
  <c r="J78" i="4"/>
  <c r="K78" i="4" s="1"/>
  <c r="J115" i="4"/>
  <c r="K115" i="4"/>
  <c r="O115" i="4"/>
  <c r="P115" i="4" s="1"/>
  <c r="J99" i="4"/>
  <c r="K99" i="4"/>
  <c r="J83" i="4"/>
  <c r="L83" i="4" s="1"/>
  <c r="K83" i="4"/>
  <c r="J102" i="4"/>
  <c r="K102" i="4"/>
  <c r="J74" i="4"/>
  <c r="L74" i="4" s="1"/>
  <c r="K74" i="4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/>
  <c r="J111" i="4"/>
  <c r="K111" i="4"/>
  <c r="J95" i="4"/>
  <c r="K95" i="4" s="1"/>
  <c r="J79" i="4"/>
  <c r="K79" i="4"/>
  <c r="J126" i="4"/>
  <c r="K126" i="4"/>
  <c r="J94" i="4"/>
  <c r="K94" i="4"/>
  <c r="J121" i="4"/>
  <c r="K121" i="4"/>
  <c r="J105" i="4"/>
  <c r="K105" i="4"/>
  <c r="J89" i="4"/>
  <c r="K89" i="4" s="1"/>
  <c r="J73" i="4"/>
  <c r="L73" i="4" s="1"/>
  <c r="K73" i="4"/>
  <c r="J124" i="4"/>
  <c r="K124" i="4"/>
  <c r="O124" i="4" s="1"/>
  <c r="P124" i="4" s="1"/>
  <c r="J108" i="4"/>
  <c r="K108" i="4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O107" i="4" s="1"/>
  <c r="P107" i="4" s="1"/>
  <c r="J91" i="4"/>
  <c r="L91" i="4" s="1"/>
  <c r="M91" i="4" s="1"/>
  <c r="K91" i="4"/>
  <c r="J75" i="4"/>
  <c r="K75" i="4" s="1"/>
  <c r="P100" i="4"/>
  <c r="O112" i="4"/>
  <c r="P112" i="4"/>
  <c r="O98" i="4"/>
  <c r="P98" i="4"/>
  <c r="O105" i="4"/>
  <c r="P105" i="4"/>
  <c r="O126" i="4"/>
  <c r="P126" i="4" s="1"/>
  <c r="O111" i="4"/>
  <c r="P111" i="4"/>
  <c r="O104" i="4"/>
  <c r="P104" i="4"/>
  <c r="O85" i="4"/>
  <c r="P85" i="4" s="1"/>
  <c r="O91" i="4"/>
  <c r="P91" i="4"/>
  <c r="O121" i="4"/>
  <c r="P121" i="4"/>
  <c r="O127" i="4"/>
  <c r="P127" i="4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6" i="4"/>
  <c r="P116" i="4"/>
  <c r="O113" i="4"/>
  <c r="P113" i="4"/>
  <c r="O103" i="4"/>
  <c r="P103" i="4"/>
  <c r="O122" i="4"/>
  <c r="P122" i="4"/>
  <c r="O123" i="4"/>
  <c r="P123" i="4"/>
  <c r="O94" i="4"/>
  <c r="P94" i="4" s="1"/>
  <c r="O125" i="4"/>
  <c r="P125" i="4"/>
  <c r="O99" i="4"/>
  <c r="P99" i="4"/>
  <c r="O101" i="4"/>
  <c r="P101" i="4"/>
  <c r="O87" i="4"/>
  <c r="P87" i="4" s="1"/>
  <c r="I76" i="4"/>
  <c r="N76" i="4" s="1"/>
  <c r="Q76" i="4" s="1"/>
  <c r="I77" i="4"/>
  <c r="N77" i="4" s="1"/>
  <c r="Q77" i="4" s="1"/>
  <c r="I81" i="4"/>
  <c r="L81" i="4" s="1"/>
  <c r="I89" i="4"/>
  <c r="N89" i="4" s="1"/>
  <c r="Q89" i="4" s="1"/>
  <c r="I90" i="4"/>
  <c r="I96" i="4"/>
  <c r="I99" i="4"/>
  <c r="I102" i="4"/>
  <c r="I104" i="4"/>
  <c r="I108" i="4"/>
  <c r="L108" i="4" s="1"/>
  <c r="M108" i="4" s="1"/>
  <c r="I111" i="4"/>
  <c r="I113" i="4"/>
  <c r="I115" i="4"/>
  <c r="I119" i="4"/>
  <c r="N119" i="4" s="1"/>
  <c r="Q119" i="4" s="1"/>
  <c r="I120" i="4"/>
  <c r="N120" i="4" s="1"/>
  <c r="Q120" i="4" s="1"/>
  <c r="I123" i="4"/>
  <c r="I125" i="4"/>
  <c r="I79" i="4"/>
  <c r="I92" i="4"/>
  <c r="L92" i="4" s="1"/>
  <c r="I100" i="4"/>
  <c r="I103" i="4"/>
  <c r="I107" i="4"/>
  <c r="L107" i="4" s="1"/>
  <c r="M107" i="4" s="1"/>
  <c r="I109" i="4"/>
  <c r="I110" i="4"/>
  <c r="I117" i="4"/>
  <c r="I124" i="4"/>
  <c r="N124" i="4" s="1"/>
  <c r="Q124" i="4" s="1"/>
  <c r="I72" i="4"/>
  <c r="L72" i="4" s="1"/>
  <c r="I106" i="4"/>
  <c r="I71" i="4"/>
  <c r="I75" i="4"/>
  <c r="I80" i="4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I74" i="4"/>
  <c r="N74" i="4" s="1"/>
  <c r="Q74" i="4" s="1"/>
  <c r="I78" i="4"/>
  <c r="I82" i="4"/>
  <c r="N82" i="4" s="1"/>
  <c r="Q82" i="4" s="1"/>
  <c r="I85" i="4"/>
  <c r="N85" i="4" s="1"/>
  <c r="Q85" i="4" s="1"/>
  <c r="I93" i="4"/>
  <c r="L93" i="4" s="1"/>
  <c r="I112" i="4"/>
  <c r="I114" i="4"/>
  <c r="I121" i="4"/>
  <c r="I122" i="4"/>
  <c r="I84" i="4"/>
  <c r="L84" i="4" s="1"/>
  <c r="I87" i="4"/>
  <c r="L87" i="4" s="1"/>
  <c r="I91" i="4"/>
  <c r="I97" i="4"/>
  <c r="I105" i="4"/>
  <c r="I116" i="4"/>
  <c r="I126" i="4"/>
  <c r="L105" i="4"/>
  <c r="N105" i="4"/>
  <c r="Q105" i="4"/>
  <c r="N121" i="4"/>
  <c r="Q121" i="4"/>
  <c r="L121" i="4"/>
  <c r="M121" i="4" s="1"/>
  <c r="N73" i="4"/>
  <c r="Q73" i="4" s="1"/>
  <c r="N101" i="4"/>
  <c r="Q101" i="4"/>
  <c r="L101" i="4"/>
  <c r="N75" i="4"/>
  <c r="Q75" i="4" s="1"/>
  <c r="L106" i="4"/>
  <c r="N106" i="4"/>
  <c r="Q106" i="4"/>
  <c r="L124" i="4"/>
  <c r="M124" i="4" s="1"/>
  <c r="N79" i="4"/>
  <c r="Q79" i="4" s="1"/>
  <c r="L79" i="4"/>
  <c r="L119" i="4"/>
  <c r="M119" i="4" s="1"/>
  <c r="N108" i="4"/>
  <c r="Q108" i="4"/>
  <c r="L96" i="4"/>
  <c r="N96" i="4"/>
  <c r="Q96" i="4"/>
  <c r="L97" i="4"/>
  <c r="N97" i="4"/>
  <c r="Q97" i="4"/>
  <c r="N114" i="4"/>
  <c r="Q114" i="4"/>
  <c r="L114" i="4"/>
  <c r="M114" i="4" s="1"/>
  <c r="N98" i="4"/>
  <c r="Q98" i="4"/>
  <c r="L98" i="4"/>
  <c r="N86" i="4"/>
  <c r="Q86" i="4" s="1"/>
  <c r="N71" i="4"/>
  <c r="Q71" i="4"/>
  <c r="L71" i="4"/>
  <c r="M71" i="4" s="1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M115" i="4" s="1"/>
  <c r="L104" i="4"/>
  <c r="N104" i="4"/>
  <c r="Q104" i="4"/>
  <c r="N90" i="4"/>
  <c r="Q90" i="4" s="1"/>
  <c r="L90" i="4"/>
  <c r="N126" i="4"/>
  <c r="Q126" i="4"/>
  <c r="L126" i="4"/>
  <c r="M126" i="4" s="1"/>
  <c r="N91" i="4"/>
  <c r="Q91" i="4"/>
  <c r="L112" i="4"/>
  <c r="N112" i="4"/>
  <c r="Q112" i="4"/>
  <c r="N78" i="4"/>
  <c r="Q78" i="4" s="1"/>
  <c r="N95" i="4"/>
  <c r="Q95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116" i="4"/>
  <c r="Q116" i="4"/>
  <c r="L116" i="4"/>
  <c r="M116" i="4" s="1"/>
  <c r="N87" i="4"/>
  <c r="Q87" i="4" s="1"/>
  <c r="N122" i="4"/>
  <c r="Q122" i="4"/>
  <c r="L122" i="4"/>
  <c r="N118" i="4"/>
  <c r="Q118" i="4"/>
  <c r="L118" i="4"/>
  <c r="L94" i="4"/>
  <c r="N94" i="4"/>
  <c r="Q94" i="4" s="1"/>
  <c r="N80" i="4"/>
  <c r="Q80" i="4"/>
  <c r="N109" i="4"/>
  <c r="Q109" i="4"/>
  <c r="L109" i="4"/>
  <c r="N92" i="4"/>
  <c r="Q92" i="4" s="1"/>
  <c r="N111" i="4"/>
  <c r="Q111" i="4"/>
  <c r="L111" i="4"/>
  <c r="N99" i="4"/>
  <c r="Q99" i="4"/>
  <c r="L99" i="4"/>
  <c r="M81" i="4" l="1"/>
  <c r="M74" i="4"/>
  <c r="M92" i="4"/>
  <c r="M73" i="4"/>
  <c r="M72" i="4"/>
  <c r="O92" i="4"/>
  <c r="P92" i="4" s="1"/>
  <c r="O75" i="4"/>
  <c r="P75" i="4" s="1"/>
  <c r="N84" i="4"/>
  <c r="Q84" i="4" s="1"/>
  <c r="M82" i="4"/>
  <c r="N127" i="4"/>
  <c r="Q127" i="4" s="1"/>
  <c r="M93" i="4"/>
  <c r="M83" i="4"/>
  <c r="N107" i="4"/>
  <c r="Q107" i="4" s="1"/>
  <c r="M87" i="4"/>
  <c r="O78" i="4"/>
  <c r="P78" i="4" s="1"/>
  <c r="M95" i="4"/>
  <c r="M84" i="4"/>
  <c r="O80" i="4"/>
  <c r="P80" i="4" s="1"/>
  <c r="O96" i="4"/>
  <c r="P96" i="4" s="1"/>
  <c r="O82" i="4"/>
  <c r="P82" i="4" s="1"/>
  <c r="O84" i="4"/>
  <c r="P84" i="4" s="1"/>
  <c r="O72" i="4"/>
  <c r="P72" i="4" s="1"/>
  <c r="L80" i="4"/>
  <c r="L75" i="4"/>
  <c r="O79" i="4"/>
  <c r="P79" i="4" s="1"/>
  <c r="M97" i="4"/>
  <c r="O73" i="4"/>
  <c r="P73" i="4" s="1"/>
  <c r="O83" i="4"/>
  <c r="P83" i="4" s="1"/>
  <c r="L120" i="4"/>
  <c r="M120" i="4" s="1"/>
  <c r="M94" i="4"/>
  <c r="L77" i="4"/>
  <c r="O95" i="4"/>
  <c r="P95" i="4" s="1"/>
  <c r="O77" i="4"/>
  <c r="P77" i="4" s="1"/>
  <c r="O88" i="4"/>
  <c r="P88" i="4" s="1"/>
  <c r="M79" i="4"/>
  <c r="L89" i="4"/>
  <c r="L78" i="4"/>
  <c r="M86" i="4"/>
  <c r="O89" i="4"/>
  <c r="P89" i="4" s="1"/>
  <c r="O74" i="4"/>
  <c r="P74" i="4" s="1"/>
  <c r="O93" i="4"/>
  <c r="P93" i="4" s="1"/>
  <c r="O90" i="4"/>
  <c r="P90" i="4" s="1"/>
  <c r="O81" i="4"/>
  <c r="P81" i="4" s="1"/>
  <c r="O86" i="4"/>
  <c r="P86" i="4" s="1"/>
  <c r="N81" i="4"/>
  <c r="Q81" i="4" s="1"/>
  <c r="M96" i="4"/>
  <c r="O76" i="4"/>
  <c r="P76" i="4" s="1"/>
  <c r="L85" i="4"/>
  <c r="L76" i="4"/>
  <c r="L88" i="4"/>
  <c r="N93" i="4"/>
  <c r="Q93" i="4" s="1"/>
  <c r="J14" i="4"/>
  <c r="J13" i="4" s="1"/>
  <c r="K16" i="4" s="1"/>
  <c r="M89" i="4" l="1"/>
  <c r="M77" i="4"/>
  <c r="M88" i="4"/>
  <c r="M75" i="4"/>
  <c r="M85" i="4"/>
  <c r="M78" i="4"/>
  <c r="M76" i="4"/>
  <c r="M80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M58" i="4"/>
  <c r="M57" i="4"/>
  <c r="O65" i="4"/>
  <c r="P65" i="4" s="1"/>
  <c r="O66" i="4"/>
  <c r="P66" i="4" s="1"/>
  <c r="M65" i="4"/>
  <c r="M66" i="4"/>
  <c r="O67" i="4"/>
  <c r="P67" i="4" s="1"/>
  <c r="M68" i="4"/>
  <c r="O64" i="4"/>
  <c r="P64" i="4" s="1"/>
  <c r="M69" i="4"/>
  <c r="O69" i="4"/>
  <c r="P69" i="4" s="1"/>
  <c r="M67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L39" i="4" s="1"/>
  <c r="J45" i="4"/>
  <c r="L45" i="4" s="1"/>
  <c r="J30" i="4"/>
  <c r="K30" i="4" s="1"/>
  <c r="J43" i="4"/>
  <c r="L43" i="4" s="1"/>
  <c r="J31" i="4"/>
  <c r="K31" i="4" s="1"/>
  <c r="J44" i="4"/>
  <c r="L44" i="4" s="1"/>
  <c r="J36" i="4"/>
  <c r="K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44" i="4"/>
  <c r="L36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K39" i="4"/>
  <c r="L50" i="4"/>
  <c r="M50" i="4" s="1"/>
  <c r="K50" i="4"/>
  <c r="O50" i="4" s="1"/>
  <c r="P50" i="4" s="1"/>
  <c r="L49" i="4"/>
  <c r="K49" i="4"/>
  <c r="M49" i="4" l="1"/>
  <c r="O48" i="4"/>
  <c r="P48" i="4" s="1"/>
  <c r="M48" i="4"/>
  <c r="O49" i="4"/>
  <c r="P49" i="4" s="1"/>
  <c r="O47" i="4"/>
  <c r="P47" i="4" s="1"/>
  <c r="O39" i="4"/>
  <c r="P39" i="4" s="1"/>
  <c r="O44" i="4"/>
  <c r="P44" i="4" s="1"/>
  <c r="O35" i="4"/>
  <c r="P35" i="4" s="1"/>
  <c r="O28" i="4"/>
  <c r="P28" i="4" s="1"/>
  <c r="O46" i="4"/>
  <c r="P46" i="4" s="1"/>
  <c r="O36" i="4"/>
  <c r="P36" i="4" s="1"/>
  <c r="M44" i="4"/>
  <c r="O31" i="4"/>
  <c r="P31" i="4" s="1"/>
  <c r="M43" i="4"/>
  <c r="O33" i="4"/>
  <c r="P33" i="4" s="1"/>
  <c r="O41" i="4"/>
  <c r="P41" i="4" s="1"/>
  <c r="O30" i="4"/>
  <c r="P30" i="4" s="1"/>
  <c r="M45" i="4"/>
  <c r="M39" i="4"/>
  <c r="L47" i="4"/>
  <c r="L35" i="4"/>
  <c r="K45" i="4"/>
  <c r="L30" i="4"/>
  <c r="L31" i="4"/>
  <c r="K43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M30" i="4" l="1"/>
  <c r="O42" i="4"/>
  <c r="P42" i="4" s="1"/>
  <c r="M41" i="4"/>
  <c r="O37" i="4"/>
  <c r="P37" i="4" s="1"/>
  <c r="M46" i="4"/>
  <c r="O43" i="4"/>
  <c r="P43" i="4" s="1"/>
  <c r="M31" i="4"/>
  <c r="O45" i="4"/>
  <c r="P45" i="4" s="1"/>
  <c r="O29" i="4"/>
  <c r="P29" i="4" s="1"/>
  <c r="M35" i="4"/>
  <c r="O32" i="4"/>
  <c r="P32" i="4" s="1"/>
  <c r="O38" i="4"/>
  <c r="P38" i="4" s="1"/>
  <c r="M47" i="4"/>
  <c r="O40" i="4"/>
  <c r="P40" i="4" s="1"/>
  <c r="M33" i="4"/>
  <c r="O34" i="4"/>
  <c r="P3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<sst xmlns="http://schemas.openxmlformats.org/spreadsheetml/2006/main" count="318" uniqueCount="294">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</sst>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32</v>
      </c>
      <c r="K17" s="31" t="s">
        <v>80</v>
      </c>
      <c r="L17" s="81">
        <v>3.2908E-3</v>
      </c>
      <c r="M17" s="81">
        <v>4.0128000000000001E-4</v>
      </c>
      <c r="N17" s="81">
        <v>1.0792000000000001E-4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9" zoomScale="70" zoomScaleNormal="70" workbookViewId="0">
      <selection activeCell="R28" sqref="R28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40.021279999999997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39.811228479999997</v>
      </c>
      <c r="K8" s="39">
        <f>J8/J7</f>
        <v>0.99475150419976577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0.19424716800000003</v>
      </c>
      <c r="K9" s="39">
        <f>J9/J7</f>
        <v>4.8535970863500628E-3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1.5804352000000001E-2</v>
      </c>
      <c r="K10" s="39">
        <f>J10/J7</f>
        <v>3.9489871388421365E-4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39.7928</v>
      </c>
      <c r="K14" s="39">
        <f>J14/J13</f>
        <v>0.99482000000000004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2.128E-2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1.8428480000000001E-2</v>
      </c>
      <c r="K20" s="39">
        <f>J20/J19</f>
        <v>0.86599999999999999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2.2471679999999999E-3</v>
      </c>
      <c r="K21" s="39">
        <f>J21/J19</f>
        <v>0.1056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6.0435200000000006E-4</v>
      </c>
      <c r="K22" s="39">
        <f>J22/J19</f>
        <v>2.8400000000000002E-2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0.89119664393071463</v>
      </c>
      <c r="K28" s="95">
        <f t="shared" ref="K28:K47" si="3">IF(D28=0,"",1/(1+10^D28*$J$15/$J$14+10^E28*$J$16/$J$14+10^J28*$J$19/$J$14))</f>
        <v>0.80185648102157803</v>
      </c>
      <c r="L28" s="95">
        <f t="shared" ref="L28:L47" si="4">IF(D28=0,"",1/(1+10^I28/10^J28*$J$13/$J$19))</f>
        <v>3.3378007827505455E-3</v>
      </c>
      <c r="M28" s="95">
        <f t="shared" ref="M28:M47" si="5">IF(D28=0,"",1-L28)</f>
        <v>0.99666219921724941</v>
      </c>
      <c r="N28" s="95">
        <f t="shared" ref="N28:N47" si="6">IF(D28=0,"",1/(1/10^E28*$J$20/$J$22+10^D28/10^E28*$J$21/$J$22+10^I28/10^E28*$J$13/$J$22+1))</f>
        <v>9.7280794371604391E-4</v>
      </c>
      <c r="O28" s="40">
        <f t="shared" ref="O28:O47" si="7">IF(D28=0,"",F28*K28*$J$7/$J$14)</f>
        <v>8.064605342368281E-7</v>
      </c>
      <c r="P28" s="40">
        <f t="shared" ref="P28:P47" si="8">IF(D28=0,"",O28*10^J28)</f>
        <v>6.2773994224942997E-6</v>
      </c>
      <c r="Q28" s="40">
        <f t="shared" ref="Q28:Q47" si="9">IF(D28=0,"",F28*N28*$J$7/$J$22)</f>
        <v>6.4421097475782381E-5</v>
      </c>
      <c r="R28" s="9">
        <f>F28*$C$14</f>
        <v>3.9999999999999996E-5</v>
      </c>
      <c r="S28" s="9">
        <f>$R28*L28</f>
        <v>1.3351203131002181E-7</v>
      </c>
      <c r="T28" s="9">
        <f>R28*K28</f>
        <v>3.2074259240863116E-5</v>
      </c>
      <c r="U28" s="9">
        <f>$R28*M28</f>
        <v>3.9866487968689972E-5</v>
      </c>
      <c r="V28" s="102">
        <f>K28/M28</f>
        <v>0.80454188154354966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2.7194923137791687</v>
      </c>
      <c r="J29" s="94">
        <f t="shared" si="2"/>
        <v>4.4020071593837926</v>
      </c>
      <c r="K29" s="95">
        <f t="shared" si="3"/>
        <v>1.850416640553552E-3</v>
      </c>
      <c r="L29" s="95">
        <f t="shared" si="4"/>
        <v>2.4971452774169255E-2</v>
      </c>
      <c r="M29" s="95">
        <f t="shared" si="5"/>
        <v>0.97502854722583077</v>
      </c>
      <c r="N29" s="95">
        <f t="shared" si="6"/>
        <v>1.9245845269094019E-2</v>
      </c>
      <c r="O29" s="40">
        <f t="shared" si="7"/>
        <v>1.8610412559119502E-9</v>
      </c>
      <c r="P29" s="40">
        <f t="shared" si="8"/>
        <v>4.6963792456851744E-5</v>
      </c>
      <c r="Q29" s="40">
        <f t="shared" si="9"/>
        <v>1.2744946030642521E-3</v>
      </c>
      <c r="R29" s="9">
        <f>F29*$C$14</f>
        <v>3.9999999999999996E-5</v>
      </c>
      <c r="S29" s="9">
        <f t="shared" ref="S29:S49" si="10">$R29*L29</f>
        <v>9.9885811096677012E-7</v>
      </c>
      <c r="T29" s="9">
        <f t="shared" ref="T29:T49" si="11">R29*K29</f>
        <v>7.4016665622142069E-8</v>
      </c>
      <c r="U29" s="9">
        <f t="shared" ref="U29:U49" si="12">$R29*M29</f>
        <v>3.9001141889033226E-5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5.9163420575972845</v>
      </c>
      <c r="J30" s="94">
        <f t="shared" si="2"/>
        <v>7.7643514268344243</v>
      </c>
      <c r="K30" s="95">
        <f t="shared" si="3"/>
        <v>1.1625679067023558E-6</v>
      </c>
      <c r="L30" s="95">
        <f t="shared" si="4"/>
        <v>3.6135734043314903E-2</v>
      </c>
      <c r="M30" s="95">
        <f t="shared" si="5"/>
        <v>0.96386426595668506</v>
      </c>
      <c r="N30" s="95">
        <f t="shared" si="6"/>
        <v>3.5223198837179427E-2</v>
      </c>
      <c r="O30" s="40">
        <f t="shared" si="7"/>
        <v>1.1692430719413778E-12</v>
      </c>
      <c r="P30" s="40">
        <f t="shared" si="8"/>
        <v>6.7960447845537679E-5</v>
      </c>
      <c r="Q30" s="40">
        <f t="shared" si="9"/>
        <v>2.332543787657577E-3</v>
      </c>
      <c r="R30" s="9">
        <f t="shared" ref="R30:R49" si="14">F30*$C$14</f>
        <v>3.9999999999999996E-5</v>
      </c>
      <c r="S30" s="9">
        <f t="shared" si="10"/>
        <v>1.4454293617325959E-6</v>
      </c>
      <c r="T30" s="9">
        <f t="shared" si="11"/>
        <v>4.650271626809423E-11</v>
      </c>
      <c r="U30" s="9">
        <f t="shared" si="12"/>
        <v>3.8554570638267396E-5</v>
      </c>
      <c r="V30" s="102">
        <f t="shared" si="13"/>
        <v>1.2061531356268791E-6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1.2852308448323728</v>
      </c>
      <c r="J31" s="94">
        <f t="shared" si="2"/>
        <v>2.9028974715327305</v>
      </c>
      <c r="K31" s="95">
        <f t="shared" si="3"/>
        <v>5.0470529295865159E-2</v>
      </c>
      <c r="L31" s="95">
        <f t="shared" si="4"/>
        <v>2.1582535072369638E-2</v>
      </c>
      <c r="M31" s="95">
        <f t="shared" si="5"/>
        <v>0.97841746492763038</v>
      </c>
      <c r="N31" s="95">
        <f t="shared" si="6"/>
        <v>1.5161505361630346E-2</v>
      </c>
      <c r="O31" s="40">
        <f t="shared" si="7"/>
        <v>5.0760318065027389E-8</v>
      </c>
      <c r="P31" s="40">
        <f t="shared" si="8"/>
        <v>4.0590257483135605E-5</v>
      </c>
      <c r="Q31" s="40">
        <f t="shared" si="9"/>
        <v>1.0040222441545807E-3</v>
      </c>
      <c r="R31" s="9">
        <f t="shared" si="14"/>
        <v>3.9999999999999996E-5</v>
      </c>
      <c r="S31" s="9">
        <f t="shared" si="10"/>
        <v>8.6330140289478545E-7</v>
      </c>
      <c r="T31" s="9">
        <f t="shared" si="11"/>
        <v>2.018821171834606E-6</v>
      </c>
      <c r="U31" s="9">
        <f t="shared" si="12"/>
        <v>3.9136698597105212E-5</v>
      </c>
      <c r="V31" s="102">
        <f t="shared" si="13"/>
        <v>5.1583839317093816E-2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3.9109447814528924</v>
      </c>
      <c r="J32" s="94">
        <f t="shared" si="2"/>
        <v>5.6009687713569756</v>
      </c>
      <c r="K32" s="95">
        <f t="shared" si="3"/>
        <v>1.1902219469113565E-4</v>
      </c>
      <c r="L32" s="95">
        <f t="shared" si="4"/>
        <v>2.5395914130691599E-2</v>
      </c>
      <c r="M32" s="95">
        <f t="shared" si="5"/>
        <v>0.97460408586930836</v>
      </c>
      <c r="N32" s="95">
        <f t="shared" si="6"/>
        <v>1.9826836199054204E-2</v>
      </c>
      <c r="O32" s="40">
        <f t="shared" si="7"/>
        <v>1.1970558945207307E-10</v>
      </c>
      <c r="P32" s="40">
        <f t="shared" si="8"/>
        <v>4.7762076610919405E-5</v>
      </c>
      <c r="Q32" s="40">
        <f t="shared" si="9"/>
        <v>1.312968870850901E-3</v>
      </c>
      <c r="R32" s="9">
        <f t="shared" si="14"/>
        <v>3.9999999999999996E-5</v>
      </c>
      <c r="S32" s="9">
        <f t="shared" si="10"/>
        <v>1.0158365652276639E-6</v>
      </c>
      <c r="T32" s="9">
        <f t="shared" si="11"/>
        <v>4.7608877876454258E-9</v>
      </c>
      <c r="U32" s="9">
        <f t="shared" si="12"/>
        <v>3.8984163434772333E-5</v>
      </c>
      <c r="V32" s="102">
        <f t="shared" si="13"/>
        <v>1.221236360659955E-4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3.4646398062685493</v>
      </c>
      <c r="J33" s="94">
        <f t="shared" si="2"/>
        <v>5.1209220349701772</v>
      </c>
      <c r="K33" s="95">
        <f t="shared" si="3"/>
        <v>3.3324080393555084E-4</v>
      </c>
      <c r="L33" s="95">
        <f t="shared" si="4"/>
        <v>2.3542215617676117E-2</v>
      </c>
      <c r="M33" s="95">
        <f t="shared" si="5"/>
        <v>0.97645778438232389</v>
      </c>
      <c r="N33" s="95">
        <f t="shared" si="6"/>
        <v>1.7172504468759758E-2</v>
      </c>
      <c r="O33" s="40">
        <f t="shared" si="7"/>
        <v>3.3515418673050858E-10</v>
      </c>
      <c r="P33" s="40">
        <f t="shared" si="8"/>
        <v>4.427582721124953E-5</v>
      </c>
      <c r="Q33" s="40">
        <f t="shared" si="9"/>
        <v>1.1371942338992596E-3</v>
      </c>
      <c r="R33" s="9">
        <f t="shared" si="14"/>
        <v>3.9999999999999996E-5</v>
      </c>
      <c r="S33" s="9">
        <f t="shared" si="10"/>
        <v>9.416886247070446E-7</v>
      </c>
      <c r="T33" s="9">
        <f t="shared" si="11"/>
        <v>1.3329632157422032E-8</v>
      </c>
      <c r="U33" s="9">
        <f t="shared" si="12"/>
        <v>3.9058311375292952E-5</v>
      </c>
      <c r="V33" s="102">
        <f t="shared" si="13"/>
        <v>3.4127517775522508E-4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3.4579829545014036</v>
      </c>
      <c r="J34" s="94">
        <f t="shared" si="2"/>
        <v>5.1374431470300399</v>
      </c>
      <c r="K34" s="95">
        <f t="shared" si="3"/>
        <v>3.3795190803377314E-4</v>
      </c>
      <c r="L34" s="95">
        <f t="shared" si="4"/>
        <v>2.4800770543689583E-2</v>
      </c>
      <c r="M34" s="95">
        <f t="shared" si="5"/>
        <v>0.97519922945631043</v>
      </c>
      <c r="N34" s="95">
        <f t="shared" si="6"/>
        <v>1.8977035380945344E-2</v>
      </c>
      <c r="O34" s="40">
        <f t="shared" si="7"/>
        <v>3.3989234077405668E-10</v>
      </c>
      <c r="P34" s="40">
        <f t="shared" si="8"/>
        <v>4.6642790514321129E-5</v>
      </c>
      <c r="Q34" s="40">
        <f t="shared" si="9"/>
        <v>1.2566935272005722E-3</v>
      </c>
      <c r="R34" s="9">
        <f t="shared" si="14"/>
        <v>3.9999999999999996E-5</v>
      </c>
      <c r="S34" s="9">
        <f t="shared" si="10"/>
        <v>9.9203082174758332E-7</v>
      </c>
      <c r="T34" s="9">
        <f t="shared" si="11"/>
        <v>1.3518076321350925E-8</v>
      </c>
      <c r="U34" s="9">
        <f t="shared" si="12"/>
        <v>3.9007969178252417E-5</v>
      </c>
      <c r="V34" s="102">
        <f t="shared" si="13"/>
        <v>3.4654652898176186E-4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0.62193942428688143</v>
      </c>
      <c r="J35" s="94">
        <f t="shared" si="2"/>
        <v>2.0283467872043253</v>
      </c>
      <c r="K35" s="95">
        <f t="shared" si="3"/>
        <v>0.23439849948343192</v>
      </c>
      <c r="L35" s="95">
        <f t="shared" si="4"/>
        <v>1.3380388978160953E-2</v>
      </c>
      <c r="M35" s="95">
        <f t="shared" si="5"/>
        <v>0.98661961102183904</v>
      </c>
      <c r="N35" s="95">
        <f t="shared" si="6"/>
        <v>6.33167029047899E-3</v>
      </c>
      <c r="O35" s="40">
        <f t="shared" si="7"/>
        <v>2.3574435524532789E-7</v>
      </c>
      <c r="P35" s="40">
        <f t="shared" si="8"/>
        <v>2.5164487490784463E-5</v>
      </c>
      <c r="Q35" s="40">
        <f t="shared" si="9"/>
        <v>4.1929463220596766E-4</v>
      </c>
      <c r="R35" s="9">
        <f t="shared" si="14"/>
        <v>3.9999999999999996E-5</v>
      </c>
      <c r="S35" s="9">
        <f t="shared" si="10"/>
        <v>5.3521555912643807E-7</v>
      </c>
      <c r="T35" s="9">
        <f t="shared" si="11"/>
        <v>9.3759399793372756E-6</v>
      </c>
      <c r="U35" s="9">
        <f t="shared" si="12"/>
        <v>3.9464784440873559E-5</v>
      </c>
      <c r="V35" s="102">
        <f t="shared" si="13"/>
        <v>0.23757737720281688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6.3597288158186656</v>
      </c>
      <c r="J36" s="94">
        <f t="shared" si="2"/>
        <v>8.2095828794962227</v>
      </c>
      <c r="K36" s="95">
        <f t="shared" si="3"/>
        <v>4.1875959934620836E-7</v>
      </c>
      <c r="L36" s="95">
        <f t="shared" si="4"/>
        <v>3.6283968363531899E-2</v>
      </c>
      <c r="M36" s="95">
        <f t="shared" si="5"/>
        <v>0.96371603163646813</v>
      </c>
      <c r="N36" s="95">
        <f t="shared" si="6"/>
        <v>3.5435718267279634E-2</v>
      </c>
      <c r="O36" s="40">
        <f t="shared" si="7"/>
        <v>4.2116400901978296E-13</v>
      </c>
      <c r="P36" s="40">
        <f t="shared" si="8"/>
        <v>6.8239232020115301E-5</v>
      </c>
      <c r="Q36" s="40">
        <f t="shared" si="9"/>
        <v>2.3466172078125212E-3</v>
      </c>
      <c r="R36" s="9">
        <f t="shared" si="14"/>
        <v>3.9999999999999996E-5</v>
      </c>
      <c r="S36" s="9">
        <f t="shared" si="10"/>
        <v>1.4513587345412759E-6</v>
      </c>
      <c r="T36" s="9">
        <f t="shared" si="11"/>
        <v>1.6750383973848332E-11</v>
      </c>
      <c r="U36" s="9">
        <f t="shared" si="12"/>
        <v>3.8548641265458721E-5</v>
      </c>
      <c r="V36" s="102">
        <f t="shared" si="13"/>
        <v>4.3452592423425866E-7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2.0466328175843658</v>
      </c>
      <c r="J37" s="94">
        <f t="shared" si="2"/>
        <v>3.7002740773254659</v>
      </c>
      <c r="K37" s="95">
        <f t="shared" si="3"/>
        <v>8.72623997802679E-3</v>
      </c>
      <c r="L37" s="95">
        <f t="shared" si="4"/>
        <v>2.3402828715766107E-2</v>
      </c>
      <c r="M37" s="95">
        <f t="shared" si="5"/>
        <v>0.97659717128423384</v>
      </c>
      <c r="N37" s="95">
        <f t="shared" si="6"/>
        <v>1.7106360367933952E-2</v>
      </c>
      <c r="O37" s="40">
        <f t="shared" si="7"/>
        <v>8.7763437985717013E-9</v>
      </c>
      <c r="P37" s="40">
        <f t="shared" si="8"/>
        <v>4.4013682369629545E-5</v>
      </c>
      <c r="Q37" s="40">
        <f t="shared" si="9"/>
        <v>1.1328140521847988E-3</v>
      </c>
      <c r="R37" s="9">
        <f t="shared" si="14"/>
        <v>3.9999999999999996E-5</v>
      </c>
      <c r="S37" s="9">
        <f t="shared" si="10"/>
        <v>9.3611314863064416E-7</v>
      </c>
      <c r="T37" s="9">
        <f t="shared" si="11"/>
        <v>3.4904959912107155E-7</v>
      </c>
      <c r="U37" s="9">
        <f t="shared" si="12"/>
        <v>3.9063886851369348E-5</v>
      </c>
      <c r="V37" s="102">
        <f t="shared" si="13"/>
        <v>8.9353525021495898E-3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0.75425121724867172</v>
      </c>
      <c r="J38" s="94">
        <f t="shared" si="2"/>
        <v>2.2551798002203722</v>
      </c>
      <c r="K38" s="95">
        <f t="shared" si="3"/>
        <v>0.17227902862505515</v>
      </c>
      <c r="L38" s="95">
        <f t="shared" si="4"/>
        <v>1.6579801973148869E-2</v>
      </c>
      <c r="M38" s="95">
        <f t="shared" si="5"/>
        <v>0.9834201980268511</v>
      </c>
      <c r="N38" s="95">
        <f t="shared" si="6"/>
        <v>9.9292599078988873E-3</v>
      </c>
      <c r="O38" s="40">
        <f t="shared" si="7"/>
        <v>1.7326821039814607E-7</v>
      </c>
      <c r="P38" s="40">
        <f t="shared" si="8"/>
        <v>3.1181621104884557E-5</v>
      </c>
      <c r="Q38" s="40">
        <f t="shared" si="9"/>
        <v>6.5753350856255217E-4</v>
      </c>
      <c r="R38" s="9">
        <f t="shared" si="14"/>
        <v>3.9999999999999996E-5</v>
      </c>
      <c r="S38" s="9">
        <f t="shared" si="10"/>
        <v>6.6319207892595473E-7</v>
      </c>
      <c r="T38" s="9">
        <f t="shared" si="11"/>
        <v>6.891161145002205E-6</v>
      </c>
      <c r="U38" s="9">
        <f t="shared" si="12"/>
        <v>3.933680792107404E-5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-1.6810051832329899E-4</v>
      </c>
      <c r="J39" s="94">
        <f t="shared" si="2"/>
        <v>-1.2147501700621064E-2</v>
      </c>
      <c r="K39" s="95">
        <f t="shared" si="3"/>
        <v>0.99469035708819276</v>
      </c>
      <c r="L39" s="95">
        <f t="shared" si="4"/>
        <v>5.172583743101503E-4</v>
      </c>
      <c r="M39" s="95">
        <f t="shared" si="5"/>
        <v>0.99948274162568984</v>
      </c>
      <c r="N39" s="95">
        <f t="shared" si="6"/>
        <v>7.3174602559194538E-7</v>
      </c>
      <c r="O39" s="40">
        <f t="shared" si="7"/>
        <v>1.0004016127120118E-6</v>
      </c>
      <c r="P39" s="40">
        <f t="shared" si="8"/>
        <v>9.7280743564902862E-7</v>
      </c>
      <c r="Q39" s="40">
        <f t="shared" si="9"/>
        <v>4.8457542258654569E-8</v>
      </c>
      <c r="R39" s="9">
        <f t="shared" si="14"/>
        <v>3.9999999999999996E-5</v>
      </c>
      <c r="S39" s="9">
        <f t="shared" si="10"/>
        <v>2.0690334972406009E-8</v>
      </c>
      <c r="T39" s="9">
        <f t="shared" si="11"/>
        <v>3.9787614283527708E-5</v>
      </c>
      <c r="U39" s="9">
        <f t="shared" si="12"/>
        <v>3.9979309665027593E-5</v>
      </c>
      <c r="V39" s="102">
        <f t="shared" si="13"/>
        <v>0.99520513527857202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1.0570731161685156</v>
      </c>
      <c r="J40" s="94">
        <f t="shared" si="2"/>
        <v>2.5362302933767991</v>
      </c>
      <c r="K40" s="95">
        <f t="shared" si="3"/>
        <v>8.5854433208855732E-2</v>
      </c>
      <c r="L40" s="95">
        <f t="shared" si="4"/>
        <v>1.5781931110736683E-2</v>
      </c>
      <c r="M40" s="95">
        <f t="shared" si="5"/>
        <v>0.98421806888926333</v>
      </c>
      <c r="N40" s="95">
        <f t="shared" si="6"/>
        <v>7.4085495518831533E-3</v>
      </c>
      <c r="O40" s="40">
        <f t="shared" si="7"/>
        <v>8.6347387233190764E-8</v>
      </c>
      <c r="P40" s="40">
        <f t="shared" si="8"/>
        <v>2.9681065973848867E-5</v>
      </c>
      <c r="Q40" s="40">
        <f t="shared" si="9"/>
        <v>4.9060752013692377E-4</v>
      </c>
      <c r="R40" s="9">
        <f t="shared" si="14"/>
        <v>3.9999999999999996E-5</v>
      </c>
      <c r="S40" s="9">
        <f t="shared" si="10"/>
        <v>6.3127724442946723E-7</v>
      </c>
      <c r="T40" s="9">
        <f t="shared" si="11"/>
        <v>3.4341773283542292E-6</v>
      </c>
      <c r="U40" s="9">
        <f t="shared" si="12"/>
        <v>3.9368722755570528E-5</v>
      </c>
      <c r="V40" s="102">
        <f t="shared" si="13"/>
        <v>8.7231108554780473E-2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1.1393826628828596</v>
      </c>
      <c r="J41" s="94">
        <f t="shared" si="2"/>
        <v>2.6181533735404092</v>
      </c>
      <c r="K41" s="95">
        <f t="shared" si="3"/>
        <v>7.1032855782006007E-2</v>
      </c>
      <c r="L41" s="95">
        <f t="shared" si="4"/>
        <v>1.5768114804382227E-2</v>
      </c>
      <c r="M41" s="95">
        <f t="shared" si="5"/>
        <v>0.98423188519561777</v>
      </c>
      <c r="N41" s="95">
        <f t="shared" si="6"/>
        <v>7.1526296687795601E-3</v>
      </c>
      <c r="O41" s="40">
        <f t="shared" si="7"/>
        <v>7.1440708129392274E-8</v>
      </c>
      <c r="P41" s="40">
        <f t="shared" si="8"/>
        <v>2.9655081656876237E-5</v>
      </c>
      <c r="Q41" s="40">
        <f t="shared" si="9"/>
        <v>4.7366004366748845E-4</v>
      </c>
      <c r="R41" s="9">
        <f t="shared" si="14"/>
        <v>3.9999999999999996E-5</v>
      </c>
      <c r="S41" s="9">
        <f t="shared" si="10"/>
        <v>6.3072459217528903E-7</v>
      </c>
      <c r="T41" s="9">
        <f t="shared" si="11"/>
        <v>2.8413142312802399E-6</v>
      </c>
      <c r="U41" s="9">
        <f t="shared" si="12"/>
        <v>3.9369275407824708E-5</v>
      </c>
      <c r="V41" s="102">
        <f t="shared" si="13"/>
        <v>7.2170854094904785E-2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2.466507651261447</v>
      </c>
      <c r="J42" s="94">
        <f t="shared" si="2"/>
        <v>4.1802418146186522</v>
      </c>
      <c r="K42" s="95">
        <f t="shared" si="3"/>
        <v>3.3070947906751022E-3</v>
      </c>
      <c r="L42" s="95">
        <f t="shared" si="4"/>
        <v>2.6782775583155477E-2</v>
      </c>
      <c r="M42" s="95">
        <f t="shared" si="5"/>
        <v>0.97321722441684455</v>
      </c>
      <c r="N42" s="95">
        <f t="shared" si="6"/>
        <v>2.1866038464602031E-2</v>
      </c>
      <c r="O42" s="40">
        <f t="shared" si="7"/>
        <v>3.3260832764758866E-9</v>
      </c>
      <c r="P42" s="40">
        <f t="shared" si="8"/>
        <v>5.0370345901815295E-5</v>
      </c>
      <c r="Q42" s="40">
        <f t="shared" si="9"/>
        <v>1.4480085246389651E-3</v>
      </c>
      <c r="R42" s="9">
        <f t="shared" si="14"/>
        <v>3.9999999999999996E-5</v>
      </c>
      <c r="S42" s="9">
        <f t="shared" si="10"/>
        <v>1.0713110233262189E-6</v>
      </c>
      <c r="T42" s="9">
        <f t="shared" si="11"/>
        <v>1.3228379162700407E-7</v>
      </c>
      <c r="U42" s="9">
        <f t="shared" si="12"/>
        <v>3.8928688976673779E-5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2.2273249528367836</v>
      </c>
      <c r="J43" s="94">
        <f t="shared" si="2"/>
        <v>3.8903842917257068</v>
      </c>
      <c r="K43" s="95">
        <f t="shared" si="3"/>
        <v>5.7532368987173472E-3</v>
      </c>
      <c r="L43" s="95">
        <f t="shared" si="4"/>
        <v>2.3903619848390359E-2</v>
      </c>
      <c r="M43" s="95">
        <f t="shared" si="5"/>
        <v>0.9760963801516096</v>
      </c>
      <c r="N43" s="95">
        <f t="shared" si="6"/>
        <v>1.7777010203990622E-2</v>
      </c>
      <c r="O43" s="40">
        <f t="shared" si="7"/>
        <v>5.7862705019475528E-9</v>
      </c>
      <c r="P43" s="40">
        <f t="shared" si="8"/>
        <v>4.4955519876221295E-5</v>
      </c>
      <c r="Q43" s="40">
        <f t="shared" si="9"/>
        <v>1.1772256945236643E-3</v>
      </c>
      <c r="R43" s="9">
        <f t="shared" si="14"/>
        <v>3.9999999999999996E-5</v>
      </c>
      <c r="S43" s="9">
        <f t="shared" si="10"/>
        <v>9.5614479393561418E-7</v>
      </c>
      <c r="T43" s="9">
        <f t="shared" si="11"/>
        <v>2.3012947594869388E-7</v>
      </c>
      <c r="U43" s="9">
        <f t="shared" si="12"/>
        <v>3.9043855206064377E-5</v>
      </c>
      <c r="V43" s="102">
        <f t="shared" si="13"/>
        <v>5.894127891165564E-3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0.70532975413914478</v>
      </c>
      <c r="J44" s="94">
        <f t="shared" si="2"/>
        <v>2.1981621448512665</v>
      </c>
      <c r="K44" s="95">
        <f t="shared" si="3"/>
        <v>0.19287986245051475</v>
      </c>
      <c r="L44" s="95">
        <f t="shared" si="4"/>
        <v>1.6278566462115434E-2</v>
      </c>
      <c r="M44" s="95">
        <f t="shared" si="5"/>
        <v>0.98372143353788455</v>
      </c>
      <c r="N44" s="95">
        <f t="shared" si="6"/>
        <v>9.8255382847817017E-3</v>
      </c>
      <c r="O44" s="40">
        <f t="shared" si="7"/>
        <v>1.9398732890104583E-7</v>
      </c>
      <c r="P44" s="40">
        <f t="shared" si="8"/>
        <v>3.0615087705776849E-5</v>
      </c>
      <c r="Q44" s="40">
        <f t="shared" si="9"/>
        <v>6.5066487551289332E-4</v>
      </c>
      <c r="R44" s="9">
        <f t="shared" si="14"/>
        <v>3.9999999999999996E-5</v>
      </c>
      <c r="S44" s="9">
        <f t="shared" si="10"/>
        <v>6.5114265848461735E-7</v>
      </c>
      <c r="T44" s="9">
        <f t="shared" si="11"/>
        <v>7.7151944980205893E-6</v>
      </c>
      <c r="U44" s="9">
        <f t="shared" si="12"/>
        <v>3.9348857341515378E-5</v>
      </c>
      <c r="V44" s="102">
        <f t="shared" si="13"/>
        <v>0.19607162746961401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2.3272580136650043</v>
      </c>
      <c r="J45" s="94">
        <f t="shared" si="2"/>
        <v>3.9219734110768916</v>
      </c>
      <c r="K45" s="95">
        <f t="shared" si="3"/>
        <v>4.5866272097860681E-3</v>
      </c>
      <c r="L45" s="95">
        <f t="shared" si="4"/>
        <v>2.0494341975131052E-2</v>
      </c>
      <c r="M45" s="95">
        <f t="shared" si="5"/>
        <v>0.979505658024869</v>
      </c>
      <c r="N45" s="95">
        <f t="shared" si="6"/>
        <v>1.2870366307700934E-2</v>
      </c>
      <c r="O45" s="40">
        <f t="shared" si="7"/>
        <v>4.6129624409055645E-9</v>
      </c>
      <c r="P45" s="40">
        <f t="shared" si="8"/>
        <v>3.854369354334927E-5</v>
      </c>
      <c r="Q45" s="40">
        <f t="shared" si="9"/>
        <v>8.5229888161711235E-4</v>
      </c>
      <c r="R45" s="9">
        <f t="shared" si="14"/>
        <v>3.9999999999999996E-5</v>
      </c>
      <c r="S45" s="9">
        <f t="shared" si="10"/>
        <v>8.1977367900524196E-7</v>
      </c>
      <c r="T45" s="9">
        <f t="shared" si="11"/>
        <v>1.8346508839144271E-7</v>
      </c>
      <c r="U45" s="9">
        <f t="shared" si="12"/>
        <v>3.9180226320994756E-5</v>
      </c>
      <c r="V45" s="102">
        <f t="shared" si="13"/>
        <v>4.68259389030463E-3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0.64458903464573347</v>
      </c>
      <c r="J46" s="94">
        <f t="shared" si="2"/>
        <v>2.114444428876499</v>
      </c>
      <c r="K46" s="95">
        <f t="shared" si="3"/>
        <v>0.22201998574719317</v>
      </c>
      <c r="L46" s="95">
        <f t="shared" si="4"/>
        <v>1.5452673333846837E-2</v>
      </c>
      <c r="M46" s="95">
        <f t="shared" si="5"/>
        <v>0.98454732666615319</v>
      </c>
      <c r="N46" s="95">
        <f t="shared" si="6"/>
        <v>9.1056202685256184E-3</v>
      </c>
      <c r="O46" s="40">
        <f t="shared" si="7"/>
        <v>2.2329476727409046E-7</v>
      </c>
      <c r="P46" s="40">
        <f t="shared" si="8"/>
        <v>2.9061831120414365E-5</v>
      </c>
      <c r="Q46" s="40">
        <f t="shared" si="9"/>
        <v>6.0299060537623577E-4</v>
      </c>
      <c r="R46" s="9">
        <f t="shared" si="14"/>
        <v>3.9999999999999996E-5</v>
      </c>
      <c r="S46" s="9">
        <f t="shared" si="10"/>
        <v>6.1810693335387344E-7</v>
      </c>
      <c r="T46" s="9">
        <f t="shared" si="11"/>
        <v>8.8807994298877254E-6</v>
      </c>
      <c r="U46" s="9">
        <f t="shared" si="12"/>
        <v>3.9381893066646122E-5</v>
      </c>
      <c r="V46" s="102">
        <f t="shared" si="13"/>
        <v>0.22550463521036726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1.6299602750984028</v>
      </c>
      <c r="J47" s="94">
        <f t="shared" si="2"/>
        <v>3.1083049817479944</v>
      </c>
      <c r="K47" s="95">
        <f t="shared" si="3"/>
        <v>2.2955585649086851E-2</v>
      </c>
      <c r="L47" s="95">
        <f t="shared" si="4"/>
        <v>1.575289881113506E-2</v>
      </c>
      <c r="M47" s="95">
        <f t="shared" si="5"/>
        <v>0.98424710118886494</v>
      </c>
      <c r="N47" s="95">
        <f t="shared" si="6"/>
        <v>6.3649330758595024E-3</v>
      </c>
      <c r="O47" s="40">
        <f t="shared" si="7"/>
        <v>2.3087390704501481E-8</v>
      </c>
      <c r="P47" s="40">
        <f t="shared" si="8"/>
        <v>2.9626464949816899E-5</v>
      </c>
      <c r="Q47" s="40">
        <f t="shared" si="9"/>
        <v>4.2149735387693644E-4</v>
      </c>
      <c r="R47" s="9">
        <f t="shared" si="14"/>
        <v>3.9999999999999996E-5</v>
      </c>
      <c r="S47" s="9">
        <f t="shared" si="10"/>
        <v>6.3011595244540228E-7</v>
      </c>
      <c r="T47" s="9">
        <f t="shared" si="11"/>
        <v>9.1822342596347394E-7</v>
      </c>
      <c r="U47" s="9">
        <f t="shared" si="12"/>
        <v>3.9369884047554591E-5</v>
      </c>
      <c r="V47" s="102">
        <f t="shared" si="13"/>
        <v>2.3322990356140206E-2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1.2615464423900991</v>
      </c>
      <c r="K48" s="95">
        <f t="shared" ref="K48:K50" si="17">IF(D48=0,"",1/(1+10^D48*$J$15/$J$14+10^E48*$J$16/$J$14+10^J48*$J$19/$J$14))</f>
        <v>0.62538252654474114</v>
      </c>
      <c r="L48" s="95">
        <f t="shared" ref="L48:L50" si="18">IF(D48=0,"",1/(1+10^I48/10^J48*$J$13/$J$19))</f>
        <v>6.1074414128197141E-3</v>
      </c>
      <c r="M48" s="95">
        <f t="shared" ref="M48:M92" si="19">IF(D48=0,"",1-L48)</f>
        <v>0.99389255858718029</v>
      </c>
      <c r="N48" s="95">
        <f t="shared" ref="N48:N50" si="20">IF(D48=0,"",1/(1/10^E48*$J$20/$J$22+10^D48/10^E48*$J$21/$J$22+10^I48/10^E48*$J$13/$J$22+1))</f>
        <v>2.1325204631412521E-3</v>
      </c>
      <c r="O48" s="40">
        <f t="shared" ref="O48:O92" si="21">IF(D48=0,"",F48*K48*$J$7/$J$14)</f>
        <v>6.2897331180400758E-7</v>
      </c>
      <c r="P48" s="40">
        <f t="shared" ref="P48:P50" si="22">IF(D48=0,"",O48*10^J48)</f>
        <v>1.1486260473028823E-5</v>
      </c>
      <c r="Q48" s="40">
        <f t="shared" ref="Q48:Q50" si="23">IF(D48=0,"",F48*N48*$J$7/$J$22)</f>
        <v>1.4121935322644041E-4</v>
      </c>
      <c r="R48" s="9">
        <f t="shared" si="14"/>
        <v>3.9999999999999996E-5</v>
      </c>
      <c r="S48" s="9">
        <f t="shared" si="10"/>
        <v>2.4429765651278856E-7</v>
      </c>
      <c r="T48" s="9">
        <f t="shared" si="11"/>
        <v>2.5015301061789644E-5</v>
      </c>
      <c r="U48" s="9">
        <f t="shared" si="12"/>
        <v>3.975570234348721E-5</v>
      </c>
      <c r="V48" s="102">
        <f t="shared" si="13"/>
        <v>0.62922548432571357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6.5352597387686409E-2</v>
      </c>
      <c r="J49" s="94">
        <f t="shared" si="16"/>
        <v>0.77659593217338263</v>
      </c>
      <c r="K49" s="95">
        <f t="shared" si="17"/>
        <v>0.8535032853786173</v>
      </c>
      <c r="L49" s="95">
        <f t="shared" si="18"/>
        <v>2.728778306663827E-3</v>
      </c>
      <c r="M49" s="95">
        <f t="shared" si="19"/>
        <v>0.99727122169333615</v>
      </c>
      <c r="N49" s="95">
        <f t="shared" si="20"/>
        <v>9.2236467468800778E-4</v>
      </c>
      <c r="O49" s="40">
        <f t="shared" si="21"/>
        <v>8.5840388123121628E-7</v>
      </c>
      <c r="P49" s="40">
        <f t="shared" si="22"/>
        <v>5.1320113096296458E-6</v>
      </c>
      <c r="Q49" s="40">
        <f t="shared" si="23"/>
        <v>6.1080653175297952E-5</v>
      </c>
      <c r="R49" s="9">
        <f t="shared" si="14"/>
        <v>3.9999999999999996E-5</v>
      </c>
      <c r="S49" s="9">
        <f t="shared" si="10"/>
        <v>1.0915113226655307E-7</v>
      </c>
      <c r="T49" s="9">
        <f t="shared" si="11"/>
        <v>3.4140131415144691E-5</v>
      </c>
      <c r="U49" s="9">
        <f t="shared" si="12"/>
        <v>3.9890848867733442E-5</v>
      </c>
      <c r="V49" s="102">
        <f t="shared" si="13"/>
        <v>0.85583867940097047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3.7217650281818146E-4</v>
      </c>
      <c r="J57" s="54">
        <f t="shared" si="25"/>
        <v>9.8917692701836375E-3</v>
      </c>
      <c r="K57" s="55">
        <f t="shared" si="26"/>
        <v>0.99342762020220543</v>
      </c>
      <c r="L57" s="55">
        <f t="shared" si="27"/>
        <v>5.4349446337623414E-4</v>
      </c>
      <c r="M57" s="55">
        <f t="shared" si="28"/>
        <v>0.9994565055366238</v>
      </c>
      <c r="N57" s="55">
        <f t="shared" si="29"/>
        <v>1.823214201528045E-5</v>
      </c>
      <c r="O57" s="56">
        <f t="shared" si="30"/>
        <v>9.991316255163273E-7</v>
      </c>
      <c r="P57" s="56">
        <f t="shared" si="31"/>
        <v>1.0221496286292298E-6</v>
      </c>
      <c r="Q57" s="56">
        <f t="shared" si="32"/>
        <v>1.2073653443577636E-6</v>
      </c>
      <c r="R57" s="9">
        <f t="shared" ref="R57:R58" si="33">F57*$C$14</f>
        <v>3.9999999999999996E-5</v>
      </c>
      <c r="S57" s="9">
        <f t="shared" ref="S57:S58" si="34">$R57*L57</f>
        <v>2.1739778535049365E-8</v>
      </c>
      <c r="T57" s="9">
        <f t="shared" ref="T57:T58" si="35">R57*K57</f>
        <v>3.9737104808088216E-5</v>
      </c>
      <c r="U57" s="9">
        <f t="shared" ref="U57:U58" si="36">$R57*M57</f>
        <v>3.997826022146495E-5</v>
      </c>
      <c r="V57" s="102">
        <f t="shared" ref="V57:V58" si="37">K57/M57</f>
        <v>0.99396783621796392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0.27242732253974722</v>
      </c>
      <c r="J58" s="54">
        <f t="shared" si="25"/>
        <v>1.4462409030259145</v>
      </c>
      <c r="K58" s="55">
        <f t="shared" si="26"/>
        <v>0.527088153434636</v>
      </c>
      <c r="L58" s="55">
        <f t="shared" si="27"/>
        <v>7.8757384118229318E-3</v>
      </c>
      <c r="M58" s="55">
        <f t="shared" si="28"/>
        <v>0.99212426158817701</v>
      </c>
      <c r="N58" s="55">
        <f t="shared" si="29"/>
        <v>3.1019709039972975E-3</v>
      </c>
      <c r="O58" s="56">
        <f t="shared" si="30"/>
        <v>5.3011455774136346E-7</v>
      </c>
      <c r="P58" s="56">
        <f t="shared" si="31"/>
        <v>1.4811895309507561E-5</v>
      </c>
      <c r="Q58" s="56">
        <f t="shared" si="32"/>
        <v>2.054181108041819E-4</v>
      </c>
      <c r="R58" s="9">
        <f t="shared" si="33"/>
        <v>3.9999999999999996E-5</v>
      </c>
      <c r="S58" s="9">
        <f t="shared" si="34"/>
        <v>3.1502953647291723E-7</v>
      </c>
      <c r="T58" s="9">
        <f t="shared" si="35"/>
        <v>2.1083526137385437E-5</v>
      </c>
      <c r="U58" s="9">
        <f t="shared" si="36"/>
        <v>3.9684970463527079E-5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0.35062624883359406</v>
      </c>
      <c r="J60" s="54">
        <f t="shared" si="25"/>
        <v>1.5527177591860062</v>
      </c>
      <c r="K60" s="55">
        <f t="shared" si="26"/>
        <v>0.44000161433232071</v>
      </c>
      <c r="L60" s="55">
        <f t="shared" si="27"/>
        <v>8.4011580199066047E-3</v>
      </c>
      <c r="M60" s="55">
        <f t="shared" si="28"/>
        <v>0.9915988419800934</v>
      </c>
      <c r="N60" s="55">
        <f t="shared" si="29"/>
        <v>2.4679862423734105E-3</v>
      </c>
      <c r="O60" s="56">
        <f t="shared" si="30"/>
        <v>4.4252799018027931E-7</v>
      </c>
      <c r="P60" s="56">
        <f t="shared" si="31"/>
        <v>1.5800051571378188E-5</v>
      </c>
      <c r="Q60" s="56">
        <f t="shared" si="32"/>
        <v>1.63434502478976E-4</v>
      </c>
      <c r="R60" s="9">
        <f t="shared" ref="R60:R65" si="38">F60*$C$14</f>
        <v>3.9999999999999996E-5</v>
      </c>
      <c r="S60" s="9">
        <f t="shared" ref="S60:S93" si="39">$R60*L60</f>
        <v>3.3604632079626416E-7</v>
      </c>
      <c r="T60" s="9">
        <f t="shared" ref="T60:T93" si="40">R60*K60</f>
        <v>1.7600064573292826E-5</v>
      </c>
      <c r="U60" s="9">
        <f t="shared" ref="U60:U93" si="41">$R60*M60</f>
        <v>3.9663953679203733E-5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1.0599296125914559</v>
      </c>
      <c r="J61" s="54">
        <f t="shared" si="25"/>
        <v>2.4998402478188688</v>
      </c>
      <c r="K61" s="55">
        <f t="shared" si="26"/>
        <v>8.5408060006360503E-2</v>
      </c>
      <c r="L61" s="55">
        <f t="shared" si="27"/>
        <v>1.4437973140618933E-2</v>
      </c>
      <c r="M61" s="55">
        <f t="shared" si="28"/>
        <v>0.9855620268593811</v>
      </c>
      <c r="N61" s="55">
        <f t="shared" si="29"/>
        <v>5.4745360729199152E-3</v>
      </c>
      <c r="O61" s="56">
        <f t="shared" si="30"/>
        <v>8.5898451070830775E-8</v>
      </c>
      <c r="P61" s="56">
        <f t="shared" si="31"/>
        <v>2.7153485229943129E-5</v>
      </c>
      <c r="Q61" s="56">
        <f t="shared" si="32"/>
        <v>3.6253365761084317E-4</v>
      </c>
      <c r="R61" s="9">
        <f t="shared" si="38"/>
        <v>3.9999999999999996E-5</v>
      </c>
      <c r="S61" s="9">
        <f t="shared" si="39"/>
        <v>5.7751892562475723E-7</v>
      </c>
      <c r="T61" s="9">
        <f t="shared" si="40"/>
        <v>3.4163224002544196E-6</v>
      </c>
      <c r="U61" s="9">
        <f t="shared" si="41"/>
        <v>3.9422481074375238E-5</v>
      </c>
      <c r="V61" s="102">
        <f t="shared" si="42"/>
        <v>8.6659243841327935E-2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0.76837016932652724</v>
      </c>
      <c r="J62" s="54">
        <f t="shared" si="25"/>
        <v>2.2029781197538778</v>
      </c>
      <c r="K62" s="55">
        <f t="shared" si="26"/>
        <v>0.1671607848976</v>
      </c>
      <c r="L62" s="55">
        <f t="shared" si="27"/>
        <v>1.4265258501491861E-2</v>
      </c>
      <c r="M62" s="55">
        <f t="shared" si="28"/>
        <v>0.98573474149850815</v>
      </c>
      <c r="N62" s="55">
        <f t="shared" si="29"/>
        <v>6.5292435128162596E-3</v>
      </c>
      <c r="O62" s="56">
        <f t="shared" si="30"/>
        <v>1.6812057903456456E-7</v>
      </c>
      <c r="P62" s="56">
        <f t="shared" si="31"/>
        <v>2.6828660937997486E-5</v>
      </c>
      <c r="Q62" s="56">
        <f t="shared" si="32"/>
        <v>4.323782875122496E-4</v>
      </c>
      <c r="R62" s="9">
        <f t="shared" si="38"/>
        <v>3.9999999999999996E-5</v>
      </c>
      <c r="S62" s="9">
        <f t="shared" si="39"/>
        <v>5.7061034005967444E-7</v>
      </c>
      <c r="T62" s="9">
        <f t="shared" si="40"/>
        <v>6.6864313959039998E-6</v>
      </c>
      <c r="U62" s="9">
        <f t="shared" si="41"/>
        <v>3.9429389659940326E-5</v>
      </c>
      <c r="V62" s="102">
        <f t="shared" si="42"/>
        <v>0.16957988580526559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0.7211484450377651</v>
      </c>
      <c r="J63" s="54">
        <f t="shared" si="25"/>
        <v>2.1382472771579155</v>
      </c>
      <c r="K63" s="55">
        <f t="shared" si="26"/>
        <v>0.18646657729027649</v>
      </c>
      <c r="L63" s="55">
        <f t="shared" si="27"/>
        <v>1.3709303807663683E-2</v>
      </c>
      <c r="M63" s="55">
        <f t="shared" si="28"/>
        <v>0.98629069619233634</v>
      </c>
      <c r="N63" s="55">
        <f t="shared" si="29"/>
        <v>6.0396874354392083E-3</v>
      </c>
      <c r="O63" s="56">
        <f t="shared" si="30"/>
        <v>1.8753722031060383E-7</v>
      </c>
      <c r="P63" s="56">
        <f t="shared" si="31"/>
        <v>2.5783077363325859E-5</v>
      </c>
      <c r="Q63" s="56">
        <f t="shared" si="32"/>
        <v>3.999590006588783E-4</v>
      </c>
      <c r="R63" s="9">
        <f t="shared" si="38"/>
        <v>3.9999999999999996E-5</v>
      </c>
      <c r="S63" s="9">
        <f t="shared" si="39"/>
        <v>5.4837215230654726E-7</v>
      </c>
      <c r="T63" s="9">
        <f t="shared" si="40"/>
        <v>7.4586630916110592E-6</v>
      </c>
      <c r="U63" s="9">
        <f t="shared" si="41"/>
        <v>3.9451627847693451E-5</v>
      </c>
      <c r="V63" s="102">
        <f t="shared" si="42"/>
        <v>0.18905843683829465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0.2338148544799136</v>
      </c>
      <c r="J64" s="54">
        <f t="shared" si="25"/>
        <v>1.3844943041417832</v>
      </c>
      <c r="K64" s="55">
        <f t="shared" si="26"/>
        <v>0.57633260583631596</v>
      </c>
      <c r="L64" s="55">
        <f t="shared" si="27"/>
        <v>7.4702411035585002E-3</v>
      </c>
      <c r="M64" s="55">
        <f t="shared" si="28"/>
        <v>0.99252975889644146</v>
      </c>
      <c r="N64" s="55">
        <f t="shared" si="29"/>
        <v>3.3050623349763484E-3</v>
      </c>
      <c r="O64" s="56">
        <f t="shared" si="30"/>
        <v>5.7964175909473153E-7</v>
      </c>
      <c r="P64" s="56">
        <f t="shared" si="31"/>
        <v>1.4049276826739841E-5</v>
      </c>
      <c r="Q64" s="56">
        <f t="shared" si="32"/>
        <v>2.1886719184439237E-4</v>
      </c>
      <c r="R64" s="9">
        <f t="shared" si="38"/>
        <v>3.9999999999999996E-5</v>
      </c>
      <c r="S64" s="9">
        <f t="shared" si="39"/>
        <v>2.9880964414233996E-7</v>
      </c>
      <c r="T64" s="9">
        <f t="shared" si="40"/>
        <v>2.3053304233452637E-5</v>
      </c>
      <c r="U64" s="9">
        <f t="shared" si="41"/>
        <v>3.9701190355857655E-5</v>
      </c>
      <c r="V64" s="102">
        <f t="shared" si="42"/>
        <v>0.5806703533777362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1.2834731216469764</v>
      </c>
      <c r="J65" s="54">
        <f t="shared" si="25"/>
        <v>2.8217385476655523</v>
      </c>
      <c r="K65" s="55">
        <f t="shared" si="26"/>
        <v>5.0858619103678483E-2</v>
      </c>
      <c r="L65" s="55">
        <f t="shared" si="27"/>
        <v>1.8041400036447209E-2</v>
      </c>
      <c r="M65" s="55">
        <f t="shared" si="28"/>
        <v>0.98195859996355284</v>
      </c>
      <c r="N65" s="55">
        <f t="shared" si="29"/>
        <v>1.0090577648681057E-2</v>
      </c>
      <c r="O65" s="56">
        <f t="shared" si="30"/>
        <v>5.1150636184477227E-8</v>
      </c>
      <c r="P65" s="56">
        <f t="shared" si="31"/>
        <v>3.3930447483583847E-5</v>
      </c>
      <c r="Q65" s="56">
        <f t="shared" si="32"/>
        <v>6.6821626045682995E-4</v>
      </c>
      <c r="R65" s="9">
        <f t="shared" si="38"/>
        <v>3.9999999999999996E-5</v>
      </c>
      <c r="S65" s="9">
        <f t="shared" si="39"/>
        <v>7.2165600145788829E-7</v>
      </c>
      <c r="T65" s="9">
        <f t="shared" si="40"/>
        <v>2.0343447641471393E-6</v>
      </c>
      <c r="U65" s="9">
        <f t="shared" si="41"/>
        <v>3.9278343998542107E-5</v>
      </c>
      <c r="V65" s="102">
        <f t="shared" si="42"/>
        <v>5.1793038021731456E-2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0.33491051106253611</v>
      </c>
      <c r="J68" s="54">
        <f t="shared" si="25"/>
        <v>1.5126387547268108</v>
      </c>
      <c r="K68" s="55">
        <f t="shared" si="26"/>
        <v>0.45642465681912958</v>
      </c>
      <c r="L68" s="55">
        <f t="shared" si="27"/>
        <v>7.9464833343272766E-3</v>
      </c>
      <c r="M68" s="55">
        <f t="shared" si="28"/>
        <v>0.99205351666567276</v>
      </c>
      <c r="N68" s="55">
        <f t="shared" si="29"/>
        <v>2.077717808576806E-3</v>
      </c>
      <c r="O68" s="56">
        <f t="shared" si="30"/>
        <v>4.5904532954359316E-7</v>
      </c>
      <c r="P68" s="56">
        <f t="shared" si="31"/>
        <v>1.4944945232069807E-5</v>
      </c>
      <c r="Q68" s="56">
        <f t="shared" si="32"/>
        <v>1.3759022254917455E-4</v>
      </c>
      <c r="R68" s="9">
        <f>F68*$C$14</f>
        <v>3.9999999999999996E-5</v>
      </c>
      <c r="S68" s="9">
        <f t="shared" si="39"/>
        <v>3.1785933337309105E-7</v>
      </c>
      <c r="T68" s="9">
        <f t="shared" si="40"/>
        <v>1.8256986272765182E-5</v>
      </c>
      <c r="U68" s="9">
        <f t="shared" si="41"/>
        <v>3.968214066662691E-5</v>
      </c>
      <c r="V68" s="102">
        <f t="shared" si="42"/>
        <v>0.4600806802773999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2.1724337273682748</v>
      </c>
      <c r="J69" s="54">
        <f t="shared" si="25"/>
        <v>3.7503360262758276</v>
      </c>
      <c r="K69" s="55">
        <f t="shared" si="26"/>
        <v>6.5562551974123863E-3</v>
      </c>
      <c r="L69" s="55">
        <f t="shared" si="27"/>
        <v>1.9731449967161255E-2</v>
      </c>
      <c r="M69" s="55">
        <f t="shared" si="28"/>
        <v>0.98026855003283875</v>
      </c>
      <c r="N69" s="55">
        <f t="shared" si="29"/>
        <v>1.1807944803388403E-2</v>
      </c>
      <c r="O69" s="56">
        <f t="shared" si="30"/>
        <v>6.593899524715435E-9</v>
      </c>
      <c r="P69" s="56">
        <f t="shared" si="31"/>
        <v>3.7108923117563534E-5</v>
      </c>
      <c r="Q69" s="56">
        <f t="shared" si="32"/>
        <v>7.8194341244994985E-4</v>
      </c>
      <c r="R69" s="9">
        <f>F69*$C$14</f>
        <v>3.9999999999999996E-5</v>
      </c>
      <c r="S69" s="9">
        <f t="shared" si="39"/>
        <v>7.8925799868645012E-7</v>
      </c>
      <c r="T69" s="9">
        <f t="shared" si="40"/>
        <v>2.6225020789649545E-7</v>
      </c>
      <c r="U69" s="9">
        <f t="shared" si="41"/>
        <v>3.9210742001313547E-5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6.2122287627494992E-2</v>
      </c>
      <c r="J70" s="54">
        <f t="shared" si="25"/>
        <v>0.69942132779385668</v>
      </c>
      <c r="K70" s="55">
        <f t="shared" si="26"/>
        <v>0.86024286920203641</v>
      </c>
      <c r="L70" s="55">
        <f t="shared" si="27"/>
        <v>2.3025524595349455E-3</v>
      </c>
      <c r="M70" s="55">
        <f t="shared" si="28"/>
        <v>0.99769744754046508</v>
      </c>
      <c r="N70" s="55">
        <f t="shared" si="29"/>
        <v>4.1862537140709784E-4</v>
      </c>
      <c r="O70" s="56">
        <f t="shared" si="30"/>
        <v>8.6518216200765144E-7</v>
      </c>
      <c r="P70" s="56">
        <f t="shared" si="31"/>
        <v>4.3304086794049206E-6</v>
      </c>
      <c r="Q70" s="56">
        <f t="shared" si="32"/>
        <v>2.7722127508782053E-5</v>
      </c>
      <c r="R70" s="9">
        <f t="shared" ref="R70:R86" si="43">F70*$C$14</f>
        <v>3.9999999999999996E-5</v>
      </c>
      <c r="S70" s="9">
        <f t="shared" si="39"/>
        <v>9.2102098381397811E-8</v>
      </c>
      <c r="T70" s="9">
        <f t="shared" si="40"/>
        <v>3.4409714768081455E-5</v>
      </c>
      <c r="U70" s="9">
        <f t="shared" si="41"/>
        <v>3.9907897901618599E-5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1.3417480066989405</v>
      </c>
      <c r="K71" s="55">
        <f t="shared" ref="K71:K122" si="46">IF(D71=0,"",1/(1+10^D71*$J$15/$J$14+10^E71*$J$16/$J$14+10^J71*$J$19/$J$14))</f>
        <v>0.58790540025568616</v>
      </c>
      <c r="L71" s="55">
        <f t="shared" ref="L71:L122" si="47">IF(D71=0,"",1/(1+10^I71/10^J71*$J$13/$J$19))</f>
        <v>6.9059364991861764E-3</v>
      </c>
      <c r="M71" s="55">
        <f t="shared" si="19"/>
        <v>0.99309406350081386</v>
      </c>
      <c r="N71" s="55">
        <f t="shared" ref="N71:N122" si="48">IF(D71=0,"",1/(1/10^E71*$J$20/$J$22+10^D71/10^E71*$J$21/$J$22+10^I71/10^E71*$J$13/$J$22+1))</f>
        <v>2.680346334658427E-3</v>
      </c>
      <c r="O71" s="56">
        <f t="shared" si="21"/>
        <v>5.9128100151647746E-7</v>
      </c>
      <c r="P71" s="56">
        <f t="shared" ref="P71:P122" si="49">IF(D71=0,"",O71*10^J71)</f>
        <v>1.2987989581585979E-5</v>
      </c>
      <c r="Q71" s="56">
        <f t="shared" ref="Q71:Q122" si="50">IF(D71=0,"",F71*N71*$J$7/$J$22)</f>
        <v>1.7749737099627137E-4</v>
      </c>
      <c r="R71" s="9">
        <f t="shared" si="43"/>
        <v>3.9999999999999996E-5</v>
      </c>
      <c r="S71" s="9">
        <f t="shared" si="39"/>
        <v>2.7623745996744703E-7</v>
      </c>
      <c r="T71" s="9">
        <f t="shared" si="40"/>
        <v>2.3516216010227446E-5</v>
      </c>
      <c r="U71" s="9">
        <f t="shared" si="41"/>
        <v>3.9723762540032554E-5</v>
      </c>
      <c r="V71" s="102">
        <f t="shared" si="42"/>
        <v>0.59199367095522304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0.32073739190116707</v>
      </c>
      <c r="J72" s="54">
        <f t="shared" si="45"/>
        <v>1.4983971526308137</v>
      </c>
      <c r="K72" s="55">
        <f t="shared" si="46"/>
        <v>0.47156629987339022</v>
      </c>
      <c r="L72" s="55">
        <f t="shared" si="47"/>
        <v>7.9452403248722672E-3</v>
      </c>
      <c r="M72" s="55">
        <f t="shared" si="19"/>
        <v>0.99205475967512768</v>
      </c>
      <c r="N72" s="55">
        <f t="shared" si="48"/>
        <v>2.3171450750038131E-3</v>
      </c>
      <c r="O72" s="56">
        <f t="shared" si="21"/>
        <v>4.7427391200913014E-7</v>
      </c>
      <c r="P72" s="56">
        <f t="shared" si="49"/>
        <v>1.4942607505122369E-5</v>
      </c>
      <c r="Q72" s="56">
        <f t="shared" si="50"/>
        <v>1.5344552818117354E-4</v>
      </c>
      <c r="R72" s="9">
        <f t="shared" si="43"/>
        <v>3.9999999999999996E-5</v>
      </c>
      <c r="S72" s="9">
        <f t="shared" si="39"/>
        <v>3.1780961299489068E-7</v>
      </c>
      <c r="T72" s="9">
        <f t="shared" si="40"/>
        <v>1.8862651994935607E-5</v>
      </c>
      <c r="U72" s="9">
        <f t="shared" si="41"/>
        <v>3.9682190387005102E-5</v>
      </c>
      <c r="V72" s="102">
        <f t="shared" si="42"/>
        <v>0.47534301435922349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3.8293839195374848</v>
      </c>
      <c r="J73" s="54">
        <f t="shared" si="45"/>
        <v>5.5847769574151425</v>
      </c>
      <c r="K73" s="55">
        <f t="shared" si="46"/>
        <v>1.4302137368556858E-4</v>
      </c>
      <c r="L73" s="55">
        <f t="shared" si="47"/>
        <v>2.9399844063586079E-2</v>
      </c>
      <c r="M73" s="55">
        <f t="shared" si="19"/>
        <v>0.97060015593641391</v>
      </c>
      <c r="N73" s="55">
        <f t="shared" si="48"/>
        <v>2.5567861763258148E-2</v>
      </c>
      <c r="O73" s="56">
        <f t="shared" si="21"/>
        <v>1.4384256554589704E-10</v>
      </c>
      <c r="P73" s="56">
        <f t="shared" si="49"/>
        <v>5.5292264625240427E-5</v>
      </c>
      <c r="Q73" s="56">
        <f t="shared" si="50"/>
        <v>1.6931499434578653E-3</v>
      </c>
      <c r="R73" s="9">
        <f t="shared" si="43"/>
        <v>3.9999999999999996E-5</v>
      </c>
      <c r="S73" s="9">
        <f t="shared" si="39"/>
        <v>1.1759937625434431E-6</v>
      </c>
      <c r="T73" s="9">
        <f t="shared" si="40"/>
        <v>5.7208549474227431E-9</v>
      </c>
      <c r="U73" s="9">
        <f t="shared" si="41"/>
        <v>3.8824006237456555E-5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3.8037572032670899E-2</v>
      </c>
      <c r="J74" s="54">
        <f t="shared" si="45"/>
        <v>0.54264947929167429</v>
      </c>
      <c r="K74" s="55">
        <f t="shared" si="46"/>
        <v>0.90984860877266527</v>
      </c>
      <c r="L74" s="55">
        <f t="shared" si="47"/>
        <v>1.6974060240121109E-3</v>
      </c>
      <c r="M74" s="55">
        <f t="shared" si="19"/>
        <v>0.99830259397598786</v>
      </c>
      <c r="N74" s="55">
        <f t="shared" si="48"/>
        <v>3.4122480942951587E-4</v>
      </c>
      <c r="O74" s="56">
        <f t="shared" si="21"/>
        <v>9.1507272494776177E-7</v>
      </c>
      <c r="P74" s="56">
        <f t="shared" si="49"/>
        <v>3.1923102331144465E-6</v>
      </c>
      <c r="Q74" s="56">
        <f t="shared" si="50"/>
        <v>2.2596522624439553E-5</v>
      </c>
      <c r="R74" s="9">
        <f t="shared" si="43"/>
        <v>3.9999999999999996E-5</v>
      </c>
      <c r="S74" s="9">
        <f t="shared" si="39"/>
        <v>6.7896240960484433E-8</v>
      </c>
      <c r="T74" s="9">
        <f t="shared" si="40"/>
        <v>3.6393944350906605E-5</v>
      </c>
      <c r="U74" s="9">
        <f t="shared" si="41"/>
        <v>3.9932103759039511E-5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4.0258976380178252E-2</v>
      </c>
      <c r="J75" s="54">
        <f t="shared" si="45"/>
        <v>0.55494878574960893</v>
      </c>
      <c r="K75" s="55">
        <f t="shared" si="46"/>
        <v>0.90517056964159182</v>
      </c>
      <c r="L75" s="55">
        <f t="shared" si="47"/>
        <v>1.7371860582186239E-3</v>
      </c>
      <c r="M75" s="55">
        <f t="shared" si="19"/>
        <v>0.9982628139417814</v>
      </c>
      <c r="N75" s="55">
        <f t="shared" si="48"/>
        <v>3.2373741124404527E-4</v>
      </c>
      <c r="O75" s="56">
        <f t="shared" si="21"/>
        <v>9.103678257218803E-7</v>
      </c>
      <c r="P75" s="56">
        <f t="shared" si="49"/>
        <v>3.2671245135368346E-6</v>
      </c>
      <c r="Q75" s="56">
        <f t="shared" si="50"/>
        <v>2.1438475560390435E-5</v>
      </c>
      <c r="R75" s="9">
        <f t="shared" si="43"/>
        <v>3.9999999999999996E-5</v>
      </c>
      <c r="S75" s="9">
        <f t="shared" si="39"/>
        <v>6.9487442328744942E-8</v>
      </c>
      <c r="T75" s="9">
        <f t="shared" si="40"/>
        <v>3.6206822785663669E-5</v>
      </c>
      <c r="U75" s="9">
        <f t="shared" si="41"/>
        <v>3.9930512557671252E-5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1.137117589232139</v>
      </c>
      <c r="J76" s="54">
        <f t="shared" si="45"/>
        <v>2.6326668044693871</v>
      </c>
      <c r="K76" s="55">
        <f t="shared" si="46"/>
        <v>7.1359975161413181E-2</v>
      </c>
      <c r="L76" s="55">
        <f t="shared" si="47"/>
        <v>1.6379046624155777E-2</v>
      </c>
      <c r="M76" s="55">
        <f t="shared" si="19"/>
        <v>0.98362095337584421</v>
      </c>
      <c r="N76" s="55">
        <f t="shared" si="48"/>
        <v>8.0337655723767554E-3</v>
      </c>
      <c r="O76" s="56">
        <f t="shared" si="21"/>
        <v>7.1769705743952719E-8</v>
      </c>
      <c r="P76" s="56">
        <f t="shared" si="49"/>
        <v>3.0804060670977125E-5</v>
      </c>
      <c r="Q76" s="56">
        <f t="shared" si="50"/>
        <v>5.3201045322337037E-4</v>
      </c>
      <c r="R76" s="9">
        <f t="shared" si="43"/>
        <v>3.9999999999999996E-5</v>
      </c>
      <c r="S76" s="9">
        <f t="shared" si="39"/>
        <v>6.5516186496623106E-7</v>
      </c>
      <c r="T76" s="9">
        <f t="shared" si="40"/>
        <v>2.8543990064565268E-6</v>
      </c>
      <c r="U76" s="9">
        <f t="shared" si="41"/>
        <v>3.9344838135033762E-5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2.0958974367173925E-3</v>
      </c>
      <c r="J77" s="54">
        <f t="shared" si="45"/>
        <v>4.79823720153809E-2</v>
      </c>
      <c r="K77" s="55">
        <f t="shared" si="46"/>
        <v>0.98944553652940281</v>
      </c>
      <c r="L77" s="55">
        <f t="shared" si="47"/>
        <v>5.9093728186706163E-4</v>
      </c>
      <c r="M77" s="55">
        <f t="shared" si="19"/>
        <v>0.9994090627181329</v>
      </c>
      <c r="N77" s="55">
        <f t="shared" si="48"/>
        <v>2.2817988569856541E-5</v>
      </c>
      <c r="O77" s="56">
        <f t="shared" si="21"/>
        <v>9.951266777455583E-7</v>
      </c>
      <c r="P77" s="56">
        <f t="shared" si="49"/>
        <v>1.1113753016936369E-6</v>
      </c>
      <c r="Q77" s="56">
        <f t="shared" si="50"/>
        <v>1.5110483784136199E-6</v>
      </c>
      <c r="R77" s="9">
        <f t="shared" si="43"/>
        <v>3.9999999999999996E-5</v>
      </c>
      <c r="S77" s="9">
        <f t="shared" si="39"/>
        <v>2.3637491274682464E-8</v>
      </c>
      <c r="T77" s="9">
        <f t="shared" si="40"/>
        <v>3.9577821461176111E-5</v>
      </c>
      <c r="U77" s="9">
        <f t="shared" si="41"/>
        <v>3.9976362508725313E-5</v>
      </c>
      <c r="V77" s="102">
        <f t="shared" si="42"/>
        <v>0.99003058251079701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0.8749628948462248</v>
      </c>
      <c r="K78" s="55">
        <f t="shared" si="46"/>
        <v>0.81015529208139214</v>
      </c>
      <c r="L78" s="55">
        <f t="shared" si="47"/>
        <v>3.2486153538659451E-3</v>
      </c>
      <c r="M78" s="55">
        <f t="shared" si="19"/>
        <v>0.99675138464613411</v>
      </c>
      <c r="N78" s="55">
        <f t="shared" si="48"/>
        <v>9.771398783655935E-4</v>
      </c>
      <c r="O78" s="56">
        <f t="shared" si="21"/>
        <v>8.1480699493051956E-7</v>
      </c>
      <c r="P78" s="56">
        <f t="shared" si="49"/>
        <v>6.1096684534477475E-6</v>
      </c>
      <c r="Q78" s="56">
        <f t="shared" si="50"/>
        <v>6.470796600530048E-5</v>
      </c>
      <c r="R78" s="9">
        <f t="shared" si="43"/>
        <v>3.9999999999999996E-5</v>
      </c>
      <c r="S78" s="9">
        <f t="shared" si="39"/>
        <v>1.299446141546378E-7</v>
      </c>
      <c r="T78" s="9">
        <f t="shared" si="40"/>
        <v>3.2406211683255683E-5</v>
      </c>
      <c r="U78" s="9">
        <f t="shared" si="41"/>
        <v>3.9870055385845361E-5</v>
      </c>
      <c r="V78" s="102">
        <f t="shared" si="42"/>
        <v>0.81279575284363692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1.8329595102905287</v>
      </c>
      <c r="K79" s="55">
        <f t="shared" si="46"/>
        <v>0.30633628596262807</v>
      </c>
      <c r="L79" s="55">
        <f t="shared" si="47"/>
        <v>1.1151289158311982E-2</v>
      </c>
      <c r="M79" s="55">
        <f t="shared" si="19"/>
        <v>0.98884871084168802</v>
      </c>
      <c r="N79" s="55">
        <f t="shared" si="48"/>
        <v>4.2816770510685376E-3</v>
      </c>
      <c r="O79" s="56">
        <f t="shared" si="21"/>
        <v>3.0809518995070483E-7</v>
      </c>
      <c r="P79" s="56">
        <f t="shared" si="49"/>
        <v>2.0972221135609402E-5</v>
      </c>
      <c r="Q79" s="56">
        <f t="shared" si="50"/>
        <v>2.8354038065628675E-4</v>
      </c>
      <c r="R79" s="9">
        <f t="shared" si="43"/>
        <v>3.9999999999999996E-5</v>
      </c>
      <c r="S79" s="9">
        <f t="shared" si="39"/>
        <v>4.4605156633247924E-7</v>
      </c>
      <c r="T79" s="9">
        <f t="shared" si="40"/>
        <v>1.2253451438505121E-5</v>
      </c>
      <c r="U79" s="9">
        <f t="shared" si="41"/>
        <v>3.9553948433667519E-5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4.6296168009876641</v>
      </c>
      <c r="K80" s="55">
        <f t="shared" si="46"/>
        <v>1.022546229885801E-3</v>
      </c>
      <c r="L80" s="55">
        <f t="shared" si="47"/>
        <v>2.3305953590380575E-2</v>
      </c>
      <c r="M80" s="55">
        <f t="shared" si="19"/>
        <v>0.97669404640961943</v>
      </c>
      <c r="N80" s="55">
        <f t="shared" si="48"/>
        <v>1.6844744047843609E-2</v>
      </c>
      <c r="O80" s="56">
        <f t="shared" si="21"/>
        <v>1.0284174267506687E-9</v>
      </c>
      <c r="P80" s="56">
        <f t="shared" si="49"/>
        <v>4.3831489394155349E-5</v>
      </c>
      <c r="Q80" s="56">
        <f t="shared" si="50"/>
        <v>1.1154893473788161E-3</v>
      </c>
      <c r="R80" s="9">
        <f t="shared" si="43"/>
        <v>3.9999999999999996E-5</v>
      </c>
      <c r="S80" s="9">
        <f t="shared" si="39"/>
        <v>9.3223814361522293E-7</v>
      </c>
      <c r="T80" s="9">
        <f t="shared" si="40"/>
        <v>4.0901849195432034E-8</v>
      </c>
      <c r="U80" s="9">
        <f t="shared" si="41"/>
        <v>3.9067761856384773E-5</v>
      </c>
      <c r="V80" s="102">
        <f t="shared" si="42"/>
        <v>1.0469463120459644E-3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2.0749419502288911</v>
      </c>
      <c r="K81" s="55">
        <f t="shared" si="46"/>
        <v>0.22264871698824701</v>
      </c>
      <c r="L81" s="55">
        <f t="shared" si="47"/>
        <v>1.414911484211075E-2</v>
      </c>
      <c r="M81" s="55">
        <f t="shared" si="19"/>
        <v>0.98585088515788921</v>
      </c>
      <c r="N81" s="55">
        <f t="shared" si="48"/>
        <v>7.2466562606484314E-3</v>
      </c>
      <c r="O81" s="56">
        <f t="shared" si="21"/>
        <v>2.2392710852785903E-7</v>
      </c>
      <c r="P81" s="56">
        <f t="shared" si="49"/>
        <v>2.6610229645125474E-5</v>
      </c>
      <c r="Q81" s="56">
        <f t="shared" si="50"/>
        <v>4.7988665425309057E-4</v>
      </c>
      <c r="R81" s="9">
        <f t="shared" si="43"/>
        <v>3.9999999999999996E-5</v>
      </c>
      <c r="S81" s="9">
        <f t="shared" si="39"/>
        <v>5.6596459368443E-7</v>
      </c>
      <c r="T81" s="9">
        <f t="shared" si="40"/>
        <v>8.9059486795298799E-6</v>
      </c>
      <c r="U81" s="9">
        <f t="shared" si="41"/>
        <v>3.9434035406315563E-5</v>
      </c>
      <c r="V81" s="102">
        <f t="shared" si="42"/>
        <v>0.22584421269002425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2.8845581821937589</v>
      </c>
      <c r="K82" s="55">
        <f t="shared" si="46"/>
        <v>4.7392490262971966E-2</v>
      </c>
      <c r="L82" s="55">
        <f t="shared" si="47"/>
        <v>1.9428301576911316E-2</v>
      </c>
      <c r="M82" s="55">
        <f t="shared" si="19"/>
        <v>0.98057169842308867</v>
      </c>
      <c r="N82" s="55">
        <f t="shared" si="48"/>
        <v>1.2023834616804707E-2</v>
      </c>
      <c r="O82" s="56">
        <f t="shared" si="21"/>
        <v>4.7664605725449686E-8</v>
      </c>
      <c r="P82" s="56">
        <f t="shared" si="49"/>
        <v>3.6538792167951558E-5</v>
      </c>
      <c r="Q82" s="56">
        <f t="shared" si="50"/>
        <v>7.9624002546998065E-4</v>
      </c>
      <c r="R82" s="9">
        <f t="shared" si="43"/>
        <v>3.9999999999999996E-5</v>
      </c>
      <c r="S82" s="9">
        <f t="shared" si="39"/>
        <v>7.7713206307645255E-7</v>
      </c>
      <c r="T82" s="9">
        <f t="shared" si="40"/>
        <v>1.8956996105188784E-6</v>
      </c>
      <c r="U82" s="9">
        <f t="shared" si="41"/>
        <v>3.9222867936923543E-5</v>
      </c>
      <c r="V82" s="102">
        <f t="shared" si="42"/>
        <v>4.8331489007062349E-2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2.2572305062802869</v>
      </c>
      <c r="K83" s="55">
        <f t="shared" si="46"/>
        <v>0.16111355356917509</v>
      </c>
      <c r="L83" s="55">
        <f t="shared" si="47"/>
        <v>1.5578645952846899E-2</v>
      </c>
      <c r="M83" s="55">
        <f t="shared" si="19"/>
        <v>0.98442135404715314</v>
      </c>
      <c r="N83" s="55">
        <f t="shared" si="48"/>
        <v>8.3159820114761564E-3</v>
      </c>
      <c r="O83" s="56">
        <f t="shared" si="21"/>
        <v>1.6203862606267856E-7</v>
      </c>
      <c r="P83" s="56">
        <f t="shared" si="49"/>
        <v>2.9298747730251542E-5</v>
      </c>
      <c r="Q83" s="56">
        <f t="shared" si="50"/>
        <v>5.506993350832799E-4</v>
      </c>
      <c r="R83" s="9">
        <f t="shared" si="43"/>
        <v>3.9999999999999996E-5</v>
      </c>
      <c r="S83" s="9">
        <f t="shared" si="39"/>
        <v>6.2314583811387591E-7</v>
      </c>
      <c r="T83" s="9">
        <f t="shared" si="40"/>
        <v>6.4445421427670032E-6</v>
      </c>
      <c r="U83" s="9">
        <f t="shared" si="41"/>
        <v>3.9376854161886123E-5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0.69048960682204896</v>
      </c>
      <c r="K84" s="55">
        <f t="shared" si="46"/>
        <v>0.87166627865384549</v>
      </c>
      <c r="L84" s="55">
        <f t="shared" si="47"/>
        <v>2.2856355193728414E-3</v>
      </c>
      <c r="M84" s="55">
        <f t="shared" si="19"/>
        <v>0.99771436448062711</v>
      </c>
      <c r="N84" s="55">
        <f t="shared" si="48"/>
        <v>5.7634789285031891E-4</v>
      </c>
      <c r="O84" s="56">
        <f t="shared" si="21"/>
        <v>8.7667116173186029E-7</v>
      </c>
      <c r="P84" s="56">
        <f t="shared" si="49"/>
        <v>4.2985930027615551E-6</v>
      </c>
      <c r="Q84" s="56">
        <f t="shared" si="50"/>
        <v>3.8166797490820919E-5</v>
      </c>
      <c r="R84" s="9">
        <f t="shared" si="43"/>
        <v>3.9999999999999996E-5</v>
      </c>
      <c r="S84" s="9">
        <f t="shared" si="39"/>
        <v>9.1425420774913652E-8</v>
      </c>
      <c r="T84" s="9">
        <f t="shared" si="40"/>
        <v>3.4866651146153816E-5</v>
      </c>
      <c r="U84" s="9">
        <f t="shared" si="41"/>
        <v>3.9908574579225078E-5</v>
      </c>
      <c r="V84" s="102">
        <f t="shared" si="42"/>
        <v>0.87366315419103191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0.61860589125383425</v>
      </c>
      <c r="J85" s="54">
        <f t="shared" si="45"/>
        <v>2.0521115161299051</v>
      </c>
      <c r="K85" s="55">
        <f t="shared" si="46"/>
        <v>0.23600129445892198</v>
      </c>
      <c r="L85" s="55">
        <f t="shared" si="47"/>
        <v>1.4229610931435112E-2</v>
      </c>
      <c r="M85" s="55">
        <f t="shared" si="19"/>
        <v>0.98577038906856485</v>
      </c>
      <c r="N85" s="55">
        <f t="shared" si="48"/>
        <v>7.5747769614743386E-3</v>
      </c>
      <c r="O85" s="56">
        <f t="shared" si="21"/>
        <v>2.3735635305640629E-7</v>
      </c>
      <c r="P85" s="56">
        <f t="shared" si="49"/>
        <v>2.6761618579794433E-5</v>
      </c>
      <c r="Q85" s="56">
        <f t="shared" si="50"/>
        <v>5.016153991592874E-4</v>
      </c>
      <c r="R85" s="9">
        <f t="shared" si="43"/>
        <v>3.9999999999999996E-5</v>
      </c>
      <c r="S85" s="9">
        <f t="shared" si="39"/>
        <v>5.6918443725740439E-7</v>
      </c>
      <c r="T85" s="9">
        <f t="shared" si="40"/>
        <v>9.4400517783568785E-6</v>
      </c>
      <c r="U85" s="9">
        <f t="shared" si="41"/>
        <v>3.9430815562742591E-5</v>
      </c>
      <c r="V85" s="102">
        <f t="shared" si="42"/>
        <v>0.23940797682299525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1.4369741370782525</v>
      </c>
      <c r="K86" s="55">
        <f t="shared" si="46"/>
        <v>0.54024253017209745</v>
      </c>
      <c r="L86" s="55">
        <f t="shared" si="47"/>
        <v>7.9018727616918857E-3</v>
      </c>
      <c r="M86" s="55">
        <f t="shared" si="19"/>
        <v>0.99209812723830815</v>
      </c>
      <c r="N86" s="55">
        <f t="shared" si="48"/>
        <v>3.3489929648710501E-3</v>
      </c>
      <c r="O86" s="56">
        <f t="shared" si="21"/>
        <v>5.4334446351917835E-7</v>
      </c>
      <c r="P86" s="56">
        <f t="shared" si="49"/>
        <v>1.4861046161656212E-5</v>
      </c>
      <c r="Q86" s="56">
        <f t="shared" si="50"/>
        <v>2.2177635742933659E-4</v>
      </c>
      <c r="R86" s="9">
        <f t="shared" si="43"/>
        <v>3.9999999999999996E-5</v>
      </c>
      <c r="S86" s="9">
        <f t="shared" si="39"/>
        <v>3.1607491046767539E-7</v>
      </c>
      <c r="T86" s="9">
        <f t="shared" si="40"/>
        <v>2.1609701206883894E-5</v>
      </c>
      <c r="U86" s="9">
        <f t="shared" si="41"/>
        <v>3.9683925089532321E-5</v>
      </c>
      <c r="V86" s="102">
        <f t="shared" si="42"/>
        <v>0.54454545910288554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3.8141757440305213</v>
      </c>
      <c r="K88" s="55">
        <f t="shared" si="46"/>
        <v>7.0879653886621692E-3</v>
      </c>
      <c r="L88" s="55">
        <f t="shared" si="47"/>
        <v>2.4709528403124542E-2</v>
      </c>
      <c r="M88" s="55">
        <f t="shared" si="19"/>
        <v>0.97529047159687543</v>
      </c>
      <c r="N88" s="55">
        <f t="shared" si="48"/>
        <v>1.8953745842304352E-2</v>
      </c>
      <c r="O88" s="56">
        <f t="shared" si="21"/>
        <v>7.1286626588216328E-9</v>
      </c>
      <c r="P88" s="56">
        <f t="shared" si="49"/>
        <v>4.6471191489163531E-5</v>
      </c>
      <c r="Q88" s="56">
        <f t="shared" si="50"/>
        <v>1.2551512519255305E-3</v>
      </c>
      <c r="R88" s="9">
        <f>F88*$C$14</f>
        <v>3.9999999999999996E-5</v>
      </c>
      <c r="S88" s="9">
        <f t="shared" si="39"/>
        <v>9.8838113612498152E-7</v>
      </c>
      <c r="T88" s="9">
        <f t="shared" si="40"/>
        <v>2.8351861554648675E-7</v>
      </c>
      <c r="U88" s="9">
        <f t="shared" si="41"/>
        <v>3.9011618863875012E-5</v>
      </c>
      <c r="V88" s="102">
        <f t="shared" si="42"/>
        <v>7.2675429475454719E-3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5.2586556180187021</v>
      </c>
      <c r="K89" s="55">
        <f t="shared" si="46"/>
        <v>2.9140365040739697E-4</v>
      </c>
      <c r="L89" s="55">
        <f t="shared" si="47"/>
        <v>2.8269474167592606E-2</v>
      </c>
      <c r="M89" s="55">
        <f t="shared" si="19"/>
        <v>0.97173052583240738</v>
      </c>
      <c r="N89" s="55">
        <f t="shared" si="48"/>
        <v>2.3949555225245611E-2</v>
      </c>
      <c r="O89" s="56">
        <f t="shared" si="21"/>
        <v>2.9307681505137982E-10</v>
      </c>
      <c r="P89" s="56">
        <f t="shared" si="49"/>
        <v>5.3166378811747709E-5</v>
      </c>
      <c r="Q89" s="56">
        <f t="shared" si="50"/>
        <v>1.5859827642582759E-3</v>
      </c>
      <c r="R89" s="9">
        <f>F89*$C$14</f>
        <v>3.9999999999999996E-5</v>
      </c>
      <c r="S89" s="9">
        <f t="shared" si="39"/>
        <v>1.1307789667037041E-6</v>
      </c>
      <c r="T89" s="9">
        <f t="shared" si="40"/>
        <v>1.1656146016295877E-8</v>
      </c>
      <c r="U89" s="9">
        <f t="shared" si="41"/>
        <v>3.886922103329629E-5</v>
      </c>
      <c r="V89" s="102">
        <f t="shared" si="42"/>
        <v>2.9988113233118176E-4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5.6292570490791167</v>
      </c>
      <c r="K90" s="55">
        <f t="shared" si="46"/>
        <v>1.311966357850156E-4</v>
      </c>
      <c r="L90" s="55">
        <f t="shared" si="47"/>
        <v>2.9877680056927036E-2</v>
      </c>
      <c r="M90" s="55">
        <f t="shared" si="19"/>
        <v>0.97012231994307296</v>
      </c>
      <c r="N90" s="55">
        <f t="shared" si="48"/>
        <v>2.6252771787849575E-2</v>
      </c>
      <c r="O90" s="56">
        <f t="shared" si="21"/>
        <v>1.3194993304844414E-10</v>
      </c>
      <c r="P90" s="56">
        <f t="shared" si="49"/>
        <v>5.6190930418641602E-5</v>
      </c>
      <c r="Q90" s="56">
        <f t="shared" si="50"/>
        <v>1.7385059212141737E-3</v>
      </c>
      <c r="R90" s="9">
        <f>F90*$C$14</f>
        <v>3.9999999999999996E-5</v>
      </c>
      <c r="S90" s="9">
        <f t="shared" si="39"/>
        <v>1.1951072022770813E-6</v>
      </c>
      <c r="T90" s="9">
        <f t="shared" si="40"/>
        <v>5.2478654314006233E-9</v>
      </c>
      <c r="U90" s="9">
        <f t="shared" si="41"/>
        <v>3.8804892797722914E-5</v>
      </c>
      <c r="V90" s="102">
        <f t="shared" si="42"/>
        <v>1.3523720987340467E-4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6.0519431364066163</v>
      </c>
      <c r="K91" s="55">
        <f t="shared" si="46"/>
        <v>5.2032456492723673E-5</v>
      </c>
      <c r="L91" s="55">
        <f t="shared" si="47"/>
        <v>3.136061642938294E-2</v>
      </c>
      <c r="M91" s="55">
        <f t="shared" si="19"/>
        <v>0.96863938357061707</v>
      </c>
      <c r="N91" s="55">
        <f t="shared" si="48"/>
        <v>2.8377673936831722E-2</v>
      </c>
      <c r="O91" s="56">
        <f t="shared" si="21"/>
        <v>5.2331213445224062E-11</v>
      </c>
      <c r="P91" s="56">
        <f t="shared" si="49"/>
        <v>5.8979887739329664E-5</v>
      </c>
      <c r="Q91" s="56">
        <f t="shared" si="50"/>
        <v>1.8792207759296641E-3</v>
      </c>
      <c r="R91" s="9">
        <f t="shared" ref="R91:R92" si="51">F91*$C$14</f>
        <v>3.9999999999999996E-5</v>
      </c>
      <c r="S91" s="9">
        <f t="shared" si="39"/>
        <v>1.2544246571753174E-6</v>
      </c>
      <c r="T91" s="9">
        <f t="shared" si="40"/>
        <v>2.0812982597089469E-9</v>
      </c>
      <c r="U91" s="9">
        <f t="shared" si="41"/>
        <v>3.8745575342824682E-5</v>
      </c>
      <c r="V91" s="102">
        <f t="shared" si="42"/>
        <v>5.3717056497249405E-5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7.3052603387083286</v>
      </c>
      <c r="K92" s="55">
        <f t="shared" si="46"/>
        <v>3.1249191923967059E-6</v>
      </c>
      <c r="L92" s="55">
        <f t="shared" si="47"/>
        <v>3.374941540644457E-2</v>
      </c>
      <c r="M92" s="55">
        <f t="shared" si="19"/>
        <v>0.96625058459355539</v>
      </c>
      <c r="N92" s="55">
        <f t="shared" si="48"/>
        <v>3.1801840560428063E-2</v>
      </c>
      <c r="O92" s="56">
        <f t="shared" si="21"/>
        <v>3.1428616728725403E-12</v>
      </c>
      <c r="P92" s="56">
        <f t="shared" si="49"/>
        <v>6.3472500179400073E-5</v>
      </c>
      <c r="Q92" s="56">
        <f t="shared" si="50"/>
        <v>2.1059752686915048E-3</v>
      </c>
      <c r="R92" s="9">
        <f t="shared" si="51"/>
        <v>3.9999999999999996E-5</v>
      </c>
      <c r="S92" s="9">
        <f t="shared" si="39"/>
        <v>1.3499766162577827E-6</v>
      </c>
      <c r="T92" s="9">
        <f t="shared" si="40"/>
        <v>1.2499676769586823E-10</v>
      </c>
      <c r="U92" s="9">
        <f t="shared" si="41"/>
        <v>3.8650023383742213E-5</v>
      </c>
      <c r="V92" s="102">
        <f t="shared" si="42"/>
        <v>3.2340670652335748E-6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1.3331589544646656</v>
      </c>
      <c r="K93" s="55">
        <f t="shared" si="46"/>
        <v>0.55768966186862989</v>
      </c>
      <c r="L93" s="55">
        <f t="shared" si="47"/>
        <v>6.4227153202921104E-3</v>
      </c>
      <c r="M93" s="55">
        <f t="shared" ref="M93:M127" si="52">IF(D93=0,"",1-L93)</f>
        <v>0.99357728467970785</v>
      </c>
      <c r="N93" s="55">
        <f t="shared" si="48"/>
        <v>1.5061840990787303E-3</v>
      </c>
      <c r="O93" s="56">
        <f t="shared" ref="O93:O127" si="53">IF(D93=0,"",F93*K93*$J$7/$J$14)</f>
        <v>5.6089177214847313E-7</v>
      </c>
      <c r="P93" s="56">
        <f t="shared" si="49"/>
        <v>1.2079195873764108E-5</v>
      </c>
      <c r="Q93" s="56">
        <f t="shared" si="50"/>
        <v>9.9742228967187314E-5</v>
      </c>
      <c r="R93" s="9">
        <f>F93*$C$14</f>
        <v>3.9999999999999996E-5</v>
      </c>
      <c r="S93" s="9">
        <f t="shared" si="39"/>
        <v>2.5690861281168439E-7</v>
      </c>
      <c r="T93" s="9">
        <f t="shared" si="40"/>
        <v>2.2307586474745194E-5</v>
      </c>
      <c r="U93" s="9">
        <f t="shared" si="41"/>
        <v>3.9743091387188312E-5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0.34270676047399878</v>
      </c>
      <c r="K107" s="55">
        <f t="shared" si="46"/>
        <v>0.95102583146580522</v>
      </c>
      <c r="L107" s="55">
        <f t="shared" si="47"/>
        <v>1.1196085291076499E-3</v>
      </c>
      <c r="M107" s="55">
        <f t="shared" si="52"/>
        <v>0.99888039147089236</v>
      </c>
      <c r="N107" s="55">
        <f t="shared" si="48"/>
        <v>1.6876787332746707E-4</v>
      </c>
      <c r="O107" s="56">
        <f t="shared" si="53"/>
        <v>9.5648637663913569E-7</v>
      </c>
      <c r="P107" s="56">
        <f t="shared" si="49"/>
        <v>2.1056469188818328E-6</v>
      </c>
      <c r="Q107" s="56">
        <f t="shared" si="50"/>
        <v>1.1176113115275684E-5</v>
      </c>
      <c r="R107" s="9">
        <f>F107*$C$14</f>
        <v>3.9999999999999996E-5</v>
      </c>
      <c r="S107" s="9">
        <f t="shared" ref="S107:S108" si="54">$R107*L107</f>
        <v>4.4784341164305987E-8</v>
      </c>
      <c r="T107" s="9">
        <f t="shared" ref="T107:T108" si="55">R107*K107</f>
        <v>3.8041033258632207E-5</v>
      </c>
      <c r="U107" s="9">
        <f t="shared" ref="U107:U108" si="56">$R107*M107</f>
        <v>3.9955215658835692E-5</v>
      </c>
      <c r="V107" s="102">
        <f t="shared" ref="V107:V108" si="57">K107/M107</f>
        <v>0.95209180156733342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1.0545652216525729</v>
      </c>
      <c r="K108" s="55">
        <f t="shared" si="46"/>
        <v>0.7274548549195855</v>
      </c>
      <c r="L108" s="55">
        <f t="shared" si="47"/>
        <v>4.4110135592579387E-3</v>
      </c>
      <c r="M108" s="55">
        <f t="shared" si="52"/>
        <v>0.99558898644074201</v>
      </c>
      <c r="N108" s="55">
        <f t="shared" si="48"/>
        <v>1.3262961568052242E-3</v>
      </c>
      <c r="O108" s="56">
        <f t="shared" si="53"/>
        <v>7.3163171317665779E-7</v>
      </c>
      <c r="P108" s="56">
        <f t="shared" si="49"/>
        <v>8.295789884344858E-6</v>
      </c>
      <c r="Q108" s="56">
        <f t="shared" si="50"/>
        <v>8.7829724820015099E-5</v>
      </c>
      <c r="R108" s="9">
        <f>F108*$C$14</f>
        <v>3.9999999999999996E-5</v>
      </c>
      <c r="S108" s="9">
        <f t="shared" si="54"/>
        <v>1.7644054237031753E-7</v>
      </c>
      <c r="T108" s="9">
        <f t="shared" si="55"/>
        <v>2.9098194196783418E-5</v>
      </c>
      <c r="U108" s="9">
        <f t="shared" si="56"/>
        <v>3.9823559457629679E-5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0.91157893214616048</v>
      </c>
      <c r="K114" s="55">
        <f t="shared" si="46"/>
        <v>0.79865871957315127</v>
      </c>
      <c r="L114" s="55">
        <f t="shared" si="47"/>
        <v>3.4842338379437541E-3</v>
      </c>
      <c r="M114" s="55">
        <f t="shared" si="52"/>
        <v>0.99651576616205628</v>
      </c>
      <c r="N114" s="55">
        <f t="shared" si="48"/>
        <v>1.1318156690542376E-3</v>
      </c>
      <c r="O114" s="56">
        <f t="shared" si="53"/>
        <v>8.0324441206646842E-7</v>
      </c>
      <c r="P114" s="56">
        <f t="shared" si="49"/>
        <v>6.5527959592961299E-6</v>
      </c>
      <c r="Q114" s="56">
        <f t="shared" si="50"/>
        <v>7.495087597891124E-5</v>
      </c>
      <c r="R114" s="9">
        <f>F114*$C$14</f>
        <v>3.9999999999999996E-5</v>
      </c>
      <c r="S114" s="9">
        <f t="shared" ref="S114:S116" si="58">$R114*L114</f>
        <v>1.3936935351775015E-7</v>
      </c>
      <c r="T114" s="9">
        <f t="shared" ref="T114:T116" si="59">R114*K114</f>
        <v>3.1946348782926045E-5</v>
      </c>
      <c r="U114" s="9">
        <f t="shared" ref="U114:U116" si="60">$R114*M114</f>
        <v>3.9860630646482248E-5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0.17110445915344102</v>
      </c>
      <c r="J115" s="54">
        <f t="shared" si="45"/>
        <v>1.1028450599696213</v>
      </c>
      <c r="K115" s="55">
        <f t="shared" si="46"/>
        <v>0.66783644685652832</v>
      </c>
      <c r="L115" s="55">
        <f t="shared" si="47"/>
        <v>4.5256639360167113E-3</v>
      </c>
      <c r="M115" s="55">
        <f t="shared" si="52"/>
        <v>0.99547433606398328</v>
      </c>
      <c r="N115" s="55">
        <f t="shared" si="48"/>
        <v>5.4094309476644231E-4</v>
      </c>
      <c r="O115" s="56">
        <f t="shared" si="53"/>
        <v>6.7167099158265403E-7</v>
      </c>
      <c r="P115" s="56">
        <f t="shared" si="49"/>
        <v>8.5114127617117901E-6</v>
      </c>
      <c r="Q115" s="56">
        <f t="shared" si="50"/>
        <v>3.5822227873349168E-5</v>
      </c>
      <c r="R115" s="9">
        <f>F115*$C$14</f>
        <v>3.9999999999999996E-5</v>
      </c>
      <c r="S115" s="9">
        <f t="shared" si="58"/>
        <v>1.8102655744066845E-7</v>
      </c>
      <c r="T115" s="9">
        <f t="shared" si="59"/>
        <v>2.671345787426113E-5</v>
      </c>
      <c r="U115" s="9">
        <f t="shared" si="60"/>
        <v>3.9818973442559325E-5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0.11509261890443816</v>
      </c>
      <c r="K116" s="55">
        <f t="shared" si="46"/>
        <v>0.98093705257737318</v>
      </c>
      <c r="L116" s="55">
        <f t="shared" si="47"/>
        <v>6.8375557864087532E-4</v>
      </c>
      <c r="M116" s="55">
        <f t="shared" si="52"/>
        <v>0.99931624442135913</v>
      </c>
      <c r="N116" s="55">
        <f t="shared" si="48"/>
        <v>2.0354554613020137E-5</v>
      </c>
      <c r="O116" s="56">
        <f t="shared" si="53"/>
        <v>9.8656934027195302E-7</v>
      </c>
      <c r="P116" s="56">
        <f t="shared" si="49"/>
        <v>1.2859386026479553E-6</v>
      </c>
      <c r="Q116" s="56">
        <f t="shared" si="50"/>
        <v>1.347915336497555E-6</v>
      </c>
      <c r="R116" s="9">
        <f>F116*$C$14</f>
        <v>3.9999999999999996E-5</v>
      </c>
      <c r="S116" s="9">
        <f t="shared" si="58"/>
        <v>2.7350223145635012E-8</v>
      </c>
      <c r="T116" s="9">
        <f t="shared" si="59"/>
        <v>3.9237482103094924E-5</v>
      </c>
      <c r="U116" s="9">
        <f t="shared" si="60"/>
        <v>3.9972649776854362E-5</v>
      </c>
      <c r="V116" s="102">
        <f t="shared" si="61"/>
        <v>0.98160823268250963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3.0017856440507846</v>
      </c>
      <c r="K119" s="55">
        <f t="shared" si="46"/>
        <v>3.5032927402854665E-2</v>
      </c>
      <c r="L119" s="55">
        <f t="shared" si="47"/>
        <v>1.8811749962528004E-2</v>
      </c>
      <c r="M119" s="55">
        <f t="shared" si="52"/>
        <v>0.98118825003747201</v>
      </c>
      <c r="N119" s="55">
        <f t="shared" si="48"/>
        <v>1.0942962064088683E-2</v>
      </c>
      <c r="O119" s="56">
        <f t="shared" si="53"/>
        <v>3.5234077441379318E-8</v>
      </c>
      <c r="P119" s="56">
        <f t="shared" si="49"/>
        <v>3.5379244010353516E-5</v>
      </c>
      <c r="Q119" s="56">
        <f t="shared" si="50"/>
        <v>7.2466269458241388E-4</v>
      </c>
      <c r="R119" s="9">
        <f>F119*$C$14</f>
        <v>3.9999999999999996E-5</v>
      </c>
      <c r="S119" s="9">
        <f t="shared" ref="S119:S121" si="62">$R119*L119</f>
        <v>7.5246999850112016E-7</v>
      </c>
      <c r="T119" s="9">
        <f t="shared" ref="T119:T121" si="63">R119*K119</f>
        <v>1.4013170961141864E-6</v>
      </c>
      <c r="U119" s="9">
        <f t="shared" ref="U119:U121" si="64">$R119*M119</f>
        <v>3.9247530001498878E-5</v>
      </c>
      <c r="V119" s="102">
        <f t="shared" ref="V119:V121" si="65">K119/M119</f>
        <v>3.5704593284231381E-2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1.2179102287878116</v>
      </c>
      <c r="K120" s="55">
        <f t="shared" si="46"/>
        <v>0.63560872596674711</v>
      </c>
      <c r="L120" s="55">
        <f t="shared" si="47"/>
        <v>5.613932726926266E-3</v>
      </c>
      <c r="M120" s="55">
        <f t="shared" si="52"/>
        <v>0.99438606727307377</v>
      </c>
      <c r="N120" s="55">
        <f t="shared" si="48"/>
        <v>1.5878567345184343E-3</v>
      </c>
      <c r="O120" s="56">
        <f t="shared" si="53"/>
        <v>6.392582274270334E-7</v>
      </c>
      <c r="P120" s="56">
        <f t="shared" si="49"/>
        <v>1.0558119058528176E-5</v>
      </c>
      <c r="Q120" s="56">
        <f t="shared" si="50"/>
        <v>1.051507382651963E-4</v>
      </c>
      <c r="R120" s="9">
        <f>F120*$C$14</f>
        <v>3.9999999999999996E-5</v>
      </c>
      <c r="S120" s="9">
        <f t="shared" si="62"/>
        <v>2.2455730907705062E-7</v>
      </c>
      <c r="T120" s="9">
        <f t="shared" si="63"/>
        <v>2.5424349038669884E-5</v>
      </c>
      <c r="U120" s="9">
        <f t="shared" si="64"/>
        <v>3.9775442690922946E-5</v>
      </c>
      <c r="V120" s="102">
        <f t="shared" si="65"/>
        <v>0.63919713568573078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3.5006702519024278</v>
      </c>
      <c r="K121" s="55">
        <f t="shared" si="46"/>
        <v>9.9093067190885523E-3</v>
      </c>
      <c r="L121" s="55">
        <f t="shared" si="47"/>
        <v>1.6783427140591636E-2</v>
      </c>
      <c r="M121" s="55">
        <f t="shared" si="52"/>
        <v>0.98321657285940833</v>
      </c>
      <c r="N121" s="55">
        <f t="shared" si="48"/>
        <v>7.6346254503146709E-3</v>
      </c>
      <c r="O121" s="56">
        <f t="shared" si="53"/>
        <v>9.9662034038952845E-9</v>
      </c>
      <c r="P121" s="56">
        <f t="shared" si="49"/>
        <v>3.1564578804192541E-5</v>
      </c>
      <c r="Q121" s="56">
        <f t="shared" si="50"/>
        <v>5.0557867408756725E-4</v>
      </c>
      <c r="R121" s="9">
        <f>F121*$C$14</f>
        <v>3.9999999999999996E-5</v>
      </c>
      <c r="S121" s="9">
        <f t="shared" si="62"/>
        <v>6.7133708562366537E-7</v>
      </c>
      <c r="T121" s="9">
        <f t="shared" si="63"/>
        <v>3.9637226876354204E-7</v>
      </c>
      <c r="U121" s="9">
        <f t="shared" si="64"/>
        <v>3.9328662914376327E-5</v>
      </c>
      <c r="V121" s="102">
        <f t="shared" si="65"/>
        <v>1.0078457780944565E-2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2.150257268427175</v>
      </c>
      <c r="K124" s="55">
        <f t="shared" si="68"/>
        <v>0.2041468371256123</v>
      </c>
      <c r="L124" s="55">
        <f t="shared" si="69"/>
        <v>1.5430039884246214E-2</v>
      </c>
      <c r="M124" s="55">
        <f t="shared" si="52"/>
        <v>0.98456996011575382</v>
      </c>
      <c r="N124" s="55">
        <f t="shared" si="70"/>
        <v>8.7884466412638581E-3</v>
      </c>
      <c r="O124" s="56">
        <f t="shared" si="53"/>
        <v>2.0531899564038025E-7</v>
      </c>
      <c r="P124" s="56">
        <f t="shared" si="71"/>
        <v>2.9019264408768102E-5</v>
      </c>
      <c r="Q124" s="56">
        <f t="shared" si="72"/>
        <v>5.8198679543557455E-4</v>
      </c>
      <c r="R124" s="9">
        <f>F124*$C$14</f>
        <v>3.9999999999999996E-5</v>
      </c>
      <c r="S124" s="9">
        <f t="shared" ref="S124:S127" si="73">$R124*L124</f>
        <v>6.1720159536984853E-7</v>
      </c>
      <c r="T124" s="9">
        <f t="shared" ref="T124:T127" si="74">R124*K124</f>
        <v>8.1658734850244914E-6</v>
      </c>
      <c r="U124" s="9">
        <f t="shared" ref="U124:U127" si="75">$R124*M124</f>
        <v>3.9382798404630153E-5</v>
      </c>
      <c r="V124" s="102">
        <f t="shared" ref="V124:V127" si="76">K124/M124</f>
        <v>0.20734619721854117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1.5580178961312285</v>
      </c>
      <c r="K126" s="55">
        <f t="shared" si="68"/>
        <v>0.44777917910368636</v>
      </c>
      <c r="L126" s="55">
        <f t="shared" si="69"/>
        <v>8.6546381837458979E-3</v>
      </c>
      <c r="M126" s="55">
        <f t="shared" si="52"/>
        <v>0.9913453618162541</v>
      </c>
      <c r="N126" s="55">
        <f t="shared" si="70"/>
        <v>2.955312157393415E-3</v>
      </c>
      <c r="O126" s="56">
        <f t="shared" si="53"/>
        <v>4.5035021172369826E-7</v>
      </c>
      <c r="P126" s="56">
        <f t="shared" si="71"/>
        <v>1.627677152492416E-5</v>
      </c>
      <c r="Q126" s="56">
        <f t="shared" si="72"/>
        <v>1.9570610395671051E-4</v>
      </c>
      <c r="R126" s="9">
        <f>F126*$C$14</f>
        <v>3.9999999999999996E-5</v>
      </c>
      <c r="S126" s="9">
        <f t="shared" si="73"/>
        <v>3.4618552734983586E-7</v>
      </c>
      <c r="T126" s="9">
        <f t="shared" si="74"/>
        <v>1.7911167164147452E-5</v>
      </c>
      <c r="U126" s="9">
        <f t="shared" si="75"/>
        <v>3.9653814472650159E-5</v>
      </c>
      <c r="V126" s="102">
        <f t="shared" si="76"/>
        <v>0.45168837859220473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1.3441931174444362E-2</v>
      </c>
      <c r="K127" s="55">
        <f t="shared" si="68"/>
        <v>0.99302660570673751</v>
      </c>
      <c r="L127" s="55">
        <f t="shared" si="69"/>
        <v>5.47734302742112E-4</v>
      </c>
      <c r="M127" s="55">
        <f t="shared" si="52"/>
        <v>0.99945226569725787</v>
      </c>
      <c r="N127" s="55">
        <f t="shared" si="70"/>
        <v>1.7922778973814945E-5</v>
      </c>
      <c r="O127" s="56">
        <f t="shared" si="53"/>
        <v>9.9872830849899817E-7</v>
      </c>
      <c r="P127" s="56">
        <f t="shared" si="71"/>
        <v>1.0301234913367872E-6</v>
      </c>
      <c r="Q127" s="56">
        <f t="shared" si="72"/>
        <v>1.1868787655028203E-6</v>
      </c>
      <c r="R127" s="9">
        <f>F127*$C$14</f>
        <v>3.9999999999999996E-5</v>
      </c>
      <c r="S127" s="9">
        <f t="shared" si="73"/>
        <v>2.1909372109684477E-8</v>
      </c>
      <c r="T127" s="9">
        <f t="shared" si="74"/>
        <v>3.9721064228269494E-5</v>
      </c>
      <c r="U127" s="9">
        <f t="shared" si="75"/>
        <v>3.9978090627890313E-5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0.33678734695500601</v>
      </c>
      <c r="K130" s="55">
        <f t="shared" si="79"/>
        <v>0.94760742620805849</v>
      </c>
      <c r="L130" s="55">
        <f t="shared" si="80"/>
        <v>1.1004819583587135E-3</v>
      </c>
      <c r="M130" s="55">
        <f t="shared" si="81"/>
        <v>0.99889951804164123</v>
      </c>
      <c r="N130" s="55">
        <f t="shared" si="82"/>
        <v>8.6889224297573124E-5</v>
      </c>
      <c r="O130" s="56">
        <f t="shared" si="83"/>
        <v>9.5304834377957932E-7</v>
      </c>
      <c r="P130" s="56">
        <f t="shared" si="84"/>
        <v>2.0696755916551888E-6</v>
      </c>
      <c r="Q130" s="56">
        <f t="shared" si="85"/>
        <v>5.7539612255704891E-6</v>
      </c>
      <c r="R130" s="9">
        <f>F130*$C$14</f>
        <v>3.9999999999999996E-5</v>
      </c>
      <c r="S130" s="9">
        <f t="shared" ref="S130:S131" si="86">$R130*L130</f>
        <v>4.4019278334348536E-8</v>
      </c>
      <c r="T130" s="9">
        <f t="shared" ref="T130:T131" si="87">R130*K130</f>
        <v>3.7904297048322336E-5</v>
      </c>
      <c r="U130" s="9">
        <f t="shared" ref="U130:U131" si="88">$R130*M130</f>
        <v>3.9955980721665647E-5</v>
      </c>
      <c r="V130" s="102">
        <f t="shared" ref="V130:V131" si="89">K130/M130</f>
        <v>0.94865139995848458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-1.6886993788656414E-2</v>
      </c>
      <c r="K131" s="55">
        <f t="shared" si="79"/>
        <v>0.99564706613037379</v>
      </c>
      <c r="L131" s="55">
        <f t="shared" si="80"/>
        <v>5.121362876427042E-4</v>
      </c>
      <c r="M131" s="55">
        <f t="shared" si="81"/>
        <v>0.99948786371235732</v>
      </c>
      <c r="N131" s="55">
        <f t="shared" si="82"/>
        <v>8.6285115124073474E-6</v>
      </c>
      <c r="O131" s="56">
        <f t="shared" si="83"/>
        <v>1.0013638149308971E-6</v>
      </c>
      <c r="P131" s="56">
        <f t="shared" si="84"/>
        <v>9.6317433110475564E-7</v>
      </c>
      <c r="Q131" s="56">
        <f t="shared" si="85"/>
        <v>5.7139560259795261E-7</v>
      </c>
      <c r="R131" s="9">
        <f>F131*$C$14</f>
        <v>3.9999999999999996E-5</v>
      </c>
      <c r="S131" s="9">
        <f t="shared" si="86"/>
        <v>2.0485451505708166E-8</v>
      </c>
      <c r="T131" s="9">
        <f t="shared" si="87"/>
        <v>3.9825882645214945E-5</v>
      </c>
      <c r="U131" s="9">
        <f t="shared" si="88"/>
        <v>3.9979514548494292E-5</v>
      </c>
      <c r="V131" s="102">
        <f t="shared" si="89"/>
        <v>0.99615723439830695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293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2024-10-28T22:56:03Z</dcterms:modified>
</cp:coreProperties>
</file>