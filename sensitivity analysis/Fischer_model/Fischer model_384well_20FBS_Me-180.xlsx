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Paper writing\R1\Sens_R\Fischer\384well_1um\"/>
    </mc:Choice>
  </mc:AlternateContent>
  <xr:revisionPtr revIDLastSave="0" documentId="13_ncr:1_{E1FCD51F-36AF-43CD-9E2D-F565A3BC1D57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43" i="4" l="1"/>
  <c r="R143" i="4"/>
  <c r="U143" i="4" s="1"/>
  <c r="V142" i="4"/>
  <c r="R142" i="4"/>
  <c r="U142" i="4" s="1"/>
  <c r="V141" i="4"/>
  <c r="U141" i="4"/>
  <c r="S141" i="4"/>
  <c r="R141" i="4"/>
  <c r="T141" i="4" s="1"/>
  <c r="V140" i="4"/>
  <c r="U140" i="4"/>
  <c r="R140" i="4"/>
  <c r="T140" i="4" s="1"/>
  <c r="V139" i="4"/>
  <c r="U139" i="4"/>
  <c r="T139" i="4"/>
  <c r="S139" i="4"/>
  <c r="R139" i="4"/>
  <c r="V138" i="4"/>
  <c r="T138" i="4"/>
  <c r="S138" i="4"/>
  <c r="R138" i="4"/>
  <c r="U138" i="4" s="1"/>
  <c r="V137" i="4"/>
  <c r="R137" i="4"/>
  <c r="S137" i="4" s="1"/>
  <c r="V136" i="4"/>
  <c r="R136" i="4"/>
  <c r="U136" i="4" s="1"/>
  <c r="V135" i="4"/>
  <c r="R135" i="4"/>
  <c r="U135" i="4" s="1"/>
  <c r="V134" i="4"/>
  <c r="U134" i="4"/>
  <c r="T134" i="4"/>
  <c r="R134" i="4"/>
  <c r="S134" i="4" s="1"/>
  <c r="V133" i="4"/>
  <c r="U133" i="4"/>
  <c r="T133" i="4"/>
  <c r="S133" i="4"/>
  <c r="R133" i="4"/>
  <c r="V132" i="4"/>
  <c r="S132" i="4"/>
  <c r="R132" i="4"/>
  <c r="U132" i="4" s="1"/>
  <c r="V131" i="4"/>
  <c r="R131" i="4"/>
  <c r="U131" i="4" s="1"/>
  <c r="V130" i="4"/>
  <c r="R130" i="4"/>
  <c r="V129" i="4"/>
  <c r="U129" i="4"/>
  <c r="S129" i="4"/>
  <c r="R129" i="4"/>
  <c r="T129" i="4" s="1"/>
  <c r="V128" i="4"/>
  <c r="U128" i="4"/>
  <c r="R128" i="4"/>
  <c r="T128" i="4" s="1"/>
  <c r="V127" i="4"/>
  <c r="U127" i="4"/>
  <c r="T127" i="4"/>
  <c r="S127" i="4"/>
  <c r="R127" i="4"/>
  <c r="V126" i="4"/>
  <c r="T126" i="4"/>
  <c r="S126" i="4"/>
  <c r="R126" i="4"/>
  <c r="U126" i="4" s="1"/>
  <c r="V125" i="4"/>
  <c r="R125" i="4"/>
  <c r="V124" i="4"/>
  <c r="R124" i="4"/>
  <c r="U124" i="4" s="1"/>
  <c r="V123" i="4"/>
  <c r="R123" i="4"/>
  <c r="U123" i="4" s="1"/>
  <c r="V122" i="4"/>
  <c r="U122" i="4"/>
  <c r="T122" i="4"/>
  <c r="R122" i="4"/>
  <c r="S122" i="4" s="1"/>
  <c r="V121" i="4"/>
  <c r="U121" i="4"/>
  <c r="T121" i="4"/>
  <c r="S121" i="4"/>
  <c r="R121" i="4"/>
  <c r="V120" i="4"/>
  <c r="S120" i="4"/>
  <c r="R120" i="4"/>
  <c r="V119" i="4"/>
  <c r="R119" i="4"/>
  <c r="U119" i="4" s="1"/>
  <c r="V118" i="4"/>
  <c r="R118" i="4"/>
  <c r="V117" i="4"/>
  <c r="U117" i="4"/>
  <c r="S117" i="4"/>
  <c r="R117" i="4"/>
  <c r="T117" i="4" s="1"/>
  <c r="V116" i="4"/>
  <c r="U116" i="4"/>
  <c r="T116" i="4"/>
  <c r="R116" i="4"/>
  <c r="S116" i="4" s="1"/>
  <c r="V115" i="4"/>
  <c r="U115" i="4"/>
  <c r="T115" i="4"/>
  <c r="S115" i="4"/>
  <c r="R115" i="4"/>
  <c r="V114" i="4"/>
  <c r="T114" i="4"/>
  <c r="S114" i="4"/>
  <c r="R114" i="4"/>
  <c r="U114" i="4" s="1"/>
  <c r="V113" i="4"/>
  <c r="S113" i="4"/>
  <c r="R113" i="4"/>
  <c r="V112" i="4"/>
  <c r="R112" i="4"/>
  <c r="U112" i="4" s="1"/>
  <c r="V111" i="4"/>
  <c r="R111" i="4"/>
  <c r="U111" i="4" s="1"/>
  <c r="V110" i="4"/>
  <c r="U110" i="4"/>
  <c r="T110" i="4"/>
  <c r="R110" i="4"/>
  <c r="S110" i="4" s="1"/>
  <c r="V109" i="4"/>
  <c r="U109" i="4"/>
  <c r="T109" i="4"/>
  <c r="S109" i="4"/>
  <c r="R109" i="4"/>
  <c r="V108" i="4"/>
  <c r="R108" i="4"/>
  <c r="U108" i="4" s="1"/>
  <c r="R107" i="4"/>
  <c r="V106" i="4"/>
  <c r="T106" i="4"/>
  <c r="S106" i="4"/>
  <c r="R106" i="4"/>
  <c r="U106" i="4" s="1"/>
  <c r="V105" i="4"/>
  <c r="R105" i="4"/>
  <c r="V104" i="4"/>
  <c r="R104" i="4"/>
  <c r="U104" i="4" s="1"/>
  <c r="V103" i="4"/>
  <c r="R103" i="4"/>
  <c r="U103" i="4" s="1"/>
  <c r="V102" i="4"/>
  <c r="U102" i="4"/>
  <c r="T102" i="4"/>
  <c r="R102" i="4"/>
  <c r="S102" i="4" s="1"/>
  <c r="V101" i="4"/>
  <c r="U101" i="4"/>
  <c r="T101" i="4"/>
  <c r="S101" i="4"/>
  <c r="R101" i="4"/>
  <c r="R100" i="4"/>
  <c r="V99" i="4"/>
  <c r="U99" i="4"/>
  <c r="T99" i="4"/>
  <c r="S99" i="4"/>
  <c r="R99" i="4"/>
  <c r="V98" i="4"/>
  <c r="T98" i="4"/>
  <c r="S98" i="4"/>
  <c r="R98" i="4"/>
  <c r="U98" i="4" s="1"/>
  <c r="R97" i="4"/>
  <c r="V96" i="4"/>
  <c r="R96" i="4"/>
  <c r="U96" i="4" s="1"/>
  <c r="V95" i="4"/>
  <c r="R95" i="4"/>
  <c r="U95" i="4" s="1"/>
  <c r="V94" i="4"/>
  <c r="R94" i="4"/>
  <c r="V93" i="4"/>
  <c r="U93" i="4"/>
  <c r="S93" i="4"/>
  <c r="R93" i="4"/>
  <c r="T93" i="4" s="1"/>
  <c r="V92" i="4"/>
  <c r="U92" i="4"/>
  <c r="T92" i="4"/>
  <c r="R92" i="4"/>
  <c r="S92" i="4" s="1"/>
  <c r="V91" i="4"/>
  <c r="U91" i="4"/>
  <c r="T91" i="4"/>
  <c r="S91" i="4"/>
  <c r="R91" i="4"/>
  <c r="V90" i="4"/>
  <c r="T90" i="4"/>
  <c r="S90" i="4"/>
  <c r="R90" i="4"/>
  <c r="U90" i="4" s="1"/>
  <c r="V89" i="4"/>
  <c r="R89" i="4"/>
  <c r="S89" i="4" s="1"/>
  <c r="V88" i="4"/>
  <c r="R88" i="4"/>
  <c r="U88" i="4" s="1"/>
  <c r="V87" i="4"/>
  <c r="R87" i="4"/>
  <c r="U87" i="4" s="1"/>
  <c r="V86" i="4"/>
  <c r="U86" i="4"/>
  <c r="T86" i="4"/>
  <c r="R86" i="4"/>
  <c r="S86" i="4" s="1"/>
  <c r="V85" i="4"/>
  <c r="U85" i="4"/>
  <c r="T85" i="4"/>
  <c r="S85" i="4"/>
  <c r="R85" i="4"/>
  <c r="V84" i="4"/>
  <c r="S84" i="4"/>
  <c r="R84" i="4"/>
  <c r="U84" i="4" s="1"/>
  <c r="V83" i="4"/>
  <c r="R83" i="4"/>
  <c r="U83" i="4" s="1"/>
  <c r="V82" i="4"/>
  <c r="R82" i="4"/>
  <c r="V81" i="4"/>
  <c r="U81" i="4"/>
  <c r="S81" i="4"/>
  <c r="R81" i="4"/>
  <c r="T81" i="4" s="1"/>
  <c r="V80" i="4"/>
  <c r="U80" i="4"/>
  <c r="T80" i="4"/>
  <c r="R80" i="4"/>
  <c r="S80" i="4" s="1"/>
  <c r="V79" i="4"/>
  <c r="U79" i="4"/>
  <c r="T79" i="4"/>
  <c r="S79" i="4"/>
  <c r="R79" i="4"/>
  <c r="V78" i="4"/>
  <c r="T78" i="4"/>
  <c r="S78" i="4"/>
  <c r="R78" i="4"/>
  <c r="U78" i="4" s="1"/>
  <c r="V77" i="4"/>
  <c r="S77" i="4"/>
  <c r="R77" i="4"/>
  <c r="V76" i="4"/>
  <c r="R76" i="4"/>
  <c r="U76" i="4" s="1"/>
  <c r="V75" i="4"/>
  <c r="R75" i="4"/>
  <c r="U75" i="4" s="1"/>
  <c r="V74" i="4"/>
  <c r="U74" i="4"/>
  <c r="T74" i="4"/>
  <c r="R74" i="4"/>
  <c r="S74" i="4" s="1"/>
  <c r="V73" i="4"/>
  <c r="U73" i="4"/>
  <c r="T73" i="4"/>
  <c r="S73" i="4"/>
  <c r="R73" i="4"/>
  <c r="V72" i="4"/>
  <c r="R72" i="4"/>
  <c r="U72" i="4" s="1"/>
  <c r="V71" i="4"/>
  <c r="U71" i="4"/>
  <c r="S71" i="4"/>
  <c r="R71" i="4"/>
  <c r="T71" i="4" s="1"/>
  <c r="V70" i="4"/>
  <c r="R70" i="4"/>
  <c r="V69" i="4"/>
  <c r="U69" i="4"/>
  <c r="S69" i="4"/>
  <c r="R69" i="4"/>
  <c r="T69" i="4" s="1"/>
  <c r="V68" i="4"/>
  <c r="U68" i="4"/>
  <c r="T68" i="4"/>
  <c r="R68" i="4"/>
  <c r="S68" i="4" s="1"/>
  <c r="V67" i="4"/>
  <c r="U67" i="4"/>
  <c r="T67" i="4"/>
  <c r="S67" i="4"/>
  <c r="R67" i="4"/>
  <c r="V66" i="4"/>
  <c r="T66" i="4"/>
  <c r="S66" i="4"/>
  <c r="R66" i="4"/>
  <c r="U66" i="4" s="1"/>
  <c r="V65" i="4"/>
  <c r="R65" i="4"/>
  <c r="S65" i="4" s="1"/>
  <c r="V64" i="4"/>
  <c r="T64" i="4"/>
  <c r="R64" i="4"/>
  <c r="U64" i="4" s="1"/>
  <c r="V63" i="4"/>
  <c r="R63" i="4"/>
  <c r="U63" i="4" s="1"/>
  <c r="V62" i="4"/>
  <c r="U62" i="4"/>
  <c r="T62" i="4"/>
  <c r="R62" i="4"/>
  <c r="S62" i="4" s="1"/>
  <c r="V61" i="4"/>
  <c r="U61" i="4"/>
  <c r="T61" i="4"/>
  <c r="S61" i="4"/>
  <c r="R61" i="4"/>
  <c r="V60" i="4"/>
  <c r="R60" i="4"/>
  <c r="U60" i="4" s="1"/>
  <c r="V59" i="4"/>
  <c r="R59" i="4"/>
  <c r="U59" i="4" s="1"/>
  <c r="V58" i="4"/>
  <c r="R58" i="4"/>
  <c r="V57" i="4"/>
  <c r="U57" i="4"/>
  <c r="S57" i="4"/>
  <c r="R57" i="4"/>
  <c r="T57" i="4" s="1"/>
  <c r="V56" i="4"/>
  <c r="U56" i="4"/>
  <c r="T56" i="4"/>
  <c r="R56" i="4"/>
  <c r="S56" i="4" s="1"/>
  <c r="V55" i="4"/>
  <c r="U55" i="4"/>
  <c r="T55" i="4"/>
  <c r="S55" i="4"/>
  <c r="R55" i="4"/>
  <c r="V54" i="4"/>
  <c r="T54" i="4"/>
  <c r="S54" i="4"/>
  <c r="R54" i="4"/>
  <c r="U54" i="4" s="1"/>
  <c r="V53" i="4"/>
  <c r="R53" i="4"/>
  <c r="V52" i="4"/>
  <c r="T52" i="4"/>
  <c r="R52" i="4"/>
  <c r="U52" i="4" s="1"/>
  <c r="V51" i="4"/>
  <c r="R51" i="4"/>
  <c r="U51" i="4" s="1"/>
  <c r="V50" i="4"/>
  <c r="U50" i="4"/>
  <c r="T50" i="4"/>
  <c r="R50" i="4"/>
  <c r="S50" i="4" s="1"/>
  <c r="V49" i="4"/>
  <c r="U49" i="4"/>
  <c r="T49" i="4"/>
  <c r="S49" i="4"/>
  <c r="R49" i="4"/>
  <c r="V48" i="4"/>
  <c r="R48" i="4"/>
  <c r="U48" i="4" s="1"/>
  <c r="V47" i="4"/>
  <c r="R47" i="4"/>
  <c r="U47" i="4" s="1"/>
  <c r="V46" i="4"/>
  <c r="R46" i="4"/>
  <c r="V45" i="4"/>
  <c r="U45" i="4"/>
  <c r="S45" i="4"/>
  <c r="R45" i="4"/>
  <c r="T45" i="4" s="1"/>
  <c r="V44" i="4"/>
  <c r="U44" i="4"/>
  <c r="T44" i="4"/>
  <c r="R44" i="4"/>
  <c r="S44" i="4" s="1"/>
  <c r="V43" i="4"/>
  <c r="U43" i="4"/>
  <c r="T43" i="4"/>
  <c r="S43" i="4"/>
  <c r="R43" i="4"/>
  <c r="V42" i="4"/>
  <c r="T42" i="4"/>
  <c r="S42" i="4"/>
  <c r="R42" i="4"/>
  <c r="U42" i="4" s="1"/>
  <c r="V41" i="4"/>
  <c r="R41" i="4"/>
  <c r="V40" i="4"/>
  <c r="R40" i="4"/>
  <c r="U40" i="4" s="1"/>
  <c r="V39" i="4"/>
  <c r="R39" i="4"/>
  <c r="U39" i="4" s="1"/>
  <c r="V38" i="4"/>
  <c r="U38" i="4"/>
  <c r="T38" i="4"/>
  <c r="R38" i="4"/>
  <c r="S38" i="4" s="1"/>
  <c r="V37" i="4"/>
  <c r="U37" i="4"/>
  <c r="T37" i="4"/>
  <c r="S37" i="4"/>
  <c r="R37" i="4"/>
  <c r="V36" i="4"/>
  <c r="S36" i="4"/>
  <c r="R36" i="4"/>
  <c r="U36" i="4" s="1"/>
  <c r="V35" i="4"/>
  <c r="R35" i="4"/>
  <c r="U35" i="4" s="1"/>
  <c r="V34" i="4"/>
  <c r="R34" i="4"/>
  <c r="V33" i="4"/>
  <c r="U33" i="4"/>
  <c r="S33" i="4"/>
  <c r="R33" i="4"/>
  <c r="T33" i="4" s="1"/>
  <c r="V32" i="4"/>
  <c r="U32" i="4"/>
  <c r="T32" i="4"/>
  <c r="R32" i="4"/>
  <c r="S32" i="4" s="1"/>
  <c r="V31" i="4"/>
  <c r="U31" i="4"/>
  <c r="T31" i="4"/>
  <c r="S31" i="4"/>
  <c r="R31" i="4"/>
  <c r="V30" i="4"/>
  <c r="T30" i="4"/>
  <c r="S30" i="4"/>
  <c r="R30" i="4"/>
  <c r="U30" i="4" s="1"/>
  <c r="V29" i="4"/>
  <c r="S29" i="4"/>
  <c r="R29" i="4"/>
  <c r="V28" i="4"/>
  <c r="R28" i="4"/>
  <c r="U28" i="4" s="1"/>
  <c r="I135" i="4"/>
  <c r="J135" i="4"/>
  <c r="K135" i="4" s="1"/>
  <c r="O135" i="4" s="1"/>
  <c r="P135" i="4" s="1"/>
  <c r="L135" i="4"/>
  <c r="M135" i="4"/>
  <c r="N135" i="4"/>
  <c r="Q135" i="4"/>
  <c r="I136" i="4"/>
  <c r="L136" i="4" s="1"/>
  <c r="M136" i="4" s="1"/>
  <c r="J136" i="4"/>
  <c r="K136" i="4"/>
  <c r="O136" i="4" s="1"/>
  <c r="P136" i="4" s="1"/>
  <c r="I137" i="4"/>
  <c r="N137" i="4" s="1"/>
  <c r="Q137" i="4" s="1"/>
  <c r="J137" i="4"/>
  <c r="K137" i="4"/>
  <c r="O137" i="4" s="1"/>
  <c r="P137" i="4" s="1"/>
  <c r="L137" i="4"/>
  <c r="M137" i="4" s="1"/>
  <c r="I138" i="4"/>
  <c r="J138" i="4"/>
  <c r="K138" i="4"/>
  <c r="L138" i="4"/>
  <c r="M138" i="4"/>
  <c r="N138" i="4"/>
  <c r="Q138" i="4" s="1"/>
  <c r="O138" i="4"/>
  <c r="P138" i="4" s="1"/>
  <c r="I139" i="4"/>
  <c r="J139" i="4"/>
  <c r="K139" i="4"/>
  <c r="L139" i="4"/>
  <c r="M139" i="4"/>
  <c r="N139" i="4"/>
  <c r="O139" i="4"/>
  <c r="P139" i="4"/>
  <c r="Q139" i="4"/>
  <c r="I140" i="4"/>
  <c r="L140" i="4" s="1"/>
  <c r="M140" i="4" s="1"/>
  <c r="J140" i="4"/>
  <c r="K140" i="4"/>
  <c r="O140" i="4" s="1"/>
  <c r="P140" i="4" s="1"/>
  <c r="I141" i="4"/>
  <c r="N141" i="4" s="1"/>
  <c r="Q141" i="4" s="1"/>
  <c r="J141" i="4"/>
  <c r="K141" i="4"/>
  <c r="O141" i="4" s="1"/>
  <c r="P141" i="4" s="1"/>
  <c r="L141" i="4"/>
  <c r="M141" i="4" s="1"/>
  <c r="I142" i="4"/>
  <c r="J142" i="4"/>
  <c r="K142" i="4"/>
  <c r="L142" i="4"/>
  <c r="M142" i="4"/>
  <c r="N142" i="4"/>
  <c r="Q142" i="4" s="1"/>
  <c r="O142" i="4"/>
  <c r="P142" i="4" s="1"/>
  <c r="I143" i="4"/>
  <c r="J143" i="4"/>
  <c r="K143" i="4"/>
  <c r="L143" i="4"/>
  <c r="M143" i="4"/>
  <c r="N143" i="4"/>
  <c r="O143" i="4"/>
  <c r="P143" i="4"/>
  <c r="Q143" i="4"/>
  <c r="S108" i="4" l="1"/>
  <c r="U118" i="4"/>
  <c r="T118" i="4"/>
  <c r="S118" i="4"/>
  <c r="U41" i="4"/>
  <c r="T41" i="4"/>
  <c r="U65" i="4"/>
  <c r="T65" i="4"/>
  <c r="U89" i="4"/>
  <c r="T89" i="4"/>
  <c r="S96" i="4"/>
  <c r="S72" i="4"/>
  <c r="T72" i="4"/>
  <c r="U105" i="4"/>
  <c r="T105" i="4"/>
  <c r="S105" i="4"/>
  <c r="U113" i="4"/>
  <c r="T113" i="4"/>
  <c r="U120" i="4"/>
  <c r="T120" i="4"/>
  <c r="T48" i="4"/>
  <c r="U58" i="4"/>
  <c r="T58" i="4"/>
  <c r="S58" i="4"/>
  <c r="U34" i="4"/>
  <c r="T34" i="4"/>
  <c r="S34" i="4"/>
  <c r="S41" i="4"/>
  <c r="T108" i="4"/>
  <c r="U82" i="4"/>
  <c r="T82" i="4"/>
  <c r="S82" i="4"/>
  <c r="U53" i="4"/>
  <c r="T53" i="4"/>
  <c r="U29" i="4"/>
  <c r="T29" i="4"/>
  <c r="S53" i="4"/>
  <c r="S60" i="4"/>
  <c r="U77" i="4"/>
  <c r="T77" i="4"/>
  <c r="U130" i="4"/>
  <c r="T130" i="4"/>
  <c r="S130" i="4"/>
  <c r="U46" i="4"/>
  <c r="T46" i="4"/>
  <c r="S46" i="4"/>
  <c r="T60" i="4"/>
  <c r="U70" i="4"/>
  <c r="T70" i="4"/>
  <c r="S70" i="4"/>
  <c r="U94" i="4"/>
  <c r="T94" i="4"/>
  <c r="S94" i="4"/>
  <c r="S48" i="4"/>
  <c r="T96" i="4"/>
  <c r="T36" i="4"/>
  <c r="T84" i="4"/>
  <c r="U125" i="4"/>
  <c r="T125" i="4"/>
  <c r="S125" i="4"/>
  <c r="T132" i="4"/>
  <c r="U137" i="4"/>
  <c r="T137" i="4"/>
  <c r="S142" i="4"/>
  <c r="S39" i="4"/>
  <c r="S51" i="4"/>
  <c r="S63" i="4"/>
  <c r="S75" i="4"/>
  <c r="S87" i="4"/>
  <c r="S103" i="4"/>
  <c r="S111" i="4"/>
  <c r="S123" i="4"/>
  <c r="S135" i="4"/>
  <c r="T142" i="4"/>
  <c r="T39" i="4"/>
  <c r="T51" i="4"/>
  <c r="T63" i="4"/>
  <c r="T75" i="4"/>
  <c r="T87" i="4"/>
  <c r="T103" i="4"/>
  <c r="T111" i="4"/>
  <c r="T123" i="4"/>
  <c r="S128" i="4"/>
  <c r="T135" i="4"/>
  <c r="S140" i="4"/>
  <c r="S35" i="4"/>
  <c r="S47" i="4"/>
  <c r="S59" i="4"/>
  <c r="S83" i="4"/>
  <c r="S95" i="4"/>
  <c r="S119" i="4"/>
  <c r="S131" i="4"/>
  <c r="S143" i="4"/>
  <c r="S28" i="4"/>
  <c r="T35" i="4"/>
  <c r="S40" i="4"/>
  <c r="T47" i="4"/>
  <c r="S52" i="4"/>
  <c r="T59" i="4"/>
  <c r="S64" i="4"/>
  <c r="S76" i="4"/>
  <c r="T83" i="4"/>
  <c r="S88" i="4"/>
  <c r="T95" i="4"/>
  <c r="S104" i="4"/>
  <c r="S112" i="4"/>
  <c r="T119" i="4"/>
  <c r="S124" i="4"/>
  <c r="T131" i="4"/>
  <c r="S136" i="4"/>
  <c r="T143" i="4"/>
  <c r="T28" i="4"/>
  <c r="T40" i="4"/>
  <c r="T76" i="4"/>
  <c r="T88" i="4"/>
  <c r="T104" i="4"/>
  <c r="T112" i="4"/>
  <c r="T124" i="4"/>
  <c r="T136" i="4"/>
  <c r="N140" i="4"/>
  <c r="Q140" i="4" s="1"/>
  <c r="N136" i="4"/>
  <c r="Q136" i="4" s="1"/>
  <c r="I128" i="4" l="1"/>
  <c r="L128" i="4" s="1"/>
  <c r="M128" i="4" s="1"/>
  <c r="J128" i="4"/>
  <c r="K128" i="4" s="1"/>
  <c r="O128" i="4" s="1"/>
  <c r="P128" i="4" s="1"/>
  <c r="I129" i="4"/>
  <c r="N129" i="4" s="1"/>
  <c r="Q129" i="4" s="1"/>
  <c r="J129" i="4"/>
  <c r="K129" i="4"/>
  <c r="O129" i="4" s="1"/>
  <c r="P129" i="4" s="1"/>
  <c r="L129" i="4"/>
  <c r="M129" i="4"/>
  <c r="I130" i="4"/>
  <c r="J130" i="4"/>
  <c r="K130" i="4" s="1"/>
  <c r="O130" i="4" s="1"/>
  <c r="P130" i="4" s="1"/>
  <c r="L130" i="4"/>
  <c r="M130" i="4"/>
  <c r="N130" i="4"/>
  <c r="Q130" i="4" s="1"/>
  <c r="I131" i="4"/>
  <c r="L131" i="4" s="1"/>
  <c r="M131" i="4" s="1"/>
  <c r="J131" i="4"/>
  <c r="K131" i="4"/>
  <c r="I132" i="4"/>
  <c r="J132" i="4"/>
  <c r="K132" i="4"/>
  <c r="O132" i="4" s="1"/>
  <c r="P132" i="4" s="1"/>
  <c r="L132" i="4"/>
  <c r="M132" i="4"/>
  <c r="N132" i="4"/>
  <c r="Q132" i="4" s="1"/>
  <c r="I133" i="4"/>
  <c r="J133" i="4"/>
  <c r="K133" i="4"/>
  <c r="L133" i="4"/>
  <c r="M133" i="4"/>
  <c r="N133" i="4"/>
  <c r="O133" i="4"/>
  <c r="P133" i="4"/>
  <c r="Q133" i="4"/>
  <c r="I134" i="4"/>
  <c r="J134" i="4"/>
  <c r="K134" i="4" s="1"/>
  <c r="O134" i="4" s="1"/>
  <c r="P134" i="4" s="1"/>
  <c r="L134" i="4"/>
  <c r="M134" i="4"/>
  <c r="N134" i="4"/>
  <c r="Q134" i="4"/>
  <c r="O131" i="4" l="1"/>
  <c r="P131" i="4" s="1"/>
  <c r="N128" i="4"/>
  <c r="Q128" i="4" s="1"/>
  <c r="N131" i="4"/>
  <c r="Q131" i="4" s="1"/>
  <c r="O15" i="1" l="1"/>
  <c r="L15" i="1"/>
  <c r="N15" i="1"/>
  <c r="J16" i="4"/>
  <c r="J15" i="4"/>
  <c r="J87" i="4"/>
  <c r="K87" i="4"/>
  <c r="J122" i="4"/>
  <c r="L122" i="4" s="1"/>
  <c r="M122" i="4" s="1"/>
  <c r="K122" i="4"/>
  <c r="J117" i="4"/>
  <c r="K117" i="4"/>
  <c r="J120" i="4"/>
  <c r="K120" i="4"/>
  <c r="J101" i="4"/>
  <c r="L101" i="4" s="1"/>
  <c r="M101" i="4" s="1"/>
  <c r="K101" i="4"/>
  <c r="O101" i="4" s="1"/>
  <c r="P101" i="4" s="1"/>
  <c r="J86" i="4"/>
  <c r="K86" i="4" s="1"/>
  <c r="J85" i="4"/>
  <c r="K85" i="4"/>
  <c r="J88" i="4"/>
  <c r="K88" i="4" s="1"/>
  <c r="J119" i="4"/>
  <c r="L119" i="4" s="1"/>
  <c r="K119" i="4"/>
  <c r="J72" i="4"/>
  <c r="K72" i="4" s="1"/>
  <c r="J103" i="4"/>
  <c r="K103" i="4"/>
  <c r="J118" i="4"/>
  <c r="L118" i="4" s="1"/>
  <c r="M118" i="4" s="1"/>
  <c r="K118" i="4"/>
  <c r="J104" i="4"/>
  <c r="K104" i="4"/>
  <c r="O104" i="4" s="1"/>
  <c r="P104" i="4" s="1"/>
  <c r="J90" i="4"/>
  <c r="K90" i="4" s="1"/>
  <c r="J71" i="4"/>
  <c r="K71" i="4"/>
  <c r="J110" i="4"/>
  <c r="K110" i="4"/>
  <c r="J82" i="4"/>
  <c r="K82" i="4"/>
  <c r="J113" i="4"/>
  <c r="K113" i="4"/>
  <c r="O113" i="4" s="1"/>
  <c r="P113" i="4" s="1"/>
  <c r="J97" i="4"/>
  <c r="L97" i="4" s="1"/>
  <c r="K97" i="4"/>
  <c r="O97" i="4" s="1"/>
  <c r="P97" i="4" s="1"/>
  <c r="J81" i="4"/>
  <c r="K81" i="4" s="1"/>
  <c r="J116" i="4"/>
  <c r="K116" i="4"/>
  <c r="J100" i="4"/>
  <c r="K100" i="4"/>
  <c r="O100" i="4"/>
  <c r="J84" i="4"/>
  <c r="K84" i="4" s="1"/>
  <c r="J114" i="4"/>
  <c r="K114" i="4"/>
  <c r="J78" i="4"/>
  <c r="K78" i="4" s="1"/>
  <c r="J115" i="4"/>
  <c r="K115" i="4"/>
  <c r="O115" i="4"/>
  <c r="P115" i="4" s="1"/>
  <c r="J99" i="4"/>
  <c r="K99" i="4"/>
  <c r="J83" i="4"/>
  <c r="K83" i="4"/>
  <c r="J102" i="4"/>
  <c r="K102" i="4"/>
  <c r="O102" i="4" s="1"/>
  <c r="P102" i="4" s="1"/>
  <c r="J74" i="4"/>
  <c r="L74" i="4" s="1"/>
  <c r="K74" i="4"/>
  <c r="J125" i="4"/>
  <c r="L125" i="4" s="1"/>
  <c r="M125" i="4" s="1"/>
  <c r="K125" i="4"/>
  <c r="O125" i="4" s="1"/>
  <c r="P125" i="4" s="1"/>
  <c r="J109" i="4"/>
  <c r="K109" i="4"/>
  <c r="O109" i="4" s="1"/>
  <c r="P109" i="4" s="1"/>
  <c r="J93" i="4"/>
  <c r="K93" i="4" s="1"/>
  <c r="J77" i="4"/>
  <c r="K77" i="4"/>
  <c r="J112" i="4"/>
  <c r="K112" i="4"/>
  <c r="J96" i="4"/>
  <c r="L96" i="4" s="1"/>
  <c r="K96" i="4"/>
  <c r="J80" i="4"/>
  <c r="K80" i="4" s="1"/>
  <c r="J106" i="4"/>
  <c r="L106" i="4" s="1"/>
  <c r="M106" i="4" s="1"/>
  <c r="K106" i="4"/>
  <c r="O106" i="4" s="1"/>
  <c r="P106" i="4" s="1"/>
  <c r="J127" i="4"/>
  <c r="K127" i="4"/>
  <c r="O127" i="4" s="1"/>
  <c r="P127" i="4" s="1"/>
  <c r="J111" i="4"/>
  <c r="K111" i="4"/>
  <c r="J95" i="4"/>
  <c r="K95" i="4" s="1"/>
  <c r="J79" i="4"/>
  <c r="K79" i="4"/>
  <c r="J126" i="4"/>
  <c r="K126" i="4"/>
  <c r="O126" i="4" s="1"/>
  <c r="P126" i="4" s="1"/>
  <c r="J94" i="4"/>
  <c r="K94" i="4"/>
  <c r="O94" i="4" s="1"/>
  <c r="P94" i="4" s="1"/>
  <c r="J121" i="4"/>
  <c r="K121" i="4"/>
  <c r="J105" i="4"/>
  <c r="K105" i="4" s="1"/>
  <c r="O105" i="4" s="1"/>
  <c r="P105" i="4" s="1"/>
  <c r="J89" i="4"/>
  <c r="K89" i="4" s="1"/>
  <c r="J73" i="4"/>
  <c r="K73" i="4"/>
  <c r="J124" i="4"/>
  <c r="K124" i="4"/>
  <c r="J108" i="4"/>
  <c r="K108" i="4"/>
  <c r="J92" i="4"/>
  <c r="K92" i="4" s="1"/>
  <c r="J76" i="4"/>
  <c r="K76" i="4"/>
  <c r="J98" i="4"/>
  <c r="K98" i="4" s="1"/>
  <c r="O98" i="4" s="1"/>
  <c r="P98" i="4" s="1"/>
  <c r="J123" i="4"/>
  <c r="K123" i="4"/>
  <c r="O123" i="4" s="1"/>
  <c r="P123" i="4" s="1"/>
  <c r="J107" i="4"/>
  <c r="K107" i="4"/>
  <c r="J91" i="4"/>
  <c r="L91" i="4" s="1"/>
  <c r="K91" i="4"/>
  <c r="J75" i="4"/>
  <c r="K75" i="4" s="1"/>
  <c r="P100" i="4"/>
  <c r="O112" i="4"/>
  <c r="P112" i="4"/>
  <c r="O111" i="4"/>
  <c r="P111" i="4"/>
  <c r="O85" i="4"/>
  <c r="P85" i="4" s="1"/>
  <c r="O91" i="4"/>
  <c r="P91" i="4"/>
  <c r="O121" i="4"/>
  <c r="P121" i="4" s="1"/>
  <c r="O110" i="4"/>
  <c r="P110" i="4"/>
  <c r="O118" i="4"/>
  <c r="P118" i="4"/>
  <c r="O117" i="4"/>
  <c r="P117" i="4" s="1"/>
  <c r="O116" i="4"/>
  <c r="P116" i="4"/>
  <c r="O103" i="4"/>
  <c r="P103" i="4"/>
  <c r="O122" i="4"/>
  <c r="P122" i="4" s="1"/>
  <c r="O99" i="4"/>
  <c r="P99" i="4"/>
  <c r="O87" i="4"/>
  <c r="P87" i="4" s="1"/>
  <c r="I76" i="4"/>
  <c r="N76" i="4" s="1"/>
  <c r="Q76" i="4" s="1"/>
  <c r="I77" i="4"/>
  <c r="N77" i="4" s="1"/>
  <c r="Q77" i="4" s="1"/>
  <c r="I81" i="4"/>
  <c r="I89" i="4"/>
  <c r="N89" i="4" s="1"/>
  <c r="Q89" i="4" s="1"/>
  <c r="I90" i="4"/>
  <c r="N90" i="4" s="1"/>
  <c r="Q90" i="4" s="1"/>
  <c r="I96" i="4"/>
  <c r="I99" i="4"/>
  <c r="N99" i="4" s="1"/>
  <c r="Q99" i="4" s="1"/>
  <c r="I102" i="4"/>
  <c r="L102" i="4" s="1"/>
  <c r="M102" i="4" s="1"/>
  <c r="I104" i="4"/>
  <c r="I108" i="4"/>
  <c r="L108" i="4" s="1"/>
  <c r="I111" i="4"/>
  <c r="N111" i="4" s="1"/>
  <c r="Q111" i="4" s="1"/>
  <c r="I113" i="4"/>
  <c r="N113" i="4" s="1"/>
  <c r="Q113" i="4" s="1"/>
  <c r="I115" i="4"/>
  <c r="N115" i="4" s="1"/>
  <c r="Q115" i="4" s="1"/>
  <c r="I119" i="4"/>
  <c r="N119" i="4" s="1"/>
  <c r="Q119" i="4" s="1"/>
  <c r="I120" i="4"/>
  <c r="N120" i="4" s="1"/>
  <c r="Q120" i="4" s="1"/>
  <c r="I123" i="4"/>
  <c r="I125" i="4"/>
  <c r="I79" i="4"/>
  <c r="L79" i="4" s="1"/>
  <c r="I92" i="4"/>
  <c r="I100" i="4"/>
  <c r="I103" i="4"/>
  <c r="N103" i="4" s="1"/>
  <c r="Q103" i="4" s="1"/>
  <c r="I107" i="4"/>
  <c r="L107" i="4" s="1"/>
  <c r="I109" i="4"/>
  <c r="N109" i="4" s="1"/>
  <c r="Q109" i="4" s="1"/>
  <c r="I110" i="4"/>
  <c r="L110" i="4" s="1"/>
  <c r="M110" i="4" s="1"/>
  <c r="I117" i="4"/>
  <c r="L117" i="4" s="1"/>
  <c r="M117" i="4" s="1"/>
  <c r="I124" i="4"/>
  <c r="N124" i="4" s="1"/>
  <c r="Q124" i="4" s="1"/>
  <c r="I72" i="4"/>
  <c r="I106" i="4"/>
  <c r="I71" i="4"/>
  <c r="I75" i="4"/>
  <c r="I80" i="4"/>
  <c r="I83" i="4"/>
  <c r="N83" i="4" s="1"/>
  <c r="Q83" i="4" s="1"/>
  <c r="I86" i="4"/>
  <c r="I88" i="4"/>
  <c r="N88" i="4" s="1"/>
  <c r="Q88" i="4" s="1"/>
  <c r="I94" i="4"/>
  <c r="L94" i="4" s="1"/>
  <c r="I95" i="4"/>
  <c r="N95" i="4" s="1"/>
  <c r="Q95" i="4" s="1"/>
  <c r="I98" i="4"/>
  <c r="N98" i="4" s="1"/>
  <c r="Q98" i="4" s="1"/>
  <c r="I101" i="4"/>
  <c r="I118" i="4"/>
  <c r="I127" i="4"/>
  <c r="I73" i="4"/>
  <c r="N73" i="4" s="1"/>
  <c r="Q73" i="4" s="1"/>
  <c r="I74" i="4"/>
  <c r="N74" i="4" s="1"/>
  <c r="Q74" i="4" s="1"/>
  <c r="I78" i="4"/>
  <c r="I82" i="4"/>
  <c r="N82" i="4" s="1"/>
  <c r="Q82" i="4" s="1"/>
  <c r="I85" i="4"/>
  <c r="N85" i="4" s="1"/>
  <c r="Q85" i="4" s="1"/>
  <c r="I93" i="4"/>
  <c r="L93" i="4" s="1"/>
  <c r="I112" i="4"/>
  <c r="L112" i="4" s="1"/>
  <c r="M112" i="4" s="1"/>
  <c r="I114" i="4"/>
  <c r="L114" i="4" s="1"/>
  <c r="I121" i="4"/>
  <c r="L121" i="4" s="1"/>
  <c r="I122" i="4"/>
  <c r="I84" i="4"/>
  <c r="I87" i="4"/>
  <c r="L87" i="4" s="1"/>
  <c r="I91" i="4"/>
  <c r="I97" i="4"/>
  <c r="I105" i="4"/>
  <c r="I116" i="4"/>
  <c r="I126" i="4"/>
  <c r="L126" i="4" s="1"/>
  <c r="N105" i="4"/>
  <c r="Q105" i="4"/>
  <c r="N121" i="4"/>
  <c r="Q121" i="4" s="1"/>
  <c r="N101" i="4"/>
  <c r="Q101" i="4"/>
  <c r="N75" i="4"/>
  <c r="Q75" i="4" s="1"/>
  <c r="N106" i="4"/>
  <c r="Q106" i="4"/>
  <c r="L124" i="4"/>
  <c r="N79" i="4"/>
  <c r="Q79" i="4" s="1"/>
  <c r="N96" i="4"/>
  <c r="Q96" i="4"/>
  <c r="N97" i="4"/>
  <c r="Q97" i="4"/>
  <c r="N114" i="4"/>
  <c r="Q114" i="4"/>
  <c r="N71" i="4"/>
  <c r="Q71" i="4"/>
  <c r="L71" i="4"/>
  <c r="N72" i="4"/>
  <c r="Q72" i="4"/>
  <c r="N125" i="4"/>
  <c r="Q125" i="4"/>
  <c r="L104" i="4"/>
  <c r="M104" i="4" s="1"/>
  <c r="N104" i="4"/>
  <c r="Q104" i="4" s="1"/>
  <c r="N91" i="4"/>
  <c r="Q91" i="4"/>
  <c r="N112" i="4"/>
  <c r="Q112" i="4"/>
  <c r="N78" i="4"/>
  <c r="Q78" i="4" s="1"/>
  <c r="L100" i="4"/>
  <c r="M100" i="4" s="1"/>
  <c r="N100" i="4"/>
  <c r="Q100" i="4"/>
  <c r="L123" i="4"/>
  <c r="M123" i="4" s="1"/>
  <c r="N123" i="4"/>
  <c r="Q123" i="4"/>
  <c r="N116" i="4"/>
  <c r="Q116" i="4"/>
  <c r="L116" i="4"/>
  <c r="N87" i="4"/>
  <c r="Q87" i="4" s="1"/>
  <c r="N122" i="4"/>
  <c r="Q122" i="4"/>
  <c r="N118" i="4"/>
  <c r="Q118" i="4"/>
  <c r="N80" i="4"/>
  <c r="Q80" i="4"/>
  <c r="L109" i="4"/>
  <c r="M109" i="4" s="1"/>
  <c r="N92" i="4"/>
  <c r="Q92" i="4" s="1"/>
  <c r="L99" i="4"/>
  <c r="M99" i="4" s="1"/>
  <c r="M126" i="4" l="1"/>
  <c r="M114" i="4"/>
  <c r="M121" i="4"/>
  <c r="M119" i="4"/>
  <c r="N117" i="4"/>
  <c r="Q117" i="4" s="1"/>
  <c r="M116" i="4"/>
  <c r="M71" i="4"/>
  <c r="L86" i="4"/>
  <c r="L92" i="4"/>
  <c r="L82" i="4"/>
  <c r="N102" i="4"/>
  <c r="Q102" i="4" s="1"/>
  <c r="N86" i="4"/>
  <c r="Q86" i="4" s="1"/>
  <c r="O119" i="4"/>
  <c r="P119" i="4" s="1"/>
  <c r="N110" i="4"/>
  <c r="Q110" i="4" s="1"/>
  <c r="N126" i="4"/>
  <c r="Q126" i="4" s="1"/>
  <c r="L103" i="4"/>
  <c r="M103" i="4" s="1"/>
  <c r="L98" i="4"/>
  <c r="M98" i="4" s="1"/>
  <c r="L127" i="4"/>
  <c r="O71" i="4"/>
  <c r="P71" i="4" s="1"/>
  <c r="M124" i="4"/>
  <c r="L115" i="4"/>
  <c r="M107" i="4"/>
  <c r="O120" i="4"/>
  <c r="P120" i="4" s="1"/>
  <c r="O108" i="4"/>
  <c r="P108" i="4" s="1"/>
  <c r="N94" i="4"/>
  <c r="Q94" i="4" s="1"/>
  <c r="O124" i="4"/>
  <c r="P124" i="4" s="1"/>
  <c r="O107" i="4"/>
  <c r="P107" i="4" s="1"/>
  <c r="L111" i="4"/>
  <c r="M111" i="4" s="1"/>
  <c r="L113" i="4"/>
  <c r="M113" i="4" s="1"/>
  <c r="L90" i="4"/>
  <c r="L83" i="4"/>
  <c r="L72" i="4"/>
  <c r="L81" i="4"/>
  <c r="L105" i="4"/>
  <c r="M105" i="4" s="1"/>
  <c r="M108" i="4"/>
  <c r="O114" i="4"/>
  <c r="P114" i="4" s="1"/>
  <c r="M91" i="4"/>
  <c r="N108" i="4"/>
  <c r="Q108" i="4" s="1"/>
  <c r="L73" i="4"/>
  <c r="L95" i="4"/>
  <c r="M95" i="4" s="1"/>
  <c r="L84" i="4"/>
  <c r="M81" i="4"/>
  <c r="M74" i="4"/>
  <c r="M92" i="4"/>
  <c r="M73" i="4"/>
  <c r="O92" i="4"/>
  <c r="P92" i="4" s="1"/>
  <c r="O75" i="4"/>
  <c r="P75" i="4" s="1"/>
  <c r="N84" i="4"/>
  <c r="Q84" i="4" s="1"/>
  <c r="N127" i="4"/>
  <c r="Q127" i="4" s="1"/>
  <c r="M93" i="4"/>
  <c r="N107" i="4"/>
  <c r="Q107" i="4" s="1"/>
  <c r="M87" i="4"/>
  <c r="O78" i="4"/>
  <c r="P78" i="4" s="1"/>
  <c r="O80" i="4"/>
  <c r="P80" i="4" s="1"/>
  <c r="O96" i="4"/>
  <c r="P96" i="4" s="1"/>
  <c r="O82" i="4"/>
  <c r="P82" i="4" s="1"/>
  <c r="O84" i="4"/>
  <c r="P84" i="4" s="1"/>
  <c r="O72" i="4"/>
  <c r="P72" i="4" s="1"/>
  <c r="L80" i="4"/>
  <c r="L75" i="4"/>
  <c r="O79" i="4"/>
  <c r="P79" i="4" s="1"/>
  <c r="M97" i="4"/>
  <c r="O73" i="4"/>
  <c r="P73" i="4" s="1"/>
  <c r="O83" i="4"/>
  <c r="P83" i="4" s="1"/>
  <c r="L120" i="4"/>
  <c r="M94" i="4"/>
  <c r="L77" i="4"/>
  <c r="O95" i="4"/>
  <c r="P95" i="4" s="1"/>
  <c r="O77" i="4"/>
  <c r="P77" i="4" s="1"/>
  <c r="O88" i="4"/>
  <c r="P88" i="4" s="1"/>
  <c r="M79" i="4"/>
  <c r="L89" i="4"/>
  <c r="L78" i="4"/>
  <c r="M86" i="4"/>
  <c r="O89" i="4"/>
  <c r="P89" i="4" s="1"/>
  <c r="O74" i="4"/>
  <c r="P74" i="4" s="1"/>
  <c r="O93" i="4"/>
  <c r="P93" i="4" s="1"/>
  <c r="O90" i="4"/>
  <c r="P90" i="4" s="1"/>
  <c r="O81" i="4"/>
  <c r="P81" i="4" s="1"/>
  <c r="O86" i="4"/>
  <c r="P86" i="4" s="1"/>
  <c r="N81" i="4"/>
  <c r="Q81" i="4" s="1"/>
  <c r="M96" i="4"/>
  <c r="O76" i="4"/>
  <c r="P76" i="4" s="1"/>
  <c r="L85" i="4"/>
  <c r="L76" i="4"/>
  <c r="L88" i="4"/>
  <c r="N93" i="4"/>
  <c r="Q93" i="4" s="1"/>
  <c r="J14" i="4"/>
  <c r="J13" i="4" s="1"/>
  <c r="K16" i="4" s="1"/>
  <c r="M115" i="4" l="1"/>
  <c r="M127" i="4"/>
  <c r="M83" i="4"/>
  <c r="M72" i="4"/>
  <c r="M90" i="4"/>
  <c r="M82" i="4"/>
  <c r="M120" i="4"/>
  <c r="M84" i="4"/>
  <c r="M89" i="4"/>
  <c r="M77" i="4"/>
  <c r="M88" i="4"/>
  <c r="M75" i="4"/>
  <c r="M85" i="4"/>
  <c r="M78" i="4"/>
  <c r="M76" i="4"/>
  <c r="M80" i="4"/>
  <c r="K14" i="4"/>
  <c r="K13" i="4"/>
  <c r="K15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J60" i="4"/>
  <c r="K60" i="4" s="1"/>
  <c r="J56" i="4"/>
  <c r="K56" i="4" s="1"/>
  <c r="O56" i="4" s="1"/>
  <c r="P56" i="4" s="1"/>
  <c r="J58" i="4"/>
  <c r="K58" i="4" s="1"/>
  <c r="J55" i="4"/>
  <c r="K55" i="4" s="1"/>
  <c r="O55" i="4" s="1"/>
  <c r="P55" i="4" s="1"/>
  <c r="J61" i="4"/>
  <c r="K61" i="4" s="1"/>
  <c r="J57" i="4"/>
  <c r="K57" i="4" s="1"/>
  <c r="J59" i="4"/>
  <c r="K59" i="4" s="1"/>
  <c r="O59" i="4" s="1"/>
  <c r="P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O61" i="4" l="1"/>
  <c r="P61" i="4" s="1"/>
  <c r="O60" i="4"/>
  <c r="P60" i="4" s="1"/>
  <c r="O62" i="4"/>
  <c r="P62" i="4" s="1"/>
  <c r="O58" i="4"/>
  <c r="P58" i="4" s="1"/>
  <c r="O57" i="4"/>
  <c r="P57" i="4" s="1"/>
  <c r="L66" i="4"/>
  <c r="K66" i="4"/>
  <c r="K70" i="4"/>
  <c r="L70" i="4"/>
  <c r="K64" i="4"/>
  <c r="L64" i="4"/>
  <c r="O63" i="4"/>
  <c r="P63" i="4" s="1"/>
  <c r="L63" i="4"/>
  <c r="K68" i="4"/>
  <c r="L68" i="4"/>
  <c r="L67" i="4"/>
  <c r="K67" i="4"/>
  <c r="L65" i="4"/>
  <c r="K65" i="4"/>
  <c r="K69" i="4"/>
  <c r="L69" i="4"/>
  <c r="N62" i="4"/>
  <c r="Q62" i="4" s="1"/>
  <c r="L62" i="4"/>
  <c r="N55" i="4"/>
  <c r="Q55" i="4" s="1"/>
  <c r="L55" i="4"/>
  <c r="M55" i="4" s="1"/>
  <c r="L56" i="4"/>
  <c r="M56" i="4" s="1"/>
  <c r="N56" i="4"/>
  <c r="Q56" i="4" s="1"/>
  <c r="N59" i="4"/>
  <c r="Q59" i="4" s="1"/>
  <c r="L59" i="4"/>
  <c r="M59" i="4" s="1"/>
  <c r="N57" i="4"/>
  <c r="Q57" i="4" s="1"/>
  <c r="L57" i="4"/>
  <c r="L58" i="4"/>
  <c r="N58" i="4"/>
  <c r="Q58" i="4" s="1"/>
  <c r="N61" i="4"/>
  <c r="Q61" i="4" s="1"/>
  <c r="L61" i="4"/>
  <c r="L60" i="4"/>
  <c r="N60" i="4"/>
  <c r="Q60" i="4" s="1"/>
  <c r="M60" i="4" l="1"/>
  <c r="M61" i="4"/>
  <c r="M70" i="4"/>
  <c r="M62" i="4"/>
  <c r="M63" i="4"/>
  <c r="M64" i="4"/>
  <c r="M58" i="4"/>
  <c r="M57" i="4"/>
  <c r="O65" i="4"/>
  <c r="P65" i="4" s="1"/>
  <c r="O66" i="4"/>
  <c r="P66" i="4" s="1"/>
  <c r="M65" i="4"/>
  <c r="M66" i="4"/>
  <c r="O67" i="4"/>
  <c r="P67" i="4" s="1"/>
  <c r="M68" i="4"/>
  <c r="O64" i="4"/>
  <c r="P64" i="4" s="1"/>
  <c r="M69" i="4"/>
  <c r="O69" i="4"/>
  <c r="P69" i="4" s="1"/>
  <c r="M67" i="4"/>
  <c r="O68" i="4"/>
  <c r="P68" i="4" s="1"/>
  <c r="O70" i="4"/>
  <c r="P70" i="4" s="1"/>
  <c r="J21" i="4" l="1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N44" i="4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N52" i="4"/>
  <c r="N47" i="4"/>
  <c r="J7" i="4" l="1"/>
  <c r="Q48" i="4" s="1"/>
  <c r="K21" i="4"/>
  <c r="K22" i="4"/>
  <c r="K20" i="4"/>
  <c r="Q50" i="4"/>
  <c r="Q52" i="4"/>
  <c r="J52" i="4"/>
  <c r="J49" i="4"/>
  <c r="J53" i="4"/>
  <c r="J54" i="4"/>
  <c r="J50" i="4"/>
  <c r="J48" i="4"/>
  <c r="J51" i="4"/>
  <c r="Q54" i="4"/>
  <c r="Q51" i="4"/>
  <c r="Q49" i="4"/>
  <c r="J39" i="4" l="1"/>
  <c r="L39" i="4" s="1"/>
  <c r="J45" i="4"/>
  <c r="L45" i="4" s="1"/>
  <c r="J30" i="4"/>
  <c r="K30" i="4" s="1"/>
  <c r="J43" i="4"/>
  <c r="L43" i="4" s="1"/>
  <c r="J31" i="4"/>
  <c r="K31" i="4" s="1"/>
  <c r="J44" i="4"/>
  <c r="L44" i="4" s="1"/>
  <c r="J36" i="4"/>
  <c r="K36" i="4" s="1"/>
  <c r="J46" i="4"/>
  <c r="K46" i="4" s="1"/>
  <c r="J35" i="4"/>
  <c r="K35" i="4" s="1"/>
  <c r="Q41" i="4"/>
  <c r="Q45" i="4"/>
  <c r="Q31" i="4"/>
  <c r="Q36" i="4"/>
  <c r="Q43" i="4"/>
  <c r="Q42" i="4"/>
  <c r="Q38" i="4"/>
  <c r="Q44" i="4"/>
  <c r="Q39" i="4"/>
  <c r="Q34" i="4"/>
  <c r="Q29" i="4"/>
  <c r="J33" i="4"/>
  <c r="K33" i="4" s="1"/>
  <c r="J47" i="4"/>
  <c r="K47" i="4" s="1"/>
  <c r="Q47" i="4"/>
  <c r="Q46" i="4"/>
  <c r="Q35" i="4"/>
  <c r="J34" i="4"/>
  <c r="L34" i="4" s="1"/>
  <c r="J41" i="4"/>
  <c r="K41" i="4" s="1"/>
  <c r="J42" i="4"/>
  <c r="L42" i="4" s="1"/>
  <c r="J32" i="4"/>
  <c r="L32" i="4" s="1"/>
  <c r="J37" i="4"/>
  <c r="L37" i="4" s="1"/>
  <c r="J40" i="4"/>
  <c r="L40" i="4" s="1"/>
  <c r="J38" i="4"/>
  <c r="L38" i="4" s="1"/>
  <c r="J29" i="4"/>
  <c r="L29" i="4" s="1"/>
  <c r="Q32" i="4"/>
  <c r="Q30" i="4"/>
  <c r="Q33" i="4"/>
  <c r="Q40" i="4"/>
  <c r="Q37" i="4"/>
  <c r="K9" i="4"/>
  <c r="Q28" i="4"/>
  <c r="K10" i="4"/>
  <c r="K8" i="4"/>
  <c r="K7" i="4"/>
  <c r="J28" i="4"/>
  <c r="K28" i="4" s="1"/>
  <c r="K44" i="4"/>
  <c r="L36" i="4"/>
  <c r="K52" i="4"/>
  <c r="O52" i="4" s="1"/>
  <c r="P52" i="4" s="1"/>
  <c r="L52" i="4"/>
  <c r="M52" i="4" s="1"/>
  <c r="L54" i="4"/>
  <c r="M54" i="4" s="1"/>
  <c r="K54" i="4"/>
  <c r="O54" i="4" s="1"/>
  <c r="P54" i="4" s="1"/>
  <c r="L51" i="4"/>
  <c r="M51" i="4" s="1"/>
  <c r="K51" i="4"/>
  <c r="O51" i="4" s="1"/>
  <c r="P51" i="4" s="1"/>
  <c r="L53" i="4"/>
  <c r="M53" i="4" s="1"/>
  <c r="K53" i="4"/>
  <c r="O53" i="4" s="1"/>
  <c r="P53" i="4" s="1"/>
  <c r="L48" i="4"/>
  <c r="K48" i="4"/>
  <c r="K39" i="4"/>
  <c r="L50" i="4"/>
  <c r="M50" i="4" s="1"/>
  <c r="K50" i="4"/>
  <c r="O50" i="4" s="1"/>
  <c r="P50" i="4" s="1"/>
  <c r="L49" i="4"/>
  <c r="K49" i="4"/>
  <c r="M49" i="4" l="1"/>
  <c r="O48" i="4"/>
  <c r="P48" i="4" s="1"/>
  <c r="M48" i="4"/>
  <c r="O49" i="4"/>
  <c r="P49" i="4" s="1"/>
  <c r="O47" i="4"/>
  <c r="P47" i="4" s="1"/>
  <c r="O39" i="4"/>
  <c r="P39" i="4" s="1"/>
  <c r="O44" i="4"/>
  <c r="P44" i="4" s="1"/>
  <c r="O35" i="4"/>
  <c r="P35" i="4" s="1"/>
  <c r="O28" i="4"/>
  <c r="P28" i="4" s="1"/>
  <c r="O46" i="4"/>
  <c r="P46" i="4" s="1"/>
  <c r="O36" i="4"/>
  <c r="P36" i="4" s="1"/>
  <c r="M44" i="4"/>
  <c r="O31" i="4"/>
  <c r="P31" i="4" s="1"/>
  <c r="M43" i="4"/>
  <c r="O33" i="4"/>
  <c r="P33" i="4" s="1"/>
  <c r="O41" i="4"/>
  <c r="P41" i="4" s="1"/>
  <c r="O30" i="4"/>
  <c r="P30" i="4" s="1"/>
  <c r="M45" i="4"/>
  <c r="M39" i="4"/>
  <c r="L47" i="4"/>
  <c r="L35" i="4"/>
  <c r="K45" i="4"/>
  <c r="L30" i="4"/>
  <c r="L31" i="4"/>
  <c r="K43" i="4"/>
  <c r="L46" i="4"/>
  <c r="K37" i="4"/>
  <c r="L41" i="4"/>
  <c r="K42" i="4"/>
  <c r="K34" i="4"/>
  <c r="L33" i="4"/>
  <c r="K38" i="4"/>
  <c r="K29" i="4"/>
  <c r="M32" i="4"/>
  <c r="M40" i="4"/>
  <c r="M34" i="4"/>
  <c r="M29" i="4"/>
  <c r="M37" i="4"/>
  <c r="M42" i="4"/>
  <c r="M38" i="4"/>
  <c r="M36" i="4"/>
  <c r="K40" i="4"/>
  <c r="K32" i="4"/>
  <c r="L28" i="4"/>
  <c r="M30" i="4" l="1"/>
  <c r="O42" i="4"/>
  <c r="P42" i="4" s="1"/>
  <c r="M41" i="4"/>
  <c r="O37" i="4"/>
  <c r="P37" i="4" s="1"/>
  <c r="M46" i="4"/>
  <c r="O43" i="4"/>
  <c r="P43" i="4" s="1"/>
  <c r="M31" i="4"/>
  <c r="O45" i="4"/>
  <c r="P45" i="4" s="1"/>
  <c r="O29" i="4"/>
  <c r="P29" i="4" s="1"/>
  <c r="M35" i="4"/>
  <c r="O32" i="4"/>
  <c r="P32" i="4" s="1"/>
  <c r="O38" i="4"/>
  <c r="P38" i="4" s="1"/>
  <c r="M47" i="4"/>
  <c r="O40" i="4"/>
  <c r="P40" i="4" s="1"/>
  <c r="M33" i="4"/>
  <c r="O34" i="4"/>
  <c r="P34" i="4" s="1"/>
  <c r="M2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<sst xmlns="http://schemas.openxmlformats.org/spreadsheetml/2006/main" count="340" uniqueCount="314">
  <si>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</si>
  <si>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</si>
  <si>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</si>
  <si>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</si>
  <si>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</si>
  <si>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</si>
  <si>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</si>
  <si>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</si>
  <si>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</si>
  <si>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</si>
  <si>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</si>
  <si>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</si>
  <si>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</si>
  <si>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</si>
  <si>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</si>
  <si>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</si>
  <si>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</si>
  <si>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</si>
  <si>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</si>
  <si>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</si>
  <si>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</si>
  <si>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</si>
  <si>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</si>
  <si>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</si>
  <si>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</si>
  <si>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</si>
  <si>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</si>
  <si>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</si>
  <si>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</si>
  <si>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</si>
  <si>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</si>
  <si>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</si>
  <si>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</si>
  <si>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</si>
  <si>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</si>
  <si>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</si>
  <si>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</si>
  <si>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</si>
  <si>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</si>
  <si>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</si>
  <si>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</si>
  <si>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</si>
  <si>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</si>
  <si>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</si>
  <si>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</si>
  <si>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</si>
  <si>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</si>
  <si>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</si>
  <si>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</si>
  <si>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</si>
  <si>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</si>
  <si>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</si>
  <si>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</si>
  <si>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</si>
  <si>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</si>
  <si>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</si>
  <si>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</si>
  <si>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</si>
  <si>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</si>
  <si>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</si>
  <si>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</si>
  <si>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</si>
  <si>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</si>
  <si>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</si>
  <si>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</si>
  <si>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</si>
  <si>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</si>
  <si>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</si>
  <si>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</si>
  <si>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</si>
  <si>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</si>
  <si>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</si>
  <si>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</si>
  <si>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</si>
  <si>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OptiMEM</t>
    <phoneticPr fontId="17" type="noConversion"/>
  </si>
  <si>
    <t>cs-FBS</t>
    <phoneticPr fontId="17" type="noConversion"/>
  </si>
  <si>
    <t>HEK293T</t>
    <phoneticPr fontId="17" type="noConversion"/>
  </si>
  <si>
    <t>FBS</t>
    <phoneticPr fontId="17" type="noConversion"/>
  </si>
  <si>
    <t>umole</t>
    <phoneticPr fontId="17" type="noConversion"/>
  </si>
  <si>
    <t>umold</t>
    <phoneticPr fontId="17" type="noConversion"/>
  </si>
  <si>
    <t>HepG2</t>
  </si>
  <si>
    <t>Dicofol</t>
  </si>
  <si>
    <t>115-32-2</t>
  </si>
  <si>
    <t>Endosulfan I</t>
  </si>
  <si>
    <t>115-29-7</t>
  </si>
  <si>
    <t>Lindane</t>
  </si>
  <si>
    <t>58-89-9</t>
  </si>
  <si>
    <t>Parathion</t>
  </si>
  <si>
    <t>56-38-2</t>
  </si>
  <si>
    <t>Caffeine</t>
  </si>
  <si>
    <t>58-08-2</t>
  </si>
  <si>
    <t>2,4-Dichlorophenoxyacetic</t>
  </si>
  <si>
    <t>94-75-7</t>
  </si>
  <si>
    <t>(S)-Naproxen</t>
  </si>
  <si>
    <t>22204-53-1</t>
  </si>
  <si>
    <t>Torasemide</t>
  </si>
  <si>
    <t>56211-40-6</t>
  </si>
  <si>
    <t>Warfarin</t>
  </si>
  <si>
    <t>81-81-2</t>
  </si>
  <si>
    <t>Malathion</t>
  </si>
  <si>
    <t>121-75-5</t>
  </si>
  <si>
    <t>Allyl alcohol</t>
  </si>
  <si>
    <t>107-18-6</t>
  </si>
  <si>
    <t>dichloromethane</t>
  </si>
  <si>
    <t>75-09-2</t>
  </si>
  <si>
    <t>2,3-dimethyl-1,3-butadiene</t>
  </si>
  <si>
    <t>513-81-5</t>
  </si>
  <si>
    <t>PBDE 153</t>
  </si>
  <si>
    <t>68631-49-2</t>
  </si>
  <si>
    <t>amiodarone</t>
  </si>
  <si>
    <t>1951-25-3</t>
  </si>
  <si>
    <t>15687-27-1</t>
  </si>
  <si>
    <t>Chlorpyrifos</t>
  </si>
  <si>
    <t>2921-88-2</t>
  </si>
  <si>
    <t>2,4-Dinitrophenol</t>
  </si>
  <si>
    <t>51-28-5</t>
  </si>
  <si>
    <t>Aldrin</t>
  </si>
  <si>
    <t>309-00-2</t>
  </si>
  <si>
    <t>Azinphos-methyl</t>
  </si>
  <si>
    <t>86-50-0</t>
  </si>
  <si>
    <t>DDD-p,p'</t>
  </si>
  <si>
    <t>50-29-3</t>
  </si>
  <si>
    <t>DDT-o,p'</t>
  </si>
  <si>
    <t>789-02-6</t>
  </si>
  <si>
    <t>DDT-p,p'</t>
  </si>
  <si>
    <t>72-54-8</t>
  </si>
  <si>
    <t>Diazinon</t>
  </si>
  <si>
    <t>333-41-5</t>
  </si>
  <si>
    <t>Dieldrin</t>
  </si>
  <si>
    <t>60-57-1</t>
  </si>
  <si>
    <t>Disulfoton</t>
  </si>
  <si>
    <t>298-04-4</t>
  </si>
  <si>
    <t>Endrin</t>
  </si>
  <si>
    <t>72-20-8</t>
  </si>
  <si>
    <t>Ethion</t>
  </si>
  <si>
    <t>563-12-2</t>
  </si>
  <si>
    <t>Heptachlor</t>
  </si>
  <si>
    <t>76-44-8</t>
  </si>
  <si>
    <t>Heptachlor epoxide B</t>
  </si>
  <si>
    <t>1024-57-3</t>
  </si>
  <si>
    <t>Methoxychlor-o,p'</t>
  </si>
  <si>
    <t>72-43-5</t>
  </si>
  <si>
    <t>Trifluralin</t>
  </si>
  <si>
    <t>1582-09-8</t>
  </si>
  <si>
    <t>Eugenol F</t>
  </si>
  <si>
    <t>97-53-0</t>
  </si>
  <si>
    <t>Methyl-antranilate</t>
  </si>
  <si>
    <t>134-20-3</t>
  </si>
  <si>
    <t>Lilyfore</t>
  </si>
  <si>
    <t>285977-85-7</t>
  </si>
  <si>
    <t>Damascone beta</t>
  </si>
  <si>
    <t>23726-91-2</t>
  </si>
  <si>
    <t>Veloutone</t>
  </si>
  <si>
    <t>14595-54-1</t>
  </si>
  <si>
    <t>Verdox</t>
  </si>
  <si>
    <t>82356-51-2</t>
  </si>
  <si>
    <t>Nirvanol</t>
  </si>
  <si>
    <t>1506-02-1</t>
  </si>
  <si>
    <t>Cetalox</t>
  </si>
  <si>
    <t>3738-00-9</t>
  </si>
  <si>
    <t>Tonalide</t>
  </si>
  <si>
    <t>21145-77-7</t>
  </si>
  <si>
    <t>Lamotrigine</t>
  </si>
  <si>
    <t>84057-84-1</t>
  </si>
  <si>
    <t>Diclofenac</t>
  </si>
  <si>
    <t>15307-79-6</t>
  </si>
  <si>
    <t>Ibuprofen</t>
  </si>
  <si>
    <t>di-n-butylphthalate</t>
  </si>
  <si>
    <t>84-74-2</t>
  </si>
  <si>
    <t>hexachlorophene</t>
  </si>
  <si>
    <t>70-30-4</t>
  </si>
  <si>
    <t>hexamethylenetetramine</t>
  </si>
  <si>
    <t>100-97-0</t>
  </si>
  <si>
    <t>pentachlorophenol</t>
  </si>
  <si>
    <t>87-86-5</t>
  </si>
  <si>
    <t>2,2,2-trichloroethanol</t>
  </si>
  <si>
    <t>115-20-8</t>
  </si>
  <si>
    <t>diethylphthalate</t>
  </si>
  <si>
    <t>84-66-2</t>
  </si>
  <si>
    <t>4-chlorophenol</t>
  </si>
  <si>
    <t>106-48-9</t>
  </si>
  <si>
    <t>permethrin</t>
  </si>
  <si>
    <t>52645-53-1</t>
  </si>
  <si>
    <t>Aniline</t>
  </si>
  <si>
    <t>62-53-3</t>
  </si>
  <si>
    <t>4-fluoroaniline</t>
  </si>
  <si>
    <t>371-40-4</t>
  </si>
  <si>
    <t>2,4,6-trichlorophenol</t>
  </si>
  <si>
    <t>88-06-2</t>
  </si>
  <si>
    <t>N-methylaniline</t>
  </si>
  <si>
    <t>100-61-8</t>
  </si>
  <si>
    <t>3,4-dichloroaniline</t>
  </si>
  <si>
    <t>95-76-1</t>
  </si>
  <si>
    <t>4-decylaniline</t>
  </si>
  <si>
    <t>37529-30-9</t>
  </si>
  <si>
    <t>naphthalene</t>
  </si>
  <si>
    <t>91-20-3</t>
  </si>
  <si>
    <t>1,2,4-trichlorobenzene</t>
  </si>
  <si>
    <t>120-82-1</t>
  </si>
  <si>
    <t>1,2-dichlorobenzene</t>
  </si>
  <si>
    <t>95-50-1</t>
  </si>
  <si>
    <t>tetrachloroethylene</t>
  </si>
  <si>
    <t>127-18-4</t>
  </si>
  <si>
    <t>cyclosporine A</t>
  </si>
  <si>
    <t>59865-13-3</t>
  </si>
  <si>
    <t>chlorpromazine</t>
  </si>
  <si>
    <t>50-53-3</t>
  </si>
  <si>
    <t>PBDE 47</t>
  </si>
  <si>
    <t>5436-43-1</t>
  </si>
  <si>
    <t>PBDE 99</t>
  </si>
  <si>
    <t>60348-60-9</t>
  </si>
  <si>
    <t>375-73-5</t>
  </si>
  <si>
    <t>757124-72-4</t>
  </si>
  <si>
    <t>375-95-1</t>
  </si>
  <si>
    <t>307-24-4</t>
  </si>
  <si>
    <t>375-22-4</t>
  </si>
  <si>
    <t>335-67-1</t>
  </si>
  <si>
    <t>27619-97-2</t>
  </si>
  <si>
    <t>39108-34-4</t>
  </si>
  <si>
    <t>2058-94-8</t>
  </si>
  <si>
    <t>1763-23-1</t>
  </si>
  <si>
    <t>375-85-9</t>
  </si>
  <si>
    <t>2706-90-3</t>
  </si>
  <si>
    <t>355-46-4</t>
  </si>
  <si>
    <t>335-76-2</t>
  </si>
  <si>
    <t>Azathioprine</t>
  </si>
  <si>
    <t>446-86-6</t>
  </si>
  <si>
    <t>Benzocaine</t>
  </si>
  <si>
    <t>94-09-7</t>
  </si>
  <si>
    <t>Butylated hydroxyanisole</t>
  </si>
  <si>
    <t>25013-16-5</t>
  </si>
  <si>
    <t>Cetirizine dihydrochloride</t>
  </si>
  <si>
    <t>83881-52-1</t>
  </si>
  <si>
    <t>Cyclamate</t>
  </si>
  <si>
    <t>139-05-9</t>
  </si>
  <si>
    <t>Cyclophosphamide</t>
  </si>
  <si>
    <t>6055-19-2</t>
  </si>
  <si>
    <t>Cypermethrin</t>
  </si>
  <si>
    <t>67375-30-8</t>
  </si>
  <si>
    <t>DEET</t>
  </si>
  <si>
    <t>134-62-3</t>
  </si>
  <si>
    <t>Dexamethasone</t>
  </si>
  <si>
    <t>50-02-2</t>
  </si>
  <si>
    <t>Digoxin</t>
  </si>
  <si>
    <t>20830-75-5</t>
  </si>
  <si>
    <t>Fenazaquin</t>
  </si>
  <si>
    <t>120928-09-8</t>
  </si>
  <si>
    <t>Fenbuconazole</t>
  </si>
  <si>
    <t>114369-43-6</t>
  </si>
  <si>
    <t>Fluazinam</t>
  </si>
  <si>
    <t>79622-59-6</t>
  </si>
  <si>
    <t>Furosemide</t>
  </si>
  <si>
    <t>54-31-9</t>
  </si>
  <si>
    <t>Glybenclamide</t>
  </si>
  <si>
    <t>10238-21-8</t>
  </si>
  <si>
    <t>HC Red 3</t>
  </si>
  <si>
    <t>2871-01-4</t>
  </si>
  <si>
    <t>Hydralazine hydrochloride</t>
  </si>
  <si>
    <t>304-20-1</t>
  </si>
  <si>
    <t>Ketoconazole</t>
  </si>
  <si>
    <t>65277-42-1</t>
  </si>
  <si>
    <t>Metformin</t>
  </si>
  <si>
    <t>1115-70-4</t>
  </si>
  <si>
    <t>Metoclopramide</t>
  </si>
  <si>
    <t>364-62-5</t>
  </si>
  <si>
    <t>Nitrofurantoin</t>
  </si>
  <si>
    <t>67-20-9</t>
  </si>
  <si>
    <t>Oxytetracycline hydrochloride</t>
  </si>
  <si>
    <t>2058-46-0</t>
  </si>
  <si>
    <t>Panthenol</t>
  </si>
  <si>
    <t xml:space="preserve">16485-10-2 </t>
  </si>
  <si>
    <t>Paracetamol</t>
  </si>
  <si>
    <t>103-90-2</t>
  </si>
  <si>
    <t>Topiramate</t>
  </si>
  <si>
    <t>97240-79-4</t>
  </si>
  <si>
    <t>Trimellitic anhydride</t>
  </si>
  <si>
    <t>552-30-7</t>
  </si>
  <si>
    <t>Verapamil hydrochloride</t>
  </si>
  <si>
    <t>152-11-4</t>
  </si>
  <si>
    <t>129-06-6</t>
  </si>
  <si>
    <t>Cisapride</t>
  </si>
  <si>
    <t>81098-60-4</t>
  </si>
  <si>
    <t>Citalopram hydrobromide</t>
  </si>
  <si>
    <t>59729-33-8</t>
  </si>
  <si>
    <t>Dofetilide</t>
  </si>
  <si>
    <t>115256-11-6</t>
  </si>
  <si>
    <t>Moxifloxacin hydrochloride</t>
  </si>
  <si>
    <t>186826-86-8</t>
  </si>
  <si>
    <t>N-acetylpro-cainamide</t>
  </si>
  <si>
    <t>32795-44-1</t>
  </si>
  <si>
    <t>Quinidine sulfate</t>
  </si>
  <si>
    <t>50-54-4</t>
  </si>
  <si>
    <t>Sematilide</t>
  </si>
  <si>
    <t>101526-83-4</t>
  </si>
  <si>
    <t>Sotalol hydrochloride</t>
  </si>
  <si>
    <t>959-24-0</t>
  </si>
  <si>
    <t>Mifepristone</t>
  </si>
  <si>
    <t>84371-65-3</t>
  </si>
  <si>
    <t>Perfluorobutanesulfonic_acid</t>
  </si>
  <si>
    <t>4_2_Fluorotelomer_sulfonic_acid</t>
  </si>
  <si>
    <t>˂1</t>
  </si>
  <si>
    <t>Perfluorononanoic_acid</t>
  </si>
  <si>
    <t>Perfluorohexanoic_acid</t>
  </si>
  <si>
    <t>Perfluorobutanoic_acid</t>
  </si>
  <si>
    <t>Perfluorooctanoic_acid</t>
  </si>
  <si>
    <t>6_2_Fluorotelomer_sulfonic_acid</t>
  </si>
  <si>
    <t>8_2_Fluorotelomer_sulfonic_acid</t>
  </si>
  <si>
    <t>Perfluoroundecanoic_acid</t>
  </si>
  <si>
    <t>Perfluorooctanesulfonic_acid</t>
  </si>
  <si>
    <t>Perfluoroheptanoic_acid</t>
  </si>
  <si>
    <t>Perfluoropentanoic_acid</t>
  </si>
  <si>
    <t>N/A</t>
  </si>
  <si>
    <t>Perfluorohexanesulfonic_acid</t>
  </si>
  <si>
    <t>Perfluorodecanoic_acid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</si>
</sst>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0.000000000"/>
    <numFmt numFmtId="178" formatCode="0.0%"/>
    <numFmt numFmtId="179" formatCode="0.00_);[Red]\(0.00\)"/>
    <numFmt numFmtId="180" formatCode="0.00000_);[Red]\(0.00000\)"/>
    <numFmt numFmtId="181" formatCode="0.000000_);[Red]\(0.000000\)"/>
    <numFmt numFmtId="182" formatCode="0.0E+00"/>
  </numFmts>
  <fonts count="22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E4BC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8" fillId="0" borderId="0"/>
  </cellStyleXfs>
  <cellXfs count="185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8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79" fontId="0" fillId="3" borderId="0" xfId="0" applyNumberFormat="1" applyFill="1"/>
    <xf numFmtId="180" fontId="0" fillId="3" borderId="0" xfId="0" applyNumberFormat="1" applyFill="1"/>
    <xf numFmtId="181" fontId="0" fillId="3" borderId="0" xfId="0" applyNumberFormat="1" applyFill="1"/>
    <xf numFmtId="0" fontId="4" fillId="8" borderId="7" xfId="0" applyFont="1" applyFill="1" applyBorder="1" applyAlignment="1" applyProtection="1">
      <alignment horizontal="left" vertical="center"/>
      <protection locked="0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2" fontId="4" fillId="8" borderId="7" xfId="0" applyNumberFormat="1" applyFont="1" applyFill="1" applyBorder="1" applyAlignment="1" applyProtection="1">
      <alignment horizontal="center" vertical="center"/>
      <protection locked="0"/>
    </xf>
    <xf numFmtId="2" fontId="1" fillId="8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2" fontId="19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0" fillId="5" borderId="0" xfId="0" applyFill="1"/>
    <xf numFmtId="181" fontId="0" fillId="0" borderId="0" xfId="0" applyNumberFormat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" zoomScale="90" zoomScaleNormal="90" workbookViewId="0">
      <selection activeCell="L17" sqref="L17:N17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0" t="s">
        <v>57</v>
      </c>
      <c r="C2" s="111"/>
      <c r="D2" s="111"/>
      <c r="E2" s="111"/>
      <c r="F2" s="111"/>
      <c r="G2" s="111"/>
      <c r="H2" s="112"/>
      <c r="I2" s="7"/>
      <c r="J2" s="101" t="s">
        <v>56</v>
      </c>
      <c r="K2" s="102"/>
      <c r="L2" s="102"/>
      <c r="M2" s="102"/>
      <c r="N2" s="102"/>
      <c r="O2" s="103"/>
      <c r="P2" s="7"/>
      <c r="Q2" s="101" t="s">
        <v>58</v>
      </c>
      <c r="R2" s="102"/>
      <c r="S2" s="102"/>
      <c r="T2" s="102"/>
      <c r="U2" s="102"/>
      <c r="V2" s="103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4" t="s">
        <v>0</v>
      </c>
      <c r="C3" s="25" t="s">
        <v>1</v>
      </c>
      <c r="D3" s="25"/>
      <c r="E3" s="25"/>
      <c r="F3" s="25"/>
      <c r="G3" s="25"/>
      <c r="H3" s="26"/>
      <c r="I3" s="7"/>
      <c r="J3" s="104"/>
      <c r="K3" s="105"/>
      <c r="L3" s="105"/>
      <c r="M3" s="105"/>
      <c r="N3" s="105"/>
      <c r="O3" s="106"/>
      <c r="P3" s="7"/>
      <c r="Q3" s="104"/>
      <c r="R3" s="105"/>
      <c r="S3" s="105"/>
      <c r="T3" s="105"/>
      <c r="U3" s="105"/>
      <c r="V3" s="106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7"/>
      <c r="C4" s="28" t="s">
        <v>2</v>
      </c>
      <c r="D4" s="29"/>
      <c r="E4" s="29"/>
      <c r="F4" s="29"/>
      <c r="G4" s="28"/>
      <c r="H4" s="30"/>
      <c r="I4" s="7"/>
      <c r="J4" s="107"/>
      <c r="K4" s="108"/>
      <c r="L4" s="108"/>
      <c r="M4" s="108"/>
      <c r="N4" s="108"/>
      <c r="O4" s="109"/>
      <c r="P4" s="7"/>
      <c r="Q4" s="107"/>
      <c r="R4" s="108"/>
      <c r="S4" s="108"/>
      <c r="T4" s="108"/>
      <c r="U4" s="108"/>
      <c r="V4" s="109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19"/>
      <c r="C5" s="1"/>
      <c r="D5" s="20"/>
      <c r="E5" s="20"/>
      <c r="F5" s="20"/>
      <c r="G5" s="1"/>
      <c r="H5" s="2"/>
      <c r="I5" s="7"/>
      <c r="J5" s="16"/>
      <c r="K5" s="17"/>
      <c r="L5" s="17"/>
      <c r="M5" s="17"/>
      <c r="N5" s="17"/>
      <c r="O5" s="18"/>
      <c r="P5" s="7"/>
      <c r="Q5" s="58"/>
      <c r="R5" s="59"/>
      <c r="S5" s="59"/>
      <c r="T5" s="59"/>
      <c r="U5" s="59"/>
      <c r="V5" s="60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1"/>
      <c r="C6" s="22"/>
      <c r="D6" s="22"/>
      <c r="E6" s="22"/>
      <c r="F6" s="22"/>
      <c r="G6" s="7"/>
      <c r="H6" s="14"/>
      <c r="I6" s="7"/>
      <c r="J6" s="11"/>
      <c r="K6" s="34" t="s">
        <v>21</v>
      </c>
      <c r="L6" s="35" t="s">
        <v>22</v>
      </c>
      <c r="M6" s="35" t="s">
        <v>25</v>
      </c>
      <c r="N6" s="13"/>
      <c r="O6" s="14"/>
      <c r="P6" s="7"/>
      <c r="Q6" s="12"/>
      <c r="R6" s="68"/>
      <c r="S6" s="79"/>
      <c r="T6" s="79"/>
      <c r="U6" s="3"/>
      <c r="V6" s="15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1"/>
      <c r="C7" s="7"/>
      <c r="D7" s="7"/>
      <c r="E7" s="7"/>
      <c r="F7" s="7"/>
      <c r="G7" s="7"/>
      <c r="H7" s="14"/>
      <c r="I7" s="7"/>
      <c r="J7" s="11"/>
      <c r="K7" s="81" t="s">
        <v>74</v>
      </c>
      <c r="L7" s="82">
        <v>0</v>
      </c>
      <c r="M7" s="83">
        <v>0</v>
      </c>
      <c r="N7" s="13"/>
      <c r="O7" s="14"/>
      <c r="P7" s="7"/>
      <c r="Q7" s="11"/>
      <c r="R7" s="13"/>
      <c r="S7" s="61"/>
      <c r="T7" s="62"/>
      <c r="U7" s="13"/>
      <c r="V7" s="14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1"/>
      <c r="C8" s="7"/>
      <c r="D8" s="7"/>
      <c r="E8" s="7"/>
      <c r="F8" s="7"/>
      <c r="G8" s="7"/>
      <c r="H8" s="14"/>
      <c r="I8" s="7"/>
      <c r="J8" s="11"/>
      <c r="K8" s="31" t="s">
        <v>23</v>
      </c>
      <c r="L8" s="32">
        <v>0</v>
      </c>
      <c r="M8" s="33">
        <v>0</v>
      </c>
      <c r="N8" s="13"/>
      <c r="O8" s="14"/>
      <c r="P8" s="7"/>
      <c r="Q8" s="12"/>
      <c r="R8" s="3"/>
      <c r="S8" s="77"/>
      <c r="T8" s="78"/>
      <c r="U8" s="3"/>
      <c r="V8" s="15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1"/>
      <c r="C9" s="7"/>
      <c r="D9" s="7"/>
      <c r="E9" s="7"/>
      <c r="F9" s="7"/>
      <c r="G9" s="7"/>
      <c r="H9" s="14"/>
      <c r="I9" s="7"/>
      <c r="J9" s="11"/>
      <c r="K9" s="31" t="s">
        <v>63</v>
      </c>
      <c r="L9" s="32">
        <v>0</v>
      </c>
      <c r="M9" s="33">
        <v>0</v>
      </c>
      <c r="N9" s="13"/>
      <c r="O9" s="14"/>
      <c r="P9" s="7"/>
      <c r="Q9" s="64"/>
      <c r="R9" s="1"/>
      <c r="S9" s="75"/>
      <c r="T9" s="76"/>
      <c r="U9" s="1"/>
      <c r="V9" s="66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1"/>
      <c r="C10" s="7"/>
      <c r="D10" s="7"/>
      <c r="E10" s="7"/>
      <c r="F10" s="7"/>
      <c r="G10" s="7"/>
      <c r="H10" s="14"/>
      <c r="I10" s="7"/>
      <c r="J10" s="11"/>
      <c r="K10" s="81" t="s">
        <v>16</v>
      </c>
      <c r="L10" s="82">
        <v>24</v>
      </c>
      <c r="M10" s="82">
        <v>1.9</v>
      </c>
      <c r="N10" s="13"/>
      <c r="O10" s="14"/>
      <c r="P10" s="7"/>
      <c r="Q10" s="12"/>
      <c r="R10" s="3"/>
      <c r="S10" s="77"/>
      <c r="T10" s="68"/>
      <c r="U10" s="3"/>
      <c r="V10" s="15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1"/>
      <c r="C11" s="7"/>
      <c r="D11" s="7"/>
      <c r="E11" s="7"/>
      <c r="F11" s="7"/>
      <c r="G11" s="7"/>
      <c r="H11" s="14"/>
      <c r="I11" s="7"/>
      <c r="J11" s="11"/>
      <c r="K11" s="31" t="s">
        <v>75</v>
      </c>
      <c r="L11" s="32">
        <v>46.77</v>
      </c>
      <c r="M11" s="32">
        <v>1.6</v>
      </c>
      <c r="N11" s="13"/>
      <c r="O11" s="14"/>
      <c r="P11" s="7"/>
      <c r="Q11" s="64"/>
      <c r="R11" s="1"/>
      <c r="S11" s="75"/>
      <c r="T11" s="75"/>
      <c r="U11" s="1"/>
      <c r="V11" s="66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1"/>
      <c r="C12" s="7"/>
      <c r="D12" s="7"/>
      <c r="E12" s="7"/>
      <c r="F12" s="7"/>
      <c r="G12" s="7"/>
      <c r="H12" s="14"/>
      <c r="I12" s="7"/>
      <c r="J12" s="11"/>
      <c r="K12" s="31" t="s">
        <v>24</v>
      </c>
      <c r="L12" s="32">
        <v>37.69</v>
      </c>
      <c r="M12" s="32">
        <v>1.46</v>
      </c>
      <c r="N12" s="13"/>
      <c r="O12" s="14"/>
      <c r="P12" s="7"/>
      <c r="Q12" s="11"/>
      <c r="R12" s="13"/>
      <c r="S12" s="61"/>
      <c r="T12" s="61"/>
      <c r="U12" s="13"/>
      <c r="V12" s="14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1"/>
      <c r="C13" s="7"/>
      <c r="D13" s="7"/>
      <c r="E13" s="7"/>
      <c r="F13" s="7"/>
      <c r="G13" s="7"/>
      <c r="H13" s="14"/>
      <c r="I13" s="7"/>
      <c r="J13" s="11"/>
      <c r="K13" s="13"/>
      <c r="L13" s="13"/>
      <c r="M13" s="13"/>
      <c r="N13" s="13"/>
      <c r="O13" s="14"/>
      <c r="P13" s="7"/>
      <c r="Q13" s="12"/>
      <c r="R13" s="3"/>
      <c r="S13" s="3"/>
      <c r="T13" s="3"/>
      <c r="U13" s="3"/>
      <c r="V13" s="15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1"/>
      <c r="C14" s="7"/>
      <c r="D14" s="7"/>
      <c r="E14" s="7"/>
      <c r="F14" s="7"/>
      <c r="G14" s="7"/>
      <c r="H14" s="14"/>
      <c r="I14" s="7"/>
      <c r="J14" s="11"/>
      <c r="K14" s="36" t="s">
        <v>29</v>
      </c>
      <c r="L14" s="35" t="s">
        <v>26</v>
      </c>
      <c r="M14" s="35" t="s">
        <v>27</v>
      </c>
      <c r="N14" s="35" t="s">
        <v>28</v>
      </c>
      <c r="O14" s="14"/>
      <c r="P14" s="7"/>
      <c r="Q14" s="71"/>
      <c r="R14" s="72"/>
      <c r="S14" s="73"/>
      <c r="T14" s="73"/>
      <c r="U14" s="73"/>
      <c r="V14" s="74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1"/>
      <c r="C15" s="7"/>
      <c r="D15" s="7"/>
      <c r="E15" s="7"/>
      <c r="F15" s="7"/>
      <c r="G15" s="7"/>
      <c r="H15" s="14"/>
      <c r="I15" s="7"/>
      <c r="J15" s="11"/>
      <c r="K15" s="31" t="s">
        <v>76</v>
      </c>
      <c r="L15" s="57">
        <f>M15/0.029*(0.018)</f>
        <v>4.619905956112852E-5</v>
      </c>
      <c r="M15" s="57">
        <v>7.4431818181818174E-5</v>
      </c>
      <c r="N15" s="57">
        <f>M15/0.029*(0.953)</f>
        <v>2.4459835423197487E-3</v>
      </c>
      <c r="O15" s="98">
        <f>SUM(L15:N15)</f>
        <v>2.5666144200626952E-3</v>
      </c>
      <c r="P15" s="9"/>
      <c r="Q15" s="64"/>
      <c r="R15" s="1"/>
      <c r="S15" s="69"/>
      <c r="T15" s="69"/>
      <c r="U15" s="69"/>
      <c r="V15" s="66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1"/>
      <c r="C16" s="7"/>
      <c r="D16" s="7"/>
      <c r="E16" s="7"/>
      <c r="F16" s="7"/>
      <c r="G16" s="7"/>
      <c r="H16" s="14"/>
      <c r="I16" s="7"/>
      <c r="J16" s="11"/>
      <c r="K16" s="31" t="s">
        <v>30</v>
      </c>
      <c r="L16" s="57">
        <v>2.5484800000000001E-3</v>
      </c>
      <c r="M16" s="57">
        <v>2.2915000000000001E-4</v>
      </c>
      <c r="N16" s="57">
        <v>9.6669999999999994E-5</v>
      </c>
      <c r="O16" s="98"/>
      <c r="P16" s="9"/>
      <c r="Q16" s="12"/>
      <c r="R16" s="3"/>
      <c r="S16" s="70"/>
      <c r="T16" s="70"/>
      <c r="U16" s="70"/>
      <c r="V16" s="15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1"/>
      <c r="C17" s="7"/>
      <c r="D17" s="7"/>
      <c r="E17" s="7"/>
      <c r="F17" s="7"/>
      <c r="G17" s="7"/>
      <c r="H17" s="14"/>
      <c r="I17" s="7"/>
      <c r="J17" s="99" t="s">
        <v>32</v>
      </c>
      <c r="K17" s="31" t="s">
        <v>80</v>
      </c>
      <c r="L17" s="80">
        <v>3.2908E-3</v>
      </c>
      <c r="M17" s="80">
        <v>4.0128000000000001E-4</v>
      </c>
      <c r="N17" s="80">
        <v>1.0792000000000001E-4</v>
      </c>
      <c r="O17" s="98"/>
      <c r="P17" s="9"/>
      <c r="Q17" s="64"/>
      <c r="R17" s="1"/>
      <c r="S17" s="69"/>
      <c r="T17" s="69"/>
      <c r="U17" s="69"/>
      <c r="V17" s="66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1"/>
      <c r="C18" s="7"/>
      <c r="D18" s="7"/>
      <c r="E18" s="7"/>
      <c r="F18" s="7"/>
      <c r="G18" s="7"/>
      <c r="H18" s="14"/>
      <c r="I18" s="7"/>
      <c r="J18" s="11"/>
      <c r="K18" s="31" t="s">
        <v>31</v>
      </c>
      <c r="L18" s="57">
        <v>2.2457100000000002E-3</v>
      </c>
      <c r="M18" s="57">
        <v>3.0027E-4</v>
      </c>
      <c r="N18" s="57">
        <v>6.6229999999999994E-5</v>
      </c>
      <c r="O18" s="98"/>
      <c r="P18" s="9"/>
      <c r="Q18" s="11"/>
      <c r="R18" s="13"/>
      <c r="S18" s="63"/>
      <c r="T18" s="63"/>
      <c r="U18" s="63"/>
      <c r="V18" s="14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1"/>
      <c r="C19" s="7"/>
      <c r="D19" s="7"/>
      <c r="E19" s="7"/>
      <c r="F19" s="7"/>
      <c r="G19" s="7"/>
      <c r="H19" s="14"/>
      <c r="I19" s="7"/>
      <c r="J19" s="11"/>
      <c r="K19" s="31" t="s">
        <v>32</v>
      </c>
      <c r="L19" s="57">
        <v>3.2730300000000001E-3</v>
      </c>
      <c r="M19" s="57">
        <v>3.9889999999999999E-4</v>
      </c>
      <c r="N19" s="57">
        <v>1.0728E-4</v>
      </c>
      <c r="O19" s="98"/>
      <c r="P19" s="9"/>
      <c r="Q19" s="12"/>
      <c r="R19" s="3"/>
      <c r="S19" s="70"/>
      <c r="T19" s="70"/>
      <c r="U19" s="70"/>
      <c r="V19" s="15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1"/>
      <c r="C20" s="7"/>
      <c r="D20" s="7"/>
      <c r="E20" s="7"/>
      <c r="F20" s="7"/>
      <c r="G20" s="7"/>
      <c r="H20" s="14"/>
      <c r="I20" s="7"/>
      <c r="J20" s="12"/>
      <c r="K20" s="3"/>
      <c r="L20" s="3"/>
      <c r="M20" s="3"/>
      <c r="N20" s="3"/>
      <c r="O20" s="15"/>
      <c r="P20" s="7"/>
      <c r="Q20" s="64"/>
      <c r="R20" s="1"/>
      <c r="S20" s="1"/>
      <c r="T20" s="1"/>
      <c r="U20" s="1"/>
      <c r="V20" s="66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1"/>
      <c r="C21" s="7"/>
      <c r="D21" s="7"/>
      <c r="E21" s="7"/>
      <c r="F21" s="7"/>
      <c r="G21" s="7"/>
      <c r="H21" s="14"/>
      <c r="I21" s="7"/>
      <c r="J21" s="7"/>
      <c r="K21" s="7"/>
      <c r="L21" s="7"/>
      <c r="M21" s="7"/>
      <c r="N21" s="7"/>
      <c r="O21" s="7"/>
      <c r="P21" s="7"/>
      <c r="Q21" s="11"/>
      <c r="R21" s="7"/>
      <c r="S21" s="7"/>
      <c r="T21" s="7"/>
      <c r="U21" s="7"/>
      <c r="V21" s="14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1"/>
      <c r="C22" s="7"/>
      <c r="D22" s="7"/>
      <c r="E22" s="7"/>
      <c r="F22" s="7"/>
      <c r="G22" s="7"/>
      <c r="H22" s="14"/>
      <c r="I22" s="7"/>
      <c r="J22" s="7"/>
      <c r="K22" s="7"/>
      <c r="M22" s="7"/>
      <c r="N22" s="7"/>
      <c r="O22" s="7"/>
      <c r="P22" s="7"/>
      <c r="Q22" s="12"/>
      <c r="R22" s="23"/>
      <c r="S22" s="23"/>
      <c r="T22" s="23"/>
      <c r="U22" s="23"/>
      <c r="V22" s="15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1"/>
      <c r="C23" s="7"/>
      <c r="D23" s="7"/>
      <c r="E23" s="7"/>
      <c r="F23" s="7"/>
      <c r="G23" s="7"/>
      <c r="H23" s="14"/>
      <c r="I23" s="7"/>
      <c r="J23" s="7"/>
      <c r="K23" s="7"/>
      <c r="L23" s="7"/>
      <c r="N23" s="7"/>
      <c r="O23" s="84"/>
      <c r="P23" s="7"/>
      <c r="Q23" s="64"/>
      <c r="R23" s="65"/>
      <c r="S23" s="65"/>
      <c r="T23" s="65"/>
      <c r="U23" s="65"/>
      <c r="V23" s="66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2"/>
      <c r="C24" s="23"/>
      <c r="D24" s="23"/>
      <c r="E24" s="23"/>
      <c r="F24" s="23"/>
      <c r="G24" s="23"/>
      <c r="H24" s="15"/>
      <c r="I24" s="7"/>
      <c r="J24" s="7"/>
      <c r="K24" s="7"/>
      <c r="L24" s="7"/>
      <c r="M24" s="7"/>
      <c r="N24" s="7"/>
      <c r="O24" s="85"/>
      <c r="P24" s="7"/>
      <c r="Q24" s="11"/>
      <c r="R24" s="7"/>
      <c r="S24" s="7"/>
      <c r="T24" s="7"/>
      <c r="U24" s="7"/>
      <c r="V24" s="14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97"/>
      <c r="M25" s="7"/>
      <c r="N25" s="7"/>
      <c r="O25" s="86"/>
      <c r="P25" s="7"/>
      <c r="Q25" s="12"/>
      <c r="R25" s="23"/>
      <c r="S25" s="23"/>
      <c r="T25" s="23"/>
      <c r="U25" s="23"/>
      <c r="V25" s="15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N26" s="7"/>
      <c r="O26" s="7"/>
      <c r="P26" s="7"/>
      <c r="Q26" s="64"/>
      <c r="R26" s="65"/>
      <c r="S26" s="65"/>
      <c r="T26" s="65"/>
      <c r="U26" s="65"/>
      <c r="V26" s="66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2"/>
      <c r="R27" s="23"/>
      <c r="S27" s="23"/>
      <c r="T27" s="23"/>
      <c r="U27" s="23"/>
      <c r="V27" s="15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4"/>
      <c r="R28" s="67"/>
      <c r="S28" s="65"/>
      <c r="T28" s="65"/>
      <c r="U28" s="65"/>
      <c r="V28" s="66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1"/>
      <c r="R29" s="7"/>
      <c r="T29" s="7"/>
      <c r="U29" s="7"/>
      <c r="V29" s="14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1"/>
      <c r="R30" s="7"/>
      <c r="S30" s="7"/>
      <c r="T30" s="7"/>
      <c r="U30" s="7"/>
      <c r="V30" s="14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2"/>
      <c r="R31" s="23"/>
      <c r="S31" s="23"/>
      <c r="T31" s="23"/>
      <c r="U31" s="23"/>
      <c r="V31" s="15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64"/>
      <c r="R32" s="65"/>
      <c r="S32" s="67"/>
      <c r="T32" s="65"/>
      <c r="U32" s="65"/>
      <c r="V32" s="66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Q33" s="11"/>
      <c r="S33" s="7"/>
      <c r="T33" s="7"/>
      <c r="U33" s="7"/>
      <c r="V33" s="14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1"/>
      <c r="R34" s="7"/>
      <c r="S34" s="7"/>
      <c r="U34" s="7"/>
      <c r="V34" s="14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2"/>
      <c r="R35" s="23"/>
      <c r="S35" s="68"/>
      <c r="T35" s="23"/>
      <c r="U35" s="23"/>
      <c r="V35" s="15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P36" s="7"/>
      <c r="Q36" s="64"/>
      <c r="R36" s="65"/>
      <c r="S36" s="65"/>
      <c r="T36" s="65"/>
      <c r="U36" s="65"/>
      <c r="V36" s="66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1"/>
      <c r="S37" s="7"/>
      <c r="T37" s="7"/>
      <c r="U37" s="7"/>
      <c r="V37" s="14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1"/>
      <c r="R38" s="7"/>
      <c r="S38" s="7"/>
      <c r="T38" s="7"/>
      <c r="U38" s="7"/>
      <c r="V38" s="14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2"/>
      <c r="R39" s="23"/>
      <c r="S39" s="23"/>
      <c r="T39" s="23"/>
      <c r="U39" s="23"/>
      <c r="V39" s="15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4"/>
      <c r="R40" s="65"/>
      <c r="S40" s="65"/>
      <c r="T40" s="65"/>
      <c r="U40" s="65"/>
      <c r="V40" s="66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1"/>
      <c r="R41" s="7"/>
      <c r="S41" s="7"/>
      <c r="T41" s="7"/>
      <c r="U41" s="7"/>
      <c r="V41" s="14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2"/>
      <c r="R42" s="23"/>
      <c r="S42" s="23"/>
      <c r="T42" s="23"/>
      <c r="U42" s="23"/>
      <c r="V42" s="15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4"/>
      <c r="R43" s="65"/>
      <c r="S43" s="65"/>
      <c r="T43" s="65"/>
      <c r="U43" s="65"/>
      <c r="V43" s="66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1"/>
      <c r="R44" s="7"/>
      <c r="S44" s="7"/>
      <c r="T44" s="7"/>
      <c r="U44" s="7"/>
      <c r="V44" s="14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1"/>
      <c r="R45" s="7"/>
      <c r="S45" s="7"/>
      <c r="T45" s="7"/>
      <c r="U45" s="7"/>
      <c r="V45" s="14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2"/>
      <c r="R46" s="23"/>
      <c r="S46" s="23"/>
      <c r="T46" s="23"/>
      <c r="U46" s="23"/>
      <c r="V46" s="15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7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G104" zoomScale="70" zoomScaleNormal="70" workbookViewId="0">
      <selection activeCell="S28" sqref="S28:V143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38"/>
      <c r="H1" s="13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38"/>
      <c r="H2" s="138"/>
      <c r="I2" s="151" t="s">
        <v>19</v>
      </c>
      <c r="J2" s="152"/>
      <c r="K2" s="152"/>
      <c r="L2" s="152"/>
      <c r="M2" s="152"/>
      <c r="N2" s="152"/>
      <c r="O2" s="152"/>
      <c r="P2" s="152"/>
      <c r="Q2" s="153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38"/>
      <c r="H3" s="138"/>
      <c r="I3" s="154"/>
      <c r="J3" s="155"/>
      <c r="K3" s="155"/>
      <c r="L3" s="155"/>
      <c r="M3" s="155"/>
      <c r="N3" s="155"/>
      <c r="O3" s="155"/>
      <c r="P3" s="155"/>
      <c r="Q3" s="156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38"/>
      <c r="H4" s="138"/>
      <c r="I4" s="157"/>
      <c r="J4" s="158"/>
      <c r="K4" s="158"/>
      <c r="L4" s="158"/>
      <c r="M4" s="158"/>
      <c r="N4" s="158"/>
      <c r="O4" s="158"/>
      <c r="P4" s="158"/>
      <c r="Q4" s="159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38"/>
      <c r="H5" s="138"/>
      <c r="I5" s="160" t="s">
        <v>38</v>
      </c>
      <c r="J5" s="161"/>
      <c r="K5" s="161"/>
      <c r="L5" s="161"/>
      <c r="M5" s="161"/>
      <c r="N5" s="161"/>
      <c r="O5" s="161"/>
      <c r="P5" s="161"/>
      <c r="Q5" s="162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38"/>
      <c r="H6" s="138"/>
      <c r="I6" s="49" t="s">
        <v>49</v>
      </c>
      <c r="J6" s="49" t="s">
        <v>50</v>
      </c>
      <c r="K6" s="49" t="s">
        <v>46</v>
      </c>
      <c r="L6" s="130" t="s">
        <v>39</v>
      </c>
      <c r="M6" s="131"/>
      <c r="N6" s="131"/>
      <c r="O6" s="131"/>
      <c r="P6" s="131"/>
      <c r="Q6" s="132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38"/>
      <c r="H7" s="138"/>
      <c r="I7" s="50" t="s">
        <v>20</v>
      </c>
      <c r="J7" s="37">
        <f>SUM(J13,J19)</f>
        <v>40.021279999999997</v>
      </c>
      <c r="K7" s="38">
        <f>J7/J7</f>
        <v>1</v>
      </c>
      <c r="L7" s="113" t="s">
        <v>68</v>
      </c>
      <c r="M7" s="114"/>
      <c r="N7" s="114"/>
      <c r="O7" s="114"/>
      <c r="P7" s="114"/>
      <c r="Q7" s="115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76" t="s">
        <v>3</v>
      </c>
      <c r="C8" s="177"/>
      <c r="D8" s="177"/>
      <c r="E8" s="177"/>
      <c r="F8" s="178"/>
      <c r="G8" s="138"/>
      <c r="H8" s="138"/>
      <c r="I8" s="51" t="s">
        <v>6</v>
      </c>
      <c r="J8" s="37">
        <f>SUM(J14,J20)</f>
        <v>39.811228479999997</v>
      </c>
      <c r="K8" s="39">
        <f>J8/J7</f>
        <v>0.99475150419976577</v>
      </c>
      <c r="L8" s="113" t="s">
        <v>69</v>
      </c>
      <c r="M8" s="114"/>
      <c r="N8" s="114"/>
      <c r="O8" s="114"/>
      <c r="P8" s="114"/>
      <c r="Q8" s="115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79"/>
      <c r="C9" s="180"/>
      <c r="D9" s="180"/>
      <c r="E9" s="180"/>
      <c r="F9" s="181"/>
      <c r="G9" s="138"/>
      <c r="H9" s="138"/>
      <c r="I9" s="50" t="s">
        <v>8</v>
      </c>
      <c r="J9" s="40">
        <f t="shared" ref="J9:J10" si="0">SUM(J15,J21)</f>
        <v>0.19424716800000003</v>
      </c>
      <c r="K9" s="39">
        <f>J9/J7</f>
        <v>4.8535970863500628E-3</v>
      </c>
      <c r="L9" s="113" t="s">
        <v>69</v>
      </c>
      <c r="M9" s="114"/>
      <c r="N9" s="114"/>
      <c r="O9" s="114"/>
      <c r="P9" s="114"/>
      <c r="Q9" s="115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82"/>
      <c r="C10" s="183"/>
      <c r="D10" s="183"/>
      <c r="E10" s="183"/>
      <c r="F10" s="184"/>
      <c r="G10" s="138"/>
      <c r="H10" s="138"/>
      <c r="I10" s="51" t="s">
        <v>9</v>
      </c>
      <c r="J10" s="40">
        <f t="shared" si="0"/>
        <v>1.5804352000000001E-2</v>
      </c>
      <c r="K10" s="39">
        <f>J10/J7</f>
        <v>3.9489871388421365E-4</v>
      </c>
      <c r="L10" s="113" t="s">
        <v>69</v>
      </c>
      <c r="M10" s="114"/>
      <c r="N10" s="114"/>
      <c r="O10" s="114"/>
      <c r="P10" s="114"/>
      <c r="Q10" s="115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41" t="s">
        <v>36</v>
      </c>
      <c r="C11" s="142"/>
      <c r="D11" s="142"/>
      <c r="E11" s="142"/>
      <c r="F11" s="143"/>
      <c r="G11" s="138"/>
      <c r="H11" s="138"/>
      <c r="I11" s="129"/>
      <c r="J11" s="129"/>
      <c r="K11" s="129"/>
      <c r="L11" s="129"/>
      <c r="M11" s="129"/>
      <c r="N11" s="129"/>
      <c r="O11" s="129"/>
      <c r="P11" s="129"/>
      <c r="Q11" s="129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44"/>
      <c r="C12" s="145"/>
      <c r="D12" s="145"/>
      <c r="E12" s="145"/>
      <c r="F12" s="146"/>
      <c r="G12" s="138"/>
      <c r="H12" s="138"/>
      <c r="I12" s="49" t="s">
        <v>51</v>
      </c>
      <c r="J12" s="49" t="s">
        <v>50</v>
      </c>
      <c r="K12" s="49" t="s">
        <v>46</v>
      </c>
      <c r="L12" s="130" t="s">
        <v>39</v>
      </c>
      <c r="M12" s="131"/>
      <c r="N12" s="131"/>
      <c r="O12" s="131"/>
      <c r="P12" s="131"/>
      <c r="Q12" s="132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33" t="s">
        <v>4</v>
      </c>
      <c r="C13" s="134"/>
      <c r="D13" s="166" t="s">
        <v>39</v>
      </c>
      <c r="E13" s="166"/>
      <c r="F13" s="166"/>
      <c r="G13" s="138"/>
      <c r="H13" s="138"/>
      <c r="I13" s="50" t="s">
        <v>5</v>
      </c>
      <c r="J13" s="41">
        <f>SUM(J14:J16)</f>
        <v>40</v>
      </c>
      <c r="K13" s="38">
        <f>J13/J13</f>
        <v>1</v>
      </c>
      <c r="L13" s="113" t="s">
        <v>71</v>
      </c>
      <c r="M13" s="114"/>
      <c r="N13" s="114"/>
      <c r="O13" s="114"/>
      <c r="P13" s="114"/>
      <c r="Q13" s="115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33</v>
      </c>
      <c r="C14" s="43">
        <v>40</v>
      </c>
      <c r="D14" s="167" t="s">
        <v>17</v>
      </c>
      <c r="E14" s="167"/>
      <c r="F14" s="167"/>
      <c r="G14" s="138"/>
      <c r="H14" s="138"/>
      <c r="I14" s="51" t="s">
        <v>43</v>
      </c>
      <c r="J14" s="41">
        <f>C14-SUM(J15:J16)</f>
        <v>39.7928</v>
      </c>
      <c r="K14" s="39">
        <f>J14/J13</f>
        <v>0.99482000000000004</v>
      </c>
      <c r="L14" s="135" t="s">
        <v>70</v>
      </c>
      <c r="M14" s="136"/>
      <c r="N14" s="136"/>
      <c r="O14" s="136"/>
      <c r="P14" s="136"/>
      <c r="Q14" s="13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14</v>
      </c>
      <c r="C15" s="43" t="s">
        <v>13</v>
      </c>
      <c r="D15" s="168" t="s">
        <v>60</v>
      </c>
      <c r="E15" s="168"/>
      <c r="F15" s="168"/>
      <c r="G15" s="138"/>
      <c r="H15" s="138"/>
      <c r="I15" s="50" t="s">
        <v>44</v>
      </c>
      <c r="J15" s="42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0.19200000000000003</v>
      </c>
      <c r="K15" s="39">
        <f>J15/J13</f>
        <v>4.8000000000000004E-3</v>
      </c>
      <c r="L15" s="113" t="s">
        <v>69</v>
      </c>
      <c r="M15" s="114"/>
      <c r="N15" s="114"/>
      <c r="O15" s="114"/>
      <c r="P15" s="114"/>
      <c r="Q15" s="115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34</v>
      </c>
      <c r="C16" s="44">
        <v>0.8</v>
      </c>
      <c r="D16" s="169" t="s">
        <v>40</v>
      </c>
      <c r="E16" s="170"/>
      <c r="F16" s="171"/>
      <c r="G16" s="138"/>
      <c r="H16" s="138"/>
      <c r="I16" s="51" t="s">
        <v>45</v>
      </c>
      <c r="J16" s="42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1.52E-2</v>
      </c>
      <c r="K16" s="39">
        <f>J16/J13</f>
        <v>3.8000000000000002E-4</v>
      </c>
      <c r="L16" s="113" t="s">
        <v>69</v>
      </c>
      <c r="M16" s="114"/>
      <c r="N16" s="114"/>
      <c r="O16" s="114"/>
      <c r="P16" s="114"/>
      <c r="Q16" s="115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15</v>
      </c>
      <c r="C17" s="43" t="s">
        <v>77</v>
      </c>
      <c r="D17" s="172" t="s">
        <v>61</v>
      </c>
      <c r="E17" s="173"/>
      <c r="F17" s="174"/>
      <c r="G17" s="138"/>
      <c r="H17" s="138"/>
      <c r="I17" s="135"/>
      <c r="J17" s="136"/>
      <c r="K17" s="136"/>
      <c r="L17" s="136"/>
      <c r="M17" s="136"/>
      <c r="N17" s="136"/>
      <c r="O17" s="136"/>
      <c r="P17" s="136"/>
      <c r="Q17" s="13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35</v>
      </c>
      <c r="C18" s="44">
        <v>0.2</v>
      </c>
      <c r="D18" s="169" t="s">
        <v>41</v>
      </c>
      <c r="E18" s="170"/>
      <c r="F18" s="171"/>
      <c r="G18" s="138"/>
      <c r="H18" s="138"/>
      <c r="I18" s="49" t="s">
        <v>29</v>
      </c>
      <c r="J18" s="49" t="s">
        <v>50</v>
      </c>
      <c r="K18" s="49" t="s">
        <v>46</v>
      </c>
      <c r="L18" s="130" t="s">
        <v>39</v>
      </c>
      <c r="M18" s="131"/>
      <c r="N18" s="131"/>
      <c r="O18" s="131"/>
      <c r="P18" s="131"/>
      <c r="Q18" s="132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68"/>
      <c r="C19" s="168"/>
      <c r="D19" s="168"/>
      <c r="E19" s="168"/>
      <c r="F19" s="168"/>
      <c r="G19" s="138"/>
      <c r="H19" s="138"/>
      <c r="I19" s="50" t="s">
        <v>5</v>
      </c>
      <c r="J19" s="41">
        <f>SUM(J20:J22)</f>
        <v>2.128E-2</v>
      </c>
      <c r="K19" s="38">
        <f>J19/J19</f>
        <v>1</v>
      </c>
      <c r="L19" s="113" t="s">
        <v>55</v>
      </c>
      <c r="M19" s="114"/>
      <c r="N19" s="114"/>
      <c r="O19" s="114"/>
      <c r="P19" s="114"/>
      <c r="Q19" s="115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33" t="s">
        <v>7</v>
      </c>
      <c r="C20" s="134"/>
      <c r="D20" s="166" t="s">
        <v>39</v>
      </c>
      <c r="E20" s="166"/>
      <c r="F20" s="166"/>
      <c r="G20" s="138"/>
      <c r="H20" s="138"/>
      <c r="I20" s="51" t="s">
        <v>43</v>
      </c>
      <c r="J20" s="42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1.8428480000000001E-2</v>
      </c>
      <c r="K20" s="39">
        <f>J20/J19</f>
        <v>0.86599999999999999</v>
      </c>
      <c r="L20" s="113" t="s">
        <v>69</v>
      </c>
      <c r="M20" s="114"/>
      <c r="N20" s="114"/>
      <c r="O20" s="114"/>
      <c r="P20" s="114"/>
      <c r="Q20" s="115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3" t="s">
        <v>80</v>
      </c>
      <c r="D21" s="172" t="s">
        <v>61</v>
      </c>
      <c r="E21" s="173"/>
      <c r="F21" s="174"/>
      <c r="G21" s="138"/>
      <c r="H21" s="138"/>
      <c r="I21" s="50" t="s">
        <v>44</v>
      </c>
      <c r="J21" s="42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2.2471679999999999E-3</v>
      </c>
      <c r="K21" s="39">
        <f>J21/J19</f>
        <v>0.1056</v>
      </c>
      <c r="L21" s="113" t="s">
        <v>69</v>
      </c>
      <c r="M21" s="114"/>
      <c r="N21" s="114"/>
      <c r="O21" s="114"/>
      <c r="P21" s="114"/>
      <c r="Q21" s="115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18</v>
      </c>
      <c r="C22" s="45">
        <v>5600</v>
      </c>
      <c r="D22" s="175" t="s">
        <v>67</v>
      </c>
      <c r="E22" s="175"/>
      <c r="F22" s="175"/>
      <c r="G22" s="138"/>
      <c r="H22" s="138"/>
      <c r="I22" s="52" t="s">
        <v>45</v>
      </c>
      <c r="J22" s="53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6.0435200000000006E-4</v>
      </c>
      <c r="K22" s="39">
        <f>J22/J19</f>
        <v>2.8400000000000002E-2</v>
      </c>
      <c r="L22" s="113" t="s">
        <v>69</v>
      </c>
      <c r="M22" s="114"/>
      <c r="N22" s="114"/>
      <c r="O22" s="114"/>
      <c r="P22" s="114"/>
      <c r="Q22" s="115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63"/>
      <c r="C23" s="164"/>
      <c r="D23" s="164"/>
      <c r="E23" s="164"/>
      <c r="F23" s="165"/>
      <c r="G23" s="138"/>
      <c r="H23" s="138"/>
      <c r="I23" s="124"/>
      <c r="J23" s="125"/>
      <c r="K23" s="125"/>
      <c r="L23" s="125"/>
      <c r="M23" s="125"/>
      <c r="N23" s="125"/>
      <c r="O23" s="125"/>
      <c r="P23" s="125"/>
      <c r="Q23" s="126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41" t="s">
        <v>37</v>
      </c>
      <c r="C24" s="142"/>
      <c r="D24" s="142"/>
      <c r="E24" s="142"/>
      <c r="F24" s="143"/>
      <c r="G24" s="138"/>
      <c r="H24" s="138"/>
      <c r="I24" s="118" t="s">
        <v>42</v>
      </c>
      <c r="J24" s="119"/>
      <c r="K24" s="119"/>
      <c r="L24" s="119"/>
      <c r="M24" s="119"/>
      <c r="N24" s="119"/>
      <c r="O24" s="119"/>
      <c r="P24" s="119"/>
      <c r="Q24" s="120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44"/>
      <c r="C25" s="145"/>
      <c r="D25" s="145"/>
      <c r="E25" s="145"/>
      <c r="F25" s="146"/>
      <c r="G25" s="138"/>
      <c r="H25" s="138"/>
      <c r="I25" s="121"/>
      <c r="J25" s="122"/>
      <c r="K25" s="122"/>
      <c r="L25" s="122"/>
      <c r="M25" s="122"/>
      <c r="N25" s="122"/>
      <c r="O25" s="122"/>
      <c r="P25" s="122"/>
      <c r="Q25" s="123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39" t="s">
        <v>11</v>
      </c>
      <c r="C26" s="139" t="s">
        <v>12</v>
      </c>
      <c r="D26" s="147" t="s">
        <v>47</v>
      </c>
      <c r="E26" s="147" t="s">
        <v>48</v>
      </c>
      <c r="F26" s="149" t="s">
        <v>66</v>
      </c>
      <c r="G26" s="138"/>
      <c r="H26" s="138"/>
      <c r="I26" s="127" t="s">
        <v>53</v>
      </c>
      <c r="J26" s="127" t="s">
        <v>54</v>
      </c>
      <c r="K26" s="116" t="s">
        <v>73</v>
      </c>
      <c r="L26" s="116" t="s">
        <v>52</v>
      </c>
      <c r="M26" s="116" t="s">
        <v>59</v>
      </c>
      <c r="N26" s="116" t="s">
        <v>62</v>
      </c>
      <c r="O26" s="116" t="s">
        <v>72</v>
      </c>
      <c r="P26" s="116" t="s">
        <v>64</v>
      </c>
      <c r="Q26" s="116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40"/>
      <c r="C27" s="140"/>
      <c r="D27" s="148"/>
      <c r="E27" s="148"/>
      <c r="F27" s="150"/>
      <c r="G27" s="138"/>
      <c r="H27" s="138"/>
      <c r="I27" s="128"/>
      <c r="J27" s="128"/>
      <c r="K27" s="117"/>
      <c r="L27" s="117"/>
      <c r="M27" s="117"/>
      <c r="N27" s="117"/>
      <c r="O27" s="117"/>
      <c r="P27" s="117"/>
      <c r="Q27" s="117"/>
      <c r="R27" s="7" t="s">
        <v>79</v>
      </c>
      <c r="S27" s="7" t="s">
        <v>78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88"/>
      <c r="B28" s="46" t="s">
        <v>89</v>
      </c>
      <c r="C28" s="46" t="s">
        <v>90</v>
      </c>
      <c r="D28" s="47">
        <v>6.5247999999999973E-2</v>
      </c>
      <c r="E28" s="47">
        <v>8.2216000000000289E-2</v>
      </c>
      <c r="F28" s="96">
        <v>9.9999999999999995E-7</v>
      </c>
      <c r="G28" s="138"/>
      <c r="H28" s="138"/>
      <c r="I28" s="92">
        <f t="shared" ref="I28:I47" si="1">IF(D28=0,"",LOG($K$15*10^D28+$K$16*10^E28+$K$14))</f>
        <v>3.7217650281818146E-4</v>
      </c>
      <c r="J28" s="92">
        <f t="shared" ref="J28:J47" si="2">IF(D28=0,"",LOG($K$21*10^D28+$K$22*10^E28+$K$20))</f>
        <v>9.8917692701836375E-3</v>
      </c>
      <c r="K28" s="93">
        <f t="shared" ref="K28:K47" si="3">IF(D28=0,"",1/(1+10^D28*$J$15/$J$14+10^E28*$J$16/$J$14+10^J28*$J$19/$J$14))</f>
        <v>0.99342762020220543</v>
      </c>
      <c r="L28" s="93">
        <f t="shared" ref="L28:L47" si="4">IF(D28=0,"",1/(1+10^I28/10^J28*$J$13/$J$19))</f>
        <v>5.4349446337623414E-4</v>
      </c>
      <c r="M28" s="93">
        <f t="shared" ref="M28:M47" si="5">IF(D28=0,"",1-L28)</f>
        <v>0.9994565055366238</v>
      </c>
      <c r="N28" s="93">
        <f t="shared" ref="N28:N47" si="6">IF(D28=0,"",1/(1/10^E28*$J$20/$J$22+10^D28/10^E28*$J$21/$J$22+10^I28/10^E28*$J$13/$J$22+1))</f>
        <v>1.823214201528045E-5</v>
      </c>
      <c r="O28" s="40">
        <f t="shared" ref="O28:O47" si="7">IF(D28=0,"",F28*K28*$J$7/$J$14)</f>
        <v>9.991316255163273E-7</v>
      </c>
      <c r="P28" s="40">
        <f t="shared" ref="P28:P47" si="8">IF(D28=0,"",O28*10^J28)</f>
        <v>1.0221496286292298E-6</v>
      </c>
      <c r="Q28" s="40">
        <f t="shared" ref="Q28:Q47" si="9">IF(D28=0,"",F28*N28*$J$7/$J$22)</f>
        <v>1.2073653443577636E-6</v>
      </c>
      <c r="R28" s="9">
        <f>F28*$C$14</f>
        <v>3.9999999999999996E-5</v>
      </c>
      <c r="S28" s="9">
        <f>$R28*L28</f>
        <v>2.1739778535049365E-8</v>
      </c>
      <c r="T28" s="9">
        <f t="shared" ref="T28:T91" si="10">R28*K28</f>
        <v>3.9737104808088216E-5</v>
      </c>
      <c r="U28" s="9">
        <f t="shared" ref="U28:U91" si="11">$R28*M28</f>
        <v>3.997826022146495E-5</v>
      </c>
      <c r="V28" s="100">
        <f>K28/M28</f>
        <v>0.99396783621796392</v>
      </c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88"/>
      <c r="B29" s="46" t="s">
        <v>162</v>
      </c>
      <c r="C29" s="46" t="s">
        <v>163</v>
      </c>
      <c r="D29" s="47">
        <v>2.31</v>
      </c>
      <c r="E29" s="47">
        <v>2.58</v>
      </c>
      <c r="F29" s="96">
        <v>9.9999999999999995E-7</v>
      </c>
      <c r="G29" s="138"/>
      <c r="H29" s="138"/>
      <c r="I29" s="92">
        <f t="shared" si="1"/>
        <v>0.32619780382173885</v>
      </c>
      <c r="J29" s="92">
        <f t="shared" si="2"/>
        <v>1.5214536376976955</v>
      </c>
      <c r="K29" s="93">
        <f t="shared" si="3"/>
        <v>0.46552144970297682</v>
      </c>
      <c r="L29" s="93">
        <f t="shared" si="4"/>
        <v>8.2710464312507007E-3</v>
      </c>
      <c r="M29" s="93">
        <f t="shared" si="5"/>
        <v>0.99172895356874935</v>
      </c>
      <c r="N29" s="93">
        <f t="shared" si="6"/>
        <v>2.687974604001771E-3</v>
      </c>
      <c r="O29" s="40">
        <f t="shared" si="7"/>
        <v>4.6819435386725112E-7</v>
      </c>
      <c r="P29" s="40">
        <f t="shared" si="8"/>
        <v>1.5555350804421288E-5</v>
      </c>
      <c r="Q29" s="40">
        <f t="shared" si="9"/>
        <v>1.7800252875748565E-4</v>
      </c>
      <c r="R29" s="9">
        <f t="shared" ref="R29:R92" si="12">F29*$C$14</f>
        <v>3.9999999999999996E-5</v>
      </c>
      <c r="S29" s="9">
        <f t="shared" ref="S29:S92" si="13">$R29*L29</f>
        <v>3.3084185725002801E-7</v>
      </c>
      <c r="T29" s="9">
        <f t="shared" si="10"/>
        <v>1.862085798811907E-5</v>
      </c>
      <c r="U29" s="9">
        <f t="shared" si="11"/>
        <v>3.9669158142749969E-5</v>
      </c>
      <c r="V29" s="100">
        <f t="shared" ref="V29:V92" si="14">K29/M29</f>
        <v>0.46940391124791903</v>
      </c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89"/>
      <c r="B30" s="46" t="s">
        <v>164</v>
      </c>
      <c r="C30" s="46" t="s">
        <v>165</v>
      </c>
      <c r="D30" s="90">
        <v>4.4000000000000004</v>
      </c>
      <c r="E30" s="90">
        <v>2.64</v>
      </c>
      <c r="F30" s="96">
        <v>9.9999999999999995E-7</v>
      </c>
      <c r="G30" s="138"/>
      <c r="H30" s="138"/>
      <c r="I30" s="92">
        <f t="shared" si="1"/>
        <v>2.0854020627961285</v>
      </c>
      <c r="J30" s="92">
        <f t="shared" si="2"/>
        <v>3.425830027081171</v>
      </c>
      <c r="K30" s="93">
        <f t="shared" si="3"/>
        <v>8.0781516471216987E-3</v>
      </c>
      <c r="L30" s="93">
        <f t="shared" si="4"/>
        <v>1.1516198798360796E-2</v>
      </c>
      <c r="M30" s="93">
        <f t="shared" si="5"/>
        <v>0.98848380120163926</v>
      </c>
      <c r="N30" s="93">
        <f t="shared" si="6"/>
        <v>5.3554684634998808E-5</v>
      </c>
      <c r="O30" s="40">
        <f t="shared" si="7"/>
        <v>8.1245343115317022E-9</v>
      </c>
      <c r="P30" s="40">
        <f t="shared" si="8"/>
        <v>2.1658506421281072E-5</v>
      </c>
      <c r="Q30" s="40">
        <f t="shared" si="9"/>
        <v>3.5464878565620447E-6</v>
      </c>
      <c r="R30" s="9">
        <f t="shared" si="12"/>
        <v>3.9999999999999996E-5</v>
      </c>
      <c r="S30" s="9">
        <f t="shared" si="13"/>
        <v>4.6064795193443178E-7</v>
      </c>
      <c r="T30" s="9">
        <f t="shared" si="10"/>
        <v>3.2312606588486793E-7</v>
      </c>
      <c r="U30" s="9">
        <f t="shared" si="11"/>
        <v>3.9539352048065567E-5</v>
      </c>
      <c r="V30" s="100">
        <f t="shared" si="14"/>
        <v>8.1722650763741238E-3</v>
      </c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89"/>
      <c r="B31" s="46" t="s">
        <v>91</v>
      </c>
      <c r="C31" s="46" t="s">
        <v>92</v>
      </c>
      <c r="D31" s="47">
        <v>-0.92190615231165807</v>
      </c>
      <c r="E31" s="47">
        <v>-1.7889087518799642</v>
      </c>
      <c r="F31" s="96">
        <v>9.9999999999999995E-7</v>
      </c>
      <c r="G31" s="138"/>
      <c r="H31" s="138"/>
      <c r="I31" s="92">
        <f t="shared" si="1"/>
        <v>-2.0020416091501053E-3</v>
      </c>
      <c r="J31" s="92">
        <f t="shared" si="2"/>
        <v>-5.5960700264727013E-2</v>
      </c>
      <c r="K31" s="93">
        <f t="shared" si="3"/>
        <v>0.9989472301164628</v>
      </c>
      <c r="L31" s="93">
        <f t="shared" si="4"/>
        <v>4.6962258120304305E-4</v>
      </c>
      <c r="M31" s="93">
        <f t="shared" si="5"/>
        <v>0.99953037741879691</v>
      </c>
      <c r="N31" s="93">
        <f t="shared" si="6"/>
        <v>2.4667166182816165E-7</v>
      </c>
      <c r="O31" s="40">
        <f t="shared" si="7"/>
        <v>1.0046829276078934E-6</v>
      </c>
      <c r="P31" s="40">
        <f t="shared" si="8"/>
        <v>8.8321883536887798E-7</v>
      </c>
      <c r="Q31" s="40">
        <f t="shared" si="9"/>
        <v>1.6335042568056641E-8</v>
      </c>
      <c r="R31" s="9">
        <f t="shared" si="12"/>
        <v>3.9999999999999996E-5</v>
      </c>
      <c r="S31" s="9">
        <f t="shared" si="13"/>
        <v>1.878490324812172E-8</v>
      </c>
      <c r="T31" s="9">
        <f t="shared" si="10"/>
        <v>3.9957889204658511E-5</v>
      </c>
      <c r="U31" s="9">
        <f t="shared" si="11"/>
        <v>3.9981215096751875E-5</v>
      </c>
      <c r="V31" s="100">
        <f t="shared" si="14"/>
        <v>0.99941657870985368</v>
      </c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89"/>
      <c r="B32" s="46" t="s">
        <v>93</v>
      </c>
      <c r="C32" s="46" t="s">
        <v>94</v>
      </c>
      <c r="D32" s="47">
        <v>0.54749180498968375</v>
      </c>
      <c r="E32" s="47">
        <v>0.30136158174588817</v>
      </c>
      <c r="F32" s="96">
        <v>9.9999999999999995E-7</v>
      </c>
      <c r="G32" s="138"/>
      <c r="H32" s="138"/>
      <c r="I32" s="92">
        <f t="shared" si="1"/>
        <v>5.4008424806920542E-3</v>
      </c>
      <c r="J32" s="92">
        <f t="shared" si="2"/>
        <v>0.11239337914175332</v>
      </c>
      <c r="K32" s="93">
        <f t="shared" si="3"/>
        <v>0.98185685534754363</v>
      </c>
      <c r="L32" s="93">
        <f t="shared" si="4"/>
        <v>6.8015622992943087E-4</v>
      </c>
      <c r="M32" s="93">
        <f t="shared" si="5"/>
        <v>0.99931984377007055</v>
      </c>
      <c r="N32" s="93">
        <f t="shared" si="6"/>
        <v>2.984662458541484E-5</v>
      </c>
      <c r="O32" s="40">
        <f t="shared" si="7"/>
        <v>9.8749442431252717E-7</v>
      </c>
      <c r="P32" s="40">
        <f t="shared" si="8"/>
        <v>1.2791693102326186E-6</v>
      </c>
      <c r="Q32" s="40">
        <f t="shared" si="9"/>
        <v>1.9764973386168508E-6</v>
      </c>
      <c r="R32" s="9">
        <f t="shared" si="12"/>
        <v>3.9999999999999996E-5</v>
      </c>
      <c r="S32" s="9">
        <f t="shared" si="13"/>
        <v>2.7206249197177232E-8</v>
      </c>
      <c r="T32" s="9">
        <f t="shared" si="10"/>
        <v>3.9274274213901745E-5</v>
      </c>
      <c r="U32" s="9">
        <f t="shared" si="11"/>
        <v>3.997279375080282E-5</v>
      </c>
      <c r="V32" s="100">
        <f t="shared" si="14"/>
        <v>0.98252512593300922</v>
      </c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89"/>
      <c r="B33" s="94" t="s">
        <v>166</v>
      </c>
      <c r="C33" s="94" t="s">
        <v>111</v>
      </c>
      <c r="D33" s="95">
        <v>1.6452318246143236</v>
      </c>
      <c r="E33" s="95">
        <v>1.8629354124795308</v>
      </c>
      <c r="F33" s="96">
        <v>9.9999999999999995E-7</v>
      </c>
      <c r="G33" s="138"/>
      <c r="H33" s="138"/>
      <c r="I33" s="92">
        <f t="shared" si="1"/>
        <v>9.1527063522880606E-2</v>
      </c>
      <c r="J33" s="92">
        <f t="shared" si="2"/>
        <v>0.88097499004072233</v>
      </c>
      <c r="K33" s="93">
        <f t="shared" si="3"/>
        <v>0.80315056606342183</v>
      </c>
      <c r="L33" s="93">
        <f t="shared" si="4"/>
        <v>3.2654202702122959E-3</v>
      </c>
      <c r="M33" s="93">
        <f t="shared" si="5"/>
        <v>0.99673457972978774</v>
      </c>
      <c r="N33" s="93">
        <f t="shared" si="6"/>
        <v>8.896472626372426E-4</v>
      </c>
      <c r="O33" s="40">
        <f t="shared" si="7"/>
        <v>8.0776204958139928E-7</v>
      </c>
      <c r="P33" s="40">
        <f t="shared" si="8"/>
        <v>6.141273446985054E-6</v>
      </c>
      <c r="Q33" s="40">
        <f t="shared" si="9"/>
        <v>5.891404711035724E-5</v>
      </c>
      <c r="R33" s="9">
        <f t="shared" si="12"/>
        <v>3.9999999999999996E-5</v>
      </c>
      <c r="S33" s="9">
        <f t="shared" si="13"/>
        <v>1.3061681080849182E-7</v>
      </c>
      <c r="T33" s="9">
        <f t="shared" si="10"/>
        <v>3.212602264253687E-5</v>
      </c>
      <c r="U33" s="9">
        <f t="shared" si="11"/>
        <v>3.9869383189191505E-5</v>
      </c>
      <c r="V33" s="100">
        <f t="shared" si="14"/>
        <v>0.80578178222847852</v>
      </c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88"/>
      <c r="B34" s="46" t="s">
        <v>95</v>
      </c>
      <c r="C34" s="46" t="s">
        <v>96</v>
      </c>
      <c r="D34" s="90">
        <v>0.39857726844789648</v>
      </c>
      <c r="E34" s="90">
        <v>8.9525410045599246E-2</v>
      </c>
      <c r="F34" s="96">
        <v>9.9999999999999995E-7</v>
      </c>
      <c r="G34" s="138"/>
      <c r="H34" s="138"/>
      <c r="I34" s="92">
        <f t="shared" si="1"/>
        <v>3.1608226539332684E-3</v>
      </c>
      <c r="J34" s="92">
        <f t="shared" si="2"/>
        <v>6.6433697494800575E-2</v>
      </c>
      <c r="K34" s="93">
        <f t="shared" si="3"/>
        <v>0.98699848469477869</v>
      </c>
      <c r="L34" s="93">
        <f t="shared" si="4"/>
        <v>6.1505975074092987E-4</v>
      </c>
      <c r="M34" s="93">
        <f t="shared" si="5"/>
        <v>0.99938494024925906</v>
      </c>
      <c r="N34" s="93">
        <f t="shared" si="6"/>
        <v>1.842160053198713E-5</v>
      </c>
      <c r="O34" s="40">
        <f t="shared" si="7"/>
        <v>9.9266557557008938E-7</v>
      </c>
      <c r="P34" s="40">
        <f t="shared" si="8"/>
        <v>1.1567424107675264E-6</v>
      </c>
      <c r="Q34" s="40">
        <f t="shared" si="9"/>
        <v>1.2199116292141099E-6</v>
      </c>
      <c r="R34" s="9">
        <f t="shared" si="12"/>
        <v>3.9999999999999996E-5</v>
      </c>
      <c r="S34" s="9">
        <f t="shared" si="13"/>
        <v>2.4602390029637193E-8</v>
      </c>
      <c r="T34" s="9">
        <f t="shared" si="10"/>
        <v>3.9479939387791146E-5</v>
      </c>
      <c r="U34" s="9">
        <f t="shared" si="11"/>
        <v>3.9975397609970362E-5</v>
      </c>
      <c r="V34" s="100">
        <f t="shared" si="14"/>
        <v>0.98760592134659242</v>
      </c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88"/>
      <c r="B35" s="46" t="s">
        <v>97</v>
      </c>
      <c r="C35" s="46" t="s">
        <v>98</v>
      </c>
      <c r="D35" s="90">
        <v>0.27761205565007074</v>
      </c>
      <c r="E35" s="90">
        <v>-8.2551864497786676E-2</v>
      </c>
      <c r="F35" s="96">
        <v>9.9999999999999995E-7</v>
      </c>
      <c r="G35" s="138"/>
      <c r="H35" s="138"/>
      <c r="I35" s="92">
        <f t="shared" si="1"/>
        <v>1.8333114105419375E-3</v>
      </c>
      <c r="J35" s="92">
        <f t="shared" si="2"/>
        <v>3.7265901461407895E-2</v>
      </c>
      <c r="K35" s="93">
        <f t="shared" si="3"/>
        <v>0.99005787744475249</v>
      </c>
      <c r="L35" s="93">
        <f t="shared" si="4"/>
        <v>5.7689079533120046E-4</v>
      </c>
      <c r="M35" s="93">
        <f t="shared" si="5"/>
        <v>0.99942310920466881</v>
      </c>
      <c r="N35" s="93">
        <f t="shared" si="6"/>
        <v>1.24335224727269E-5</v>
      </c>
      <c r="O35" s="40">
        <f t="shared" si="7"/>
        <v>9.9574253456459762E-7</v>
      </c>
      <c r="P35" s="40">
        <f t="shared" si="8"/>
        <v>1.084958085026911E-6</v>
      </c>
      <c r="Q35" s="40">
        <f t="shared" si="9"/>
        <v>8.2337029457550484E-7</v>
      </c>
      <c r="R35" s="9">
        <f t="shared" si="12"/>
        <v>3.9999999999999996E-5</v>
      </c>
      <c r="S35" s="9">
        <f t="shared" si="13"/>
        <v>2.3075631813248015E-8</v>
      </c>
      <c r="T35" s="9">
        <f t="shared" si="10"/>
        <v>3.9602315097790096E-5</v>
      </c>
      <c r="U35" s="9">
        <f t="shared" si="11"/>
        <v>3.9976924368186749E-5</v>
      </c>
      <c r="V35" s="100">
        <f t="shared" si="14"/>
        <v>0.99062936240550903</v>
      </c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88"/>
      <c r="B36" s="46" t="s">
        <v>167</v>
      </c>
      <c r="C36" s="46" t="s">
        <v>168</v>
      </c>
      <c r="D36" s="47">
        <v>3.4409280000000009</v>
      </c>
      <c r="E36" s="47">
        <v>4.1160660000000009</v>
      </c>
      <c r="F36" s="96">
        <v>9.9999999999999995E-7</v>
      </c>
      <c r="G36" s="138"/>
      <c r="H36" s="138"/>
      <c r="I36" s="92">
        <f t="shared" si="1"/>
        <v>1.2834731216469764</v>
      </c>
      <c r="J36" s="92">
        <f t="shared" si="2"/>
        <v>2.8217385476655523</v>
      </c>
      <c r="K36" s="93">
        <f t="shared" si="3"/>
        <v>5.0858619103678483E-2</v>
      </c>
      <c r="L36" s="93">
        <f t="shared" si="4"/>
        <v>1.8041400036447209E-2</v>
      </c>
      <c r="M36" s="93">
        <f t="shared" si="5"/>
        <v>0.98195859996355284</v>
      </c>
      <c r="N36" s="93">
        <f t="shared" si="6"/>
        <v>1.0090577648681057E-2</v>
      </c>
      <c r="O36" s="40">
        <f t="shared" si="7"/>
        <v>5.1150636184477227E-8</v>
      </c>
      <c r="P36" s="40">
        <f t="shared" si="8"/>
        <v>3.3930447483583847E-5</v>
      </c>
      <c r="Q36" s="40">
        <f t="shared" si="9"/>
        <v>6.6821626045682995E-4</v>
      </c>
      <c r="R36" s="9">
        <f t="shared" si="12"/>
        <v>3.9999999999999996E-5</v>
      </c>
      <c r="S36" s="9">
        <f t="shared" si="13"/>
        <v>7.2165600145788829E-7</v>
      </c>
      <c r="T36" s="9">
        <f t="shared" si="10"/>
        <v>2.0343447641471393E-6</v>
      </c>
      <c r="U36" s="9">
        <f t="shared" si="11"/>
        <v>3.9278343998542107E-5</v>
      </c>
      <c r="V36" s="100">
        <f t="shared" si="14"/>
        <v>5.1793038021731456E-2</v>
      </c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88"/>
      <c r="B37" s="94" t="s">
        <v>169</v>
      </c>
      <c r="C37" s="94" t="s">
        <v>170</v>
      </c>
      <c r="D37" s="95">
        <v>4.9025336133267672</v>
      </c>
      <c r="E37" s="95">
        <v>6.4965619006479365</v>
      </c>
      <c r="F37" s="96">
        <v>9.9999999999999995E-7</v>
      </c>
      <c r="G37" s="138"/>
      <c r="H37" s="138"/>
      <c r="I37" s="92">
        <f t="shared" si="1"/>
        <v>3.1977472098667894</v>
      </c>
      <c r="J37" s="92">
        <f t="shared" si="2"/>
        <v>4.9891763870147496</v>
      </c>
      <c r="K37" s="93">
        <f t="shared" si="3"/>
        <v>6.1084975501288078E-4</v>
      </c>
      <c r="L37" s="93">
        <f t="shared" si="4"/>
        <v>3.1862358188389991E-2</v>
      </c>
      <c r="M37" s="93">
        <f t="shared" si="5"/>
        <v>0.96813764181160999</v>
      </c>
      <c r="N37" s="93">
        <f t="shared" si="6"/>
        <v>2.9105949347922794E-2</v>
      </c>
      <c r="O37" s="40">
        <f t="shared" si="7"/>
        <v>6.1435709684420054E-10</v>
      </c>
      <c r="P37" s="40">
        <f t="shared" si="8"/>
        <v>5.9923513088244833E-5</v>
      </c>
      <c r="Q37" s="40">
        <f t="shared" si="9"/>
        <v>1.927448487833308E-3</v>
      </c>
      <c r="R37" s="9">
        <f t="shared" si="12"/>
        <v>3.9999999999999996E-5</v>
      </c>
      <c r="S37" s="9">
        <f t="shared" si="13"/>
        <v>1.2744943275355996E-6</v>
      </c>
      <c r="T37" s="9">
        <f t="shared" si="10"/>
        <v>2.443399020051523E-8</v>
      </c>
      <c r="U37" s="9">
        <f t="shared" si="11"/>
        <v>3.8725505672464398E-5</v>
      </c>
      <c r="V37" s="100">
        <f t="shared" si="14"/>
        <v>6.3095341884428669E-4</v>
      </c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88"/>
      <c r="B38" s="46" t="s">
        <v>171</v>
      </c>
      <c r="C38" s="46" t="s">
        <v>172</v>
      </c>
      <c r="D38" s="90">
        <v>-0.51108880646233978</v>
      </c>
      <c r="E38" s="90">
        <v>-1.2045066120098076</v>
      </c>
      <c r="F38" s="96">
        <v>9.9999999999999995E-7</v>
      </c>
      <c r="G38" s="138"/>
      <c r="H38" s="138"/>
      <c r="I38" s="92">
        <f t="shared" si="1"/>
        <v>-1.5996885357091404E-3</v>
      </c>
      <c r="J38" s="92">
        <f t="shared" si="2"/>
        <v>-4.5600580204728937E-2</v>
      </c>
      <c r="K38" s="93">
        <f t="shared" si="3"/>
        <v>0.9980113113170539</v>
      </c>
      <c r="L38" s="93">
        <f t="shared" si="4"/>
        <v>4.8050953258101022E-4</v>
      </c>
      <c r="M38" s="93">
        <f t="shared" si="5"/>
        <v>0.99951949046741895</v>
      </c>
      <c r="N38" s="93">
        <f t="shared" si="6"/>
        <v>9.4648626505421615E-7</v>
      </c>
      <c r="O38" s="40">
        <f t="shared" si="7"/>
        <v>1.0037416350039952E-6</v>
      </c>
      <c r="P38" s="40">
        <f t="shared" si="8"/>
        <v>9.0369391663974289E-7</v>
      </c>
      <c r="Q38" s="40">
        <f t="shared" si="9"/>
        <v>6.2678028417030143E-8</v>
      </c>
      <c r="R38" s="9">
        <f t="shared" si="12"/>
        <v>3.9999999999999996E-5</v>
      </c>
      <c r="S38" s="9">
        <f t="shared" si="13"/>
        <v>1.9220381303240407E-8</v>
      </c>
      <c r="T38" s="9">
        <f t="shared" si="10"/>
        <v>3.9920452452682149E-5</v>
      </c>
      <c r="U38" s="9">
        <f t="shared" si="11"/>
        <v>3.9980779618696755E-5</v>
      </c>
      <c r="V38" s="100">
        <f t="shared" si="14"/>
        <v>0.99849109580678641</v>
      </c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88"/>
      <c r="B39" s="46" t="s">
        <v>99</v>
      </c>
      <c r="C39" s="46" t="s">
        <v>100</v>
      </c>
      <c r="D39" s="90">
        <v>2.3414159999999997</v>
      </c>
      <c r="E39" s="90">
        <v>2.4767320000000002</v>
      </c>
      <c r="F39" s="96">
        <v>9.9999999999999995E-7</v>
      </c>
      <c r="G39" s="138"/>
      <c r="H39" s="138"/>
      <c r="I39" s="92">
        <f t="shared" si="1"/>
        <v>0.33491051106253611</v>
      </c>
      <c r="J39" s="92">
        <f t="shared" si="2"/>
        <v>1.5126387547268108</v>
      </c>
      <c r="K39" s="93">
        <f t="shared" si="3"/>
        <v>0.45642465681912958</v>
      </c>
      <c r="L39" s="93">
        <f t="shared" si="4"/>
        <v>7.9464833343272766E-3</v>
      </c>
      <c r="M39" s="93">
        <f t="shared" si="5"/>
        <v>0.99205351666567276</v>
      </c>
      <c r="N39" s="93">
        <f t="shared" si="6"/>
        <v>2.077717808576806E-3</v>
      </c>
      <c r="O39" s="40">
        <f t="shared" si="7"/>
        <v>4.5904532954359316E-7</v>
      </c>
      <c r="P39" s="40">
        <f t="shared" si="8"/>
        <v>1.4944945232069807E-5</v>
      </c>
      <c r="Q39" s="40">
        <f t="shared" si="9"/>
        <v>1.3759022254917455E-4</v>
      </c>
      <c r="R39" s="9">
        <f t="shared" si="12"/>
        <v>3.9999999999999996E-5</v>
      </c>
      <c r="S39" s="9">
        <f t="shared" si="13"/>
        <v>3.1785933337309105E-7</v>
      </c>
      <c r="T39" s="9">
        <f t="shared" si="10"/>
        <v>1.8256986272765182E-5</v>
      </c>
      <c r="U39" s="9">
        <f t="shared" si="11"/>
        <v>3.968214066662691E-5</v>
      </c>
      <c r="V39" s="100">
        <f t="shared" si="14"/>
        <v>0.4600806802773999</v>
      </c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88"/>
      <c r="B40" s="46" t="s">
        <v>173</v>
      </c>
      <c r="C40" s="46" t="s">
        <v>174</v>
      </c>
      <c r="D40" s="47">
        <v>2.349974877229557</v>
      </c>
      <c r="E40" s="47">
        <v>2.8654572197209189</v>
      </c>
      <c r="F40" s="96">
        <v>9.9999999999999995E-7</v>
      </c>
      <c r="G40" s="138"/>
      <c r="H40" s="138"/>
      <c r="I40" s="92">
        <f t="shared" si="1"/>
        <v>0.37071855582347524</v>
      </c>
      <c r="J40" s="92">
        <f t="shared" si="2"/>
        <v>1.6564783243480041</v>
      </c>
      <c r="K40" s="93">
        <f t="shared" si="3"/>
        <v>0.41936044917940551</v>
      </c>
      <c r="L40" s="93">
        <f t="shared" si="4"/>
        <v>1.0167938660652319E-2</v>
      </c>
      <c r="M40" s="93">
        <f t="shared" si="5"/>
        <v>0.98983206133934765</v>
      </c>
      <c r="N40" s="93">
        <f t="shared" si="6"/>
        <v>4.6722938975297338E-3</v>
      </c>
      <c r="O40" s="40">
        <f t="shared" si="7"/>
        <v>4.2176830877783809E-7</v>
      </c>
      <c r="P40" s="40">
        <f t="shared" si="8"/>
        <v>1.9122834594022148E-5</v>
      </c>
      <c r="Q40" s="40">
        <f t="shared" si="9"/>
        <v>3.0940773310145204E-4</v>
      </c>
      <c r="R40" s="9">
        <f t="shared" si="12"/>
        <v>3.9999999999999996E-5</v>
      </c>
      <c r="S40" s="9">
        <f t="shared" si="13"/>
        <v>4.0671754642609275E-7</v>
      </c>
      <c r="T40" s="9">
        <f t="shared" si="10"/>
        <v>1.6774417967176219E-5</v>
      </c>
      <c r="U40" s="9">
        <f t="shared" si="11"/>
        <v>3.9593282453573902E-5</v>
      </c>
      <c r="V40" s="100">
        <f t="shared" si="14"/>
        <v>0.42366828228615511</v>
      </c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88"/>
      <c r="B41" s="94" t="s">
        <v>175</v>
      </c>
      <c r="C41" s="94" t="s">
        <v>176</v>
      </c>
      <c r="D41" s="95">
        <v>1.4854320000000003</v>
      </c>
      <c r="E41" s="95">
        <v>1.5057189999999996</v>
      </c>
      <c r="F41" s="96">
        <v>9.9999999999999995E-7</v>
      </c>
      <c r="G41" s="138"/>
      <c r="H41" s="138"/>
      <c r="I41" s="92">
        <f t="shared" si="1"/>
        <v>6.2122287627494992E-2</v>
      </c>
      <c r="J41" s="92">
        <f t="shared" si="2"/>
        <v>0.69942132779385668</v>
      </c>
      <c r="K41" s="93">
        <f t="shared" si="3"/>
        <v>0.86024286920203641</v>
      </c>
      <c r="L41" s="93">
        <f t="shared" si="4"/>
        <v>2.3025524595349455E-3</v>
      </c>
      <c r="M41" s="93">
        <f t="shared" si="5"/>
        <v>0.99769744754046508</v>
      </c>
      <c r="N41" s="93">
        <f t="shared" si="6"/>
        <v>4.1862537140709784E-4</v>
      </c>
      <c r="O41" s="40">
        <f t="shared" si="7"/>
        <v>8.6518216200765144E-7</v>
      </c>
      <c r="P41" s="40">
        <f t="shared" si="8"/>
        <v>4.3304086794049206E-6</v>
      </c>
      <c r="Q41" s="40">
        <f t="shared" si="9"/>
        <v>2.7722127508782053E-5</v>
      </c>
      <c r="R41" s="9">
        <f t="shared" si="12"/>
        <v>3.9999999999999996E-5</v>
      </c>
      <c r="S41" s="9">
        <f t="shared" si="13"/>
        <v>9.2102098381397811E-8</v>
      </c>
      <c r="T41" s="9">
        <f t="shared" si="10"/>
        <v>3.4409714768081455E-5</v>
      </c>
      <c r="U41" s="9">
        <f t="shared" si="11"/>
        <v>3.9907897901618599E-5</v>
      </c>
      <c r="V41" s="100">
        <f t="shared" si="14"/>
        <v>0.86222819485277502</v>
      </c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89"/>
      <c r="B42" s="46" t="s">
        <v>177</v>
      </c>
      <c r="C42" s="46" t="s">
        <v>178</v>
      </c>
      <c r="D42" s="90">
        <v>2.0758240000000003</v>
      </c>
      <c r="E42" s="90">
        <v>2.477398</v>
      </c>
      <c r="F42" s="96">
        <v>9.9999999999999995E-7</v>
      </c>
      <c r="G42" s="138"/>
      <c r="H42" s="138"/>
      <c r="I42" s="92">
        <f t="shared" si="1"/>
        <v>0.22542744412672311</v>
      </c>
      <c r="J42" s="92">
        <f t="shared" si="2"/>
        <v>1.3417480066989405</v>
      </c>
      <c r="K42" s="93">
        <f t="shared" si="3"/>
        <v>0.58790540025568616</v>
      </c>
      <c r="L42" s="93">
        <f t="shared" si="4"/>
        <v>6.9059364991861764E-3</v>
      </c>
      <c r="M42" s="93">
        <f t="shared" si="5"/>
        <v>0.99309406350081386</v>
      </c>
      <c r="N42" s="93">
        <f t="shared" si="6"/>
        <v>2.680346334658427E-3</v>
      </c>
      <c r="O42" s="40">
        <f t="shared" si="7"/>
        <v>5.9128100151647746E-7</v>
      </c>
      <c r="P42" s="40">
        <f t="shared" si="8"/>
        <v>1.2987989581585979E-5</v>
      </c>
      <c r="Q42" s="40">
        <f t="shared" si="9"/>
        <v>1.7749737099627137E-4</v>
      </c>
      <c r="R42" s="9">
        <f t="shared" si="12"/>
        <v>3.9999999999999996E-5</v>
      </c>
      <c r="S42" s="9">
        <f t="shared" si="13"/>
        <v>2.7623745996744703E-7</v>
      </c>
      <c r="T42" s="9">
        <f t="shared" si="10"/>
        <v>2.3516216010227446E-5</v>
      </c>
      <c r="U42" s="9">
        <f t="shared" si="11"/>
        <v>3.9723762540032554E-5</v>
      </c>
      <c r="V42" s="100">
        <f t="shared" si="14"/>
        <v>0.59199367095522304</v>
      </c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89"/>
      <c r="B43" s="46" t="s">
        <v>179</v>
      </c>
      <c r="C43" s="46" t="s">
        <v>180</v>
      </c>
      <c r="D43" s="90">
        <v>2.3078000000000003</v>
      </c>
      <c r="E43" s="90">
        <v>2.5099249999999995</v>
      </c>
      <c r="F43" s="96">
        <v>9.9999999999999995E-7</v>
      </c>
      <c r="G43" s="138"/>
      <c r="H43" s="138"/>
      <c r="I43" s="92">
        <f t="shared" si="1"/>
        <v>0.32073739190116707</v>
      </c>
      <c r="J43" s="92">
        <f t="shared" si="2"/>
        <v>1.4983971526308137</v>
      </c>
      <c r="K43" s="93">
        <f t="shared" si="3"/>
        <v>0.47156629987339022</v>
      </c>
      <c r="L43" s="93">
        <f t="shared" si="4"/>
        <v>7.9452403248722672E-3</v>
      </c>
      <c r="M43" s="93">
        <f t="shared" si="5"/>
        <v>0.99205475967512768</v>
      </c>
      <c r="N43" s="93">
        <f t="shared" si="6"/>
        <v>2.3171450750038131E-3</v>
      </c>
      <c r="O43" s="40">
        <f t="shared" si="7"/>
        <v>4.7427391200913014E-7</v>
      </c>
      <c r="P43" s="40">
        <f t="shared" si="8"/>
        <v>1.4942607505122369E-5</v>
      </c>
      <c r="Q43" s="40">
        <f t="shared" si="9"/>
        <v>1.5344552818117354E-4</v>
      </c>
      <c r="R43" s="9">
        <f t="shared" si="12"/>
        <v>3.9999999999999996E-5</v>
      </c>
      <c r="S43" s="9">
        <f t="shared" si="13"/>
        <v>3.1780961299489068E-7</v>
      </c>
      <c r="T43" s="9">
        <f t="shared" si="10"/>
        <v>1.8862651994935607E-5</v>
      </c>
      <c r="U43" s="9">
        <f t="shared" si="11"/>
        <v>3.9682190387005102E-5</v>
      </c>
      <c r="V43" s="100">
        <f t="shared" si="14"/>
        <v>0.47534301435922349</v>
      </c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89"/>
      <c r="B44" s="46" t="s">
        <v>181</v>
      </c>
      <c r="C44" s="46" t="s">
        <v>182</v>
      </c>
      <c r="D44" s="90">
        <v>5.676184000000001</v>
      </c>
      <c r="E44" s="90">
        <v>7.0708080000000004</v>
      </c>
      <c r="F44" s="96">
        <v>9.9999999999999995E-7</v>
      </c>
      <c r="G44" s="138"/>
      <c r="H44" s="138"/>
      <c r="I44" s="92">
        <f t="shared" si="1"/>
        <v>3.8293839195374848</v>
      </c>
      <c r="J44" s="92">
        <f t="shared" si="2"/>
        <v>5.5847769574151425</v>
      </c>
      <c r="K44" s="93">
        <f t="shared" si="3"/>
        <v>1.4302137368556858E-4</v>
      </c>
      <c r="L44" s="93">
        <f t="shared" si="4"/>
        <v>2.9399844063586079E-2</v>
      </c>
      <c r="M44" s="93">
        <f t="shared" si="5"/>
        <v>0.97060015593641391</v>
      </c>
      <c r="N44" s="93">
        <f t="shared" si="6"/>
        <v>2.5567861763258148E-2</v>
      </c>
      <c r="O44" s="40">
        <f t="shared" si="7"/>
        <v>1.4384256554589704E-10</v>
      </c>
      <c r="P44" s="40">
        <f t="shared" si="8"/>
        <v>5.5292264625240427E-5</v>
      </c>
      <c r="Q44" s="40">
        <f t="shared" si="9"/>
        <v>1.6931499434578653E-3</v>
      </c>
      <c r="R44" s="9">
        <f t="shared" si="12"/>
        <v>3.9999999999999996E-5</v>
      </c>
      <c r="S44" s="9">
        <f t="shared" si="13"/>
        <v>1.1759937625434431E-6</v>
      </c>
      <c r="T44" s="9">
        <f t="shared" si="10"/>
        <v>5.7208549474227431E-9</v>
      </c>
      <c r="U44" s="9">
        <f t="shared" si="11"/>
        <v>3.8824006237456555E-5</v>
      </c>
      <c r="V44" s="100">
        <f t="shared" si="14"/>
        <v>1.4735354492868865E-4</v>
      </c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89"/>
      <c r="B45" s="46" t="s">
        <v>183</v>
      </c>
      <c r="C45" s="46" t="s">
        <v>184</v>
      </c>
      <c r="D45" s="90">
        <v>1.2599279999999999</v>
      </c>
      <c r="E45" s="90">
        <v>1.3925860000000003</v>
      </c>
      <c r="F45" s="96">
        <v>9.9999999999999995E-7</v>
      </c>
      <c r="G45" s="138"/>
      <c r="H45" s="138"/>
      <c r="I45" s="92">
        <f t="shared" si="1"/>
        <v>3.8037572032670899E-2</v>
      </c>
      <c r="J45" s="92">
        <f t="shared" si="2"/>
        <v>0.54264947929167429</v>
      </c>
      <c r="K45" s="93">
        <f t="shared" si="3"/>
        <v>0.90984860877266527</v>
      </c>
      <c r="L45" s="93">
        <f t="shared" si="4"/>
        <v>1.6974060240121109E-3</v>
      </c>
      <c r="M45" s="93">
        <f t="shared" si="5"/>
        <v>0.99830259397598786</v>
      </c>
      <c r="N45" s="93">
        <f t="shared" si="6"/>
        <v>3.4122480942951587E-4</v>
      </c>
      <c r="O45" s="40">
        <f t="shared" si="7"/>
        <v>9.1507272494776177E-7</v>
      </c>
      <c r="P45" s="40">
        <f t="shared" si="8"/>
        <v>3.1923102331144465E-6</v>
      </c>
      <c r="Q45" s="40">
        <f t="shared" si="9"/>
        <v>2.2596522624439553E-5</v>
      </c>
      <c r="R45" s="9">
        <f t="shared" si="12"/>
        <v>3.9999999999999996E-5</v>
      </c>
      <c r="S45" s="9">
        <f t="shared" si="13"/>
        <v>6.7896240960484433E-8</v>
      </c>
      <c r="T45" s="9">
        <f t="shared" si="10"/>
        <v>3.6393944350906605E-5</v>
      </c>
      <c r="U45" s="9">
        <f t="shared" si="11"/>
        <v>3.9932103759039511E-5</v>
      </c>
      <c r="V45" s="100">
        <f t="shared" si="14"/>
        <v>0.9113956171835309</v>
      </c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88"/>
      <c r="B46" s="46" t="s">
        <v>185</v>
      </c>
      <c r="C46" s="46" t="s">
        <v>186</v>
      </c>
      <c r="D46" s="91">
        <v>1.2889359999999999</v>
      </c>
      <c r="E46" s="91">
        <v>1.371977</v>
      </c>
      <c r="F46" s="96">
        <v>9.9999999999999995E-7</v>
      </c>
      <c r="G46" s="138"/>
      <c r="H46" s="138"/>
      <c r="I46" s="92">
        <f t="shared" si="1"/>
        <v>4.0258976380178252E-2</v>
      </c>
      <c r="J46" s="92">
        <f t="shared" si="2"/>
        <v>0.55494878574960893</v>
      </c>
      <c r="K46" s="93">
        <f t="shared" si="3"/>
        <v>0.90517056964159182</v>
      </c>
      <c r="L46" s="93">
        <f t="shared" si="4"/>
        <v>1.7371860582186239E-3</v>
      </c>
      <c r="M46" s="93">
        <f t="shared" si="5"/>
        <v>0.9982628139417814</v>
      </c>
      <c r="N46" s="93">
        <f t="shared" si="6"/>
        <v>3.2373741124404527E-4</v>
      </c>
      <c r="O46" s="40">
        <f t="shared" si="7"/>
        <v>9.103678257218803E-7</v>
      </c>
      <c r="P46" s="40">
        <f t="shared" si="8"/>
        <v>3.2671245135368346E-6</v>
      </c>
      <c r="Q46" s="40">
        <f t="shared" si="9"/>
        <v>2.1438475560390435E-5</v>
      </c>
      <c r="R46" s="9">
        <f t="shared" si="12"/>
        <v>3.9999999999999996E-5</v>
      </c>
      <c r="S46" s="9">
        <f t="shared" si="13"/>
        <v>6.9487442328744942E-8</v>
      </c>
      <c r="T46" s="9">
        <f t="shared" si="10"/>
        <v>3.6206822785663669E-5</v>
      </c>
      <c r="U46" s="9">
        <f t="shared" si="11"/>
        <v>3.9930512557671252E-5</v>
      </c>
      <c r="V46" s="100">
        <f t="shared" si="14"/>
        <v>0.90674575572678928</v>
      </c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88"/>
      <c r="B47" s="46" t="s">
        <v>187</v>
      </c>
      <c r="C47" s="46" t="s">
        <v>188</v>
      </c>
      <c r="D47" s="90">
        <v>2.5448008164668257</v>
      </c>
      <c r="E47" s="90">
        <v>3.1426039783542175</v>
      </c>
      <c r="F47" s="96">
        <v>9.9999999999999995E-7</v>
      </c>
      <c r="G47" s="138"/>
      <c r="H47" s="138"/>
      <c r="I47" s="92">
        <f t="shared" si="1"/>
        <v>0.50587648659747519</v>
      </c>
      <c r="J47" s="92">
        <f t="shared" si="2"/>
        <v>1.8883316635103937</v>
      </c>
      <c r="K47" s="93">
        <f t="shared" si="3"/>
        <v>0.3064288765044792</v>
      </c>
      <c r="L47" s="93">
        <f t="shared" si="4"/>
        <v>1.2671513099619924E-2</v>
      </c>
      <c r="M47" s="93">
        <f t="shared" si="5"/>
        <v>0.98732848690038011</v>
      </c>
      <c r="N47" s="93">
        <f t="shared" si="6"/>
        <v>6.4627764204360158E-3</v>
      </c>
      <c r="O47" s="40">
        <f t="shared" si="7"/>
        <v>3.081883121235797E-7</v>
      </c>
      <c r="P47" s="40">
        <f t="shared" si="8"/>
        <v>2.3831305159001732E-5</v>
      </c>
      <c r="Q47" s="40">
        <f t="shared" si="9"/>
        <v>4.2797671671421201E-4</v>
      </c>
      <c r="R47" s="9">
        <f t="shared" si="12"/>
        <v>3.9999999999999996E-5</v>
      </c>
      <c r="S47" s="9">
        <f t="shared" si="13"/>
        <v>5.0686052398479695E-7</v>
      </c>
      <c r="T47" s="9">
        <f t="shared" si="10"/>
        <v>1.2257155060179167E-5</v>
      </c>
      <c r="U47" s="9">
        <f t="shared" si="11"/>
        <v>3.9493139476015199E-5</v>
      </c>
      <c r="V47" s="100">
        <f t="shared" si="14"/>
        <v>0.31036162793852151</v>
      </c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88"/>
      <c r="B48" s="46" t="s">
        <v>101</v>
      </c>
      <c r="C48" s="46" t="s">
        <v>102</v>
      </c>
      <c r="D48" s="90">
        <v>0.29376000000000013</v>
      </c>
      <c r="E48" s="90">
        <v>0.18140000000000034</v>
      </c>
      <c r="F48" s="96">
        <v>9.9999999999999995E-7</v>
      </c>
      <c r="G48" s="138"/>
      <c r="H48" s="138"/>
      <c r="I48" s="92">
        <f t="shared" ref="I48:I50" si="15">IF(D48=0,"",LOG($K$15*10^D48+$K$16*10^E48+$K$14))</f>
        <v>2.0958974367173925E-3</v>
      </c>
      <c r="J48" s="92">
        <f t="shared" ref="J48:J50" si="16">IF(D48=0,"",LOG($K$21*10^D48+$K$22*10^E48+$K$20))</f>
        <v>4.79823720153809E-2</v>
      </c>
      <c r="K48" s="93">
        <f t="shared" ref="K48:K50" si="17">IF(D48=0,"",1/(1+10^D48*$J$15/$J$14+10^E48*$J$16/$J$14+10^J48*$J$19/$J$14))</f>
        <v>0.98944553652940281</v>
      </c>
      <c r="L48" s="93">
        <f t="shared" ref="L48:L50" si="18">IF(D48=0,"",1/(1+10^I48/10^J48*$J$13/$J$19))</f>
        <v>5.9093728186706163E-4</v>
      </c>
      <c r="M48" s="93">
        <f t="shared" ref="M48:M92" si="19">IF(D48=0,"",1-L48)</f>
        <v>0.9994090627181329</v>
      </c>
      <c r="N48" s="93">
        <f t="shared" ref="N48:N50" si="20">IF(D48=0,"",1/(1/10^E48*$J$20/$J$22+10^D48/10^E48*$J$21/$J$22+10^I48/10^E48*$J$13/$J$22+1))</f>
        <v>2.2817988569856541E-5</v>
      </c>
      <c r="O48" s="40">
        <f t="shared" ref="O48:O92" si="21">IF(D48=0,"",F48*K48*$J$7/$J$14)</f>
        <v>9.951266777455583E-7</v>
      </c>
      <c r="P48" s="40">
        <f t="shared" ref="P48:P50" si="22">IF(D48=0,"",O48*10^J48)</f>
        <v>1.1113753016936369E-6</v>
      </c>
      <c r="Q48" s="40">
        <f t="shared" ref="Q48:Q50" si="23">IF(D48=0,"",F48*N48*$J$7/$J$22)</f>
        <v>1.5110483784136199E-6</v>
      </c>
      <c r="R48" s="9">
        <f t="shared" si="12"/>
        <v>3.9999999999999996E-5</v>
      </c>
      <c r="S48" s="9">
        <f t="shared" si="13"/>
        <v>2.3637491274682464E-8</v>
      </c>
      <c r="T48" s="9">
        <f t="shared" si="10"/>
        <v>3.9577821461176111E-5</v>
      </c>
      <c r="U48" s="9">
        <f t="shared" si="11"/>
        <v>3.9976362508725313E-5</v>
      </c>
      <c r="V48" s="100">
        <f t="shared" si="14"/>
        <v>0.99003058251079701</v>
      </c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88"/>
      <c r="B49" s="46" t="s">
        <v>189</v>
      </c>
      <c r="C49" s="46" t="s">
        <v>190</v>
      </c>
      <c r="D49" s="90">
        <v>1.6175039999999998</v>
      </c>
      <c r="E49" s="90">
        <v>1.8999029999999997</v>
      </c>
      <c r="F49" s="96">
        <v>9.9999999999999995E-7</v>
      </c>
      <c r="G49" s="138"/>
      <c r="H49" s="138"/>
      <c r="I49" s="92">
        <f t="shared" si="15"/>
        <v>8.7763082204907472E-2</v>
      </c>
      <c r="J49" s="92">
        <f t="shared" si="16"/>
        <v>0.8749628948462248</v>
      </c>
      <c r="K49" s="93">
        <f t="shared" si="17"/>
        <v>0.81015529208139214</v>
      </c>
      <c r="L49" s="93">
        <f t="shared" si="18"/>
        <v>3.2486153538659451E-3</v>
      </c>
      <c r="M49" s="93">
        <f t="shared" si="19"/>
        <v>0.99675138464613411</v>
      </c>
      <c r="N49" s="93">
        <f t="shared" si="20"/>
        <v>9.771398783655935E-4</v>
      </c>
      <c r="O49" s="40">
        <f t="shared" si="21"/>
        <v>8.1480699493051956E-7</v>
      </c>
      <c r="P49" s="40">
        <f t="shared" si="22"/>
        <v>6.1096684534477475E-6</v>
      </c>
      <c r="Q49" s="40">
        <f t="shared" si="23"/>
        <v>6.470796600530048E-5</v>
      </c>
      <c r="R49" s="9">
        <f t="shared" si="12"/>
        <v>3.9999999999999996E-5</v>
      </c>
      <c r="S49" s="9">
        <f t="shared" si="13"/>
        <v>1.299446141546378E-7</v>
      </c>
      <c r="T49" s="9">
        <f t="shared" si="10"/>
        <v>3.2406211683255683E-5</v>
      </c>
      <c r="U49" s="9">
        <f t="shared" si="11"/>
        <v>3.9870055385845361E-5</v>
      </c>
      <c r="V49" s="100">
        <f t="shared" si="14"/>
        <v>0.81279575284363692</v>
      </c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88"/>
      <c r="B50" s="46" t="s">
        <v>191</v>
      </c>
      <c r="C50" s="46" t="s">
        <v>192</v>
      </c>
      <c r="D50" s="90">
        <v>2.5898400000000001</v>
      </c>
      <c r="E50" s="90">
        <v>2.96393</v>
      </c>
      <c r="F50" s="96">
        <v>9.9999999999999995E-7</v>
      </c>
      <c r="G50" s="138"/>
      <c r="H50" s="138"/>
      <c r="I50" s="92">
        <f t="shared" si="15"/>
        <v>0.50667591684415281</v>
      </c>
      <c r="J50" s="92">
        <f t="shared" si="16"/>
        <v>1.8329595102905287</v>
      </c>
      <c r="K50" s="93">
        <f t="shared" si="17"/>
        <v>0.30633628596262807</v>
      </c>
      <c r="L50" s="93">
        <f t="shared" si="18"/>
        <v>1.1151289158311982E-2</v>
      </c>
      <c r="M50" s="93">
        <f t="shared" si="19"/>
        <v>0.98884871084168802</v>
      </c>
      <c r="N50" s="93">
        <f t="shared" si="20"/>
        <v>4.2816770510685376E-3</v>
      </c>
      <c r="O50" s="40">
        <f t="shared" si="21"/>
        <v>3.0809518995070483E-7</v>
      </c>
      <c r="P50" s="40">
        <f t="shared" si="22"/>
        <v>2.0972221135609402E-5</v>
      </c>
      <c r="Q50" s="40">
        <f t="shared" si="23"/>
        <v>2.8354038065628675E-4</v>
      </c>
      <c r="R50" s="9">
        <f t="shared" si="12"/>
        <v>3.9999999999999996E-5</v>
      </c>
      <c r="S50" s="9">
        <f t="shared" si="13"/>
        <v>4.4605156633247924E-7</v>
      </c>
      <c r="T50" s="9">
        <f t="shared" si="10"/>
        <v>1.2253451438505121E-5</v>
      </c>
      <c r="U50" s="9">
        <f t="shared" si="11"/>
        <v>3.9553948433667519E-5</v>
      </c>
      <c r="V50" s="100">
        <f t="shared" si="14"/>
        <v>0.3097908533468996</v>
      </c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88"/>
      <c r="B51" s="46" t="s">
        <v>193</v>
      </c>
      <c r="C51" s="46" t="s">
        <v>194</v>
      </c>
      <c r="D51" s="90">
        <v>5.0487680000000008</v>
      </c>
      <c r="E51" s="90">
        <v>6.0352960000000007</v>
      </c>
      <c r="F51" s="96">
        <v>9.9999999999999995E-7</v>
      </c>
      <c r="G51" s="138"/>
      <c r="H51" s="138"/>
      <c r="I51" s="92">
        <f t="shared" ref="I51:I70" si="24">IF(D51=0,"",LOG($K$15*10^D51+$K$16*10^E51+$K$14))</f>
        <v>2.9778200964006376</v>
      </c>
      <c r="J51" s="92">
        <f t="shared" ref="J51:J70" si="25">IF(D51=0,"",LOG($K$21*10^D51+$K$22*10^E51+$K$20))</f>
        <v>4.6296168009876641</v>
      </c>
      <c r="K51" s="93">
        <f t="shared" ref="K51:K70" si="26">IF(D51=0,"",1/(1+10^D51*$J$15/$J$14+10^E51*$J$16/$J$14+10^J51*$J$19/$J$14))</f>
        <v>1.022546229885801E-3</v>
      </c>
      <c r="L51" s="93">
        <f t="shared" ref="L51:L70" si="27">IF(D51=0,"",1/(1+10^I51/10^J51*$J$13/$J$19))</f>
        <v>2.3305953590380575E-2</v>
      </c>
      <c r="M51" s="93">
        <f t="shared" ref="M51:M70" si="28">IF(D51=0,"",1-L51)</f>
        <v>0.97669404640961943</v>
      </c>
      <c r="N51" s="93">
        <f t="shared" ref="N51:N70" si="29">IF(D51=0,"",1/(1/10^E51*$J$20/$J$22+10^D51/10^E51*$J$21/$J$22+10^I51/10^E51*$J$13/$J$22+1))</f>
        <v>1.6844744047843609E-2</v>
      </c>
      <c r="O51" s="40">
        <f t="shared" ref="O51:O70" si="30">IF(D51=0,"",F51*K51*$J$7/$J$14)</f>
        <v>1.0284174267506687E-9</v>
      </c>
      <c r="P51" s="40">
        <f t="shared" ref="P51:P70" si="31">IF(D51=0,"",O51*10^J51)</f>
        <v>4.3831489394155349E-5</v>
      </c>
      <c r="Q51" s="40">
        <f t="shared" ref="Q51:Q70" si="32">IF(D51=0,"",F51*N51*$J$7/$J$22)</f>
        <v>1.1154893473788161E-3</v>
      </c>
      <c r="R51" s="9">
        <f t="shared" si="12"/>
        <v>3.9999999999999996E-5</v>
      </c>
      <c r="S51" s="9">
        <f t="shared" si="13"/>
        <v>9.3223814361522293E-7</v>
      </c>
      <c r="T51" s="9">
        <f t="shared" si="10"/>
        <v>4.0901849195432034E-8</v>
      </c>
      <c r="U51" s="9">
        <f t="shared" si="11"/>
        <v>3.9067761856384773E-5</v>
      </c>
      <c r="V51" s="100">
        <f t="shared" si="14"/>
        <v>1.0469463120459644E-3</v>
      </c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6" t="s">
        <v>195</v>
      </c>
      <c r="C52" s="46" t="s">
        <v>196</v>
      </c>
      <c r="D52" s="47">
        <v>2.7330160000000001</v>
      </c>
      <c r="E52" s="47">
        <v>3.3310319999999995</v>
      </c>
      <c r="F52" s="96">
        <v>9.9999999999999995E-7</v>
      </c>
      <c r="G52" s="138"/>
      <c r="H52" s="138"/>
      <c r="I52" s="92">
        <f t="shared" si="24"/>
        <v>0.64393554165863076</v>
      </c>
      <c r="J52" s="92">
        <f t="shared" si="25"/>
        <v>2.0749419502288911</v>
      </c>
      <c r="K52" s="93">
        <f t="shared" si="26"/>
        <v>0.22264871698824701</v>
      </c>
      <c r="L52" s="93">
        <f t="shared" si="27"/>
        <v>1.414911484211075E-2</v>
      </c>
      <c r="M52" s="93">
        <f t="shared" si="28"/>
        <v>0.98585088515788921</v>
      </c>
      <c r="N52" s="93">
        <f t="shared" si="29"/>
        <v>7.2466562606484314E-3</v>
      </c>
      <c r="O52" s="40">
        <f t="shared" si="30"/>
        <v>2.2392710852785903E-7</v>
      </c>
      <c r="P52" s="40">
        <f t="shared" si="31"/>
        <v>2.6610229645125474E-5</v>
      </c>
      <c r="Q52" s="40">
        <f t="shared" si="32"/>
        <v>4.7988665425309057E-4</v>
      </c>
      <c r="R52" s="9">
        <f t="shared" si="12"/>
        <v>3.9999999999999996E-5</v>
      </c>
      <c r="S52" s="9">
        <f t="shared" si="13"/>
        <v>5.6596459368443E-7</v>
      </c>
      <c r="T52" s="9">
        <f t="shared" si="10"/>
        <v>8.9059486795298799E-6</v>
      </c>
      <c r="U52" s="9">
        <f t="shared" si="11"/>
        <v>3.9434035406315563E-5</v>
      </c>
      <c r="V52" s="100">
        <f t="shared" si="14"/>
        <v>0.22584421269002425</v>
      </c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6" t="s">
        <v>197</v>
      </c>
      <c r="C53" s="46" t="s">
        <v>198</v>
      </c>
      <c r="D53" s="47">
        <v>3.4406639999999999</v>
      </c>
      <c r="E53" s="47">
        <v>4.222847999999999</v>
      </c>
      <c r="F53" s="96">
        <v>9.9999999999999995E-7</v>
      </c>
      <c r="G53" s="138"/>
      <c r="H53" s="138"/>
      <c r="I53" s="92">
        <f t="shared" si="24"/>
        <v>1.3135143326183101</v>
      </c>
      <c r="J53" s="92">
        <f t="shared" si="25"/>
        <v>2.8845581821937589</v>
      </c>
      <c r="K53" s="93">
        <f t="shared" si="26"/>
        <v>4.7392490262971966E-2</v>
      </c>
      <c r="L53" s="93">
        <f t="shared" si="27"/>
        <v>1.9428301576911316E-2</v>
      </c>
      <c r="M53" s="93">
        <f t="shared" si="28"/>
        <v>0.98057169842308867</v>
      </c>
      <c r="N53" s="93">
        <f t="shared" si="29"/>
        <v>1.2023834616804707E-2</v>
      </c>
      <c r="O53" s="40">
        <f t="shared" si="30"/>
        <v>4.7664605725449686E-8</v>
      </c>
      <c r="P53" s="40">
        <f t="shared" si="31"/>
        <v>3.6538792167951558E-5</v>
      </c>
      <c r="Q53" s="40">
        <f t="shared" si="32"/>
        <v>7.9624002546998065E-4</v>
      </c>
      <c r="R53" s="9">
        <f t="shared" si="12"/>
        <v>3.9999999999999996E-5</v>
      </c>
      <c r="S53" s="9">
        <f t="shared" si="13"/>
        <v>7.7713206307645255E-7</v>
      </c>
      <c r="T53" s="9">
        <f t="shared" si="10"/>
        <v>1.8956996105188784E-6</v>
      </c>
      <c r="U53" s="9">
        <f t="shared" si="11"/>
        <v>3.9222867936923543E-5</v>
      </c>
      <c r="V53" s="100">
        <f t="shared" si="14"/>
        <v>4.8331489007062349E-2</v>
      </c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6" t="s">
        <v>199</v>
      </c>
      <c r="C54" s="46" t="s">
        <v>200</v>
      </c>
      <c r="D54" s="47">
        <v>2.8976480000000002</v>
      </c>
      <c r="E54" s="47">
        <v>3.5312959999999993</v>
      </c>
      <c r="F54" s="96">
        <v>9.9999999999999995E-7</v>
      </c>
      <c r="G54" s="138"/>
      <c r="H54" s="138"/>
      <c r="I54" s="92">
        <f t="shared" si="24"/>
        <v>0.78379345695532832</v>
      </c>
      <c r="J54" s="92">
        <f t="shared" si="25"/>
        <v>2.2572305062802869</v>
      </c>
      <c r="K54" s="93">
        <f t="shared" si="26"/>
        <v>0.16111355356917509</v>
      </c>
      <c r="L54" s="93">
        <f t="shared" si="27"/>
        <v>1.5578645952846899E-2</v>
      </c>
      <c r="M54" s="93">
        <f t="shared" si="28"/>
        <v>0.98442135404715314</v>
      </c>
      <c r="N54" s="93">
        <f t="shared" si="29"/>
        <v>8.3159820114761564E-3</v>
      </c>
      <c r="O54" s="40">
        <f t="shared" si="30"/>
        <v>1.6203862606267856E-7</v>
      </c>
      <c r="P54" s="40">
        <f t="shared" si="31"/>
        <v>2.9298747730251542E-5</v>
      </c>
      <c r="Q54" s="40">
        <f t="shared" si="32"/>
        <v>5.506993350832799E-4</v>
      </c>
      <c r="R54" s="9">
        <f t="shared" si="12"/>
        <v>3.9999999999999996E-5</v>
      </c>
      <c r="S54" s="9">
        <f t="shared" si="13"/>
        <v>6.2314583811387591E-7</v>
      </c>
      <c r="T54" s="9">
        <f t="shared" si="10"/>
        <v>6.4445421427670032E-6</v>
      </c>
      <c r="U54" s="9">
        <f t="shared" si="11"/>
        <v>3.9376854161886123E-5</v>
      </c>
      <c r="V54" s="100">
        <f t="shared" si="14"/>
        <v>0.16366320469055759</v>
      </c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6" t="s">
        <v>103</v>
      </c>
      <c r="C55" s="46" t="s">
        <v>104</v>
      </c>
      <c r="D55" s="47">
        <v>1.423632</v>
      </c>
      <c r="E55" s="47">
        <v>1.638849</v>
      </c>
      <c r="F55" s="96">
        <v>9.9999999999999995E-7</v>
      </c>
      <c r="G55" s="138"/>
      <c r="H55" s="138"/>
      <c r="I55" s="54">
        <f t="shared" si="24"/>
        <v>5.6400487609719711E-2</v>
      </c>
      <c r="J55" s="54">
        <f t="shared" si="25"/>
        <v>0.69048960682204896</v>
      </c>
      <c r="K55" s="55">
        <f t="shared" si="26"/>
        <v>0.87166627865384549</v>
      </c>
      <c r="L55" s="55">
        <f t="shared" si="27"/>
        <v>2.2856355193728414E-3</v>
      </c>
      <c r="M55" s="55">
        <f t="shared" si="28"/>
        <v>0.99771436448062711</v>
      </c>
      <c r="N55" s="55">
        <f t="shared" si="29"/>
        <v>5.7634789285031891E-4</v>
      </c>
      <c r="O55" s="56">
        <f t="shared" si="30"/>
        <v>8.7667116173186029E-7</v>
      </c>
      <c r="P55" s="56">
        <f t="shared" si="31"/>
        <v>4.2985930027615551E-6</v>
      </c>
      <c r="Q55" s="56">
        <f t="shared" si="32"/>
        <v>3.8166797490820919E-5</v>
      </c>
      <c r="R55" s="9">
        <f t="shared" si="12"/>
        <v>3.9999999999999996E-5</v>
      </c>
      <c r="S55" s="9">
        <f t="shared" si="13"/>
        <v>9.1425420774913652E-8</v>
      </c>
      <c r="T55" s="9">
        <f t="shared" si="10"/>
        <v>3.4866651146153816E-5</v>
      </c>
      <c r="U55" s="9">
        <f t="shared" si="11"/>
        <v>3.9908574579225078E-5</v>
      </c>
      <c r="V55" s="100">
        <f t="shared" si="14"/>
        <v>0.87366315419103191</v>
      </c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6" t="s">
        <v>201</v>
      </c>
      <c r="C56" s="46" t="s">
        <v>202</v>
      </c>
      <c r="D56" s="47">
        <v>2.6912000000000003</v>
      </c>
      <c r="E56" s="47">
        <v>3.3249699999999995</v>
      </c>
      <c r="F56" s="96">
        <v>9.9999999999999995E-7</v>
      </c>
      <c r="G56" s="138"/>
      <c r="H56" s="138"/>
      <c r="I56" s="54">
        <f t="shared" si="24"/>
        <v>0.61860589125383425</v>
      </c>
      <c r="J56" s="54">
        <f t="shared" si="25"/>
        <v>2.0521115161299051</v>
      </c>
      <c r="K56" s="55">
        <f t="shared" si="26"/>
        <v>0.23600129445892198</v>
      </c>
      <c r="L56" s="55">
        <f t="shared" si="27"/>
        <v>1.4229610931435112E-2</v>
      </c>
      <c r="M56" s="55">
        <f t="shared" si="28"/>
        <v>0.98577038906856485</v>
      </c>
      <c r="N56" s="55">
        <f t="shared" si="29"/>
        <v>7.5747769614743386E-3</v>
      </c>
      <c r="O56" s="56">
        <f t="shared" si="30"/>
        <v>2.3735635305640629E-7</v>
      </c>
      <c r="P56" s="56">
        <f t="shared" si="31"/>
        <v>2.6761618579794433E-5</v>
      </c>
      <c r="Q56" s="56">
        <f t="shared" si="32"/>
        <v>5.016153991592874E-4</v>
      </c>
      <c r="R56" s="9">
        <f t="shared" si="12"/>
        <v>3.9999999999999996E-5</v>
      </c>
      <c r="S56" s="9">
        <f t="shared" si="13"/>
        <v>5.6918443725740439E-7</v>
      </c>
      <c r="T56" s="9">
        <f t="shared" si="10"/>
        <v>9.4400517783568785E-6</v>
      </c>
      <c r="U56" s="9">
        <f t="shared" si="11"/>
        <v>3.9430815562742591E-5</v>
      </c>
      <c r="V56" s="100">
        <f t="shared" si="14"/>
        <v>0.23940797682299525</v>
      </c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87" t="s">
        <v>105</v>
      </c>
      <c r="C57" s="87" t="s">
        <v>106</v>
      </c>
      <c r="D57" s="90">
        <v>2.1493200000000003</v>
      </c>
      <c r="E57" s="90">
        <v>2.6108399999999996</v>
      </c>
      <c r="F57" s="96">
        <v>9.9999999999999995E-7</v>
      </c>
      <c r="G57" s="138"/>
      <c r="H57" s="138"/>
      <c r="I57" s="54">
        <f t="shared" si="24"/>
        <v>0.26171036693668792</v>
      </c>
      <c r="J57" s="54">
        <f t="shared" si="25"/>
        <v>1.4369741370782525</v>
      </c>
      <c r="K57" s="55">
        <f t="shared" si="26"/>
        <v>0.54024253017209745</v>
      </c>
      <c r="L57" s="55">
        <f t="shared" si="27"/>
        <v>7.9018727616918857E-3</v>
      </c>
      <c r="M57" s="55">
        <f t="shared" si="28"/>
        <v>0.99209812723830815</v>
      </c>
      <c r="N57" s="55">
        <f t="shared" si="29"/>
        <v>3.3489929648710501E-3</v>
      </c>
      <c r="O57" s="56">
        <f t="shared" si="30"/>
        <v>5.4334446351917835E-7</v>
      </c>
      <c r="P57" s="56">
        <f t="shared" si="31"/>
        <v>1.4861046161656212E-5</v>
      </c>
      <c r="Q57" s="56">
        <f t="shared" si="32"/>
        <v>2.2177635742933659E-4</v>
      </c>
      <c r="R57" s="9">
        <f t="shared" si="12"/>
        <v>3.9999999999999996E-5</v>
      </c>
      <c r="S57" s="9">
        <f t="shared" si="13"/>
        <v>3.1607491046767539E-7</v>
      </c>
      <c r="T57" s="9">
        <f t="shared" si="10"/>
        <v>2.1609701206883894E-5</v>
      </c>
      <c r="U57" s="9">
        <f t="shared" si="11"/>
        <v>3.9683925089532321E-5</v>
      </c>
      <c r="V57" s="100">
        <f t="shared" si="14"/>
        <v>0.54454545910288554</v>
      </c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6" t="s">
        <v>144</v>
      </c>
      <c r="C58" s="46" t="s">
        <v>145</v>
      </c>
      <c r="D58" s="47">
        <v>2.0184960000000003</v>
      </c>
      <c r="E58" s="47">
        <v>2.3512620000000002</v>
      </c>
      <c r="F58" s="96">
        <v>9.9999999999999995E-7</v>
      </c>
      <c r="G58" s="138"/>
      <c r="H58" s="138"/>
      <c r="I58" s="54">
        <f t="shared" si="24"/>
        <v>0.19893820408979257</v>
      </c>
      <c r="J58" s="54">
        <f t="shared" si="25"/>
        <v>1.2615464423900991</v>
      </c>
      <c r="K58" s="55">
        <f t="shared" si="26"/>
        <v>0.62538252654474114</v>
      </c>
      <c r="L58" s="55">
        <f t="shared" si="27"/>
        <v>6.1074414128197141E-3</v>
      </c>
      <c r="M58" s="55">
        <f t="shared" si="28"/>
        <v>0.99389255858718029</v>
      </c>
      <c r="N58" s="55">
        <f t="shared" si="29"/>
        <v>2.1325204631412521E-3</v>
      </c>
      <c r="O58" s="56">
        <f t="shared" si="30"/>
        <v>6.2897331180400758E-7</v>
      </c>
      <c r="P58" s="56">
        <f t="shared" si="31"/>
        <v>1.1486260473028823E-5</v>
      </c>
      <c r="Q58" s="56">
        <f t="shared" si="32"/>
        <v>1.4121935322644041E-4</v>
      </c>
      <c r="R58" s="9">
        <f t="shared" si="12"/>
        <v>3.9999999999999996E-5</v>
      </c>
      <c r="S58" s="9">
        <f t="shared" si="13"/>
        <v>2.4429765651278856E-7</v>
      </c>
      <c r="T58" s="9">
        <f t="shared" si="10"/>
        <v>2.5015301061789644E-5</v>
      </c>
      <c r="U58" s="9">
        <f t="shared" si="11"/>
        <v>3.975570234348721E-5</v>
      </c>
      <c r="V58" s="100">
        <f t="shared" si="14"/>
        <v>0.62922548432571357</v>
      </c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6" t="s">
        <v>146</v>
      </c>
      <c r="C59" s="46" t="s">
        <v>147</v>
      </c>
      <c r="D59" s="47">
        <v>1.4665360000000003</v>
      </c>
      <c r="E59" s="47">
        <v>1.8522119999999997</v>
      </c>
      <c r="F59" s="96">
        <v>9.9999999999999995E-7</v>
      </c>
      <c r="G59" s="138"/>
      <c r="H59" s="138"/>
      <c r="I59" s="54">
        <f t="shared" si="24"/>
        <v>6.5352597387686409E-2</v>
      </c>
      <c r="J59" s="54">
        <f t="shared" si="25"/>
        <v>0.77659593217338263</v>
      </c>
      <c r="K59" s="55">
        <f t="shared" si="26"/>
        <v>0.8535032853786173</v>
      </c>
      <c r="L59" s="55">
        <f t="shared" si="27"/>
        <v>2.728778306663827E-3</v>
      </c>
      <c r="M59" s="55">
        <f t="shared" si="28"/>
        <v>0.99727122169333615</v>
      </c>
      <c r="N59" s="55">
        <f t="shared" si="29"/>
        <v>9.2236467468800778E-4</v>
      </c>
      <c r="O59" s="56">
        <f t="shared" si="30"/>
        <v>8.5840388123121628E-7</v>
      </c>
      <c r="P59" s="56">
        <f t="shared" si="31"/>
        <v>5.1320113096296458E-6</v>
      </c>
      <c r="Q59" s="56">
        <f t="shared" si="32"/>
        <v>6.1080653175297952E-5</v>
      </c>
      <c r="R59" s="9">
        <f t="shared" si="12"/>
        <v>3.9999999999999996E-5</v>
      </c>
      <c r="S59" s="9">
        <f t="shared" si="13"/>
        <v>1.0915113226655307E-7</v>
      </c>
      <c r="T59" s="9">
        <f t="shared" si="10"/>
        <v>3.4140131415144691E-5</v>
      </c>
      <c r="U59" s="9">
        <f t="shared" si="11"/>
        <v>3.9890848867733442E-5</v>
      </c>
      <c r="V59" s="100">
        <f t="shared" si="14"/>
        <v>0.85583867940097047</v>
      </c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6" t="s">
        <v>148</v>
      </c>
      <c r="C60" s="46" t="s">
        <v>149</v>
      </c>
      <c r="D60" s="47">
        <v>2.7203999877244023</v>
      </c>
      <c r="E60" s="47">
        <v>3.3923999825375306</v>
      </c>
      <c r="F60" s="96">
        <v>9.9999999999999995E-7</v>
      </c>
      <c r="G60" s="138"/>
      <c r="H60" s="138"/>
      <c r="I60" s="54">
        <f t="shared" si="24"/>
        <v>0.6487673116742505</v>
      </c>
      <c r="J60" s="54">
        <f t="shared" si="25"/>
        <v>2.1018734349714285</v>
      </c>
      <c r="K60" s="55">
        <f t="shared" si="26"/>
        <v>0.22002283753803903</v>
      </c>
      <c r="L60" s="55">
        <f t="shared" si="27"/>
        <v>1.4876758765374106E-2</v>
      </c>
      <c r="M60" s="55">
        <f t="shared" si="28"/>
        <v>0.98512324123462591</v>
      </c>
      <c r="N60" s="55">
        <f t="shared" si="29"/>
        <v>8.2480865284002541E-3</v>
      </c>
      <c r="O60" s="56">
        <f t="shared" si="30"/>
        <v>2.2128615195473475E-7</v>
      </c>
      <c r="P60" s="56">
        <f t="shared" si="31"/>
        <v>2.7978709024506169E-5</v>
      </c>
      <c r="Q60" s="56">
        <f t="shared" si="32"/>
        <v>5.462031736758287E-4</v>
      </c>
      <c r="R60" s="9">
        <f t="shared" si="12"/>
        <v>3.9999999999999996E-5</v>
      </c>
      <c r="S60" s="9">
        <f t="shared" si="13"/>
        <v>5.9507035061496418E-7</v>
      </c>
      <c r="T60" s="9">
        <f t="shared" si="10"/>
        <v>8.8009135015215602E-6</v>
      </c>
      <c r="U60" s="9">
        <f t="shared" si="11"/>
        <v>3.9404929649385031E-5</v>
      </c>
      <c r="V60" s="100">
        <f t="shared" si="14"/>
        <v>0.22334549458227265</v>
      </c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6" t="s">
        <v>150</v>
      </c>
      <c r="C61" s="46" t="s">
        <v>151</v>
      </c>
      <c r="D61" s="47">
        <v>3.4658999877244021</v>
      </c>
      <c r="E61" s="47">
        <v>4.4528999825375299</v>
      </c>
      <c r="F61" s="96">
        <v>9.9999999999999995E-7</v>
      </c>
      <c r="G61" s="138"/>
      <c r="H61" s="138"/>
      <c r="I61" s="54">
        <f t="shared" si="24"/>
        <v>1.4117733403846819</v>
      </c>
      <c r="J61" s="54">
        <f t="shared" si="25"/>
        <v>3.0474184921770631</v>
      </c>
      <c r="K61" s="55">
        <f t="shared" si="26"/>
        <v>3.7679000919810926E-2</v>
      </c>
      <c r="L61" s="55">
        <f t="shared" si="27"/>
        <v>2.2474239018866908E-2</v>
      </c>
      <c r="M61" s="55">
        <f t="shared" si="28"/>
        <v>0.97752576098113309</v>
      </c>
      <c r="N61" s="55">
        <f t="shared" si="29"/>
        <v>1.6236216202793193E-2</v>
      </c>
      <c r="O61" s="56">
        <f t="shared" si="30"/>
        <v>3.7895344030377626E-8</v>
      </c>
      <c r="P61" s="56">
        <f t="shared" si="31"/>
        <v>4.2267284424858944E-5</v>
      </c>
      <c r="Q61" s="56">
        <f t="shared" si="32"/>
        <v>1.0751915353842184E-3</v>
      </c>
      <c r="R61" s="9">
        <f t="shared" si="12"/>
        <v>3.9999999999999996E-5</v>
      </c>
      <c r="S61" s="9">
        <f t="shared" si="13"/>
        <v>8.9896956075467629E-7</v>
      </c>
      <c r="T61" s="9">
        <f t="shared" si="10"/>
        <v>1.5071600367924368E-6</v>
      </c>
      <c r="U61" s="9">
        <f t="shared" si="11"/>
        <v>3.9101030439245319E-5</v>
      </c>
      <c r="V61" s="100">
        <f t="shared" si="14"/>
        <v>3.8545276680987804E-2</v>
      </c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6" t="s">
        <v>152</v>
      </c>
      <c r="C62" s="46" t="s">
        <v>153</v>
      </c>
      <c r="D62" s="47">
        <v>4.1687999877244026</v>
      </c>
      <c r="E62" s="47">
        <v>5.4527999825375302</v>
      </c>
      <c r="F62" s="96">
        <v>9.9999999999999995E-7</v>
      </c>
      <c r="G62" s="138"/>
      <c r="H62" s="138"/>
      <c r="I62" s="54">
        <f t="shared" si="24"/>
        <v>2.2542758302531842</v>
      </c>
      <c r="J62" s="54">
        <f t="shared" si="25"/>
        <v>3.9829255077533601</v>
      </c>
      <c r="K62" s="55">
        <f t="shared" si="26"/>
        <v>5.3860730119096086E-3</v>
      </c>
      <c r="L62" s="55">
        <f t="shared" si="27"/>
        <v>2.7692672428020287E-2</v>
      </c>
      <c r="M62" s="55">
        <f t="shared" si="28"/>
        <v>0.97230732757197968</v>
      </c>
      <c r="N62" s="55">
        <f t="shared" si="29"/>
        <v>2.3203723588762788E-2</v>
      </c>
      <c r="O62" s="56">
        <f t="shared" si="30"/>
        <v>5.4169984547475363E-9</v>
      </c>
      <c r="P62" s="56">
        <f t="shared" si="31"/>
        <v>5.2081588213819563E-5</v>
      </c>
      <c r="Q62" s="56">
        <f t="shared" si="32"/>
        <v>1.5365924474287835E-3</v>
      </c>
      <c r="R62" s="9">
        <f t="shared" si="12"/>
        <v>3.9999999999999996E-5</v>
      </c>
      <c r="S62" s="9">
        <f t="shared" si="13"/>
        <v>1.1077068971208114E-6</v>
      </c>
      <c r="T62" s="9">
        <f t="shared" si="10"/>
        <v>2.1544292047638433E-7</v>
      </c>
      <c r="U62" s="9">
        <f t="shared" si="11"/>
        <v>3.8892293102879186E-5</v>
      </c>
      <c r="V62" s="100">
        <f t="shared" si="14"/>
        <v>5.5394759035289473E-3</v>
      </c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6" t="s">
        <v>154</v>
      </c>
      <c r="C63" s="46" t="s">
        <v>155</v>
      </c>
      <c r="D63" s="47">
        <v>4.999499987724402</v>
      </c>
      <c r="E63" s="47">
        <v>6.6344999825375304</v>
      </c>
      <c r="F63" s="96">
        <v>9.9999999999999995E-7</v>
      </c>
      <c r="G63" s="138"/>
      <c r="H63" s="138"/>
      <c r="I63" s="54">
        <f t="shared" si="24"/>
        <v>3.3259932392561606</v>
      </c>
      <c r="J63" s="54">
        <f t="shared" si="25"/>
        <v>5.1237181209324083</v>
      </c>
      <c r="K63" s="55">
        <f t="shared" si="26"/>
        <v>4.5445026879409886E-4</v>
      </c>
      <c r="L63" s="55">
        <f t="shared" si="27"/>
        <v>3.231257809411401E-2</v>
      </c>
      <c r="M63" s="55">
        <f t="shared" si="28"/>
        <v>0.96768742190588597</v>
      </c>
      <c r="N63" s="55">
        <f t="shared" si="29"/>
        <v>2.9748961641851542E-2</v>
      </c>
      <c r="O63" s="56">
        <f t="shared" si="30"/>
        <v>4.570596050914711E-10</v>
      </c>
      <c r="P63" s="56">
        <f t="shared" si="31"/>
        <v>6.0770241326428766E-5</v>
      </c>
      <c r="Q63" s="56">
        <f t="shared" si="32"/>
        <v>1.970029922260206E-3</v>
      </c>
      <c r="R63" s="9">
        <f t="shared" si="12"/>
        <v>3.9999999999999996E-5</v>
      </c>
      <c r="S63" s="9">
        <f t="shared" si="13"/>
        <v>1.2925031237645602E-6</v>
      </c>
      <c r="T63" s="9">
        <f t="shared" si="10"/>
        <v>1.8178010751763954E-8</v>
      </c>
      <c r="U63" s="9">
        <f t="shared" si="11"/>
        <v>3.8707496876235435E-5</v>
      </c>
      <c r="V63" s="100">
        <f t="shared" si="14"/>
        <v>4.6962506539461582E-4</v>
      </c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6" t="s">
        <v>156</v>
      </c>
      <c r="C64" s="46" t="s">
        <v>157</v>
      </c>
      <c r="D64" s="47">
        <v>4.4669999877244022</v>
      </c>
      <c r="E64" s="47">
        <v>5.8769999825375301</v>
      </c>
      <c r="F64" s="96">
        <v>9.9999999999999995E-7</v>
      </c>
      <c r="G64" s="138"/>
      <c r="H64" s="138"/>
      <c r="I64" s="54">
        <f t="shared" si="24"/>
        <v>2.6313958666363746</v>
      </c>
      <c r="J64" s="54">
        <f t="shared" si="25"/>
        <v>4.3890098224367859</v>
      </c>
      <c r="K64" s="55">
        <f t="shared" si="26"/>
        <v>2.2559192023838257E-3</v>
      </c>
      <c r="L64" s="55">
        <f t="shared" si="27"/>
        <v>2.9546122077971047E-2</v>
      </c>
      <c r="M64" s="55">
        <f t="shared" si="28"/>
        <v>0.97045387792202897</v>
      </c>
      <c r="N64" s="55">
        <f t="shared" si="29"/>
        <v>2.5811247074054043E-2</v>
      </c>
      <c r="O64" s="56">
        <f t="shared" si="30"/>
        <v>2.2688721089237188E-9</v>
      </c>
      <c r="P64" s="56">
        <f t="shared" si="31"/>
        <v>5.5567369576910828E-5</v>
      </c>
      <c r="Q64" s="56">
        <f t="shared" si="32"/>
        <v>1.7092673579303078E-3</v>
      </c>
      <c r="R64" s="9">
        <f t="shared" si="12"/>
        <v>3.9999999999999996E-5</v>
      </c>
      <c r="S64" s="9">
        <f t="shared" si="13"/>
        <v>1.1818448831188418E-6</v>
      </c>
      <c r="T64" s="9">
        <f t="shared" si="10"/>
        <v>9.0236768095353022E-8</v>
      </c>
      <c r="U64" s="9">
        <f t="shared" si="11"/>
        <v>3.8818155116881159E-5</v>
      </c>
      <c r="V64" s="100">
        <f t="shared" si="14"/>
        <v>2.324602182243098E-3</v>
      </c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6" t="s">
        <v>158</v>
      </c>
      <c r="C65" s="46" t="s">
        <v>159</v>
      </c>
      <c r="D65" s="47">
        <v>4.2539999877244021</v>
      </c>
      <c r="E65" s="47">
        <v>5.5739999825375302</v>
      </c>
      <c r="F65" s="96">
        <v>9.9999999999999995E-7</v>
      </c>
      <c r="G65" s="138"/>
      <c r="H65" s="138"/>
      <c r="I65" s="54">
        <f t="shared" si="24"/>
        <v>2.3610319672695166</v>
      </c>
      <c r="J65" s="54">
        <f t="shared" si="25"/>
        <v>4.0984823491035831</v>
      </c>
      <c r="K65" s="55">
        <f t="shared" si="26"/>
        <v>4.2098824345062841E-3</v>
      </c>
      <c r="L65" s="55">
        <f t="shared" si="27"/>
        <v>2.8243560283565467E-2</v>
      </c>
      <c r="M65" s="55">
        <f t="shared" si="28"/>
        <v>0.97175643971643455</v>
      </c>
      <c r="N65" s="55">
        <f t="shared" si="29"/>
        <v>2.3974823296586314E-2</v>
      </c>
      <c r="O65" s="56">
        <f t="shared" si="30"/>
        <v>4.2340544942416128E-9</v>
      </c>
      <c r="P65" s="56">
        <f t="shared" si="31"/>
        <v>5.3117642589542029E-5</v>
      </c>
      <c r="Q65" s="56">
        <f t="shared" si="32"/>
        <v>1.5876560615389766E-3</v>
      </c>
      <c r="R65" s="9">
        <f t="shared" si="12"/>
        <v>3.9999999999999996E-5</v>
      </c>
      <c r="S65" s="9">
        <f t="shared" si="13"/>
        <v>1.1297424113426186E-6</v>
      </c>
      <c r="T65" s="9">
        <f t="shared" si="10"/>
        <v>1.6839529738025134E-7</v>
      </c>
      <c r="U65" s="9">
        <f t="shared" si="11"/>
        <v>3.887025758865738E-5</v>
      </c>
      <c r="V65" s="100">
        <f t="shared" si="14"/>
        <v>4.3322403252966943E-3</v>
      </c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6" t="s">
        <v>160</v>
      </c>
      <c r="C66" s="46" t="s">
        <v>161</v>
      </c>
      <c r="D66" s="47">
        <v>4.4669999877244022</v>
      </c>
      <c r="E66" s="47">
        <v>5.8769999825375301</v>
      </c>
      <c r="F66" s="96">
        <v>9.9999999999999995E-7</v>
      </c>
      <c r="G66" s="138"/>
      <c r="H66" s="138"/>
      <c r="I66" s="54">
        <f t="shared" si="24"/>
        <v>2.6313958666363746</v>
      </c>
      <c r="J66" s="54">
        <f t="shared" si="25"/>
        <v>4.3890098224367859</v>
      </c>
      <c r="K66" s="55">
        <f t="shared" si="26"/>
        <v>2.2559192023838257E-3</v>
      </c>
      <c r="L66" s="55">
        <f t="shared" si="27"/>
        <v>2.9546122077971047E-2</v>
      </c>
      <c r="M66" s="55">
        <f t="shared" si="28"/>
        <v>0.97045387792202897</v>
      </c>
      <c r="N66" s="55">
        <f t="shared" si="29"/>
        <v>2.5811247074054043E-2</v>
      </c>
      <c r="O66" s="56">
        <f t="shared" si="30"/>
        <v>2.2688721089237188E-9</v>
      </c>
      <c r="P66" s="56">
        <f t="shared" si="31"/>
        <v>5.5567369576910828E-5</v>
      </c>
      <c r="Q66" s="56">
        <f t="shared" si="32"/>
        <v>1.7092673579303078E-3</v>
      </c>
      <c r="R66" s="9">
        <f t="shared" si="12"/>
        <v>3.9999999999999996E-5</v>
      </c>
      <c r="S66" s="9">
        <f t="shared" si="13"/>
        <v>1.1818448831188418E-6</v>
      </c>
      <c r="T66" s="9">
        <f t="shared" si="10"/>
        <v>9.0236768095353022E-8</v>
      </c>
      <c r="U66" s="9">
        <f t="shared" si="11"/>
        <v>3.8818155116881159E-5</v>
      </c>
      <c r="V66" s="100">
        <f t="shared" si="14"/>
        <v>2.324602182243098E-3</v>
      </c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6" t="s">
        <v>114</v>
      </c>
      <c r="C67" s="46" t="s">
        <v>115</v>
      </c>
      <c r="D67" s="47">
        <v>-0.73745450190951667</v>
      </c>
      <c r="E67" s="47">
        <v>-1.5265197844064957</v>
      </c>
      <c r="F67" s="96">
        <v>9.9999999999999995E-7</v>
      </c>
      <c r="G67" s="138"/>
      <c r="H67" s="138"/>
      <c r="I67" s="54">
        <f t="shared" si="24"/>
        <v>-1.8671766444063711E-3</v>
      </c>
      <c r="J67" s="54">
        <f t="shared" si="25"/>
        <v>-5.2481050936873601E-2</v>
      </c>
      <c r="K67" s="55">
        <f t="shared" si="26"/>
        <v>0.99863344127433651</v>
      </c>
      <c r="L67" s="55">
        <f t="shared" si="27"/>
        <v>4.7325169570183501E-4</v>
      </c>
      <c r="M67" s="55">
        <f t="shared" si="28"/>
        <v>0.99952674830429822</v>
      </c>
      <c r="N67" s="55">
        <f t="shared" si="29"/>
        <v>4.5120279924574126E-7</v>
      </c>
      <c r="O67" s="56">
        <f t="shared" si="30"/>
        <v>1.0043673370711229E-6</v>
      </c>
      <c r="P67" s="56">
        <f t="shared" si="31"/>
        <v>8.9004410827809835E-7</v>
      </c>
      <c r="Q67" s="56">
        <f t="shared" si="32"/>
        <v>2.9879463566592969E-8</v>
      </c>
      <c r="R67" s="9">
        <f t="shared" si="12"/>
        <v>3.9999999999999996E-5</v>
      </c>
      <c r="S67" s="9">
        <f t="shared" si="13"/>
        <v>1.8930067828073398E-8</v>
      </c>
      <c r="T67" s="9">
        <f t="shared" si="10"/>
        <v>3.9945337650973456E-5</v>
      </c>
      <c r="U67" s="9">
        <f t="shared" si="11"/>
        <v>3.9981069932171926E-5</v>
      </c>
      <c r="V67" s="100">
        <f t="shared" si="14"/>
        <v>0.99910627001080543</v>
      </c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6" t="s">
        <v>116</v>
      </c>
      <c r="C68" s="46" t="s">
        <v>117</v>
      </c>
      <c r="D68" s="47">
        <v>4.7386560000000006</v>
      </c>
      <c r="E68" s="47">
        <v>5.8355820000000005</v>
      </c>
      <c r="F68" s="96">
        <v>9.9999999999999995E-7</v>
      </c>
      <c r="G68" s="138"/>
      <c r="H68" s="138"/>
      <c r="I68" s="54">
        <f t="shared" si="24"/>
        <v>2.7194923137791687</v>
      </c>
      <c r="J68" s="54">
        <f t="shared" si="25"/>
        <v>4.4020071593837926</v>
      </c>
      <c r="K68" s="55">
        <f t="shared" si="26"/>
        <v>1.850416640553552E-3</v>
      </c>
      <c r="L68" s="55">
        <f t="shared" si="27"/>
        <v>2.4971452774169255E-2</v>
      </c>
      <c r="M68" s="55">
        <f t="shared" si="28"/>
        <v>0.97502854722583077</v>
      </c>
      <c r="N68" s="55">
        <f t="shared" si="29"/>
        <v>1.9245845269094019E-2</v>
      </c>
      <c r="O68" s="56">
        <f t="shared" si="30"/>
        <v>1.8610412559119502E-9</v>
      </c>
      <c r="P68" s="56">
        <f t="shared" si="31"/>
        <v>4.6963792456851744E-5</v>
      </c>
      <c r="Q68" s="56">
        <f t="shared" si="32"/>
        <v>1.2744946030642521E-3</v>
      </c>
      <c r="R68" s="9">
        <f t="shared" si="12"/>
        <v>3.9999999999999996E-5</v>
      </c>
      <c r="S68" s="9">
        <f t="shared" si="13"/>
        <v>9.9885811096677012E-7</v>
      </c>
      <c r="T68" s="9">
        <f t="shared" si="10"/>
        <v>7.4016665622142069E-8</v>
      </c>
      <c r="U68" s="9">
        <f t="shared" si="11"/>
        <v>3.9001141889033226E-5</v>
      </c>
      <c r="V68" s="100">
        <f t="shared" si="14"/>
        <v>1.8978076547793309E-3</v>
      </c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6" t="s">
        <v>118</v>
      </c>
      <c r="C69" s="46" t="s">
        <v>119</v>
      </c>
      <c r="D69" s="47">
        <v>2.3724999877244022</v>
      </c>
      <c r="E69" s="47">
        <v>2.8974999825375303</v>
      </c>
      <c r="F69" s="96">
        <v>9.9999999999999995E-7</v>
      </c>
      <c r="G69" s="138"/>
      <c r="H69" s="138"/>
      <c r="I69" s="54">
        <f t="shared" si="24"/>
        <v>0.38500856866688477</v>
      </c>
      <c r="J69" s="54">
        <f t="shared" si="25"/>
        <v>1.6829875890469175</v>
      </c>
      <c r="K69" s="55">
        <f t="shared" si="26"/>
        <v>0.40566866721803108</v>
      </c>
      <c r="L69" s="55">
        <f t="shared" si="27"/>
        <v>1.0455051556493124E-2</v>
      </c>
      <c r="M69" s="55">
        <f t="shared" si="28"/>
        <v>0.98954494844350682</v>
      </c>
      <c r="N69" s="55">
        <f t="shared" si="29"/>
        <v>4.8658297828832976E-3</v>
      </c>
      <c r="O69" s="56">
        <f t="shared" si="30"/>
        <v>4.0799791213384433E-7</v>
      </c>
      <c r="P69" s="56">
        <f t="shared" si="31"/>
        <v>1.9662807601355598E-5</v>
      </c>
      <c r="Q69" s="56">
        <f t="shared" si="32"/>
        <v>3.2222402866725284E-4</v>
      </c>
      <c r="R69" s="9">
        <f t="shared" si="12"/>
        <v>3.9999999999999996E-5</v>
      </c>
      <c r="S69" s="9">
        <f t="shared" si="13"/>
        <v>4.1820206225972491E-7</v>
      </c>
      <c r="T69" s="9">
        <f t="shared" si="10"/>
        <v>1.622674668872124E-5</v>
      </c>
      <c r="U69" s="9">
        <f t="shared" si="11"/>
        <v>3.9581797937740269E-5</v>
      </c>
      <c r="V69" s="100">
        <f t="shared" si="14"/>
        <v>0.40995476542639409</v>
      </c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6" t="s">
        <v>112</v>
      </c>
      <c r="C70" s="46" t="s">
        <v>113</v>
      </c>
      <c r="D70" s="47">
        <v>3.3511520000000004</v>
      </c>
      <c r="E70" s="47">
        <v>4.2962190000000007</v>
      </c>
      <c r="F70" s="96">
        <v>9.9999999999999995E-7</v>
      </c>
      <c r="G70" s="138"/>
      <c r="H70" s="138"/>
      <c r="I70" s="54">
        <f t="shared" si="24"/>
        <v>1.2852308448323728</v>
      </c>
      <c r="J70" s="54">
        <f t="shared" si="25"/>
        <v>2.9028974715327305</v>
      </c>
      <c r="K70" s="55">
        <f t="shared" si="26"/>
        <v>5.0470529295865159E-2</v>
      </c>
      <c r="L70" s="55">
        <f t="shared" si="27"/>
        <v>2.1582535072369638E-2</v>
      </c>
      <c r="M70" s="55">
        <f t="shared" si="28"/>
        <v>0.97841746492763038</v>
      </c>
      <c r="N70" s="55">
        <f t="shared" si="29"/>
        <v>1.5161505361630346E-2</v>
      </c>
      <c r="O70" s="56">
        <f t="shared" si="30"/>
        <v>5.0760318065027389E-8</v>
      </c>
      <c r="P70" s="56">
        <f t="shared" si="31"/>
        <v>4.0590257483135605E-5</v>
      </c>
      <c r="Q70" s="56">
        <f t="shared" si="32"/>
        <v>1.0040222441545807E-3</v>
      </c>
      <c r="R70" s="9">
        <f t="shared" si="12"/>
        <v>3.9999999999999996E-5</v>
      </c>
      <c r="S70" s="9">
        <f t="shared" si="13"/>
        <v>8.6330140289478545E-7</v>
      </c>
      <c r="T70" s="9">
        <f t="shared" si="10"/>
        <v>2.018821171834606E-6</v>
      </c>
      <c r="U70" s="9">
        <f t="shared" si="11"/>
        <v>3.9136698597105212E-5</v>
      </c>
      <c r="V70" s="100">
        <f t="shared" si="14"/>
        <v>5.1583839317093816E-2</v>
      </c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6" t="s">
        <v>120</v>
      </c>
      <c r="C71" s="46" t="s">
        <v>121</v>
      </c>
      <c r="D71" s="47">
        <v>5.9183200000000005</v>
      </c>
      <c r="E71" s="47">
        <v>7.0401399999999992</v>
      </c>
      <c r="F71" s="96">
        <v>9.9999999999999995E-7</v>
      </c>
      <c r="G71" s="138"/>
      <c r="H71" s="138"/>
      <c r="I71" s="54">
        <f t="shared" ref="I71:I122" si="33">IF(D71=0,"",LOG($K$15*10^D71+$K$16*10^E71+$K$14))</f>
        <v>3.9109447814528924</v>
      </c>
      <c r="J71" s="54">
        <f t="shared" ref="J71:J122" si="34">IF(D71=0,"",LOG($K$21*10^D71+$K$22*10^E71+$K$20))</f>
        <v>5.6009687713569756</v>
      </c>
      <c r="K71" s="55">
        <f t="shared" ref="K71:K122" si="35">IF(D71=0,"",1/(1+10^D71*$J$15/$J$14+10^E71*$J$16/$J$14+10^J71*$J$19/$J$14))</f>
        <v>1.1902219469113565E-4</v>
      </c>
      <c r="L71" s="55">
        <f t="shared" ref="L71:L122" si="36">IF(D71=0,"",1/(1+10^I71/10^J71*$J$13/$J$19))</f>
        <v>2.5395914130691599E-2</v>
      </c>
      <c r="M71" s="55">
        <f t="shared" si="19"/>
        <v>0.97460408586930836</v>
      </c>
      <c r="N71" s="55">
        <f t="shared" ref="N71:N122" si="37">IF(D71=0,"",1/(1/10^E71*$J$20/$J$22+10^D71/10^E71*$J$21/$J$22+10^I71/10^E71*$J$13/$J$22+1))</f>
        <v>1.9826836199054204E-2</v>
      </c>
      <c r="O71" s="56">
        <f t="shared" si="21"/>
        <v>1.1970558945207307E-10</v>
      </c>
      <c r="P71" s="56">
        <f t="shared" ref="P71:P122" si="38">IF(D71=0,"",O71*10^J71)</f>
        <v>4.7762076610919405E-5</v>
      </c>
      <c r="Q71" s="56">
        <f t="shared" ref="Q71:Q122" si="39">IF(D71=0,"",F71*N71*$J$7/$J$22)</f>
        <v>1.312968870850901E-3</v>
      </c>
      <c r="R71" s="9">
        <f t="shared" si="12"/>
        <v>3.9999999999999996E-5</v>
      </c>
      <c r="S71" s="9">
        <f t="shared" si="13"/>
        <v>1.0158365652276639E-6</v>
      </c>
      <c r="T71" s="9">
        <f t="shared" si="10"/>
        <v>4.7608877876454258E-9</v>
      </c>
      <c r="U71" s="9">
        <f t="shared" si="11"/>
        <v>3.8984163434772333E-5</v>
      </c>
      <c r="V71" s="100">
        <f t="shared" si="14"/>
        <v>1.221236360659955E-4</v>
      </c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6" t="s">
        <v>122</v>
      </c>
      <c r="C72" s="46" t="s">
        <v>123</v>
      </c>
      <c r="D72" s="47">
        <v>5.5295200000000007</v>
      </c>
      <c r="E72" s="47">
        <v>6.5305900000000001</v>
      </c>
      <c r="F72" s="96">
        <v>9.9999999999999995E-7</v>
      </c>
      <c r="G72" s="138"/>
      <c r="H72" s="138"/>
      <c r="I72" s="54">
        <f t="shared" si="33"/>
        <v>3.4646398062685493</v>
      </c>
      <c r="J72" s="54">
        <f t="shared" si="34"/>
        <v>5.1209220349701772</v>
      </c>
      <c r="K72" s="55">
        <f t="shared" si="35"/>
        <v>3.3324080393555084E-4</v>
      </c>
      <c r="L72" s="55">
        <f t="shared" si="36"/>
        <v>2.3542215617676117E-2</v>
      </c>
      <c r="M72" s="55">
        <f t="shared" si="19"/>
        <v>0.97645778438232389</v>
      </c>
      <c r="N72" s="55">
        <f t="shared" si="37"/>
        <v>1.7172504468759758E-2</v>
      </c>
      <c r="O72" s="56">
        <f t="shared" si="21"/>
        <v>3.3515418673050858E-10</v>
      </c>
      <c r="P72" s="56">
        <f t="shared" si="38"/>
        <v>4.427582721124953E-5</v>
      </c>
      <c r="Q72" s="56">
        <f t="shared" si="39"/>
        <v>1.1371942338992596E-3</v>
      </c>
      <c r="R72" s="9">
        <f t="shared" si="12"/>
        <v>3.9999999999999996E-5</v>
      </c>
      <c r="S72" s="9">
        <f t="shared" si="13"/>
        <v>9.416886247070446E-7</v>
      </c>
      <c r="T72" s="9">
        <f t="shared" si="10"/>
        <v>1.3329632157422032E-8</v>
      </c>
      <c r="U72" s="9">
        <f t="shared" si="11"/>
        <v>3.9058311375292952E-5</v>
      </c>
      <c r="V72" s="100">
        <f t="shared" si="14"/>
        <v>3.4127517775522508E-4</v>
      </c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6" t="s">
        <v>124</v>
      </c>
      <c r="C73" s="46" t="s">
        <v>125</v>
      </c>
      <c r="D73" s="47">
        <v>5.4845040000000003</v>
      </c>
      <c r="E73" s="47">
        <v>6.5678879999999999</v>
      </c>
      <c r="F73" s="96">
        <v>9.9999999999999995E-7</v>
      </c>
      <c r="G73" s="138"/>
      <c r="H73" s="138"/>
      <c r="I73" s="54">
        <f t="shared" si="33"/>
        <v>3.4579829545014036</v>
      </c>
      <c r="J73" s="54">
        <f t="shared" si="34"/>
        <v>5.1374431470300399</v>
      </c>
      <c r="K73" s="55">
        <f t="shared" si="35"/>
        <v>3.3795190803377314E-4</v>
      </c>
      <c r="L73" s="55">
        <f t="shared" si="36"/>
        <v>2.4800770543689583E-2</v>
      </c>
      <c r="M73" s="55">
        <f t="shared" si="19"/>
        <v>0.97519922945631043</v>
      </c>
      <c r="N73" s="55">
        <f t="shared" si="37"/>
        <v>1.8977035380945344E-2</v>
      </c>
      <c r="O73" s="56">
        <f t="shared" si="21"/>
        <v>3.3989234077405668E-10</v>
      </c>
      <c r="P73" s="56">
        <f t="shared" si="38"/>
        <v>4.6642790514321129E-5</v>
      </c>
      <c r="Q73" s="56">
        <f t="shared" si="39"/>
        <v>1.2566935272005722E-3</v>
      </c>
      <c r="R73" s="9">
        <f t="shared" si="12"/>
        <v>3.9999999999999996E-5</v>
      </c>
      <c r="S73" s="9">
        <f t="shared" si="13"/>
        <v>9.9203082174758332E-7</v>
      </c>
      <c r="T73" s="9">
        <f t="shared" si="10"/>
        <v>1.3518076321350925E-8</v>
      </c>
      <c r="U73" s="9">
        <f t="shared" si="11"/>
        <v>3.9007969178252417E-5</v>
      </c>
      <c r="V73" s="100">
        <f t="shared" si="14"/>
        <v>3.4654652898176186E-4</v>
      </c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6" t="s">
        <v>126</v>
      </c>
      <c r="C74" s="46" t="s">
        <v>127</v>
      </c>
      <c r="D74" s="47">
        <v>2.7195840000000011</v>
      </c>
      <c r="E74" s="47">
        <v>3.2500779999999994</v>
      </c>
      <c r="F74" s="96">
        <v>9.9999999999999995E-7</v>
      </c>
      <c r="G74" s="138"/>
      <c r="H74" s="138"/>
      <c r="I74" s="54">
        <f t="shared" si="33"/>
        <v>0.62193942428688143</v>
      </c>
      <c r="J74" s="54">
        <f t="shared" si="34"/>
        <v>2.0283467872043253</v>
      </c>
      <c r="K74" s="55">
        <f t="shared" si="35"/>
        <v>0.23439849948343192</v>
      </c>
      <c r="L74" s="55">
        <f t="shared" si="36"/>
        <v>1.3380388978160953E-2</v>
      </c>
      <c r="M74" s="55">
        <f t="shared" si="19"/>
        <v>0.98661961102183904</v>
      </c>
      <c r="N74" s="55">
        <f t="shared" si="37"/>
        <v>6.33167029047899E-3</v>
      </c>
      <c r="O74" s="56">
        <f t="shared" si="21"/>
        <v>2.3574435524532789E-7</v>
      </c>
      <c r="P74" s="56">
        <f t="shared" si="38"/>
        <v>2.5164487490784463E-5</v>
      </c>
      <c r="Q74" s="56">
        <f t="shared" si="39"/>
        <v>4.1929463220596766E-4</v>
      </c>
      <c r="R74" s="9">
        <f t="shared" si="12"/>
        <v>3.9999999999999996E-5</v>
      </c>
      <c r="S74" s="9">
        <f t="shared" si="13"/>
        <v>5.3521555912643807E-7</v>
      </c>
      <c r="T74" s="9">
        <f t="shared" si="10"/>
        <v>9.3759399793372756E-6</v>
      </c>
      <c r="U74" s="9">
        <f t="shared" si="11"/>
        <v>3.9464784440873559E-5</v>
      </c>
      <c r="V74" s="100">
        <f t="shared" si="14"/>
        <v>0.23757737720281688</v>
      </c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6" t="s">
        <v>81</v>
      </c>
      <c r="C75" s="46" t="s">
        <v>82</v>
      </c>
      <c r="D75" s="47">
        <v>3.9841999877244016</v>
      </c>
      <c r="E75" s="47">
        <v>5.1901999825375293</v>
      </c>
      <c r="F75" s="96">
        <v>9.9999999999999995E-7</v>
      </c>
      <c r="G75" s="138"/>
      <c r="H75" s="138"/>
      <c r="I75" s="54">
        <f t="shared" si="33"/>
        <v>2.0259693417507676</v>
      </c>
      <c r="J75" s="54">
        <f t="shared" si="34"/>
        <v>3.733983531409903</v>
      </c>
      <c r="K75" s="55">
        <f t="shared" si="35"/>
        <v>9.1229894305589147E-3</v>
      </c>
      <c r="L75" s="55">
        <f t="shared" si="36"/>
        <v>2.6441605877638535E-2</v>
      </c>
      <c r="M75" s="55">
        <f t="shared" si="19"/>
        <v>0.97355839412236145</v>
      </c>
      <c r="N75" s="55">
        <f t="shared" si="37"/>
        <v>2.1469534034040894E-2</v>
      </c>
      <c r="O75" s="56">
        <f t="shared" si="21"/>
        <v>9.1753712841880657E-9</v>
      </c>
      <c r="P75" s="56">
        <f t="shared" si="38"/>
        <v>4.9728708293168151E-5</v>
      </c>
      <c r="Q75" s="56">
        <f t="shared" si="39"/>
        <v>1.4217512857504896E-3</v>
      </c>
      <c r="R75" s="9">
        <f t="shared" si="12"/>
        <v>3.9999999999999996E-5</v>
      </c>
      <c r="S75" s="9">
        <f t="shared" si="13"/>
        <v>1.0576642351055414E-6</v>
      </c>
      <c r="T75" s="9">
        <f t="shared" si="10"/>
        <v>3.6491957722235654E-7</v>
      </c>
      <c r="U75" s="9">
        <f t="shared" si="11"/>
        <v>3.8942335764894452E-5</v>
      </c>
      <c r="V75" s="100">
        <f t="shared" si="14"/>
        <v>9.3707675735085847E-3</v>
      </c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6" t="s">
        <v>128</v>
      </c>
      <c r="C76" s="46" t="s">
        <v>129</v>
      </c>
      <c r="D76" s="47">
        <v>4.10616</v>
      </c>
      <c r="E76" s="47">
        <v>5.1108449999999994</v>
      </c>
      <c r="F76" s="96">
        <v>9.9999999999999995E-7</v>
      </c>
      <c r="G76" s="138"/>
      <c r="H76" s="138"/>
      <c r="I76" s="54">
        <f t="shared" si="33"/>
        <v>2.0466328175843658</v>
      </c>
      <c r="J76" s="54">
        <f t="shared" si="34"/>
        <v>3.7002740773254659</v>
      </c>
      <c r="K76" s="55">
        <f t="shared" si="35"/>
        <v>8.72623997802679E-3</v>
      </c>
      <c r="L76" s="55">
        <f t="shared" si="36"/>
        <v>2.3402828715766107E-2</v>
      </c>
      <c r="M76" s="55">
        <f t="shared" si="19"/>
        <v>0.97659717128423384</v>
      </c>
      <c r="N76" s="55">
        <f t="shared" si="37"/>
        <v>1.7106360367933952E-2</v>
      </c>
      <c r="O76" s="56">
        <f t="shared" si="21"/>
        <v>8.7763437985717013E-9</v>
      </c>
      <c r="P76" s="56">
        <f t="shared" si="38"/>
        <v>4.4013682369629545E-5</v>
      </c>
      <c r="Q76" s="56">
        <f t="shared" si="39"/>
        <v>1.1328140521847988E-3</v>
      </c>
      <c r="R76" s="9">
        <f t="shared" si="12"/>
        <v>3.9999999999999996E-5</v>
      </c>
      <c r="S76" s="9">
        <f t="shared" si="13"/>
        <v>9.3611314863064416E-7</v>
      </c>
      <c r="T76" s="9">
        <f t="shared" si="10"/>
        <v>3.4904959912107155E-7</v>
      </c>
      <c r="U76" s="9">
        <f t="shared" si="11"/>
        <v>3.9063886851369348E-5</v>
      </c>
      <c r="V76" s="100">
        <f t="shared" si="14"/>
        <v>8.9353525021495898E-3</v>
      </c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6" t="s">
        <v>130</v>
      </c>
      <c r="C77" s="46" t="s">
        <v>131</v>
      </c>
      <c r="D77" s="47">
        <v>2.8295519999999996</v>
      </c>
      <c r="E77" s="47">
        <v>3.5791989999999991</v>
      </c>
      <c r="F77" s="96">
        <v>9.9999999999999995E-7</v>
      </c>
      <c r="G77" s="138"/>
      <c r="H77" s="138"/>
      <c r="I77" s="54">
        <f t="shared" si="33"/>
        <v>0.75425121724867172</v>
      </c>
      <c r="J77" s="54">
        <f t="shared" si="34"/>
        <v>2.2551798002203722</v>
      </c>
      <c r="K77" s="55">
        <f t="shared" si="35"/>
        <v>0.17227902862505515</v>
      </c>
      <c r="L77" s="55">
        <f t="shared" si="36"/>
        <v>1.6579801973148869E-2</v>
      </c>
      <c r="M77" s="55">
        <f t="shared" si="19"/>
        <v>0.9834201980268511</v>
      </c>
      <c r="N77" s="55">
        <f t="shared" si="37"/>
        <v>9.9292599078988873E-3</v>
      </c>
      <c r="O77" s="56">
        <f t="shared" si="21"/>
        <v>1.7326821039814607E-7</v>
      </c>
      <c r="P77" s="56">
        <f t="shared" si="38"/>
        <v>3.1181621104884557E-5</v>
      </c>
      <c r="Q77" s="56">
        <f t="shared" si="39"/>
        <v>6.5753350856255217E-4</v>
      </c>
      <c r="R77" s="9">
        <f t="shared" si="12"/>
        <v>3.9999999999999996E-5</v>
      </c>
      <c r="S77" s="9">
        <f t="shared" si="13"/>
        <v>6.6319207892595473E-7</v>
      </c>
      <c r="T77" s="9">
        <f t="shared" si="10"/>
        <v>6.891161145002205E-6</v>
      </c>
      <c r="U77" s="9">
        <f t="shared" si="11"/>
        <v>3.933680792107404E-5</v>
      </c>
      <c r="V77" s="100">
        <f t="shared" si="14"/>
        <v>0.17518353697709113</v>
      </c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6" t="s">
        <v>83</v>
      </c>
      <c r="C78" s="46" t="s">
        <v>84</v>
      </c>
      <c r="D78" s="47">
        <v>3.03</v>
      </c>
      <c r="E78" s="47">
        <v>3.96</v>
      </c>
      <c r="F78" s="96">
        <v>9.9999999999999995E-7</v>
      </c>
      <c r="G78" s="7"/>
      <c r="H78" s="7"/>
      <c r="I78" s="54">
        <f t="shared" si="33"/>
        <v>0.98244102051051041</v>
      </c>
      <c r="J78" s="54">
        <f t="shared" si="34"/>
        <v>2.5717431979412697</v>
      </c>
      <c r="K78" s="55">
        <f t="shared" si="35"/>
        <v>0.1014894040060433</v>
      </c>
      <c r="L78" s="55">
        <f t="shared" si="36"/>
        <v>2.0245617364416654E-2</v>
      </c>
      <c r="M78" s="55">
        <f t="shared" si="19"/>
        <v>0.97975438263558334</v>
      </c>
      <c r="N78" s="55">
        <f t="shared" si="37"/>
        <v>1.4057437674092413E-2</v>
      </c>
      <c r="O78" s="56">
        <f t="shared" si="21"/>
        <v>1.0207213000238686E-7</v>
      </c>
      <c r="P78" s="56">
        <f t="shared" si="38"/>
        <v>3.8075917354989705E-5</v>
      </c>
      <c r="Q78" s="56">
        <f t="shared" si="39"/>
        <v>9.3090888958322483E-4</v>
      </c>
      <c r="R78" s="9">
        <f t="shared" si="12"/>
        <v>3.9999999999999996E-5</v>
      </c>
      <c r="S78" s="9">
        <f t="shared" si="13"/>
        <v>8.0982469457666603E-7</v>
      </c>
      <c r="T78" s="9">
        <f t="shared" si="10"/>
        <v>4.0595761602417313E-6</v>
      </c>
      <c r="U78" s="9">
        <f t="shared" si="11"/>
        <v>3.9190175305423331E-5</v>
      </c>
      <c r="V78" s="100">
        <f t="shared" si="14"/>
        <v>0.1035865782330386</v>
      </c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6" t="s">
        <v>132</v>
      </c>
      <c r="C79" s="46" t="s">
        <v>133</v>
      </c>
      <c r="D79" s="47">
        <v>3.2352399999999997</v>
      </c>
      <c r="E79" s="47">
        <v>3.7544849999999994</v>
      </c>
      <c r="F79" s="96">
        <v>9.9999999999999995E-7</v>
      </c>
      <c r="G79" s="7"/>
      <c r="H79" s="7"/>
      <c r="I79" s="54">
        <f t="shared" si="33"/>
        <v>1.0570731161685156</v>
      </c>
      <c r="J79" s="54">
        <f t="shared" si="34"/>
        <v>2.5362302933767991</v>
      </c>
      <c r="K79" s="55">
        <f t="shared" si="35"/>
        <v>8.5854433208855732E-2</v>
      </c>
      <c r="L79" s="55">
        <f t="shared" si="36"/>
        <v>1.5781931110736683E-2</v>
      </c>
      <c r="M79" s="55">
        <f t="shared" si="19"/>
        <v>0.98421806888926333</v>
      </c>
      <c r="N79" s="55">
        <f t="shared" si="37"/>
        <v>7.4085495518831533E-3</v>
      </c>
      <c r="O79" s="56">
        <f t="shared" si="21"/>
        <v>8.6347387233190764E-8</v>
      </c>
      <c r="P79" s="56">
        <f t="shared" si="38"/>
        <v>2.9681065973848867E-5</v>
      </c>
      <c r="Q79" s="56">
        <f t="shared" si="39"/>
        <v>4.9060752013692377E-4</v>
      </c>
      <c r="R79" s="9">
        <f t="shared" si="12"/>
        <v>3.9999999999999996E-5</v>
      </c>
      <c r="S79" s="9">
        <f t="shared" si="13"/>
        <v>6.3127724442946723E-7</v>
      </c>
      <c r="T79" s="9">
        <f t="shared" si="10"/>
        <v>3.4341773283542292E-6</v>
      </c>
      <c r="U79" s="9">
        <f t="shared" si="11"/>
        <v>3.9368722755570528E-5</v>
      </c>
      <c r="V79" s="100">
        <f t="shared" si="14"/>
        <v>8.7231108554780473E-2</v>
      </c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6" t="s">
        <v>134</v>
      </c>
      <c r="C80" s="46" t="s">
        <v>135</v>
      </c>
      <c r="D80" s="47">
        <v>3.3303280000000011</v>
      </c>
      <c r="E80" s="47">
        <v>3.8215209999999997</v>
      </c>
      <c r="F80" s="96">
        <v>9.9999999999999995E-7</v>
      </c>
      <c r="G80" s="7"/>
      <c r="H80" s="7"/>
      <c r="I80" s="54">
        <f t="shared" si="33"/>
        <v>1.1393826628828596</v>
      </c>
      <c r="J80" s="54">
        <f t="shared" si="34"/>
        <v>2.6181533735404092</v>
      </c>
      <c r="K80" s="55">
        <f t="shared" si="35"/>
        <v>7.1032855782006007E-2</v>
      </c>
      <c r="L80" s="55">
        <f t="shared" si="36"/>
        <v>1.5768114804382227E-2</v>
      </c>
      <c r="M80" s="55">
        <f t="shared" si="19"/>
        <v>0.98423188519561777</v>
      </c>
      <c r="N80" s="55">
        <f t="shared" si="37"/>
        <v>7.1526296687795601E-3</v>
      </c>
      <c r="O80" s="56">
        <f t="shared" si="21"/>
        <v>7.1440708129392274E-8</v>
      </c>
      <c r="P80" s="56">
        <f t="shared" si="38"/>
        <v>2.9655081656876237E-5</v>
      </c>
      <c r="Q80" s="56">
        <f t="shared" si="39"/>
        <v>4.7366004366748845E-4</v>
      </c>
      <c r="R80" s="9">
        <f t="shared" si="12"/>
        <v>3.9999999999999996E-5</v>
      </c>
      <c r="S80" s="9">
        <f t="shared" si="13"/>
        <v>6.3072459217528903E-7</v>
      </c>
      <c r="T80" s="9">
        <f t="shared" si="10"/>
        <v>2.8413142312802399E-6</v>
      </c>
      <c r="U80" s="9">
        <f t="shared" si="11"/>
        <v>3.9369275407824708E-5</v>
      </c>
      <c r="V80" s="100">
        <f t="shared" si="14"/>
        <v>7.2170854094904785E-2</v>
      </c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6" t="s">
        <v>136</v>
      </c>
      <c r="C81" s="46" t="s">
        <v>137</v>
      </c>
      <c r="D81" s="47">
        <v>4.4202640000000004</v>
      </c>
      <c r="E81" s="47">
        <v>5.6388380000000007</v>
      </c>
      <c r="F81" s="96">
        <v>9.9999999999999995E-7</v>
      </c>
      <c r="G81" s="7"/>
      <c r="H81" s="7"/>
      <c r="I81" s="54">
        <f t="shared" si="33"/>
        <v>2.466507651261447</v>
      </c>
      <c r="J81" s="54">
        <f t="shared" si="34"/>
        <v>4.1802418146186522</v>
      </c>
      <c r="K81" s="55">
        <f t="shared" si="35"/>
        <v>3.3070947906751022E-3</v>
      </c>
      <c r="L81" s="55">
        <f t="shared" si="36"/>
        <v>2.6782775583155477E-2</v>
      </c>
      <c r="M81" s="55">
        <f t="shared" si="19"/>
        <v>0.97321722441684455</v>
      </c>
      <c r="N81" s="55">
        <f t="shared" si="37"/>
        <v>2.1866038464602031E-2</v>
      </c>
      <c r="O81" s="56">
        <f t="shared" si="21"/>
        <v>3.3260832764758866E-9</v>
      </c>
      <c r="P81" s="56">
        <f t="shared" si="38"/>
        <v>5.0370345901815295E-5</v>
      </c>
      <c r="Q81" s="56">
        <f t="shared" si="39"/>
        <v>1.4480085246389651E-3</v>
      </c>
      <c r="R81" s="9">
        <f t="shared" si="12"/>
        <v>3.9999999999999996E-5</v>
      </c>
      <c r="S81" s="9">
        <f t="shared" si="13"/>
        <v>1.0713110233262189E-6</v>
      </c>
      <c r="T81" s="9">
        <f t="shared" si="10"/>
        <v>1.3228379162700407E-7</v>
      </c>
      <c r="U81" s="9">
        <f t="shared" si="11"/>
        <v>3.8928688976673779E-5</v>
      </c>
      <c r="V81" s="100">
        <f t="shared" si="14"/>
        <v>3.3981054873507052E-3</v>
      </c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6" t="s">
        <v>138</v>
      </c>
      <c r="C82" s="46" t="s">
        <v>139</v>
      </c>
      <c r="D82" s="47">
        <v>4.2752879999999998</v>
      </c>
      <c r="E82" s="47">
        <v>5.3084609999999994</v>
      </c>
      <c r="F82" s="96">
        <v>9.9999999999999995E-7</v>
      </c>
      <c r="G82" s="7"/>
      <c r="H82" s="7"/>
      <c r="I82" s="54">
        <f t="shared" si="33"/>
        <v>2.2273249528367836</v>
      </c>
      <c r="J82" s="54">
        <f t="shared" si="34"/>
        <v>3.8903842917257068</v>
      </c>
      <c r="K82" s="55">
        <f t="shared" si="35"/>
        <v>5.7532368987173472E-3</v>
      </c>
      <c r="L82" s="55">
        <f t="shared" si="36"/>
        <v>2.3903619848390359E-2</v>
      </c>
      <c r="M82" s="55">
        <f t="shared" si="19"/>
        <v>0.9760963801516096</v>
      </c>
      <c r="N82" s="55">
        <f t="shared" si="37"/>
        <v>1.7777010203990622E-2</v>
      </c>
      <c r="O82" s="56">
        <f t="shared" si="21"/>
        <v>5.7862705019475528E-9</v>
      </c>
      <c r="P82" s="56">
        <f t="shared" si="38"/>
        <v>4.4955519876221295E-5</v>
      </c>
      <c r="Q82" s="56">
        <f t="shared" si="39"/>
        <v>1.1772256945236643E-3</v>
      </c>
      <c r="R82" s="9">
        <f t="shared" si="12"/>
        <v>3.9999999999999996E-5</v>
      </c>
      <c r="S82" s="9">
        <f t="shared" si="13"/>
        <v>9.5614479393561418E-7</v>
      </c>
      <c r="T82" s="9">
        <f t="shared" si="10"/>
        <v>2.3012947594869388E-7</v>
      </c>
      <c r="U82" s="9">
        <f t="shared" si="11"/>
        <v>3.9043855206064377E-5</v>
      </c>
      <c r="V82" s="100">
        <f t="shared" si="14"/>
        <v>5.894127891165564E-3</v>
      </c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6" t="s">
        <v>85</v>
      </c>
      <c r="C83" s="46" t="s">
        <v>86</v>
      </c>
      <c r="D83" s="47">
        <v>2.7665919999999997</v>
      </c>
      <c r="E83" s="47">
        <v>3.5255839999999989</v>
      </c>
      <c r="F83" s="96">
        <v>9.9999999999999995E-7</v>
      </c>
      <c r="G83" s="7"/>
      <c r="H83" s="7"/>
      <c r="I83" s="54">
        <f t="shared" si="33"/>
        <v>0.70532975413914478</v>
      </c>
      <c r="J83" s="54">
        <f t="shared" si="34"/>
        <v>2.1981621448512665</v>
      </c>
      <c r="K83" s="55">
        <f t="shared" si="35"/>
        <v>0.19287986245051475</v>
      </c>
      <c r="L83" s="55">
        <f t="shared" si="36"/>
        <v>1.6278566462115434E-2</v>
      </c>
      <c r="M83" s="55">
        <f t="shared" si="19"/>
        <v>0.98372143353788455</v>
      </c>
      <c r="N83" s="55">
        <f t="shared" si="37"/>
        <v>9.8255382847817017E-3</v>
      </c>
      <c r="O83" s="56">
        <f t="shared" si="21"/>
        <v>1.9398732890104583E-7</v>
      </c>
      <c r="P83" s="56">
        <f t="shared" si="38"/>
        <v>3.0615087705776849E-5</v>
      </c>
      <c r="Q83" s="56">
        <f t="shared" si="39"/>
        <v>6.5066487551289332E-4</v>
      </c>
      <c r="R83" s="9">
        <f t="shared" si="12"/>
        <v>3.9999999999999996E-5</v>
      </c>
      <c r="S83" s="9">
        <f t="shared" si="13"/>
        <v>6.5114265848461735E-7</v>
      </c>
      <c r="T83" s="9">
        <f t="shared" si="10"/>
        <v>7.7151944980205893E-6</v>
      </c>
      <c r="U83" s="9">
        <f t="shared" si="11"/>
        <v>3.9348857341515378E-5</v>
      </c>
      <c r="V83" s="100">
        <f t="shared" si="14"/>
        <v>0.19607162746961401</v>
      </c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6" t="s">
        <v>140</v>
      </c>
      <c r="C84" s="46" t="s">
        <v>141</v>
      </c>
      <c r="D84" s="47">
        <v>4.4687359999999998</v>
      </c>
      <c r="E84" s="47">
        <v>5.2666120000000003</v>
      </c>
      <c r="F84" s="96">
        <v>9.9999999999999995E-7</v>
      </c>
      <c r="G84" s="7"/>
      <c r="H84" s="7"/>
      <c r="I84" s="54">
        <f t="shared" si="33"/>
        <v>2.3272580136650043</v>
      </c>
      <c r="J84" s="54">
        <f t="shared" si="34"/>
        <v>3.9219734110768916</v>
      </c>
      <c r="K84" s="55">
        <f t="shared" si="35"/>
        <v>4.5866272097860681E-3</v>
      </c>
      <c r="L84" s="55">
        <f t="shared" si="36"/>
        <v>2.0494341975131052E-2</v>
      </c>
      <c r="M84" s="55">
        <f t="shared" si="19"/>
        <v>0.979505658024869</v>
      </c>
      <c r="N84" s="55">
        <f t="shared" si="37"/>
        <v>1.2870366307700934E-2</v>
      </c>
      <c r="O84" s="56">
        <f t="shared" si="21"/>
        <v>4.6129624409055645E-9</v>
      </c>
      <c r="P84" s="56">
        <f t="shared" si="38"/>
        <v>3.854369354334927E-5</v>
      </c>
      <c r="Q84" s="56">
        <f t="shared" si="39"/>
        <v>8.5229888161711235E-4</v>
      </c>
      <c r="R84" s="9">
        <f t="shared" si="12"/>
        <v>3.9999999999999996E-5</v>
      </c>
      <c r="S84" s="9">
        <f t="shared" si="13"/>
        <v>8.1977367900524196E-7</v>
      </c>
      <c r="T84" s="9">
        <f t="shared" si="10"/>
        <v>1.8346508839144271E-7</v>
      </c>
      <c r="U84" s="9">
        <f t="shared" si="11"/>
        <v>3.9180226320994756E-5</v>
      </c>
      <c r="V84" s="100">
        <f t="shared" si="14"/>
        <v>4.68259389030463E-3</v>
      </c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6" t="s">
        <v>87</v>
      </c>
      <c r="C85" s="46" t="s">
        <v>88</v>
      </c>
      <c r="D85" s="47">
        <v>2.6972559999999999</v>
      </c>
      <c r="E85" s="47">
        <v>3.431432</v>
      </c>
      <c r="F85" s="96">
        <v>9.9999999999999995E-7</v>
      </c>
      <c r="G85" s="7"/>
      <c r="H85" s="7"/>
      <c r="I85" s="54">
        <f t="shared" si="33"/>
        <v>0.64458903464573347</v>
      </c>
      <c r="J85" s="54">
        <f t="shared" si="34"/>
        <v>2.114444428876499</v>
      </c>
      <c r="K85" s="55">
        <f t="shared" si="35"/>
        <v>0.22201998574719317</v>
      </c>
      <c r="L85" s="55">
        <f t="shared" si="36"/>
        <v>1.5452673333846837E-2</v>
      </c>
      <c r="M85" s="55">
        <f t="shared" si="19"/>
        <v>0.98454732666615319</v>
      </c>
      <c r="N85" s="55">
        <f t="shared" si="37"/>
        <v>9.1056202685256184E-3</v>
      </c>
      <c r="O85" s="56">
        <f t="shared" si="21"/>
        <v>2.2329476727409046E-7</v>
      </c>
      <c r="P85" s="56">
        <f t="shared" si="38"/>
        <v>2.9061831120414365E-5</v>
      </c>
      <c r="Q85" s="56">
        <f t="shared" si="39"/>
        <v>6.0299060537623577E-4</v>
      </c>
      <c r="R85" s="9">
        <f t="shared" si="12"/>
        <v>3.9999999999999996E-5</v>
      </c>
      <c r="S85" s="9">
        <f t="shared" si="13"/>
        <v>6.1810693335387344E-7</v>
      </c>
      <c r="T85" s="9">
        <f t="shared" si="10"/>
        <v>8.8807994298877254E-6</v>
      </c>
      <c r="U85" s="9">
        <f t="shared" si="11"/>
        <v>3.9381893066646122E-5</v>
      </c>
      <c r="V85" s="100">
        <f t="shared" si="14"/>
        <v>0.22550463521036726</v>
      </c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6" t="s">
        <v>142</v>
      </c>
      <c r="C86" s="46" t="s">
        <v>143</v>
      </c>
      <c r="D86" s="47">
        <v>3.859360000000001</v>
      </c>
      <c r="E86" s="47">
        <v>4.2614199999999993</v>
      </c>
      <c r="F86" s="96">
        <v>9.9999999999999995E-7</v>
      </c>
      <c r="G86" s="7"/>
      <c r="H86" s="7"/>
      <c r="I86" s="54">
        <f t="shared" si="33"/>
        <v>1.6299602750984028</v>
      </c>
      <c r="J86" s="54">
        <f t="shared" si="34"/>
        <v>3.1083049817479944</v>
      </c>
      <c r="K86" s="55">
        <f t="shared" si="35"/>
        <v>2.2955585649086851E-2</v>
      </c>
      <c r="L86" s="55">
        <f t="shared" si="36"/>
        <v>1.575289881113506E-2</v>
      </c>
      <c r="M86" s="55">
        <f t="shared" si="19"/>
        <v>0.98424710118886494</v>
      </c>
      <c r="N86" s="55">
        <f t="shared" si="37"/>
        <v>6.3649330758595024E-3</v>
      </c>
      <c r="O86" s="56">
        <f t="shared" si="21"/>
        <v>2.3087390704501481E-8</v>
      </c>
      <c r="P86" s="56">
        <f t="shared" si="38"/>
        <v>2.9626464949816899E-5</v>
      </c>
      <c r="Q86" s="56">
        <f t="shared" si="39"/>
        <v>4.2149735387693644E-4</v>
      </c>
      <c r="R86" s="9">
        <f t="shared" si="12"/>
        <v>3.9999999999999996E-5</v>
      </c>
      <c r="S86" s="9">
        <f t="shared" si="13"/>
        <v>6.3011595244540228E-7</v>
      </c>
      <c r="T86" s="9">
        <f t="shared" si="10"/>
        <v>9.1822342596347394E-7</v>
      </c>
      <c r="U86" s="9">
        <f t="shared" si="11"/>
        <v>3.9369884047554591E-5</v>
      </c>
      <c r="V86" s="100">
        <f t="shared" si="14"/>
        <v>2.3322990356140206E-2</v>
      </c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6" t="s">
        <v>280</v>
      </c>
      <c r="C87" s="46" t="s">
        <v>281</v>
      </c>
      <c r="D87" s="47">
        <v>2.5105662711924017</v>
      </c>
      <c r="E87" s="47">
        <v>3.0939041322596146</v>
      </c>
      <c r="F87" s="96">
        <v>9.9999999999999995E-7</v>
      </c>
      <c r="G87" s="7"/>
      <c r="H87" s="7"/>
      <c r="I87" s="54">
        <f t="shared" si="33"/>
        <v>0.48026857292599601</v>
      </c>
      <c r="J87" s="54">
        <f t="shared" si="34"/>
        <v>1.8471851829125021</v>
      </c>
      <c r="K87" s="55">
        <f t="shared" si="35"/>
        <v>0.32518541752876634</v>
      </c>
      <c r="L87" s="55">
        <f t="shared" si="36"/>
        <v>1.2231602793735504E-2</v>
      </c>
      <c r="M87" s="55">
        <f t="shared" si="19"/>
        <v>0.98776839720626453</v>
      </c>
      <c r="N87" s="55">
        <f t="shared" si="37"/>
        <v>6.1308495514445539E-3</v>
      </c>
      <c r="O87" s="56">
        <f t="shared" si="21"/>
        <v>3.2705254837145575E-7</v>
      </c>
      <c r="P87" s="56">
        <f t="shared" si="38"/>
        <v>2.3003966177484528E-5</v>
      </c>
      <c r="Q87" s="56">
        <f t="shared" si="39"/>
        <v>4.0599592048381876E-4</v>
      </c>
      <c r="R87" s="9">
        <f t="shared" si="12"/>
        <v>3.9999999999999996E-5</v>
      </c>
      <c r="S87" s="9">
        <f t="shared" si="13"/>
        <v>4.8926411174942009E-7</v>
      </c>
      <c r="T87" s="9">
        <f t="shared" si="10"/>
        <v>1.3007416701150652E-5</v>
      </c>
      <c r="U87" s="9">
        <f t="shared" si="11"/>
        <v>3.9510735888250577E-5</v>
      </c>
      <c r="V87" s="100">
        <f t="shared" si="14"/>
        <v>0.32921221052272798</v>
      </c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6" t="s">
        <v>282</v>
      </c>
      <c r="C88" s="46" t="s">
        <v>283</v>
      </c>
      <c r="D88" s="47">
        <v>1.93</v>
      </c>
      <c r="E88" s="47">
        <v>1.25</v>
      </c>
      <c r="F88" s="96">
        <v>9.9999999999999995E-7</v>
      </c>
      <c r="G88" s="7"/>
      <c r="H88" s="7"/>
      <c r="I88" s="54">
        <f t="shared" si="33"/>
        <v>0.14925721804369038</v>
      </c>
      <c r="J88" s="54">
        <f t="shared" si="34"/>
        <v>1.0153198888618138</v>
      </c>
      <c r="K88" s="55">
        <f t="shared" si="35"/>
        <v>0.70273777266038817</v>
      </c>
      <c r="L88" s="55">
        <f t="shared" si="36"/>
        <v>3.8929633146256894E-3</v>
      </c>
      <c r="M88" s="55">
        <f t="shared" si="19"/>
        <v>0.99610703668537426</v>
      </c>
      <c r="N88" s="55">
        <f t="shared" si="37"/>
        <v>1.8979237582718731E-4</v>
      </c>
      <c r="O88" s="56">
        <f t="shared" si="21"/>
        <v>7.0677271180258083E-7</v>
      </c>
      <c r="P88" s="56">
        <f t="shared" si="38"/>
        <v>7.3214931787764452E-6</v>
      </c>
      <c r="Q88" s="56">
        <f t="shared" si="39"/>
        <v>1.2568393609759038E-5</v>
      </c>
      <c r="R88" s="9">
        <f t="shared" si="12"/>
        <v>3.9999999999999996E-5</v>
      </c>
      <c r="S88" s="9">
        <f t="shared" si="13"/>
        <v>1.5571853258502757E-7</v>
      </c>
      <c r="T88" s="9">
        <f t="shared" si="10"/>
        <v>2.8109510906415523E-5</v>
      </c>
      <c r="U88" s="9">
        <f t="shared" si="11"/>
        <v>3.9844281467414968E-5</v>
      </c>
      <c r="V88" s="100">
        <f t="shared" si="14"/>
        <v>0.70548419675741303</v>
      </c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6" t="s">
        <v>284</v>
      </c>
      <c r="C89" s="46" t="s">
        <v>285</v>
      </c>
      <c r="D89" s="47">
        <v>1.25894119353766</v>
      </c>
      <c r="E89" s="47">
        <v>1.3134233879901926</v>
      </c>
      <c r="F89" s="96">
        <v>9.9999999999999995E-7</v>
      </c>
      <c r="G89" s="7"/>
      <c r="H89" s="7"/>
      <c r="I89" s="54">
        <f t="shared" si="33"/>
        <v>3.7336026484154294E-2</v>
      </c>
      <c r="J89" s="54">
        <f t="shared" si="34"/>
        <v>0.52729049979946763</v>
      </c>
      <c r="K89" s="55">
        <f t="shared" si="35"/>
        <v>0.91137087600171429</v>
      </c>
      <c r="L89" s="55">
        <f t="shared" si="36"/>
        <v>1.6411669795618926E-3</v>
      </c>
      <c r="M89" s="55">
        <f t="shared" si="19"/>
        <v>0.99835883302043815</v>
      </c>
      <c r="N89" s="55">
        <f t="shared" si="37"/>
        <v>2.8484198169724859E-4</v>
      </c>
      <c r="O89" s="56">
        <f t="shared" si="21"/>
        <v>9.1660373264283705E-7</v>
      </c>
      <c r="P89" s="56">
        <f t="shared" si="38"/>
        <v>3.0865415045019168E-6</v>
      </c>
      <c r="Q89" s="56">
        <f t="shared" si="39"/>
        <v>1.8862750028560272E-5</v>
      </c>
      <c r="R89" s="9">
        <f t="shared" si="12"/>
        <v>3.9999999999999996E-5</v>
      </c>
      <c r="S89" s="9">
        <f t="shared" si="13"/>
        <v>6.5646679182475705E-8</v>
      </c>
      <c r="T89" s="9">
        <f t="shared" si="10"/>
        <v>3.6454835040068566E-5</v>
      </c>
      <c r="U89" s="9">
        <f t="shared" si="11"/>
        <v>3.9934353320817523E-5</v>
      </c>
      <c r="V89" s="100">
        <f t="shared" si="14"/>
        <v>0.91286904653755585</v>
      </c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6" t="s">
        <v>286</v>
      </c>
      <c r="C90" s="46" t="s">
        <v>287</v>
      </c>
      <c r="D90" s="47">
        <v>0.21626245461153099</v>
      </c>
      <c r="E90" s="47">
        <v>-0.16982383217232916</v>
      </c>
      <c r="F90" s="96">
        <v>9.9999999999999995E-7</v>
      </c>
      <c r="G90" s="7"/>
      <c r="H90" s="7"/>
      <c r="I90" s="54">
        <f t="shared" si="33"/>
        <v>1.290009012521746E-3</v>
      </c>
      <c r="J90" s="54">
        <f t="shared" si="34"/>
        <v>2.4879215718300821E-2</v>
      </c>
      <c r="K90" s="55">
        <f t="shared" si="35"/>
        <v>0.99131259954092454</v>
      </c>
      <c r="L90" s="55">
        <f t="shared" si="36"/>
        <v>5.6138003891245539E-4</v>
      </c>
      <c r="M90" s="55">
        <f t="shared" si="19"/>
        <v>0.99943861996108752</v>
      </c>
      <c r="N90" s="55">
        <f t="shared" si="37"/>
        <v>1.0182918279189521E-5</v>
      </c>
      <c r="O90" s="56">
        <f t="shared" si="21"/>
        <v>9.9700446095160978E-7</v>
      </c>
      <c r="P90" s="56">
        <f t="shared" si="38"/>
        <v>1.0557870170924002E-6</v>
      </c>
      <c r="Q90" s="56">
        <f t="shared" si="39"/>
        <v>6.7433122363880972E-7</v>
      </c>
      <c r="R90" s="9">
        <f t="shared" si="12"/>
        <v>3.9999999999999996E-5</v>
      </c>
      <c r="S90" s="9">
        <f t="shared" si="13"/>
        <v>2.2455201556498214E-8</v>
      </c>
      <c r="T90" s="9">
        <f t="shared" si="10"/>
        <v>3.9652503981636981E-5</v>
      </c>
      <c r="U90" s="9">
        <f t="shared" si="11"/>
        <v>3.99775447984435E-5</v>
      </c>
      <c r="V90" s="100">
        <f t="shared" si="14"/>
        <v>0.99186941523184347</v>
      </c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6" t="s">
        <v>288</v>
      </c>
      <c r="C91" s="46" t="s">
        <v>289</v>
      </c>
      <c r="D91" s="47">
        <v>-2.4693681101840836E-2</v>
      </c>
      <c r="E91" s="47">
        <v>-0.51259241959557644</v>
      </c>
      <c r="F91" s="96">
        <v>9.9999999999999995E-7</v>
      </c>
      <c r="G91" s="7"/>
      <c r="H91" s="7"/>
      <c r="I91" s="54">
        <f t="shared" si="33"/>
        <v>-2.2961926676165657E-4</v>
      </c>
      <c r="J91" s="54">
        <f t="shared" si="34"/>
        <v>-1.1223782850909744E-2</v>
      </c>
      <c r="K91" s="55">
        <f t="shared" si="35"/>
        <v>0.99483009839132186</v>
      </c>
      <c r="L91" s="55">
        <f t="shared" si="36"/>
        <v>5.1843254624926098E-4</v>
      </c>
      <c r="M91" s="55">
        <f t="shared" si="19"/>
        <v>0.99948156745375072</v>
      </c>
      <c r="N91" s="55">
        <f t="shared" si="37"/>
        <v>4.6413247980447736E-6</v>
      </c>
      <c r="O91" s="56">
        <f t="shared" si="21"/>
        <v>1.0005421563736815E-6</v>
      </c>
      <c r="P91" s="56">
        <f t="shared" si="38"/>
        <v>9.7501569993207809E-7</v>
      </c>
      <c r="Q91" s="56">
        <f t="shared" si="39"/>
        <v>3.0735690344946867E-7</v>
      </c>
      <c r="R91" s="9">
        <f t="shared" si="12"/>
        <v>3.9999999999999996E-5</v>
      </c>
      <c r="S91" s="9">
        <f t="shared" si="13"/>
        <v>2.0737301849970437E-8</v>
      </c>
      <c r="T91" s="9">
        <f t="shared" si="10"/>
        <v>3.9793203935652874E-5</v>
      </c>
      <c r="U91" s="9">
        <f t="shared" si="11"/>
        <v>3.9979262698150028E-5</v>
      </c>
      <c r="V91" s="100">
        <f t="shared" si="14"/>
        <v>0.99534611821378682</v>
      </c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6" t="s">
        <v>290</v>
      </c>
      <c r="C92" s="46" t="s">
        <v>291</v>
      </c>
      <c r="D92" s="47">
        <v>1.358312346903767</v>
      </c>
      <c r="E92" s="47">
        <v>1.454782352637753</v>
      </c>
      <c r="F92" s="96">
        <v>9.9999999999999995E-7</v>
      </c>
      <c r="G92" s="7"/>
      <c r="H92" s="7"/>
      <c r="I92" s="54">
        <f t="shared" si="33"/>
        <v>4.7346378220411142E-2</v>
      </c>
      <c r="J92" s="54">
        <f t="shared" si="34"/>
        <v>0.6111981462285998</v>
      </c>
      <c r="K92" s="55">
        <f t="shared" si="35"/>
        <v>0.89033328072659301</v>
      </c>
      <c r="L92" s="55">
        <f t="shared" si="36"/>
        <v>1.9449922642547309E-3</v>
      </c>
      <c r="M92" s="55">
        <f t="shared" si="19"/>
        <v>0.99805500773574529</v>
      </c>
      <c r="N92" s="55">
        <f t="shared" si="37"/>
        <v>3.8531900027169593E-4</v>
      </c>
      <c r="O92" s="56">
        <f t="shared" si="21"/>
        <v>8.9544534491861791E-7</v>
      </c>
      <c r="P92" s="56">
        <f t="shared" si="38"/>
        <v>3.6579454889836742E-6</v>
      </c>
      <c r="Q92" s="56">
        <f t="shared" si="39"/>
        <v>2.5516519510473395E-5</v>
      </c>
      <c r="R92" s="9">
        <f t="shared" si="12"/>
        <v>3.9999999999999996E-5</v>
      </c>
      <c r="S92" s="9">
        <f t="shared" si="13"/>
        <v>7.7799690570189237E-8</v>
      </c>
      <c r="T92" s="9">
        <f t="shared" ref="T92:T143" si="40">R92*K92</f>
        <v>3.5613331229063714E-5</v>
      </c>
      <c r="U92" s="9">
        <f t="shared" ref="U92:U143" si="41">$R92*M92</f>
        <v>3.9922200309429811E-5</v>
      </c>
      <c r="V92" s="100">
        <f t="shared" si="14"/>
        <v>0.89206834676022817</v>
      </c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6" t="s">
        <v>292</v>
      </c>
      <c r="C93" s="46" t="s">
        <v>293</v>
      </c>
      <c r="D93" s="47">
        <v>-1.2091799453325114E-2</v>
      </c>
      <c r="E93" s="47">
        <v>-0.49466579922233578</v>
      </c>
      <c r="F93" s="96">
        <v>9.9999999999999995E-7</v>
      </c>
      <c r="G93" s="7"/>
      <c r="H93" s="7"/>
      <c r="I93" s="54">
        <f t="shared" si="33"/>
        <v>-1.6947243885858597E-4</v>
      </c>
      <c r="J93" s="54">
        <f t="shared" si="34"/>
        <v>-9.7534084102171136E-3</v>
      </c>
      <c r="K93" s="55">
        <f t="shared" si="35"/>
        <v>0.99469065351650954</v>
      </c>
      <c r="L93" s="55">
        <f t="shared" si="36"/>
        <v>5.2011784353853878E-4</v>
      </c>
      <c r="M93" s="55">
        <f t="shared" ref="M93:M127" si="42">IF(D93=0,"",1-L93)</f>
        <v>0.99947988215646144</v>
      </c>
      <c r="N93" s="55">
        <f t="shared" si="37"/>
        <v>4.8362384159879543E-6</v>
      </c>
      <c r="O93" s="56">
        <f t="shared" ref="O93:O127" si="43">IF(D93=0,"",F93*K93*$J$7/$J$14)</f>
        <v>1.0004019108423435E-6</v>
      </c>
      <c r="P93" s="56">
        <f t="shared" si="38"/>
        <v>9.7818523727688208E-7</v>
      </c>
      <c r="Q93" s="56">
        <f t="shared" si="39"/>
        <v>3.2026443495348797E-7</v>
      </c>
      <c r="R93" s="9">
        <f t="shared" ref="R93:R143" si="44">F93*$C$14</f>
        <v>3.9999999999999996E-5</v>
      </c>
      <c r="S93" s="9">
        <f t="shared" ref="S93:S143" si="45">$R93*L93</f>
        <v>2.0804713741541549E-8</v>
      </c>
      <c r="T93" s="9">
        <f t="shared" si="40"/>
        <v>3.9787626140660381E-5</v>
      </c>
      <c r="U93" s="9">
        <f t="shared" si="41"/>
        <v>3.9979195286258455E-5</v>
      </c>
      <c r="V93" s="100">
        <f t="shared" ref="V93:V143" si="46">K93/M93</f>
        <v>0.99520827910050702</v>
      </c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6" t="s">
        <v>294</v>
      </c>
      <c r="C94" s="46" t="s">
        <v>295</v>
      </c>
      <c r="D94" s="47">
        <v>-0.5582197001134892</v>
      </c>
      <c r="E94" s="47">
        <v>-1.2715519677670764</v>
      </c>
      <c r="F94" s="96">
        <v>9.9999999999999995E-7</v>
      </c>
      <c r="G94" s="7"/>
      <c r="H94" s="7"/>
      <c r="I94" s="54">
        <f t="shared" si="33"/>
        <v>-1.6675027667828724E-3</v>
      </c>
      <c r="J94" s="54">
        <f t="shared" si="34"/>
        <v>-4.7341276291219724E-2</v>
      </c>
      <c r="K94" s="55">
        <f t="shared" si="35"/>
        <v>0.998169004949639</v>
      </c>
      <c r="L94" s="55">
        <f t="shared" si="36"/>
        <v>4.7866307700116287E-4</v>
      </c>
      <c r="M94" s="55">
        <f t="shared" si="42"/>
        <v>0.99952133692299883</v>
      </c>
      <c r="N94" s="55">
        <f t="shared" si="37"/>
        <v>8.1121799672415347E-7</v>
      </c>
      <c r="O94" s="56">
        <f t="shared" si="43"/>
        <v>1.0039002340727691E-6</v>
      </c>
      <c r="P94" s="56">
        <f t="shared" si="38"/>
        <v>9.0022128901903666E-7</v>
      </c>
      <c r="Q94" s="56">
        <f t="shared" si="39"/>
        <v>5.3720319595097595E-8</v>
      </c>
      <c r="R94" s="9">
        <f t="shared" si="44"/>
        <v>3.9999999999999996E-5</v>
      </c>
      <c r="S94" s="9">
        <f t="shared" si="45"/>
        <v>1.9146523080046512E-8</v>
      </c>
      <c r="T94" s="9">
        <f t="shared" si="40"/>
        <v>3.9926760197985558E-5</v>
      </c>
      <c r="U94" s="9">
        <f t="shared" si="41"/>
        <v>3.998085347691995E-5</v>
      </c>
      <c r="V94" s="100">
        <f t="shared" si="46"/>
        <v>0.99864702040526421</v>
      </c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6" t="s">
        <v>296</v>
      </c>
      <c r="C95" s="46" t="s">
        <v>297</v>
      </c>
      <c r="D95" s="47">
        <v>3.8826699877244018</v>
      </c>
      <c r="E95" s="47">
        <v>5.0457699825375304</v>
      </c>
      <c r="F95" s="96">
        <v>9.9999999999999995E-7</v>
      </c>
      <c r="G95" s="7"/>
      <c r="H95" s="7"/>
      <c r="I95" s="54">
        <f t="shared" si="33"/>
        <v>1.9022995281384409</v>
      </c>
      <c r="J95" s="54">
        <f t="shared" si="34"/>
        <v>3.5979703947660986</v>
      </c>
      <c r="K95" s="55">
        <f t="shared" si="35"/>
        <v>1.2137490065052582E-2</v>
      </c>
      <c r="L95" s="55">
        <f t="shared" si="36"/>
        <v>2.5719730091247499E-2</v>
      </c>
      <c r="M95" s="55">
        <f t="shared" si="42"/>
        <v>0.97428026990875249</v>
      </c>
      <c r="N95" s="55">
        <f t="shared" si="37"/>
        <v>2.0482564659084147E-2</v>
      </c>
      <c r="O95" s="56">
        <f t="shared" si="43"/>
        <v>1.220718040426126E-8</v>
      </c>
      <c r="P95" s="56">
        <f t="shared" si="38"/>
        <v>4.8371077044466247E-5</v>
      </c>
      <c r="Q95" s="56">
        <f t="shared" si="39"/>
        <v>1.3563923927434856E-3</v>
      </c>
      <c r="R95" s="9">
        <f t="shared" si="44"/>
        <v>3.9999999999999996E-5</v>
      </c>
      <c r="S95" s="9">
        <f t="shared" si="45"/>
        <v>1.0287892036498999E-6</v>
      </c>
      <c r="T95" s="9">
        <f t="shared" si="40"/>
        <v>4.8549960260210319E-7</v>
      </c>
      <c r="U95" s="9">
        <f t="shared" si="41"/>
        <v>3.8971210796350098E-5</v>
      </c>
      <c r="V95" s="100">
        <f t="shared" si="46"/>
        <v>1.2457903993261955E-2</v>
      </c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6" t="s">
        <v>298</v>
      </c>
      <c r="C96" s="46" t="s">
        <v>211</v>
      </c>
      <c r="D96" s="47">
        <v>-5.8280000000154555</v>
      </c>
      <c r="E96" s="47">
        <v>-8.7680000000219867</v>
      </c>
      <c r="F96" s="96">
        <v>9.9999999999999995E-7</v>
      </c>
      <c r="G96" s="7"/>
      <c r="H96" s="7"/>
      <c r="I96" s="54">
        <f t="shared" si="33"/>
        <v>-2.2554890834977572E-3</v>
      </c>
      <c r="J96" s="54">
        <f t="shared" si="34"/>
        <v>-6.2482029266406218E-2</v>
      </c>
      <c r="K96" s="55">
        <f t="shared" si="35"/>
        <v>0.99953709621039732</v>
      </c>
      <c r="L96" s="55">
        <f t="shared" si="36"/>
        <v>4.6289662264035949E-4</v>
      </c>
      <c r="M96" s="55">
        <f t="shared" si="42"/>
        <v>0.99953710337735968</v>
      </c>
      <c r="N96" s="55">
        <f t="shared" si="37"/>
        <v>2.5899082640678029E-14</v>
      </c>
      <c r="O96" s="56">
        <f t="shared" si="43"/>
        <v>1.0052761805608865E-6</v>
      </c>
      <c r="P96" s="56">
        <f t="shared" si="38"/>
        <v>8.7056933015715066E-7</v>
      </c>
      <c r="Q96" s="56">
        <f t="shared" si="39"/>
        <v>1.7150839876524187E-15</v>
      </c>
      <c r="R96" s="9">
        <f t="shared" si="44"/>
        <v>3.9999999999999996E-5</v>
      </c>
      <c r="S96" s="9">
        <f t="shared" si="45"/>
        <v>1.8515864905614379E-8</v>
      </c>
      <c r="T96" s="9">
        <f t="shared" si="40"/>
        <v>3.9981483848415891E-5</v>
      </c>
      <c r="U96" s="9">
        <f t="shared" si="41"/>
        <v>3.9981484135094382E-5</v>
      </c>
      <c r="V96" s="100">
        <f t="shared" si="46"/>
        <v>0.99999999282971852</v>
      </c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6" t="s">
        <v>299</v>
      </c>
      <c r="C97" s="46" t="s">
        <v>212</v>
      </c>
      <c r="D97" s="47" t="s">
        <v>300</v>
      </c>
      <c r="E97" s="47">
        <v>-4.1624004386372073</v>
      </c>
      <c r="F97" s="96">
        <v>9.9999999999999995E-7</v>
      </c>
      <c r="G97" s="7"/>
      <c r="H97" s="7"/>
      <c r="I97" s="54" t="e">
        <f t="shared" si="33"/>
        <v>#VALUE!</v>
      </c>
      <c r="J97" s="54" t="e">
        <f t="shared" si="34"/>
        <v>#VALUE!</v>
      </c>
      <c r="K97" s="55" t="e">
        <f t="shared" si="35"/>
        <v>#VALUE!</v>
      </c>
      <c r="L97" s="55" t="e">
        <f t="shared" si="36"/>
        <v>#VALUE!</v>
      </c>
      <c r="M97" s="55" t="e">
        <f t="shared" si="42"/>
        <v>#VALUE!</v>
      </c>
      <c r="N97" s="55" t="e">
        <f t="shared" si="37"/>
        <v>#VALUE!</v>
      </c>
      <c r="O97" s="56" t="e">
        <f t="shared" si="43"/>
        <v>#VALUE!</v>
      </c>
      <c r="P97" s="56" t="e">
        <f t="shared" si="38"/>
        <v>#VALUE!</v>
      </c>
      <c r="Q97" s="56" t="e">
        <f t="shared" si="39"/>
        <v>#VALUE!</v>
      </c>
      <c r="R97" s="9">
        <f t="shared" si="44"/>
        <v>3.9999999999999996E-5</v>
      </c>
      <c r="S97" s="9"/>
      <c r="T97" s="9"/>
      <c r="U97" s="9"/>
      <c r="V97" s="100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6" t="s">
        <v>301</v>
      </c>
      <c r="C98" s="46" t="s">
        <v>213</v>
      </c>
      <c r="D98" s="47">
        <v>4.54</v>
      </c>
      <c r="E98" s="47">
        <v>4.25</v>
      </c>
      <c r="F98" s="96">
        <v>9.9999999999999995E-7</v>
      </c>
      <c r="G98" s="7"/>
      <c r="H98" s="7"/>
      <c r="I98" s="54">
        <f t="shared" si="33"/>
        <v>2.2410131712935462</v>
      </c>
      <c r="J98" s="54">
        <f t="shared" si="34"/>
        <v>3.6198691988424496</v>
      </c>
      <c r="K98" s="55">
        <f t="shared" si="35"/>
        <v>5.63947174092134E-3</v>
      </c>
      <c r="L98" s="55">
        <f t="shared" si="36"/>
        <v>1.256824818456174E-2</v>
      </c>
      <c r="M98" s="55">
        <f t="shared" si="42"/>
        <v>0.9874317518154383</v>
      </c>
      <c r="N98" s="55">
        <f t="shared" si="37"/>
        <v>1.5230841172344401E-3</v>
      </c>
      <c r="O98" s="56">
        <f t="shared" si="43"/>
        <v>5.6718521339413251E-9</v>
      </c>
      <c r="P98" s="56">
        <f t="shared" si="38"/>
        <v>2.3637094910894615E-5</v>
      </c>
      <c r="Q98" s="56">
        <f t="shared" si="39"/>
        <v>1.0086137866573178E-4</v>
      </c>
      <c r="R98" s="9">
        <f t="shared" si="44"/>
        <v>3.9999999999999996E-5</v>
      </c>
      <c r="S98" s="9">
        <f t="shared" si="45"/>
        <v>5.0272992738246958E-7</v>
      </c>
      <c r="T98" s="9">
        <f t="shared" si="40"/>
        <v>2.2557886963685359E-7</v>
      </c>
      <c r="U98" s="9">
        <f t="shared" si="41"/>
        <v>3.9497270072617527E-5</v>
      </c>
      <c r="V98" s="100">
        <f t="shared" si="46"/>
        <v>5.7112521757102849E-3</v>
      </c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6" t="s">
        <v>302</v>
      </c>
      <c r="C99" s="46" t="s">
        <v>214</v>
      </c>
      <c r="D99" s="47">
        <v>2.83</v>
      </c>
      <c r="E99" s="47">
        <v>2.3199999999999998</v>
      </c>
      <c r="F99" s="96">
        <v>9.9999999999999995E-7</v>
      </c>
      <c r="G99" s="7"/>
      <c r="H99" s="7"/>
      <c r="I99" s="54">
        <f t="shared" si="33"/>
        <v>0.63542458371912058</v>
      </c>
      <c r="J99" s="54">
        <f t="shared" si="34"/>
        <v>1.8931732256368987</v>
      </c>
      <c r="K99" s="55">
        <f t="shared" si="35"/>
        <v>0.22811684334750393</v>
      </c>
      <c r="L99" s="55">
        <f t="shared" si="36"/>
        <v>9.5388869848976269E-3</v>
      </c>
      <c r="M99" s="55">
        <f t="shared" si="42"/>
        <v>0.99046111301510242</v>
      </c>
      <c r="N99" s="55">
        <f t="shared" si="37"/>
        <v>7.2384039812866373E-4</v>
      </c>
      <c r="O99" s="56">
        <f t="shared" si="43"/>
        <v>2.2942663145912303E-7</v>
      </c>
      <c r="P99" s="56">
        <f t="shared" si="38"/>
        <v>1.7939777580401491E-5</v>
      </c>
      <c r="Q99" s="56">
        <f t="shared" si="39"/>
        <v>4.7934017342242136E-5</v>
      </c>
      <c r="R99" s="9">
        <f t="shared" si="44"/>
        <v>3.9999999999999996E-5</v>
      </c>
      <c r="S99" s="9">
        <f t="shared" si="45"/>
        <v>3.8155547939590505E-7</v>
      </c>
      <c r="T99" s="9">
        <f t="shared" si="40"/>
        <v>9.1246737339001559E-6</v>
      </c>
      <c r="U99" s="9">
        <f t="shared" si="41"/>
        <v>3.9618444520604095E-5</v>
      </c>
      <c r="V99" s="100">
        <f t="shared" si="46"/>
        <v>0.23031378047047632</v>
      </c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6" t="s">
        <v>303</v>
      </c>
      <c r="C100" s="46" t="s">
        <v>215</v>
      </c>
      <c r="D100" s="47" t="s">
        <v>300</v>
      </c>
      <c r="E100" s="47">
        <v>1.7</v>
      </c>
      <c r="F100" s="96">
        <v>9.9999999999999995E-7</v>
      </c>
      <c r="G100" s="7"/>
      <c r="H100" s="7"/>
      <c r="I100" s="54" t="e">
        <f t="shared" si="33"/>
        <v>#VALUE!</v>
      </c>
      <c r="J100" s="54" t="e">
        <f t="shared" si="34"/>
        <v>#VALUE!</v>
      </c>
      <c r="K100" s="55" t="e">
        <f t="shared" si="35"/>
        <v>#VALUE!</v>
      </c>
      <c r="L100" s="55" t="e">
        <f t="shared" si="36"/>
        <v>#VALUE!</v>
      </c>
      <c r="M100" s="55" t="e">
        <f t="shared" si="42"/>
        <v>#VALUE!</v>
      </c>
      <c r="N100" s="55" t="e">
        <f t="shared" si="37"/>
        <v>#VALUE!</v>
      </c>
      <c r="O100" s="56" t="e">
        <f t="shared" si="43"/>
        <v>#VALUE!</v>
      </c>
      <c r="P100" s="56" t="e">
        <f t="shared" si="38"/>
        <v>#VALUE!</v>
      </c>
      <c r="Q100" s="56" t="e">
        <f t="shared" si="39"/>
        <v>#VALUE!</v>
      </c>
      <c r="R100" s="9">
        <f t="shared" si="44"/>
        <v>3.9999999999999996E-5</v>
      </c>
      <c r="S100" s="9"/>
      <c r="T100" s="9"/>
      <c r="U100" s="9"/>
      <c r="V100" s="100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6" t="s">
        <v>304</v>
      </c>
      <c r="C101" s="46" t="s">
        <v>216</v>
      </c>
      <c r="D101" s="47">
        <v>4.2</v>
      </c>
      <c r="E101" s="47">
        <v>3.52</v>
      </c>
      <c r="F101" s="96">
        <v>9.9999999999999995E-7</v>
      </c>
      <c r="G101" s="7"/>
      <c r="H101" s="7"/>
      <c r="I101" s="54">
        <f t="shared" si="33"/>
        <v>1.8939169904293498</v>
      </c>
      <c r="J101" s="54">
        <f t="shared" si="34"/>
        <v>3.2476184352887936</v>
      </c>
      <c r="K101" s="55">
        <f t="shared" si="35"/>
        <v>1.2549946713487702E-2</v>
      </c>
      <c r="L101" s="55">
        <f t="shared" si="36"/>
        <v>1.1869363807926737E-2</v>
      </c>
      <c r="M101" s="55">
        <f t="shared" si="42"/>
        <v>0.98813063619207331</v>
      </c>
      <c r="N101" s="55">
        <f t="shared" si="37"/>
        <v>6.3114238460746275E-4</v>
      </c>
      <c r="O101" s="56">
        <f t="shared" si="43"/>
        <v>1.2622005272450572E-8</v>
      </c>
      <c r="P101" s="56">
        <f t="shared" si="38"/>
        <v>2.2322703589234127E-5</v>
      </c>
      <c r="Q101" s="56">
        <f t="shared" si="39"/>
        <v>4.1795387612257343E-5</v>
      </c>
      <c r="R101" s="9">
        <f t="shared" si="44"/>
        <v>3.9999999999999996E-5</v>
      </c>
      <c r="S101" s="9">
        <f t="shared" si="45"/>
        <v>4.7477455231706942E-7</v>
      </c>
      <c r="T101" s="9">
        <f t="shared" si="40"/>
        <v>5.0199786853950802E-7</v>
      </c>
      <c r="U101" s="9">
        <f t="shared" si="41"/>
        <v>3.9525225447682927E-5</v>
      </c>
      <c r="V101" s="100">
        <f t="shared" si="46"/>
        <v>1.2700695893663435E-2</v>
      </c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6" t="s">
        <v>305</v>
      </c>
      <c r="C102" s="46" t="s">
        <v>217</v>
      </c>
      <c r="D102" s="47">
        <v>3.44</v>
      </c>
      <c r="E102" s="47">
        <v>-2.9403004386372071</v>
      </c>
      <c r="F102" s="96">
        <v>9.9999999999999995E-7</v>
      </c>
      <c r="G102" s="7"/>
      <c r="H102" s="7"/>
      <c r="I102" s="54">
        <f t="shared" si="33"/>
        <v>1.1527504756067957</v>
      </c>
      <c r="J102" s="54">
        <f t="shared" si="34"/>
        <v>2.4649551637640035</v>
      </c>
      <c r="K102" s="55">
        <f t="shared" si="35"/>
        <v>6.9227459115876119E-2</v>
      </c>
      <c r="L102" s="55">
        <f t="shared" si="36"/>
        <v>1.079942617764874E-2</v>
      </c>
      <c r="M102" s="55">
        <f t="shared" si="42"/>
        <v>0.98920057382235127</v>
      </c>
      <c r="N102" s="55">
        <f t="shared" si="37"/>
        <v>1.2063224707651508E-9</v>
      </c>
      <c r="O102" s="56">
        <f t="shared" si="43"/>
        <v>6.9624945340992094E-8</v>
      </c>
      <c r="P102" s="56">
        <f t="shared" si="38"/>
        <v>2.0310472692434677E-5</v>
      </c>
      <c r="Q102" s="56">
        <f t="shared" si="39"/>
        <v>7.9884850836571912E-11</v>
      </c>
      <c r="R102" s="9">
        <f t="shared" si="44"/>
        <v>3.9999999999999996E-5</v>
      </c>
      <c r="S102" s="9">
        <f t="shared" si="45"/>
        <v>4.319770471059496E-7</v>
      </c>
      <c r="T102" s="9">
        <f t="shared" si="40"/>
        <v>2.7690983646350446E-6</v>
      </c>
      <c r="U102" s="9">
        <f t="shared" si="41"/>
        <v>3.9568022952894046E-5</v>
      </c>
      <c r="V102" s="100">
        <f t="shared" si="46"/>
        <v>6.9983237927547501E-2</v>
      </c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6" t="s">
        <v>306</v>
      </c>
      <c r="C103" s="46" t="s">
        <v>218</v>
      </c>
      <c r="D103" s="47">
        <v>4.49</v>
      </c>
      <c r="E103" s="47">
        <v>-1.7182004386372074</v>
      </c>
      <c r="F103" s="96">
        <v>9.9999999999999995E-7</v>
      </c>
      <c r="G103" s="7"/>
      <c r="H103" s="7"/>
      <c r="I103" s="54">
        <f t="shared" si="33"/>
        <v>2.1741441801583692</v>
      </c>
      <c r="J103" s="54">
        <f t="shared" si="34"/>
        <v>3.5137792245030726</v>
      </c>
      <c r="K103" s="55">
        <f t="shared" si="35"/>
        <v>6.5853522080370581E-3</v>
      </c>
      <c r="L103" s="55">
        <f t="shared" si="36"/>
        <v>1.1495433581938608E-2</v>
      </c>
      <c r="M103" s="55">
        <f t="shared" si="42"/>
        <v>0.98850456641806139</v>
      </c>
      <c r="N103" s="55">
        <f t="shared" si="37"/>
        <v>1.9136567139376376E-9</v>
      </c>
      <c r="O103" s="56">
        <f t="shared" si="43"/>
        <v>6.6231636028746239E-9</v>
      </c>
      <c r="P103" s="56">
        <f t="shared" si="38"/>
        <v>2.1619453294368798E-5</v>
      </c>
      <c r="Q103" s="56">
        <f t="shared" si="39"/>
        <v>1.2672580081207323E-10</v>
      </c>
      <c r="R103" s="9">
        <f t="shared" si="44"/>
        <v>3.9999999999999996E-5</v>
      </c>
      <c r="S103" s="9">
        <f t="shared" si="45"/>
        <v>4.5981734327754426E-7</v>
      </c>
      <c r="T103" s="9">
        <f t="shared" si="40"/>
        <v>2.6341408832148231E-7</v>
      </c>
      <c r="U103" s="9">
        <f t="shared" si="41"/>
        <v>3.9540182656722454E-5</v>
      </c>
      <c r="V103" s="100">
        <f t="shared" si="46"/>
        <v>6.6619340281853191E-3</v>
      </c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6" t="s">
        <v>307</v>
      </c>
      <c r="C104" s="46" t="s">
        <v>219</v>
      </c>
      <c r="D104" s="47">
        <v>5.17</v>
      </c>
      <c r="E104" s="47">
        <v>4.54</v>
      </c>
      <c r="F104" s="96">
        <v>9.9999999999999995E-7</v>
      </c>
      <c r="G104" s="7"/>
      <c r="H104" s="7"/>
      <c r="I104" s="54">
        <f t="shared" si="33"/>
        <v>2.8598242449089666</v>
      </c>
      <c r="J104" s="54">
        <f t="shared" si="34"/>
        <v>4.2202384414377665</v>
      </c>
      <c r="K104" s="55">
        <f t="shared" si="35"/>
        <v>1.3572327784721983E-3</v>
      </c>
      <c r="L104" s="55">
        <f t="shared" si="36"/>
        <v>1.2052021719333044E-2</v>
      </c>
      <c r="M104" s="55">
        <f t="shared" si="42"/>
        <v>0.98794797828066694</v>
      </c>
      <c r="N104" s="55">
        <f t="shared" si="37"/>
        <v>7.1472636748520606E-4</v>
      </c>
      <c r="O104" s="56">
        <f t="shared" si="43"/>
        <v>1.3650256592251316E-9</v>
      </c>
      <c r="P104" s="56">
        <f t="shared" si="38"/>
        <v>2.2666228185879215E-5</v>
      </c>
      <c r="Q104" s="56">
        <f t="shared" si="39"/>
        <v>4.7330469786661289E-5</v>
      </c>
      <c r="R104" s="9">
        <f t="shared" si="44"/>
        <v>3.9999999999999996E-5</v>
      </c>
      <c r="S104" s="9">
        <f t="shared" si="45"/>
        <v>4.8208086877332177E-7</v>
      </c>
      <c r="T104" s="9">
        <f t="shared" si="40"/>
        <v>5.4289311138887927E-8</v>
      </c>
      <c r="U104" s="9">
        <f t="shared" si="41"/>
        <v>3.9517919131226676E-5</v>
      </c>
      <c r="V104" s="100">
        <f t="shared" si="46"/>
        <v>1.3737897220400211E-3</v>
      </c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6" t="s">
        <v>308</v>
      </c>
      <c r="C105" s="46" t="s">
        <v>220</v>
      </c>
      <c r="D105" s="47">
        <v>4.76</v>
      </c>
      <c r="E105" s="47">
        <v>4.8899999999999997</v>
      </c>
      <c r="F105" s="96">
        <v>9.9999999999999995E-7</v>
      </c>
      <c r="G105" s="7"/>
      <c r="H105" s="7"/>
      <c r="I105" s="54">
        <f t="shared" si="33"/>
        <v>2.4867185626172419</v>
      </c>
      <c r="J105" s="54">
        <f t="shared" si="34"/>
        <v>3.9181380342054464</v>
      </c>
      <c r="K105" s="55">
        <f t="shared" si="35"/>
        <v>3.1976529638207012E-3</v>
      </c>
      <c r="L105" s="55">
        <f t="shared" si="36"/>
        <v>1.4162387967753725E-2</v>
      </c>
      <c r="M105" s="55">
        <f t="shared" si="42"/>
        <v>0.98583761203224629</v>
      </c>
      <c r="N105" s="55">
        <f t="shared" si="37"/>
        <v>3.7697868330702324E-3</v>
      </c>
      <c r="O105" s="56">
        <f t="shared" si="43"/>
        <v>3.2160130628630846E-9</v>
      </c>
      <c r="P105" s="56">
        <f t="shared" si="38"/>
        <v>2.6635192402542437E-5</v>
      </c>
      <c r="Q105" s="56">
        <f t="shared" si="39"/>
        <v>2.496420867087674E-4</v>
      </c>
      <c r="R105" s="9">
        <f t="shared" si="44"/>
        <v>3.9999999999999996E-5</v>
      </c>
      <c r="S105" s="9">
        <f t="shared" si="45"/>
        <v>5.6649551871014897E-7</v>
      </c>
      <c r="T105" s="9">
        <f t="shared" si="40"/>
        <v>1.2790611855282803E-7</v>
      </c>
      <c r="U105" s="9">
        <f t="shared" si="41"/>
        <v>3.9433504481289845E-5</v>
      </c>
      <c r="V105" s="100">
        <f t="shared" si="46"/>
        <v>3.2435899430017967E-3</v>
      </c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6" t="s">
        <v>309</v>
      </c>
      <c r="C106" s="46" t="s">
        <v>221</v>
      </c>
      <c r="D106" s="47">
        <v>3.93</v>
      </c>
      <c r="E106" s="47">
        <v>2.91</v>
      </c>
      <c r="F106" s="96">
        <v>9.9999999999999995E-7</v>
      </c>
      <c r="G106" s="7"/>
      <c r="H106" s="7"/>
      <c r="I106" s="54">
        <f t="shared" si="33"/>
        <v>1.6248833107371423</v>
      </c>
      <c r="J106" s="54">
        <f t="shared" si="34"/>
        <v>2.9650850681227481</v>
      </c>
      <c r="K106" s="55">
        <f t="shared" si="35"/>
        <v>2.3325628696817962E-2</v>
      </c>
      <c r="L106" s="55">
        <f t="shared" si="36"/>
        <v>1.1510271050103408E-2</v>
      </c>
      <c r="M106" s="55">
        <f t="shared" si="42"/>
        <v>0.98848972894989662</v>
      </c>
      <c r="N106" s="55">
        <f t="shared" si="37"/>
        <v>2.879511535477851E-4</v>
      </c>
      <c r="O106" s="56">
        <f t="shared" si="43"/>
        <v>2.3459558444024714E-8</v>
      </c>
      <c r="P106" s="56">
        <f t="shared" si="38"/>
        <v>2.1647358109590346E-5</v>
      </c>
      <c r="Q106" s="56">
        <f t="shared" si="39"/>
        <v>1.9068644999038471E-5</v>
      </c>
      <c r="R106" s="9">
        <f t="shared" si="44"/>
        <v>3.9999999999999996E-5</v>
      </c>
      <c r="S106" s="9">
        <f t="shared" si="45"/>
        <v>4.6041084200413629E-7</v>
      </c>
      <c r="T106" s="9">
        <f t="shared" si="40"/>
        <v>9.3302514787271844E-7</v>
      </c>
      <c r="U106" s="9">
        <f t="shared" si="41"/>
        <v>3.9539589157995863E-5</v>
      </c>
      <c r="V106" s="100">
        <f t="shared" si="46"/>
        <v>2.3597239317395338E-2</v>
      </c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6" t="s">
        <v>310</v>
      </c>
      <c r="C107" s="46" t="s">
        <v>222</v>
      </c>
      <c r="D107" s="47" t="s">
        <v>300</v>
      </c>
      <c r="E107" s="47" t="s">
        <v>311</v>
      </c>
      <c r="F107" s="96">
        <v>9.9999999999999995E-7</v>
      </c>
      <c r="G107" s="7"/>
      <c r="H107" s="7"/>
      <c r="I107" s="54" t="e">
        <f t="shared" si="33"/>
        <v>#VALUE!</v>
      </c>
      <c r="J107" s="54" t="e">
        <f t="shared" si="34"/>
        <v>#VALUE!</v>
      </c>
      <c r="K107" s="55" t="e">
        <f t="shared" si="35"/>
        <v>#VALUE!</v>
      </c>
      <c r="L107" s="55" t="e">
        <f t="shared" si="36"/>
        <v>#VALUE!</v>
      </c>
      <c r="M107" s="55" t="e">
        <f t="shared" si="42"/>
        <v>#VALUE!</v>
      </c>
      <c r="N107" s="55" t="e">
        <f t="shared" si="37"/>
        <v>#VALUE!</v>
      </c>
      <c r="O107" s="56" t="e">
        <f t="shared" si="43"/>
        <v>#VALUE!</v>
      </c>
      <c r="P107" s="56" t="e">
        <f t="shared" si="38"/>
        <v>#VALUE!</v>
      </c>
      <c r="Q107" s="56" t="e">
        <f t="shared" si="39"/>
        <v>#VALUE!</v>
      </c>
      <c r="R107" s="9">
        <f t="shared" si="44"/>
        <v>3.9999999999999996E-5</v>
      </c>
      <c r="S107" s="9"/>
      <c r="T107" s="9"/>
      <c r="U107" s="9"/>
      <c r="V107" s="100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6" t="s">
        <v>312</v>
      </c>
      <c r="C108" s="46" t="s">
        <v>223</v>
      </c>
      <c r="D108" s="47">
        <v>4.6100000000000003</v>
      </c>
      <c r="E108" s="47">
        <v>4.13</v>
      </c>
      <c r="F108" s="96">
        <v>9.9999999999999995E-7</v>
      </c>
      <c r="G108" s="7"/>
      <c r="H108" s="7"/>
      <c r="I108" s="54">
        <f t="shared" si="33"/>
        <v>2.3046271115114854</v>
      </c>
      <c r="J108" s="54">
        <f t="shared" si="34"/>
        <v>3.6707936828342995</v>
      </c>
      <c r="K108" s="55">
        <f t="shared" si="35"/>
        <v>4.8728348195355015E-3</v>
      </c>
      <c r="L108" s="55">
        <f t="shared" si="36"/>
        <v>1.2210754427011283E-2</v>
      </c>
      <c r="M108" s="55">
        <f t="shared" si="42"/>
        <v>0.98778924557298875</v>
      </c>
      <c r="N108" s="55">
        <f t="shared" si="37"/>
        <v>9.9831398347278348E-4</v>
      </c>
      <c r="O108" s="56">
        <f t="shared" si="43"/>
        <v>4.9008133809729331E-9</v>
      </c>
      <c r="P108" s="56">
        <f t="shared" si="38"/>
        <v>2.2964756669861753E-5</v>
      </c>
      <c r="Q108" s="56">
        <f t="shared" si="39"/>
        <v>6.6110153454410056E-5</v>
      </c>
      <c r="R108" s="9">
        <f t="shared" si="44"/>
        <v>3.9999999999999996E-5</v>
      </c>
      <c r="S108" s="9">
        <f t="shared" si="45"/>
        <v>4.8843017708045124E-7</v>
      </c>
      <c r="T108" s="9">
        <f t="shared" si="40"/>
        <v>1.9491339278142004E-7</v>
      </c>
      <c r="U108" s="9">
        <f t="shared" si="41"/>
        <v>3.9511569822919544E-5</v>
      </c>
      <c r="V108" s="100">
        <f t="shared" si="46"/>
        <v>4.9330713422668484E-3</v>
      </c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6" t="s">
        <v>313</v>
      </c>
      <c r="C109" s="46" t="s">
        <v>224</v>
      </c>
      <c r="D109" s="47">
        <v>4.8099999999999996</v>
      </c>
      <c r="E109" s="47">
        <v>4.82</v>
      </c>
      <c r="F109" s="96">
        <v>9.9999999999999995E-7</v>
      </c>
      <c r="G109" s="7"/>
      <c r="H109" s="7"/>
      <c r="I109" s="54">
        <f t="shared" si="33"/>
        <v>2.5263589248425813</v>
      </c>
      <c r="J109" s="54">
        <f t="shared" si="34"/>
        <v>3.9392867705218149</v>
      </c>
      <c r="K109" s="55">
        <f t="shared" si="35"/>
        <v>2.9204342339229756E-3</v>
      </c>
      <c r="L109" s="55">
        <f t="shared" si="36"/>
        <v>1.3580048647203387E-2</v>
      </c>
      <c r="M109" s="55">
        <f t="shared" si="42"/>
        <v>0.98641995135279659</v>
      </c>
      <c r="N109" s="55">
        <f t="shared" si="37"/>
        <v>2.9304404148729848E-3</v>
      </c>
      <c r="O109" s="56">
        <f t="shared" si="43"/>
        <v>2.9372026144784204E-9</v>
      </c>
      <c r="P109" s="56">
        <f t="shared" si="38"/>
        <v>2.553998728023251E-5</v>
      </c>
      <c r="Q109" s="56">
        <f t="shared" si="39"/>
        <v>1.9405905228566772E-4</v>
      </c>
      <c r="R109" s="9">
        <f t="shared" si="44"/>
        <v>3.9999999999999996E-5</v>
      </c>
      <c r="S109" s="9">
        <f t="shared" si="45"/>
        <v>5.4320194588813544E-7</v>
      </c>
      <c r="T109" s="9">
        <f t="shared" si="40"/>
        <v>1.1681736935691901E-7</v>
      </c>
      <c r="U109" s="9">
        <f t="shared" si="41"/>
        <v>3.9456798054111859E-5</v>
      </c>
      <c r="V109" s="100">
        <f t="shared" si="46"/>
        <v>2.9606398673484168E-3</v>
      </c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6" t="s">
        <v>203</v>
      </c>
      <c r="C110" s="46" t="s">
        <v>204</v>
      </c>
      <c r="D110" s="47">
        <v>3.19</v>
      </c>
      <c r="E110" s="47">
        <v>1.4</v>
      </c>
      <c r="F110" s="96">
        <v>9.9999999999999995E-7</v>
      </c>
      <c r="G110" s="7"/>
      <c r="H110" s="7"/>
      <c r="I110" s="54">
        <f t="shared" si="33"/>
        <v>0.92627477267552383</v>
      </c>
      <c r="J110" s="54">
        <f t="shared" si="34"/>
        <v>2.2178375809646442</v>
      </c>
      <c r="K110" s="55">
        <f t="shared" si="35"/>
        <v>0.11667340031133736</v>
      </c>
      <c r="L110" s="55">
        <f t="shared" si="36"/>
        <v>1.0303305105619035E-2</v>
      </c>
      <c r="M110" s="55">
        <f t="shared" si="42"/>
        <v>0.98969669489438095</v>
      </c>
      <c r="N110" s="55">
        <f t="shared" si="37"/>
        <v>4.4509971848497541E-5</v>
      </c>
      <c r="O110" s="56">
        <f t="shared" si="43"/>
        <v>1.1734330890040707E-7</v>
      </c>
      <c r="P110" s="56">
        <f t="shared" si="38"/>
        <v>1.9377418165291765E-5</v>
      </c>
      <c r="Q110" s="56">
        <f t="shared" si="39"/>
        <v>2.9475306545536993E-6</v>
      </c>
      <c r="R110" s="9">
        <f t="shared" si="44"/>
        <v>3.9999999999999996E-5</v>
      </c>
      <c r="S110" s="9">
        <f t="shared" si="45"/>
        <v>4.1213220422476133E-7</v>
      </c>
      <c r="T110" s="9">
        <f t="shared" si="40"/>
        <v>4.6669360124534937E-6</v>
      </c>
      <c r="U110" s="9">
        <f t="shared" si="41"/>
        <v>3.9587867795775234E-5</v>
      </c>
      <c r="V110" s="100">
        <f t="shared" si="46"/>
        <v>0.1178880367219864</v>
      </c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6" t="s">
        <v>205</v>
      </c>
      <c r="C111" s="46" t="s">
        <v>206</v>
      </c>
      <c r="D111" s="47">
        <v>2.8380318246143235</v>
      </c>
      <c r="E111" s="47">
        <v>3.5597354124795313</v>
      </c>
      <c r="F111" s="96">
        <v>9.9999999999999995E-7</v>
      </c>
      <c r="G111" s="7"/>
      <c r="H111" s="7"/>
      <c r="I111" s="54">
        <f t="shared" si="33"/>
        <v>0.75430624695958448</v>
      </c>
      <c r="J111" s="54">
        <f t="shared" si="34"/>
        <v>2.247099818745959</v>
      </c>
      <c r="K111" s="55">
        <f t="shared" si="35"/>
        <v>0.17231021595360549</v>
      </c>
      <c r="L111" s="55">
        <f t="shared" si="36"/>
        <v>1.6277135168562485E-2</v>
      </c>
      <c r="M111" s="55">
        <f t="shared" si="42"/>
        <v>0.98372286483143756</v>
      </c>
      <c r="N111" s="55">
        <f t="shared" si="37"/>
        <v>9.4958075387732068E-3</v>
      </c>
      <c r="O111" s="56">
        <f t="shared" si="43"/>
        <v>1.7329957679629763E-7</v>
      </c>
      <c r="P111" s="56">
        <f t="shared" si="38"/>
        <v>3.0612395873067967E-5</v>
      </c>
      <c r="Q111" s="56">
        <f t="shared" si="39"/>
        <v>6.2882951050936093E-4</v>
      </c>
      <c r="R111" s="9">
        <f t="shared" si="44"/>
        <v>3.9999999999999996E-5</v>
      </c>
      <c r="S111" s="9">
        <f t="shared" si="45"/>
        <v>6.5108540674249934E-7</v>
      </c>
      <c r="T111" s="9">
        <f t="shared" si="40"/>
        <v>6.8924086381442189E-6</v>
      </c>
      <c r="U111" s="9">
        <f t="shared" si="41"/>
        <v>3.9348914593257496E-5</v>
      </c>
      <c r="V111" s="100">
        <f t="shared" si="46"/>
        <v>0.17516134077368539</v>
      </c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6" t="s">
        <v>207</v>
      </c>
      <c r="C112" s="46" t="s">
        <v>208</v>
      </c>
      <c r="D112" s="47">
        <v>5.4191360000000008</v>
      </c>
      <c r="E112" s="47">
        <v>6.7333169999999996</v>
      </c>
      <c r="F112" s="96">
        <v>9.9999999999999995E-7</v>
      </c>
      <c r="G112" s="7"/>
      <c r="H112" s="7"/>
      <c r="I112" s="54">
        <f t="shared" si="33"/>
        <v>3.5207953657582807</v>
      </c>
      <c r="J112" s="54">
        <f t="shared" si="34"/>
        <v>5.2586556180187021</v>
      </c>
      <c r="K112" s="55">
        <f t="shared" si="35"/>
        <v>2.9140365040739697E-4</v>
      </c>
      <c r="L112" s="55">
        <f t="shared" si="36"/>
        <v>2.8269474167592606E-2</v>
      </c>
      <c r="M112" s="55">
        <f t="shared" si="42"/>
        <v>0.97173052583240738</v>
      </c>
      <c r="N112" s="55">
        <f t="shared" si="37"/>
        <v>2.3949555225245611E-2</v>
      </c>
      <c r="O112" s="56">
        <f t="shared" si="43"/>
        <v>2.9307681505137982E-10</v>
      </c>
      <c r="P112" s="56">
        <f t="shared" si="38"/>
        <v>5.3166378811747709E-5</v>
      </c>
      <c r="Q112" s="56">
        <f t="shared" si="39"/>
        <v>1.5859827642582759E-3</v>
      </c>
      <c r="R112" s="9">
        <f t="shared" si="44"/>
        <v>3.9999999999999996E-5</v>
      </c>
      <c r="S112" s="9">
        <f t="shared" si="45"/>
        <v>1.1307789667037041E-6</v>
      </c>
      <c r="T112" s="9">
        <f t="shared" si="40"/>
        <v>1.1656146016295877E-8</v>
      </c>
      <c r="U112" s="9">
        <f t="shared" si="41"/>
        <v>3.886922103329629E-5</v>
      </c>
      <c r="V112" s="100">
        <f t="shared" si="46"/>
        <v>2.9988113233118176E-4</v>
      </c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6" t="s">
        <v>209</v>
      </c>
      <c r="C113" s="46" t="s">
        <v>210</v>
      </c>
      <c r="D113" s="47">
        <v>5.6895360000000004</v>
      </c>
      <c r="E113" s="47">
        <v>7.1197670000000004</v>
      </c>
      <c r="F113" s="96">
        <v>9.9999999999999995E-7</v>
      </c>
      <c r="G113" s="7"/>
      <c r="H113" s="7"/>
      <c r="I113" s="54">
        <f t="shared" si="33"/>
        <v>3.8666483056990257</v>
      </c>
      <c r="J113" s="54">
        <f t="shared" si="34"/>
        <v>5.6292570490791167</v>
      </c>
      <c r="K113" s="55">
        <f t="shared" si="35"/>
        <v>1.311966357850156E-4</v>
      </c>
      <c r="L113" s="55">
        <f t="shared" si="36"/>
        <v>2.9877680056927036E-2</v>
      </c>
      <c r="M113" s="55">
        <f t="shared" si="42"/>
        <v>0.97012231994307296</v>
      </c>
      <c r="N113" s="55">
        <f t="shared" si="37"/>
        <v>2.6252771787849575E-2</v>
      </c>
      <c r="O113" s="56">
        <f t="shared" si="43"/>
        <v>1.3194993304844414E-10</v>
      </c>
      <c r="P113" s="56">
        <f t="shared" si="38"/>
        <v>5.6190930418641602E-5</v>
      </c>
      <c r="Q113" s="56">
        <f t="shared" si="39"/>
        <v>1.7385059212141737E-3</v>
      </c>
      <c r="R113" s="9">
        <f t="shared" si="44"/>
        <v>3.9999999999999996E-5</v>
      </c>
      <c r="S113" s="9">
        <f t="shared" si="45"/>
        <v>1.1951072022770813E-6</v>
      </c>
      <c r="T113" s="9">
        <f t="shared" si="40"/>
        <v>5.2478654314006233E-9</v>
      </c>
      <c r="U113" s="9">
        <f t="shared" si="41"/>
        <v>3.8804892797722914E-5</v>
      </c>
      <c r="V113" s="100">
        <f t="shared" si="46"/>
        <v>1.3523720987340467E-4</v>
      </c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6" t="s">
        <v>107</v>
      </c>
      <c r="C114" s="46" t="s">
        <v>108</v>
      </c>
      <c r="D114" s="47">
        <v>6.0065360000000005</v>
      </c>
      <c r="E114" s="47">
        <v>7.5552170000000007</v>
      </c>
      <c r="F114" s="96">
        <v>9.9999999999999995E-7</v>
      </c>
      <c r="G114" s="7"/>
      <c r="H114" s="7"/>
      <c r="I114" s="54">
        <f t="shared" si="33"/>
        <v>4.2676323009395754</v>
      </c>
      <c r="J114" s="54">
        <f t="shared" si="34"/>
        <v>6.0519431364066163</v>
      </c>
      <c r="K114" s="55">
        <f t="shared" si="35"/>
        <v>5.2032456492723673E-5</v>
      </c>
      <c r="L114" s="55">
        <f t="shared" si="36"/>
        <v>3.136061642938294E-2</v>
      </c>
      <c r="M114" s="55">
        <f t="shared" si="42"/>
        <v>0.96863938357061707</v>
      </c>
      <c r="N114" s="55">
        <f t="shared" si="37"/>
        <v>2.8377673936831722E-2</v>
      </c>
      <c r="O114" s="56">
        <f t="shared" si="43"/>
        <v>5.2331213445224062E-11</v>
      </c>
      <c r="P114" s="56">
        <f t="shared" si="38"/>
        <v>5.8979887739329664E-5</v>
      </c>
      <c r="Q114" s="56">
        <f t="shared" si="39"/>
        <v>1.8792207759296641E-3</v>
      </c>
      <c r="R114" s="9">
        <f t="shared" si="44"/>
        <v>3.9999999999999996E-5</v>
      </c>
      <c r="S114" s="9">
        <f t="shared" si="45"/>
        <v>1.2544246571753174E-6</v>
      </c>
      <c r="T114" s="9">
        <f t="shared" si="40"/>
        <v>2.0812982597089469E-9</v>
      </c>
      <c r="U114" s="9">
        <f t="shared" si="41"/>
        <v>3.8745575342824682E-5</v>
      </c>
      <c r="V114" s="100">
        <f t="shared" si="46"/>
        <v>5.3717056497249405E-5</v>
      </c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6" t="s">
        <v>109</v>
      </c>
      <c r="C115" s="46" t="s">
        <v>110</v>
      </c>
      <c r="D115" s="47">
        <v>4.6510502998865109</v>
      </c>
      <c r="E115" s="47">
        <v>6.1388180322329244</v>
      </c>
      <c r="F115" s="96">
        <v>9.9999999999999995E-7</v>
      </c>
      <c r="G115" s="7"/>
      <c r="H115" s="7"/>
      <c r="I115" s="54">
        <f t="shared" si="33"/>
        <v>2.8686693929579801</v>
      </c>
      <c r="J115" s="54">
        <f t="shared" si="34"/>
        <v>4.6417281713883654</v>
      </c>
      <c r="K115" s="55">
        <f t="shared" si="35"/>
        <v>1.3049254970930032E-3</v>
      </c>
      <c r="L115" s="55">
        <f t="shared" si="36"/>
        <v>3.0583065356804089E-2</v>
      </c>
      <c r="M115" s="55">
        <f t="shared" si="42"/>
        <v>0.96941693464319589</v>
      </c>
      <c r="N115" s="55">
        <f t="shared" si="37"/>
        <v>2.7282817234186713E-2</v>
      </c>
      <c r="O115" s="56">
        <f t="shared" si="43"/>
        <v>1.3124180429197809E-9</v>
      </c>
      <c r="P115" s="56">
        <f t="shared" si="38"/>
        <v>5.7517548021755456E-5</v>
      </c>
      <c r="Q115" s="56">
        <f t="shared" si="39"/>
        <v>1.8067173893992438E-3</v>
      </c>
      <c r="R115" s="9">
        <f t="shared" si="44"/>
        <v>3.9999999999999996E-5</v>
      </c>
      <c r="S115" s="9">
        <f t="shared" si="45"/>
        <v>1.2233226142721634E-6</v>
      </c>
      <c r="T115" s="9">
        <f t="shared" si="40"/>
        <v>5.2197019883720125E-8</v>
      </c>
      <c r="U115" s="9">
        <f t="shared" si="41"/>
        <v>3.8776677385727835E-5</v>
      </c>
      <c r="V115" s="100">
        <f t="shared" si="46"/>
        <v>1.346093151934977E-3</v>
      </c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6" t="s">
        <v>225</v>
      </c>
      <c r="C116" s="46" t="s">
        <v>226</v>
      </c>
      <c r="D116" s="47">
        <v>-0.1223633442417989</v>
      </c>
      <c r="E116" s="47">
        <v>-0.65153095448481257</v>
      </c>
      <c r="F116" s="96">
        <v>9.9999999999999995E-7</v>
      </c>
      <c r="G116" s="7"/>
      <c r="H116" s="7"/>
      <c r="I116" s="54">
        <f t="shared" si="33"/>
        <v>-6.405424315775722E-4</v>
      </c>
      <c r="J116" s="54">
        <f t="shared" si="34"/>
        <v>-2.1360017607378441E-2</v>
      </c>
      <c r="K116" s="55">
        <f t="shared" si="35"/>
        <v>0.99578326973173548</v>
      </c>
      <c r="L116" s="55">
        <f t="shared" si="36"/>
        <v>5.0695794334955336E-4</v>
      </c>
      <c r="M116" s="55">
        <f t="shared" si="42"/>
        <v>0.99949304205665046</v>
      </c>
      <c r="N116" s="55">
        <f t="shared" si="37"/>
        <v>3.3738000118963162E-6</v>
      </c>
      <c r="O116" s="56">
        <f t="shared" si="43"/>
        <v>1.0015008005782279E-6</v>
      </c>
      <c r="P116" s="56">
        <f t="shared" si="38"/>
        <v>9.5343542288611897E-7</v>
      </c>
      <c r="Q116" s="56">
        <f t="shared" si="39"/>
        <v>2.2341912484794583E-7</v>
      </c>
      <c r="R116" s="9">
        <f t="shared" si="44"/>
        <v>3.9999999999999996E-5</v>
      </c>
      <c r="S116" s="9">
        <f t="shared" si="45"/>
        <v>2.0278317733982133E-8</v>
      </c>
      <c r="T116" s="9">
        <f t="shared" si="40"/>
        <v>3.9831330789269415E-5</v>
      </c>
      <c r="U116" s="9">
        <f t="shared" si="41"/>
        <v>3.9979721682266015E-5</v>
      </c>
      <c r="V116" s="100">
        <f t="shared" si="46"/>
        <v>0.99628834602261818</v>
      </c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6" t="s">
        <v>227</v>
      </c>
      <c r="C117" s="46" t="s">
        <v>228</v>
      </c>
      <c r="D117" s="47">
        <v>1.8253520000000001</v>
      </c>
      <c r="E117" s="47">
        <v>2.0793489999999997</v>
      </c>
      <c r="F117" s="96">
        <v>9.9999999999999995E-7</v>
      </c>
      <c r="G117" s="7"/>
      <c r="H117" s="7"/>
      <c r="I117" s="54">
        <f t="shared" si="33"/>
        <v>0.13401854480859055</v>
      </c>
      <c r="J117" s="54">
        <f t="shared" si="34"/>
        <v>1.0545652216525729</v>
      </c>
      <c r="K117" s="55">
        <f t="shared" si="35"/>
        <v>0.7274548549195855</v>
      </c>
      <c r="L117" s="55">
        <f t="shared" si="36"/>
        <v>4.4110135592579387E-3</v>
      </c>
      <c r="M117" s="55">
        <f t="shared" si="42"/>
        <v>0.99558898644074201</v>
      </c>
      <c r="N117" s="55">
        <f t="shared" si="37"/>
        <v>1.3262961568052242E-3</v>
      </c>
      <c r="O117" s="56">
        <f t="shared" si="43"/>
        <v>7.3163171317665779E-7</v>
      </c>
      <c r="P117" s="56">
        <f t="shared" si="38"/>
        <v>8.295789884344858E-6</v>
      </c>
      <c r="Q117" s="56">
        <f t="shared" si="39"/>
        <v>8.7829724820015099E-5</v>
      </c>
      <c r="R117" s="9">
        <f t="shared" si="44"/>
        <v>3.9999999999999996E-5</v>
      </c>
      <c r="S117" s="9">
        <f t="shared" si="45"/>
        <v>1.7644054237031753E-7</v>
      </c>
      <c r="T117" s="9">
        <f t="shared" si="40"/>
        <v>2.9098194196783418E-5</v>
      </c>
      <c r="U117" s="9">
        <f t="shared" si="41"/>
        <v>3.9823559457629679E-5</v>
      </c>
      <c r="V117" s="100">
        <f t="shared" si="46"/>
        <v>0.73067788497767194</v>
      </c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6" t="s">
        <v>229</v>
      </c>
      <c r="C118" s="46" t="s">
        <v>230</v>
      </c>
      <c r="D118" s="47">
        <v>2.848199987724402</v>
      </c>
      <c r="E118" s="47">
        <v>3.5741999825375301</v>
      </c>
      <c r="F118" s="96">
        <v>9.9999999999999995E-7</v>
      </c>
      <c r="G118" s="7"/>
      <c r="H118" s="7"/>
      <c r="I118" s="54">
        <f t="shared" si="33"/>
        <v>0.76376170277705713</v>
      </c>
      <c r="J118" s="54">
        <f t="shared" si="34"/>
        <v>2.2597306068384477</v>
      </c>
      <c r="K118" s="55">
        <f t="shared" si="35"/>
        <v>0.16857908771988622</v>
      </c>
      <c r="L118" s="55">
        <f t="shared" si="36"/>
        <v>1.6394622858338377E-2</v>
      </c>
      <c r="M118" s="55">
        <f t="shared" si="42"/>
        <v>0.98360537714166163</v>
      </c>
      <c r="N118" s="55">
        <f t="shared" si="37"/>
        <v>9.6048181427877619E-3</v>
      </c>
      <c r="O118" s="56">
        <f t="shared" si="43"/>
        <v>1.6954702538605296E-7</v>
      </c>
      <c r="P118" s="56">
        <f t="shared" si="38"/>
        <v>3.0833354882892876E-5</v>
      </c>
      <c r="Q118" s="56">
        <f t="shared" si="39"/>
        <v>6.3604838941806914E-4</v>
      </c>
      <c r="R118" s="9">
        <f t="shared" si="44"/>
        <v>3.9999999999999996E-5</v>
      </c>
      <c r="S118" s="9">
        <f t="shared" si="45"/>
        <v>6.5578491433353505E-7</v>
      </c>
      <c r="T118" s="9">
        <f t="shared" si="40"/>
        <v>6.7431635087954481E-6</v>
      </c>
      <c r="U118" s="9">
        <f t="shared" si="41"/>
        <v>3.9344215085666462E-5</v>
      </c>
      <c r="V118" s="100">
        <f t="shared" si="46"/>
        <v>0.17138894483250369</v>
      </c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6" t="s">
        <v>231</v>
      </c>
      <c r="C119" s="46" t="s">
        <v>232</v>
      </c>
      <c r="D119" s="47">
        <v>-0.98996462433878363</v>
      </c>
      <c r="E119" s="47">
        <v>-1.885724324763622</v>
      </c>
      <c r="F119" s="96">
        <v>9.9999999999999995E-7</v>
      </c>
      <c r="G119" s="7"/>
      <c r="H119" s="7"/>
      <c r="I119" s="54">
        <f t="shared" si="33"/>
        <v>-2.0389427152517209E-3</v>
      </c>
      <c r="J119" s="54">
        <f t="shared" si="34"/>
        <v>-5.6913092577569033E-2</v>
      </c>
      <c r="K119" s="55">
        <f t="shared" si="35"/>
        <v>0.99903310017151969</v>
      </c>
      <c r="L119" s="55">
        <f t="shared" si="36"/>
        <v>4.6863412461777205E-4</v>
      </c>
      <c r="M119" s="55">
        <f t="shared" si="42"/>
        <v>0.99953136587538227</v>
      </c>
      <c r="N119" s="55">
        <f t="shared" si="37"/>
        <v>1.9739721331323875E-7</v>
      </c>
      <c r="O119" s="56">
        <f t="shared" si="43"/>
        <v>1.0047692907066714E-6</v>
      </c>
      <c r="P119" s="56">
        <f t="shared" si="38"/>
        <v>8.8135984581215919E-7</v>
      </c>
      <c r="Q119" s="56">
        <f t="shared" si="39"/>
        <v>1.3071999671100375E-8</v>
      </c>
      <c r="R119" s="9">
        <f t="shared" si="44"/>
        <v>3.9999999999999996E-5</v>
      </c>
      <c r="S119" s="9">
        <f t="shared" si="45"/>
        <v>1.8745364984710881E-8</v>
      </c>
      <c r="T119" s="9">
        <f t="shared" si="40"/>
        <v>3.9961324006860783E-5</v>
      </c>
      <c r="U119" s="9">
        <f t="shared" si="41"/>
        <v>3.9981254635015285E-5</v>
      </c>
      <c r="V119" s="100">
        <f t="shared" si="46"/>
        <v>0.99950150068234611</v>
      </c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6" t="s">
        <v>233</v>
      </c>
      <c r="C120" s="46" t="s">
        <v>234</v>
      </c>
      <c r="D120" s="47">
        <v>-7.2373500000194575</v>
      </c>
      <c r="E120" s="47">
        <v>-10.772850000027681</v>
      </c>
      <c r="F120" s="96">
        <v>9.9999999999999995E-7</v>
      </c>
      <c r="G120" s="7"/>
      <c r="H120" s="7"/>
      <c r="I120" s="54">
        <f t="shared" si="33"/>
        <v>-2.255492076189E-3</v>
      </c>
      <c r="J120" s="54">
        <f t="shared" si="34"/>
        <v>-6.2482104916355273E-2</v>
      </c>
      <c r="K120" s="55">
        <f t="shared" si="35"/>
        <v>0.99953710317554034</v>
      </c>
      <c r="L120" s="55">
        <f t="shared" si="36"/>
        <v>4.6289654523383168E-4</v>
      </c>
      <c r="M120" s="55">
        <f t="shared" si="42"/>
        <v>0.99953710345476621</v>
      </c>
      <c r="N120" s="55">
        <f t="shared" si="37"/>
        <v>2.5611462829714581E-16</v>
      </c>
      <c r="O120" s="56">
        <f t="shared" si="43"/>
        <v>1.0052761875660216E-6</v>
      </c>
      <c r="P120" s="56">
        <f t="shared" si="38"/>
        <v>8.7056918457875188E-7</v>
      </c>
      <c r="Q120" s="56">
        <f t="shared" si="39"/>
        <v>1.6960372847572266E-17</v>
      </c>
      <c r="R120" s="9">
        <f t="shared" si="44"/>
        <v>3.9999999999999996E-5</v>
      </c>
      <c r="S120" s="9">
        <f t="shared" si="45"/>
        <v>1.8515861809353266E-8</v>
      </c>
      <c r="T120" s="9">
        <f t="shared" si="40"/>
        <v>3.9981484127021609E-5</v>
      </c>
      <c r="U120" s="9">
        <f t="shared" si="41"/>
        <v>3.9981484138190647E-5</v>
      </c>
      <c r="V120" s="100">
        <f t="shared" si="46"/>
        <v>0.99999999972064479</v>
      </c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6" t="s">
        <v>235</v>
      </c>
      <c r="C121" s="46" t="s">
        <v>236</v>
      </c>
      <c r="D121" s="47">
        <v>0.89837073464087869</v>
      </c>
      <c r="E121" s="47">
        <v>0.80049921406660218</v>
      </c>
      <c r="F121" s="96">
        <v>9.9999999999999995E-7</v>
      </c>
      <c r="G121" s="7"/>
      <c r="H121" s="7"/>
      <c r="I121" s="54">
        <f t="shared" si="33"/>
        <v>1.502652106892244E-2</v>
      </c>
      <c r="J121" s="54">
        <f t="shared" si="34"/>
        <v>0.27440442083106092</v>
      </c>
      <c r="K121" s="55">
        <f t="shared" si="35"/>
        <v>0.96005996367606627</v>
      </c>
      <c r="L121" s="55">
        <f t="shared" si="36"/>
        <v>9.6576153600625542E-4</v>
      </c>
      <c r="M121" s="55">
        <f t="shared" si="42"/>
        <v>0.99903423846399375</v>
      </c>
      <c r="N121" s="55">
        <f t="shared" si="37"/>
        <v>9.2104964133277688E-5</v>
      </c>
      <c r="O121" s="56">
        <f t="shared" si="43"/>
        <v>9.655723805077722E-7</v>
      </c>
      <c r="P121" s="56">
        <f t="shared" si="38"/>
        <v>1.8163069946304719E-6</v>
      </c>
      <c r="Q121" s="56">
        <f t="shared" si="39"/>
        <v>6.0993569293522034E-6</v>
      </c>
      <c r="R121" s="9">
        <f t="shared" si="44"/>
        <v>3.9999999999999996E-5</v>
      </c>
      <c r="S121" s="9">
        <f t="shared" si="45"/>
        <v>3.8630461440250212E-8</v>
      </c>
      <c r="T121" s="9">
        <f t="shared" si="40"/>
        <v>3.8402398547042647E-5</v>
      </c>
      <c r="U121" s="9">
        <f t="shared" si="41"/>
        <v>3.9961369538559745E-5</v>
      </c>
      <c r="V121" s="100">
        <f t="shared" si="46"/>
        <v>0.96098804897032353</v>
      </c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6" t="s">
        <v>237</v>
      </c>
      <c r="C122" s="46" t="s">
        <v>238</v>
      </c>
      <c r="D122" s="47">
        <v>5.1201999877244022</v>
      </c>
      <c r="E122" s="47">
        <v>6.8061999825375299</v>
      </c>
      <c r="F122" s="96">
        <v>9.9999999999999995E-7</v>
      </c>
      <c r="G122" s="7"/>
      <c r="H122" s="7"/>
      <c r="I122" s="54">
        <f t="shared" si="33"/>
        <v>3.4865950332654698</v>
      </c>
      <c r="J122" s="54">
        <f t="shared" si="34"/>
        <v>5.2915829322411865</v>
      </c>
      <c r="K122" s="55">
        <f t="shared" si="35"/>
        <v>3.1379641299651652E-4</v>
      </c>
      <c r="L122" s="55">
        <f t="shared" si="36"/>
        <v>3.2839613081972793E-2</v>
      </c>
      <c r="M122" s="55">
        <f t="shared" si="42"/>
        <v>0.96716038691802719</v>
      </c>
      <c r="N122" s="55">
        <f t="shared" si="37"/>
        <v>3.0502358557988461E-2</v>
      </c>
      <c r="O122" s="56">
        <f t="shared" si="43"/>
        <v>3.1559815111098551E-10</v>
      </c>
      <c r="P122" s="56">
        <f t="shared" si="38"/>
        <v>6.1761435631827886E-5</v>
      </c>
      <c r="Q122" s="56">
        <f t="shared" si="39"/>
        <v>2.0199212255600251E-3</v>
      </c>
      <c r="R122" s="9">
        <f t="shared" si="44"/>
        <v>3.9999999999999996E-5</v>
      </c>
      <c r="S122" s="9">
        <f t="shared" si="45"/>
        <v>1.3135845232789115E-6</v>
      </c>
      <c r="T122" s="9">
        <f t="shared" si="40"/>
        <v>1.2551856519860659E-8</v>
      </c>
      <c r="U122" s="9">
        <f t="shared" si="41"/>
        <v>3.8686415476721083E-5</v>
      </c>
      <c r="V122" s="100">
        <f t="shared" si="46"/>
        <v>3.2445126707108683E-4</v>
      </c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6" t="s">
        <v>239</v>
      </c>
      <c r="C123" s="46" t="s">
        <v>240</v>
      </c>
      <c r="D123" s="47">
        <v>1.6430320000000003</v>
      </c>
      <c r="E123" s="47">
        <v>1.9699289999999996</v>
      </c>
      <c r="F123" s="96">
        <v>9.9999999999999995E-7</v>
      </c>
      <c r="G123" s="7"/>
      <c r="H123" s="7"/>
      <c r="I123" s="54">
        <f t="shared" ref="I123:I127" si="47">IF(D123=0,"",LOG($K$15*10^D123+$K$16*10^E123+$K$14))</f>
        <v>9.3867444440884892E-2</v>
      </c>
      <c r="J123" s="54">
        <f t="shared" ref="J123:J127" si="48">IF(D123=0,"",LOG($K$21*10^D123+$K$22*10^E123+$K$20))</f>
        <v>0.91157893214616048</v>
      </c>
      <c r="K123" s="55">
        <f t="shared" ref="K123:K127" si="49">IF(D123=0,"",1/(1+10^D123*$J$15/$J$14+10^E123*$J$16/$J$14+10^J123*$J$19/$J$14))</f>
        <v>0.79865871957315127</v>
      </c>
      <c r="L123" s="55">
        <f t="shared" ref="L123:L127" si="50">IF(D123=0,"",1/(1+10^I123/10^J123*$J$13/$J$19))</f>
        <v>3.4842338379437541E-3</v>
      </c>
      <c r="M123" s="55">
        <f t="shared" si="42"/>
        <v>0.99651576616205628</v>
      </c>
      <c r="N123" s="55">
        <f t="shared" ref="N123:N127" si="51">IF(D123=0,"",1/(1/10^E123*$J$20/$J$22+10^D123/10^E123*$J$21/$J$22+10^I123/10^E123*$J$13/$J$22+1))</f>
        <v>1.1318156690542376E-3</v>
      </c>
      <c r="O123" s="56">
        <f t="shared" si="43"/>
        <v>8.0324441206646842E-7</v>
      </c>
      <c r="P123" s="56">
        <f t="shared" ref="P123:P127" si="52">IF(D123=0,"",O123*10^J123)</f>
        <v>6.5527959592961299E-6</v>
      </c>
      <c r="Q123" s="56">
        <f t="shared" ref="Q123:Q127" si="53">IF(D123=0,"",F123*N123*$J$7/$J$22)</f>
        <v>7.495087597891124E-5</v>
      </c>
      <c r="R123" s="9">
        <f t="shared" si="44"/>
        <v>3.9999999999999996E-5</v>
      </c>
      <c r="S123" s="9">
        <f t="shared" si="45"/>
        <v>1.3936935351775015E-7</v>
      </c>
      <c r="T123" s="9">
        <f t="shared" si="40"/>
        <v>3.1946348782926045E-5</v>
      </c>
      <c r="U123" s="9">
        <f t="shared" si="41"/>
        <v>3.9860630646482248E-5</v>
      </c>
      <c r="V123" s="100">
        <f t="shared" si="46"/>
        <v>0.8014511628341574</v>
      </c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6" t="s">
        <v>241</v>
      </c>
      <c r="C124" s="46" t="s">
        <v>242</v>
      </c>
      <c r="D124" s="47">
        <v>1.9888079999999992</v>
      </c>
      <c r="E124" s="47">
        <v>1.7269960000000002</v>
      </c>
      <c r="F124" s="96">
        <v>9.9999999999999995E-7</v>
      </c>
      <c r="G124" s="7"/>
      <c r="H124" s="7"/>
      <c r="I124" s="54">
        <f t="shared" si="47"/>
        <v>0.17110445915344102</v>
      </c>
      <c r="J124" s="54">
        <f t="shared" si="48"/>
        <v>1.1028450599696213</v>
      </c>
      <c r="K124" s="55">
        <f t="shared" si="49"/>
        <v>0.66783644685652832</v>
      </c>
      <c r="L124" s="55">
        <f t="shared" si="50"/>
        <v>4.5256639360167113E-3</v>
      </c>
      <c r="M124" s="55">
        <f t="shared" si="42"/>
        <v>0.99547433606398328</v>
      </c>
      <c r="N124" s="55">
        <f t="shared" si="51"/>
        <v>5.4094309476644231E-4</v>
      </c>
      <c r="O124" s="56">
        <f t="shared" si="43"/>
        <v>6.7167099158265403E-7</v>
      </c>
      <c r="P124" s="56">
        <f t="shared" si="52"/>
        <v>8.5114127617117901E-6</v>
      </c>
      <c r="Q124" s="56">
        <f t="shared" si="53"/>
        <v>3.5822227873349168E-5</v>
      </c>
      <c r="R124" s="9">
        <f t="shared" si="44"/>
        <v>3.9999999999999996E-5</v>
      </c>
      <c r="S124" s="9">
        <f t="shared" si="45"/>
        <v>1.8102655744066845E-7</v>
      </c>
      <c r="T124" s="9">
        <f t="shared" si="40"/>
        <v>2.671345787426113E-5</v>
      </c>
      <c r="U124" s="9">
        <f t="shared" si="41"/>
        <v>3.9818973442559325E-5</v>
      </c>
      <c r="V124" s="100">
        <f t="shared" si="46"/>
        <v>0.67087259074613015</v>
      </c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6" t="s">
        <v>243</v>
      </c>
      <c r="C125" s="46" t="s">
        <v>244</v>
      </c>
      <c r="D125" s="47">
        <v>0.57692000000000121</v>
      </c>
      <c r="E125" s="47">
        <v>0.1355349999999973</v>
      </c>
      <c r="F125" s="96">
        <v>9.9999999999999995E-7</v>
      </c>
      <c r="G125" s="7"/>
      <c r="H125" s="7"/>
      <c r="I125" s="54">
        <f t="shared" si="47"/>
        <v>5.8063156695311677E-3</v>
      </c>
      <c r="J125" s="54">
        <f t="shared" si="48"/>
        <v>0.11509261890443816</v>
      </c>
      <c r="K125" s="55">
        <f t="shared" si="49"/>
        <v>0.98093705257737318</v>
      </c>
      <c r="L125" s="55">
        <f t="shared" si="50"/>
        <v>6.8375557864087532E-4</v>
      </c>
      <c r="M125" s="55">
        <f t="shared" si="42"/>
        <v>0.99931624442135913</v>
      </c>
      <c r="N125" s="55">
        <f t="shared" si="51"/>
        <v>2.0354554613020137E-5</v>
      </c>
      <c r="O125" s="56">
        <f t="shared" si="43"/>
        <v>9.8656934027195302E-7</v>
      </c>
      <c r="P125" s="56">
        <f t="shared" si="52"/>
        <v>1.2859386026479553E-6</v>
      </c>
      <c r="Q125" s="56">
        <f t="shared" si="53"/>
        <v>1.347915336497555E-6</v>
      </c>
      <c r="R125" s="9">
        <f t="shared" si="44"/>
        <v>3.9999999999999996E-5</v>
      </c>
      <c r="S125" s="9">
        <f t="shared" si="45"/>
        <v>2.7350223145635012E-8</v>
      </c>
      <c r="T125" s="9">
        <f t="shared" si="40"/>
        <v>3.9237482103094924E-5</v>
      </c>
      <c r="U125" s="9">
        <f t="shared" si="41"/>
        <v>3.9972649776854362E-5</v>
      </c>
      <c r="V125" s="100">
        <f t="shared" si="46"/>
        <v>0.98160823268250963</v>
      </c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6" t="s">
        <v>245</v>
      </c>
      <c r="C126" s="46" t="s">
        <v>246</v>
      </c>
      <c r="D126" s="47">
        <v>4.3320999877244022</v>
      </c>
      <c r="E126" s="47">
        <v>5.6850999825375297</v>
      </c>
      <c r="F126" s="96">
        <v>9.9999999999999995E-7</v>
      </c>
      <c r="G126" s="7"/>
      <c r="H126" s="7"/>
      <c r="I126" s="54">
        <f t="shared" si="47"/>
        <v>2.4596069923312118</v>
      </c>
      <c r="J126" s="54">
        <f t="shared" si="48"/>
        <v>4.2047481272996343</v>
      </c>
      <c r="K126" s="55">
        <f t="shared" si="49"/>
        <v>3.3533265628228589E-3</v>
      </c>
      <c r="L126" s="55">
        <f t="shared" si="50"/>
        <v>2.8733670083206379E-2</v>
      </c>
      <c r="M126" s="55">
        <f t="shared" si="42"/>
        <v>0.97126632991679362</v>
      </c>
      <c r="N126" s="55">
        <f t="shared" si="51"/>
        <v>2.4663874179984779E-2</v>
      </c>
      <c r="O126" s="56">
        <f t="shared" si="43"/>
        <v>3.3725804995419067E-9</v>
      </c>
      <c r="P126" s="56">
        <f t="shared" si="52"/>
        <v>5.403939172122302E-5</v>
      </c>
      <c r="Q126" s="56">
        <f t="shared" si="53"/>
        <v>1.6332862544377136E-3</v>
      </c>
      <c r="R126" s="9">
        <f t="shared" si="44"/>
        <v>3.9999999999999996E-5</v>
      </c>
      <c r="S126" s="9">
        <f t="shared" si="45"/>
        <v>1.1493468033282551E-6</v>
      </c>
      <c r="T126" s="9">
        <f t="shared" si="40"/>
        <v>1.3413306251291433E-7</v>
      </c>
      <c r="U126" s="9">
        <f t="shared" si="41"/>
        <v>3.8850653196671742E-5</v>
      </c>
      <c r="V126" s="100">
        <f t="shared" si="46"/>
        <v>3.4525304332439191E-3</v>
      </c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6" t="s">
        <v>247</v>
      </c>
      <c r="C127" s="46" t="s">
        <v>248</v>
      </c>
      <c r="D127" s="47">
        <v>2.713299987724402</v>
      </c>
      <c r="E127" s="47">
        <v>3.3822999825375302</v>
      </c>
      <c r="F127" s="96">
        <v>9.9999999999999995E-7</v>
      </c>
      <c r="G127" s="7"/>
      <c r="H127" s="7"/>
      <c r="I127" s="54">
        <f t="shared" si="47"/>
        <v>0.64263545610035988</v>
      </c>
      <c r="J127" s="54">
        <f t="shared" si="48"/>
        <v>2.0931619269228987</v>
      </c>
      <c r="K127" s="55">
        <f t="shared" si="49"/>
        <v>0.22317106280134036</v>
      </c>
      <c r="L127" s="55">
        <f t="shared" si="50"/>
        <v>1.4789957740241947E-2</v>
      </c>
      <c r="M127" s="55">
        <f t="shared" si="42"/>
        <v>0.98521004225975806</v>
      </c>
      <c r="N127" s="55">
        <f t="shared" si="51"/>
        <v>8.1737872344602638E-3</v>
      </c>
      <c r="O127" s="56">
        <f t="shared" si="43"/>
        <v>2.2445245351596335E-7</v>
      </c>
      <c r="P127" s="56">
        <f t="shared" si="52"/>
        <v>2.7815462401804052E-5</v>
      </c>
      <c r="Q127" s="56">
        <f t="shared" si="53"/>
        <v>5.4128294035720869E-4</v>
      </c>
      <c r="R127" s="9">
        <f t="shared" si="44"/>
        <v>3.9999999999999996E-5</v>
      </c>
      <c r="S127" s="9">
        <f t="shared" si="45"/>
        <v>5.9159830960967778E-7</v>
      </c>
      <c r="T127" s="9">
        <f t="shared" si="40"/>
        <v>8.9268425120536128E-6</v>
      </c>
      <c r="U127" s="9">
        <f t="shared" si="41"/>
        <v>3.9408401690390321E-5</v>
      </c>
      <c r="V127" s="100">
        <f t="shared" si="46"/>
        <v>0.22652130330447812</v>
      </c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46" t="s">
        <v>249</v>
      </c>
      <c r="C128" s="46" t="s">
        <v>250</v>
      </c>
      <c r="D128" s="47">
        <v>3.598704000000001</v>
      </c>
      <c r="E128" s="47">
        <v>4.3131730000000008</v>
      </c>
      <c r="F128" s="96">
        <v>9.9999999999999995E-7</v>
      </c>
      <c r="G128" s="7"/>
      <c r="H128" s="7"/>
      <c r="I128" s="54">
        <f t="shared" ref="I128:I134" si="54">IF(D128=0,"",LOG($K$15*10^D128+$K$16*10^E128+$K$14))</f>
        <v>1.4450204174697026</v>
      </c>
      <c r="J128" s="54">
        <f t="shared" ref="J128:J134" si="55">IF(D128=0,"",LOG($K$21*10^D128+$K$22*10^E128+$K$20))</f>
        <v>3.0017856440507846</v>
      </c>
      <c r="K128" s="55">
        <f t="shared" ref="K128:K134" si="56">IF(D128=0,"",1/(1+10^D128*$J$15/$J$14+10^E128*$J$16/$J$14+10^J128*$J$19/$J$14))</f>
        <v>3.5032927402854665E-2</v>
      </c>
      <c r="L128" s="55">
        <f t="shared" ref="L128:L134" si="57">IF(D128=0,"",1/(1+10^I128/10^J128*$J$13/$J$19))</f>
        <v>1.8811749962528004E-2</v>
      </c>
      <c r="M128" s="55">
        <f t="shared" ref="M128:M134" si="58">IF(D128=0,"",1-L128)</f>
        <v>0.98118825003747201</v>
      </c>
      <c r="N128" s="55">
        <f t="shared" ref="N128:N134" si="59">IF(D128=0,"",1/(1/10^E128*$J$20/$J$22+10^D128/10^E128*$J$21/$J$22+10^I128/10^E128*$J$13/$J$22+1))</f>
        <v>1.0942962064088683E-2</v>
      </c>
      <c r="O128" s="56">
        <f t="shared" ref="O128:O134" si="60">IF(D128=0,"",F128*K128*$J$7/$J$14)</f>
        <v>3.5234077441379318E-8</v>
      </c>
      <c r="P128" s="56">
        <f t="shared" ref="P128:P134" si="61">IF(D128=0,"",O128*10^J128)</f>
        <v>3.5379244010353516E-5</v>
      </c>
      <c r="Q128" s="56">
        <f t="shared" ref="Q128:Q134" si="62">IF(D128=0,"",F128*N128*$J$7/$J$22)</f>
        <v>7.2466269458241388E-4</v>
      </c>
      <c r="R128" s="9">
        <f t="shared" si="44"/>
        <v>3.9999999999999996E-5</v>
      </c>
      <c r="S128" s="9">
        <f t="shared" si="45"/>
        <v>7.5246999850112016E-7</v>
      </c>
      <c r="T128" s="9">
        <f t="shared" si="40"/>
        <v>1.4013170961141864E-6</v>
      </c>
      <c r="U128" s="9">
        <f t="shared" si="41"/>
        <v>3.9247530001498878E-5</v>
      </c>
      <c r="V128" s="100">
        <f t="shared" si="46"/>
        <v>3.5704593284231381E-2</v>
      </c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6" t="s">
        <v>251</v>
      </c>
      <c r="C129" s="46" t="s">
        <v>252</v>
      </c>
      <c r="D129" s="47">
        <v>-1.2627122753537208</v>
      </c>
      <c r="E129" s="47">
        <v>-2.2737174621228986</v>
      </c>
      <c r="F129" s="96">
        <v>9.9999999999999995E-7</v>
      </c>
      <c r="G129" s="7"/>
      <c r="H129" s="7"/>
      <c r="I129" s="54">
        <f t="shared" si="54"/>
        <v>-2.1401866039787642E-3</v>
      </c>
      <c r="J129" s="54">
        <f t="shared" si="55"/>
        <v>-5.9524237288221454E-2</v>
      </c>
      <c r="K129" s="55">
        <f t="shared" si="56"/>
        <v>0.99926872315572157</v>
      </c>
      <c r="L129" s="55">
        <f t="shared" si="57"/>
        <v>4.6593483544367473E-4</v>
      </c>
      <c r="M129" s="55">
        <f t="shared" si="58"/>
        <v>0.99953406516455634</v>
      </c>
      <c r="N129" s="55">
        <f t="shared" si="59"/>
        <v>8.0807244317115003E-8</v>
      </c>
      <c r="O129" s="56">
        <f t="shared" si="60"/>
        <v>1.0050062665773107E-6</v>
      </c>
      <c r="P129" s="56">
        <f t="shared" si="61"/>
        <v>8.7628329469197482E-7</v>
      </c>
      <c r="Q129" s="56">
        <f t="shared" si="62"/>
        <v>5.3512015362630835E-9</v>
      </c>
      <c r="R129" s="9">
        <f t="shared" si="44"/>
        <v>3.9999999999999996E-5</v>
      </c>
      <c r="S129" s="9">
        <f t="shared" si="45"/>
        <v>1.8637393417746988E-8</v>
      </c>
      <c r="T129" s="9">
        <f t="shared" si="40"/>
        <v>3.9970748926228859E-5</v>
      </c>
      <c r="U129" s="9">
        <f t="shared" si="41"/>
        <v>3.9981362606582248E-5</v>
      </c>
      <c r="V129" s="100">
        <f t="shared" si="46"/>
        <v>0.99973453430144865</v>
      </c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6" t="s">
        <v>253</v>
      </c>
      <c r="C130" s="46" t="s">
        <v>254</v>
      </c>
      <c r="D130" s="47">
        <v>2.1582748772295566</v>
      </c>
      <c r="E130" s="47">
        <v>2.5927572197209185</v>
      </c>
      <c r="F130" s="96">
        <v>9.9999999999999995E-7</v>
      </c>
      <c r="G130" s="7"/>
      <c r="H130" s="7"/>
      <c r="I130" s="54">
        <f t="shared" si="54"/>
        <v>0.26355542441139918</v>
      </c>
      <c r="J130" s="54">
        <f t="shared" si="55"/>
        <v>1.4343865933843176</v>
      </c>
      <c r="K130" s="55">
        <f t="shared" si="56"/>
        <v>0.53799539996988865</v>
      </c>
      <c r="L130" s="55">
        <f t="shared" si="57"/>
        <v>7.8222605954913465E-3</v>
      </c>
      <c r="M130" s="55">
        <f t="shared" si="58"/>
        <v>0.99217773940450871</v>
      </c>
      <c r="N130" s="55">
        <f t="shared" si="59"/>
        <v>3.1990516101130977E-3</v>
      </c>
      <c r="O130" s="56">
        <f t="shared" si="60"/>
        <v>5.4108443087460297E-7</v>
      </c>
      <c r="P130" s="56">
        <f t="shared" si="61"/>
        <v>1.4711319620541632E-5</v>
      </c>
      <c r="Q130" s="56">
        <f t="shared" si="62"/>
        <v>2.1184697034639928E-4</v>
      </c>
      <c r="R130" s="9">
        <f t="shared" si="44"/>
        <v>3.9999999999999996E-5</v>
      </c>
      <c r="S130" s="9">
        <f t="shared" si="45"/>
        <v>3.1289042381965382E-7</v>
      </c>
      <c r="T130" s="9">
        <f t="shared" si="40"/>
        <v>2.1519815998795544E-5</v>
      </c>
      <c r="U130" s="9">
        <f t="shared" si="41"/>
        <v>3.9687109576180345E-5</v>
      </c>
      <c r="V130" s="100">
        <f t="shared" si="46"/>
        <v>0.5422369184505047</v>
      </c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6" t="s">
        <v>255</v>
      </c>
      <c r="C131" s="46" t="s">
        <v>256</v>
      </c>
      <c r="D131" s="47">
        <v>0.51229998772440222</v>
      </c>
      <c r="E131" s="47">
        <v>0.25129998253752994</v>
      </c>
      <c r="F131" s="96">
        <v>9.9999999999999995E-7</v>
      </c>
      <c r="G131" s="7"/>
      <c r="H131" s="7"/>
      <c r="I131" s="54">
        <f t="shared" si="54"/>
        <v>4.79958444939446E-3</v>
      </c>
      <c r="J131" s="54">
        <f t="shared" si="55"/>
        <v>0.100433937104572</v>
      </c>
      <c r="K131" s="55">
        <f t="shared" si="56"/>
        <v>0.98323438957780274</v>
      </c>
      <c r="L131" s="55">
        <f t="shared" si="57"/>
        <v>6.6261020706557389E-4</v>
      </c>
      <c r="M131" s="55">
        <f t="shared" si="58"/>
        <v>0.99933738979293441</v>
      </c>
      <c r="N131" s="55">
        <f t="shared" si="59"/>
        <v>2.663437481416532E-5</v>
      </c>
      <c r="O131" s="56">
        <f t="shared" si="60"/>
        <v>9.8887986798924225E-7</v>
      </c>
      <c r="P131" s="56">
        <f t="shared" si="61"/>
        <v>1.2461705182250613E-6</v>
      </c>
      <c r="Q131" s="56">
        <f t="shared" si="62"/>
        <v>1.763776362223767E-6</v>
      </c>
      <c r="R131" s="9">
        <f t="shared" si="44"/>
        <v>3.9999999999999996E-5</v>
      </c>
      <c r="S131" s="9">
        <f t="shared" si="45"/>
        <v>2.6504408282622953E-8</v>
      </c>
      <c r="T131" s="9">
        <f t="shared" si="40"/>
        <v>3.9329375583112106E-5</v>
      </c>
      <c r="U131" s="9">
        <f t="shared" si="41"/>
        <v>3.9973495591717375E-5</v>
      </c>
      <c r="V131" s="100">
        <f t="shared" si="46"/>
        <v>0.98388632269781451</v>
      </c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6" t="s">
        <v>257</v>
      </c>
      <c r="C132" s="46" t="s">
        <v>258</v>
      </c>
      <c r="D132" s="47">
        <v>0.92271245461153151</v>
      </c>
      <c r="E132" s="47">
        <v>0.83512616782767168</v>
      </c>
      <c r="F132" s="96">
        <v>9.9999999999999995E-7</v>
      </c>
      <c r="G132" s="7"/>
      <c r="H132" s="7"/>
      <c r="I132" s="54">
        <f t="shared" si="54"/>
        <v>1.6027626042906213E-2</v>
      </c>
      <c r="J132" s="54">
        <f t="shared" si="55"/>
        <v>0.28872594496696707</v>
      </c>
      <c r="K132" s="55">
        <f t="shared" si="56"/>
        <v>0.95782063854065891</v>
      </c>
      <c r="L132" s="55">
        <f t="shared" si="57"/>
        <v>9.9581178161954349E-4</v>
      </c>
      <c r="M132" s="55">
        <f t="shared" si="58"/>
        <v>0.99900418821838044</v>
      </c>
      <c r="N132" s="55">
        <f t="shared" si="59"/>
        <v>9.9516667191811863E-5</v>
      </c>
      <c r="O132" s="56">
        <f t="shared" si="60"/>
        <v>9.6332019774467987E-7</v>
      </c>
      <c r="P132" s="56">
        <f t="shared" si="61"/>
        <v>1.872822468961212E-6</v>
      </c>
      <c r="Q132" s="56">
        <f t="shared" si="62"/>
        <v>6.5901732803900956E-6</v>
      </c>
      <c r="R132" s="9">
        <f t="shared" si="44"/>
        <v>3.9999999999999996E-5</v>
      </c>
      <c r="S132" s="9">
        <f t="shared" si="45"/>
        <v>3.9832471264781735E-8</v>
      </c>
      <c r="T132" s="9">
        <f t="shared" si="40"/>
        <v>3.8312825541626353E-5</v>
      </c>
      <c r="U132" s="9">
        <f t="shared" si="41"/>
        <v>3.9960167528735212E-5</v>
      </c>
      <c r="V132" s="100">
        <f t="shared" si="46"/>
        <v>0.95877539837829096</v>
      </c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6" t="s">
        <v>259</v>
      </c>
      <c r="C133" s="46" t="s">
        <v>260</v>
      </c>
      <c r="D133" s="47">
        <v>2.8951366557581992</v>
      </c>
      <c r="E133" s="47">
        <v>3.6409690455151855</v>
      </c>
      <c r="F133" s="96">
        <v>9.9999999999999995E-7</v>
      </c>
      <c r="G133" s="7"/>
      <c r="H133" s="7"/>
      <c r="I133" s="54">
        <f t="shared" si="54"/>
        <v>0.80804902693102654</v>
      </c>
      <c r="J133" s="54">
        <f t="shared" si="55"/>
        <v>2.3181894309775961</v>
      </c>
      <c r="K133" s="55">
        <f t="shared" si="56"/>
        <v>0.15215291272882192</v>
      </c>
      <c r="L133" s="55">
        <f t="shared" si="57"/>
        <v>1.6929215217991619E-2</v>
      </c>
      <c r="M133" s="55">
        <f t="shared" si="58"/>
        <v>0.98307078478200838</v>
      </c>
      <c r="N133" s="55">
        <f t="shared" si="59"/>
        <v>1.010961881423475E-2</v>
      </c>
      <c r="O133" s="56">
        <f t="shared" si="60"/>
        <v>1.5302653553245173E-7</v>
      </c>
      <c r="P133" s="56">
        <f t="shared" si="61"/>
        <v>3.1838762331743598E-5</v>
      </c>
      <c r="Q133" s="56">
        <f t="shared" si="62"/>
        <v>6.6947720079979349E-4</v>
      </c>
      <c r="R133" s="9">
        <f t="shared" si="44"/>
        <v>3.9999999999999996E-5</v>
      </c>
      <c r="S133" s="9">
        <f t="shared" si="45"/>
        <v>6.7716860871966471E-7</v>
      </c>
      <c r="T133" s="9">
        <f t="shared" si="40"/>
        <v>6.0861165091528764E-6</v>
      </c>
      <c r="U133" s="9">
        <f t="shared" si="41"/>
        <v>3.9322831391280331E-5</v>
      </c>
      <c r="V133" s="100">
        <f t="shared" si="46"/>
        <v>0.15477309984607177</v>
      </c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6" t="s">
        <v>261</v>
      </c>
      <c r="C134" s="46" t="s">
        <v>262</v>
      </c>
      <c r="D134" s="47">
        <v>-1.7616394390778063</v>
      </c>
      <c r="E134" s="47">
        <v>-2.9834589203782875</v>
      </c>
      <c r="F134" s="96">
        <v>9.9999999999999995E-7</v>
      </c>
      <c r="G134" s="7"/>
      <c r="H134" s="7"/>
      <c r="I134" s="54">
        <f t="shared" si="54"/>
        <v>-2.2190435405287081E-3</v>
      </c>
      <c r="J134" s="54">
        <f t="shared" si="55"/>
        <v>-6.1551476034624894E-2</v>
      </c>
      <c r="K134" s="55">
        <f t="shared" si="56"/>
        <v>0.99945226616057969</v>
      </c>
      <c r="L134" s="55">
        <f t="shared" si="57"/>
        <v>4.6385015440836785E-4</v>
      </c>
      <c r="M134" s="55">
        <f t="shared" si="58"/>
        <v>0.99953614984559158</v>
      </c>
      <c r="N134" s="55">
        <f t="shared" si="59"/>
        <v>1.5768435326527868E-8</v>
      </c>
      <c r="O134" s="56">
        <f t="shared" si="60"/>
        <v>1.0051908634387899E-6</v>
      </c>
      <c r="P134" s="56">
        <f t="shared" si="61"/>
        <v>8.7236263663630247E-7</v>
      </c>
      <c r="Q134" s="56">
        <f t="shared" si="62"/>
        <v>1.0442142416420614E-9</v>
      </c>
      <c r="R134" s="9">
        <f t="shared" si="44"/>
        <v>3.9999999999999996E-5</v>
      </c>
      <c r="S134" s="9">
        <f t="shared" si="45"/>
        <v>1.8554006176334711E-8</v>
      </c>
      <c r="T134" s="9">
        <f t="shared" si="40"/>
        <v>3.9978090646423184E-5</v>
      </c>
      <c r="U134" s="9">
        <f t="shared" si="41"/>
        <v>3.9981445993823662E-5</v>
      </c>
      <c r="V134" s="100">
        <f t="shared" si="46"/>
        <v>0.99991607738747135</v>
      </c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6" t="s">
        <v>263</v>
      </c>
      <c r="C135" s="46" t="s">
        <v>264</v>
      </c>
      <c r="D135" s="47">
        <v>1.1365502998865107</v>
      </c>
      <c r="E135" s="47">
        <v>1.1393180322329237</v>
      </c>
      <c r="F135" s="96">
        <v>9.9999999999999995E-7</v>
      </c>
      <c r="G135" s="7"/>
      <c r="H135" s="7"/>
      <c r="I135" s="54">
        <f t="shared" ref="I135:I143" si="63">IF(D135=0,"",LOG($K$15*10^D135+$K$16*10^E135+$K$14))</f>
        <v>2.7672233265732864E-2</v>
      </c>
      <c r="J135" s="54">
        <f t="shared" ref="J135:J143" si="64">IF(D135=0,"",LOG($K$21*10^D135+$K$22*10^E135+$K$20))</f>
        <v>0.43193712596976019</v>
      </c>
      <c r="K135" s="55">
        <f t="shared" ref="K135:K143" si="65">IF(D135=0,"",1/(1+10^D135*$J$15/$J$14+10^E135*$J$16/$J$14+10^J135*$J$19/$J$14))</f>
        <v>0.93215167507047525</v>
      </c>
      <c r="L135" s="55">
        <f t="shared" ref="L135:L143" si="66">IF(D135=0,"",1/(1+10^I135/10^J135*$J$13/$J$19))</f>
        <v>1.3476925723079909E-3</v>
      </c>
      <c r="M135" s="55">
        <f t="shared" ref="M135:M143" si="67">IF(D135=0,"",1-L135)</f>
        <v>0.99865230742769195</v>
      </c>
      <c r="N135" s="55">
        <f t="shared" ref="N135:N143" si="68">IF(D135=0,"",1/(1/10^E135*$J$20/$J$22+10^D135/10^E135*$J$21/$J$22+10^I135/10^E135*$J$13/$J$22+1))</f>
        <v>1.9511474070564464E-4</v>
      </c>
      <c r="O135" s="56">
        <f t="shared" ref="O135:O143" si="69">IF(D135=0,"",F135*K135*$J$7/$J$14)</f>
        <v>9.3750384970307463E-7</v>
      </c>
      <c r="P135" s="56">
        <f t="shared" ref="P135:P143" si="70">IF(D135=0,"",O135*10^J135)</f>
        <v>2.5346044074369528E-6</v>
      </c>
      <c r="Q135" s="56">
        <f t="shared" ref="Q135:Q143" si="71">IF(D135=0,"",F135*N135*$J$7/$J$22)</f>
        <v>1.292085021627793E-5</v>
      </c>
      <c r="R135" s="9">
        <f t="shared" si="44"/>
        <v>3.9999999999999996E-5</v>
      </c>
      <c r="S135" s="9">
        <f t="shared" si="45"/>
        <v>5.390770289231963E-8</v>
      </c>
      <c r="T135" s="9">
        <f t="shared" si="40"/>
        <v>3.7286067002819005E-5</v>
      </c>
      <c r="U135" s="9">
        <f t="shared" si="41"/>
        <v>3.9946092297107674E-5</v>
      </c>
      <c r="V135" s="100">
        <f t="shared" si="46"/>
        <v>0.93340962428804908</v>
      </c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6" t="s">
        <v>265</v>
      </c>
      <c r="C136" s="46" t="s">
        <v>266</v>
      </c>
      <c r="D136" s="47">
        <v>-0.16497034264114602</v>
      </c>
      <c r="E136" s="47">
        <v>-0.71214090995430623</v>
      </c>
      <c r="F136" s="96">
        <v>9.9999999999999995E-7</v>
      </c>
      <c r="G136" s="7"/>
      <c r="H136" s="7"/>
      <c r="I136" s="54">
        <f t="shared" si="63"/>
        <v>-7.9255891896301502E-4</v>
      </c>
      <c r="J136" s="54">
        <f t="shared" si="64"/>
        <v>-2.5149326185848801E-2</v>
      </c>
      <c r="K136" s="55">
        <f t="shared" si="65"/>
        <v>0.99613609744700637</v>
      </c>
      <c r="L136" s="55">
        <f t="shared" si="66"/>
        <v>5.0273193808376266E-4</v>
      </c>
      <c r="M136" s="55">
        <f t="shared" si="67"/>
        <v>0.99949726806191619</v>
      </c>
      <c r="N136" s="55">
        <f t="shared" si="68"/>
        <v>2.9353725775087935E-6</v>
      </c>
      <c r="O136" s="56">
        <f t="shared" si="69"/>
        <v>1.0018556541392894E-6</v>
      </c>
      <c r="P136" s="56">
        <f t="shared" si="70"/>
        <v>9.4548757796019393E-7</v>
      </c>
      <c r="Q136" s="56">
        <f t="shared" si="71"/>
        <v>1.9438566899555408E-7</v>
      </c>
      <c r="R136" s="9">
        <f t="shared" si="44"/>
        <v>3.9999999999999996E-5</v>
      </c>
      <c r="S136" s="9">
        <f t="shared" si="45"/>
        <v>2.0109277523350504E-8</v>
      </c>
      <c r="T136" s="9">
        <f t="shared" si="40"/>
        <v>3.9845443897880254E-5</v>
      </c>
      <c r="U136" s="9">
        <f t="shared" si="41"/>
        <v>3.9979890722476643E-5</v>
      </c>
      <c r="V136" s="100">
        <f t="shared" si="46"/>
        <v>0.99663713876734517</v>
      </c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6" t="s">
        <v>267</v>
      </c>
      <c r="C137" s="46" t="s">
        <v>268</v>
      </c>
      <c r="D137" s="47">
        <v>-2.7256879443499291</v>
      </c>
      <c r="E137" s="47">
        <v>-4.3548518644977863</v>
      </c>
      <c r="F137" s="96">
        <v>9.9999999999999995E-7</v>
      </c>
      <c r="G137" s="7"/>
      <c r="H137" s="7"/>
      <c r="I137" s="54">
        <f t="shared" si="63"/>
        <v>-2.2515440087297459E-3</v>
      </c>
      <c r="J137" s="54">
        <f t="shared" si="64"/>
        <v>-6.2381894312699707E-2</v>
      </c>
      <c r="K137" s="55">
        <f t="shared" si="65"/>
        <v>0.99952791409845909</v>
      </c>
      <c r="L137" s="55">
        <f t="shared" si="66"/>
        <v>4.6299911135589604E-4</v>
      </c>
      <c r="M137" s="55">
        <f t="shared" si="67"/>
        <v>0.99953700088864406</v>
      </c>
      <c r="N137" s="55">
        <f t="shared" si="68"/>
        <v>6.7054592460142537E-10</v>
      </c>
      <c r="O137" s="56">
        <f t="shared" si="69"/>
        <v>1.0052669457276286E-6</v>
      </c>
      <c r="P137" s="56">
        <f t="shared" si="70"/>
        <v>8.7076208060740126E-7</v>
      </c>
      <c r="Q137" s="56">
        <f t="shared" si="71"/>
        <v>4.4404761134789874E-11</v>
      </c>
      <c r="R137" s="9">
        <f t="shared" si="44"/>
        <v>3.9999999999999996E-5</v>
      </c>
      <c r="S137" s="9">
        <f t="shared" si="45"/>
        <v>1.8519964454235839E-8</v>
      </c>
      <c r="T137" s="9">
        <f t="shared" si="40"/>
        <v>3.9981116563938361E-5</v>
      </c>
      <c r="U137" s="9">
        <f t="shared" si="41"/>
        <v>3.998148003554576E-5</v>
      </c>
      <c r="V137" s="100">
        <f t="shared" si="46"/>
        <v>0.99999090900069043</v>
      </c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6" t="s">
        <v>269</v>
      </c>
      <c r="C138" s="46" t="s">
        <v>270</v>
      </c>
      <c r="D138" s="47">
        <v>-0.21545001227559774</v>
      </c>
      <c r="E138" s="47">
        <v>-0.78395001746247006</v>
      </c>
      <c r="F138" s="96">
        <v>9.9999999999999995E-7</v>
      </c>
      <c r="G138" s="7"/>
      <c r="H138" s="7"/>
      <c r="I138" s="54">
        <f t="shared" si="63"/>
        <v>-9.5421953907495261E-4</v>
      </c>
      <c r="J138" s="54">
        <f t="shared" si="64"/>
        <v>-2.9201865265541728E-2</v>
      </c>
      <c r="K138" s="55">
        <f t="shared" si="65"/>
        <v>0.99651143377024687</v>
      </c>
      <c r="L138" s="55">
        <f t="shared" si="66"/>
        <v>4.9825027296430599E-4</v>
      </c>
      <c r="M138" s="55">
        <f t="shared" si="67"/>
        <v>0.99950174972703565</v>
      </c>
      <c r="N138" s="55">
        <f t="shared" si="68"/>
        <v>2.4889589455901798E-6</v>
      </c>
      <c r="O138" s="56">
        <f t="shared" si="69"/>
        <v>1.0022331455469459E-6</v>
      </c>
      <c r="P138" s="56">
        <f t="shared" si="70"/>
        <v>9.3705891373970501E-7</v>
      </c>
      <c r="Q138" s="56">
        <f t="shared" si="71"/>
        <v>1.6482335273146994E-7</v>
      </c>
      <c r="R138" s="9">
        <f t="shared" si="44"/>
        <v>3.9999999999999996E-5</v>
      </c>
      <c r="S138" s="9">
        <f t="shared" si="45"/>
        <v>1.9930010918572239E-8</v>
      </c>
      <c r="T138" s="9">
        <f t="shared" si="40"/>
        <v>3.9860457350809874E-5</v>
      </c>
      <c r="U138" s="9">
        <f t="shared" si="41"/>
        <v>3.9980069989081425E-5</v>
      </c>
      <c r="V138" s="100">
        <f t="shared" si="46"/>
        <v>0.99700819337474356</v>
      </c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6" t="s">
        <v>271</v>
      </c>
      <c r="C139" s="46" t="s">
        <v>272</v>
      </c>
      <c r="D139" s="47">
        <v>1.0310160000000004</v>
      </c>
      <c r="E139" s="47">
        <v>0.78085199999999966</v>
      </c>
      <c r="F139" s="96">
        <v>9.9999999999999995E-7</v>
      </c>
      <c r="G139" s="7"/>
      <c r="H139" s="7"/>
      <c r="I139" s="54">
        <f t="shared" si="63"/>
        <v>2.0637855846763784E-2</v>
      </c>
      <c r="J139" s="54">
        <f t="shared" si="64"/>
        <v>0.33678734695500601</v>
      </c>
      <c r="K139" s="55">
        <f t="shared" si="65"/>
        <v>0.94760742620805849</v>
      </c>
      <c r="L139" s="55">
        <f t="shared" si="66"/>
        <v>1.1004819583587135E-3</v>
      </c>
      <c r="M139" s="55">
        <f t="shared" si="67"/>
        <v>0.99889951804164123</v>
      </c>
      <c r="N139" s="55">
        <f t="shared" si="68"/>
        <v>8.6889224297573124E-5</v>
      </c>
      <c r="O139" s="56">
        <f t="shared" si="69"/>
        <v>9.5304834377957932E-7</v>
      </c>
      <c r="P139" s="56">
        <f t="shared" si="70"/>
        <v>2.0696755916551888E-6</v>
      </c>
      <c r="Q139" s="56">
        <f t="shared" si="71"/>
        <v>5.7539612255704891E-6</v>
      </c>
      <c r="R139" s="9">
        <f t="shared" si="44"/>
        <v>3.9999999999999996E-5</v>
      </c>
      <c r="S139" s="9">
        <f t="shared" si="45"/>
        <v>4.4019278334348536E-8</v>
      </c>
      <c r="T139" s="9">
        <f t="shared" si="40"/>
        <v>3.7904297048322336E-5</v>
      </c>
      <c r="U139" s="9">
        <f t="shared" si="41"/>
        <v>3.9955980721665647E-5</v>
      </c>
      <c r="V139" s="100">
        <f t="shared" si="46"/>
        <v>0.94865139995848458</v>
      </c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6" t="s">
        <v>273</v>
      </c>
      <c r="C140" s="46" t="s">
        <v>274</v>
      </c>
      <c r="D140" s="47">
        <v>-1.8497486811018407</v>
      </c>
      <c r="E140" s="47">
        <v>-3.1087974195955765</v>
      </c>
      <c r="F140" s="96">
        <v>9.9999999999999995E-7</v>
      </c>
      <c r="G140" s="7"/>
      <c r="H140" s="7"/>
      <c r="I140" s="54">
        <f t="shared" si="63"/>
        <v>-2.2257476801494347E-3</v>
      </c>
      <c r="J140" s="54">
        <f t="shared" si="64"/>
        <v>-6.1723202613472264E-2</v>
      </c>
      <c r="K140" s="55">
        <f t="shared" si="65"/>
        <v>0.99946787080202648</v>
      </c>
      <c r="L140" s="55">
        <f t="shared" si="66"/>
        <v>4.6367401664793777E-4</v>
      </c>
      <c r="M140" s="55">
        <f t="shared" si="67"/>
        <v>0.99953632598335207</v>
      </c>
      <c r="N140" s="55">
        <f t="shared" si="68"/>
        <v>1.1815629995587121E-8</v>
      </c>
      <c r="O140" s="56">
        <f t="shared" si="69"/>
        <v>1.0052065576780654E-6</v>
      </c>
      <c r="P140" s="56">
        <f t="shared" si="70"/>
        <v>8.7203137448269609E-7</v>
      </c>
      <c r="Q140" s="56">
        <f t="shared" si="71"/>
        <v>7.8245233974536507E-10</v>
      </c>
      <c r="R140" s="9">
        <f t="shared" si="44"/>
        <v>3.9999999999999996E-5</v>
      </c>
      <c r="S140" s="9">
        <f t="shared" si="45"/>
        <v>1.8546960665917508E-8</v>
      </c>
      <c r="T140" s="9">
        <f t="shared" si="40"/>
        <v>3.9978714832081056E-5</v>
      </c>
      <c r="U140" s="9">
        <f t="shared" si="41"/>
        <v>3.9981453039334077E-5</v>
      </c>
      <c r="V140" s="100">
        <f t="shared" si="46"/>
        <v>0.99993151306306127</v>
      </c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6" t="s">
        <v>275</v>
      </c>
      <c r="C141" s="46" t="s">
        <v>276</v>
      </c>
      <c r="D141" s="47">
        <v>-1.4544244920654867</v>
      </c>
      <c r="E141" s="47">
        <v>-2.5464348408255515</v>
      </c>
      <c r="F141" s="96">
        <v>9.9999999999999995E-7</v>
      </c>
      <c r="G141" s="7"/>
      <c r="H141" s="7"/>
      <c r="I141" s="54">
        <f t="shared" si="63"/>
        <v>-2.1814307177209532E-3</v>
      </c>
      <c r="J141" s="54">
        <f t="shared" si="64"/>
        <v>-6.0585812833321005E-2</v>
      </c>
      <c r="K141" s="55">
        <f t="shared" si="65"/>
        <v>0.99936471898332413</v>
      </c>
      <c r="L141" s="55">
        <f t="shared" si="66"/>
        <v>4.6484196131667168E-4</v>
      </c>
      <c r="M141" s="55">
        <f t="shared" si="67"/>
        <v>0.99953515803868331</v>
      </c>
      <c r="N141" s="55">
        <f t="shared" si="68"/>
        <v>4.3129521212286209E-8</v>
      </c>
      <c r="O141" s="56">
        <f t="shared" si="69"/>
        <v>1.0051028135882102E-6</v>
      </c>
      <c r="P141" s="56">
        <f t="shared" si="70"/>
        <v>8.7422792714303042E-7</v>
      </c>
      <c r="Q141" s="56">
        <f t="shared" si="71"/>
        <v>2.8561147223850429E-9</v>
      </c>
      <c r="R141" s="9">
        <f t="shared" si="44"/>
        <v>3.9999999999999996E-5</v>
      </c>
      <c r="S141" s="9">
        <f t="shared" si="45"/>
        <v>1.8593678452666865E-8</v>
      </c>
      <c r="T141" s="9">
        <f t="shared" si="40"/>
        <v>3.9974588759332961E-5</v>
      </c>
      <c r="U141" s="9">
        <f t="shared" si="41"/>
        <v>3.9981406321547327E-5</v>
      </c>
      <c r="V141" s="100">
        <f t="shared" si="46"/>
        <v>0.99982948168057073</v>
      </c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6" t="s">
        <v>277</v>
      </c>
      <c r="C142" s="46" t="s">
        <v>278</v>
      </c>
      <c r="D142" s="47">
        <v>2.3179513188981593</v>
      </c>
      <c r="E142" s="47">
        <v>2.8199025804044244</v>
      </c>
      <c r="F142" s="96">
        <v>9.9999999999999995E-7</v>
      </c>
      <c r="G142" s="7"/>
      <c r="H142" s="7"/>
      <c r="I142" s="54">
        <f t="shared" si="63"/>
        <v>0.35101699191808489</v>
      </c>
      <c r="J142" s="54">
        <f t="shared" si="64"/>
        <v>1.618932745693185</v>
      </c>
      <c r="K142" s="55">
        <f t="shared" si="65"/>
        <v>0.43900233384857212</v>
      </c>
      <c r="L142" s="55">
        <f t="shared" si="66"/>
        <v>9.7626270603576367E-3</v>
      </c>
      <c r="M142" s="55">
        <f t="shared" si="67"/>
        <v>0.99023737293964231</v>
      </c>
      <c r="N142" s="55">
        <f t="shared" si="68"/>
        <v>4.4040767011405595E-3</v>
      </c>
      <c r="O142" s="56">
        <f t="shared" si="69"/>
        <v>4.4152297208558281E-7</v>
      </c>
      <c r="P142" s="56">
        <f t="shared" si="70"/>
        <v>1.8360565372093499E-5</v>
      </c>
      <c r="Q142" s="56">
        <f t="shared" si="71"/>
        <v>2.9164590635560503E-4</v>
      </c>
      <c r="R142" s="9">
        <f t="shared" si="44"/>
        <v>3.9999999999999996E-5</v>
      </c>
      <c r="S142" s="9">
        <f t="shared" si="45"/>
        <v>3.9050508241430544E-7</v>
      </c>
      <c r="T142" s="9">
        <f t="shared" si="40"/>
        <v>1.7560093353942884E-5</v>
      </c>
      <c r="U142" s="9">
        <f t="shared" si="41"/>
        <v>3.9609494917585687E-5</v>
      </c>
      <c r="V142" s="100">
        <f t="shared" si="46"/>
        <v>0.44333040323992146</v>
      </c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6" t="s">
        <v>97</v>
      </c>
      <c r="C143" s="46" t="s">
        <v>279</v>
      </c>
      <c r="D143" s="47">
        <v>3.46</v>
      </c>
      <c r="E143" s="47">
        <v>2.6247999825375303</v>
      </c>
      <c r="F143" s="96">
        <v>9.9999999999999995E-7</v>
      </c>
      <c r="G143" s="7"/>
      <c r="H143" s="7"/>
      <c r="I143" s="54">
        <f t="shared" si="63"/>
        <v>1.1760432553236648</v>
      </c>
      <c r="J143" s="54">
        <f t="shared" si="64"/>
        <v>2.5015937770548793</v>
      </c>
      <c r="K143" s="55">
        <f t="shared" si="65"/>
        <v>6.5590247855955908E-2</v>
      </c>
      <c r="L143" s="55">
        <f t="shared" si="66"/>
        <v>1.113269147858497E-2</v>
      </c>
      <c r="M143" s="55">
        <f t="shared" si="67"/>
        <v>0.98886730852141502</v>
      </c>
      <c r="N143" s="55">
        <f t="shared" si="68"/>
        <v>4.1987954616740455E-4</v>
      </c>
      <c r="O143" s="56">
        <f t="shared" si="69"/>
        <v>6.596685015160055E-8</v>
      </c>
      <c r="P143" s="56">
        <f t="shared" si="70"/>
        <v>2.0937244493330031E-5</v>
      </c>
      <c r="Q143" s="56">
        <f t="shared" si="71"/>
        <v>2.7805181224582066E-5</v>
      </c>
      <c r="R143" s="9">
        <f t="shared" si="44"/>
        <v>3.9999999999999996E-5</v>
      </c>
      <c r="S143" s="9">
        <f t="shared" si="45"/>
        <v>4.453076591433988E-7</v>
      </c>
      <c r="T143" s="9">
        <f t="shared" si="40"/>
        <v>2.623609914238236E-6</v>
      </c>
      <c r="U143" s="9">
        <f t="shared" si="41"/>
        <v>3.9554692340856596E-5</v>
      </c>
      <c r="V143" s="100">
        <f t="shared" si="46"/>
        <v>6.6328664413053032E-2</v>
      </c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8"/>
      <c r="C144" s="48"/>
      <c r="D144" s="48"/>
      <c r="E144" s="48"/>
      <c r="F144" s="4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8"/>
      <c r="C145" s="48"/>
      <c r="D145" s="48"/>
      <c r="E145" s="48"/>
      <c r="F145" s="4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8"/>
      <c r="C146" s="48"/>
      <c r="D146" s="48"/>
      <c r="E146" s="48"/>
      <c r="F146" s="4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8"/>
      <c r="C147" s="48"/>
      <c r="D147" s="48"/>
      <c r="E147" s="48"/>
      <c r="F147" s="4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8"/>
      <c r="C148" s="48"/>
      <c r="D148" s="48"/>
      <c r="E148" s="48"/>
      <c r="F148" s="4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8"/>
      <c r="C149" s="48"/>
      <c r="D149" s="48"/>
      <c r="E149" s="48"/>
      <c r="F149" s="4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8"/>
      <c r="C150" s="48"/>
      <c r="D150" s="48"/>
      <c r="E150" s="48"/>
      <c r="F150" s="4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8"/>
      <c r="C151" s="48"/>
      <c r="D151" s="48"/>
      <c r="E151" s="48"/>
      <c r="F151" s="4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8"/>
      <c r="C152" s="48"/>
      <c r="D152" s="48"/>
      <c r="E152" s="48"/>
      <c r="F152" s="4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8"/>
      <c r="C153" s="48"/>
      <c r="D153" s="48"/>
      <c r="E153" s="48"/>
      <c r="F153" s="4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8"/>
      <c r="C154" s="48"/>
      <c r="D154" s="48"/>
      <c r="E154" s="48"/>
      <c r="F154" s="4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8"/>
      <c r="C155" s="48"/>
      <c r="D155" s="48"/>
      <c r="E155" s="48"/>
      <c r="F155" s="4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8"/>
      <c r="C156" s="48"/>
      <c r="D156" s="48"/>
      <c r="E156" s="48"/>
      <c r="F156" s="4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8"/>
      <c r="C157" s="48"/>
      <c r="D157" s="48"/>
      <c r="E157" s="48"/>
      <c r="F157" s="4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8"/>
      <c r="C158" s="48"/>
      <c r="D158" s="48"/>
      <c r="E158" s="48"/>
      <c r="F158" s="4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8"/>
      <c r="C159" s="48"/>
      <c r="D159" s="48"/>
      <c r="E159" s="48"/>
      <c r="F159" s="4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8"/>
      <c r="C160" s="48"/>
      <c r="D160" s="48"/>
      <c r="E160" s="48"/>
      <c r="F160" s="4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8"/>
      <c r="C161" s="48"/>
      <c r="D161" s="48"/>
      <c r="E161" s="48"/>
      <c r="F161" s="4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8"/>
      <c r="C162" s="48"/>
      <c r="D162" s="48"/>
      <c r="E162" s="48"/>
      <c r="F162" s="4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8"/>
      <c r="C163" s="48"/>
      <c r="D163" s="48"/>
      <c r="E163" s="48"/>
      <c r="F163" s="4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8"/>
      <c r="C164" s="48"/>
      <c r="D164" s="48"/>
      <c r="E164" s="48"/>
      <c r="F164" s="4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8"/>
      <c r="C165" s="48"/>
      <c r="D165" s="48"/>
      <c r="E165" s="48"/>
      <c r="F165" s="4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8"/>
      <c r="C166" s="48"/>
      <c r="D166" s="48"/>
      <c r="E166" s="48"/>
      <c r="F166" s="4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8"/>
      <c r="C167" s="48"/>
      <c r="D167" s="48"/>
      <c r="E167" s="48"/>
      <c r="F167" s="4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8"/>
      <c r="C168" s="48"/>
      <c r="D168" s="48"/>
      <c r="E168" s="48"/>
      <c r="F168" s="4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8"/>
      <c r="C169" s="48"/>
      <c r="D169" s="48"/>
      <c r="E169" s="48"/>
      <c r="F169" s="4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8"/>
      <c r="C170" s="48"/>
      <c r="D170" s="48"/>
      <c r="E170" s="48"/>
      <c r="F170" s="4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8"/>
      <c r="C171" s="48"/>
      <c r="D171" s="48"/>
      <c r="E171" s="48"/>
      <c r="F171" s="4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8"/>
      <c r="C172" s="48"/>
      <c r="D172" s="48"/>
      <c r="E172" s="48"/>
      <c r="F172" s="4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8"/>
      <c r="C173" s="48"/>
      <c r="D173" s="48"/>
      <c r="E173" s="48"/>
      <c r="F173" s="4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8"/>
      <c r="C174" s="48"/>
      <c r="D174" s="48"/>
      <c r="E174" s="48"/>
      <c r="F174" s="4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8"/>
      <c r="C175" s="48"/>
      <c r="D175" s="48"/>
      <c r="E175" s="48"/>
      <c r="F175" s="4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8"/>
      <c r="C176" s="48"/>
      <c r="D176" s="48"/>
      <c r="E176" s="48"/>
      <c r="F176" s="4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8"/>
      <c r="C177" s="48"/>
      <c r="D177" s="48"/>
      <c r="E177" s="48"/>
      <c r="F177" s="4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8"/>
      <c r="C178" s="48"/>
      <c r="D178" s="48"/>
      <c r="E178" s="48"/>
      <c r="F178" s="4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8"/>
      <c r="C179" s="48"/>
      <c r="D179" s="48"/>
      <c r="E179" s="48"/>
      <c r="F179" s="4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8"/>
      <c r="C180" s="48"/>
      <c r="D180" s="48"/>
      <c r="E180" s="48"/>
      <c r="F180" s="4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8"/>
      <c r="C181" s="48"/>
      <c r="D181" s="48"/>
      <c r="E181" s="48"/>
      <c r="F181" s="4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8"/>
      <c r="C182" s="48"/>
      <c r="D182" s="48"/>
      <c r="E182" s="48"/>
      <c r="F182" s="4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8"/>
      <c r="C183" s="48"/>
      <c r="D183" s="48"/>
      <c r="E183" s="48"/>
      <c r="F183" s="4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8"/>
      <c r="C184" s="48"/>
      <c r="D184" s="48"/>
      <c r="E184" s="48"/>
      <c r="F184" s="4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8"/>
      <c r="C185" s="48"/>
      <c r="D185" s="48"/>
      <c r="E185" s="48"/>
      <c r="F185" s="4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8"/>
      <c r="C186" s="48"/>
      <c r="D186" s="48"/>
      <c r="E186" s="48"/>
      <c r="F186" s="4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8"/>
      <c r="C187" s="48"/>
      <c r="D187" s="48"/>
      <c r="E187" s="48"/>
      <c r="F187" s="4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8"/>
      <c r="C188" s="48"/>
      <c r="D188" s="48"/>
      <c r="E188" s="48"/>
      <c r="F188" s="4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8"/>
      <c r="C189" s="48"/>
      <c r="D189" s="48"/>
      <c r="E189" s="48"/>
      <c r="F189" s="4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8"/>
      <c r="C190" s="48"/>
      <c r="D190" s="48"/>
      <c r="E190" s="48"/>
      <c r="F190" s="4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8"/>
      <c r="C191" s="48"/>
      <c r="D191" s="48"/>
      <c r="E191" s="48"/>
      <c r="F191" s="4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8"/>
      <c r="C192" s="48"/>
      <c r="D192" s="48"/>
      <c r="E192" s="48"/>
      <c r="F192" s="4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8"/>
      <c r="C193" s="48"/>
      <c r="D193" s="48"/>
      <c r="E193" s="48"/>
      <c r="F193" s="4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8"/>
      <c r="C194" s="48"/>
      <c r="D194" s="48"/>
      <c r="E194" s="48"/>
      <c r="F194" s="4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8"/>
      <c r="C195" s="48"/>
      <c r="D195" s="48"/>
      <c r="E195" s="48"/>
      <c r="F195" s="4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8"/>
      <c r="C196" s="48"/>
      <c r="D196" s="48"/>
      <c r="E196" s="48"/>
      <c r="F196" s="4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8"/>
      <c r="C197" s="48"/>
      <c r="D197" s="48"/>
      <c r="E197" s="48"/>
      <c r="F197" s="4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8"/>
      <c r="C198" s="48"/>
      <c r="D198" s="48"/>
      <c r="E198" s="48"/>
      <c r="F198" s="4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8"/>
      <c r="C199" s="48"/>
      <c r="D199" s="48"/>
      <c r="E199" s="48"/>
      <c r="F199" s="4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8"/>
      <c r="C200" s="48"/>
      <c r="D200" s="48"/>
      <c r="E200" s="48"/>
      <c r="F200" s="4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8"/>
      <c r="C201" s="48"/>
      <c r="D201" s="48"/>
      <c r="E201" s="48"/>
      <c r="F201" s="4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8"/>
      <c r="C202" s="48"/>
      <c r="D202" s="48"/>
      <c r="E202" s="48"/>
      <c r="F202" s="4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8"/>
      <c r="C203" s="48"/>
      <c r="D203" s="48"/>
      <c r="E203" s="48"/>
      <c r="F203" s="4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8"/>
      <c r="C204" s="48"/>
      <c r="D204" s="48"/>
      <c r="E204" s="48"/>
      <c r="F204" s="4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8"/>
      <c r="C205" s="48"/>
      <c r="D205" s="48"/>
      <c r="E205" s="48"/>
      <c r="F205" s="4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8"/>
      <c r="C206" s="48"/>
      <c r="D206" s="48"/>
      <c r="E206" s="48"/>
      <c r="F206" s="4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8"/>
      <c r="C207" s="48"/>
      <c r="D207" s="48"/>
      <c r="E207" s="48"/>
      <c r="F207" s="4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8"/>
      <c r="C208" s="48"/>
      <c r="D208" s="48"/>
      <c r="E208" s="48"/>
      <c r="F208" s="4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8"/>
      <c r="C209" s="48"/>
      <c r="D209" s="48"/>
      <c r="E209" s="48"/>
      <c r="F209" s="4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8"/>
      <c r="C210" s="48"/>
      <c r="D210" s="48"/>
      <c r="E210" s="48"/>
      <c r="F210" s="4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8"/>
      <c r="C211" s="48"/>
      <c r="D211" s="48"/>
      <c r="E211" s="48"/>
      <c r="F211" s="4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8"/>
      <c r="C212" s="48"/>
      <c r="D212" s="48"/>
      <c r="E212" s="48"/>
      <c r="F212" s="4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8"/>
      <c r="C213" s="48"/>
      <c r="D213" s="48"/>
      <c r="E213" s="48"/>
      <c r="F213" s="4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8"/>
      <c r="C214" s="48"/>
      <c r="D214" s="48"/>
      <c r="E214" s="48"/>
      <c r="F214" s="4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8"/>
      <c r="C215" s="48"/>
      <c r="D215" s="48"/>
      <c r="E215" s="48"/>
      <c r="F215" s="4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8"/>
      <c r="C216" s="48"/>
      <c r="D216" s="48"/>
      <c r="E216" s="48"/>
      <c r="F216" s="4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8"/>
      <c r="C217" s="48"/>
      <c r="D217" s="48"/>
      <c r="E217" s="48"/>
      <c r="F217" s="4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8"/>
      <c r="C218" s="48"/>
      <c r="D218" s="48"/>
      <c r="E218" s="48"/>
      <c r="F218" s="4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8"/>
      <c r="C219" s="48"/>
      <c r="D219" s="48"/>
      <c r="E219" s="48"/>
      <c r="F219" s="4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8"/>
      <c r="C220" s="48"/>
      <c r="D220" s="48"/>
      <c r="E220" s="48"/>
      <c r="F220" s="4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8"/>
      <c r="C221" s="48"/>
      <c r="D221" s="48"/>
      <c r="E221" s="48"/>
      <c r="F221" s="4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8"/>
      <c r="C222" s="48"/>
      <c r="D222" s="48"/>
      <c r="E222" s="48"/>
      <c r="F222" s="4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8"/>
      <c r="C223" s="48"/>
      <c r="D223" s="48"/>
      <c r="E223" s="48"/>
      <c r="F223" s="4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8"/>
      <c r="C224" s="48"/>
      <c r="D224" s="48"/>
      <c r="E224" s="48"/>
      <c r="F224" s="4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8"/>
      <c r="C225" s="48"/>
      <c r="D225" s="48"/>
      <c r="E225" s="48"/>
      <c r="F225" s="4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8"/>
      <c r="C226" s="48"/>
      <c r="D226" s="48"/>
      <c r="E226" s="48"/>
      <c r="F226" s="4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8"/>
      <c r="C227" s="48"/>
      <c r="D227" s="48"/>
      <c r="E227" s="48"/>
      <c r="F227" s="4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8"/>
      <c r="C228" s="48"/>
      <c r="D228" s="48"/>
      <c r="E228" s="48"/>
      <c r="F228" s="4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8"/>
      <c r="C229" s="48"/>
      <c r="D229" s="48"/>
      <c r="E229" s="48"/>
      <c r="F229" s="4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  <mergeCell ref="E26:E27"/>
    <mergeCell ref="F26:F27"/>
    <mergeCell ref="L19:Q19"/>
    <mergeCell ref="L20:Q20"/>
    <mergeCell ref="L21:Q21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</mergeCells>
  <phoneticPr fontId="17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2025-02-02T17:32:54Z</dcterms:modified>
</cp:coreProperties>
</file>