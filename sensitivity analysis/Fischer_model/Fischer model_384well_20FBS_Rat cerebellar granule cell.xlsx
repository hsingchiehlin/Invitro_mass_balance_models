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E2DBC81A-E178-4D94-8017-8A40187BD100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T131" i="4"/>
  <c r="S131" i="4"/>
  <c r="R131" i="4"/>
  <c r="U131" i="4" s="1"/>
  <c r="V130" i="4"/>
  <c r="R130" i="4"/>
  <c r="V127" i="4"/>
  <c r="U127" i="4"/>
  <c r="R127" i="4"/>
  <c r="T127" i="4" s="1"/>
  <c r="V126" i="4"/>
  <c r="R126" i="4"/>
  <c r="V124" i="4"/>
  <c r="U124" i="4"/>
  <c r="T124" i="4"/>
  <c r="S124" i="4"/>
  <c r="R124" i="4"/>
  <c r="V121" i="4"/>
  <c r="R121" i="4"/>
  <c r="U121" i="4" s="1"/>
  <c r="V120" i="4"/>
  <c r="R120" i="4"/>
  <c r="U120" i="4" s="1"/>
  <c r="V119" i="4"/>
  <c r="R119" i="4"/>
  <c r="U119" i="4" s="1"/>
  <c r="V116" i="4"/>
  <c r="R116" i="4"/>
  <c r="V115" i="4"/>
  <c r="U115" i="4"/>
  <c r="T115" i="4"/>
  <c r="S115" i="4"/>
  <c r="R115" i="4"/>
  <c r="V114" i="4"/>
  <c r="R114" i="4"/>
  <c r="U114" i="4" s="1"/>
  <c r="V108" i="4"/>
  <c r="R108" i="4"/>
  <c r="U108" i="4" s="1"/>
  <c r="V107" i="4"/>
  <c r="T107" i="4"/>
  <c r="S107" i="4"/>
  <c r="R107" i="4"/>
  <c r="U107" i="4" s="1"/>
  <c r="V93" i="4"/>
  <c r="R93" i="4"/>
  <c r="V92" i="4"/>
  <c r="U92" i="4"/>
  <c r="R92" i="4"/>
  <c r="T92" i="4" s="1"/>
  <c r="V91" i="4"/>
  <c r="R91" i="4"/>
  <c r="T91" i="4" s="1"/>
  <c r="V90" i="4"/>
  <c r="U90" i="4"/>
  <c r="T90" i="4"/>
  <c r="S90" i="4"/>
  <c r="R90" i="4"/>
  <c r="V89" i="4"/>
  <c r="R89" i="4"/>
  <c r="U89" i="4" s="1"/>
  <c r="V88" i="4"/>
  <c r="R88" i="4"/>
  <c r="U88" i="4" s="1"/>
  <c r="V86" i="4"/>
  <c r="R86" i="4"/>
  <c r="U86" i="4" s="1"/>
  <c r="V85" i="4"/>
  <c r="R85" i="4"/>
  <c r="V84" i="4"/>
  <c r="U84" i="4"/>
  <c r="T84" i="4"/>
  <c r="S84" i="4"/>
  <c r="R84" i="4"/>
  <c r="V83" i="4"/>
  <c r="R83" i="4"/>
  <c r="U83" i="4" s="1"/>
  <c r="V82" i="4"/>
  <c r="U82" i="4"/>
  <c r="R82" i="4"/>
  <c r="T82" i="4" s="1"/>
  <c r="V81" i="4"/>
  <c r="T81" i="4"/>
  <c r="S81" i="4"/>
  <c r="R81" i="4"/>
  <c r="U81" i="4" s="1"/>
  <c r="V80" i="4"/>
  <c r="R80" i="4"/>
  <c r="V79" i="4"/>
  <c r="U79" i="4"/>
  <c r="R79" i="4"/>
  <c r="T79" i="4" s="1"/>
  <c r="V78" i="4"/>
  <c r="R78" i="4"/>
  <c r="T78" i="4" s="1"/>
  <c r="V77" i="4"/>
  <c r="U77" i="4"/>
  <c r="T77" i="4"/>
  <c r="S77" i="4"/>
  <c r="R77" i="4"/>
  <c r="V76" i="4"/>
  <c r="R76" i="4"/>
  <c r="U76" i="4" s="1"/>
  <c r="V75" i="4"/>
  <c r="T75" i="4"/>
  <c r="R75" i="4"/>
  <c r="U75" i="4" s="1"/>
  <c r="V74" i="4"/>
  <c r="R74" i="4"/>
  <c r="U74" i="4" s="1"/>
  <c r="V73" i="4"/>
  <c r="R73" i="4"/>
  <c r="V72" i="4"/>
  <c r="U72" i="4"/>
  <c r="T72" i="4"/>
  <c r="S72" i="4"/>
  <c r="R72" i="4"/>
  <c r="V71" i="4"/>
  <c r="R71" i="4"/>
  <c r="U71" i="4" s="1"/>
  <c r="V70" i="4"/>
  <c r="R70" i="4"/>
  <c r="U70" i="4" s="1"/>
  <c r="V69" i="4"/>
  <c r="T69" i="4"/>
  <c r="S69" i="4"/>
  <c r="R69" i="4"/>
  <c r="U69" i="4" s="1"/>
  <c r="V68" i="4"/>
  <c r="S68" i="4"/>
  <c r="R68" i="4"/>
  <c r="V65" i="4"/>
  <c r="U65" i="4"/>
  <c r="T65" i="4"/>
  <c r="R65" i="4"/>
  <c r="S65" i="4" s="1"/>
  <c r="V64" i="4"/>
  <c r="R64" i="4"/>
  <c r="T64" i="4" s="1"/>
  <c r="V63" i="4"/>
  <c r="U63" i="4"/>
  <c r="T63" i="4"/>
  <c r="S63" i="4"/>
  <c r="R63" i="4"/>
  <c r="V62" i="4"/>
  <c r="R62" i="4"/>
  <c r="U62" i="4" s="1"/>
  <c r="V61" i="4"/>
  <c r="R61" i="4"/>
  <c r="U61" i="4" s="1"/>
  <c r="V60" i="4"/>
  <c r="R60" i="4"/>
  <c r="U60" i="4" s="1"/>
  <c r="V58" i="4"/>
  <c r="R58" i="4"/>
  <c r="V57" i="4"/>
  <c r="U57" i="4"/>
  <c r="T57" i="4"/>
  <c r="S57" i="4"/>
  <c r="R57" i="4"/>
  <c r="V49" i="4"/>
  <c r="R49" i="4"/>
  <c r="U49" i="4" s="1"/>
  <c r="V48" i="4"/>
  <c r="U48" i="4"/>
  <c r="T48" i="4"/>
  <c r="R48" i="4"/>
  <c r="S48" i="4" s="1"/>
  <c r="V47" i="4"/>
  <c r="S47" i="4"/>
  <c r="R47" i="4"/>
  <c r="U47" i="4" s="1"/>
  <c r="V46" i="4"/>
  <c r="R46" i="4"/>
  <c r="V45" i="4"/>
  <c r="U45" i="4"/>
  <c r="T45" i="4"/>
  <c r="R45" i="4"/>
  <c r="S45" i="4" s="1"/>
  <c r="V44" i="4"/>
  <c r="R44" i="4"/>
  <c r="S44" i="4" s="1"/>
  <c r="V43" i="4"/>
  <c r="U43" i="4"/>
  <c r="T43" i="4"/>
  <c r="S43" i="4"/>
  <c r="R43" i="4"/>
  <c r="V42" i="4"/>
  <c r="R42" i="4"/>
  <c r="U42" i="4" s="1"/>
  <c r="V41" i="4"/>
  <c r="T41" i="4"/>
  <c r="S41" i="4"/>
  <c r="R41" i="4"/>
  <c r="U41" i="4" s="1"/>
  <c r="V40" i="4"/>
  <c r="R40" i="4"/>
  <c r="U40" i="4" s="1"/>
  <c r="V39" i="4"/>
  <c r="R39" i="4"/>
  <c r="V38" i="4"/>
  <c r="U38" i="4"/>
  <c r="T38" i="4"/>
  <c r="S38" i="4"/>
  <c r="R38" i="4"/>
  <c r="V37" i="4"/>
  <c r="R37" i="4"/>
  <c r="U37" i="4" s="1"/>
  <c r="V36" i="4"/>
  <c r="U36" i="4"/>
  <c r="T36" i="4"/>
  <c r="S36" i="4"/>
  <c r="R36" i="4"/>
  <c r="V35" i="4"/>
  <c r="S35" i="4"/>
  <c r="R35" i="4"/>
  <c r="U35" i="4" s="1"/>
  <c r="V34" i="4"/>
  <c r="R34" i="4"/>
  <c r="V33" i="4"/>
  <c r="U33" i="4"/>
  <c r="T33" i="4"/>
  <c r="R33" i="4"/>
  <c r="S33" i="4" s="1"/>
  <c r="V32" i="4"/>
  <c r="R32" i="4"/>
  <c r="V31" i="4"/>
  <c r="U31" i="4"/>
  <c r="T31" i="4"/>
  <c r="S31" i="4"/>
  <c r="R31" i="4"/>
  <c r="V30" i="4"/>
  <c r="R30" i="4"/>
  <c r="U30" i="4" s="1"/>
  <c r="V29" i="4"/>
  <c r="U29" i="4"/>
  <c r="T29" i="4"/>
  <c r="S29" i="4"/>
  <c r="R29" i="4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T126" i="4" l="1"/>
  <c r="U126" i="4"/>
  <c r="S126" i="4"/>
  <c r="U34" i="4"/>
  <c r="T34" i="4"/>
  <c r="U93" i="4"/>
  <c r="T93" i="4"/>
  <c r="S34" i="4"/>
  <c r="U73" i="4"/>
  <c r="T73" i="4"/>
  <c r="S73" i="4"/>
  <c r="S93" i="4"/>
  <c r="S120" i="4"/>
  <c r="S61" i="4"/>
  <c r="S70" i="4"/>
  <c r="T120" i="4"/>
  <c r="U46" i="4"/>
  <c r="T46" i="4"/>
  <c r="T61" i="4"/>
  <c r="T70" i="4"/>
  <c r="S46" i="4"/>
  <c r="U85" i="4"/>
  <c r="T85" i="4"/>
  <c r="S85" i="4"/>
  <c r="U130" i="4"/>
  <c r="T130" i="4"/>
  <c r="S82" i="4"/>
  <c r="S130" i="4"/>
  <c r="T32" i="4"/>
  <c r="S32" i="4"/>
  <c r="U32" i="4"/>
  <c r="U39" i="4"/>
  <c r="T39" i="4"/>
  <c r="S39" i="4"/>
  <c r="U68" i="4"/>
  <c r="T68" i="4"/>
  <c r="S75" i="4"/>
  <c r="T116" i="4"/>
  <c r="U116" i="4"/>
  <c r="S108" i="4"/>
  <c r="S116" i="4"/>
  <c r="U58" i="4"/>
  <c r="T58" i="4"/>
  <c r="S58" i="4"/>
  <c r="U80" i="4"/>
  <c r="T80" i="4"/>
  <c r="S88" i="4"/>
  <c r="T108" i="4"/>
  <c r="S80" i="4"/>
  <c r="T88" i="4"/>
  <c r="T44" i="4"/>
  <c r="S83" i="4"/>
  <c r="S114" i="4"/>
  <c r="S30" i="4"/>
  <c r="T37" i="4"/>
  <c r="S42" i="4"/>
  <c r="U44" i="4"/>
  <c r="T49" i="4"/>
  <c r="S62" i="4"/>
  <c r="U64" i="4"/>
  <c r="T71" i="4"/>
  <c r="S76" i="4"/>
  <c r="U78" i="4"/>
  <c r="T83" i="4"/>
  <c r="S89" i="4"/>
  <c r="U91" i="4"/>
  <c r="T114" i="4"/>
  <c r="S121" i="4"/>
  <c r="S64" i="4"/>
  <c r="S78" i="4"/>
  <c r="S91" i="4"/>
  <c r="S37" i="4"/>
  <c r="S49" i="4"/>
  <c r="S71" i="4"/>
  <c r="T30" i="4"/>
  <c r="T42" i="4"/>
  <c r="T62" i="4"/>
  <c r="T76" i="4"/>
  <c r="T89" i="4"/>
  <c r="T121" i="4"/>
  <c r="S28" i="4"/>
  <c r="T35" i="4"/>
  <c r="S40" i="4"/>
  <c r="T47" i="4"/>
  <c r="S60" i="4"/>
  <c r="S74" i="4"/>
  <c r="S86" i="4"/>
  <c r="S119" i="4"/>
  <c r="T28" i="4"/>
  <c r="T40" i="4"/>
  <c r="T60" i="4"/>
  <c r="T74" i="4"/>
  <c r="S79" i="4"/>
  <c r="T86" i="4"/>
  <c r="S92" i="4"/>
  <c r="T119" i="4"/>
  <c r="S127" i="4"/>
  <c r="O15" i="1" l="1"/>
  <c r="L15" i="1"/>
  <c r="N15" i="1"/>
  <c r="M95" i="4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/>
  <c r="J122" i="4"/>
  <c r="K122" i="4"/>
  <c r="J117" i="4"/>
  <c r="K117" i="4"/>
  <c r="J120" i="4"/>
  <c r="L120" i="4" s="1"/>
  <c r="M120" i="4" s="1"/>
  <c r="K120" i="4"/>
  <c r="O120" i="4" s="1"/>
  <c r="P120" i="4" s="1"/>
  <c r="J101" i="4"/>
  <c r="K101" i="4"/>
  <c r="J86" i="4"/>
  <c r="K86" i="4" s="1"/>
  <c r="J85" i="4"/>
  <c r="K85" i="4"/>
  <c r="J88" i="4"/>
  <c r="L88" i="4" s="1"/>
  <c r="K88" i="4"/>
  <c r="J119" i="4"/>
  <c r="K119" i="4"/>
  <c r="O119" i="4" s="1"/>
  <c r="P119" i="4" s="1"/>
  <c r="J72" i="4"/>
  <c r="K72" i="4"/>
  <c r="J103" i="4"/>
  <c r="K103" i="4"/>
  <c r="J118" i="4"/>
  <c r="K118" i="4"/>
  <c r="J104" i="4"/>
  <c r="K104" i="4"/>
  <c r="J90" i="4"/>
  <c r="K90" i="4"/>
  <c r="J71" i="4"/>
  <c r="K71" i="4"/>
  <c r="O71" i="4" s="1"/>
  <c r="P71" i="4" s="1"/>
  <c r="J110" i="4"/>
  <c r="K110" i="4"/>
  <c r="J82" i="4"/>
  <c r="K82" i="4" s="1"/>
  <c r="J113" i="4"/>
  <c r="K113" i="4"/>
  <c r="J97" i="4"/>
  <c r="L97" i="4" s="1"/>
  <c r="J81" i="4"/>
  <c r="K81" i="4"/>
  <c r="J116" i="4"/>
  <c r="K116" i="4"/>
  <c r="J100" i="4"/>
  <c r="K100" i="4"/>
  <c r="O100" i="4"/>
  <c r="J84" i="4"/>
  <c r="K84" i="4" s="1"/>
  <c r="J114" i="4"/>
  <c r="K114" i="4" s="1"/>
  <c r="O114" i="4" s="1"/>
  <c r="P114" i="4" s="1"/>
  <c r="J78" i="4"/>
  <c r="J115" i="4"/>
  <c r="K115" i="4"/>
  <c r="O115" i="4"/>
  <c r="P115" i="4" s="1"/>
  <c r="J99" i="4"/>
  <c r="K99" i="4"/>
  <c r="J83" i="4"/>
  <c r="K83" i="4" s="1"/>
  <c r="J102" i="4"/>
  <c r="K102" i="4"/>
  <c r="J74" i="4"/>
  <c r="K74" i="4"/>
  <c r="J125" i="4"/>
  <c r="K125" i="4"/>
  <c r="J109" i="4"/>
  <c r="K109" i="4"/>
  <c r="J93" i="4"/>
  <c r="L93" i="4" s="1"/>
  <c r="K93" i="4"/>
  <c r="J77" i="4"/>
  <c r="K77" i="4" s="1"/>
  <c r="J112" i="4"/>
  <c r="K112" i="4"/>
  <c r="J96" i="4"/>
  <c r="K96" i="4"/>
  <c r="J80" i="4"/>
  <c r="K80" i="4" s="1"/>
  <c r="J106" i="4"/>
  <c r="K106" i="4"/>
  <c r="J127" i="4"/>
  <c r="K127" i="4"/>
  <c r="O127" i="4" s="1"/>
  <c r="P127" i="4" s="1"/>
  <c r="J111" i="4"/>
  <c r="K111" i="4"/>
  <c r="J95" i="4"/>
  <c r="K95" i="4" s="1"/>
  <c r="J79" i="4"/>
  <c r="K79" i="4"/>
  <c r="J126" i="4"/>
  <c r="L126" i="4" s="1"/>
  <c r="M126" i="4" s="1"/>
  <c r="K126" i="4"/>
  <c r="O126" i="4" s="1"/>
  <c r="P126" i="4" s="1"/>
  <c r="J94" i="4"/>
  <c r="K94" i="4"/>
  <c r="J121" i="4"/>
  <c r="K121" i="4"/>
  <c r="O121" i="4" s="1"/>
  <c r="P121" i="4" s="1"/>
  <c r="J105" i="4"/>
  <c r="K105" i="4"/>
  <c r="J89" i="4"/>
  <c r="K89" i="4" s="1"/>
  <c r="J73" i="4"/>
  <c r="K73" i="4"/>
  <c r="J124" i="4"/>
  <c r="L124" i="4" s="1"/>
  <c r="M124" i="4" s="1"/>
  <c r="K124" i="4"/>
  <c r="O124" i="4" s="1"/>
  <c r="P124" i="4" s="1"/>
  <c r="J108" i="4"/>
  <c r="K108" i="4" s="1"/>
  <c r="O108" i="4" s="1"/>
  <c r="P108" i="4" s="1"/>
  <c r="J92" i="4"/>
  <c r="K92" i="4"/>
  <c r="J76" i="4"/>
  <c r="K76" i="4" s="1"/>
  <c r="J98" i="4"/>
  <c r="K98" i="4"/>
  <c r="J123" i="4"/>
  <c r="K123" i="4"/>
  <c r="J107" i="4"/>
  <c r="L107" i="4" s="1"/>
  <c r="M107" i="4" s="1"/>
  <c r="K107" i="4"/>
  <c r="O107" i="4" s="1"/>
  <c r="P107" i="4" s="1"/>
  <c r="J91" i="4"/>
  <c r="K91" i="4"/>
  <c r="O91" i="4" s="1"/>
  <c r="P91" i="4" s="1"/>
  <c r="J75" i="4"/>
  <c r="K75" i="4" s="1"/>
  <c r="P100" i="4"/>
  <c r="O112" i="4"/>
  <c r="P112" i="4"/>
  <c r="O98" i="4"/>
  <c r="P98" i="4"/>
  <c r="O105" i="4"/>
  <c r="P105" i="4"/>
  <c r="O111" i="4"/>
  <c r="P111" i="4"/>
  <c r="O104" i="4"/>
  <c r="P104" i="4"/>
  <c r="O102" i="4"/>
  <c r="P102" i="4"/>
  <c r="O110" i="4"/>
  <c r="P110" i="4"/>
  <c r="O118" i="4"/>
  <c r="P118" i="4"/>
  <c r="O117" i="4"/>
  <c r="P117" i="4"/>
  <c r="O106" i="4"/>
  <c r="P106" i="4"/>
  <c r="O109" i="4"/>
  <c r="P109" i="4"/>
  <c r="O116" i="4"/>
  <c r="P116" i="4"/>
  <c r="O113" i="4"/>
  <c r="P113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I77" i="4"/>
  <c r="N77" i="4" s="1"/>
  <c r="Q77" i="4" s="1"/>
  <c r="I81" i="4"/>
  <c r="L81" i="4" s="1"/>
  <c r="I89" i="4"/>
  <c r="L89" i="4" s="1"/>
  <c r="I90" i="4"/>
  <c r="L90" i="4" s="1"/>
  <c r="I96" i="4"/>
  <c r="N96" i="4" s="1"/>
  <c r="Q96" i="4" s="1"/>
  <c r="I99" i="4"/>
  <c r="I102" i="4"/>
  <c r="I104" i="4"/>
  <c r="I108" i="4"/>
  <c r="I111" i="4"/>
  <c r="I113" i="4"/>
  <c r="I115" i="4"/>
  <c r="L115" i="4" s="1"/>
  <c r="M115" i="4" s="1"/>
  <c r="I119" i="4"/>
  <c r="N119" i="4" s="1"/>
  <c r="Q119" i="4" s="1"/>
  <c r="I120" i="4"/>
  <c r="N120" i="4" s="1"/>
  <c r="Q120" i="4" s="1"/>
  <c r="I123" i="4"/>
  <c r="I125" i="4"/>
  <c r="I79" i="4"/>
  <c r="N79" i="4" s="1"/>
  <c r="Q79" i="4" s="1"/>
  <c r="I92" i="4"/>
  <c r="L92" i="4" s="1"/>
  <c r="I100" i="4"/>
  <c r="I103" i="4"/>
  <c r="I107" i="4"/>
  <c r="I109" i="4"/>
  <c r="I110" i="4"/>
  <c r="I117" i="4"/>
  <c r="I124" i="4"/>
  <c r="I72" i="4"/>
  <c r="N72" i="4" s="1"/>
  <c r="Q72" i="4" s="1"/>
  <c r="I106" i="4"/>
  <c r="I71" i="4"/>
  <c r="I75" i="4"/>
  <c r="N75" i="4" s="1"/>
  <c r="Q75" i="4" s="1"/>
  <c r="I80" i="4"/>
  <c r="L80" i="4" s="1"/>
  <c r="I83" i="4"/>
  <c r="N83" i="4" s="1"/>
  <c r="Q83" i="4" s="1"/>
  <c r="I86" i="4"/>
  <c r="I88" i="4"/>
  <c r="I94" i="4"/>
  <c r="I95" i="4"/>
  <c r="I98" i="4"/>
  <c r="I101" i="4"/>
  <c r="I118" i="4"/>
  <c r="I127" i="4"/>
  <c r="I73" i="4"/>
  <c r="N73" i="4" s="1"/>
  <c r="Q73" i="4" s="1"/>
  <c r="I74" i="4"/>
  <c r="N74" i="4" s="1"/>
  <c r="Q74" i="4" s="1"/>
  <c r="I78" i="4"/>
  <c r="N78" i="4" s="1"/>
  <c r="Q78" i="4" s="1"/>
  <c r="I82" i="4"/>
  <c r="N82" i="4" s="1"/>
  <c r="Q82" i="4" s="1"/>
  <c r="I85" i="4"/>
  <c r="I93" i="4"/>
  <c r="I112" i="4"/>
  <c r="I114" i="4"/>
  <c r="L114" i="4" s="1"/>
  <c r="M114" i="4" s="1"/>
  <c r="I121" i="4"/>
  <c r="I122" i="4"/>
  <c r="I84" i="4"/>
  <c r="I87" i="4"/>
  <c r="N87" i="4" s="1"/>
  <c r="Q87" i="4" s="1"/>
  <c r="I91" i="4"/>
  <c r="N91" i="4" s="1"/>
  <c r="Q91" i="4" s="1"/>
  <c r="I97" i="4"/>
  <c r="I105" i="4"/>
  <c r="I116" i="4"/>
  <c r="N116" i="4" s="1"/>
  <c r="Q116" i="4" s="1"/>
  <c r="I126" i="4"/>
  <c r="L105" i="4"/>
  <c r="N105" i="4"/>
  <c r="Q105" i="4"/>
  <c r="N121" i="4"/>
  <c r="Q121" i="4"/>
  <c r="L121" i="4"/>
  <c r="M121" i="4" s="1"/>
  <c r="N85" i="4"/>
  <c r="Q85" i="4"/>
  <c r="L85" i="4"/>
  <c r="L73" i="4"/>
  <c r="N101" i="4"/>
  <c r="Q101" i="4"/>
  <c r="L101" i="4"/>
  <c r="N88" i="4"/>
  <c r="Q88" i="4" s="1"/>
  <c r="L106" i="4"/>
  <c r="N106" i="4"/>
  <c r="Q106" i="4"/>
  <c r="N124" i="4"/>
  <c r="Q124" i="4"/>
  <c r="N107" i="4"/>
  <c r="Q107" i="4" s="1"/>
  <c r="N108" i="4"/>
  <c r="Q108" i="4"/>
  <c r="L96" i="4"/>
  <c r="N97" i="4"/>
  <c r="Q97" i="4"/>
  <c r="N114" i="4"/>
  <c r="Q114" i="4" s="1"/>
  <c r="N98" i="4"/>
  <c r="Q98" i="4"/>
  <c r="L98" i="4"/>
  <c r="N86" i="4"/>
  <c r="Q86" i="4" s="1"/>
  <c r="L86" i="4"/>
  <c r="N71" i="4"/>
  <c r="Q71" i="4"/>
  <c r="L71" i="4"/>
  <c r="M71" i="4" s="1"/>
  <c r="L72" i="4"/>
  <c r="N117" i="4"/>
  <c r="Q117" i="4"/>
  <c r="L117" i="4"/>
  <c r="N103" i="4"/>
  <c r="Q103" i="4"/>
  <c r="L103" i="4"/>
  <c r="L125" i="4"/>
  <c r="N125" i="4"/>
  <c r="Q125" i="4"/>
  <c r="N115" i="4"/>
  <c r="Q115" i="4" s="1"/>
  <c r="L104" i="4"/>
  <c r="N104" i="4"/>
  <c r="Q104" i="4"/>
  <c r="N76" i="4"/>
  <c r="Q76" i="4"/>
  <c r="L76" i="4"/>
  <c r="N126" i="4"/>
  <c r="Q126" i="4"/>
  <c r="L112" i="4"/>
  <c r="N112" i="4"/>
  <c r="Q112" i="4"/>
  <c r="L127" i="4"/>
  <c r="M127" i="4" s="1"/>
  <c r="N127" i="4"/>
  <c r="Q127" i="4"/>
  <c r="N95" i="4"/>
  <c r="Q95" i="4"/>
  <c r="L95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122" i="4"/>
  <c r="Q122" i="4"/>
  <c r="L122" i="4"/>
  <c r="N93" i="4"/>
  <c r="Q93" i="4" s="1"/>
  <c r="N118" i="4"/>
  <c r="Q118" i="4"/>
  <c r="L118" i="4"/>
  <c r="L94" i="4"/>
  <c r="N94" i="4"/>
  <c r="Q94" i="4" s="1"/>
  <c r="N109" i="4"/>
  <c r="Q109" i="4"/>
  <c r="L109" i="4"/>
  <c r="N111" i="4"/>
  <c r="Q111" i="4"/>
  <c r="L111" i="4"/>
  <c r="N99" i="4"/>
  <c r="Q99" i="4"/>
  <c r="L99" i="4"/>
  <c r="O80" i="4" l="1"/>
  <c r="P80" i="4" s="1"/>
  <c r="M80" i="4"/>
  <c r="M92" i="4"/>
  <c r="M90" i="4"/>
  <c r="M88" i="4"/>
  <c r="O75" i="4"/>
  <c r="P75" i="4" s="1"/>
  <c r="M81" i="4"/>
  <c r="M93" i="4"/>
  <c r="O74" i="4"/>
  <c r="P74" i="4" s="1"/>
  <c r="O82" i="4"/>
  <c r="P82" i="4" s="1"/>
  <c r="O96" i="4"/>
  <c r="P96" i="4" s="1"/>
  <c r="O72" i="4"/>
  <c r="P72" i="4" s="1"/>
  <c r="M76" i="4"/>
  <c r="O79" i="4"/>
  <c r="P79" i="4" s="1"/>
  <c r="N80" i="4"/>
  <c r="Q80" i="4" s="1"/>
  <c r="L116" i="4"/>
  <c r="M116" i="4" s="1"/>
  <c r="M96" i="4"/>
  <c r="M86" i="4"/>
  <c r="L108" i="4"/>
  <c r="M108" i="4" s="1"/>
  <c r="O95" i="4"/>
  <c r="P95" i="4" s="1"/>
  <c r="O83" i="4"/>
  <c r="P83" i="4" s="1"/>
  <c r="L84" i="4"/>
  <c r="O77" i="4"/>
  <c r="P77" i="4" s="1"/>
  <c r="O88" i="4"/>
  <c r="P88" i="4" s="1"/>
  <c r="N89" i="4"/>
  <c r="Q89" i="4" s="1"/>
  <c r="N90" i="4"/>
  <c r="Q90" i="4" s="1"/>
  <c r="O93" i="4"/>
  <c r="P93" i="4" s="1"/>
  <c r="O87" i="4"/>
  <c r="P87" i="4" s="1"/>
  <c r="M85" i="4"/>
  <c r="L119" i="4"/>
  <c r="M119" i="4" s="1"/>
  <c r="O81" i="4"/>
  <c r="P81" i="4" s="1"/>
  <c r="O85" i="4"/>
  <c r="P85" i="4" s="1"/>
  <c r="M73" i="4"/>
  <c r="L91" i="4"/>
  <c r="M91" i="4" s="1"/>
  <c r="N92" i="4"/>
  <c r="Q92" i="4" s="1"/>
  <c r="M97" i="4"/>
  <c r="O94" i="4"/>
  <c r="P94" i="4" s="1"/>
  <c r="L78" i="4"/>
  <c r="M72" i="4"/>
  <c r="O84" i="4"/>
  <c r="P84" i="4" s="1"/>
  <c r="O73" i="4"/>
  <c r="P73" i="4" s="1"/>
  <c r="M89" i="4"/>
  <c r="O89" i="4"/>
  <c r="P89" i="4" s="1"/>
  <c r="O90" i="4"/>
  <c r="P90" i="4" s="1"/>
  <c r="M94" i="4"/>
  <c r="N84" i="4"/>
  <c r="Q84" i="4" s="1"/>
  <c r="O76" i="4"/>
  <c r="P76" i="4" s="1"/>
  <c r="N81" i="4"/>
  <c r="Q81" i="4" s="1"/>
  <c r="L82" i="4"/>
  <c r="O92" i="4"/>
  <c r="P92" i="4" s="1"/>
  <c r="O86" i="4"/>
  <c r="P86" i="4" s="1"/>
  <c r="K97" i="4"/>
  <c r="K78" i="4"/>
  <c r="L87" i="4"/>
  <c r="L83" i="4"/>
  <c r="L74" i="4"/>
  <c r="L77" i="4"/>
  <c r="L79" i="4"/>
  <c r="L75" i="4"/>
  <c r="J14" i="4"/>
  <c r="J13" i="4" s="1"/>
  <c r="K16" i="4" s="1"/>
  <c r="M79" i="4" l="1"/>
  <c r="M77" i="4"/>
  <c r="M82" i="4"/>
  <c r="M78" i="4"/>
  <c r="M83" i="4"/>
  <c r="M87" i="4"/>
  <c r="O78" i="4"/>
  <c r="P78" i="4" s="1"/>
  <c r="O97" i="4"/>
  <c r="P97" i="4" s="1"/>
  <c r="M75" i="4"/>
  <c r="M74" i="4"/>
  <c r="M84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4" i="4" l="1"/>
  <c r="P64" i="4" s="1"/>
  <c r="O69" i="4"/>
  <c r="P69" i="4" s="1"/>
  <c r="O65" i="4"/>
  <c r="P65" i="4" s="1"/>
  <c r="O66" i="4"/>
  <c r="P66" i="4" s="1"/>
  <c r="M64" i="4"/>
  <c r="M69" i="4"/>
  <c r="M58" i="4"/>
  <c r="M57" i="4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L43" i="4" s="1"/>
  <c r="J31" i="4"/>
  <c r="K31" i="4" s="1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K45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9" i="4" l="1"/>
  <c r="P49" i="4" s="1"/>
  <c r="O48" i="4"/>
  <c r="P48" i="4" s="1"/>
  <c r="M48" i="4"/>
  <c r="L31" i="4"/>
  <c r="L30" i="4"/>
  <c r="M49" i="4"/>
  <c r="K43" i="4"/>
  <c r="M43" i="4"/>
  <c r="M39" i="4"/>
  <c r="O45" i="4"/>
  <c r="P45" i="4" s="1"/>
  <c r="M45" i="4"/>
  <c r="O47" i="4"/>
  <c r="P47" i="4" s="1"/>
  <c r="O31" i="4"/>
  <c r="P31" i="4" s="1"/>
  <c r="O35" i="4"/>
  <c r="P35" i="4" s="1"/>
  <c r="O28" i="4"/>
  <c r="P28" i="4" s="1"/>
  <c r="O46" i="4"/>
  <c r="P46" i="4" s="1"/>
  <c r="M44" i="4"/>
  <c r="L35" i="4"/>
  <c r="O43" i="4"/>
  <c r="P43" i="4" s="1"/>
  <c r="O41" i="4"/>
  <c r="P41" i="4" s="1"/>
  <c r="O30" i="4"/>
  <c r="P30" i="4" s="1"/>
  <c r="O33" i="4"/>
  <c r="P33" i="4" s="1"/>
  <c r="O39" i="4"/>
  <c r="P39" i="4" s="1"/>
  <c r="L47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31" i="4" l="1"/>
  <c r="O38" i="4"/>
  <c r="P38" i="4" s="1"/>
  <c r="M46" i="4"/>
  <c r="O44" i="4"/>
  <c r="P44" i="4" s="1"/>
  <c r="O36" i="4"/>
  <c r="P36" i="4" s="1"/>
  <c r="M47" i="4"/>
  <c r="O29" i="4"/>
  <c r="P29" i="4" s="1"/>
  <c r="O32" i="4"/>
  <c r="P32" i="4" s="1"/>
  <c r="O40" i="4"/>
  <c r="P40" i="4" s="1"/>
  <c r="M33" i="4"/>
  <c r="M35" i="4"/>
  <c r="O34" i="4"/>
  <c r="P34" i="4" s="1"/>
  <c r="O42" i="4"/>
  <c r="P42" i="4" s="1"/>
  <c r="M41" i="4"/>
  <c r="O37" i="4"/>
  <c r="P37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<sst xmlns="http://schemas.openxmlformats.org/spreadsheetml/2006/main" count="318" uniqueCount="294">
  <si>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</si>
  <si>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</si>
  <si>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</si>
  <si>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</si>
  <si>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</si>
  <si>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</si>
  <si>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</si>
  <si>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</si>
  <si>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</si>
  <si>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</si>
  <si>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</si>
  <si>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</si>
  <si>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</si>
  <si>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</si>
  <si>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</si>
  <si>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</si>
  <si>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</si>
  <si>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</si>
  <si>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</si>
  <si>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</si>
  <si>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</si>
  <si>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</si>
  <si>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</si>
  <si>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</si>
  <si>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</si>
  <si>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</si>
  <si>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</si>
  <si>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</si>
  <si>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</si>
  <si>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</si>
  <si>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</si>
  <si>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</si>
  <si>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</si>
  <si>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</si>
  <si>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</si>
  <si>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</si>
  <si>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</si>
  <si>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</si>
  <si>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</si>
  <si>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</si>
  <si>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</si>
  <si>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</si>
  <si>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</si>
  <si>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</si>
  <si>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</si>
  <si>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</si>
  <si>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</si>
  <si>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</si>
  <si>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</si>
  <si>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</si>
  <si>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</si>
  <si>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</si>
  <si>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</si>
  <si>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</si>
  <si>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</si>
  <si>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</si>
  <si>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</si>
  <si>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</si>
  <si>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</si>
  <si>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</si>
  <si>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</si>
  <si>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</si>
  <si>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</si>
  <si>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</si>
  <si>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</si>
  <si>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</si>
  <si>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</si>
  <si>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</si>
  <si>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</si>
  <si>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</si>
  <si>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</si>
  <si>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</si>
  <si>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</si>
  <si>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</si>
  <si>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</si>
  <si>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</si>
  <si>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</si>
  <si>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</si>
  <si>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</si>
  <si>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</si>
  <si>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</si>
  <si>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</si>
  <si>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</si>
  <si>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</si>
  <si>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</si>
  <si>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</si>
  <si>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</si>
  <si>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</si>
  <si>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</si>
  <si>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</si>
  <si>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</si>
  <si>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</si>
  <si>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</si>
  <si>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</si>
  <si>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</si>
  <si>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</si>
  <si>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</si>
  <si>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</si>
  <si>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</si>
  <si>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</si>
  <si>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</si>
  <si>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</si>
  <si>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</si>
  <si>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</si>
  <si>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</si>
  <si>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</si>
  <si>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</si>
  <si>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</si>
  <si>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</si>
  <si>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</si>
  <si>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</si>
  <si>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Rat cerebellar granule cell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</si>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</sst>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J15" sqref="J1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111</v>
      </c>
      <c r="K17" s="31" t="s">
        <v>79</v>
      </c>
      <c r="L17" s="81">
        <v>4.6260000000000035E-5</v>
      </c>
      <c r="M17" s="81">
        <v>7.4529999999999993E-5</v>
      </c>
      <c r="N17" s="81">
        <v>2.4492099999999998E-3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0" zoomScale="70" zoomScaleNormal="70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40.014392000000001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39.793059055999997</v>
      </c>
      <c r="K8" s="39">
        <f>J8/J7</f>
        <v>0.99446866657376665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0.19241736800000003</v>
      </c>
      <c r="K9" s="39">
        <f>J9/J7</f>
        <v>4.808704028290622E-3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2.8915575999999998E-2</v>
      </c>
      <c r="K10" s="39">
        <f>J10/J7</f>
        <v>7.2262939794262018E-4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1.4391999999999999E-2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2.5905600000000018E-4</v>
      </c>
      <c r="K20" s="39">
        <f>J20/J19</f>
        <v>1.8000000000000016E-2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4.1736799999999994E-4</v>
      </c>
      <c r="K21" s="39">
        <f>J21/J19</f>
        <v>2.8999999999999998E-2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1.3715575999999998E-2</v>
      </c>
      <c r="K22" s="39">
        <f>J22/J19</f>
        <v>0.95299999999999996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1.8888623824539965</v>
      </c>
      <c r="K28" s="95">
        <f t="shared" ref="K28:K47" si="3">IF(D28=0,"",1/(1+10^D28*$J$15/$J$14+10^E28*$J$16/$J$14+10^J28*$J$19/$J$14))</f>
        <v>0.78681627819192601</v>
      </c>
      <c r="L28" s="95">
        <f t="shared" ref="L28:L47" si="4">IF(D28=0,"",1/(1+10^I28/10^J28*$J$13/$J$19))</f>
        <v>2.2031921219087269E-2</v>
      </c>
      <c r="M28" s="95">
        <f t="shared" ref="M28:M47" si="5">IF(D28=0,"",1-L28)</f>
        <v>0.97796807878091274</v>
      </c>
      <c r="N28" s="95">
        <f t="shared" ref="N28:N47" si="6">IF(D28=0,"",1/(1/10^E28*$J$20/$J$22+10^D28/10^E28*$J$21/$J$22+10^I28/10^E28*$J$13/$J$22+1))</f>
        <v>2.166346332129682E-2</v>
      </c>
      <c r="O28" s="40">
        <f t="shared" ref="O28:O47" si="7">IF(D28=0,"",F28*K28*$J$7/$J$14)</f>
        <v>7.9119777918499775E-7</v>
      </c>
      <c r="P28" s="40">
        <f t="shared" ref="P28:P47" si="8">IF(D28=0,"",O28*10^J28)</f>
        <v>6.1255831863095872E-5</v>
      </c>
      <c r="Q28" s="40">
        <f t="shared" ref="Q28:Q47" si="9">IF(D28=0,"",F28*N28*$J$7/$J$22)</f>
        <v>6.320188910884916E-5</v>
      </c>
      <c r="R28" s="9">
        <f>F28*$C$14</f>
        <v>3.9999999999999996E-5</v>
      </c>
      <c r="S28" s="9">
        <f>$R28*L28</f>
        <v>8.8127684876349063E-7</v>
      </c>
      <c r="T28" s="9">
        <f>R28*K28</f>
        <v>3.1472651127677037E-5</v>
      </c>
      <c r="U28" s="9">
        <f>$R28*M28</f>
        <v>3.9118723151236504E-5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5.8157308430918091</v>
      </c>
      <c r="K29" s="95">
        <f t="shared" si="3"/>
        <v>1.3096862776417054E-3</v>
      </c>
      <c r="L29" s="95">
        <f t="shared" si="4"/>
        <v>0.30989514435592769</v>
      </c>
      <c r="M29" s="95">
        <f t="shared" si="5"/>
        <v>0.69010485564407231</v>
      </c>
      <c r="N29" s="95">
        <f t="shared" si="6"/>
        <v>0.30914258138295764</v>
      </c>
      <c r="O29" s="40">
        <f t="shared" si="7"/>
        <v>1.3169794563482851E-9</v>
      </c>
      <c r="P29" s="40">
        <f t="shared" si="8"/>
        <v>8.6160823965777424E-4</v>
      </c>
      <c r="Q29" s="40">
        <f t="shared" si="9"/>
        <v>9.0190542747527116E-4</v>
      </c>
      <c r="R29" s="9">
        <f>F29*$C$14</f>
        <v>3.9999999999999996E-5</v>
      </c>
      <c r="S29" s="9">
        <f t="shared" ref="S29:S49" si="10">$R29*L29</f>
        <v>1.2395805774237106E-5</v>
      </c>
      <c r="T29" s="9">
        <f t="shared" ref="T29:T49" si="11">R29*K29</f>
        <v>5.2387451105668213E-8</v>
      </c>
      <c r="U29" s="9">
        <f t="shared" ref="U29:U49" si="12">$R29*M29</f>
        <v>2.7604194225762889E-5</v>
      </c>
      <c r="V29" s="102">
        <f t="shared" ref="V29:V49" si="13">K29/M29</f>
        <v>1.8978076547793306E-3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9.279109970691108</v>
      </c>
      <c r="K30" s="95">
        <f t="shared" si="3"/>
        <v>6.5927147662327422E-7</v>
      </c>
      <c r="L30" s="95">
        <f t="shared" si="4"/>
        <v>0.45340980581157381</v>
      </c>
      <c r="M30" s="95">
        <f t="shared" si="5"/>
        <v>0.54659019418842614</v>
      </c>
      <c r="N30" s="95">
        <f t="shared" si="6"/>
        <v>0.45331369351495654</v>
      </c>
      <c r="O30" s="40">
        <f t="shared" si="7"/>
        <v>6.6294272582031251E-13</v>
      </c>
      <c r="P30" s="40">
        <f t="shared" si="8"/>
        <v>1.2606251880480975E-3</v>
      </c>
      <c r="Q30" s="40">
        <f t="shared" si="9"/>
        <v>1.3225162276287433E-3</v>
      </c>
      <c r="R30" s="9">
        <f t="shared" ref="R30:R49" si="14">F30*$C$14</f>
        <v>3.9999999999999996E-5</v>
      </c>
      <c r="S30" s="9">
        <f t="shared" si="10"/>
        <v>1.813639223246295E-5</v>
      </c>
      <c r="T30" s="9">
        <f t="shared" si="11"/>
        <v>2.6370859064930967E-11</v>
      </c>
      <c r="U30" s="9">
        <f t="shared" si="12"/>
        <v>2.1863607767537043E-5</v>
      </c>
      <c r="V30" s="102">
        <f t="shared" si="13"/>
        <v>1.2061531356268778E-6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4.2768094924983595</v>
      </c>
      <c r="K31" s="95">
        <f t="shared" si="3"/>
        <v>3.8128617420757356E-2</v>
      </c>
      <c r="L31" s="95">
        <f t="shared" si="4"/>
        <v>0.26084180771472104</v>
      </c>
      <c r="M31" s="95">
        <f t="shared" si="5"/>
        <v>0.73915819228527901</v>
      </c>
      <c r="N31" s="95">
        <f t="shared" si="6"/>
        <v>0.25994388743535085</v>
      </c>
      <c r="O31" s="40">
        <f t="shared" si="7"/>
        <v>3.834094217778628E-8</v>
      </c>
      <c r="P31" s="40">
        <f t="shared" si="8"/>
        <v>7.2522417620104747E-4</v>
      </c>
      <c r="Q31" s="40">
        <f t="shared" si="9"/>
        <v>7.5837111105228128E-4</v>
      </c>
      <c r="R31" s="9">
        <f t="shared" si="14"/>
        <v>3.9999999999999996E-5</v>
      </c>
      <c r="S31" s="9">
        <f t="shared" si="10"/>
        <v>1.0433672308588841E-5</v>
      </c>
      <c r="T31" s="9">
        <f t="shared" si="11"/>
        <v>1.525144696830294E-6</v>
      </c>
      <c r="U31" s="9">
        <f t="shared" si="12"/>
        <v>2.9566327691411157E-5</v>
      </c>
      <c r="V31" s="102">
        <f t="shared" si="13"/>
        <v>5.1583839317093802E-2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7.0202300748795512</v>
      </c>
      <c r="K32" s="95">
        <f t="shared" si="3"/>
        <v>8.3489067742956941E-5</v>
      </c>
      <c r="L32" s="95">
        <f t="shared" si="4"/>
        <v>0.31635619088642664</v>
      </c>
      <c r="M32" s="95">
        <f t="shared" si="5"/>
        <v>0.68364380911357336</v>
      </c>
      <c r="N32" s="95">
        <f t="shared" si="6"/>
        <v>0.31563064549795256</v>
      </c>
      <c r="O32" s="40">
        <f t="shared" si="7"/>
        <v>8.3953988771366529E-11</v>
      </c>
      <c r="P32" s="40">
        <f t="shared" si="8"/>
        <v>8.795720284711161E-4</v>
      </c>
      <c r="Q32" s="40">
        <f t="shared" si="9"/>
        <v>9.2083397563238393E-4</v>
      </c>
      <c r="R32" s="9">
        <f t="shared" si="14"/>
        <v>3.9999999999999996E-5</v>
      </c>
      <c r="S32" s="9">
        <f t="shared" si="10"/>
        <v>1.2654247635457065E-5</v>
      </c>
      <c r="T32" s="9">
        <f t="shared" si="11"/>
        <v>3.3395627097182775E-9</v>
      </c>
      <c r="U32" s="9">
        <f t="shared" si="12"/>
        <v>2.7345752364542933E-5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6.5109992218451609</v>
      </c>
      <c r="K33" s="95">
        <f t="shared" si="3"/>
        <v>2.4371014692968403E-4</v>
      </c>
      <c r="L33" s="95">
        <f t="shared" si="4"/>
        <v>0.28588375945559735</v>
      </c>
      <c r="M33" s="95">
        <f t="shared" si="5"/>
        <v>0.71411624054440259</v>
      </c>
      <c r="N33" s="95">
        <f t="shared" si="6"/>
        <v>0.28501857430477168</v>
      </c>
      <c r="O33" s="40">
        <f t="shared" si="7"/>
        <v>2.4506728236319064E-10</v>
      </c>
      <c r="P33" s="40">
        <f t="shared" si="8"/>
        <v>7.948488616794046E-4</v>
      </c>
      <c r="Q33" s="40">
        <f t="shared" si="9"/>
        <v>8.3152504564972429E-4</v>
      </c>
      <c r="R33" s="9">
        <f t="shared" si="14"/>
        <v>3.9999999999999996E-5</v>
      </c>
      <c r="S33" s="9">
        <f t="shared" si="10"/>
        <v>1.1435350378223893E-5</v>
      </c>
      <c r="T33" s="9">
        <f t="shared" si="11"/>
        <v>9.7484058771873606E-9</v>
      </c>
      <c r="U33" s="9">
        <f t="shared" si="12"/>
        <v>2.85646496217761E-5</v>
      </c>
      <c r="V33" s="102">
        <f t="shared" si="13"/>
        <v>3.4127517775522502E-4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6.5480702357711023</v>
      </c>
      <c r="K34" s="95">
        <f t="shared" si="3"/>
        <v>2.4020031845697123E-4</v>
      </c>
      <c r="L34" s="95">
        <f t="shared" si="4"/>
        <v>0.30687426256226463</v>
      </c>
      <c r="M34" s="95">
        <f t="shared" si="5"/>
        <v>0.69312573743773531</v>
      </c>
      <c r="N34" s="95">
        <f t="shared" si="6"/>
        <v>0.30610549843208901</v>
      </c>
      <c r="O34" s="40">
        <f t="shared" si="7"/>
        <v>2.4153790889965227E-10</v>
      </c>
      <c r="P34" s="40">
        <f t="shared" si="8"/>
        <v>8.532092160142711E-4</v>
      </c>
      <c r="Q34" s="40">
        <f t="shared" si="9"/>
        <v>8.9304491532962206E-4</v>
      </c>
      <c r="R34" s="9">
        <f t="shared" si="14"/>
        <v>3.9999999999999996E-5</v>
      </c>
      <c r="S34" s="9">
        <f t="shared" si="10"/>
        <v>1.2274970502490585E-5</v>
      </c>
      <c r="T34" s="9">
        <f t="shared" si="11"/>
        <v>9.6080127382788481E-9</v>
      </c>
      <c r="U34" s="9">
        <f t="shared" si="12"/>
        <v>2.7725029497509408E-5</v>
      </c>
      <c r="V34" s="102">
        <f t="shared" si="13"/>
        <v>3.4654652898176192E-4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3.2330538908434048</v>
      </c>
      <c r="K35" s="95">
        <f t="shared" si="3"/>
        <v>0.20713802188967717</v>
      </c>
      <c r="L35" s="95">
        <f t="shared" si="4"/>
        <v>0.12812396395450551</v>
      </c>
      <c r="M35" s="95">
        <f t="shared" si="5"/>
        <v>0.87187603604549446</v>
      </c>
      <c r="N35" s="95">
        <f t="shared" si="6"/>
        <v>0.12698352432121993</v>
      </c>
      <c r="O35" s="40">
        <f t="shared" si="7"/>
        <v>2.0829150012057769E-7</v>
      </c>
      <c r="P35" s="40">
        <f t="shared" si="8"/>
        <v>3.5622585591088486E-4</v>
      </c>
      <c r="Q35" s="40">
        <f t="shared" si="9"/>
        <v>3.7046701645857444E-4</v>
      </c>
      <c r="R35" s="9">
        <f t="shared" si="14"/>
        <v>3.9999999999999996E-5</v>
      </c>
      <c r="S35" s="9">
        <f t="shared" si="10"/>
        <v>5.1249585581802197E-6</v>
      </c>
      <c r="T35" s="9">
        <f t="shared" si="11"/>
        <v>8.2855208755870855E-6</v>
      </c>
      <c r="U35" s="9">
        <f t="shared" si="12"/>
        <v>3.4875041441819778E-5</v>
      </c>
      <c r="V35" s="102">
        <f t="shared" si="13"/>
        <v>0.23757737720281685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9.7251689720970358</v>
      </c>
      <c r="K36" s="95">
        <f t="shared" si="3"/>
        <v>2.3684480816080531E-7</v>
      </c>
      <c r="L36" s="95">
        <f t="shared" si="4"/>
        <v>0.45493514897141268</v>
      </c>
      <c r="M36" s="95">
        <f t="shared" si="5"/>
        <v>0.54506485102858737</v>
      </c>
      <c r="N36" s="95">
        <f t="shared" si="6"/>
        <v>0.45484604305815662</v>
      </c>
      <c r="O36" s="40">
        <f t="shared" si="7"/>
        <v>2.3816371295589308E-13</v>
      </c>
      <c r="P36" s="40">
        <f t="shared" si="8"/>
        <v>1.2648661329572343E-3</v>
      </c>
      <c r="Q36" s="40">
        <f t="shared" si="9"/>
        <v>1.3269867679328933E-3</v>
      </c>
      <c r="R36" s="9">
        <f t="shared" si="14"/>
        <v>3.9999999999999996E-5</v>
      </c>
      <c r="S36" s="9">
        <f t="shared" si="10"/>
        <v>1.8197405958856506E-5</v>
      </c>
      <c r="T36" s="9">
        <f t="shared" si="11"/>
        <v>9.4737923264322114E-12</v>
      </c>
      <c r="U36" s="9">
        <f t="shared" si="12"/>
        <v>2.1802594041143494E-5</v>
      </c>
      <c r="V36" s="102">
        <f t="shared" si="13"/>
        <v>4.3452592423425839E-7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5.0912433878185999</v>
      </c>
      <c r="K37" s="95">
        <f t="shared" si="3"/>
        <v>6.388219766169689E-3</v>
      </c>
      <c r="L37" s="95">
        <f t="shared" si="4"/>
        <v>0.28506236719448169</v>
      </c>
      <c r="M37" s="95">
        <f t="shared" si="5"/>
        <v>0.71493763280551836</v>
      </c>
      <c r="N37" s="95">
        <f t="shared" si="6"/>
        <v>0.28420675767605352</v>
      </c>
      <c r="O37" s="40">
        <f t="shared" si="7"/>
        <v>6.4237934979609953E-9</v>
      </c>
      <c r="P37" s="40">
        <f t="shared" si="8"/>
        <v>7.9256512683212484E-4</v>
      </c>
      <c r="Q37" s="40">
        <f t="shared" si="9"/>
        <v>8.2915661804495967E-4</v>
      </c>
      <c r="R37" s="9">
        <f t="shared" si="14"/>
        <v>3.9999999999999996E-5</v>
      </c>
      <c r="S37" s="9">
        <f t="shared" si="10"/>
        <v>1.1402494687779267E-5</v>
      </c>
      <c r="T37" s="9">
        <f t="shared" si="11"/>
        <v>2.5552879064678755E-7</v>
      </c>
      <c r="U37" s="9">
        <f t="shared" si="12"/>
        <v>2.8597505312220731E-5</v>
      </c>
      <c r="V37" s="102">
        <f t="shared" si="13"/>
        <v>8.9353525021495846E-3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3.5606397320231116</v>
      </c>
      <c r="K38" s="95">
        <f t="shared" si="3"/>
        <v>0.14238135120442927</v>
      </c>
      <c r="L38" s="95">
        <f t="shared" si="4"/>
        <v>0.18724468256940963</v>
      </c>
      <c r="M38" s="95">
        <f t="shared" si="5"/>
        <v>0.81275531743059037</v>
      </c>
      <c r="N38" s="95">
        <f t="shared" si="6"/>
        <v>0.18623515380221123</v>
      </c>
      <c r="O38" s="40">
        <f t="shared" si="7"/>
        <v>1.4317422248707568E-7</v>
      </c>
      <c r="P38" s="40">
        <f t="shared" si="8"/>
        <v>5.2060048139577022E-4</v>
      </c>
      <c r="Q38" s="40">
        <f t="shared" si="9"/>
        <v>5.4333018521584295E-4</v>
      </c>
      <c r="R38" s="9">
        <f t="shared" si="14"/>
        <v>3.9999999999999996E-5</v>
      </c>
      <c r="S38" s="9">
        <f t="shared" si="10"/>
        <v>7.4897873027763842E-6</v>
      </c>
      <c r="T38" s="9">
        <f t="shared" si="11"/>
        <v>5.6952540481771702E-6</v>
      </c>
      <c r="U38" s="9">
        <f t="shared" si="12"/>
        <v>3.2510212697223609E-5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-1.0314794301942178</v>
      </c>
      <c r="K39" s="95">
        <f t="shared" si="3"/>
        <v>0.99517181965864421</v>
      </c>
      <c r="L39" s="95">
        <f t="shared" si="4"/>
        <v>3.347613345918335E-5</v>
      </c>
      <c r="M39" s="95">
        <f t="shared" si="5"/>
        <v>0.99996652386654084</v>
      </c>
      <c r="N39" s="95">
        <f t="shared" si="6"/>
        <v>1.6614781008448859E-5</v>
      </c>
      <c r="O39" s="40">
        <f t="shared" si="7"/>
        <v>1.0007135788176326E-6</v>
      </c>
      <c r="P39" s="40">
        <f t="shared" si="8"/>
        <v>9.3074425158426802E-8</v>
      </c>
      <c r="Q39" s="40">
        <f t="shared" si="9"/>
        <v>4.847265330061442E-8</v>
      </c>
      <c r="R39" s="9">
        <f t="shared" si="14"/>
        <v>3.9999999999999996E-5</v>
      </c>
      <c r="S39" s="9">
        <f t="shared" si="10"/>
        <v>1.3390453383673338E-9</v>
      </c>
      <c r="T39" s="9">
        <f t="shared" si="11"/>
        <v>3.9806872786345764E-5</v>
      </c>
      <c r="U39" s="9">
        <f t="shared" si="12"/>
        <v>3.9998660954661627E-5</v>
      </c>
      <c r="V39" s="102">
        <f t="shared" si="13"/>
        <v>0.99520513527857202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3.737559055838291</v>
      </c>
      <c r="K40" s="95">
        <f t="shared" si="3"/>
        <v>7.4403631869073047E-2</v>
      </c>
      <c r="L40" s="95">
        <f t="shared" si="4"/>
        <v>0.14705162983973624</v>
      </c>
      <c r="M40" s="95">
        <f t="shared" si="5"/>
        <v>0.85294837016026381</v>
      </c>
      <c r="N40" s="95">
        <f t="shared" si="6"/>
        <v>0.14570977485952996</v>
      </c>
      <c r="O40" s="40">
        <f t="shared" si="7"/>
        <v>7.4817959325123669E-8</v>
      </c>
      <c r="P40" s="40">
        <f t="shared" si="8"/>
        <v>4.0885085885534355E-4</v>
      </c>
      <c r="Q40" s="40">
        <f t="shared" si="9"/>
        <v>4.2509975880422211E-4</v>
      </c>
      <c r="R40" s="9">
        <f t="shared" si="14"/>
        <v>3.9999999999999996E-5</v>
      </c>
      <c r="S40" s="9">
        <f t="shared" si="10"/>
        <v>5.8820651935894488E-6</v>
      </c>
      <c r="T40" s="9">
        <f t="shared" si="11"/>
        <v>2.9761452747629216E-6</v>
      </c>
      <c r="U40" s="9">
        <f t="shared" si="12"/>
        <v>3.4117934806410549E-5</v>
      </c>
      <c r="V40" s="102">
        <f t="shared" si="13"/>
        <v>8.7231108554780473E-2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3.8048590996090375</v>
      </c>
      <c r="K41" s="95">
        <f t="shared" si="3"/>
        <v>6.1867061980559072E-2</v>
      </c>
      <c r="L41" s="95">
        <f t="shared" si="4"/>
        <v>0.14276943571703068</v>
      </c>
      <c r="M41" s="95">
        <f t="shared" si="5"/>
        <v>0.85723056428296929</v>
      </c>
      <c r="N41" s="95">
        <f t="shared" si="6"/>
        <v>0.14138067279961555</v>
      </c>
      <c r="O41" s="40">
        <f t="shared" si="7"/>
        <v>6.2211577722059935E-8</v>
      </c>
      <c r="P41" s="40">
        <f t="shared" si="8"/>
        <v>3.969449809894432E-4</v>
      </c>
      <c r="Q41" s="40">
        <f t="shared" si="9"/>
        <v>4.1246985636093989E-4</v>
      </c>
      <c r="R41" s="9">
        <f t="shared" si="14"/>
        <v>3.9999999999999996E-5</v>
      </c>
      <c r="S41" s="9">
        <f t="shared" si="10"/>
        <v>5.7107774286812266E-6</v>
      </c>
      <c r="T41" s="9">
        <f t="shared" si="11"/>
        <v>2.4746824792223625E-6</v>
      </c>
      <c r="U41" s="9">
        <f t="shared" si="12"/>
        <v>3.4289222571318767E-5</v>
      </c>
      <c r="V41" s="102">
        <f t="shared" si="13"/>
        <v>7.2170854094904785E-2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5.6187291277528306</v>
      </c>
      <c r="K42" s="95">
        <f t="shared" si="3"/>
        <v>2.2491537609838574E-3</v>
      </c>
      <c r="L42" s="95">
        <f t="shared" si="4"/>
        <v>0.33811537947946829</v>
      </c>
      <c r="M42" s="95">
        <f t="shared" si="5"/>
        <v>0.66188462052053176</v>
      </c>
      <c r="N42" s="95">
        <f t="shared" si="6"/>
        <v>0.33749449895433509</v>
      </c>
      <c r="O42" s="40">
        <f t="shared" si="7"/>
        <v>2.2616785011429799E-9</v>
      </c>
      <c r="P42" s="40">
        <f t="shared" si="8"/>
        <v>9.4006957585604555E-4</v>
      </c>
      <c r="Q42" s="40">
        <f t="shared" si="9"/>
        <v>9.8462049125770256E-4</v>
      </c>
      <c r="R42" s="9">
        <f t="shared" si="14"/>
        <v>3.9999999999999996E-5</v>
      </c>
      <c r="S42" s="9">
        <f t="shared" si="10"/>
        <v>1.3524615179178731E-5</v>
      </c>
      <c r="T42" s="9">
        <f t="shared" si="11"/>
        <v>8.9966150439354284E-8</v>
      </c>
      <c r="U42" s="9">
        <f t="shared" si="12"/>
        <v>2.6475384820821269E-5</v>
      </c>
      <c r="V42" s="102">
        <f t="shared" si="13"/>
        <v>3.3981054873507039E-3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5.2887765986811166</v>
      </c>
      <c r="K43" s="95">
        <f t="shared" si="3"/>
        <v>4.1669668019628774E-3</v>
      </c>
      <c r="L43" s="95">
        <f t="shared" si="4"/>
        <v>0.29303081322538782</v>
      </c>
      <c r="M43" s="95">
        <f t="shared" si="5"/>
        <v>0.70696918677461218</v>
      </c>
      <c r="N43" s="95">
        <f t="shared" si="6"/>
        <v>0.29220698438703635</v>
      </c>
      <c r="O43" s="40">
        <f t="shared" si="7"/>
        <v>4.1901711632438273E-9</v>
      </c>
      <c r="P43" s="40">
        <f t="shared" si="8"/>
        <v>8.147199714062999E-4</v>
      </c>
      <c r="Q43" s="40">
        <f t="shared" si="9"/>
        <v>8.5249681226663417E-4</v>
      </c>
      <c r="R43" s="9">
        <f t="shared" si="14"/>
        <v>3.9999999999999996E-5</v>
      </c>
      <c r="S43" s="9">
        <f t="shared" si="10"/>
        <v>1.1721232529015511E-5</v>
      </c>
      <c r="T43" s="9">
        <f t="shared" si="11"/>
        <v>1.6667867207851509E-7</v>
      </c>
      <c r="U43" s="9">
        <f t="shared" si="12"/>
        <v>2.8278767470984485E-5</v>
      </c>
      <c r="V43" s="102">
        <f t="shared" si="13"/>
        <v>5.8941278911655622E-3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3.5069752121358908</v>
      </c>
      <c r="K44" s="95">
        <f t="shared" si="3"/>
        <v>0.15968302556698655</v>
      </c>
      <c r="L44" s="95">
        <f t="shared" si="4"/>
        <v>0.18558830960010653</v>
      </c>
      <c r="M44" s="95">
        <f t="shared" si="5"/>
        <v>0.81441169039989347</v>
      </c>
      <c r="N44" s="95">
        <f t="shared" si="6"/>
        <v>0.18460875974325408</v>
      </c>
      <c r="O44" s="40">
        <f t="shared" si="7"/>
        <v>1.6057224374217E-7</v>
      </c>
      <c r="P44" s="40">
        <f t="shared" si="8"/>
        <v>5.1599523144497136E-4</v>
      </c>
      <c r="Q44" s="40">
        <f t="shared" si="9"/>
        <v>5.3858527552910567E-4</v>
      </c>
      <c r="R44" s="9">
        <f t="shared" si="14"/>
        <v>3.9999999999999996E-5</v>
      </c>
      <c r="S44" s="9">
        <f t="shared" si="10"/>
        <v>7.4235323840042605E-6</v>
      </c>
      <c r="T44" s="9">
        <f t="shared" si="11"/>
        <v>6.3873210226794611E-6</v>
      </c>
      <c r="U44" s="9">
        <f t="shared" si="12"/>
        <v>3.2576467615995738E-5</v>
      </c>
      <c r="V44" s="102">
        <f t="shared" si="13"/>
        <v>0.19607162746961404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5.2478046732163026</v>
      </c>
      <c r="K45" s="95">
        <f t="shared" si="3"/>
        <v>3.6029776924719654E-3</v>
      </c>
      <c r="L45" s="95">
        <f t="shared" si="4"/>
        <v>0.23055943417771591</v>
      </c>
      <c r="M45" s="95">
        <f t="shared" si="5"/>
        <v>0.76944056582228404</v>
      </c>
      <c r="N45" s="95">
        <f t="shared" si="6"/>
        <v>0.22944739168435818</v>
      </c>
      <c r="O45" s="40">
        <f t="shared" si="7"/>
        <v>3.6230413982888528E-9</v>
      </c>
      <c r="P45" s="40">
        <f t="shared" si="8"/>
        <v>6.4102943152343796E-4</v>
      </c>
      <c r="Q45" s="40">
        <f t="shared" si="9"/>
        <v>6.6939936567268115E-4</v>
      </c>
      <c r="R45" s="9">
        <f t="shared" si="14"/>
        <v>3.9999999999999996E-5</v>
      </c>
      <c r="S45" s="9">
        <f t="shared" si="10"/>
        <v>9.2223773671086351E-6</v>
      </c>
      <c r="T45" s="9">
        <f t="shared" si="11"/>
        <v>1.4411910769887861E-7</v>
      </c>
      <c r="U45" s="9">
        <f t="shared" si="12"/>
        <v>3.0777622632891358E-5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3.4129584322588506</v>
      </c>
      <c r="K46" s="95">
        <f t="shared" si="3"/>
        <v>0.18620250606465874</v>
      </c>
      <c r="L46" s="95">
        <f t="shared" si="4"/>
        <v>0.17428523856746722</v>
      </c>
      <c r="M46" s="95">
        <f t="shared" si="5"/>
        <v>0.82571476143253275</v>
      </c>
      <c r="N46" s="95">
        <f t="shared" si="6"/>
        <v>0.17331137730754798</v>
      </c>
      <c r="O46" s="40">
        <f t="shared" si="7"/>
        <v>1.8723940182780885E-7</v>
      </c>
      <c r="P46" s="40">
        <f t="shared" si="8"/>
        <v>4.8456905613202829E-4</v>
      </c>
      <c r="Q46" s="40">
        <f t="shared" si="9"/>
        <v>5.0562582203212835E-4</v>
      </c>
      <c r="R46" s="9">
        <f t="shared" si="14"/>
        <v>3.9999999999999996E-5</v>
      </c>
      <c r="S46" s="9">
        <f t="shared" si="10"/>
        <v>6.9714095426986886E-6</v>
      </c>
      <c r="T46" s="9">
        <f t="shared" si="11"/>
        <v>7.448100242586349E-6</v>
      </c>
      <c r="U46" s="9">
        <f t="shared" si="12"/>
        <v>3.3028590457301308E-5</v>
      </c>
      <c r="V46" s="102">
        <f t="shared" si="13"/>
        <v>0.22550463521036729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4.2457183871894006</v>
      </c>
      <c r="K47" s="95">
        <f t="shared" si="3"/>
        <v>2.0306787811927976E-2</v>
      </c>
      <c r="L47" s="95">
        <f t="shared" si="4"/>
        <v>0.12932314845373832</v>
      </c>
      <c r="M47" s="95">
        <f t="shared" si="5"/>
        <v>0.87067685154626173</v>
      </c>
      <c r="N47" s="95">
        <f t="shared" si="6"/>
        <v>0.12778232406802942</v>
      </c>
      <c r="O47" s="40">
        <f t="shared" si="7"/>
        <v>2.0419869116204647E-8</v>
      </c>
      <c r="P47" s="40">
        <f t="shared" si="8"/>
        <v>3.5955997477085064E-4</v>
      </c>
      <c r="Q47" s="40">
        <f t="shared" si="9"/>
        <v>3.7279746807054724E-4</v>
      </c>
      <c r="R47" s="9">
        <f t="shared" si="14"/>
        <v>3.9999999999999996E-5</v>
      </c>
      <c r="S47" s="9">
        <f t="shared" si="10"/>
        <v>5.1729259381495326E-6</v>
      </c>
      <c r="T47" s="9">
        <f t="shared" si="11"/>
        <v>8.1227151247711898E-7</v>
      </c>
      <c r="U47" s="9">
        <f t="shared" si="12"/>
        <v>3.4827074061850467E-5</v>
      </c>
      <c r="V47" s="102">
        <f t="shared" si="13"/>
        <v>2.3322990356140202E-2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2.3364900872934777</v>
      </c>
      <c r="K48" s="95">
        <f t="shared" ref="K48:K50" si="17">IF(D48=0,"",1/(1+10^D48*$J$15/$J$14+10^E48*$J$16/$J$14+10^J48*$J$19/$J$14))</f>
        <v>0.59961239971510516</v>
      </c>
      <c r="L48" s="95">
        <f t="shared" ref="L48:L50" si="18">IF(D48=0,"",1/(1+10^I48/10^J48*$J$13/$J$19))</f>
        <v>4.7062754685376712E-2</v>
      </c>
      <c r="M48" s="95">
        <f t="shared" ref="M48:M92" si="19">IF(D48=0,"",1-L48)</f>
        <v>0.95293724531462332</v>
      </c>
      <c r="N48" s="95">
        <f t="shared" ref="N48:N50" si="20">IF(D48=0,"",1/(1/10^E48*$J$20/$J$22+10^D48/10^E48*$J$21/$J$22+10^I48/10^E48*$J$13/$J$22+1))</f>
        <v>4.640258309585879E-2</v>
      </c>
      <c r="O48" s="40">
        <f t="shared" ref="O48:O92" si="21">IF(D48=0,"",F48*K48*$J$7/$J$14)</f>
        <v>6.0295142865696572E-7</v>
      </c>
      <c r="P48" s="40">
        <f t="shared" ref="P48:P50" si="22">IF(D48=0,"",O48*10^J48)</f>
        <v>1.3084960495973462E-4</v>
      </c>
      <c r="Q48" s="40">
        <f t="shared" ref="Q48:Q50" si="23">IF(D48=0,"",F48*N48*$J$7/$J$22)</f>
        <v>1.353768263039239E-4</v>
      </c>
      <c r="R48" s="9">
        <f t="shared" si="14"/>
        <v>3.9999999999999996E-5</v>
      </c>
      <c r="S48" s="9">
        <f t="shared" si="10"/>
        <v>1.8825101874150684E-6</v>
      </c>
      <c r="T48" s="9">
        <f t="shared" si="11"/>
        <v>2.3984495988604205E-5</v>
      </c>
      <c r="U48" s="9">
        <f t="shared" si="12"/>
        <v>3.8117489812584929E-5</v>
      </c>
      <c r="V48" s="102">
        <f t="shared" si="13"/>
        <v>0.62922548432571357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1.8368226563727335</v>
      </c>
      <c r="K49" s="95">
        <f t="shared" si="17"/>
        <v>0.83802361185488594</v>
      </c>
      <c r="L49" s="95">
        <f t="shared" si="18"/>
        <v>2.0815917736452322E-2</v>
      </c>
      <c r="M49" s="95">
        <f t="shared" si="19"/>
        <v>0.97918408226354769</v>
      </c>
      <c r="N49" s="95">
        <f t="shared" si="20"/>
        <v>2.055312233252583E-2</v>
      </c>
      <c r="O49" s="40">
        <f t="shared" si="21"/>
        <v>8.4269026834043488E-7</v>
      </c>
      <c r="P49" s="40">
        <f t="shared" si="22"/>
        <v>5.7874950816158705E-5</v>
      </c>
      <c r="Q49" s="40">
        <f t="shared" si="23"/>
        <v>5.9962534117243272E-5</v>
      </c>
      <c r="R49" s="9">
        <f t="shared" si="14"/>
        <v>3.9999999999999996E-5</v>
      </c>
      <c r="S49" s="9">
        <f t="shared" si="10"/>
        <v>8.3263670945809283E-7</v>
      </c>
      <c r="T49" s="9">
        <f t="shared" si="11"/>
        <v>3.3520944474195437E-5</v>
      </c>
      <c r="U49" s="9">
        <f t="shared" si="12"/>
        <v>3.9167363290541902E-5</v>
      </c>
      <c r="V49" s="102">
        <f t="shared" si="13"/>
        <v>0.85583867940097047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8.0381300697110955E-2</v>
      </c>
      <c r="K57" s="55">
        <f t="shared" si="26"/>
        <v>0.99353804772230592</v>
      </c>
      <c r="L57" s="55">
        <f t="shared" si="27"/>
        <v>4.3239678387712124E-4</v>
      </c>
      <c r="M57" s="55">
        <f t="shared" si="28"/>
        <v>0.99956760321612292</v>
      </c>
      <c r="N57" s="55">
        <f t="shared" si="29"/>
        <v>4.1381864563605047E-4</v>
      </c>
      <c r="O57" s="56">
        <f t="shared" si="30"/>
        <v>9.990707089844157E-7</v>
      </c>
      <c r="P57" s="56">
        <f t="shared" si="31"/>
        <v>1.2022022241244034E-6</v>
      </c>
      <c r="Q57" s="56">
        <f t="shared" si="32"/>
        <v>1.2072917319250767E-6</v>
      </c>
      <c r="R57" s="9">
        <f t="shared" ref="R57:R58" si="33">F57*$C$14</f>
        <v>3.9999999999999996E-5</v>
      </c>
      <c r="S57" s="9">
        <f t="shared" ref="S57:S58" si="34">$R57*L57</f>
        <v>1.7295871355084847E-8</v>
      </c>
      <c r="T57" s="9">
        <f t="shared" ref="T57:T58" si="35">R57*K57</f>
        <v>3.9741521908892234E-5</v>
      </c>
      <c r="U57" s="9">
        <f t="shared" ref="U57:U58" si="36">$R57*M57</f>
        <v>3.9982704128644915E-5</v>
      </c>
      <c r="V57" s="102">
        <f t="shared" ref="V57:V58" si="37">K57/M57</f>
        <v>0.99396783621796381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2.5725421120660119</v>
      </c>
      <c r="K58" s="55">
        <f t="shared" si="26"/>
        <v>0.49567838614808435</v>
      </c>
      <c r="L58" s="55">
        <f t="shared" si="27"/>
        <v>6.6997522828271636E-2</v>
      </c>
      <c r="M58" s="55">
        <f t="shared" si="28"/>
        <v>0.93300247717172835</v>
      </c>
      <c r="N58" s="55">
        <f t="shared" si="29"/>
        <v>6.6203131694212908E-2</v>
      </c>
      <c r="O58" s="56">
        <f t="shared" si="30"/>
        <v>4.9843864340425448E-7</v>
      </c>
      <c r="P58" s="56">
        <f t="shared" si="31"/>
        <v>1.8627467631179893E-4</v>
      </c>
      <c r="Q58" s="56">
        <f t="shared" si="32"/>
        <v>1.9314377050149841E-4</v>
      </c>
      <c r="R58" s="9">
        <f t="shared" si="33"/>
        <v>3.9999999999999996E-5</v>
      </c>
      <c r="S58" s="9">
        <f t="shared" si="34"/>
        <v>2.6799009131308651E-6</v>
      </c>
      <c r="T58" s="9">
        <f t="shared" si="35"/>
        <v>1.9827135445923373E-5</v>
      </c>
      <c r="U58" s="9">
        <f t="shared" si="36"/>
        <v>3.732009908686913E-5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2.5546913678115204</v>
      </c>
      <c r="K60" s="55">
        <f t="shared" si="26"/>
        <v>0.41957822738866446</v>
      </c>
      <c r="L60" s="55">
        <f t="shared" si="27"/>
        <v>5.4427822884243374E-2</v>
      </c>
      <c r="M60" s="55">
        <f t="shared" si="28"/>
        <v>0.94557217711575658</v>
      </c>
      <c r="N60" s="55">
        <f t="shared" si="29"/>
        <v>5.3410358825559799E-2</v>
      </c>
      <c r="O60" s="56">
        <f t="shared" si="30"/>
        <v>4.2191470983180767E-7</v>
      </c>
      <c r="P60" s="56">
        <f t="shared" si="31"/>
        <v>1.5132686496641782E-4</v>
      </c>
      <c r="Q60" s="56">
        <f t="shared" si="32"/>
        <v>1.5582160274614859E-4</v>
      </c>
      <c r="R60" s="9">
        <f t="shared" ref="R60:R65" si="38">F60*$C$14</f>
        <v>3.9999999999999996E-5</v>
      </c>
      <c r="S60" s="9">
        <f t="shared" ref="S60:S93" si="39">$R60*L60</f>
        <v>2.1771129153697348E-6</v>
      </c>
      <c r="T60" s="9">
        <f t="shared" ref="T60:T93" si="40">R60*K60</f>
        <v>1.6783129095546578E-5</v>
      </c>
      <c r="U60" s="9">
        <f t="shared" ref="U60:U93" si="41">$R60*M60</f>
        <v>3.7822887084630258E-5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3.6102131398703299</v>
      </c>
      <c r="K61" s="55">
        <f t="shared" si="26"/>
        <v>7.6842926645291798E-2</v>
      </c>
      <c r="L61" s="55">
        <f t="shared" si="27"/>
        <v>0.11327490018271699</v>
      </c>
      <c r="M61" s="55">
        <f t="shared" si="28"/>
        <v>0.88672509981728298</v>
      </c>
      <c r="N61" s="55">
        <f t="shared" si="29"/>
        <v>0.11178317708811827</v>
      </c>
      <c r="O61" s="56">
        <f t="shared" si="30"/>
        <v>7.7270837669426399E-8</v>
      </c>
      <c r="P61" s="56">
        <f t="shared" si="31"/>
        <v>3.1494067952140848E-4</v>
      </c>
      <c r="Q61" s="56">
        <f t="shared" si="32"/>
        <v>3.26120891095597E-4</v>
      </c>
      <c r="R61" s="9">
        <f t="shared" si="38"/>
        <v>3.9999999999999996E-5</v>
      </c>
      <c r="S61" s="9">
        <f t="shared" si="39"/>
        <v>4.5309960073086791E-6</v>
      </c>
      <c r="T61" s="9">
        <f t="shared" si="40"/>
        <v>3.0737170658116717E-6</v>
      </c>
      <c r="U61" s="9">
        <f t="shared" si="41"/>
        <v>3.5469003992691318E-5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3.3934881626861433</v>
      </c>
      <c r="K62" s="55">
        <f t="shared" si="26"/>
        <v>0.14723446065161033</v>
      </c>
      <c r="L62" s="55">
        <f t="shared" si="27"/>
        <v>0.13176931360429889</v>
      </c>
      <c r="M62" s="55">
        <f t="shared" si="28"/>
        <v>0.86823068639570111</v>
      </c>
      <c r="N62" s="55">
        <f t="shared" si="29"/>
        <v>0.13051547900661567</v>
      </c>
      <c r="O62" s="56">
        <f t="shared" si="30"/>
        <v>1.4805435718074906E-7</v>
      </c>
      <c r="P62" s="56">
        <f t="shared" si="31"/>
        <v>3.6636110117658067E-4</v>
      </c>
      <c r="Q62" s="56">
        <f t="shared" si="32"/>
        <v>3.8077128798954494E-4</v>
      </c>
      <c r="R62" s="9">
        <f t="shared" si="38"/>
        <v>3.9999999999999996E-5</v>
      </c>
      <c r="S62" s="9">
        <f t="shared" si="39"/>
        <v>5.2707725441719552E-6</v>
      </c>
      <c r="T62" s="9">
        <f t="shared" si="40"/>
        <v>5.8893784260644128E-6</v>
      </c>
      <c r="U62" s="9">
        <f t="shared" si="41"/>
        <v>3.4729227455828043E-5</v>
      </c>
      <c r="V62" s="102">
        <f t="shared" si="42"/>
        <v>0.16957988580526556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3.3124645098789665</v>
      </c>
      <c r="K63" s="55">
        <f t="shared" si="26"/>
        <v>0.16578208932544683</v>
      </c>
      <c r="L63" s="55">
        <f t="shared" si="27"/>
        <v>0.12311721128190947</v>
      </c>
      <c r="M63" s="55">
        <f t="shared" si="28"/>
        <v>0.87688278871809056</v>
      </c>
      <c r="N63" s="55">
        <f t="shared" si="29"/>
        <v>0.12186392464374558</v>
      </c>
      <c r="O63" s="56">
        <f t="shared" si="30"/>
        <v>1.6670527102509612E-7</v>
      </c>
      <c r="P63" s="56">
        <f t="shared" si="31"/>
        <v>3.4230547208040222E-4</v>
      </c>
      <c r="Q63" s="56">
        <f t="shared" si="32"/>
        <v>3.5553088338056646E-4</v>
      </c>
      <c r="R63" s="9">
        <f t="shared" si="38"/>
        <v>3.9999999999999996E-5</v>
      </c>
      <c r="S63" s="9">
        <f t="shared" si="39"/>
        <v>4.9246884512763786E-6</v>
      </c>
      <c r="T63" s="9">
        <f t="shared" si="40"/>
        <v>6.6312835730178724E-6</v>
      </c>
      <c r="U63" s="9">
        <f t="shared" si="41"/>
        <v>3.507531154872362E-5</v>
      </c>
      <c r="V63" s="102">
        <f t="shared" si="42"/>
        <v>0.18905843683829468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2.5603074590057777</v>
      </c>
      <c r="K64" s="55">
        <f t="shared" si="26"/>
        <v>0.53950346852244324</v>
      </c>
      <c r="L64" s="55">
        <f t="shared" si="27"/>
        <v>7.0895448021113375E-2</v>
      </c>
      <c r="M64" s="55">
        <f t="shared" si="28"/>
        <v>0.92910455197888664</v>
      </c>
      <c r="N64" s="55">
        <f t="shared" si="29"/>
        <v>7.0214174295285633E-2</v>
      </c>
      <c r="O64" s="56">
        <f t="shared" si="30"/>
        <v>5.4250777213005124E-7</v>
      </c>
      <c r="P64" s="56">
        <f t="shared" si="31"/>
        <v>1.9711216287746352E-4</v>
      </c>
      <c r="Q64" s="56">
        <f t="shared" si="32"/>
        <v>2.0484575304805891E-4</v>
      </c>
      <c r="R64" s="9">
        <f t="shared" si="38"/>
        <v>3.9999999999999996E-5</v>
      </c>
      <c r="S64" s="9">
        <f t="shared" si="39"/>
        <v>2.8358179208445349E-6</v>
      </c>
      <c r="T64" s="9">
        <f t="shared" si="40"/>
        <v>2.1580138740897728E-5</v>
      </c>
      <c r="U64" s="9">
        <f t="shared" si="41"/>
        <v>3.7164182079155462E-5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4.0979428181217807</v>
      </c>
      <c r="K65" s="55">
        <f t="shared" si="26"/>
        <v>4.1947546186012388E-2</v>
      </c>
      <c r="L65" s="55">
        <f t="shared" si="27"/>
        <v>0.19009295866344184</v>
      </c>
      <c r="M65" s="55">
        <f t="shared" si="28"/>
        <v>0.80990704133655811</v>
      </c>
      <c r="N65" s="55">
        <f t="shared" si="29"/>
        <v>0.18887832066826982</v>
      </c>
      <c r="O65" s="56">
        <f t="shared" si="30"/>
        <v>4.2181137203846036E-8</v>
      </c>
      <c r="P65" s="56">
        <f t="shared" si="31"/>
        <v>5.2851960564193729E-4</v>
      </c>
      <c r="Q65" s="56">
        <f t="shared" si="32"/>
        <v>5.510414701884813E-4</v>
      </c>
      <c r="R65" s="9">
        <f t="shared" si="38"/>
        <v>3.9999999999999996E-5</v>
      </c>
      <c r="S65" s="9">
        <f t="shared" si="39"/>
        <v>7.6037183465376728E-6</v>
      </c>
      <c r="T65" s="9">
        <f t="shared" si="40"/>
        <v>1.6779018474404953E-6</v>
      </c>
      <c r="U65" s="9">
        <f t="shared" si="41"/>
        <v>3.2396281653462319E-5</v>
      </c>
      <c r="V65" s="102">
        <f t="shared" si="42"/>
        <v>5.1793038021731463E-2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2.4654231458254099</v>
      </c>
      <c r="K68" s="55">
        <f t="shared" si="26"/>
        <v>0.43876001104873003</v>
      </c>
      <c r="L68" s="55">
        <f t="shared" si="27"/>
        <v>4.6341153068663696E-2</v>
      </c>
      <c r="M68" s="55">
        <f t="shared" si="28"/>
        <v>0.95365884693133629</v>
      </c>
      <c r="N68" s="55">
        <f t="shared" si="29"/>
        <v>4.5328212231341973E-2</v>
      </c>
      <c r="O68" s="56">
        <f t="shared" si="30"/>
        <v>4.4120331004674748E-7</v>
      </c>
      <c r="P68" s="56">
        <f t="shared" si="31"/>
        <v>1.2884332022106113E-4</v>
      </c>
      <c r="Q68" s="56">
        <f t="shared" si="32"/>
        <v>1.3224241204919958E-4</v>
      </c>
      <c r="R68" s="9">
        <f>F68*$C$14</f>
        <v>3.9999999999999996E-5</v>
      </c>
      <c r="S68" s="9">
        <f t="shared" si="39"/>
        <v>1.8536461227465477E-6</v>
      </c>
      <c r="T68" s="9">
        <f t="shared" si="40"/>
        <v>1.7550400441949199E-5</v>
      </c>
      <c r="U68" s="9">
        <f t="shared" si="41"/>
        <v>3.8146353877253446E-5</v>
      </c>
      <c r="V68" s="102">
        <f t="shared" si="42"/>
        <v>0.46008068027739996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5.0555035272524416</v>
      </c>
      <c r="K69" s="55">
        <f t="shared" si="26"/>
        <v>5.246191013711328E-3</v>
      </c>
      <c r="L69" s="55">
        <f t="shared" si="27"/>
        <v>0.21560770541149504</v>
      </c>
      <c r="M69" s="55">
        <f t="shared" si="28"/>
        <v>0.7843922945885049</v>
      </c>
      <c r="N69" s="55">
        <f t="shared" si="29"/>
        <v>0.21443054581126944</v>
      </c>
      <c r="O69" s="56">
        <f t="shared" si="30"/>
        <v>5.2754051921333116E-9</v>
      </c>
      <c r="P69" s="56">
        <f t="shared" si="31"/>
        <v>5.9945881340717699E-4</v>
      </c>
      <c r="Q69" s="56">
        <f t="shared" si="32"/>
        <v>6.2558859481119092E-4</v>
      </c>
      <c r="R69" s="9">
        <f>F69*$C$14</f>
        <v>3.9999999999999996E-5</v>
      </c>
      <c r="S69" s="9">
        <f t="shared" si="39"/>
        <v>8.6243082164598016E-6</v>
      </c>
      <c r="T69" s="9">
        <f t="shared" si="40"/>
        <v>2.098476405484531E-7</v>
      </c>
      <c r="U69" s="9">
        <f t="shared" si="41"/>
        <v>3.1375691783540192E-5</v>
      </c>
      <c r="V69" s="102">
        <f t="shared" si="42"/>
        <v>6.6882235456730225E-3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1.4974934704256861</v>
      </c>
      <c r="K70" s="55">
        <f t="shared" si="26"/>
        <v>0.85385642668355433</v>
      </c>
      <c r="L70" s="55">
        <f t="shared" si="27"/>
        <v>9.7094576809219207E-3</v>
      </c>
      <c r="M70" s="55">
        <f t="shared" si="28"/>
        <v>0.99029054231907809</v>
      </c>
      <c r="N70" s="55">
        <f t="shared" si="29"/>
        <v>9.4300371443304994E-3</v>
      </c>
      <c r="O70" s="56">
        <f t="shared" si="30"/>
        <v>8.5861125050348313E-7</v>
      </c>
      <c r="P70" s="56">
        <f t="shared" si="31"/>
        <v>2.6995417297930845E-5</v>
      </c>
      <c r="Q70" s="56">
        <f t="shared" si="32"/>
        <v>2.7511582661041812E-5</v>
      </c>
      <c r="R70" s="9">
        <f t="shared" ref="R70:R86" si="43">F70*$C$14</f>
        <v>3.9999999999999996E-5</v>
      </c>
      <c r="S70" s="9">
        <f t="shared" si="39"/>
        <v>3.8837830723687677E-7</v>
      </c>
      <c r="T70" s="9">
        <f t="shared" si="40"/>
        <v>3.415425706734217E-5</v>
      </c>
      <c r="U70" s="9">
        <f t="shared" si="41"/>
        <v>3.9611621692763117E-5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2.4617287350279575</v>
      </c>
      <c r="K71" s="55">
        <f t="shared" ref="K71:K122" si="46">IF(D71=0,"",1/(1+10^D71*$J$15/$J$14+10^E71*$J$16/$J$14+10^J71*$J$19/$J$14))</f>
        <v>0.55743502613081841</v>
      </c>
      <c r="L71" s="55">
        <f t="shared" ref="L71:L122" si="47">IF(D71=0,"",1/(1+10^I71/10^J71*$J$13/$J$19))</f>
        <v>5.8376713333171126E-2</v>
      </c>
      <c r="M71" s="55">
        <f t="shared" si="19"/>
        <v>0.94162328666682882</v>
      </c>
      <c r="N71" s="55">
        <f t="shared" ref="N71:N122" si="48">IF(D71=0,"",1/(1/10^E71*$J$20/$J$22+10^D71/10^E71*$J$21/$J$22+10^I71/10^E71*$J$13/$J$22+1))</f>
        <v>5.767688615182899E-2</v>
      </c>
      <c r="O71" s="56">
        <f t="shared" si="21"/>
        <v>5.6053918422751879E-7</v>
      </c>
      <c r="P71" s="56">
        <f t="shared" ref="P71:P122" si="49">IF(D71=0,"",O71*10^J71)</f>
        <v>1.6230605134693829E-4</v>
      </c>
      <c r="Q71" s="56">
        <f t="shared" ref="Q71:Q122" si="50">IF(D71=0,"",F71*N71*$J$7/$J$22)</f>
        <v>1.6826894705834135E-4</v>
      </c>
      <c r="R71" s="9">
        <f t="shared" si="43"/>
        <v>3.9999999999999996E-5</v>
      </c>
      <c r="S71" s="9">
        <f t="shared" si="39"/>
        <v>2.335068533326845E-6</v>
      </c>
      <c r="T71" s="9">
        <f t="shared" si="40"/>
        <v>2.2297401045232735E-5</v>
      </c>
      <c r="U71" s="9">
        <f t="shared" si="41"/>
        <v>3.7664931466673152E-5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2.4972623302127044</v>
      </c>
      <c r="K72" s="55">
        <f t="shared" si="46"/>
        <v>0.45097934224336689</v>
      </c>
      <c r="L72" s="55">
        <f t="shared" si="47"/>
        <v>5.1254928293622985E-2</v>
      </c>
      <c r="M72" s="55">
        <f t="shared" si="19"/>
        <v>0.94874507170637701</v>
      </c>
      <c r="N72" s="55">
        <f t="shared" si="48"/>
        <v>5.0291107619272211E-2</v>
      </c>
      <c r="O72" s="56">
        <f t="shared" si="21"/>
        <v>4.5349068636608237E-7</v>
      </c>
      <c r="P72" s="56">
        <f t="shared" si="49"/>
        <v>1.4250519682274332E-4</v>
      </c>
      <c r="Q72" s="56">
        <f t="shared" si="50"/>
        <v>1.4672136951388297E-4</v>
      </c>
      <c r="R72" s="9">
        <f t="shared" si="43"/>
        <v>3.9999999999999996E-5</v>
      </c>
      <c r="S72" s="9">
        <f t="shared" si="39"/>
        <v>2.050197131744919E-6</v>
      </c>
      <c r="T72" s="9">
        <f t="shared" si="40"/>
        <v>1.8039173689734675E-5</v>
      </c>
      <c r="U72" s="9">
        <f t="shared" si="41"/>
        <v>3.7949802868255079E-5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7.0504332537206764</v>
      </c>
      <c r="K73" s="55">
        <f t="shared" si="46"/>
        <v>9.2178703900626139E-5</v>
      </c>
      <c r="L73" s="55">
        <f t="shared" si="47"/>
        <v>0.37443850471845941</v>
      </c>
      <c r="M73" s="55">
        <f t="shared" si="19"/>
        <v>0.62556149528154059</v>
      </c>
      <c r="N73" s="55">
        <f t="shared" si="48"/>
        <v>0.37397980358360094</v>
      </c>
      <c r="O73" s="56">
        <f t="shared" si="21"/>
        <v>9.2692014433052798E-11</v>
      </c>
      <c r="P73" s="56">
        <f t="shared" si="49"/>
        <v>1.0410595544537442E-3</v>
      </c>
      <c r="Q73" s="56">
        <f t="shared" si="50"/>
        <v>1.0910642367974348E-3</v>
      </c>
      <c r="R73" s="9">
        <f t="shared" si="43"/>
        <v>3.9999999999999996E-5</v>
      </c>
      <c r="S73" s="9">
        <f t="shared" si="39"/>
        <v>1.4977540188738375E-5</v>
      </c>
      <c r="T73" s="9">
        <f t="shared" si="40"/>
        <v>3.6871481560250453E-9</v>
      </c>
      <c r="U73" s="9">
        <f t="shared" si="41"/>
        <v>2.5022459811261622E-5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1.3816332663919468</v>
      </c>
      <c r="K74" s="55">
        <f t="shared" si="46"/>
        <v>0.90421882455558555</v>
      </c>
      <c r="L74" s="55">
        <f t="shared" si="47"/>
        <v>7.874508602667845E-3</v>
      </c>
      <c r="M74" s="55">
        <f t="shared" si="19"/>
        <v>0.99212549139733219</v>
      </c>
      <c r="N74" s="55">
        <f t="shared" si="48"/>
        <v>7.6960715388516617E-3</v>
      </c>
      <c r="O74" s="56">
        <f t="shared" si="21"/>
        <v>9.0925409872003026E-7</v>
      </c>
      <c r="P74" s="56">
        <f t="shared" si="49"/>
        <v>2.1893668290336541E-5</v>
      </c>
      <c r="Q74" s="56">
        <f t="shared" si="50"/>
        <v>2.2452839269430148E-5</v>
      </c>
      <c r="R74" s="9">
        <f t="shared" si="43"/>
        <v>3.9999999999999996E-5</v>
      </c>
      <c r="S74" s="9">
        <f t="shared" si="39"/>
        <v>3.1498034410671377E-7</v>
      </c>
      <c r="T74" s="9">
        <f t="shared" si="40"/>
        <v>3.6168752982223418E-5</v>
      </c>
      <c r="U74" s="9">
        <f t="shared" si="41"/>
        <v>3.9685019655893284E-5</v>
      </c>
      <c r="V74" s="102">
        <f t="shared" si="42"/>
        <v>0.91139561718353101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1.3621902530651464</v>
      </c>
      <c r="K75" s="55">
        <f t="shared" si="46"/>
        <v>0.89995041842296164</v>
      </c>
      <c r="L75" s="55">
        <f t="shared" si="47"/>
        <v>7.4942035966642437E-3</v>
      </c>
      <c r="M75" s="55">
        <f t="shared" si="19"/>
        <v>0.9925057964033358</v>
      </c>
      <c r="N75" s="55">
        <f t="shared" si="48"/>
        <v>7.3047462654451988E-3</v>
      </c>
      <c r="O75" s="56">
        <f t="shared" si="21"/>
        <v>9.0496192334644469E-7</v>
      </c>
      <c r="P75" s="56">
        <f t="shared" si="49"/>
        <v>2.0836297974203236E-5</v>
      </c>
      <c r="Q75" s="56">
        <f t="shared" si="50"/>
        <v>2.1311170637387761E-5</v>
      </c>
      <c r="R75" s="9">
        <f t="shared" si="43"/>
        <v>3.9999999999999996E-5</v>
      </c>
      <c r="S75" s="9">
        <f t="shared" si="39"/>
        <v>2.9976814386656974E-7</v>
      </c>
      <c r="T75" s="9">
        <f t="shared" si="40"/>
        <v>3.5998016736918461E-5</v>
      </c>
      <c r="U75" s="9">
        <f t="shared" si="41"/>
        <v>3.970023185613343E-5</v>
      </c>
      <c r="V75" s="102">
        <f t="shared" si="42"/>
        <v>0.90674575572678939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3.8527349289281725</v>
      </c>
      <c r="K76" s="55">
        <f t="shared" si="46"/>
        <v>6.1122610107633452E-2</v>
      </c>
      <c r="L76" s="55">
        <f t="shared" si="47"/>
        <v>0.15749017721911698</v>
      </c>
      <c r="M76" s="55">
        <f t="shared" si="19"/>
        <v>0.84250982278088304</v>
      </c>
      <c r="N76" s="55">
        <f t="shared" si="48"/>
        <v>0.15616742284502899</v>
      </c>
      <c r="O76" s="56">
        <f t="shared" si="21"/>
        <v>6.1462980260499563E-8</v>
      </c>
      <c r="P76" s="56">
        <f t="shared" si="49"/>
        <v>4.3787338016920647E-4</v>
      </c>
      <c r="Q76" s="56">
        <f t="shared" si="50"/>
        <v>4.5560933608262212E-4</v>
      </c>
      <c r="R76" s="9">
        <f t="shared" si="43"/>
        <v>3.9999999999999996E-5</v>
      </c>
      <c r="S76" s="9">
        <f t="shared" si="39"/>
        <v>6.2996070887646786E-6</v>
      </c>
      <c r="T76" s="9">
        <f t="shared" si="40"/>
        <v>2.444904404305338E-6</v>
      </c>
      <c r="U76" s="9">
        <f t="shared" si="41"/>
        <v>3.3700392911235319E-5</v>
      </c>
      <c r="V76" s="102">
        <f t="shared" si="42"/>
        <v>7.2548246269563077E-2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0.18244842776560238</v>
      </c>
      <c r="K77" s="55">
        <f t="shared" si="46"/>
        <v>0.98949128841664524</v>
      </c>
      <c r="L77" s="55">
        <f t="shared" si="47"/>
        <v>5.4472468192254199E-4</v>
      </c>
      <c r="M77" s="55">
        <f t="shared" si="19"/>
        <v>0.99945527531807743</v>
      </c>
      <c r="N77" s="55">
        <f t="shared" si="48"/>
        <v>5.1787092245862709E-4</v>
      </c>
      <c r="O77" s="56">
        <f t="shared" si="21"/>
        <v>9.9500141471041738E-7</v>
      </c>
      <c r="P77" s="56">
        <f t="shared" si="49"/>
        <v>1.5145099329157801E-6</v>
      </c>
      <c r="Q77" s="56">
        <f t="shared" si="50"/>
        <v>1.5108581729750983E-6</v>
      </c>
      <c r="R77" s="9">
        <f t="shared" si="43"/>
        <v>3.9999999999999996E-5</v>
      </c>
      <c r="S77" s="9">
        <f t="shared" si="39"/>
        <v>2.1788987276901678E-8</v>
      </c>
      <c r="T77" s="9">
        <f t="shared" si="40"/>
        <v>3.9579651536665807E-5</v>
      </c>
      <c r="U77" s="9">
        <f t="shared" si="41"/>
        <v>3.9978211012723092E-5</v>
      </c>
      <c r="V77" s="102">
        <f t="shared" si="42"/>
        <v>0.99003058251079701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1.885940844009744</v>
      </c>
      <c r="K78" s="55">
        <f t="shared" si="46"/>
        <v>0.79482725905328</v>
      </c>
      <c r="L78" s="55">
        <f t="shared" si="47"/>
        <v>2.2107022246970042E-2</v>
      </c>
      <c r="M78" s="55">
        <f t="shared" si="19"/>
        <v>0.97789297775302997</v>
      </c>
      <c r="N78" s="55">
        <f t="shared" si="48"/>
        <v>2.1756313335312451E-2</v>
      </c>
      <c r="O78" s="56">
        <f t="shared" si="21"/>
        <v>7.9925337035954988E-7</v>
      </c>
      <c r="P78" s="56">
        <f t="shared" si="49"/>
        <v>6.1464636891535583E-5</v>
      </c>
      <c r="Q78" s="56">
        <f t="shared" si="50"/>
        <v>6.3472773602364193E-5</v>
      </c>
      <c r="R78" s="9">
        <f t="shared" si="43"/>
        <v>3.9999999999999996E-5</v>
      </c>
      <c r="S78" s="9">
        <f t="shared" si="39"/>
        <v>8.8428088987880163E-7</v>
      </c>
      <c r="T78" s="9">
        <f t="shared" si="40"/>
        <v>3.1793090362131195E-5</v>
      </c>
      <c r="U78" s="9">
        <f t="shared" si="41"/>
        <v>3.9115719110121196E-5</v>
      </c>
      <c r="V78" s="102">
        <f t="shared" si="42"/>
        <v>0.81279575284363703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2.9485807923787242</v>
      </c>
      <c r="K79" s="55">
        <f t="shared" si="46"/>
        <v>0.28174772541867543</v>
      </c>
      <c r="L79" s="55">
        <f t="shared" si="47"/>
        <v>9.052277568964201E-2</v>
      </c>
      <c r="M79" s="55">
        <f t="shared" si="19"/>
        <v>0.90947722431035793</v>
      </c>
      <c r="N79" s="55">
        <f t="shared" si="48"/>
        <v>8.9371690007973154E-2</v>
      </c>
      <c r="O79" s="56">
        <f t="shared" si="21"/>
        <v>2.8331667864566563E-7</v>
      </c>
      <c r="P79" s="56">
        <f t="shared" si="49"/>
        <v>2.5168245076246569E-4</v>
      </c>
      <c r="Q79" s="56">
        <f t="shared" si="50"/>
        <v>2.6073668635436973E-4</v>
      </c>
      <c r="R79" s="9">
        <f t="shared" si="43"/>
        <v>3.9999999999999996E-5</v>
      </c>
      <c r="S79" s="9">
        <f t="shared" si="39"/>
        <v>3.6209110275856799E-6</v>
      </c>
      <c r="T79" s="9">
        <f t="shared" si="40"/>
        <v>1.1269909016747017E-5</v>
      </c>
      <c r="U79" s="9">
        <f t="shared" si="41"/>
        <v>3.6379088972414314E-5</v>
      </c>
      <c r="V79" s="102">
        <f t="shared" si="42"/>
        <v>0.30979085334689965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6.0157499789101383</v>
      </c>
      <c r="K80" s="55">
        <f t="shared" si="46"/>
        <v>7.5177266957229772E-4</v>
      </c>
      <c r="L80" s="55">
        <f t="shared" si="47"/>
        <v>0.28193770690765635</v>
      </c>
      <c r="M80" s="55">
        <f t="shared" si="19"/>
        <v>0.71806229309234371</v>
      </c>
      <c r="N80" s="55">
        <f t="shared" si="48"/>
        <v>0.28105549768938415</v>
      </c>
      <c r="O80" s="56">
        <f t="shared" si="21"/>
        <v>7.5595902512897787E-10</v>
      </c>
      <c r="P80" s="56">
        <f t="shared" si="49"/>
        <v>7.8387756557699191E-4</v>
      </c>
      <c r="Q80" s="56">
        <f t="shared" si="50"/>
        <v>8.1996300106522055E-4</v>
      </c>
      <c r="R80" s="9">
        <f t="shared" si="43"/>
        <v>3.9999999999999996E-5</v>
      </c>
      <c r="S80" s="9">
        <f t="shared" si="39"/>
        <v>1.1277508276306252E-5</v>
      </c>
      <c r="T80" s="9">
        <f t="shared" si="40"/>
        <v>3.0070906782891908E-8</v>
      </c>
      <c r="U80" s="9">
        <f t="shared" si="41"/>
        <v>2.8722491723693746E-5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3.3134507884219753</v>
      </c>
      <c r="K81" s="55">
        <f t="shared" si="46"/>
        <v>0.19334266088799076</v>
      </c>
      <c r="L81" s="55">
        <f t="shared" si="47"/>
        <v>0.14391137773648646</v>
      </c>
      <c r="M81" s="55">
        <f t="shared" si="19"/>
        <v>0.85608862226351357</v>
      </c>
      <c r="N81" s="55">
        <f t="shared" si="48"/>
        <v>0.14281349355203476</v>
      </c>
      <c r="O81" s="56">
        <f t="shared" si="21"/>
        <v>1.944193176427678E-7</v>
      </c>
      <c r="P81" s="56">
        <f t="shared" si="49"/>
        <v>4.0011994733239596E-4</v>
      </c>
      <c r="Q81" s="56">
        <f t="shared" si="50"/>
        <v>4.1665002723039791E-4</v>
      </c>
      <c r="R81" s="9">
        <f t="shared" si="43"/>
        <v>3.9999999999999996E-5</v>
      </c>
      <c r="S81" s="9">
        <f t="shared" si="39"/>
        <v>5.7564551094594582E-6</v>
      </c>
      <c r="T81" s="9">
        <f t="shared" si="40"/>
        <v>7.7337064355196301E-6</v>
      </c>
      <c r="U81" s="9">
        <f t="shared" si="41"/>
        <v>3.4243544890540543E-5</v>
      </c>
      <c r="V81" s="102">
        <f t="shared" si="42"/>
        <v>0.22584421269002422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4.2041181793483684</v>
      </c>
      <c r="K82" s="55">
        <f t="shared" si="46"/>
        <v>3.7768349566423359E-2</v>
      </c>
      <c r="L82" s="55">
        <f t="shared" si="47"/>
        <v>0.2185560523305099</v>
      </c>
      <c r="M82" s="55">
        <f t="shared" si="19"/>
        <v>0.7814439476694901</v>
      </c>
      <c r="N82" s="55">
        <f t="shared" si="48"/>
        <v>0.21746309207947609</v>
      </c>
      <c r="O82" s="56">
        <f t="shared" si="21"/>
        <v>3.7978668119456142E-8</v>
      </c>
      <c r="P82" s="56">
        <f t="shared" si="49"/>
        <v>6.076561667541369E-4</v>
      </c>
      <c r="Q82" s="56">
        <f t="shared" si="50"/>
        <v>6.3443587145011273E-4</v>
      </c>
      <c r="R82" s="9">
        <f t="shared" si="43"/>
        <v>3.9999999999999996E-5</v>
      </c>
      <c r="S82" s="9">
        <f t="shared" si="39"/>
        <v>8.7422420932203946E-6</v>
      </c>
      <c r="T82" s="9">
        <f t="shared" si="40"/>
        <v>1.5107339826569342E-6</v>
      </c>
      <c r="U82" s="9">
        <f t="shared" si="41"/>
        <v>3.1257757906779602E-5</v>
      </c>
      <c r="V82" s="102">
        <f t="shared" si="42"/>
        <v>4.8331489007062342E-2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3.5134526251640912</v>
      </c>
      <c r="K83" s="55">
        <f t="shared" si="46"/>
        <v>0.13717792535984191</v>
      </c>
      <c r="L83" s="55">
        <f t="shared" si="47"/>
        <v>0.16182794037787604</v>
      </c>
      <c r="M83" s="55">
        <f t="shared" si="19"/>
        <v>0.83817205962212393</v>
      </c>
      <c r="N83" s="55">
        <f t="shared" si="48"/>
        <v>0.16069034466430088</v>
      </c>
      <c r="O83" s="56">
        <f t="shared" si="21"/>
        <v>1.3794182060813653E-7</v>
      </c>
      <c r="P83" s="56">
        <f t="shared" si="49"/>
        <v>4.4993375783997796E-4</v>
      </c>
      <c r="Q83" s="56">
        <f t="shared" si="50"/>
        <v>4.6880469635489195E-4</v>
      </c>
      <c r="R83" s="9">
        <f t="shared" si="43"/>
        <v>3.9999999999999996E-5</v>
      </c>
      <c r="S83" s="9">
        <f t="shared" si="39"/>
        <v>6.4731176151150406E-6</v>
      </c>
      <c r="T83" s="9">
        <f t="shared" si="40"/>
        <v>5.487117014393676E-6</v>
      </c>
      <c r="U83" s="9">
        <f t="shared" si="41"/>
        <v>3.3526882384884958E-5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1.6261045420364111</v>
      </c>
      <c r="K84" s="55">
        <f t="shared" si="46"/>
        <v>0.86214597775988366</v>
      </c>
      <c r="L84" s="55">
        <f t="shared" si="47"/>
        <v>1.3182628082573181E-2</v>
      </c>
      <c r="M84" s="55">
        <f t="shared" si="19"/>
        <v>0.9868173719174268</v>
      </c>
      <c r="N84" s="55">
        <f t="shared" si="48"/>
        <v>1.2937172181532387E-2</v>
      </c>
      <c r="O84" s="56">
        <f t="shared" si="21"/>
        <v>8.6694696315180812E-7</v>
      </c>
      <c r="P84" s="56">
        <f t="shared" si="49"/>
        <v>3.6651948838680638E-5</v>
      </c>
      <c r="Q84" s="56">
        <f t="shared" si="50"/>
        <v>3.7743444317856732E-5</v>
      </c>
      <c r="R84" s="9">
        <f t="shared" si="43"/>
        <v>3.9999999999999996E-5</v>
      </c>
      <c r="S84" s="9">
        <f t="shared" si="39"/>
        <v>5.2730512330292722E-7</v>
      </c>
      <c r="T84" s="9">
        <f t="shared" si="40"/>
        <v>3.4485839110395343E-5</v>
      </c>
      <c r="U84" s="9">
        <f t="shared" si="41"/>
        <v>3.9472694876697067E-5</v>
      </c>
      <c r="V84" s="102">
        <f t="shared" si="42"/>
        <v>0.8736631541910318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3.3071272258548747</v>
      </c>
      <c r="K85" s="55">
        <f t="shared" si="46"/>
        <v>0.2036434180556263</v>
      </c>
      <c r="L85" s="55">
        <f t="shared" si="47"/>
        <v>0.14938749845336699</v>
      </c>
      <c r="M85" s="55">
        <f t="shared" si="19"/>
        <v>0.85061250154663304</v>
      </c>
      <c r="N85" s="55">
        <f t="shared" si="48"/>
        <v>0.14833714966949543</v>
      </c>
      <c r="O85" s="56">
        <f t="shared" si="21"/>
        <v>2.0477743607631804E-7</v>
      </c>
      <c r="P85" s="56">
        <f t="shared" si="49"/>
        <v>4.1534532538996819E-4</v>
      </c>
      <c r="Q85" s="56">
        <f t="shared" si="50"/>
        <v>4.3276497137545379E-4</v>
      </c>
      <c r="R85" s="9">
        <f t="shared" si="43"/>
        <v>3.9999999999999996E-5</v>
      </c>
      <c r="S85" s="9">
        <f t="shared" si="39"/>
        <v>5.9754999381346793E-6</v>
      </c>
      <c r="T85" s="9">
        <f t="shared" si="40"/>
        <v>8.1457367222250505E-6</v>
      </c>
      <c r="U85" s="9">
        <f t="shared" si="41"/>
        <v>3.4024500061865321E-5</v>
      </c>
      <c r="V85" s="102">
        <f t="shared" si="42"/>
        <v>0.23940797682299522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2.5944953006708373</v>
      </c>
      <c r="K86" s="55">
        <f t="shared" si="46"/>
        <v>0.50541673300790502</v>
      </c>
      <c r="L86" s="55">
        <f t="shared" si="47"/>
        <v>7.1855756835147153E-2</v>
      </c>
      <c r="M86" s="55">
        <f t="shared" si="19"/>
        <v>0.92814424316485289</v>
      </c>
      <c r="N86" s="55">
        <f t="shared" si="48"/>
        <v>7.1104840735937189E-2</v>
      </c>
      <c r="O86" s="56">
        <f t="shared" si="21"/>
        <v>5.0823121966631277E-7</v>
      </c>
      <c r="P86" s="56">
        <f t="shared" si="49"/>
        <v>1.9978213045151875E-4</v>
      </c>
      <c r="Q86" s="56">
        <f t="shared" si="50"/>
        <v>2.0744422037436555E-4</v>
      </c>
      <c r="R86" s="9">
        <f t="shared" si="43"/>
        <v>3.9999999999999996E-5</v>
      </c>
      <c r="S86" s="9">
        <f t="shared" si="39"/>
        <v>2.8742302734058859E-6</v>
      </c>
      <c r="T86" s="9">
        <f t="shared" si="40"/>
        <v>2.02166693203162E-5</v>
      </c>
      <c r="U86" s="9">
        <f t="shared" si="41"/>
        <v>3.712576972659411E-5</v>
      </c>
      <c r="V86" s="102">
        <f t="shared" si="42"/>
        <v>0.54454545910288554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5.2258583214073822</v>
      </c>
      <c r="K88" s="55">
        <f t="shared" si="46"/>
        <v>5.0394058293409174E-3</v>
      </c>
      <c r="L88" s="55">
        <f t="shared" si="47"/>
        <v>0.30658740296224629</v>
      </c>
      <c r="M88" s="55">
        <f t="shared" si="19"/>
        <v>0.69341259703775371</v>
      </c>
      <c r="N88" s="55">
        <f t="shared" si="48"/>
        <v>0.30582774736986579</v>
      </c>
      <c r="O88" s="56">
        <f t="shared" si="21"/>
        <v>5.0674684943590944E-9</v>
      </c>
      <c r="P88" s="56">
        <f t="shared" si="49"/>
        <v>8.5241165400175669E-4</v>
      </c>
      <c r="Q88" s="56">
        <f t="shared" si="50"/>
        <v>8.9223459282605268E-4</v>
      </c>
      <c r="R88" s="9">
        <f>F88*$C$14</f>
        <v>3.9999999999999996E-5</v>
      </c>
      <c r="S88" s="9">
        <f t="shared" si="39"/>
        <v>1.2263496118489851E-5</v>
      </c>
      <c r="T88" s="9">
        <f t="shared" si="40"/>
        <v>2.0157623317363667E-7</v>
      </c>
      <c r="U88" s="9">
        <f t="shared" si="41"/>
        <v>2.7736503881510145E-5</v>
      </c>
      <c r="V88" s="102">
        <f t="shared" si="42"/>
        <v>7.2675429475454719E-3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6.7130505038246406</v>
      </c>
      <c r="K89" s="55">
        <f t="shared" si="46"/>
        <v>1.9221111307089953E-4</v>
      </c>
      <c r="L89" s="55">
        <f t="shared" si="47"/>
        <v>0.35904232594858249</v>
      </c>
      <c r="M89" s="55">
        <f t="shared" si="19"/>
        <v>0.64095767405141757</v>
      </c>
      <c r="N89" s="55">
        <f t="shared" si="48"/>
        <v>0.35851311335599173</v>
      </c>
      <c r="O89" s="56">
        <f t="shared" si="21"/>
        <v>1.9328146863692173E-10</v>
      </c>
      <c r="P89" s="56">
        <f t="shared" si="49"/>
        <v>9.9825322228309899E-4</v>
      </c>
      <c r="Q89" s="56">
        <f t="shared" si="50"/>
        <v>1.0459410713022253E-3</v>
      </c>
      <c r="R89" s="9">
        <f>F89*$C$14</f>
        <v>3.9999999999999996E-5</v>
      </c>
      <c r="S89" s="9">
        <f t="shared" si="39"/>
        <v>1.4361693037943298E-5</v>
      </c>
      <c r="T89" s="9">
        <f t="shared" si="40"/>
        <v>7.6884445228359803E-9</v>
      </c>
      <c r="U89" s="9">
        <f t="shared" si="41"/>
        <v>2.5638306962056699E-5</v>
      </c>
      <c r="V89" s="102">
        <f t="shared" si="42"/>
        <v>2.9988113233118165E-4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7.099350372052486</v>
      </c>
      <c r="K90" s="55">
        <f t="shared" si="46"/>
        <v>8.3746425711261403E-5</v>
      </c>
      <c r="L90" s="55">
        <f t="shared" si="47"/>
        <v>0.38074420649718876</v>
      </c>
      <c r="M90" s="55">
        <f t="shared" si="19"/>
        <v>0.61925579350281124</v>
      </c>
      <c r="N90" s="55">
        <f t="shared" si="48"/>
        <v>0.3803144549187068</v>
      </c>
      <c r="O90" s="56">
        <f t="shared" si="21"/>
        <v>8.4212779874984732E-11</v>
      </c>
      <c r="P90" s="56">
        <f t="shared" si="49"/>
        <v>1.0585914348601631E-3</v>
      </c>
      <c r="Q90" s="56">
        <f t="shared" si="50"/>
        <v>1.1095452121284198E-3</v>
      </c>
      <c r="R90" s="9">
        <f>F90*$C$14</f>
        <v>3.9999999999999996E-5</v>
      </c>
      <c r="S90" s="9">
        <f t="shared" si="39"/>
        <v>1.5229768259887549E-5</v>
      </c>
      <c r="T90" s="9">
        <f t="shared" si="40"/>
        <v>3.3498570284504558E-9</v>
      </c>
      <c r="U90" s="9">
        <f t="shared" si="41"/>
        <v>2.4770231740112446E-5</v>
      </c>
      <c r="V90" s="102">
        <f t="shared" si="42"/>
        <v>1.3523720987340462E-4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7.534683341589246</v>
      </c>
      <c r="K91" s="55">
        <f t="shared" si="46"/>
        <v>3.2253874997212514E-5</v>
      </c>
      <c r="L91" s="55">
        <f t="shared" si="47"/>
        <v>0.39955989586167878</v>
      </c>
      <c r="M91" s="55">
        <f t="shared" si="19"/>
        <v>0.60044010413832116</v>
      </c>
      <c r="N91" s="55">
        <f t="shared" si="48"/>
        <v>0.39921647014509332</v>
      </c>
      <c r="O91" s="56">
        <f t="shared" si="21"/>
        <v>3.2433485395786685E-11</v>
      </c>
      <c r="P91" s="56">
        <f t="shared" si="49"/>
        <v>1.1109051070378264E-3</v>
      </c>
      <c r="Q91" s="56">
        <f t="shared" si="50"/>
        <v>1.1646907376869963E-3</v>
      </c>
      <c r="R91" s="9">
        <f t="shared" ref="R91:R92" si="51">F91*$C$14</f>
        <v>3.9999999999999996E-5</v>
      </c>
      <c r="S91" s="9">
        <f t="shared" si="39"/>
        <v>1.598239583446715E-5</v>
      </c>
      <c r="T91" s="9">
        <f t="shared" si="40"/>
        <v>1.2901549998885005E-9</v>
      </c>
      <c r="U91" s="9">
        <f t="shared" si="41"/>
        <v>2.4017604165532843E-5</v>
      </c>
      <c r="V91" s="102">
        <f t="shared" si="42"/>
        <v>5.3717056497249405E-5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8.8054385095234817</v>
      </c>
      <c r="K92" s="55">
        <f t="shared" si="46"/>
        <v>1.850877218484861E-6</v>
      </c>
      <c r="L92" s="55">
        <f t="shared" si="47"/>
        <v>0.42769361885475132</v>
      </c>
      <c r="M92" s="55">
        <f t="shared" si="19"/>
        <v>0.57230638114524868</v>
      </c>
      <c r="N92" s="55">
        <f t="shared" si="48"/>
        <v>0.42747937109796402</v>
      </c>
      <c r="O92" s="56">
        <f t="shared" si="21"/>
        <v>1.8611840977343356E-12</v>
      </c>
      <c r="P92" s="56">
        <f t="shared" si="49"/>
        <v>1.1891259116698599E-3</v>
      </c>
      <c r="Q92" s="56">
        <f t="shared" si="50"/>
        <v>1.2471461006834425E-3</v>
      </c>
      <c r="R92" s="9">
        <f t="shared" si="51"/>
        <v>3.9999999999999996E-5</v>
      </c>
      <c r="S92" s="9">
        <f t="shared" si="39"/>
        <v>1.7107744754190051E-5</v>
      </c>
      <c r="T92" s="9">
        <f t="shared" si="40"/>
        <v>7.4035088739394434E-11</v>
      </c>
      <c r="U92" s="9">
        <f t="shared" si="41"/>
        <v>2.2892255245809945E-5</v>
      </c>
      <c r="V92" s="102">
        <f t="shared" si="42"/>
        <v>3.2340670652335731E-6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2.239993400384916</v>
      </c>
      <c r="K93" s="55">
        <f t="shared" si="46"/>
        <v>0.54216821808357119</v>
      </c>
      <c r="L93" s="55">
        <f t="shared" si="47"/>
        <v>3.4075646734861027E-2</v>
      </c>
      <c r="M93" s="55">
        <f t="shared" ref="M93:M127" si="52">IF(D93=0,"",1-L93)</f>
        <v>0.96592435326513892</v>
      </c>
      <c r="N93" s="55">
        <f t="shared" si="48"/>
        <v>3.3231015077684625E-2</v>
      </c>
      <c r="O93" s="56">
        <f t="shared" ref="O93:O127" si="53">IF(D93=0,"",F93*K93*$J$7/$J$14)</f>
        <v>5.4518736073705555E-7</v>
      </c>
      <c r="P93" s="56">
        <f t="shared" si="49"/>
        <v>9.4741265015442567E-5</v>
      </c>
      <c r="Q93" s="56">
        <f t="shared" si="50"/>
        <v>9.6949545821216915E-5</v>
      </c>
      <c r="R93" s="9">
        <f>F93*$C$14</f>
        <v>3.9999999999999996E-5</v>
      </c>
      <c r="S93" s="9">
        <f t="shared" si="39"/>
        <v>1.3630258693944411E-6</v>
      </c>
      <c r="T93" s="9">
        <f t="shared" si="40"/>
        <v>2.1686728723342847E-5</v>
      </c>
      <c r="U93" s="9">
        <f t="shared" si="41"/>
        <v>3.8636974130605554E-5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1.0580076914030012</v>
      </c>
      <c r="K107" s="55">
        <f t="shared" si="46"/>
        <v>0.94835950479440212</v>
      </c>
      <c r="L107" s="55">
        <f t="shared" si="47"/>
        <v>3.920101787230062E-3</v>
      </c>
      <c r="M107" s="55">
        <f t="shared" si="52"/>
        <v>0.99607989821276999</v>
      </c>
      <c r="N107" s="55">
        <f t="shared" si="48"/>
        <v>3.8193948050551296E-3</v>
      </c>
      <c r="O107" s="56">
        <f t="shared" si="53"/>
        <v>9.5364058276293909E-7</v>
      </c>
      <c r="P107" s="56">
        <f t="shared" si="49"/>
        <v>1.0899144635500573E-5</v>
      </c>
      <c r="Q107" s="56">
        <f t="shared" si="50"/>
        <v>1.1142861293775744E-5</v>
      </c>
      <c r="R107" s="9">
        <f>F107*$C$14</f>
        <v>3.9999999999999996E-5</v>
      </c>
      <c r="S107" s="9">
        <f t="shared" ref="S107:S108" si="54">$R107*L107</f>
        <v>1.5680407148920247E-7</v>
      </c>
      <c r="T107" s="9">
        <f t="shared" ref="T107:T108" si="55">R107*K107</f>
        <v>3.7934380191776078E-5</v>
      </c>
      <c r="U107" s="9">
        <f t="shared" ref="U107:U108" si="56">$R107*M107</f>
        <v>3.9843195928510793E-5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2.0658109944425873</v>
      </c>
      <c r="K108" s="55">
        <f t="shared" si="46"/>
        <v>0.7088794168502609</v>
      </c>
      <c r="L108" s="55">
        <f t="shared" si="47"/>
        <v>2.9833211837357272E-2</v>
      </c>
      <c r="M108" s="55">
        <f t="shared" si="52"/>
        <v>0.97016678816264268</v>
      </c>
      <c r="N108" s="55">
        <f t="shared" si="48"/>
        <v>2.9331273406652831E-2</v>
      </c>
      <c r="O108" s="56">
        <f t="shared" si="53"/>
        <v>7.1282691508458174E-7</v>
      </c>
      <c r="P108" s="56">
        <f t="shared" si="49"/>
        <v>8.2945930591929863E-5</v>
      </c>
      <c r="Q108" s="56">
        <f t="shared" si="50"/>
        <v>8.5572277238154769E-5</v>
      </c>
      <c r="R108" s="9">
        <f>F108*$C$14</f>
        <v>3.9999999999999996E-5</v>
      </c>
      <c r="S108" s="9">
        <f t="shared" si="54"/>
        <v>1.1933284734942909E-6</v>
      </c>
      <c r="T108" s="9">
        <f t="shared" si="55"/>
        <v>2.8355176674010432E-5</v>
      </c>
      <c r="U108" s="9">
        <f t="shared" si="56"/>
        <v>3.8806671526505702E-5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1.9552901171232637</v>
      </c>
      <c r="K114" s="55">
        <f t="shared" si="46"/>
        <v>0.78102674266098882</v>
      </c>
      <c r="L114" s="55">
        <f t="shared" si="47"/>
        <v>2.5484297884031015E-2</v>
      </c>
      <c r="M114" s="55">
        <f t="shared" si="52"/>
        <v>0.97451570211596894</v>
      </c>
      <c r="N114" s="55">
        <f t="shared" si="48"/>
        <v>2.5119122066545884E-2</v>
      </c>
      <c r="O114" s="56">
        <f t="shared" si="53"/>
        <v>7.8537600378259207E-7</v>
      </c>
      <c r="P114" s="56">
        <f t="shared" si="49"/>
        <v>7.0854550123428849E-5</v>
      </c>
      <c r="Q114" s="56">
        <f t="shared" si="50"/>
        <v>7.3283571690070998E-5</v>
      </c>
      <c r="R114" s="9">
        <f>F114*$C$14</f>
        <v>3.9999999999999996E-5</v>
      </c>
      <c r="S114" s="9">
        <f t="shared" ref="S114:S116" si="58">$R114*L114</f>
        <v>1.0193719153612405E-6</v>
      </c>
      <c r="T114" s="9">
        <f t="shared" ref="T114:T116" si="59">R114*K114</f>
        <v>3.1241069706439549E-5</v>
      </c>
      <c r="U114" s="9">
        <f t="shared" ref="U114:U116" si="60">$R114*M114</f>
        <v>3.8980628084638752E-5</v>
      </c>
      <c r="V114" s="102">
        <f t="shared" ref="V114:V116" si="61">K114/M114</f>
        <v>0.80145116283415752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1.7297361884216989</v>
      </c>
      <c r="K115" s="55">
        <f t="shared" si="46"/>
        <v>0.6622484891426057</v>
      </c>
      <c r="L115" s="55">
        <f t="shared" si="47"/>
        <v>1.2855051350261494E-2</v>
      </c>
      <c r="M115" s="55">
        <f t="shared" si="52"/>
        <v>0.98714494864973845</v>
      </c>
      <c r="N115" s="55">
        <f t="shared" si="48"/>
        <v>1.2173810243799632E-2</v>
      </c>
      <c r="O115" s="56">
        <f t="shared" si="53"/>
        <v>6.6593631626726364E-7</v>
      </c>
      <c r="P115" s="56">
        <f t="shared" si="49"/>
        <v>3.5741180093766874E-5</v>
      </c>
      <c r="Q115" s="56">
        <f t="shared" si="50"/>
        <v>3.551638044432214E-5</v>
      </c>
      <c r="R115" s="9">
        <f>F115*$C$14</f>
        <v>3.9999999999999996E-5</v>
      </c>
      <c r="S115" s="9">
        <f t="shared" si="58"/>
        <v>5.1420205401045972E-7</v>
      </c>
      <c r="T115" s="9">
        <f t="shared" si="59"/>
        <v>2.6489939565704227E-5</v>
      </c>
      <c r="U115" s="9">
        <f t="shared" si="60"/>
        <v>3.9485797945989536E-5</v>
      </c>
      <c r="V115" s="102">
        <f t="shared" si="61"/>
        <v>0.67087259074613026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0.15519220542192749</v>
      </c>
      <c r="K116" s="55">
        <f t="shared" si="46"/>
        <v>0.98111030658789133</v>
      </c>
      <c r="L116" s="55">
        <f t="shared" si="47"/>
        <v>5.0725541824123556E-4</v>
      </c>
      <c r="M116" s="55">
        <f t="shared" si="52"/>
        <v>0.99949274458175874</v>
      </c>
      <c r="N116" s="55">
        <f t="shared" si="48"/>
        <v>4.6202171712719E-4</v>
      </c>
      <c r="O116" s="56">
        <f t="shared" si="53"/>
        <v>9.8657376216421228E-7</v>
      </c>
      <c r="P116" s="56">
        <f t="shared" si="49"/>
        <v>1.4103333205689798E-6</v>
      </c>
      <c r="Q116" s="56">
        <f t="shared" si="50"/>
        <v>1.3479213779749751E-6</v>
      </c>
      <c r="R116" s="9">
        <f>F116*$C$14</f>
        <v>3.9999999999999996E-5</v>
      </c>
      <c r="S116" s="9">
        <f t="shared" si="58"/>
        <v>2.0290216729649422E-8</v>
      </c>
      <c r="T116" s="9">
        <f t="shared" si="59"/>
        <v>3.9244412263515649E-5</v>
      </c>
      <c r="U116" s="9">
        <f t="shared" si="60"/>
        <v>3.9979709783270344E-5</v>
      </c>
      <c r="V116" s="102">
        <f t="shared" si="61"/>
        <v>0.98160823268250974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4.2948093083985448</v>
      </c>
      <c r="K119" s="55">
        <f t="shared" si="46"/>
        <v>2.8459056736922072E-2</v>
      </c>
      <c r="L119" s="55">
        <f t="shared" si="47"/>
        <v>0.20293009612601406</v>
      </c>
      <c r="M119" s="55">
        <f t="shared" si="52"/>
        <v>0.79706990387398591</v>
      </c>
      <c r="N119" s="55">
        <f t="shared" si="48"/>
        <v>0.20174512693591531</v>
      </c>
      <c r="O119" s="56">
        <f t="shared" si="53"/>
        <v>2.8617535137548518E-8</v>
      </c>
      <c r="P119" s="56">
        <f t="shared" si="49"/>
        <v>5.6421097936242449E-4</v>
      </c>
      <c r="Q119" s="56">
        <f t="shared" si="50"/>
        <v>5.8857962606189307E-4</v>
      </c>
      <c r="R119" s="9">
        <f>F119*$C$14</f>
        <v>3.9999999999999996E-5</v>
      </c>
      <c r="S119" s="9">
        <f t="shared" ref="S119:S121" si="62">$R119*L119</f>
        <v>8.1172038450405621E-6</v>
      </c>
      <c r="T119" s="9">
        <f t="shared" ref="T119:T121" si="63">R119*K119</f>
        <v>1.1383622694768827E-6</v>
      </c>
      <c r="U119" s="9">
        <f t="shared" ref="U119:U121" si="64">$R119*M119</f>
        <v>3.1882796154959434E-5</v>
      </c>
      <c r="V119" s="102">
        <f t="shared" ref="V119:V121" si="65">K119/M119</f>
        <v>3.5704593284231381E-2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2.2035514919584065</v>
      </c>
      <c r="K120" s="55">
        <f t="shared" si="46"/>
        <v>0.61642603940965046</v>
      </c>
      <c r="L120" s="55">
        <f t="shared" si="47"/>
        <v>3.5624528028667446E-2</v>
      </c>
      <c r="M120" s="55">
        <f t="shared" si="52"/>
        <v>0.96437547197133255</v>
      </c>
      <c r="N120" s="55">
        <f t="shared" si="48"/>
        <v>3.4948338054981105E-2</v>
      </c>
      <c r="O120" s="56">
        <f t="shared" si="53"/>
        <v>6.1985869755194909E-7</v>
      </c>
      <c r="P120" s="56">
        <f t="shared" si="49"/>
        <v>9.9047653512651887E-5</v>
      </c>
      <c r="Q120" s="56">
        <f t="shared" si="50"/>
        <v>1.0195973531702436E-4</v>
      </c>
      <c r="R120" s="9">
        <f>F120*$C$14</f>
        <v>3.9999999999999996E-5</v>
      </c>
      <c r="S120" s="9">
        <f t="shared" si="62"/>
        <v>1.4249811211466978E-6</v>
      </c>
      <c r="T120" s="9">
        <f t="shared" si="63"/>
        <v>2.4657041576386015E-5</v>
      </c>
      <c r="U120" s="9">
        <f t="shared" si="64"/>
        <v>3.8575018878853297E-5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4.6885883202793597</v>
      </c>
      <c r="K121" s="55">
        <f t="shared" si="46"/>
        <v>8.5559268770148706E-3</v>
      </c>
      <c r="L121" s="55">
        <f t="shared" si="47"/>
        <v>0.15106784559919043</v>
      </c>
      <c r="M121" s="55">
        <f t="shared" si="52"/>
        <v>0.8489321544008096</v>
      </c>
      <c r="N121" s="55">
        <f t="shared" si="48"/>
        <v>0.14960138563998351</v>
      </c>
      <c r="O121" s="56">
        <f t="shared" si="53"/>
        <v>8.6035718014366618E-9</v>
      </c>
      <c r="P121" s="56">
        <f t="shared" si="49"/>
        <v>4.2001723126747383E-4</v>
      </c>
      <c r="Q121" s="56">
        <f t="shared" si="50"/>
        <v>4.3645330598886056E-4</v>
      </c>
      <c r="R121" s="9">
        <f>F121*$C$14</f>
        <v>3.9999999999999996E-5</v>
      </c>
      <c r="S121" s="9">
        <f t="shared" si="62"/>
        <v>6.0427138239676162E-6</v>
      </c>
      <c r="T121" s="9">
        <f t="shared" si="63"/>
        <v>3.4223707508059482E-7</v>
      </c>
      <c r="U121" s="9">
        <f t="shared" si="64"/>
        <v>3.3957286176032382E-5</v>
      </c>
      <c r="V121" s="102">
        <f t="shared" si="65"/>
        <v>1.0078457780944563E-2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3.4342194910128088</v>
      </c>
      <c r="K124" s="55">
        <f t="shared" si="68"/>
        <v>0.17224117874756298</v>
      </c>
      <c r="L124" s="55">
        <f t="shared" si="69"/>
        <v>0.16930630482688711</v>
      </c>
      <c r="M124" s="55">
        <f t="shared" si="52"/>
        <v>0.83069369517311287</v>
      </c>
      <c r="N124" s="55">
        <f t="shared" si="70"/>
        <v>0.16827923955797003</v>
      </c>
      <c r="O124" s="56">
        <f t="shared" si="53"/>
        <v>1.7320032882700024E-7</v>
      </c>
      <c r="P124" s="56">
        <f t="shared" si="71"/>
        <v>4.7072601788594748E-4</v>
      </c>
      <c r="Q124" s="56">
        <f t="shared" si="72"/>
        <v>4.909448540210429E-4</v>
      </c>
      <c r="R124" s="9">
        <f>F124*$C$14</f>
        <v>3.9999999999999996E-5</v>
      </c>
      <c r="S124" s="9">
        <f t="shared" ref="S124:S127" si="73">$R124*L124</f>
        <v>6.7722521930754834E-6</v>
      </c>
      <c r="T124" s="9">
        <f t="shared" ref="T124:T127" si="74">R124*K124</f>
        <v>6.8896471499025186E-6</v>
      </c>
      <c r="U124" s="9">
        <f t="shared" ref="U124:U127" si="75">$R124*M124</f>
        <v>3.322774780692451E-5</v>
      </c>
      <c r="V124" s="102">
        <f t="shared" ref="V124:V127" si="76">K124/M124</f>
        <v>0.20734619721854117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2.6237206895598435</v>
      </c>
      <c r="K126" s="55">
        <f t="shared" si="68"/>
        <v>0.42265720864686279</v>
      </c>
      <c r="L126" s="55">
        <f t="shared" si="69"/>
        <v>6.4272563389442428E-2</v>
      </c>
      <c r="M126" s="55">
        <f t="shared" si="52"/>
        <v>0.93572743661055757</v>
      </c>
      <c r="N126" s="55">
        <f t="shared" si="70"/>
        <v>6.3307014393154712E-2</v>
      </c>
      <c r="O126" s="56">
        <f t="shared" si="53"/>
        <v>4.2501083684539313E-7</v>
      </c>
      <c r="P126" s="56">
        <f t="shared" si="71"/>
        <v>1.7869841205600328E-4</v>
      </c>
      <c r="Q126" s="56">
        <f t="shared" si="72"/>
        <v>1.846945174068763E-4</v>
      </c>
      <c r="R126" s="9">
        <f>F126*$C$14</f>
        <v>3.9999999999999996E-5</v>
      </c>
      <c r="S126" s="9">
        <f t="shared" si="73"/>
        <v>2.570902535577697E-6</v>
      </c>
      <c r="T126" s="9">
        <f t="shared" si="74"/>
        <v>1.6906288345874511E-5</v>
      </c>
      <c r="U126" s="9">
        <f t="shared" si="75"/>
        <v>3.7429097464422299E-5</v>
      </c>
      <c r="V126" s="102">
        <f t="shared" si="76"/>
        <v>0.45168837859220473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7.4340635464284932E-2</v>
      </c>
      <c r="K127" s="55">
        <f t="shared" si="68"/>
        <v>0.99314730256571404</v>
      </c>
      <c r="L127" s="55">
        <f t="shared" si="69"/>
        <v>4.2625644054456206E-4</v>
      </c>
      <c r="M127" s="55">
        <f t="shared" si="52"/>
        <v>0.99957374355945539</v>
      </c>
      <c r="N127" s="55">
        <f t="shared" si="70"/>
        <v>4.0680119425475419E-4</v>
      </c>
      <c r="O127" s="56">
        <f t="shared" si="53"/>
        <v>9.9867778790653305E-7</v>
      </c>
      <c r="P127" s="56">
        <f t="shared" si="71"/>
        <v>1.185130093418205E-6</v>
      </c>
      <c r="Q127" s="56">
        <f t="shared" si="72"/>
        <v>1.186818727334374E-6</v>
      </c>
      <c r="R127" s="9">
        <f>F127*$C$14</f>
        <v>3.9999999999999996E-5</v>
      </c>
      <c r="S127" s="9">
        <f t="shared" si="73"/>
        <v>1.7050257621782481E-8</v>
      </c>
      <c r="T127" s="9">
        <f t="shared" si="74"/>
        <v>3.9725892102628555E-5</v>
      </c>
      <c r="U127" s="9">
        <f t="shared" si="75"/>
        <v>3.9982949742378212E-5</v>
      </c>
      <c r="V127" s="102">
        <f t="shared" si="76"/>
        <v>0.99357081852624807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0.78412765153631614</v>
      </c>
      <c r="K130" s="55">
        <f t="shared" si="79"/>
        <v>0.94667555838477568</v>
      </c>
      <c r="L130" s="55">
        <f t="shared" si="80"/>
        <v>2.0827899202968416E-3</v>
      </c>
      <c r="M130" s="55">
        <f t="shared" si="81"/>
        <v>0.99791721007970313</v>
      </c>
      <c r="N130" s="55">
        <f t="shared" si="82"/>
        <v>1.9699840791611799E-3</v>
      </c>
      <c r="O130" s="56">
        <f t="shared" si="83"/>
        <v>9.5194725905257487E-7</v>
      </c>
      <c r="P130" s="56">
        <f t="shared" si="84"/>
        <v>5.7908263149254174E-6</v>
      </c>
      <c r="Q130" s="56">
        <f t="shared" si="85"/>
        <v>5.7473135052668943E-6</v>
      </c>
      <c r="R130" s="9">
        <f>F130*$C$14</f>
        <v>3.9999999999999996E-5</v>
      </c>
      <c r="S130" s="9">
        <f t="shared" ref="S130:S131" si="86">$R130*L130</f>
        <v>8.3311596811873657E-8</v>
      </c>
      <c r="T130" s="9">
        <f t="shared" ref="T130:T131" si="87">R130*K130</f>
        <v>3.7867022335391026E-5</v>
      </c>
      <c r="U130" s="9">
        <f t="shared" ref="U130:U131" si="88">$R130*M130</f>
        <v>3.9916688403188121E-5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-0.23382974924437347</v>
      </c>
      <c r="K131" s="55">
        <f t="shared" si="79"/>
        <v>0.9959477983807441</v>
      </c>
      <c r="L131" s="55">
        <f t="shared" si="80"/>
        <v>2.1024393572701886E-4</v>
      </c>
      <c r="M131" s="55">
        <f t="shared" si="81"/>
        <v>0.99978975606427301</v>
      </c>
      <c r="N131" s="55">
        <f t="shared" si="82"/>
        <v>1.9588046564588245E-4</v>
      </c>
      <c r="O131" s="56">
        <f t="shared" si="83"/>
        <v>1.0014938786902168E-6</v>
      </c>
      <c r="P131" s="56">
        <f t="shared" si="84"/>
        <v>5.8454580737935918E-7</v>
      </c>
      <c r="Q131" s="56">
        <f t="shared" si="85"/>
        <v>5.7146981924032024E-7</v>
      </c>
      <c r="R131" s="9">
        <f>F131*$C$14</f>
        <v>3.9999999999999996E-5</v>
      </c>
      <c r="S131" s="9">
        <f t="shared" si="86"/>
        <v>8.409757429080753E-9</v>
      </c>
      <c r="T131" s="9">
        <f t="shared" si="87"/>
        <v>3.9837911935229762E-5</v>
      </c>
      <c r="U131" s="9">
        <f t="shared" si="88"/>
        <v>3.9991590242570915E-5</v>
      </c>
      <c r="V131" s="102">
        <f t="shared" si="89"/>
        <v>0.99615723439830695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2024-10-28T22:56:00Z</dcterms:modified>
</cp:coreProperties>
</file>