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7522583E-B67D-4C53-964E-2D120CF048A6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U143" i="4"/>
  <c r="S143" i="4"/>
  <c r="R143" i="4"/>
  <c r="T143" i="4" s="1"/>
  <c r="V142" i="4"/>
  <c r="R142" i="4"/>
  <c r="V141" i="4"/>
  <c r="U141" i="4"/>
  <c r="T141" i="4"/>
  <c r="S141" i="4"/>
  <c r="R141" i="4"/>
  <c r="V140" i="4"/>
  <c r="R140" i="4"/>
  <c r="V139" i="4"/>
  <c r="U139" i="4"/>
  <c r="T139" i="4"/>
  <c r="S139" i="4"/>
  <c r="R139" i="4"/>
  <c r="V138" i="4"/>
  <c r="T138" i="4"/>
  <c r="R138" i="4"/>
  <c r="U138" i="4" s="1"/>
  <c r="V137" i="4"/>
  <c r="T137" i="4"/>
  <c r="R137" i="4"/>
  <c r="U137" i="4" s="1"/>
  <c r="V136" i="4"/>
  <c r="T136" i="4"/>
  <c r="R136" i="4"/>
  <c r="U136" i="4" s="1"/>
  <c r="V135" i="4"/>
  <c r="R135" i="4"/>
  <c r="V134" i="4"/>
  <c r="U134" i="4"/>
  <c r="T134" i="4"/>
  <c r="R134" i="4"/>
  <c r="S134" i="4" s="1"/>
  <c r="V133" i="4"/>
  <c r="R133" i="4"/>
  <c r="U133" i="4" s="1"/>
  <c r="V132" i="4"/>
  <c r="R132" i="4"/>
  <c r="U132" i="4" s="1"/>
  <c r="V131" i="4"/>
  <c r="U131" i="4"/>
  <c r="S131" i="4"/>
  <c r="R131" i="4"/>
  <c r="T131" i="4" s="1"/>
  <c r="V130" i="4"/>
  <c r="T130" i="4"/>
  <c r="R130" i="4"/>
  <c r="U130" i="4" s="1"/>
  <c r="V129" i="4"/>
  <c r="U129" i="4"/>
  <c r="T129" i="4"/>
  <c r="S129" i="4"/>
  <c r="R129" i="4"/>
  <c r="V128" i="4"/>
  <c r="R128" i="4"/>
  <c r="V127" i="4"/>
  <c r="U127" i="4"/>
  <c r="T127" i="4"/>
  <c r="S127" i="4"/>
  <c r="R127" i="4"/>
  <c r="V126" i="4"/>
  <c r="T126" i="4"/>
  <c r="R126" i="4"/>
  <c r="U126" i="4" s="1"/>
  <c r="V125" i="4"/>
  <c r="R125" i="4"/>
  <c r="T125" i="4" s="1"/>
  <c r="V124" i="4"/>
  <c r="U124" i="4"/>
  <c r="T124" i="4"/>
  <c r="R124" i="4"/>
  <c r="S124" i="4" s="1"/>
  <c r="V123" i="4"/>
  <c r="S123" i="4"/>
  <c r="R123" i="4"/>
  <c r="V122" i="4"/>
  <c r="U122" i="4"/>
  <c r="T122" i="4"/>
  <c r="R122" i="4"/>
  <c r="S122" i="4" s="1"/>
  <c r="V121" i="4"/>
  <c r="R121" i="4"/>
  <c r="U121" i="4" s="1"/>
  <c r="V120" i="4"/>
  <c r="R120" i="4"/>
  <c r="U120" i="4" s="1"/>
  <c r="V119" i="4"/>
  <c r="U119" i="4"/>
  <c r="T119" i="4"/>
  <c r="S119" i="4"/>
  <c r="R119" i="4"/>
  <c r="V118" i="4"/>
  <c r="T118" i="4"/>
  <c r="S118" i="4"/>
  <c r="R118" i="4"/>
  <c r="U118" i="4" s="1"/>
  <c r="V117" i="4"/>
  <c r="U117" i="4"/>
  <c r="T117" i="4"/>
  <c r="S117" i="4"/>
  <c r="R117" i="4"/>
  <c r="V116" i="4"/>
  <c r="R116" i="4"/>
  <c r="V115" i="4"/>
  <c r="U115" i="4"/>
  <c r="T115" i="4"/>
  <c r="S115" i="4"/>
  <c r="R115" i="4"/>
  <c r="V114" i="4"/>
  <c r="T114" i="4"/>
  <c r="R114" i="4"/>
  <c r="U114" i="4" s="1"/>
  <c r="V113" i="4"/>
  <c r="R113" i="4"/>
  <c r="U113" i="4" s="1"/>
  <c r="V112" i="4"/>
  <c r="U112" i="4"/>
  <c r="T112" i="4"/>
  <c r="R112" i="4"/>
  <c r="S112" i="4" s="1"/>
  <c r="V111" i="4"/>
  <c r="R111" i="4"/>
  <c r="V110" i="4"/>
  <c r="U110" i="4"/>
  <c r="T110" i="4"/>
  <c r="R110" i="4"/>
  <c r="S110" i="4" s="1"/>
  <c r="V109" i="4"/>
  <c r="R109" i="4"/>
  <c r="U109" i="4" s="1"/>
  <c r="V108" i="4"/>
  <c r="U108" i="4"/>
  <c r="R108" i="4"/>
  <c r="T108" i="4" s="1"/>
  <c r="R107" i="4"/>
  <c r="V106" i="4"/>
  <c r="T106" i="4"/>
  <c r="R106" i="4"/>
  <c r="U106" i="4" s="1"/>
  <c r="V105" i="4"/>
  <c r="R105" i="4"/>
  <c r="U105" i="4" s="1"/>
  <c r="V104" i="4"/>
  <c r="U104" i="4"/>
  <c r="T104" i="4"/>
  <c r="R104" i="4"/>
  <c r="S104" i="4" s="1"/>
  <c r="V103" i="4"/>
  <c r="R103" i="4"/>
  <c r="V102" i="4"/>
  <c r="U102" i="4"/>
  <c r="T102" i="4"/>
  <c r="R102" i="4"/>
  <c r="S102" i="4" s="1"/>
  <c r="V101" i="4"/>
  <c r="R101" i="4"/>
  <c r="U101" i="4" s="1"/>
  <c r="R100" i="4"/>
  <c r="V99" i="4"/>
  <c r="U99" i="4"/>
  <c r="T99" i="4"/>
  <c r="S99" i="4"/>
  <c r="R99" i="4"/>
  <c r="V98" i="4"/>
  <c r="T98" i="4"/>
  <c r="R98" i="4"/>
  <c r="U98" i="4" s="1"/>
  <c r="R97" i="4"/>
  <c r="V96" i="4"/>
  <c r="R96" i="4"/>
  <c r="U96" i="4" s="1"/>
  <c r="V95" i="4"/>
  <c r="U95" i="4"/>
  <c r="T95" i="4"/>
  <c r="S95" i="4"/>
  <c r="R95" i="4"/>
  <c r="V94" i="4"/>
  <c r="T94" i="4"/>
  <c r="S94" i="4"/>
  <c r="R94" i="4"/>
  <c r="U94" i="4" s="1"/>
  <c r="V93" i="4"/>
  <c r="U93" i="4"/>
  <c r="T93" i="4"/>
  <c r="S93" i="4"/>
  <c r="R93" i="4"/>
  <c r="V92" i="4"/>
  <c r="R92" i="4"/>
  <c r="V91" i="4"/>
  <c r="U91" i="4"/>
  <c r="T91" i="4"/>
  <c r="S91" i="4"/>
  <c r="R91" i="4"/>
  <c r="V90" i="4"/>
  <c r="T90" i="4"/>
  <c r="R90" i="4"/>
  <c r="U90" i="4" s="1"/>
  <c r="V89" i="4"/>
  <c r="R89" i="4"/>
  <c r="U89" i="4" s="1"/>
  <c r="V88" i="4"/>
  <c r="U88" i="4"/>
  <c r="T88" i="4"/>
  <c r="R88" i="4"/>
  <c r="S88" i="4" s="1"/>
  <c r="V87" i="4"/>
  <c r="R87" i="4"/>
  <c r="V86" i="4"/>
  <c r="U86" i="4"/>
  <c r="T86" i="4"/>
  <c r="R86" i="4"/>
  <c r="S86" i="4" s="1"/>
  <c r="V85" i="4"/>
  <c r="R85" i="4"/>
  <c r="U85" i="4" s="1"/>
  <c r="V84" i="4"/>
  <c r="U84" i="4"/>
  <c r="R84" i="4"/>
  <c r="T84" i="4" s="1"/>
  <c r="V83" i="4"/>
  <c r="U83" i="4"/>
  <c r="T83" i="4"/>
  <c r="S83" i="4"/>
  <c r="R83" i="4"/>
  <c r="V82" i="4"/>
  <c r="R82" i="4"/>
  <c r="U82" i="4" s="1"/>
  <c r="V81" i="4"/>
  <c r="U81" i="4"/>
  <c r="T81" i="4"/>
  <c r="S81" i="4"/>
  <c r="R81" i="4"/>
  <c r="V80" i="4"/>
  <c r="R80" i="4"/>
  <c r="V79" i="4"/>
  <c r="U79" i="4"/>
  <c r="T79" i="4"/>
  <c r="S79" i="4"/>
  <c r="R79" i="4"/>
  <c r="V78" i="4"/>
  <c r="T78" i="4"/>
  <c r="R78" i="4"/>
  <c r="U78" i="4" s="1"/>
  <c r="V77" i="4"/>
  <c r="R77" i="4"/>
  <c r="U77" i="4" s="1"/>
  <c r="V76" i="4"/>
  <c r="U76" i="4"/>
  <c r="T76" i="4"/>
  <c r="R76" i="4"/>
  <c r="S76" i="4" s="1"/>
  <c r="V75" i="4"/>
  <c r="R75" i="4"/>
  <c r="V74" i="4"/>
  <c r="U74" i="4"/>
  <c r="T74" i="4"/>
  <c r="R74" i="4"/>
  <c r="S74" i="4" s="1"/>
  <c r="V73" i="4"/>
  <c r="R73" i="4"/>
  <c r="U73" i="4" s="1"/>
  <c r="V72" i="4"/>
  <c r="U72" i="4"/>
  <c r="T72" i="4"/>
  <c r="S72" i="4"/>
  <c r="R72" i="4"/>
  <c r="V71" i="4"/>
  <c r="U71" i="4"/>
  <c r="T71" i="4"/>
  <c r="S71" i="4"/>
  <c r="R71" i="4"/>
  <c r="V70" i="4"/>
  <c r="R70" i="4"/>
  <c r="U70" i="4" s="1"/>
  <c r="V69" i="4"/>
  <c r="U69" i="4"/>
  <c r="T69" i="4"/>
  <c r="S69" i="4"/>
  <c r="R69" i="4"/>
  <c r="V68" i="4"/>
  <c r="R68" i="4"/>
  <c r="V67" i="4"/>
  <c r="U67" i="4"/>
  <c r="T67" i="4"/>
  <c r="S67" i="4"/>
  <c r="R67" i="4"/>
  <c r="V66" i="4"/>
  <c r="T66" i="4"/>
  <c r="R66" i="4"/>
  <c r="U66" i="4" s="1"/>
  <c r="V65" i="4"/>
  <c r="R65" i="4"/>
  <c r="U65" i="4" s="1"/>
  <c r="V64" i="4"/>
  <c r="U64" i="4"/>
  <c r="T64" i="4"/>
  <c r="R64" i="4"/>
  <c r="S64" i="4" s="1"/>
  <c r="V63" i="4"/>
  <c r="S63" i="4"/>
  <c r="R63" i="4"/>
  <c r="V62" i="4"/>
  <c r="U62" i="4"/>
  <c r="T62" i="4"/>
  <c r="R62" i="4"/>
  <c r="S62" i="4" s="1"/>
  <c r="V61" i="4"/>
  <c r="R61" i="4"/>
  <c r="U61" i="4" s="1"/>
  <c r="V60" i="4"/>
  <c r="U60" i="4"/>
  <c r="T60" i="4"/>
  <c r="S60" i="4"/>
  <c r="R60" i="4"/>
  <c r="V59" i="4"/>
  <c r="U59" i="4"/>
  <c r="T59" i="4"/>
  <c r="S59" i="4"/>
  <c r="R59" i="4"/>
  <c r="V58" i="4"/>
  <c r="R58" i="4"/>
  <c r="U58" i="4" s="1"/>
  <c r="V57" i="4"/>
  <c r="U57" i="4"/>
  <c r="T57" i="4"/>
  <c r="S57" i="4"/>
  <c r="R57" i="4"/>
  <c r="V56" i="4"/>
  <c r="R56" i="4"/>
  <c r="V55" i="4"/>
  <c r="U55" i="4"/>
  <c r="T55" i="4"/>
  <c r="S55" i="4"/>
  <c r="R55" i="4"/>
  <c r="V54" i="4"/>
  <c r="T54" i="4"/>
  <c r="R54" i="4"/>
  <c r="U54" i="4" s="1"/>
  <c r="V53" i="4"/>
  <c r="R53" i="4"/>
  <c r="U53" i="4" s="1"/>
  <c r="V52" i="4"/>
  <c r="U52" i="4"/>
  <c r="T52" i="4"/>
  <c r="R52" i="4"/>
  <c r="S52" i="4" s="1"/>
  <c r="V51" i="4"/>
  <c r="S51" i="4"/>
  <c r="R51" i="4"/>
  <c r="V50" i="4"/>
  <c r="U50" i="4"/>
  <c r="T50" i="4"/>
  <c r="R50" i="4"/>
  <c r="S50" i="4" s="1"/>
  <c r="V49" i="4"/>
  <c r="R49" i="4"/>
  <c r="U49" i="4" s="1"/>
  <c r="V48" i="4"/>
  <c r="R48" i="4"/>
  <c r="S48" i="4" s="1"/>
  <c r="V47" i="4"/>
  <c r="U47" i="4"/>
  <c r="T47" i="4"/>
  <c r="S47" i="4"/>
  <c r="R47" i="4"/>
  <c r="V46" i="4"/>
  <c r="R46" i="4"/>
  <c r="U46" i="4" s="1"/>
  <c r="V45" i="4"/>
  <c r="U45" i="4"/>
  <c r="T45" i="4"/>
  <c r="S45" i="4"/>
  <c r="R45" i="4"/>
  <c r="V44" i="4"/>
  <c r="R44" i="4"/>
  <c r="V43" i="4"/>
  <c r="U43" i="4"/>
  <c r="T43" i="4"/>
  <c r="S43" i="4"/>
  <c r="R43" i="4"/>
  <c r="V42" i="4"/>
  <c r="T42" i="4"/>
  <c r="R42" i="4"/>
  <c r="U42" i="4" s="1"/>
  <c r="V41" i="4"/>
  <c r="T41" i="4"/>
  <c r="S41" i="4"/>
  <c r="R41" i="4"/>
  <c r="U41" i="4" s="1"/>
  <c r="V40" i="4"/>
  <c r="U40" i="4"/>
  <c r="T40" i="4"/>
  <c r="R40" i="4"/>
  <c r="S40" i="4" s="1"/>
  <c r="V39" i="4"/>
  <c r="R39" i="4"/>
  <c r="V38" i="4"/>
  <c r="U38" i="4"/>
  <c r="T38" i="4"/>
  <c r="R38" i="4"/>
  <c r="S38" i="4" s="1"/>
  <c r="V37" i="4"/>
  <c r="R37" i="4"/>
  <c r="U37" i="4" s="1"/>
  <c r="V36" i="4"/>
  <c r="R36" i="4"/>
  <c r="U36" i="4" s="1"/>
  <c r="V35" i="4"/>
  <c r="U35" i="4"/>
  <c r="T35" i="4"/>
  <c r="S35" i="4"/>
  <c r="R35" i="4"/>
  <c r="V34" i="4"/>
  <c r="R34" i="4"/>
  <c r="U34" i="4" s="1"/>
  <c r="V33" i="4"/>
  <c r="U33" i="4"/>
  <c r="T33" i="4"/>
  <c r="S33" i="4"/>
  <c r="R33" i="4"/>
  <c r="V32" i="4"/>
  <c r="R32" i="4"/>
  <c r="V31" i="4"/>
  <c r="U31" i="4"/>
  <c r="T31" i="4"/>
  <c r="S31" i="4"/>
  <c r="R31" i="4"/>
  <c r="V30" i="4"/>
  <c r="T30" i="4"/>
  <c r="R30" i="4"/>
  <c r="U30" i="4" s="1"/>
  <c r="V29" i="4"/>
  <c r="S29" i="4"/>
  <c r="R29" i="4"/>
  <c r="U29" i="4" s="1"/>
  <c r="V28" i="4"/>
  <c r="U28" i="4"/>
  <c r="T28" i="4"/>
  <c r="R28" i="4"/>
  <c r="S28" i="4" s="1"/>
  <c r="I135" i="4"/>
  <c r="J135" i="4"/>
  <c r="K135" i="4" s="1"/>
  <c r="O135" i="4" s="1"/>
  <c r="P135" i="4" s="1"/>
  <c r="L135" i="4"/>
  <c r="M135" i="4"/>
  <c r="N135" i="4"/>
  <c r="Q135" i="4"/>
  <c r="I136" i="4"/>
  <c r="L136" i="4" s="1"/>
  <c r="M136" i="4" s="1"/>
  <c r="J136" i="4"/>
  <c r="K136" i="4"/>
  <c r="O136" i="4" s="1"/>
  <c r="P136" i="4" s="1"/>
  <c r="I137" i="4"/>
  <c r="N137" i="4" s="1"/>
  <c r="Q137" i="4" s="1"/>
  <c r="J137" i="4"/>
  <c r="K137" i="4"/>
  <c r="O137" i="4" s="1"/>
  <c r="P137" i="4" s="1"/>
  <c r="L137" i="4"/>
  <c r="M137" i="4" s="1"/>
  <c r="I138" i="4"/>
  <c r="J138" i="4"/>
  <c r="K138" i="4"/>
  <c r="L138" i="4"/>
  <c r="M138" i="4"/>
  <c r="N138" i="4"/>
  <c r="Q138" i="4" s="1"/>
  <c r="O138" i="4"/>
  <c r="P138" i="4" s="1"/>
  <c r="I139" i="4"/>
  <c r="J139" i="4"/>
  <c r="K139" i="4"/>
  <c r="L139" i="4"/>
  <c r="M139" i="4"/>
  <c r="N139" i="4"/>
  <c r="O139" i="4"/>
  <c r="P139" i="4"/>
  <c r="Q139" i="4"/>
  <c r="I140" i="4"/>
  <c r="L140" i="4" s="1"/>
  <c r="M140" i="4" s="1"/>
  <c r="J140" i="4"/>
  <c r="K140" i="4"/>
  <c r="O140" i="4" s="1"/>
  <c r="P140" i="4" s="1"/>
  <c r="I141" i="4"/>
  <c r="N141" i="4" s="1"/>
  <c r="Q141" i="4" s="1"/>
  <c r="J141" i="4"/>
  <c r="K141" i="4"/>
  <c r="O141" i="4" s="1"/>
  <c r="P141" i="4" s="1"/>
  <c r="L141" i="4"/>
  <c r="M141" i="4" s="1"/>
  <c r="I142" i="4"/>
  <c r="J142" i="4"/>
  <c r="K142" i="4"/>
  <c r="L142" i="4"/>
  <c r="M142" i="4"/>
  <c r="N142" i="4"/>
  <c r="Q142" i="4" s="1"/>
  <c r="O142" i="4"/>
  <c r="P142" i="4" s="1"/>
  <c r="I143" i="4"/>
  <c r="J143" i="4"/>
  <c r="K143" i="4"/>
  <c r="L143" i="4"/>
  <c r="M143" i="4"/>
  <c r="N143" i="4"/>
  <c r="O143" i="4"/>
  <c r="P143" i="4"/>
  <c r="Q143" i="4"/>
  <c r="S82" i="4" l="1"/>
  <c r="S105" i="4"/>
  <c r="S36" i="4"/>
  <c r="T48" i="4"/>
  <c r="S70" i="4"/>
  <c r="T82" i="4"/>
  <c r="T105" i="4"/>
  <c r="T36" i="4"/>
  <c r="U48" i="4"/>
  <c r="S58" i="4"/>
  <c r="T70" i="4"/>
  <c r="U128" i="4"/>
  <c r="T128" i="4"/>
  <c r="S128" i="4"/>
  <c r="S46" i="4"/>
  <c r="S89" i="4"/>
  <c r="S113" i="4"/>
  <c r="S34" i="4"/>
  <c r="T46" i="4"/>
  <c r="S77" i="4"/>
  <c r="U80" i="4"/>
  <c r="T80" i="4"/>
  <c r="S80" i="4"/>
  <c r="T89" i="4"/>
  <c r="U103" i="4"/>
  <c r="T103" i="4"/>
  <c r="T113" i="4"/>
  <c r="U125" i="4"/>
  <c r="U142" i="4"/>
  <c r="T142" i="4"/>
  <c r="T34" i="4"/>
  <c r="S65" i="4"/>
  <c r="U68" i="4"/>
  <c r="T68" i="4"/>
  <c r="S68" i="4"/>
  <c r="T77" i="4"/>
  <c r="S103" i="4"/>
  <c r="S142" i="4"/>
  <c r="S53" i="4"/>
  <c r="U56" i="4"/>
  <c r="T56" i="4"/>
  <c r="S56" i="4"/>
  <c r="T65" i="4"/>
  <c r="U123" i="4"/>
  <c r="T123" i="4"/>
  <c r="S132" i="4"/>
  <c r="U44" i="4"/>
  <c r="T44" i="4"/>
  <c r="S44" i="4"/>
  <c r="T53" i="4"/>
  <c r="U87" i="4"/>
  <c r="T87" i="4"/>
  <c r="T111" i="4"/>
  <c r="U111" i="4"/>
  <c r="T132" i="4"/>
  <c r="U75" i="4"/>
  <c r="T75" i="4"/>
  <c r="S87" i="4"/>
  <c r="S96" i="4"/>
  <c r="S111" i="4"/>
  <c r="S120" i="4"/>
  <c r="S125" i="4"/>
  <c r="U135" i="4"/>
  <c r="T135" i="4"/>
  <c r="S135" i="4"/>
  <c r="T29" i="4"/>
  <c r="U63" i="4"/>
  <c r="T63" i="4"/>
  <c r="S75" i="4"/>
  <c r="S84" i="4"/>
  <c r="T96" i="4"/>
  <c r="S108" i="4"/>
  <c r="T120" i="4"/>
  <c r="U140" i="4"/>
  <c r="T140" i="4"/>
  <c r="S140" i="4"/>
  <c r="U39" i="4"/>
  <c r="T39" i="4"/>
  <c r="S39" i="4"/>
  <c r="T58" i="4"/>
  <c r="U92" i="4"/>
  <c r="T92" i="4"/>
  <c r="S92" i="4"/>
  <c r="U116" i="4"/>
  <c r="T116" i="4"/>
  <c r="S116" i="4"/>
  <c r="U32" i="4"/>
  <c r="T32" i="4"/>
  <c r="S32" i="4"/>
  <c r="U51" i="4"/>
  <c r="T51" i="4"/>
  <c r="S130" i="4"/>
  <c r="S137" i="4"/>
  <c r="S37" i="4"/>
  <c r="S49" i="4"/>
  <c r="S61" i="4"/>
  <c r="S73" i="4"/>
  <c r="S85" i="4"/>
  <c r="S101" i="4"/>
  <c r="S109" i="4"/>
  <c r="S121" i="4"/>
  <c r="S133" i="4"/>
  <c r="S30" i="4"/>
  <c r="T37" i="4"/>
  <c r="S42" i="4"/>
  <c r="T49" i="4"/>
  <c r="S54" i="4"/>
  <c r="T61" i="4"/>
  <c r="S66" i="4"/>
  <c r="T73" i="4"/>
  <c r="S78" i="4"/>
  <c r="T85" i="4"/>
  <c r="S90" i="4"/>
  <c r="S98" i="4"/>
  <c r="T101" i="4"/>
  <c r="S106" i="4"/>
  <c r="T109" i="4"/>
  <c r="S114" i="4"/>
  <c r="T121" i="4"/>
  <c r="S126" i="4"/>
  <c r="T133" i="4"/>
  <c r="S138" i="4"/>
  <c r="S136" i="4"/>
  <c r="N140" i="4"/>
  <c r="Q140" i="4" s="1"/>
  <c r="N136" i="4"/>
  <c r="Q136" i="4" s="1"/>
  <c r="I128" i="4" l="1"/>
  <c r="L128" i="4" s="1"/>
  <c r="M128" i="4" s="1"/>
  <c r="J128" i="4"/>
  <c r="K128" i="4" s="1"/>
  <c r="O128" i="4" s="1"/>
  <c r="P128" i="4" s="1"/>
  <c r="N128" i="4"/>
  <c r="Q128" i="4"/>
  <c r="I129" i="4"/>
  <c r="L129" i="4" s="1"/>
  <c r="M129" i="4" s="1"/>
  <c r="J129" i="4"/>
  <c r="K129" i="4"/>
  <c r="O129" i="4" s="1"/>
  <c r="P129" i="4" s="1"/>
  <c r="I130" i="4"/>
  <c r="J130" i="4"/>
  <c r="K130" i="4"/>
  <c r="O130" i="4" s="1"/>
  <c r="P130" i="4" s="1"/>
  <c r="L130" i="4"/>
  <c r="M130" i="4"/>
  <c r="N130" i="4"/>
  <c r="Q130" i="4" s="1"/>
  <c r="I131" i="4"/>
  <c r="L131" i="4" s="1"/>
  <c r="M131" i="4" s="1"/>
  <c r="J131" i="4"/>
  <c r="K131" i="4" s="1"/>
  <c r="N131" i="4"/>
  <c r="Q131" i="4"/>
  <c r="I132" i="4"/>
  <c r="L132" i="4" s="1"/>
  <c r="M132" i="4" s="1"/>
  <c r="J132" i="4"/>
  <c r="K132" i="4"/>
  <c r="O132" i="4" s="1"/>
  <c r="P132" i="4" s="1"/>
  <c r="I133" i="4"/>
  <c r="J133" i="4"/>
  <c r="K133" i="4"/>
  <c r="O133" i="4" s="1"/>
  <c r="P133" i="4" s="1"/>
  <c r="L133" i="4"/>
  <c r="M133" i="4"/>
  <c r="N133" i="4"/>
  <c r="Q133" i="4" s="1"/>
  <c r="I134" i="4"/>
  <c r="J134" i="4"/>
  <c r="K134" i="4"/>
  <c r="L134" i="4"/>
  <c r="M134" i="4"/>
  <c r="N134" i="4"/>
  <c r="O134" i="4"/>
  <c r="P134" i="4"/>
  <c r="Q134" i="4"/>
  <c r="O131" i="4" l="1"/>
  <c r="P131" i="4" s="1"/>
  <c r="N132" i="4"/>
  <c r="Q132" i="4" s="1"/>
  <c r="N129" i="4"/>
  <c r="Q129" i="4" s="1"/>
  <c r="O15" i="1" l="1"/>
  <c r="L15" i="1"/>
  <c r="N15" i="1"/>
  <c r="M118" i="4"/>
  <c r="M123" i="4"/>
  <c r="J16" i="4"/>
  <c r="J15" i="4"/>
  <c r="J87" i="4"/>
  <c r="K87" i="4"/>
  <c r="J122" i="4"/>
  <c r="L122" i="4" s="1"/>
  <c r="M122" i="4" s="1"/>
  <c r="J117" i="4"/>
  <c r="K117" i="4"/>
  <c r="O117" i="4" s="1"/>
  <c r="P117" i="4" s="1"/>
  <c r="J120" i="4"/>
  <c r="L120" i="4" s="1"/>
  <c r="K120" i="4"/>
  <c r="J101" i="4"/>
  <c r="L101" i="4" s="1"/>
  <c r="M101" i="4" s="1"/>
  <c r="J86" i="4"/>
  <c r="K86" i="4" s="1"/>
  <c r="J85" i="4"/>
  <c r="K85" i="4" s="1"/>
  <c r="J88" i="4"/>
  <c r="K88" i="4"/>
  <c r="J119" i="4"/>
  <c r="K119" i="4"/>
  <c r="J72" i="4"/>
  <c r="L72" i="4" s="1"/>
  <c r="K72" i="4"/>
  <c r="J103" i="4"/>
  <c r="K103" i="4"/>
  <c r="O103" i="4" s="1"/>
  <c r="P103" i="4" s="1"/>
  <c r="J118" i="4"/>
  <c r="K118" i="4"/>
  <c r="J104" i="4"/>
  <c r="K104" i="4" s="1"/>
  <c r="O104" i="4" s="1"/>
  <c r="P104" i="4" s="1"/>
  <c r="J90" i="4"/>
  <c r="K90" i="4"/>
  <c r="J71" i="4"/>
  <c r="K71" i="4"/>
  <c r="J110" i="4"/>
  <c r="K110" i="4"/>
  <c r="J82" i="4"/>
  <c r="K82" i="4" s="1"/>
  <c r="J113" i="4"/>
  <c r="K113" i="4" s="1"/>
  <c r="O113" i="4" s="1"/>
  <c r="P113" i="4" s="1"/>
  <c r="J97" i="4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 s="1"/>
  <c r="J78" i="4"/>
  <c r="J115" i="4"/>
  <c r="K115" i="4"/>
  <c r="O115" i="4"/>
  <c r="P115" i="4" s="1"/>
  <c r="J99" i="4"/>
  <c r="K99" i="4"/>
  <c r="J83" i="4"/>
  <c r="K83" i="4" s="1"/>
  <c r="J102" i="4"/>
  <c r="K102" i="4"/>
  <c r="J74" i="4"/>
  <c r="K74" i="4"/>
  <c r="J125" i="4"/>
  <c r="K125" i="4"/>
  <c r="O125" i="4" s="1"/>
  <c r="P125" i="4" s="1"/>
  <c r="J109" i="4"/>
  <c r="K109" i="4"/>
  <c r="J93" i="4"/>
  <c r="K93" i="4" s="1"/>
  <c r="J77" i="4"/>
  <c r="K77" i="4" s="1"/>
  <c r="J112" i="4"/>
  <c r="K112" i="4" s="1"/>
  <c r="O112" i="4" s="1"/>
  <c r="P112" i="4" s="1"/>
  <c r="J96" i="4"/>
  <c r="K96" i="4"/>
  <c r="J80" i="4"/>
  <c r="K80" i="4" s="1"/>
  <c r="J106" i="4"/>
  <c r="K106" i="4"/>
  <c r="O106" i="4" s="1"/>
  <c r="P106" i="4" s="1"/>
  <c r="J127" i="4"/>
  <c r="K127" i="4"/>
  <c r="J111" i="4"/>
  <c r="K111" i="4" s="1"/>
  <c r="O111" i="4" s="1"/>
  <c r="P111" i="4" s="1"/>
  <c r="J95" i="4"/>
  <c r="K95" i="4" s="1"/>
  <c r="J79" i="4"/>
  <c r="K79" i="4" s="1"/>
  <c r="J126" i="4"/>
  <c r="K126" i="4"/>
  <c r="J94" i="4"/>
  <c r="K94" i="4"/>
  <c r="J121" i="4"/>
  <c r="L121" i="4" s="1"/>
  <c r="J105" i="4"/>
  <c r="K105" i="4"/>
  <c r="J89" i="4"/>
  <c r="K89" i="4" s="1"/>
  <c r="J73" i="4"/>
  <c r="K73" i="4"/>
  <c r="J124" i="4"/>
  <c r="K124" i="4"/>
  <c r="J108" i="4"/>
  <c r="K108" i="4" s="1"/>
  <c r="J92" i="4"/>
  <c r="K92" i="4"/>
  <c r="J76" i="4"/>
  <c r="K76" i="4" s="1"/>
  <c r="J98" i="4"/>
  <c r="K98" i="4"/>
  <c r="O98" i="4" s="1"/>
  <c r="P98" i="4" s="1"/>
  <c r="J123" i="4"/>
  <c r="K123" i="4" s="1"/>
  <c r="O123" i="4" s="1"/>
  <c r="P123" i="4" s="1"/>
  <c r="J107" i="4"/>
  <c r="K107" i="4"/>
  <c r="J91" i="4"/>
  <c r="K91" i="4"/>
  <c r="J75" i="4"/>
  <c r="K75" i="4" s="1"/>
  <c r="P100" i="4"/>
  <c r="O105" i="4"/>
  <c r="P105" i="4" s="1"/>
  <c r="O102" i="4"/>
  <c r="P102" i="4"/>
  <c r="O110" i="4"/>
  <c r="P110" i="4"/>
  <c r="O118" i="4"/>
  <c r="P118" i="4"/>
  <c r="O109" i="4"/>
  <c r="P109" i="4"/>
  <c r="O99" i="4"/>
  <c r="P99" i="4"/>
  <c r="I76" i="4"/>
  <c r="I77" i="4"/>
  <c r="N77" i="4" s="1"/>
  <c r="Q77" i="4" s="1"/>
  <c r="I81" i="4"/>
  <c r="L81" i="4" s="1"/>
  <c r="I89" i="4"/>
  <c r="L89" i="4" s="1"/>
  <c r="I90" i="4"/>
  <c r="L90" i="4" s="1"/>
  <c r="I96" i="4"/>
  <c r="N96" i="4" s="1"/>
  <c r="Q96" i="4" s="1"/>
  <c r="I99" i="4"/>
  <c r="I102" i="4"/>
  <c r="N102" i="4" s="1"/>
  <c r="Q102" i="4" s="1"/>
  <c r="I104" i="4"/>
  <c r="L104" i="4" s="1"/>
  <c r="M104" i="4" s="1"/>
  <c r="I108" i="4"/>
  <c r="N108" i="4" s="1"/>
  <c r="Q108" i="4" s="1"/>
  <c r="I111" i="4"/>
  <c r="L111" i="4" s="1"/>
  <c r="M111" i="4" s="1"/>
  <c r="I113" i="4"/>
  <c r="N113" i="4" s="1"/>
  <c r="Q113" i="4" s="1"/>
  <c r="I115" i="4"/>
  <c r="L115" i="4" s="1"/>
  <c r="I119" i="4"/>
  <c r="N119" i="4" s="1"/>
  <c r="Q119" i="4" s="1"/>
  <c r="I120" i="4"/>
  <c r="N120" i="4" s="1"/>
  <c r="Q120" i="4" s="1"/>
  <c r="I123" i="4"/>
  <c r="N123" i="4" s="1"/>
  <c r="Q123" i="4" s="1"/>
  <c r="I125" i="4"/>
  <c r="N125" i="4" s="1"/>
  <c r="Q125" i="4" s="1"/>
  <c r="I79" i="4"/>
  <c r="N79" i="4" s="1"/>
  <c r="Q79" i="4" s="1"/>
  <c r="I92" i="4"/>
  <c r="I100" i="4"/>
  <c r="L100" i="4" s="1"/>
  <c r="M100" i="4" s="1"/>
  <c r="I103" i="4"/>
  <c r="L103" i="4" s="1"/>
  <c r="M103" i="4" s="1"/>
  <c r="I107" i="4"/>
  <c r="N107" i="4" s="1"/>
  <c r="Q107" i="4" s="1"/>
  <c r="I109" i="4"/>
  <c r="L109" i="4" s="1"/>
  <c r="M109" i="4" s="1"/>
  <c r="I110" i="4"/>
  <c r="L110" i="4" s="1"/>
  <c r="M110" i="4" s="1"/>
  <c r="I117" i="4"/>
  <c r="I124" i="4"/>
  <c r="I72" i="4"/>
  <c r="N72" i="4" s="1"/>
  <c r="Q72" i="4" s="1"/>
  <c r="I106" i="4"/>
  <c r="N106" i="4" s="1"/>
  <c r="Q106" i="4" s="1"/>
  <c r="I71" i="4"/>
  <c r="L71" i="4" s="1"/>
  <c r="I75" i="4"/>
  <c r="N75" i="4" s="1"/>
  <c r="Q75" i="4" s="1"/>
  <c r="I80" i="4"/>
  <c r="I83" i="4"/>
  <c r="N83" i="4" s="1"/>
  <c r="Q83" i="4" s="1"/>
  <c r="I86" i="4"/>
  <c r="N86" i="4" s="1"/>
  <c r="Q86" i="4" s="1"/>
  <c r="I88" i="4"/>
  <c r="I94" i="4"/>
  <c r="L94" i="4" s="1"/>
  <c r="I95" i="4"/>
  <c r="L95" i="4" s="1"/>
  <c r="M95" i="4" s="1"/>
  <c r="I98" i="4"/>
  <c r="I101" i="4"/>
  <c r="I118" i="4"/>
  <c r="N118" i="4" s="1"/>
  <c r="Q118" i="4" s="1"/>
  <c r="I127" i="4"/>
  <c r="N127" i="4" s="1"/>
  <c r="Q127" i="4" s="1"/>
  <c r="I73" i="4"/>
  <c r="N73" i="4" s="1"/>
  <c r="Q73" i="4" s="1"/>
  <c r="I74" i="4"/>
  <c r="N74" i="4" s="1"/>
  <c r="Q74" i="4" s="1"/>
  <c r="I78" i="4"/>
  <c r="N78" i="4" s="1"/>
  <c r="Q78" i="4" s="1"/>
  <c r="I82" i="4"/>
  <c r="N82" i="4" s="1"/>
  <c r="Q82" i="4" s="1"/>
  <c r="I85" i="4"/>
  <c r="N85" i="4" s="1"/>
  <c r="Q85" i="4" s="1"/>
  <c r="I93" i="4"/>
  <c r="N93" i="4" s="1"/>
  <c r="Q93" i="4" s="1"/>
  <c r="I112" i="4"/>
  <c r="L112" i="4" s="1"/>
  <c r="M112" i="4" s="1"/>
  <c r="I114" i="4"/>
  <c r="L114" i="4" s="1"/>
  <c r="I121" i="4"/>
  <c r="I122" i="4"/>
  <c r="I84" i="4"/>
  <c r="I87" i="4"/>
  <c r="N87" i="4" s="1"/>
  <c r="Q87" i="4" s="1"/>
  <c r="I91" i="4"/>
  <c r="N91" i="4" s="1"/>
  <c r="Q91" i="4" s="1"/>
  <c r="I97" i="4"/>
  <c r="N97" i="4" s="1"/>
  <c r="Q97" i="4" s="1"/>
  <c r="I105" i="4"/>
  <c r="I116" i="4"/>
  <c r="N116" i="4" s="1"/>
  <c r="Q116" i="4" s="1"/>
  <c r="I126" i="4"/>
  <c r="N126" i="4" s="1"/>
  <c r="Q126" i="4" s="1"/>
  <c r="L105" i="4"/>
  <c r="M105" i="4" s="1"/>
  <c r="N105" i="4"/>
  <c r="Q105" i="4"/>
  <c r="N121" i="4"/>
  <c r="Q121" i="4"/>
  <c r="L85" i="4"/>
  <c r="N101" i="4"/>
  <c r="Q101" i="4"/>
  <c r="N88" i="4"/>
  <c r="Q88" i="4" s="1"/>
  <c r="L106" i="4"/>
  <c r="M106" i="4" s="1"/>
  <c r="N124" i="4"/>
  <c r="Q124" i="4"/>
  <c r="N98" i="4"/>
  <c r="Q98" i="4" s="1"/>
  <c r="L98" i="4"/>
  <c r="M98" i="4" s="1"/>
  <c r="N71" i="4"/>
  <c r="Q71" i="4"/>
  <c r="N117" i="4"/>
  <c r="Q117" i="4"/>
  <c r="L117" i="4"/>
  <c r="M117" i="4" s="1"/>
  <c r="N103" i="4"/>
  <c r="Q103" i="4" s="1"/>
  <c r="N115" i="4"/>
  <c r="Q115" i="4" s="1"/>
  <c r="N76" i="4"/>
  <c r="Q76" i="4"/>
  <c r="L76" i="4"/>
  <c r="L127" i="4"/>
  <c r="N110" i="4"/>
  <c r="Q110" i="4" s="1"/>
  <c r="N100" i="4"/>
  <c r="Q100" i="4" s="1"/>
  <c r="L123" i="4"/>
  <c r="L102" i="4"/>
  <c r="M102" i="4" s="1"/>
  <c r="N122" i="4"/>
  <c r="Q122" i="4"/>
  <c r="L118" i="4"/>
  <c r="N94" i="4"/>
  <c r="Q94" i="4" s="1"/>
  <c r="N109" i="4"/>
  <c r="Q109" i="4" s="1"/>
  <c r="N99" i="4"/>
  <c r="Q99" i="4" s="1"/>
  <c r="L99" i="4"/>
  <c r="M99" i="4" s="1"/>
  <c r="M71" i="4" l="1"/>
  <c r="M121" i="4"/>
  <c r="L107" i="4"/>
  <c r="N112" i="4"/>
  <c r="Q112" i="4" s="1"/>
  <c r="L97" i="4"/>
  <c r="M97" i="4" s="1"/>
  <c r="N111" i="4"/>
  <c r="Q111" i="4" s="1"/>
  <c r="L125" i="4"/>
  <c r="M125" i="4" s="1"/>
  <c r="O127" i="4"/>
  <c r="P127" i="4" s="1"/>
  <c r="M115" i="4"/>
  <c r="K121" i="4"/>
  <c r="K101" i="4"/>
  <c r="O101" i="4" s="1"/>
  <c r="P101" i="4" s="1"/>
  <c r="L113" i="4"/>
  <c r="M113" i="4" s="1"/>
  <c r="M120" i="4"/>
  <c r="N95" i="4"/>
  <c r="Q95" i="4" s="1"/>
  <c r="O108" i="4"/>
  <c r="P108" i="4" s="1"/>
  <c r="O126" i="4"/>
  <c r="P126" i="4" s="1"/>
  <c r="N104" i="4"/>
  <c r="Q104" i="4" s="1"/>
  <c r="L96" i="4"/>
  <c r="O91" i="4"/>
  <c r="P91" i="4" s="1"/>
  <c r="O124" i="4"/>
  <c r="P124" i="4" s="1"/>
  <c r="L126" i="4"/>
  <c r="O71" i="4"/>
  <c r="P71" i="4" s="1"/>
  <c r="O119" i="4"/>
  <c r="P119" i="4" s="1"/>
  <c r="L73" i="4"/>
  <c r="L80" i="4"/>
  <c r="L92" i="4"/>
  <c r="L124" i="4"/>
  <c r="K122" i="4"/>
  <c r="O122" i="4" s="1"/>
  <c r="P122" i="4" s="1"/>
  <c r="O120" i="4"/>
  <c r="P120" i="4" s="1"/>
  <c r="N114" i="4"/>
  <c r="Q114" i="4" s="1"/>
  <c r="O114" i="4"/>
  <c r="P114" i="4" s="1"/>
  <c r="M127" i="4"/>
  <c r="L88" i="4"/>
  <c r="L86" i="4"/>
  <c r="M114" i="4"/>
  <c r="O107" i="4"/>
  <c r="P107" i="4" s="1"/>
  <c r="L93" i="4"/>
  <c r="O80" i="4"/>
  <c r="P80" i="4" s="1"/>
  <c r="M92" i="4"/>
  <c r="M90" i="4"/>
  <c r="O75" i="4"/>
  <c r="P75" i="4" s="1"/>
  <c r="M81" i="4"/>
  <c r="M93" i="4"/>
  <c r="O74" i="4"/>
  <c r="P74" i="4" s="1"/>
  <c r="O82" i="4"/>
  <c r="P82" i="4" s="1"/>
  <c r="O96" i="4"/>
  <c r="P96" i="4" s="1"/>
  <c r="O72" i="4"/>
  <c r="P72" i="4" s="1"/>
  <c r="M76" i="4"/>
  <c r="O79" i="4"/>
  <c r="P79" i="4" s="1"/>
  <c r="N80" i="4"/>
  <c r="Q80" i="4" s="1"/>
  <c r="L116" i="4"/>
  <c r="M96" i="4"/>
  <c r="M86" i="4"/>
  <c r="L108" i="4"/>
  <c r="O95" i="4"/>
  <c r="P95" i="4" s="1"/>
  <c r="O83" i="4"/>
  <c r="P83" i="4" s="1"/>
  <c r="L84" i="4"/>
  <c r="O77" i="4"/>
  <c r="P77" i="4" s="1"/>
  <c r="O88" i="4"/>
  <c r="P88" i="4" s="1"/>
  <c r="N89" i="4"/>
  <c r="Q89" i="4" s="1"/>
  <c r="N90" i="4"/>
  <c r="Q90" i="4" s="1"/>
  <c r="O93" i="4"/>
  <c r="P93" i="4" s="1"/>
  <c r="O87" i="4"/>
  <c r="P87" i="4" s="1"/>
  <c r="M85" i="4"/>
  <c r="L119" i="4"/>
  <c r="O81" i="4"/>
  <c r="P81" i="4" s="1"/>
  <c r="O85" i="4"/>
  <c r="P85" i="4" s="1"/>
  <c r="L91" i="4"/>
  <c r="N92" i="4"/>
  <c r="Q92" i="4" s="1"/>
  <c r="O94" i="4"/>
  <c r="P94" i="4" s="1"/>
  <c r="L78" i="4"/>
  <c r="M72" i="4"/>
  <c r="O84" i="4"/>
  <c r="P84" i="4" s="1"/>
  <c r="O73" i="4"/>
  <c r="P73" i="4" s="1"/>
  <c r="M89" i="4"/>
  <c r="O89" i="4"/>
  <c r="P89" i="4" s="1"/>
  <c r="O90" i="4"/>
  <c r="P90" i="4" s="1"/>
  <c r="M94" i="4"/>
  <c r="N84" i="4"/>
  <c r="Q84" i="4" s="1"/>
  <c r="O76" i="4"/>
  <c r="P76" i="4" s="1"/>
  <c r="N81" i="4"/>
  <c r="Q81" i="4" s="1"/>
  <c r="L82" i="4"/>
  <c r="O92" i="4"/>
  <c r="P92" i="4" s="1"/>
  <c r="O86" i="4"/>
  <c r="P86" i="4" s="1"/>
  <c r="K97" i="4"/>
  <c r="K78" i="4"/>
  <c r="L87" i="4"/>
  <c r="L83" i="4"/>
  <c r="L74" i="4"/>
  <c r="L77" i="4"/>
  <c r="L79" i="4"/>
  <c r="L75" i="4"/>
  <c r="J14" i="4"/>
  <c r="J13" i="4" s="1"/>
  <c r="K16" i="4" s="1"/>
  <c r="O121" i="4" l="1"/>
  <c r="P121" i="4" s="1"/>
  <c r="M88" i="4"/>
  <c r="M119" i="4"/>
  <c r="M116" i="4"/>
  <c r="M107" i="4"/>
  <c r="M80" i="4"/>
  <c r="M108" i="4"/>
  <c r="M126" i="4"/>
  <c r="M91" i="4"/>
  <c r="M124" i="4"/>
  <c r="M73" i="4"/>
  <c r="M79" i="4"/>
  <c r="M77" i="4"/>
  <c r="M82" i="4"/>
  <c r="M78" i="4"/>
  <c r="M83" i="4"/>
  <c r="M87" i="4"/>
  <c r="O78" i="4"/>
  <c r="P78" i="4" s="1"/>
  <c r="O97" i="4"/>
  <c r="P97" i="4" s="1"/>
  <c r="M75" i="4"/>
  <c r="M74" i="4"/>
  <c r="M84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1" i="4" l="1"/>
  <c r="P61" i="4" s="1"/>
  <c r="O60" i="4"/>
  <c r="P60" i="4" s="1"/>
  <c r="O62" i="4"/>
  <c r="P62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0" i="4" l="1"/>
  <c r="M61" i="4"/>
  <c r="M70" i="4"/>
  <c r="M62" i="4"/>
  <c r="M63" i="4"/>
  <c r="O64" i="4"/>
  <c r="P64" i="4" s="1"/>
  <c r="O69" i="4"/>
  <c r="P69" i="4" s="1"/>
  <c r="O65" i="4"/>
  <c r="P65" i="4" s="1"/>
  <c r="O66" i="4"/>
  <c r="P66" i="4" s="1"/>
  <c r="M64" i="4"/>
  <c r="M69" i="4"/>
  <c r="M58" i="4"/>
  <c r="M57" i="4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L43" i="4" s="1"/>
  <c r="J31" i="4"/>
  <c r="K31" i="4" s="1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9" i="4" l="1"/>
  <c r="P49" i="4" s="1"/>
  <c r="O48" i="4"/>
  <c r="P48" i="4" s="1"/>
  <c r="M48" i="4"/>
  <c r="L31" i="4"/>
  <c r="L30" i="4"/>
  <c r="M49" i="4"/>
  <c r="K43" i="4"/>
  <c r="M43" i="4"/>
  <c r="M39" i="4"/>
  <c r="O45" i="4"/>
  <c r="P45" i="4" s="1"/>
  <c r="M45" i="4"/>
  <c r="O47" i="4"/>
  <c r="P47" i="4" s="1"/>
  <c r="O31" i="4"/>
  <c r="P31" i="4" s="1"/>
  <c r="O35" i="4"/>
  <c r="P35" i="4" s="1"/>
  <c r="O28" i="4"/>
  <c r="P28" i="4" s="1"/>
  <c r="O46" i="4"/>
  <c r="P46" i="4" s="1"/>
  <c r="M44" i="4"/>
  <c r="L35" i="4"/>
  <c r="O41" i="4"/>
  <c r="P41" i="4" s="1"/>
  <c r="O30" i="4"/>
  <c r="P30" i="4" s="1"/>
  <c r="O33" i="4"/>
  <c r="P33" i="4" s="1"/>
  <c r="O39" i="4"/>
  <c r="P39" i="4" s="1"/>
  <c r="L47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3" i="4" l="1"/>
  <c r="P43" i="4" s="1"/>
  <c r="M31" i="4"/>
  <c r="O38" i="4"/>
  <c r="P38" i="4" s="1"/>
  <c r="M46" i="4"/>
  <c r="O44" i="4"/>
  <c r="P44" i="4" s="1"/>
  <c r="O36" i="4"/>
  <c r="P36" i="4" s="1"/>
  <c r="M47" i="4"/>
  <c r="O29" i="4"/>
  <c r="P29" i="4" s="1"/>
  <c r="O32" i="4"/>
  <c r="P32" i="4" s="1"/>
  <c r="O40" i="4"/>
  <c r="P40" i="4" s="1"/>
  <c r="M33" i="4"/>
  <c r="M35" i="4"/>
  <c r="O34" i="4"/>
  <c r="P34" i="4" s="1"/>
  <c r="O42" i="4"/>
  <c r="P42" i="4" s="1"/>
  <c r="M41" i="4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<sst xmlns="http://schemas.openxmlformats.org/spreadsheetml/2006/main" count="340" uniqueCount="314">
  <si>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</si>
  <si>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</si>
  <si>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</si>
  <si>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</si>
  <si>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</si>
  <si>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</si>
  <si>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</si>
  <si>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</si>
  <si>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</si>
  <si>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</si>
  <si>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</si>
  <si>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</si>
  <si>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</si>
  <si>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</si>
  <si>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</si>
  <si>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</si>
  <si>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</si>
  <si>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</si>
  <si>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</si>
  <si>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</si>
  <si>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</si>
  <si>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</si>
  <si>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</si>
  <si>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</si>
  <si>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</si>
  <si>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</si>
  <si>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</si>
  <si>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</si>
  <si>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</si>
  <si>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</si>
  <si>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</si>
  <si>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</si>
  <si>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</si>
  <si>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</si>
  <si>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</si>
  <si>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</si>
  <si>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</si>
  <si>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</si>
  <si>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</si>
  <si>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</si>
  <si>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</si>
  <si>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</si>
  <si>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</si>
  <si>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</si>
  <si>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</si>
  <si>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</si>
  <si>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</si>
  <si>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</si>
  <si>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</si>
  <si>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</si>
  <si>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</si>
  <si>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</si>
  <si>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</si>
  <si>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</si>
  <si>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</si>
  <si>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</si>
  <si>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</si>
  <si>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</si>
  <si>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</si>
  <si>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</si>
  <si>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</si>
  <si>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</si>
  <si>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</si>
  <si>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</si>
  <si>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</si>
  <si>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</si>
  <si>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</si>
  <si>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</si>
  <si>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</si>
  <si>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</si>
  <si>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</si>
  <si>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</si>
  <si>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</si>
  <si>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</si>
  <si>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</si>
  <si>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</si>
  <si>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</si>
  <si>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</si>
  <si>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</si>
  <si>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</si>
  <si>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</si>
  <si>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</si>
  <si>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</si>
  <si>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</si>
  <si>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</si>
  <si>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</si>
  <si>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</si>
  <si>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</si>
  <si>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</si>
  <si>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</si>
  <si>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</si>
  <si>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</si>
  <si>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</si>
  <si>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</si>
  <si>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</si>
  <si>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</si>
  <si>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</si>
  <si>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</si>
  <si>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</si>
  <si>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</si>
  <si>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</si>
  <si>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</si>
  <si>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</si>
  <si>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</si>
  <si>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</si>
  <si>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</si>
  <si>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</si>
  <si>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</si>
  <si>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</si>
  <si>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</si>
  <si>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</si>
  <si>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Rat cerebellar granule cell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</si>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</sst>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J15" sqref="J1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111</v>
      </c>
      <c r="K17" s="31" t="s">
        <v>79</v>
      </c>
      <c r="L17" s="80">
        <v>4.6260000000000035E-5</v>
      </c>
      <c r="M17" s="80">
        <v>7.4529999999999993E-5</v>
      </c>
      <c r="N17" s="80">
        <v>2.4492099999999998E-3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C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40.014392000000001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39.793059055999997</v>
      </c>
      <c r="K8" s="39">
        <f>J8/J7</f>
        <v>0.99446866657376665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0.19241736800000003</v>
      </c>
      <c r="K9" s="39">
        <f>J9/J7</f>
        <v>4.808704028290622E-3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2.8915575999999998E-2</v>
      </c>
      <c r="K10" s="39">
        <f>J10/J7</f>
        <v>7.2262939794262018E-4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1.4391999999999999E-2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2.5905600000000018E-4</v>
      </c>
      <c r="K20" s="39">
        <f>J20/J19</f>
        <v>1.8000000000000016E-2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4.1736799999999994E-4</v>
      </c>
      <c r="K21" s="39">
        <f>J21/J19</f>
        <v>2.8999999999999998E-2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1.3715575999999998E-2</v>
      </c>
      <c r="K22" s="39">
        <f>J22/J19</f>
        <v>0.95299999999999996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8.0381300697110955E-2</v>
      </c>
      <c r="K28" s="93">
        <f t="shared" ref="K28:K47" si="3">IF(D28=0,"",1/(1+10^D28*$J$15/$J$14+10^E28*$J$16/$J$14+10^J28*$J$19/$J$14))</f>
        <v>0.99353804772230592</v>
      </c>
      <c r="L28" s="93">
        <f t="shared" ref="L28:L47" si="4">IF(D28=0,"",1/(1+10^I28/10^J28*$J$13/$J$19))</f>
        <v>4.3239678387712124E-4</v>
      </c>
      <c r="M28" s="93">
        <f t="shared" ref="M28:M47" si="5">IF(D28=0,"",1-L28)</f>
        <v>0.99956760321612292</v>
      </c>
      <c r="N28" s="93">
        <f t="shared" ref="N28:N47" si="6">IF(D28=0,"",1/(1/10^E28*$J$20/$J$22+10^D28/10^E28*$J$21/$J$22+10^I28/10^E28*$J$13/$J$22+1))</f>
        <v>4.1381864563605047E-4</v>
      </c>
      <c r="O28" s="40">
        <f t="shared" ref="O28:O47" si="7">IF(D28=0,"",F28*K28*$J$7/$J$14)</f>
        <v>9.990707089844157E-7</v>
      </c>
      <c r="P28" s="40">
        <f t="shared" ref="P28:P47" si="8">IF(D28=0,"",O28*10^J28)</f>
        <v>1.2022022241244034E-6</v>
      </c>
      <c r="Q28" s="40">
        <f t="shared" ref="Q28:Q47" si="9">IF(D28=0,"",F28*N28*$J$7/$J$22)</f>
        <v>1.2072917319250767E-6</v>
      </c>
      <c r="R28" s="9">
        <f>F28*$C$14</f>
        <v>3.9999999999999996E-5</v>
      </c>
      <c r="S28" s="9">
        <f>$R28*L28</f>
        <v>1.7295871355084847E-8</v>
      </c>
      <c r="T28" s="9">
        <f t="shared" ref="T28:T91" si="10">R28*K28</f>
        <v>3.9741521908892234E-5</v>
      </c>
      <c r="U28" s="9">
        <f t="shared" ref="U28:U91" si="11">$R28*M28</f>
        <v>3.9982704128644915E-5</v>
      </c>
      <c r="V28" s="100">
        <f>K28/M28</f>
        <v>0.99396783621796381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2.5661540001265828</v>
      </c>
      <c r="K29" s="93">
        <f t="shared" si="3"/>
        <v>0.44178369715129484</v>
      </c>
      <c r="L29" s="93">
        <f t="shared" si="4"/>
        <v>5.8841039528612728E-2</v>
      </c>
      <c r="M29" s="93">
        <f t="shared" si="5"/>
        <v>0.94115896047138725</v>
      </c>
      <c r="N29" s="93">
        <f t="shared" si="6"/>
        <v>5.7892091146374572E-2</v>
      </c>
      <c r="O29" s="40">
        <f t="shared" si="7"/>
        <v>4.4424383398557508E-7</v>
      </c>
      <c r="P29" s="40">
        <f t="shared" si="8"/>
        <v>1.6359702761154841E-4</v>
      </c>
      <c r="Q29" s="40">
        <f t="shared" si="9"/>
        <v>1.6889679506210763E-4</v>
      </c>
      <c r="R29" s="9">
        <f t="shared" ref="R29:R92" si="12">F29*$C$14</f>
        <v>3.9999999999999996E-5</v>
      </c>
      <c r="S29" s="9">
        <f t="shared" ref="S29:S92" si="13">$R29*L29</f>
        <v>2.3536415811445091E-6</v>
      </c>
      <c r="T29" s="9">
        <f t="shared" si="10"/>
        <v>1.7671347886051791E-5</v>
      </c>
      <c r="U29" s="9">
        <f t="shared" si="11"/>
        <v>3.7646358418855486E-5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3.0586023840529086</v>
      </c>
      <c r="K30" s="93">
        <f t="shared" si="3"/>
        <v>8.1447140791357404E-3</v>
      </c>
      <c r="L30" s="93">
        <f t="shared" si="4"/>
        <v>3.3712804199208593E-3</v>
      </c>
      <c r="M30" s="93">
        <f t="shared" si="5"/>
        <v>0.99662871958007915</v>
      </c>
      <c r="N30" s="93">
        <f t="shared" si="6"/>
        <v>1.2254212151877406E-3</v>
      </c>
      <c r="O30" s="40">
        <f t="shared" si="7"/>
        <v>8.1900691052264875E-9</v>
      </c>
      <c r="P30" s="40">
        <f t="shared" si="8"/>
        <v>9.373244598710252E-6</v>
      </c>
      <c r="Q30" s="40">
        <f t="shared" si="9"/>
        <v>3.575094831572412E-6</v>
      </c>
      <c r="R30" s="9">
        <f t="shared" si="12"/>
        <v>3.9999999999999996E-5</v>
      </c>
      <c r="S30" s="9">
        <f t="shared" si="13"/>
        <v>1.3485121679683437E-7</v>
      </c>
      <c r="T30" s="9">
        <f t="shared" si="10"/>
        <v>3.2578856316542959E-7</v>
      </c>
      <c r="U30" s="9">
        <f t="shared" si="11"/>
        <v>3.9865148783203164E-5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-1.432197159864895</v>
      </c>
      <c r="K31" s="93">
        <f t="shared" si="3"/>
        <v>0.99940322485082544</v>
      </c>
      <c r="L31" s="93">
        <f t="shared" si="4"/>
        <v>1.3361654501907869E-5</v>
      </c>
      <c r="M31" s="93">
        <f t="shared" si="5"/>
        <v>0.99998663834549806</v>
      </c>
      <c r="N31" s="93">
        <f t="shared" si="6"/>
        <v>5.6006901476765273E-6</v>
      </c>
      <c r="O31" s="40">
        <f t="shared" si="7"/>
        <v>1.004968547205652E-6</v>
      </c>
      <c r="P31" s="40">
        <f t="shared" si="8"/>
        <v>3.7149699903273088E-8</v>
      </c>
      <c r="Q31" s="40">
        <f t="shared" si="9"/>
        <v>1.633968642947744E-8</v>
      </c>
      <c r="R31" s="9">
        <f t="shared" si="12"/>
        <v>3.9999999999999996E-5</v>
      </c>
      <c r="S31" s="9">
        <f t="shared" si="13"/>
        <v>5.3446618007631471E-10</v>
      </c>
      <c r="T31" s="9">
        <f t="shared" si="10"/>
        <v>3.9976128994033016E-5</v>
      </c>
      <c r="U31" s="9">
        <f t="shared" si="11"/>
        <v>3.9999465533819916E-5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0.3070163663915419</v>
      </c>
      <c r="K32" s="93">
        <f t="shared" si="3"/>
        <v>0.98181765675972454</v>
      </c>
      <c r="L32" s="93">
        <f t="shared" si="4"/>
        <v>7.2005199115173012E-4</v>
      </c>
      <c r="M32" s="93">
        <f t="shared" si="5"/>
        <v>0.99927994800884823</v>
      </c>
      <c r="N32" s="93">
        <f t="shared" si="6"/>
        <v>6.7733258904511206E-4</v>
      </c>
      <c r="O32" s="40">
        <f t="shared" si="7"/>
        <v>9.8728505131845637E-7</v>
      </c>
      <c r="P32" s="40">
        <f t="shared" si="8"/>
        <v>2.0019762808731148E-6</v>
      </c>
      <c r="Q32" s="40">
        <f t="shared" si="9"/>
        <v>1.9760782727918991E-6</v>
      </c>
      <c r="R32" s="9">
        <f t="shared" si="12"/>
        <v>3.9999999999999996E-5</v>
      </c>
      <c r="S32" s="9">
        <f t="shared" si="13"/>
        <v>2.8802079646069203E-8</v>
      </c>
      <c r="T32" s="9">
        <f t="shared" si="10"/>
        <v>3.9272706270388981E-5</v>
      </c>
      <c r="U32" s="9">
        <f t="shared" si="11"/>
        <v>3.9971197920353928E-5</v>
      </c>
      <c r="V32" s="100">
        <f t="shared" si="14"/>
        <v>0.98252512593300922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1.8500712938307124</v>
      </c>
      <c r="K33" s="93">
        <f t="shared" si="3"/>
        <v>0.7894906091441074</v>
      </c>
      <c r="L33" s="93">
        <f t="shared" si="4"/>
        <v>2.0217847367206575E-2</v>
      </c>
      <c r="M33" s="93">
        <f t="shared" si="5"/>
        <v>0.97978215263279345</v>
      </c>
      <c r="N33" s="93">
        <f t="shared" si="6"/>
        <v>1.9846865788070538E-2</v>
      </c>
      <c r="O33" s="40">
        <f t="shared" si="7"/>
        <v>7.9388700253842645E-7</v>
      </c>
      <c r="P33" s="40">
        <f t="shared" si="8"/>
        <v>5.6212122703416617E-5</v>
      </c>
      <c r="Q33" s="40">
        <f t="shared" si="9"/>
        <v>5.7902071893680837E-5</v>
      </c>
      <c r="R33" s="9">
        <f t="shared" si="12"/>
        <v>3.9999999999999996E-5</v>
      </c>
      <c r="S33" s="9">
        <f t="shared" si="13"/>
        <v>8.0871389468826296E-7</v>
      </c>
      <c r="T33" s="9">
        <f t="shared" si="10"/>
        <v>3.1579624365764294E-5</v>
      </c>
      <c r="U33" s="9">
        <f t="shared" si="11"/>
        <v>3.9191286105311735E-5</v>
      </c>
      <c r="V33" s="100">
        <f t="shared" si="14"/>
        <v>0.8057817822284784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0.1009809094502437</v>
      </c>
      <c r="K34" s="93">
        <f t="shared" si="3"/>
        <v>0.98716101434398784</v>
      </c>
      <c r="L34" s="93">
        <f t="shared" si="4"/>
        <v>4.5049041625641996E-4</v>
      </c>
      <c r="M34" s="93">
        <f t="shared" si="5"/>
        <v>0.99954950958374356</v>
      </c>
      <c r="N34" s="93">
        <f t="shared" si="6"/>
        <v>4.1814119633499803E-4</v>
      </c>
      <c r="O34" s="40">
        <f t="shared" si="7"/>
        <v>9.9265816416733571E-7</v>
      </c>
      <c r="P34" s="40">
        <f t="shared" si="8"/>
        <v>1.2525083454924658E-6</v>
      </c>
      <c r="Q34" s="40">
        <f t="shared" si="9"/>
        <v>1.219902521155333E-6</v>
      </c>
      <c r="R34" s="9">
        <f t="shared" si="12"/>
        <v>3.9999999999999996E-5</v>
      </c>
      <c r="S34" s="9">
        <f t="shared" si="13"/>
        <v>1.8019616650256796E-8</v>
      </c>
      <c r="T34" s="9">
        <f t="shared" si="10"/>
        <v>3.948644057375951E-5</v>
      </c>
      <c r="U34" s="9">
        <f t="shared" si="11"/>
        <v>3.9981980383349741E-5</v>
      </c>
      <c r="V34" s="100">
        <f t="shared" si="14"/>
        <v>0.98760592134659264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-6.5005803120437564E-2</v>
      </c>
      <c r="K35" s="93">
        <f t="shared" si="3"/>
        <v>0.99032387079227979</v>
      </c>
      <c r="L35" s="93">
        <f t="shared" si="4"/>
        <v>3.0838134303573397E-4</v>
      </c>
      <c r="M35" s="93">
        <f t="shared" si="5"/>
        <v>0.99969161865696432</v>
      </c>
      <c r="N35" s="93">
        <f t="shared" si="6"/>
        <v>2.8225063961879305E-4</v>
      </c>
      <c r="O35" s="40">
        <f t="shared" si="7"/>
        <v>9.9583863344222142E-7</v>
      </c>
      <c r="P35" s="40">
        <f t="shared" si="8"/>
        <v>8.5739938477753805E-7</v>
      </c>
      <c r="Q35" s="40">
        <f t="shared" si="9"/>
        <v>8.2344975784882209E-7</v>
      </c>
      <c r="R35" s="9">
        <f t="shared" si="12"/>
        <v>3.9999999999999996E-5</v>
      </c>
      <c r="S35" s="9">
        <f t="shared" si="13"/>
        <v>1.2335253721429359E-8</v>
      </c>
      <c r="T35" s="9">
        <f t="shared" si="10"/>
        <v>3.9612954831691191E-5</v>
      </c>
      <c r="U35" s="9">
        <f t="shared" si="11"/>
        <v>3.9987664746278566E-5</v>
      </c>
      <c r="V35" s="100">
        <f t="shared" si="14"/>
        <v>0.99062936240550903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4.0979428181217807</v>
      </c>
      <c r="K36" s="93">
        <f t="shared" si="3"/>
        <v>4.1947546186012388E-2</v>
      </c>
      <c r="L36" s="93">
        <f t="shared" si="4"/>
        <v>0.19009295866344184</v>
      </c>
      <c r="M36" s="93">
        <f t="shared" si="5"/>
        <v>0.80990704133655811</v>
      </c>
      <c r="N36" s="93">
        <f t="shared" si="6"/>
        <v>0.18887832066826982</v>
      </c>
      <c r="O36" s="40">
        <f t="shared" si="7"/>
        <v>4.2181137203846036E-8</v>
      </c>
      <c r="P36" s="40">
        <f t="shared" si="8"/>
        <v>5.2851960564193729E-4</v>
      </c>
      <c r="Q36" s="40">
        <f t="shared" si="9"/>
        <v>5.510414701884813E-4</v>
      </c>
      <c r="R36" s="9">
        <f t="shared" si="12"/>
        <v>3.9999999999999996E-5</v>
      </c>
      <c r="S36" s="9">
        <f t="shared" si="13"/>
        <v>7.6037183465376728E-6</v>
      </c>
      <c r="T36" s="9">
        <f t="shared" si="10"/>
        <v>1.6779018474404953E-6</v>
      </c>
      <c r="U36" s="9">
        <f t="shared" si="11"/>
        <v>3.2396281653462319E-5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6.4759912324893314</v>
      </c>
      <c r="K37" s="93">
        <f t="shared" si="3"/>
        <v>3.7493851913190528E-4</v>
      </c>
      <c r="L37" s="93">
        <f t="shared" si="4"/>
        <v>0.40575879623779848</v>
      </c>
      <c r="M37" s="93">
        <f t="shared" si="5"/>
        <v>0.59424120376220158</v>
      </c>
      <c r="N37" s="93">
        <f t="shared" si="6"/>
        <v>0.40544459224759666</v>
      </c>
      <c r="O37" s="40">
        <f t="shared" si="7"/>
        <v>3.7702641886078785E-10</v>
      </c>
      <c r="P37" s="40">
        <f t="shared" si="8"/>
        <v>1.1281400451714427E-3</v>
      </c>
      <c r="Q37" s="40">
        <f t="shared" si="9"/>
        <v>1.1828609202030958E-3</v>
      </c>
      <c r="R37" s="9">
        <f t="shared" si="12"/>
        <v>3.9999999999999996E-5</v>
      </c>
      <c r="S37" s="9">
        <f t="shared" si="13"/>
        <v>1.6230351849511937E-5</v>
      </c>
      <c r="T37" s="9">
        <f t="shared" si="10"/>
        <v>1.4997540765276211E-8</v>
      </c>
      <c r="U37" s="9">
        <f t="shared" si="11"/>
        <v>2.3769648150488059E-5</v>
      </c>
      <c r="V37" s="100">
        <f t="shared" si="14"/>
        <v>6.3095341884428636E-4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-1.0632404522957326</v>
      </c>
      <c r="K38" s="93">
        <f t="shared" si="3"/>
        <v>0.99845992478537116</v>
      </c>
      <c r="L38" s="93">
        <f t="shared" si="4"/>
        <v>3.1218126577311795E-5</v>
      </c>
      <c r="M38" s="93">
        <f t="shared" si="5"/>
        <v>0.99996878187342264</v>
      </c>
      <c r="N38" s="93">
        <f t="shared" si="6"/>
        <v>2.1489859599184412E-5</v>
      </c>
      <c r="O38" s="40">
        <f t="shared" si="7"/>
        <v>1.0040199942364536E-6</v>
      </c>
      <c r="P38" s="40">
        <f t="shared" si="8"/>
        <v>8.6796439297538384E-8</v>
      </c>
      <c r="Q38" s="40">
        <f t="shared" si="9"/>
        <v>6.269541038792158E-8</v>
      </c>
      <c r="R38" s="9">
        <f t="shared" si="12"/>
        <v>3.9999999999999996E-5</v>
      </c>
      <c r="S38" s="9">
        <f t="shared" si="13"/>
        <v>1.2487250630924716E-9</v>
      </c>
      <c r="T38" s="9">
        <f t="shared" si="10"/>
        <v>3.9938396991414842E-5</v>
      </c>
      <c r="U38" s="9">
        <f t="shared" si="11"/>
        <v>3.99987512749369E-5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2.4654231458254099</v>
      </c>
      <c r="K39" s="93">
        <f t="shared" si="3"/>
        <v>0.43876001104873003</v>
      </c>
      <c r="L39" s="93">
        <f t="shared" si="4"/>
        <v>4.6341153068663696E-2</v>
      </c>
      <c r="M39" s="93">
        <f t="shared" si="5"/>
        <v>0.95365884693133629</v>
      </c>
      <c r="N39" s="93">
        <f t="shared" si="6"/>
        <v>4.5328212231341973E-2</v>
      </c>
      <c r="O39" s="40">
        <f t="shared" si="7"/>
        <v>4.4120331004674748E-7</v>
      </c>
      <c r="P39" s="40">
        <f t="shared" si="8"/>
        <v>1.2884332022106113E-4</v>
      </c>
      <c r="Q39" s="40">
        <f t="shared" si="9"/>
        <v>1.3224241204919958E-4</v>
      </c>
      <c r="R39" s="9">
        <f t="shared" si="12"/>
        <v>3.9999999999999996E-5</v>
      </c>
      <c r="S39" s="9">
        <f t="shared" si="13"/>
        <v>1.8536461227465477E-6</v>
      </c>
      <c r="T39" s="9">
        <f t="shared" si="10"/>
        <v>1.7550400441949199E-5</v>
      </c>
      <c r="U39" s="9">
        <f t="shared" si="11"/>
        <v>3.8146353877253446E-5</v>
      </c>
      <c r="V39" s="100">
        <f t="shared" si="14"/>
        <v>0.46008068027739996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2.8485753936162044</v>
      </c>
      <c r="K40" s="93">
        <f t="shared" si="3"/>
        <v>0.38232966095937343</v>
      </c>
      <c r="L40" s="93">
        <f t="shared" si="4"/>
        <v>9.7573085017633301E-2</v>
      </c>
      <c r="M40" s="93">
        <f t="shared" si="5"/>
        <v>0.90242691498236671</v>
      </c>
      <c r="N40" s="93">
        <f t="shared" si="6"/>
        <v>9.6672903667501642E-2</v>
      </c>
      <c r="O40" s="40">
        <f t="shared" si="7"/>
        <v>3.8445871933755518E-7</v>
      </c>
      <c r="P40" s="40">
        <f t="shared" si="8"/>
        <v>2.7128457980439872E-4</v>
      </c>
      <c r="Q40" s="40">
        <f t="shared" si="9"/>
        <v>2.8203755082029721E-4</v>
      </c>
      <c r="R40" s="9">
        <f t="shared" si="12"/>
        <v>3.9999999999999996E-5</v>
      </c>
      <c r="S40" s="9">
        <f t="shared" si="13"/>
        <v>3.9029234007053317E-6</v>
      </c>
      <c r="T40" s="9">
        <f t="shared" si="10"/>
        <v>1.5293186438374935E-5</v>
      </c>
      <c r="U40" s="9">
        <f t="shared" si="11"/>
        <v>3.6097076599294667E-5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1.4974934704256861</v>
      </c>
      <c r="K41" s="93">
        <f t="shared" si="3"/>
        <v>0.85385642668355433</v>
      </c>
      <c r="L41" s="93">
        <f t="shared" si="4"/>
        <v>9.7094576809219207E-3</v>
      </c>
      <c r="M41" s="93">
        <f t="shared" si="5"/>
        <v>0.99029054231907809</v>
      </c>
      <c r="N41" s="93">
        <f t="shared" si="6"/>
        <v>9.4300371443304994E-3</v>
      </c>
      <c r="O41" s="40">
        <f t="shared" si="7"/>
        <v>8.5861125050348313E-7</v>
      </c>
      <c r="P41" s="40">
        <f t="shared" si="8"/>
        <v>2.6995417297930845E-5</v>
      </c>
      <c r="Q41" s="40">
        <f t="shared" si="9"/>
        <v>2.7511582661041812E-5</v>
      </c>
      <c r="R41" s="9">
        <f t="shared" si="12"/>
        <v>3.9999999999999996E-5</v>
      </c>
      <c r="S41" s="9">
        <f t="shared" si="13"/>
        <v>3.8837830723687677E-7</v>
      </c>
      <c r="T41" s="9">
        <f t="shared" si="10"/>
        <v>3.415425706734217E-5</v>
      </c>
      <c r="U41" s="9">
        <f t="shared" si="11"/>
        <v>3.9611621692763117E-5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2.4617287350279575</v>
      </c>
      <c r="K42" s="93">
        <f t="shared" si="3"/>
        <v>0.55743502613081841</v>
      </c>
      <c r="L42" s="93">
        <f t="shared" si="4"/>
        <v>5.8376713333171126E-2</v>
      </c>
      <c r="M42" s="93">
        <f t="shared" si="5"/>
        <v>0.94162328666682882</v>
      </c>
      <c r="N42" s="93">
        <f t="shared" si="6"/>
        <v>5.767688615182899E-2</v>
      </c>
      <c r="O42" s="40">
        <f t="shared" si="7"/>
        <v>5.6053918422751879E-7</v>
      </c>
      <c r="P42" s="40">
        <f t="shared" si="8"/>
        <v>1.6230605134693829E-4</v>
      </c>
      <c r="Q42" s="40">
        <f t="shared" si="9"/>
        <v>1.6826894705834135E-4</v>
      </c>
      <c r="R42" s="9">
        <f t="shared" si="12"/>
        <v>3.9999999999999996E-5</v>
      </c>
      <c r="S42" s="9">
        <f t="shared" si="13"/>
        <v>2.335068533326845E-6</v>
      </c>
      <c r="T42" s="9">
        <f t="shared" si="10"/>
        <v>2.2297401045232735E-5</v>
      </c>
      <c r="U42" s="9">
        <f t="shared" si="11"/>
        <v>3.7664931466673152E-5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2.4972623302127044</v>
      </c>
      <c r="K43" s="93">
        <f t="shared" si="3"/>
        <v>0.45097934224336689</v>
      </c>
      <c r="L43" s="93">
        <f t="shared" si="4"/>
        <v>5.1254928293622985E-2</v>
      </c>
      <c r="M43" s="93">
        <f t="shared" si="5"/>
        <v>0.94874507170637701</v>
      </c>
      <c r="N43" s="93">
        <f t="shared" si="6"/>
        <v>5.0291107619272211E-2</v>
      </c>
      <c r="O43" s="40">
        <f t="shared" si="7"/>
        <v>4.5349068636608237E-7</v>
      </c>
      <c r="P43" s="40">
        <f t="shared" si="8"/>
        <v>1.4250519682274332E-4</v>
      </c>
      <c r="Q43" s="40">
        <f t="shared" si="9"/>
        <v>1.4672136951388297E-4</v>
      </c>
      <c r="R43" s="9">
        <f t="shared" si="12"/>
        <v>3.9999999999999996E-5</v>
      </c>
      <c r="S43" s="9">
        <f t="shared" si="13"/>
        <v>2.050197131744919E-6</v>
      </c>
      <c r="T43" s="9">
        <f t="shared" si="10"/>
        <v>1.8039173689734675E-5</v>
      </c>
      <c r="U43" s="9">
        <f t="shared" si="11"/>
        <v>3.7949802868255079E-5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7.0504332537206764</v>
      </c>
      <c r="K44" s="93">
        <f t="shared" si="3"/>
        <v>9.2178703900626139E-5</v>
      </c>
      <c r="L44" s="93">
        <f t="shared" si="4"/>
        <v>0.37443850471845941</v>
      </c>
      <c r="M44" s="93">
        <f t="shared" si="5"/>
        <v>0.62556149528154059</v>
      </c>
      <c r="N44" s="93">
        <f t="shared" si="6"/>
        <v>0.37397980358360094</v>
      </c>
      <c r="O44" s="40">
        <f t="shared" si="7"/>
        <v>9.2692014433052798E-11</v>
      </c>
      <c r="P44" s="40">
        <f t="shared" si="8"/>
        <v>1.0410595544537442E-3</v>
      </c>
      <c r="Q44" s="40">
        <f t="shared" si="9"/>
        <v>1.0910642367974348E-3</v>
      </c>
      <c r="R44" s="9">
        <f t="shared" si="12"/>
        <v>3.9999999999999996E-5</v>
      </c>
      <c r="S44" s="9">
        <f t="shared" si="13"/>
        <v>1.4977540188738375E-5</v>
      </c>
      <c r="T44" s="9">
        <f t="shared" si="10"/>
        <v>3.6871481560250453E-9</v>
      </c>
      <c r="U44" s="9">
        <f t="shared" si="11"/>
        <v>2.5022459811261622E-5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1.3816332663919468</v>
      </c>
      <c r="K45" s="93">
        <f t="shared" si="3"/>
        <v>0.90421882455558555</v>
      </c>
      <c r="L45" s="93">
        <f t="shared" si="4"/>
        <v>7.874508602667845E-3</v>
      </c>
      <c r="M45" s="93">
        <f t="shared" si="5"/>
        <v>0.99212549139733219</v>
      </c>
      <c r="N45" s="93">
        <f t="shared" si="6"/>
        <v>7.6960715388516617E-3</v>
      </c>
      <c r="O45" s="40">
        <f t="shared" si="7"/>
        <v>9.0925409872003026E-7</v>
      </c>
      <c r="P45" s="40">
        <f t="shared" si="8"/>
        <v>2.1893668290336541E-5</v>
      </c>
      <c r="Q45" s="40">
        <f t="shared" si="9"/>
        <v>2.2452839269430148E-5</v>
      </c>
      <c r="R45" s="9">
        <f t="shared" si="12"/>
        <v>3.9999999999999996E-5</v>
      </c>
      <c r="S45" s="9">
        <f t="shared" si="13"/>
        <v>3.1498034410671377E-7</v>
      </c>
      <c r="T45" s="9">
        <f t="shared" si="10"/>
        <v>3.6168752982223418E-5</v>
      </c>
      <c r="U45" s="9">
        <f t="shared" si="11"/>
        <v>3.9685019655893284E-5</v>
      </c>
      <c r="V45" s="100">
        <f t="shared" si="14"/>
        <v>0.91139561718353101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1.3621902530651464</v>
      </c>
      <c r="K46" s="93">
        <f t="shared" si="3"/>
        <v>0.89995041842296164</v>
      </c>
      <c r="L46" s="93">
        <f t="shared" si="4"/>
        <v>7.4942035966642437E-3</v>
      </c>
      <c r="M46" s="93">
        <f t="shared" si="5"/>
        <v>0.9925057964033358</v>
      </c>
      <c r="N46" s="93">
        <f t="shared" si="6"/>
        <v>7.3047462654451988E-3</v>
      </c>
      <c r="O46" s="40">
        <f t="shared" si="7"/>
        <v>9.0496192334644469E-7</v>
      </c>
      <c r="P46" s="40">
        <f t="shared" si="8"/>
        <v>2.0836297974203236E-5</v>
      </c>
      <c r="Q46" s="40">
        <f t="shared" si="9"/>
        <v>2.1311170637387761E-5</v>
      </c>
      <c r="R46" s="9">
        <f t="shared" si="12"/>
        <v>3.9999999999999996E-5</v>
      </c>
      <c r="S46" s="9">
        <f t="shared" si="13"/>
        <v>2.9976814386656974E-7</v>
      </c>
      <c r="T46" s="9">
        <f t="shared" si="10"/>
        <v>3.5998016736918461E-5</v>
      </c>
      <c r="U46" s="9">
        <f t="shared" si="11"/>
        <v>3.970023185613343E-5</v>
      </c>
      <c r="V46" s="100">
        <f t="shared" si="14"/>
        <v>0.90674575572678939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3.1250264524098048</v>
      </c>
      <c r="K47" s="93">
        <f t="shared" si="3"/>
        <v>0.26995096224864179</v>
      </c>
      <c r="L47" s="93">
        <f t="shared" si="4"/>
        <v>0.13020509641702413</v>
      </c>
      <c r="M47" s="93">
        <f t="shared" si="5"/>
        <v>0.86979490358297584</v>
      </c>
      <c r="N47" s="93">
        <f t="shared" si="6"/>
        <v>0.1292106794067735</v>
      </c>
      <c r="O47" s="40">
        <f t="shared" si="7"/>
        <v>2.7145422348249816E-7</v>
      </c>
      <c r="P47" s="40">
        <f t="shared" si="8"/>
        <v>3.6201207395974153E-4</v>
      </c>
      <c r="Q47" s="40">
        <f t="shared" si="9"/>
        <v>3.7696461135638509E-4</v>
      </c>
      <c r="R47" s="9">
        <f t="shared" si="12"/>
        <v>3.9999999999999996E-5</v>
      </c>
      <c r="S47" s="9">
        <f t="shared" si="13"/>
        <v>5.2082038566809645E-6</v>
      </c>
      <c r="T47" s="9">
        <f t="shared" si="10"/>
        <v>1.0798038489945671E-5</v>
      </c>
      <c r="U47" s="9">
        <f t="shared" si="11"/>
        <v>3.4791796143319029E-5</v>
      </c>
      <c r="V47" s="100">
        <f t="shared" si="14"/>
        <v>0.31036162793852157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0.18244842776560238</v>
      </c>
      <c r="K48" s="93">
        <f t="shared" ref="K48:K50" si="17">IF(D48=0,"",1/(1+10^D48*$J$15/$J$14+10^E48*$J$16/$J$14+10^J48*$J$19/$J$14))</f>
        <v>0.98949128841664524</v>
      </c>
      <c r="L48" s="93">
        <f t="shared" ref="L48:L50" si="18">IF(D48=0,"",1/(1+10^I48/10^J48*$J$13/$J$19))</f>
        <v>5.4472468192254199E-4</v>
      </c>
      <c r="M48" s="93">
        <f t="shared" ref="M48:M92" si="19">IF(D48=0,"",1-L48)</f>
        <v>0.99945527531807743</v>
      </c>
      <c r="N48" s="93">
        <f t="shared" ref="N48:N50" si="20">IF(D48=0,"",1/(1/10^E48*$J$20/$J$22+10^D48/10^E48*$J$21/$J$22+10^I48/10^E48*$J$13/$J$22+1))</f>
        <v>5.1787092245862709E-4</v>
      </c>
      <c r="O48" s="40">
        <f t="shared" ref="O48:O92" si="21">IF(D48=0,"",F48*K48*$J$7/$J$14)</f>
        <v>9.9500141471041738E-7</v>
      </c>
      <c r="P48" s="40">
        <f t="shared" ref="P48:P50" si="22">IF(D48=0,"",O48*10^J48)</f>
        <v>1.5145099329157801E-6</v>
      </c>
      <c r="Q48" s="40">
        <f t="shared" ref="Q48:Q50" si="23">IF(D48=0,"",F48*N48*$J$7/$J$22)</f>
        <v>1.5108581729750983E-6</v>
      </c>
      <c r="R48" s="9">
        <f t="shared" si="12"/>
        <v>3.9999999999999996E-5</v>
      </c>
      <c r="S48" s="9">
        <f t="shared" si="13"/>
        <v>2.1788987276901678E-8</v>
      </c>
      <c r="T48" s="9">
        <f t="shared" si="10"/>
        <v>3.9579651536665807E-5</v>
      </c>
      <c r="U48" s="9">
        <f t="shared" si="11"/>
        <v>3.9978211012723092E-5</v>
      </c>
      <c r="V48" s="100">
        <f t="shared" si="14"/>
        <v>0.99003058251079701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1.885940844009744</v>
      </c>
      <c r="K49" s="93">
        <f t="shared" si="17"/>
        <v>0.79482725905328</v>
      </c>
      <c r="L49" s="93">
        <f t="shared" si="18"/>
        <v>2.2107022246970042E-2</v>
      </c>
      <c r="M49" s="93">
        <f t="shared" si="19"/>
        <v>0.97789297775302997</v>
      </c>
      <c r="N49" s="93">
        <f t="shared" si="20"/>
        <v>2.1756313335312451E-2</v>
      </c>
      <c r="O49" s="40">
        <f t="shared" si="21"/>
        <v>7.9925337035954988E-7</v>
      </c>
      <c r="P49" s="40">
        <f t="shared" si="22"/>
        <v>6.1464636891535583E-5</v>
      </c>
      <c r="Q49" s="40">
        <f t="shared" si="23"/>
        <v>6.3472773602364193E-5</v>
      </c>
      <c r="R49" s="9">
        <f t="shared" si="12"/>
        <v>3.9999999999999996E-5</v>
      </c>
      <c r="S49" s="9">
        <f t="shared" si="13"/>
        <v>8.8428088987880163E-7</v>
      </c>
      <c r="T49" s="9">
        <f t="shared" si="10"/>
        <v>3.1793090362131195E-5</v>
      </c>
      <c r="U49" s="9">
        <f t="shared" si="11"/>
        <v>3.9115719110121196E-5</v>
      </c>
      <c r="V49" s="100">
        <f t="shared" si="14"/>
        <v>0.81279575284363703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2.9485807923787242</v>
      </c>
      <c r="K50" s="93">
        <f t="shared" si="17"/>
        <v>0.28174772541867543</v>
      </c>
      <c r="L50" s="93">
        <f t="shared" si="18"/>
        <v>9.052277568964201E-2</v>
      </c>
      <c r="M50" s="93">
        <f t="shared" si="19"/>
        <v>0.90947722431035793</v>
      </c>
      <c r="N50" s="93">
        <f t="shared" si="20"/>
        <v>8.9371690007973154E-2</v>
      </c>
      <c r="O50" s="40">
        <f t="shared" si="21"/>
        <v>2.8331667864566563E-7</v>
      </c>
      <c r="P50" s="40">
        <f t="shared" si="22"/>
        <v>2.5168245076246569E-4</v>
      </c>
      <c r="Q50" s="40">
        <f t="shared" si="23"/>
        <v>2.6073668635436973E-4</v>
      </c>
      <c r="R50" s="9">
        <f t="shared" si="12"/>
        <v>3.9999999999999996E-5</v>
      </c>
      <c r="S50" s="9">
        <f t="shared" si="13"/>
        <v>3.6209110275856799E-6</v>
      </c>
      <c r="T50" s="9">
        <f t="shared" si="10"/>
        <v>1.1269909016747017E-5</v>
      </c>
      <c r="U50" s="9">
        <f t="shared" si="11"/>
        <v>3.6379088972414314E-5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6.0157499789101383</v>
      </c>
      <c r="K51" s="93">
        <f t="shared" ref="K51:K70" si="26">IF(D51=0,"",1/(1+10^D51*$J$15/$J$14+10^E51*$J$16/$J$14+10^J51*$J$19/$J$14))</f>
        <v>7.5177266957229772E-4</v>
      </c>
      <c r="L51" s="93">
        <f t="shared" ref="L51:L70" si="27">IF(D51=0,"",1/(1+10^I51/10^J51*$J$13/$J$19))</f>
        <v>0.28193770690765635</v>
      </c>
      <c r="M51" s="93">
        <f t="shared" ref="M51:M70" si="28">IF(D51=0,"",1-L51)</f>
        <v>0.71806229309234371</v>
      </c>
      <c r="N51" s="93">
        <f t="shared" ref="N51:N70" si="29">IF(D51=0,"",1/(1/10^E51*$J$20/$J$22+10^D51/10^E51*$J$21/$J$22+10^I51/10^E51*$J$13/$J$22+1))</f>
        <v>0.28105549768938415</v>
      </c>
      <c r="O51" s="40">
        <f t="shared" ref="O51:O70" si="30">IF(D51=0,"",F51*K51*$J$7/$J$14)</f>
        <v>7.5595902512897787E-10</v>
      </c>
      <c r="P51" s="40">
        <f t="shared" ref="P51:P70" si="31">IF(D51=0,"",O51*10^J51)</f>
        <v>7.8387756557699191E-4</v>
      </c>
      <c r="Q51" s="40">
        <f t="shared" ref="Q51:Q70" si="32">IF(D51=0,"",F51*N51*$J$7/$J$22)</f>
        <v>8.1996300106522055E-4</v>
      </c>
      <c r="R51" s="9">
        <f t="shared" si="12"/>
        <v>3.9999999999999996E-5</v>
      </c>
      <c r="S51" s="9">
        <f t="shared" si="13"/>
        <v>1.1277508276306252E-5</v>
      </c>
      <c r="T51" s="9">
        <f t="shared" si="10"/>
        <v>3.0070906782891908E-8</v>
      </c>
      <c r="U51" s="9">
        <f t="shared" si="11"/>
        <v>2.8722491723693746E-5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3.3134507884219753</v>
      </c>
      <c r="K52" s="93">
        <f t="shared" si="26"/>
        <v>0.19334266088799076</v>
      </c>
      <c r="L52" s="93">
        <f t="shared" si="27"/>
        <v>0.14391137773648646</v>
      </c>
      <c r="M52" s="93">
        <f t="shared" si="28"/>
        <v>0.85608862226351357</v>
      </c>
      <c r="N52" s="93">
        <f t="shared" si="29"/>
        <v>0.14281349355203476</v>
      </c>
      <c r="O52" s="40">
        <f t="shared" si="30"/>
        <v>1.944193176427678E-7</v>
      </c>
      <c r="P52" s="40">
        <f t="shared" si="31"/>
        <v>4.0011994733239596E-4</v>
      </c>
      <c r="Q52" s="40">
        <f t="shared" si="32"/>
        <v>4.1665002723039791E-4</v>
      </c>
      <c r="R52" s="9">
        <f t="shared" si="12"/>
        <v>3.9999999999999996E-5</v>
      </c>
      <c r="S52" s="9">
        <f t="shared" si="13"/>
        <v>5.7564551094594582E-6</v>
      </c>
      <c r="T52" s="9">
        <f t="shared" si="10"/>
        <v>7.7337064355196301E-6</v>
      </c>
      <c r="U52" s="9">
        <f t="shared" si="11"/>
        <v>3.4243544890540543E-5</v>
      </c>
      <c r="V52" s="100">
        <f t="shared" si="14"/>
        <v>0.22584421269002422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4.2041181793483684</v>
      </c>
      <c r="K53" s="93">
        <f t="shared" si="26"/>
        <v>3.7768349566423359E-2</v>
      </c>
      <c r="L53" s="93">
        <f t="shared" si="27"/>
        <v>0.2185560523305099</v>
      </c>
      <c r="M53" s="93">
        <f t="shared" si="28"/>
        <v>0.7814439476694901</v>
      </c>
      <c r="N53" s="93">
        <f t="shared" si="29"/>
        <v>0.21746309207947609</v>
      </c>
      <c r="O53" s="40">
        <f t="shared" si="30"/>
        <v>3.7978668119456142E-8</v>
      </c>
      <c r="P53" s="40">
        <f t="shared" si="31"/>
        <v>6.076561667541369E-4</v>
      </c>
      <c r="Q53" s="40">
        <f t="shared" si="32"/>
        <v>6.3443587145011273E-4</v>
      </c>
      <c r="R53" s="9">
        <f t="shared" si="12"/>
        <v>3.9999999999999996E-5</v>
      </c>
      <c r="S53" s="9">
        <f t="shared" si="13"/>
        <v>8.7422420932203946E-6</v>
      </c>
      <c r="T53" s="9">
        <f t="shared" si="10"/>
        <v>1.5107339826569342E-6</v>
      </c>
      <c r="U53" s="9">
        <f t="shared" si="11"/>
        <v>3.1257757906779602E-5</v>
      </c>
      <c r="V53" s="100">
        <f t="shared" si="14"/>
        <v>4.8331489007062342E-2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3.5134526251640912</v>
      </c>
      <c r="K54" s="93">
        <f t="shared" si="26"/>
        <v>0.13717792535984191</v>
      </c>
      <c r="L54" s="93">
        <f t="shared" si="27"/>
        <v>0.16182794037787604</v>
      </c>
      <c r="M54" s="93">
        <f t="shared" si="28"/>
        <v>0.83817205962212393</v>
      </c>
      <c r="N54" s="93">
        <f t="shared" si="29"/>
        <v>0.16069034466430088</v>
      </c>
      <c r="O54" s="40">
        <f t="shared" si="30"/>
        <v>1.3794182060813653E-7</v>
      </c>
      <c r="P54" s="40">
        <f t="shared" si="31"/>
        <v>4.4993375783997796E-4</v>
      </c>
      <c r="Q54" s="40">
        <f t="shared" si="32"/>
        <v>4.6880469635489195E-4</v>
      </c>
      <c r="R54" s="9">
        <f t="shared" si="12"/>
        <v>3.9999999999999996E-5</v>
      </c>
      <c r="S54" s="9">
        <f t="shared" si="13"/>
        <v>6.4731176151150406E-6</v>
      </c>
      <c r="T54" s="9">
        <f t="shared" si="10"/>
        <v>5.487117014393676E-6</v>
      </c>
      <c r="U54" s="9">
        <f t="shared" si="11"/>
        <v>3.3526882384884958E-5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1.6261045420364111</v>
      </c>
      <c r="K55" s="55">
        <f t="shared" si="26"/>
        <v>0.86214597775988366</v>
      </c>
      <c r="L55" s="55">
        <f t="shared" si="27"/>
        <v>1.3182628082573181E-2</v>
      </c>
      <c r="M55" s="55">
        <f t="shared" si="28"/>
        <v>0.9868173719174268</v>
      </c>
      <c r="N55" s="55">
        <f t="shared" si="29"/>
        <v>1.2937172181532387E-2</v>
      </c>
      <c r="O55" s="56">
        <f t="shared" si="30"/>
        <v>8.6694696315180812E-7</v>
      </c>
      <c r="P55" s="56">
        <f t="shared" si="31"/>
        <v>3.6651948838680638E-5</v>
      </c>
      <c r="Q55" s="56">
        <f t="shared" si="32"/>
        <v>3.7743444317856732E-5</v>
      </c>
      <c r="R55" s="9">
        <f t="shared" si="12"/>
        <v>3.9999999999999996E-5</v>
      </c>
      <c r="S55" s="9">
        <f t="shared" si="13"/>
        <v>5.2730512330292722E-7</v>
      </c>
      <c r="T55" s="9">
        <f t="shared" si="10"/>
        <v>3.4485839110395343E-5</v>
      </c>
      <c r="U55" s="9">
        <f t="shared" si="11"/>
        <v>3.9472694876697067E-5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3.3071272258548747</v>
      </c>
      <c r="K56" s="55">
        <f t="shared" si="26"/>
        <v>0.2036434180556263</v>
      </c>
      <c r="L56" s="55">
        <f t="shared" si="27"/>
        <v>0.14938749845336699</v>
      </c>
      <c r="M56" s="55">
        <f t="shared" si="28"/>
        <v>0.85061250154663304</v>
      </c>
      <c r="N56" s="55">
        <f t="shared" si="29"/>
        <v>0.14833714966949543</v>
      </c>
      <c r="O56" s="56">
        <f t="shared" si="30"/>
        <v>2.0477743607631804E-7</v>
      </c>
      <c r="P56" s="56">
        <f t="shared" si="31"/>
        <v>4.1534532538996819E-4</v>
      </c>
      <c r="Q56" s="56">
        <f t="shared" si="32"/>
        <v>4.3276497137545379E-4</v>
      </c>
      <c r="R56" s="9">
        <f t="shared" si="12"/>
        <v>3.9999999999999996E-5</v>
      </c>
      <c r="S56" s="9">
        <f t="shared" si="13"/>
        <v>5.9754999381346793E-6</v>
      </c>
      <c r="T56" s="9">
        <f t="shared" si="10"/>
        <v>8.1457367222250505E-6</v>
      </c>
      <c r="U56" s="9">
        <f t="shared" si="11"/>
        <v>3.4024500061865321E-5</v>
      </c>
      <c r="V56" s="100">
        <f t="shared" si="14"/>
        <v>0.23940797682299522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2.5944953006708373</v>
      </c>
      <c r="K57" s="55">
        <f t="shared" si="26"/>
        <v>0.50541673300790502</v>
      </c>
      <c r="L57" s="55">
        <f t="shared" si="27"/>
        <v>7.1855756835147153E-2</v>
      </c>
      <c r="M57" s="55">
        <f t="shared" si="28"/>
        <v>0.92814424316485289</v>
      </c>
      <c r="N57" s="55">
        <f t="shared" si="29"/>
        <v>7.1104840735937189E-2</v>
      </c>
      <c r="O57" s="56">
        <f t="shared" si="30"/>
        <v>5.0823121966631277E-7</v>
      </c>
      <c r="P57" s="56">
        <f t="shared" si="31"/>
        <v>1.9978213045151875E-4</v>
      </c>
      <c r="Q57" s="56">
        <f t="shared" si="32"/>
        <v>2.0744422037436555E-4</v>
      </c>
      <c r="R57" s="9">
        <f t="shared" si="12"/>
        <v>3.9999999999999996E-5</v>
      </c>
      <c r="S57" s="9">
        <f t="shared" si="13"/>
        <v>2.8742302734058859E-6</v>
      </c>
      <c r="T57" s="9">
        <f t="shared" si="10"/>
        <v>2.02166693203162E-5</v>
      </c>
      <c r="U57" s="9">
        <f t="shared" si="11"/>
        <v>3.712576972659411E-5</v>
      </c>
      <c r="V57" s="100">
        <f t="shared" si="14"/>
        <v>0.54454545910288554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2.3364900872934777</v>
      </c>
      <c r="K58" s="55">
        <f t="shared" si="26"/>
        <v>0.59961239971510516</v>
      </c>
      <c r="L58" s="55">
        <f t="shared" si="27"/>
        <v>4.7062754685376712E-2</v>
      </c>
      <c r="M58" s="55">
        <f t="shared" si="28"/>
        <v>0.95293724531462332</v>
      </c>
      <c r="N58" s="55">
        <f t="shared" si="29"/>
        <v>4.640258309585879E-2</v>
      </c>
      <c r="O58" s="56">
        <f t="shared" si="30"/>
        <v>6.0295142865696572E-7</v>
      </c>
      <c r="P58" s="56">
        <f t="shared" si="31"/>
        <v>1.3084960495973462E-4</v>
      </c>
      <c r="Q58" s="56">
        <f t="shared" si="32"/>
        <v>1.353768263039239E-4</v>
      </c>
      <c r="R58" s="9">
        <f t="shared" si="12"/>
        <v>3.9999999999999996E-5</v>
      </c>
      <c r="S58" s="9">
        <f t="shared" si="13"/>
        <v>1.8825101874150684E-6</v>
      </c>
      <c r="T58" s="9">
        <f t="shared" si="10"/>
        <v>2.3984495988604205E-5</v>
      </c>
      <c r="U58" s="9">
        <f t="shared" si="11"/>
        <v>3.8117489812584929E-5</v>
      </c>
      <c r="V58" s="100">
        <f t="shared" si="14"/>
        <v>0.62922548432571357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1.8368226563727335</v>
      </c>
      <c r="K59" s="55">
        <f t="shared" si="26"/>
        <v>0.83802361185488594</v>
      </c>
      <c r="L59" s="55">
        <f t="shared" si="27"/>
        <v>2.0815917736452322E-2</v>
      </c>
      <c r="M59" s="55">
        <f t="shared" si="28"/>
        <v>0.97918408226354769</v>
      </c>
      <c r="N59" s="55">
        <f t="shared" si="29"/>
        <v>2.055312233252583E-2</v>
      </c>
      <c r="O59" s="56">
        <f t="shared" si="30"/>
        <v>8.4269026834043488E-7</v>
      </c>
      <c r="P59" s="56">
        <f t="shared" si="31"/>
        <v>5.7874950816158705E-5</v>
      </c>
      <c r="Q59" s="56">
        <f t="shared" si="32"/>
        <v>5.9962534117243272E-5</v>
      </c>
      <c r="R59" s="9">
        <f t="shared" si="12"/>
        <v>3.9999999999999996E-5</v>
      </c>
      <c r="S59" s="9">
        <f t="shared" si="13"/>
        <v>8.3263670945809283E-7</v>
      </c>
      <c r="T59" s="9">
        <f t="shared" si="10"/>
        <v>3.3520944474195437E-5</v>
      </c>
      <c r="U59" s="9">
        <f t="shared" si="11"/>
        <v>3.9167363290541902E-5</v>
      </c>
      <c r="V59" s="100">
        <f t="shared" si="14"/>
        <v>0.85583867940097047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3.3742995972030507</v>
      </c>
      <c r="K60" s="55">
        <f t="shared" si="26"/>
        <v>0.1874889024405883</v>
      </c>
      <c r="L60" s="55">
        <f t="shared" si="27"/>
        <v>0.16054316299841942</v>
      </c>
      <c r="M60" s="55">
        <f t="shared" si="28"/>
        <v>0.83945683700158058</v>
      </c>
      <c r="N60" s="55">
        <f t="shared" si="29"/>
        <v>0.15950896648872476</v>
      </c>
      <c r="O60" s="56">
        <f t="shared" si="30"/>
        <v>1.8853296168923667E-7</v>
      </c>
      <c r="P60" s="56">
        <f t="shared" si="31"/>
        <v>4.4636166322530935E-4</v>
      </c>
      <c r="Q60" s="56">
        <f t="shared" si="32"/>
        <v>4.6535809451930398E-4</v>
      </c>
      <c r="R60" s="9">
        <f t="shared" si="12"/>
        <v>3.9999999999999996E-5</v>
      </c>
      <c r="S60" s="9">
        <f t="shared" si="13"/>
        <v>6.4217265199367761E-6</v>
      </c>
      <c r="T60" s="9">
        <f t="shared" si="10"/>
        <v>7.4995560976235311E-6</v>
      </c>
      <c r="U60" s="9">
        <f t="shared" si="11"/>
        <v>3.3578273480063217E-5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4.4333527660079728</v>
      </c>
      <c r="K61" s="55">
        <f t="shared" si="26"/>
        <v>2.7969270008060675E-2</v>
      </c>
      <c r="L61" s="55">
        <f t="shared" si="27"/>
        <v>0.27437879770476969</v>
      </c>
      <c r="M61" s="55">
        <f t="shared" si="28"/>
        <v>0.72562120229523031</v>
      </c>
      <c r="N61" s="55">
        <f t="shared" si="29"/>
        <v>0.27352099390733775</v>
      </c>
      <c r="O61" s="56">
        <f t="shared" si="30"/>
        <v>2.8125020959982285E-8</v>
      </c>
      <c r="P61" s="56">
        <f t="shared" si="31"/>
        <v>7.6286136519228471E-4</v>
      </c>
      <c r="Q61" s="56">
        <f t="shared" si="32"/>
        <v>7.9798152629082626E-4</v>
      </c>
      <c r="R61" s="9">
        <f t="shared" si="12"/>
        <v>3.9999999999999996E-5</v>
      </c>
      <c r="S61" s="9">
        <f t="shared" si="13"/>
        <v>1.0975151908190787E-5</v>
      </c>
      <c r="T61" s="9">
        <f t="shared" si="10"/>
        <v>1.1187708003224268E-6</v>
      </c>
      <c r="U61" s="9">
        <f t="shared" si="11"/>
        <v>2.9024848091809208E-5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5.4325795788243934</v>
      </c>
      <c r="K62" s="55">
        <f t="shared" si="26"/>
        <v>3.5913336603502228E-3</v>
      </c>
      <c r="L62" s="55">
        <f t="shared" si="27"/>
        <v>0.35168349445073882</v>
      </c>
      <c r="M62" s="55">
        <f t="shared" si="28"/>
        <v>0.64831650554926123</v>
      </c>
      <c r="N62" s="55">
        <f t="shared" si="29"/>
        <v>0.35112786063677015</v>
      </c>
      <c r="O62" s="56">
        <f t="shared" si="30"/>
        <v>3.6113325246790537E-9</v>
      </c>
      <c r="P62" s="56">
        <f t="shared" si="31"/>
        <v>9.7779330231251359E-4</v>
      </c>
      <c r="Q62" s="56">
        <f t="shared" si="32"/>
        <v>1.0243950277874652E-3</v>
      </c>
      <c r="R62" s="9">
        <f t="shared" si="12"/>
        <v>3.9999999999999996E-5</v>
      </c>
      <c r="S62" s="9">
        <f t="shared" si="13"/>
        <v>1.4067339778029552E-5</v>
      </c>
      <c r="T62" s="9">
        <f t="shared" si="10"/>
        <v>1.4365334641400891E-7</v>
      </c>
      <c r="U62" s="9">
        <f t="shared" si="11"/>
        <v>2.5932660221970446E-5</v>
      </c>
      <c r="V62" s="100">
        <f t="shared" si="14"/>
        <v>5.5394759035289455E-3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6.6138990365335042</v>
      </c>
      <c r="K63" s="55">
        <f t="shared" si="26"/>
        <v>2.7654622265793822E-4</v>
      </c>
      <c r="L63" s="55">
        <f t="shared" si="27"/>
        <v>0.41113402363742535</v>
      </c>
      <c r="M63" s="55">
        <f t="shared" si="28"/>
        <v>0.58886597636257465</v>
      </c>
      <c r="N63" s="55">
        <f t="shared" si="29"/>
        <v>0.41084429924127569</v>
      </c>
      <c r="O63" s="56">
        <f t="shared" si="30"/>
        <v>2.78086210559549E-10</v>
      </c>
      <c r="P63" s="56">
        <f t="shared" si="31"/>
        <v>1.1430849073349927E-3</v>
      </c>
      <c r="Q63" s="56">
        <f t="shared" si="32"/>
        <v>1.1986142500180605E-3</v>
      </c>
      <c r="R63" s="9">
        <f t="shared" si="12"/>
        <v>3.9999999999999996E-5</v>
      </c>
      <c r="S63" s="9">
        <f t="shared" si="13"/>
        <v>1.6445360945497011E-5</v>
      </c>
      <c r="T63" s="9">
        <f t="shared" si="10"/>
        <v>1.1061848906317527E-8</v>
      </c>
      <c r="U63" s="9">
        <f t="shared" si="11"/>
        <v>2.3554639054502985E-5</v>
      </c>
      <c r="V63" s="100">
        <f t="shared" si="14"/>
        <v>4.6962506539461549E-4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5.8566067394427304</v>
      </c>
      <c r="K64" s="55">
        <f t="shared" si="26"/>
        <v>1.4489577960532041E-3</v>
      </c>
      <c r="L64" s="55">
        <f t="shared" si="27"/>
        <v>0.37668569395600865</v>
      </c>
      <c r="M64" s="55">
        <f t="shared" si="28"/>
        <v>0.62331430604399141</v>
      </c>
      <c r="N64" s="55">
        <f t="shared" si="29"/>
        <v>0.37624026384706871</v>
      </c>
      <c r="O64" s="56">
        <f t="shared" si="30"/>
        <v>1.4570265284857805E-9</v>
      </c>
      <c r="P64" s="56">
        <f t="shared" si="31"/>
        <v>1.0473074637818076E-3</v>
      </c>
      <c r="Q64" s="56">
        <f t="shared" si="32"/>
        <v>1.097658997606811E-3</v>
      </c>
      <c r="R64" s="9">
        <f t="shared" si="12"/>
        <v>3.9999999999999996E-5</v>
      </c>
      <c r="S64" s="9">
        <f t="shared" si="13"/>
        <v>1.5067427758240345E-5</v>
      </c>
      <c r="T64" s="9">
        <f t="shared" si="10"/>
        <v>5.7958311842128162E-8</v>
      </c>
      <c r="U64" s="9">
        <f t="shared" si="11"/>
        <v>2.4932572241759655E-5</v>
      </c>
      <c r="V64" s="100">
        <f t="shared" si="14"/>
        <v>2.3246021822430972E-3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5.5537249868910639</v>
      </c>
      <c r="K65" s="55">
        <f t="shared" si="26"/>
        <v>2.7757773224040788E-3</v>
      </c>
      <c r="L65" s="55">
        <f t="shared" si="27"/>
        <v>0.35927439062052019</v>
      </c>
      <c r="M65" s="55">
        <f t="shared" si="28"/>
        <v>0.64072560937947975</v>
      </c>
      <c r="N65" s="55">
        <f t="shared" si="29"/>
        <v>0.35875185695097567</v>
      </c>
      <c r="O65" s="56">
        <f t="shared" si="30"/>
        <v>2.7912346425330004E-9</v>
      </c>
      <c r="P65" s="56">
        <f t="shared" si="31"/>
        <v>9.9889843676004937E-4</v>
      </c>
      <c r="Q65" s="56">
        <f t="shared" si="32"/>
        <v>1.0466375917981329E-3</v>
      </c>
      <c r="R65" s="9">
        <f t="shared" si="12"/>
        <v>3.9999999999999996E-5</v>
      </c>
      <c r="S65" s="9">
        <f t="shared" si="13"/>
        <v>1.4370975624820806E-5</v>
      </c>
      <c r="T65" s="9">
        <f t="shared" si="10"/>
        <v>1.1103109289616315E-7</v>
      </c>
      <c r="U65" s="9">
        <f t="shared" si="11"/>
        <v>2.5629024375179187E-5</v>
      </c>
      <c r="V65" s="100">
        <f t="shared" si="14"/>
        <v>4.3322403252966926E-3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5.8566067394427304</v>
      </c>
      <c r="K66" s="55">
        <f t="shared" si="26"/>
        <v>1.4489577960532041E-3</v>
      </c>
      <c r="L66" s="55">
        <f t="shared" si="27"/>
        <v>0.37668569395600865</v>
      </c>
      <c r="M66" s="55">
        <f t="shared" si="28"/>
        <v>0.62331430604399141</v>
      </c>
      <c r="N66" s="55">
        <f t="shared" si="29"/>
        <v>0.37624026384706871</v>
      </c>
      <c r="O66" s="56">
        <f t="shared" si="30"/>
        <v>1.4570265284857805E-9</v>
      </c>
      <c r="P66" s="56">
        <f t="shared" si="31"/>
        <v>1.0473074637818076E-3</v>
      </c>
      <c r="Q66" s="56">
        <f t="shared" si="32"/>
        <v>1.097658997606811E-3</v>
      </c>
      <c r="R66" s="9">
        <f t="shared" si="12"/>
        <v>3.9999999999999996E-5</v>
      </c>
      <c r="S66" s="9">
        <f t="shared" si="13"/>
        <v>1.5067427758240345E-5</v>
      </c>
      <c r="T66" s="9">
        <f t="shared" si="10"/>
        <v>5.7958311842128162E-8</v>
      </c>
      <c r="U66" s="9">
        <f t="shared" si="11"/>
        <v>2.4932572241759655E-5</v>
      </c>
      <c r="V66" s="100">
        <f t="shared" si="14"/>
        <v>2.3246021822430972E-3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-1.2868501140216462</v>
      </c>
      <c r="K67" s="55">
        <f t="shared" si="26"/>
        <v>0.99908761988356576</v>
      </c>
      <c r="L67" s="55">
        <f t="shared" si="27"/>
        <v>1.8666810327907826E-5</v>
      </c>
      <c r="M67" s="55">
        <f t="shared" si="28"/>
        <v>0.99998133318967208</v>
      </c>
      <c r="N67" s="55">
        <f t="shared" si="29"/>
        <v>1.0244560815336713E-5</v>
      </c>
      <c r="O67" s="56">
        <f t="shared" si="30"/>
        <v>1.004651184746185E-6</v>
      </c>
      <c r="P67" s="56">
        <f t="shared" si="31"/>
        <v>5.1899740539921635E-8</v>
      </c>
      <c r="Q67" s="56">
        <f t="shared" si="32"/>
        <v>2.9887907903592444E-8</v>
      </c>
      <c r="R67" s="9">
        <f t="shared" si="12"/>
        <v>3.9999999999999996E-5</v>
      </c>
      <c r="S67" s="9">
        <f t="shared" si="13"/>
        <v>7.4667241311631295E-10</v>
      </c>
      <c r="T67" s="9">
        <f t="shared" si="10"/>
        <v>3.9963504795342628E-5</v>
      </c>
      <c r="U67" s="9">
        <f t="shared" si="11"/>
        <v>3.9999253327586882E-5</v>
      </c>
      <c r="V67" s="100">
        <f t="shared" si="14"/>
        <v>0.99910627001080543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5.8157308430918091</v>
      </c>
      <c r="K68" s="55">
        <f t="shared" si="26"/>
        <v>1.3096862776417054E-3</v>
      </c>
      <c r="L68" s="55">
        <f t="shared" si="27"/>
        <v>0.30989514435592769</v>
      </c>
      <c r="M68" s="55">
        <f t="shared" si="28"/>
        <v>0.69010485564407231</v>
      </c>
      <c r="N68" s="55">
        <f t="shared" si="29"/>
        <v>0.30914258138295764</v>
      </c>
      <c r="O68" s="56">
        <f t="shared" si="30"/>
        <v>1.3169794563482851E-9</v>
      </c>
      <c r="P68" s="56">
        <f t="shared" si="31"/>
        <v>8.6160823965777424E-4</v>
      </c>
      <c r="Q68" s="56">
        <f t="shared" si="32"/>
        <v>9.0190542747527116E-4</v>
      </c>
      <c r="R68" s="9">
        <f t="shared" si="12"/>
        <v>3.9999999999999996E-5</v>
      </c>
      <c r="S68" s="9">
        <f t="shared" si="13"/>
        <v>1.2395805774237106E-5</v>
      </c>
      <c r="T68" s="9">
        <f t="shared" si="10"/>
        <v>5.2387451105668213E-8</v>
      </c>
      <c r="U68" s="9">
        <f t="shared" si="11"/>
        <v>2.7604194225762889E-5</v>
      </c>
      <c r="V68" s="100">
        <f t="shared" si="14"/>
        <v>1.8978076547793306E-3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2.8805307478536943</v>
      </c>
      <c r="K69" s="55">
        <f t="shared" si="26"/>
        <v>0.36846168549937847</v>
      </c>
      <c r="L69" s="55">
        <f t="shared" si="27"/>
        <v>0.10121380070764305</v>
      </c>
      <c r="M69" s="55">
        <f t="shared" si="28"/>
        <v>0.89878619929235692</v>
      </c>
      <c r="N69" s="55">
        <f t="shared" si="29"/>
        <v>0.10030021611777756</v>
      </c>
      <c r="O69" s="56">
        <f t="shared" si="30"/>
        <v>3.7051351803725415E-7</v>
      </c>
      <c r="P69" s="56">
        <f t="shared" si="31"/>
        <v>2.8140694117047722E-4</v>
      </c>
      <c r="Q69" s="56">
        <f t="shared" si="32"/>
        <v>2.926200230614791E-4</v>
      </c>
      <c r="R69" s="9">
        <f t="shared" si="12"/>
        <v>3.9999999999999996E-5</v>
      </c>
      <c r="S69" s="9">
        <f t="shared" si="13"/>
        <v>4.0485520283057218E-6</v>
      </c>
      <c r="T69" s="9">
        <f t="shared" si="10"/>
        <v>1.4738467419975137E-5</v>
      </c>
      <c r="U69" s="9">
        <f t="shared" si="11"/>
        <v>3.5951447971694274E-5</v>
      </c>
      <c r="V69" s="100">
        <f t="shared" si="14"/>
        <v>0.40995476542639409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4.2768094924983595</v>
      </c>
      <c r="K70" s="55">
        <f t="shared" si="26"/>
        <v>3.8128617420757356E-2</v>
      </c>
      <c r="L70" s="55">
        <f t="shared" si="27"/>
        <v>0.26084180771472104</v>
      </c>
      <c r="M70" s="55">
        <f t="shared" si="28"/>
        <v>0.73915819228527901</v>
      </c>
      <c r="N70" s="55">
        <f t="shared" si="29"/>
        <v>0.25994388743535085</v>
      </c>
      <c r="O70" s="56">
        <f t="shared" si="30"/>
        <v>3.834094217778628E-8</v>
      </c>
      <c r="P70" s="56">
        <f t="shared" si="31"/>
        <v>7.2522417620104747E-4</v>
      </c>
      <c r="Q70" s="56">
        <f t="shared" si="32"/>
        <v>7.5837111105228128E-4</v>
      </c>
      <c r="R70" s="9">
        <f t="shared" si="12"/>
        <v>3.9999999999999996E-5</v>
      </c>
      <c r="S70" s="9">
        <f t="shared" si="13"/>
        <v>1.0433672308588841E-5</v>
      </c>
      <c r="T70" s="9">
        <f t="shared" si="10"/>
        <v>1.525144696830294E-6</v>
      </c>
      <c r="U70" s="9">
        <f t="shared" si="11"/>
        <v>2.9566327691411157E-5</v>
      </c>
      <c r="V70" s="100">
        <f t="shared" si="14"/>
        <v>5.1583839317093802E-2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7.0202300748795512</v>
      </c>
      <c r="K71" s="55">
        <f t="shared" ref="K71:K122" si="35">IF(D71=0,"",1/(1+10^D71*$J$15/$J$14+10^E71*$J$16/$J$14+10^J71*$J$19/$J$14))</f>
        <v>8.3489067742956941E-5</v>
      </c>
      <c r="L71" s="55">
        <f t="shared" ref="L71:L122" si="36">IF(D71=0,"",1/(1+10^I71/10^J71*$J$13/$J$19))</f>
        <v>0.31635619088642664</v>
      </c>
      <c r="M71" s="55">
        <f t="shared" si="19"/>
        <v>0.68364380911357336</v>
      </c>
      <c r="N71" s="55">
        <f t="shared" ref="N71:N122" si="37">IF(D71=0,"",1/(1/10^E71*$J$20/$J$22+10^D71/10^E71*$J$21/$J$22+10^I71/10^E71*$J$13/$J$22+1))</f>
        <v>0.31563064549795256</v>
      </c>
      <c r="O71" s="56">
        <f t="shared" si="21"/>
        <v>8.3953988771366529E-11</v>
      </c>
      <c r="P71" s="56">
        <f t="shared" ref="P71:P122" si="38">IF(D71=0,"",O71*10^J71)</f>
        <v>8.795720284711161E-4</v>
      </c>
      <c r="Q71" s="56">
        <f t="shared" ref="Q71:Q122" si="39">IF(D71=0,"",F71*N71*$J$7/$J$22)</f>
        <v>9.2083397563238393E-4</v>
      </c>
      <c r="R71" s="9">
        <f t="shared" si="12"/>
        <v>3.9999999999999996E-5</v>
      </c>
      <c r="S71" s="9">
        <f t="shared" si="13"/>
        <v>1.2654247635457065E-5</v>
      </c>
      <c r="T71" s="9">
        <f t="shared" si="10"/>
        <v>3.3395627097182775E-9</v>
      </c>
      <c r="U71" s="9">
        <f t="shared" si="11"/>
        <v>2.7345752364542933E-5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6.5109992218451609</v>
      </c>
      <c r="K72" s="55">
        <f t="shared" si="35"/>
        <v>2.4371014692968403E-4</v>
      </c>
      <c r="L72" s="55">
        <f t="shared" si="36"/>
        <v>0.28588375945559735</v>
      </c>
      <c r="M72" s="55">
        <f t="shared" si="19"/>
        <v>0.71411624054440259</v>
      </c>
      <c r="N72" s="55">
        <f t="shared" si="37"/>
        <v>0.28501857430477168</v>
      </c>
      <c r="O72" s="56">
        <f t="shared" si="21"/>
        <v>2.4506728236319064E-10</v>
      </c>
      <c r="P72" s="56">
        <f t="shared" si="38"/>
        <v>7.948488616794046E-4</v>
      </c>
      <c r="Q72" s="56">
        <f t="shared" si="39"/>
        <v>8.3152504564972429E-4</v>
      </c>
      <c r="R72" s="9">
        <f t="shared" si="12"/>
        <v>3.9999999999999996E-5</v>
      </c>
      <c r="S72" s="9">
        <f t="shared" si="13"/>
        <v>1.1435350378223893E-5</v>
      </c>
      <c r="T72" s="9">
        <f t="shared" si="10"/>
        <v>9.7484058771873606E-9</v>
      </c>
      <c r="U72" s="9">
        <f t="shared" si="11"/>
        <v>2.85646496217761E-5</v>
      </c>
      <c r="V72" s="100">
        <f t="shared" si="14"/>
        <v>3.4127517775522502E-4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6.5480702357711023</v>
      </c>
      <c r="K73" s="55">
        <f t="shared" si="35"/>
        <v>2.4020031845697123E-4</v>
      </c>
      <c r="L73" s="55">
        <f t="shared" si="36"/>
        <v>0.30687426256226463</v>
      </c>
      <c r="M73" s="55">
        <f t="shared" si="19"/>
        <v>0.69312573743773531</v>
      </c>
      <c r="N73" s="55">
        <f t="shared" si="37"/>
        <v>0.30610549843208901</v>
      </c>
      <c r="O73" s="56">
        <f t="shared" si="21"/>
        <v>2.4153790889965227E-10</v>
      </c>
      <c r="P73" s="56">
        <f t="shared" si="38"/>
        <v>8.532092160142711E-4</v>
      </c>
      <c r="Q73" s="56">
        <f t="shared" si="39"/>
        <v>8.9304491532962206E-4</v>
      </c>
      <c r="R73" s="9">
        <f t="shared" si="12"/>
        <v>3.9999999999999996E-5</v>
      </c>
      <c r="S73" s="9">
        <f t="shared" si="13"/>
        <v>1.2274970502490585E-5</v>
      </c>
      <c r="T73" s="9">
        <f t="shared" si="10"/>
        <v>9.6080127382788481E-9</v>
      </c>
      <c r="U73" s="9">
        <f t="shared" si="11"/>
        <v>2.7725029497509408E-5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3.2330538908434048</v>
      </c>
      <c r="K74" s="55">
        <f t="shared" si="35"/>
        <v>0.20713802188967717</v>
      </c>
      <c r="L74" s="55">
        <f t="shared" si="36"/>
        <v>0.12812396395450551</v>
      </c>
      <c r="M74" s="55">
        <f t="shared" si="19"/>
        <v>0.87187603604549446</v>
      </c>
      <c r="N74" s="55">
        <f t="shared" si="37"/>
        <v>0.12698352432121993</v>
      </c>
      <c r="O74" s="56">
        <f t="shared" si="21"/>
        <v>2.0829150012057769E-7</v>
      </c>
      <c r="P74" s="56">
        <f t="shared" si="38"/>
        <v>3.5622585591088486E-4</v>
      </c>
      <c r="Q74" s="56">
        <f t="shared" si="39"/>
        <v>3.7046701645857444E-4</v>
      </c>
      <c r="R74" s="9">
        <f t="shared" si="12"/>
        <v>3.9999999999999996E-5</v>
      </c>
      <c r="S74" s="9">
        <f t="shared" si="13"/>
        <v>5.1249585581802197E-6</v>
      </c>
      <c r="T74" s="9">
        <f t="shared" si="10"/>
        <v>8.2855208755870855E-6</v>
      </c>
      <c r="U74" s="9">
        <f t="shared" si="11"/>
        <v>3.4875041441819778E-5</v>
      </c>
      <c r="V74" s="100">
        <f t="shared" si="14"/>
        <v>0.23757737720281685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5.1701145702581215</v>
      </c>
      <c r="K75" s="55">
        <f t="shared" si="35"/>
        <v>6.2412472549928941E-3</v>
      </c>
      <c r="L75" s="55">
        <f t="shared" si="36"/>
        <v>0.33396627266297035</v>
      </c>
      <c r="M75" s="55">
        <f t="shared" si="19"/>
        <v>0.66603372733702959</v>
      </c>
      <c r="N75" s="55">
        <f t="shared" si="37"/>
        <v>0.33333500436623115</v>
      </c>
      <c r="O75" s="56">
        <f t="shared" si="21"/>
        <v>6.276002548958847E-9</v>
      </c>
      <c r="P75" s="56">
        <f t="shared" si="38"/>
        <v>9.2853372353494923E-4</v>
      </c>
      <c r="Q75" s="56">
        <f t="shared" si="39"/>
        <v>9.7248540870847032E-4</v>
      </c>
      <c r="R75" s="9">
        <f t="shared" si="12"/>
        <v>3.9999999999999996E-5</v>
      </c>
      <c r="S75" s="9">
        <f t="shared" si="13"/>
        <v>1.3358650906518814E-5</v>
      </c>
      <c r="T75" s="9">
        <f t="shared" si="10"/>
        <v>2.4964989019971574E-7</v>
      </c>
      <c r="U75" s="9">
        <f t="shared" si="11"/>
        <v>2.6641349093481181E-5</v>
      </c>
      <c r="V75" s="100">
        <f t="shared" si="14"/>
        <v>9.370767573508583E-3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5.0912433878185999</v>
      </c>
      <c r="K76" s="55">
        <f t="shared" si="35"/>
        <v>6.388219766169689E-3</v>
      </c>
      <c r="L76" s="55">
        <f t="shared" si="36"/>
        <v>0.28506236719448169</v>
      </c>
      <c r="M76" s="55">
        <f t="shared" si="19"/>
        <v>0.71493763280551836</v>
      </c>
      <c r="N76" s="55">
        <f t="shared" si="37"/>
        <v>0.28420675767605352</v>
      </c>
      <c r="O76" s="56">
        <f t="shared" si="21"/>
        <v>6.4237934979609953E-9</v>
      </c>
      <c r="P76" s="56">
        <f t="shared" si="38"/>
        <v>7.9256512683212484E-4</v>
      </c>
      <c r="Q76" s="56">
        <f t="shared" si="39"/>
        <v>8.2915661804495967E-4</v>
      </c>
      <c r="R76" s="9">
        <f t="shared" si="12"/>
        <v>3.9999999999999996E-5</v>
      </c>
      <c r="S76" s="9">
        <f t="shared" si="13"/>
        <v>1.1402494687779267E-5</v>
      </c>
      <c r="T76" s="9">
        <f t="shared" si="10"/>
        <v>2.5552879064678755E-7</v>
      </c>
      <c r="U76" s="9">
        <f t="shared" si="11"/>
        <v>2.8597505312220731E-5</v>
      </c>
      <c r="V76" s="100">
        <f t="shared" si="14"/>
        <v>8.9353525021495846E-3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3.5606397320231116</v>
      </c>
      <c r="K77" s="55">
        <f t="shared" si="35"/>
        <v>0.14238135120442927</v>
      </c>
      <c r="L77" s="55">
        <f t="shared" si="36"/>
        <v>0.18724468256940963</v>
      </c>
      <c r="M77" s="55">
        <f t="shared" si="19"/>
        <v>0.81275531743059037</v>
      </c>
      <c r="N77" s="55">
        <f t="shared" si="37"/>
        <v>0.18623515380221123</v>
      </c>
      <c r="O77" s="56">
        <f t="shared" si="21"/>
        <v>1.4317422248707568E-7</v>
      </c>
      <c r="P77" s="56">
        <f t="shared" si="38"/>
        <v>5.2060048139577022E-4</v>
      </c>
      <c r="Q77" s="56">
        <f t="shared" si="39"/>
        <v>5.4333018521584295E-4</v>
      </c>
      <c r="R77" s="9">
        <f t="shared" si="12"/>
        <v>3.9999999999999996E-5</v>
      </c>
      <c r="S77" s="9">
        <f t="shared" si="13"/>
        <v>7.4897873027763842E-6</v>
      </c>
      <c r="T77" s="9">
        <f t="shared" si="10"/>
        <v>5.6952540481771702E-6</v>
      </c>
      <c r="U77" s="9">
        <f t="shared" si="11"/>
        <v>3.2510212697223609E-5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3.9406437344393757</v>
      </c>
      <c r="K78" s="55">
        <f t="shared" si="35"/>
        <v>7.8073293615160591E-2</v>
      </c>
      <c r="L78" s="55">
        <f t="shared" si="36"/>
        <v>0.24629913501419842</v>
      </c>
      <c r="M78" s="55">
        <f t="shared" si="19"/>
        <v>0.75370086498580158</v>
      </c>
      <c r="N78" s="55">
        <f t="shared" si="37"/>
        <v>0.24542118731054688</v>
      </c>
      <c r="O78" s="56">
        <f t="shared" si="21"/>
        <v>7.8508056116888821E-8</v>
      </c>
      <c r="P78" s="56">
        <f t="shared" si="38"/>
        <v>6.8479086560026845E-4</v>
      </c>
      <c r="Q78" s="56">
        <f t="shared" si="39"/>
        <v>7.1600198155364735E-4</v>
      </c>
      <c r="R78" s="9">
        <f t="shared" si="12"/>
        <v>3.9999999999999996E-5</v>
      </c>
      <c r="S78" s="9">
        <f t="shared" si="13"/>
        <v>9.8519654005679362E-6</v>
      </c>
      <c r="T78" s="9">
        <f t="shared" si="10"/>
        <v>3.1229317446064232E-6</v>
      </c>
      <c r="U78" s="9">
        <f t="shared" si="11"/>
        <v>3.014803459943206E-5</v>
      </c>
      <c r="V78" s="100">
        <f t="shared" si="14"/>
        <v>0.10358657823303859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3.737559055838291</v>
      </c>
      <c r="K79" s="55">
        <f t="shared" si="35"/>
        <v>7.4403631869073047E-2</v>
      </c>
      <c r="L79" s="55">
        <f t="shared" si="36"/>
        <v>0.14705162983973624</v>
      </c>
      <c r="M79" s="55">
        <f t="shared" si="19"/>
        <v>0.85294837016026381</v>
      </c>
      <c r="N79" s="55">
        <f t="shared" si="37"/>
        <v>0.14570977485952996</v>
      </c>
      <c r="O79" s="56">
        <f t="shared" si="21"/>
        <v>7.4817959325123669E-8</v>
      </c>
      <c r="P79" s="56">
        <f t="shared" si="38"/>
        <v>4.0885085885534355E-4</v>
      </c>
      <c r="Q79" s="56">
        <f t="shared" si="39"/>
        <v>4.2509975880422211E-4</v>
      </c>
      <c r="R79" s="9">
        <f t="shared" si="12"/>
        <v>3.9999999999999996E-5</v>
      </c>
      <c r="S79" s="9">
        <f t="shared" si="13"/>
        <v>5.8820651935894488E-6</v>
      </c>
      <c r="T79" s="9">
        <f t="shared" si="10"/>
        <v>2.9761452747629216E-6</v>
      </c>
      <c r="U79" s="9">
        <f t="shared" si="11"/>
        <v>3.4117934806410549E-5</v>
      </c>
      <c r="V79" s="100">
        <f t="shared" si="14"/>
        <v>8.7231108554780473E-2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3.8048590996090375</v>
      </c>
      <c r="K80" s="55">
        <f t="shared" si="35"/>
        <v>6.1867061980559072E-2</v>
      </c>
      <c r="L80" s="55">
        <f t="shared" si="36"/>
        <v>0.14276943571703068</v>
      </c>
      <c r="M80" s="55">
        <f t="shared" si="19"/>
        <v>0.85723056428296929</v>
      </c>
      <c r="N80" s="55">
        <f t="shared" si="37"/>
        <v>0.14138067279961555</v>
      </c>
      <c r="O80" s="56">
        <f t="shared" si="21"/>
        <v>6.2211577722059935E-8</v>
      </c>
      <c r="P80" s="56">
        <f t="shared" si="38"/>
        <v>3.969449809894432E-4</v>
      </c>
      <c r="Q80" s="56">
        <f t="shared" si="39"/>
        <v>4.1246985636093989E-4</v>
      </c>
      <c r="R80" s="9">
        <f t="shared" si="12"/>
        <v>3.9999999999999996E-5</v>
      </c>
      <c r="S80" s="9">
        <f t="shared" si="13"/>
        <v>5.7107774286812266E-6</v>
      </c>
      <c r="T80" s="9">
        <f t="shared" si="10"/>
        <v>2.4746824792223625E-6</v>
      </c>
      <c r="U80" s="9">
        <f t="shared" si="11"/>
        <v>3.4289222571318767E-5</v>
      </c>
      <c r="V80" s="100">
        <f t="shared" si="14"/>
        <v>7.2170854094904785E-2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5.6187291277528306</v>
      </c>
      <c r="K81" s="55">
        <f t="shared" si="35"/>
        <v>2.2491537609838574E-3</v>
      </c>
      <c r="L81" s="55">
        <f t="shared" si="36"/>
        <v>0.33811537947946829</v>
      </c>
      <c r="M81" s="55">
        <f t="shared" si="19"/>
        <v>0.66188462052053176</v>
      </c>
      <c r="N81" s="55">
        <f t="shared" si="37"/>
        <v>0.33749449895433509</v>
      </c>
      <c r="O81" s="56">
        <f t="shared" si="21"/>
        <v>2.2616785011429799E-9</v>
      </c>
      <c r="P81" s="56">
        <f t="shared" si="38"/>
        <v>9.4006957585604555E-4</v>
      </c>
      <c r="Q81" s="56">
        <f t="shared" si="39"/>
        <v>9.8462049125770256E-4</v>
      </c>
      <c r="R81" s="9">
        <f t="shared" si="12"/>
        <v>3.9999999999999996E-5</v>
      </c>
      <c r="S81" s="9">
        <f t="shared" si="13"/>
        <v>1.3524615179178731E-5</v>
      </c>
      <c r="T81" s="9">
        <f t="shared" si="10"/>
        <v>8.9966150439354284E-8</v>
      </c>
      <c r="U81" s="9">
        <f t="shared" si="11"/>
        <v>2.6475384820821269E-5</v>
      </c>
      <c r="V81" s="100">
        <f t="shared" si="14"/>
        <v>3.3981054873507039E-3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5.2887765986811166</v>
      </c>
      <c r="K82" s="55">
        <f t="shared" si="35"/>
        <v>4.1669668019628774E-3</v>
      </c>
      <c r="L82" s="55">
        <f t="shared" si="36"/>
        <v>0.29303081322538782</v>
      </c>
      <c r="M82" s="55">
        <f t="shared" si="19"/>
        <v>0.70696918677461218</v>
      </c>
      <c r="N82" s="55">
        <f t="shared" si="37"/>
        <v>0.29220698438703635</v>
      </c>
      <c r="O82" s="56">
        <f t="shared" si="21"/>
        <v>4.1901711632438273E-9</v>
      </c>
      <c r="P82" s="56">
        <f t="shared" si="38"/>
        <v>8.147199714062999E-4</v>
      </c>
      <c r="Q82" s="56">
        <f t="shared" si="39"/>
        <v>8.5249681226663417E-4</v>
      </c>
      <c r="R82" s="9">
        <f t="shared" si="12"/>
        <v>3.9999999999999996E-5</v>
      </c>
      <c r="S82" s="9">
        <f t="shared" si="13"/>
        <v>1.1721232529015511E-5</v>
      </c>
      <c r="T82" s="9">
        <f t="shared" si="10"/>
        <v>1.6667867207851509E-7</v>
      </c>
      <c r="U82" s="9">
        <f t="shared" si="11"/>
        <v>2.8278767470984485E-5</v>
      </c>
      <c r="V82" s="100">
        <f t="shared" si="14"/>
        <v>5.8941278911655622E-3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3.5069752121358908</v>
      </c>
      <c r="K83" s="55">
        <f t="shared" si="35"/>
        <v>0.15968302556698655</v>
      </c>
      <c r="L83" s="55">
        <f t="shared" si="36"/>
        <v>0.18558830960010653</v>
      </c>
      <c r="M83" s="55">
        <f t="shared" si="19"/>
        <v>0.81441169039989347</v>
      </c>
      <c r="N83" s="55">
        <f t="shared" si="37"/>
        <v>0.18460875974325408</v>
      </c>
      <c r="O83" s="56">
        <f t="shared" si="21"/>
        <v>1.6057224374217E-7</v>
      </c>
      <c r="P83" s="56">
        <f t="shared" si="38"/>
        <v>5.1599523144497136E-4</v>
      </c>
      <c r="Q83" s="56">
        <f t="shared" si="39"/>
        <v>5.3858527552910567E-4</v>
      </c>
      <c r="R83" s="9">
        <f t="shared" si="12"/>
        <v>3.9999999999999996E-5</v>
      </c>
      <c r="S83" s="9">
        <f t="shared" si="13"/>
        <v>7.4235323840042605E-6</v>
      </c>
      <c r="T83" s="9">
        <f t="shared" si="10"/>
        <v>6.3873210226794611E-6</v>
      </c>
      <c r="U83" s="9">
        <f t="shared" si="11"/>
        <v>3.2576467615995738E-5</v>
      </c>
      <c r="V83" s="100">
        <f t="shared" si="14"/>
        <v>0.19607162746961404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5.2478046732163026</v>
      </c>
      <c r="K84" s="55">
        <f t="shared" si="35"/>
        <v>3.6029776924719654E-3</v>
      </c>
      <c r="L84" s="55">
        <f t="shared" si="36"/>
        <v>0.23055943417771591</v>
      </c>
      <c r="M84" s="55">
        <f t="shared" si="19"/>
        <v>0.76944056582228404</v>
      </c>
      <c r="N84" s="55">
        <f t="shared" si="37"/>
        <v>0.22944739168435818</v>
      </c>
      <c r="O84" s="56">
        <f t="shared" si="21"/>
        <v>3.6230413982888528E-9</v>
      </c>
      <c r="P84" s="56">
        <f t="shared" si="38"/>
        <v>6.4102943152343796E-4</v>
      </c>
      <c r="Q84" s="56">
        <f t="shared" si="39"/>
        <v>6.6939936567268115E-4</v>
      </c>
      <c r="R84" s="9">
        <f t="shared" si="12"/>
        <v>3.9999999999999996E-5</v>
      </c>
      <c r="S84" s="9">
        <f t="shared" si="13"/>
        <v>9.2223773671086351E-6</v>
      </c>
      <c r="T84" s="9">
        <f t="shared" si="10"/>
        <v>1.4411910769887861E-7</v>
      </c>
      <c r="U84" s="9">
        <f t="shared" si="11"/>
        <v>3.0777622632891358E-5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3.4129584322588506</v>
      </c>
      <c r="K85" s="55">
        <f t="shared" si="35"/>
        <v>0.18620250606465874</v>
      </c>
      <c r="L85" s="55">
        <f t="shared" si="36"/>
        <v>0.17428523856746722</v>
      </c>
      <c r="M85" s="55">
        <f t="shared" si="19"/>
        <v>0.82571476143253275</v>
      </c>
      <c r="N85" s="55">
        <f t="shared" si="37"/>
        <v>0.17331137730754798</v>
      </c>
      <c r="O85" s="56">
        <f t="shared" si="21"/>
        <v>1.8723940182780885E-7</v>
      </c>
      <c r="P85" s="56">
        <f t="shared" si="38"/>
        <v>4.8456905613202829E-4</v>
      </c>
      <c r="Q85" s="56">
        <f t="shared" si="39"/>
        <v>5.0562582203212835E-4</v>
      </c>
      <c r="R85" s="9">
        <f t="shared" si="12"/>
        <v>3.9999999999999996E-5</v>
      </c>
      <c r="S85" s="9">
        <f t="shared" si="13"/>
        <v>6.9714095426986886E-6</v>
      </c>
      <c r="T85" s="9">
        <f t="shared" si="10"/>
        <v>7.448100242586349E-6</v>
      </c>
      <c r="U85" s="9">
        <f t="shared" si="11"/>
        <v>3.3028590457301308E-5</v>
      </c>
      <c r="V85" s="100">
        <f t="shared" si="14"/>
        <v>0.22550463521036729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4.2457183871894006</v>
      </c>
      <c r="K86" s="55">
        <f t="shared" si="35"/>
        <v>2.0306787811927976E-2</v>
      </c>
      <c r="L86" s="55">
        <f t="shared" si="36"/>
        <v>0.12932314845373832</v>
      </c>
      <c r="M86" s="55">
        <f t="shared" si="19"/>
        <v>0.87067685154626173</v>
      </c>
      <c r="N86" s="55">
        <f t="shared" si="37"/>
        <v>0.12778232406802942</v>
      </c>
      <c r="O86" s="56">
        <f t="shared" si="21"/>
        <v>2.0419869116204647E-8</v>
      </c>
      <c r="P86" s="56">
        <f t="shared" si="38"/>
        <v>3.5955997477085064E-4</v>
      </c>
      <c r="Q86" s="56">
        <f t="shared" si="39"/>
        <v>3.7279746807054724E-4</v>
      </c>
      <c r="R86" s="9">
        <f t="shared" si="12"/>
        <v>3.9999999999999996E-5</v>
      </c>
      <c r="S86" s="9">
        <f t="shared" si="13"/>
        <v>5.1729259381495326E-6</v>
      </c>
      <c r="T86" s="9">
        <f t="shared" si="10"/>
        <v>8.1227151247711898E-7</v>
      </c>
      <c r="U86" s="9">
        <f t="shared" si="11"/>
        <v>3.4827074061850467E-5</v>
      </c>
      <c r="V86" s="100">
        <f t="shared" si="14"/>
        <v>2.3322990356140202E-2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3.0764394251822496</v>
      </c>
      <c r="K87" s="55">
        <f t="shared" si="35"/>
        <v>0.28828154120639793</v>
      </c>
      <c r="L87" s="55">
        <f t="shared" si="36"/>
        <v>0.12432913484994894</v>
      </c>
      <c r="M87" s="55">
        <f t="shared" si="19"/>
        <v>0.8756708651500511</v>
      </c>
      <c r="N87" s="55">
        <f t="shared" si="37"/>
        <v>0.12334754761782186</v>
      </c>
      <c r="O87" s="56">
        <f t="shared" si="21"/>
        <v>2.8988687893782192E-7</v>
      </c>
      <c r="P87" s="56">
        <f t="shared" si="38"/>
        <v>3.4567500965166194E-4</v>
      </c>
      <c r="Q87" s="56">
        <f t="shared" si="39"/>
        <v>3.5985926676489492E-4</v>
      </c>
      <c r="R87" s="9">
        <f t="shared" si="12"/>
        <v>3.9999999999999996E-5</v>
      </c>
      <c r="S87" s="9">
        <f t="shared" si="13"/>
        <v>4.9731653939979575E-6</v>
      </c>
      <c r="T87" s="9">
        <f t="shared" si="10"/>
        <v>1.1531261648255916E-5</v>
      </c>
      <c r="U87" s="9">
        <f t="shared" si="11"/>
        <v>3.5026834606002039E-5</v>
      </c>
      <c r="V87" s="100">
        <f t="shared" si="14"/>
        <v>0.32921221052272792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1.2885466241289183</v>
      </c>
      <c r="K88" s="55">
        <f t="shared" si="35"/>
        <v>0.70200331135413996</v>
      </c>
      <c r="L88" s="55">
        <f t="shared" si="36"/>
        <v>4.9340373877574291E-3</v>
      </c>
      <c r="M88" s="55">
        <f t="shared" si="19"/>
        <v>0.99506596261224256</v>
      </c>
      <c r="N88" s="55">
        <f t="shared" si="37"/>
        <v>4.3027757522662597E-3</v>
      </c>
      <c r="O88" s="56">
        <f t="shared" si="21"/>
        <v>7.0591251899395375E-7</v>
      </c>
      <c r="P88" s="56">
        <f t="shared" si="38"/>
        <v>1.3718211935546257E-5</v>
      </c>
      <c r="Q88" s="56">
        <f t="shared" si="39"/>
        <v>1.2553096978156586E-5</v>
      </c>
      <c r="R88" s="9">
        <f t="shared" si="12"/>
        <v>3.9999999999999996E-5</v>
      </c>
      <c r="S88" s="9">
        <f t="shared" si="13"/>
        <v>1.9736149551029715E-7</v>
      </c>
      <c r="T88" s="9">
        <f t="shared" si="10"/>
        <v>2.8080132454165595E-5</v>
      </c>
      <c r="U88" s="9">
        <f t="shared" si="11"/>
        <v>3.9802638504489701E-5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1.3044081322612702</v>
      </c>
      <c r="K89" s="55">
        <f t="shared" si="35"/>
        <v>0.90683427005934703</v>
      </c>
      <c r="L89" s="55">
        <f t="shared" si="36"/>
        <v>6.6107800468186055E-3</v>
      </c>
      <c r="M89" s="55">
        <f t="shared" si="19"/>
        <v>0.99338921995318141</v>
      </c>
      <c r="N89" s="55">
        <f t="shared" si="37"/>
        <v>6.4322196131717923E-3</v>
      </c>
      <c r="O89" s="56">
        <f t="shared" si="21"/>
        <v>9.11884108712847E-7</v>
      </c>
      <c r="P89" s="56">
        <f t="shared" si="38"/>
        <v>1.8380096179765016E-5</v>
      </c>
      <c r="Q89" s="56">
        <f t="shared" si="39"/>
        <v>1.8765625084323435E-5</v>
      </c>
      <c r="R89" s="9">
        <f t="shared" si="12"/>
        <v>3.9999999999999996E-5</v>
      </c>
      <c r="S89" s="9">
        <f t="shared" si="13"/>
        <v>2.6443120187274422E-7</v>
      </c>
      <c r="T89" s="9">
        <f t="shared" si="10"/>
        <v>3.6273370802373876E-5</v>
      </c>
      <c r="U89" s="9">
        <f t="shared" si="11"/>
        <v>3.9735568798127256E-5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-0.14856791126729224</v>
      </c>
      <c r="K90" s="55">
        <f t="shared" si="35"/>
        <v>0.99161674906464181</v>
      </c>
      <c r="L90" s="55">
        <f t="shared" si="36"/>
        <v>2.5473733066222958E-4</v>
      </c>
      <c r="M90" s="55">
        <f t="shared" si="19"/>
        <v>0.99974526266933772</v>
      </c>
      <c r="N90" s="55">
        <f t="shared" si="37"/>
        <v>2.3116898884061214E-4</v>
      </c>
      <c r="O90" s="56">
        <f t="shared" si="21"/>
        <v>9.9713871129546572E-7</v>
      </c>
      <c r="P90" s="56">
        <f t="shared" si="38"/>
        <v>7.0825176529683666E-7</v>
      </c>
      <c r="Q90" s="56">
        <f t="shared" si="39"/>
        <v>6.7442202483598797E-7</v>
      </c>
      <c r="R90" s="9">
        <f t="shared" si="12"/>
        <v>3.9999999999999996E-5</v>
      </c>
      <c r="S90" s="9">
        <f t="shared" si="13"/>
        <v>1.0189493226489183E-8</v>
      </c>
      <c r="T90" s="9">
        <f t="shared" si="10"/>
        <v>3.9664669962585672E-5</v>
      </c>
      <c r="U90" s="9">
        <f t="shared" si="11"/>
        <v>3.9989810506773506E-5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-0.4708912582913774</v>
      </c>
      <c r="K91" s="55">
        <f t="shared" si="35"/>
        <v>0.99522496894886736</v>
      </c>
      <c r="L91" s="55">
        <f t="shared" si="36"/>
        <v>1.2171571547079364E-4</v>
      </c>
      <c r="M91" s="55">
        <f t="shared" si="19"/>
        <v>0.99987828428452918</v>
      </c>
      <c r="N91" s="55">
        <f t="shared" si="37"/>
        <v>1.0537519605050001E-4</v>
      </c>
      <c r="O91" s="56">
        <f t="shared" si="21"/>
        <v>1.0007670240774161E-6</v>
      </c>
      <c r="P91" s="56">
        <f t="shared" si="38"/>
        <v>3.3840886266042256E-7</v>
      </c>
      <c r="Q91" s="56">
        <f t="shared" si="39"/>
        <v>3.0742598063993516E-7</v>
      </c>
      <c r="R91" s="9">
        <f t="shared" si="12"/>
        <v>3.9999999999999996E-5</v>
      </c>
      <c r="S91" s="9">
        <f t="shared" si="13"/>
        <v>4.8686286188317447E-9</v>
      </c>
      <c r="T91" s="9">
        <f t="shared" si="10"/>
        <v>3.9808998757954693E-5</v>
      </c>
      <c r="U91" s="9">
        <f t="shared" si="11"/>
        <v>3.9995131371381166E-5</v>
      </c>
      <c r="V91" s="100">
        <f t="shared" si="14"/>
        <v>0.99534611821378682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1.4446125395169127</v>
      </c>
      <c r="K92" s="55">
        <f t="shared" si="35"/>
        <v>0.8841279457057396</v>
      </c>
      <c r="L92" s="55">
        <f t="shared" si="36"/>
        <v>8.9011128837000533E-3</v>
      </c>
      <c r="M92" s="55">
        <f t="shared" si="19"/>
        <v>0.9910988871162999</v>
      </c>
      <c r="N92" s="55">
        <f t="shared" si="37"/>
        <v>8.6837442146351102E-3</v>
      </c>
      <c r="O92" s="56">
        <f t="shared" si="21"/>
        <v>8.8905134088639602E-7</v>
      </c>
      <c r="P92" s="56">
        <f t="shared" si="38"/>
        <v>2.4747958599543109E-5</v>
      </c>
      <c r="Q92" s="56">
        <f t="shared" si="39"/>
        <v>2.533431662163816E-5</v>
      </c>
      <c r="R92" s="9">
        <f t="shared" si="12"/>
        <v>3.9999999999999996E-5</v>
      </c>
      <c r="S92" s="9">
        <f t="shared" si="13"/>
        <v>3.5604451534800208E-7</v>
      </c>
      <c r="T92" s="9">
        <f t="shared" ref="T92:T143" si="40">R92*K92</f>
        <v>3.5365117828229579E-5</v>
      </c>
      <c r="U92" s="9">
        <f t="shared" ref="U92:U143" si="41">$R92*M92</f>
        <v>3.964395548465199E-5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-0.45433038653479663</v>
      </c>
      <c r="K93" s="55">
        <f t="shared" si="35"/>
        <v>0.99508245630951631</v>
      </c>
      <c r="L93" s="55">
        <f t="shared" si="36"/>
        <v>1.2642860156303077E-4</v>
      </c>
      <c r="M93" s="55">
        <f t="shared" ref="M93:M127" si="42">IF(D93=0,"",1-L93)</f>
        <v>0.99987357139843702</v>
      </c>
      <c r="N93" s="55">
        <f t="shared" si="37"/>
        <v>1.0980012187002896E-4</v>
      </c>
      <c r="O93" s="56">
        <f t="shared" ref="O93:O127" si="43">IF(D93=0,"",F93*K93*$J$7/$J$14)</f>
        <v>1.0006237178356854E-6</v>
      </c>
      <c r="P93" s="56">
        <f t="shared" si="38"/>
        <v>3.5151220281787998E-7</v>
      </c>
      <c r="Q93" s="56">
        <f t="shared" si="39"/>
        <v>3.2033544330585259E-7</v>
      </c>
      <c r="R93" s="9">
        <f t="shared" ref="R93:R143" si="44">F93*$C$14</f>
        <v>3.9999999999999996E-5</v>
      </c>
      <c r="S93" s="9">
        <f t="shared" ref="S93:S143" si="45">$R93*L93</f>
        <v>5.0571440625212304E-9</v>
      </c>
      <c r="T93" s="9">
        <f t="shared" si="40"/>
        <v>3.980329825238065E-5</v>
      </c>
      <c r="U93" s="9">
        <f t="shared" si="41"/>
        <v>3.999494285593748E-5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-1.1134154401597203</v>
      </c>
      <c r="K94" s="55">
        <f t="shared" si="35"/>
        <v>0.99861924162633831</v>
      </c>
      <c r="L94" s="55">
        <f t="shared" si="36"/>
        <v>2.7816413966415833E-5</v>
      </c>
      <c r="M94" s="55">
        <f t="shared" si="42"/>
        <v>0.99997218358603357</v>
      </c>
      <c r="N94" s="55">
        <f t="shared" si="37"/>
        <v>1.8418638068664093E-5</v>
      </c>
      <c r="O94" s="56">
        <f t="shared" si="43"/>
        <v>1.0041801982564437E-6</v>
      </c>
      <c r="P94" s="56">
        <f t="shared" si="38"/>
        <v>7.7338583413454554E-8</v>
      </c>
      <c r="Q94" s="56">
        <f t="shared" si="39"/>
        <v>5.3735300929807688E-8</v>
      </c>
      <c r="R94" s="9">
        <f t="shared" si="44"/>
        <v>3.9999999999999996E-5</v>
      </c>
      <c r="S94" s="9">
        <f t="shared" si="45"/>
        <v>1.1126565586566332E-9</v>
      </c>
      <c r="T94" s="9">
        <f t="shared" si="40"/>
        <v>3.9944769665053529E-5</v>
      </c>
      <c r="U94" s="9">
        <f t="shared" si="41"/>
        <v>3.9998887343441338E-5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5.0257698077891471</v>
      </c>
      <c r="K95" s="55">
        <f t="shared" si="35"/>
        <v>8.4282431520309193E-3</v>
      </c>
      <c r="L95" s="55">
        <f t="shared" si="36"/>
        <v>0.32346218460268583</v>
      </c>
      <c r="M95" s="55">
        <f t="shared" si="42"/>
        <v>0.67653781539731417</v>
      </c>
      <c r="N95" s="55">
        <f t="shared" si="37"/>
        <v>0.32278741267082101</v>
      </c>
      <c r="O95" s="56">
        <f t="shared" si="43"/>
        <v>8.4751770510414146E-9</v>
      </c>
      <c r="P95" s="56">
        <f t="shared" si="38"/>
        <v>8.9932897803420237E-4</v>
      </c>
      <c r="Q95" s="56">
        <f t="shared" si="39"/>
        <v>9.4171342590905407E-4</v>
      </c>
      <c r="R95" s="9">
        <f t="shared" si="44"/>
        <v>3.9999999999999996E-5</v>
      </c>
      <c r="S95" s="9">
        <f t="shared" si="45"/>
        <v>1.2938487384107432E-5</v>
      </c>
      <c r="T95" s="9">
        <f t="shared" si="40"/>
        <v>3.3712972608123672E-7</v>
      </c>
      <c r="U95" s="9">
        <f t="shared" si="41"/>
        <v>2.7061512615892565E-5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-1.7447264159650486</v>
      </c>
      <c r="K96" s="55">
        <f t="shared" si="35"/>
        <v>0.99999348273358601</v>
      </c>
      <c r="L96" s="55">
        <f t="shared" si="36"/>
        <v>6.5100961792265774E-6</v>
      </c>
      <c r="M96" s="55">
        <f t="shared" si="42"/>
        <v>0.99999348990382075</v>
      </c>
      <c r="N96" s="55">
        <f t="shared" si="37"/>
        <v>5.8803980026661678E-13</v>
      </c>
      <c r="O96" s="56">
        <f t="shared" si="43"/>
        <v>1.0055620920253651E-6</v>
      </c>
      <c r="P96" s="56">
        <f t="shared" si="38"/>
        <v>1.8100162623212523E-8</v>
      </c>
      <c r="Q96" s="56">
        <f t="shared" si="39"/>
        <v>1.7155717761667543E-15</v>
      </c>
      <c r="R96" s="9">
        <f t="shared" si="44"/>
        <v>3.9999999999999996E-5</v>
      </c>
      <c r="S96" s="9">
        <f t="shared" si="45"/>
        <v>2.6040384716906306E-10</v>
      </c>
      <c r="T96" s="9">
        <f t="shared" si="40"/>
        <v>3.9999739309343435E-5</v>
      </c>
      <c r="U96" s="9">
        <f t="shared" si="41"/>
        <v>3.9999739596152829E-5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4.2541263298804033</v>
      </c>
      <c r="K98" s="55">
        <f t="shared" si="35"/>
        <v>5.5070350505233515E-3</v>
      </c>
      <c r="L98" s="55">
        <f t="shared" si="36"/>
        <v>3.575697918846233E-2</v>
      </c>
      <c r="M98" s="55">
        <f t="shared" si="42"/>
        <v>0.96424302081153768</v>
      </c>
      <c r="N98" s="55">
        <f t="shared" si="37"/>
        <v>3.3754166823749571E-2</v>
      </c>
      <c r="O98" s="56">
        <f t="shared" si="43"/>
        <v>5.5377017769390737E-9</v>
      </c>
      <c r="P98" s="56">
        <f t="shared" si="38"/>
        <v>9.941591036568752E-5</v>
      </c>
      <c r="Q98" s="56">
        <f t="shared" si="39"/>
        <v>9.8475810488667074E-5</v>
      </c>
      <c r="R98" s="9">
        <f t="shared" si="44"/>
        <v>3.9999999999999996E-5</v>
      </c>
      <c r="S98" s="9">
        <f t="shared" si="45"/>
        <v>1.4302791675384932E-6</v>
      </c>
      <c r="T98" s="9">
        <f t="shared" si="40"/>
        <v>2.2028140202093404E-7</v>
      </c>
      <c r="U98" s="9">
        <f t="shared" si="41"/>
        <v>3.8569720832461506E-5</v>
      </c>
      <c r="V98" s="100">
        <f t="shared" si="46"/>
        <v>5.711252175710284E-3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2.3399169453539823</v>
      </c>
      <c r="K99" s="55">
        <f t="shared" si="35"/>
        <v>0.22619250419191303</v>
      </c>
      <c r="L99" s="55">
        <f t="shared" si="36"/>
        <v>1.7894180149118848E-2</v>
      </c>
      <c r="M99" s="55">
        <f t="shared" si="42"/>
        <v>0.98210581985088119</v>
      </c>
      <c r="N99" s="55">
        <f t="shared" si="37"/>
        <v>1.6288750103774723E-2</v>
      </c>
      <c r="O99" s="56">
        <f t="shared" si="43"/>
        <v>2.2745209008154365E-7</v>
      </c>
      <c r="P99" s="56">
        <f t="shared" si="38"/>
        <v>4.9751579975365495E-5</v>
      </c>
      <c r="Q99" s="56">
        <f t="shared" si="39"/>
        <v>4.7521477176203351E-5</v>
      </c>
      <c r="R99" s="9">
        <f t="shared" si="44"/>
        <v>3.9999999999999996E-5</v>
      </c>
      <c r="S99" s="9">
        <f t="shared" si="45"/>
        <v>7.1576720596475383E-7</v>
      </c>
      <c r="T99" s="9">
        <f t="shared" si="40"/>
        <v>9.0477001676765211E-6</v>
      </c>
      <c r="U99" s="9">
        <f t="shared" si="41"/>
        <v>3.9284232794035241E-5</v>
      </c>
      <c r="V99" s="100">
        <f t="shared" si="46"/>
        <v>0.23031378047047635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3.5581463368984303</v>
      </c>
      <c r="K101" s="55">
        <f t="shared" si="35"/>
        <v>1.2493221292601562E-2</v>
      </c>
      <c r="L101" s="55">
        <f t="shared" si="36"/>
        <v>1.6335687650421364E-2</v>
      </c>
      <c r="M101" s="55">
        <f t="shared" si="42"/>
        <v>0.98366431234957863</v>
      </c>
      <c r="N101" s="55">
        <f t="shared" si="37"/>
        <v>1.4258833065089833E-2</v>
      </c>
      <c r="O101" s="56">
        <f t="shared" si="43"/>
        <v>1.2562791614184115E-8</v>
      </c>
      <c r="P101" s="56">
        <f t="shared" si="38"/>
        <v>4.5418469235236222E-5</v>
      </c>
      <c r="Q101" s="56">
        <f t="shared" si="39"/>
        <v>4.1599312761568752E-5</v>
      </c>
      <c r="R101" s="9">
        <f t="shared" si="44"/>
        <v>3.9999999999999996E-5</v>
      </c>
      <c r="S101" s="9">
        <f t="shared" si="45"/>
        <v>6.5342750601685447E-7</v>
      </c>
      <c r="T101" s="9">
        <f t="shared" si="40"/>
        <v>4.9972885170406247E-7</v>
      </c>
      <c r="U101" s="9">
        <f t="shared" si="41"/>
        <v>3.9346572493983141E-5</v>
      </c>
      <c r="V101" s="100">
        <f t="shared" si="46"/>
        <v>1.2700695893663436E-2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1.902501802940779</v>
      </c>
      <c r="K102" s="55">
        <f t="shared" si="35"/>
        <v>6.984200719931985E-2</v>
      </c>
      <c r="L102" s="55">
        <f t="shared" si="36"/>
        <v>2.0180650740090206E-3</v>
      </c>
      <c r="M102" s="55">
        <f t="shared" si="42"/>
        <v>0.99798193492599097</v>
      </c>
      <c r="N102" s="55">
        <f t="shared" si="37"/>
        <v>2.7620136804257365E-8</v>
      </c>
      <c r="O102" s="56">
        <f t="shared" si="43"/>
        <v>7.023093258429682E-8</v>
      </c>
      <c r="P102" s="56">
        <f t="shared" si="38"/>
        <v>5.6108704108467195E-6</v>
      </c>
      <c r="Q102" s="56">
        <f t="shared" si="39"/>
        <v>8.0580136129841102E-11</v>
      </c>
      <c r="R102" s="9">
        <f t="shared" si="44"/>
        <v>3.9999999999999996E-5</v>
      </c>
      <c r="S102" s="9">
        <f t="shared" si="45"/>
        <v>8.072260296036082E-8</v>
      </c>
      <c r="T102" s="9">
        <f t="shared" si="40"/>
        <v>2.7936802879727938E-6</v>
      </c>
      <c r="U102" s="9">
        <f t="shared" si="41"/>
        <v>3.9919277397039633E-5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2.952415556871657</v>
      </c>
      <c r="K103" s="55">
        <f t="shared" si="35"/>
        <v>6.6475792640756258E-3</v>
      </c>
      <c r="L103" s="55">
        <f t="shared" si="36"/>
        <v>2.1547442602945239E-3</v>
      </c>
      <c r="M103" s="55">
        <f t="shared" si="42"/>
        <v>0.99784525573970551</v>
      </c>
      <c r="N103" s="55">
        <f t="shared" si="37"/>
        <v>4.3840211196846445E-8</v>
      </c>
      <c r="O103" s="56">
        <f t="shared" si="43"/>
        <v>6.6845972769896459E-9</v>
      </c>
      <c r="P103" s="56">
        <f t="shared" si="38"/>
        <v>5.9908825382973269E-6</v>
      </c>
      <c r="Q103" s="56">
        <f t="shared" si="39"/>
        <v>1.2790125592927362E-10</v>
      </c>
      <c r="R103" s="9">
        <f t="shared" si="44"/>
        <v>3.9999999999999996E-5</v>
      </c>
      <c r="S103" s="9">
        <f t="shared" si="45"/>
        <v>8.6189770411780944E-8</v>
      </c>
      <c r="T103" s="9">
        <f t="shared" si="40"/>
        <v>2.65903170563025E-7</v>
      </c>
      <c r="U103" s="9">
        <f t="shared" si="41"/>
        <v>3.9913810229588217E-5</v>
      </c>
      <c r="V103" s="100">
        <f t="shared" si="46"/>
        <v>6.6619340281853182E-3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4.5720981736720114</v>
      </c>
      <c r="K104" s="55">
        <f t="shared" si="35"/>
        <v>1.3487705370485103E-3</v>
      </c>
      <c r="L104" s="55">
        <f t="shared" si="36"/>
        <v>1.8211800969334783E-2</v>
      </c>
      <c r="M104" s="55">
        <f t="shared" si="42"/>
        <v>0.98178819903066517</v>
      </c>
      <c r="N104" s="55">
        <f t="shared" si="37"/>
        <v>1.6119353605017515E-2</v>
      </c>
      <c r="O104" s="56">
        <f t="shared" si="43"/>
        <v>1.3562813621436444E-9</v>
      </c>
      <c r="P104" s="56">
        <f t="shared" si="38"/>
        <v>5.0634668080387903E-5</v>
      </c>
      <c r="Q104" s="56">
        <f t="shared" si="39"/>
        <v>4.7027272783715682E-5</v>
      </c>
      <c r="R104" s="9">
        <f t="shared" si="44"/>
        <v>3.9999999999999996E-5</v>
      </c>
      <c r="S104" s="9">
        <f t="shared" si="45"/>
        <v>7.2847203877339126E-7</v>
      </c>
      <c r="T104" s="9">
        <f t="shared" si="40"/>
        <v>5.3950821481940403E-8</v>
      </c>
      <c r="U104" s="9">
        <f t="shared" si="41"/>
        <v>3.9271527961226601E-5</v>
      </c>
      <c r="V104" s="100">
        <f t="shared" si="46"/>
        <v>1.3737897220400209E-3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4.8787810541389218</v>
      </c>
      <c r="K105" s="55">
        <f t="shared" si="35"/>
        <v>2.9792120895112757E-3</v>
      </c>
      <c r="L105" s="55">
        <f t="shared" si="36"/>
        <v>8.1507791717300521E-2</v>
      </c>
      <c r="M105" s="55">
        <f t="shared" si="42"/>
        <v>0.91849220828269951</v>
      </c>
      <c r="N105" s="55">
        <f t="shared" si="37"/>
        <v>7.9709663090564417E-2</v>
      </c>
      <c r="O105" s="56">
        <f t="shared" si="43"/>
        <v>2.9958022657577069E-9</v>
      </c>
      <c r="P105" s="56">
        <f t="shared" si="38"/>
        <v>2.2661789388760557E-4</v>
      </c>
      <c r="Q105" s="56">
        <f t="shared" si="39"/>
        <v>2.3254828707841192E-4</v>
      </c>
      <c r="R105" s="9">
        <f t="shared" si="44"/>
        <v>3.9999999999999996E-5</v>
      </c>
      <c r="S105" s="9">
        <f t="shared" si="45"/>
        <v>3.2603116686920207E-6</v>
      </c>
      <c r="T105" s="9">
        <f t="shared" si="40"/>
        <v>1.1916848358045102E-7</v>
      </c>
      <c r="U105" s="9">
        <f t="shared" si="41"/>
        <v>3.6739688331307976E-5</v>
      </c>
      <c r="V105" s="100">
        <f t="shared" si="46"/>
        <v>3.2435899430017967E-3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3.0092279600983791</v>
      </c>
      <c r="K106" s="55">
        <f t="shared" si="35"/>
        <v>2.3393301705060158E-2</v>
      </c>
      <c r="L106" s="55">
        <f t="shared" si="36"/>
        <v>8.6424352269395596E-3</v>
      </c>
      <c r="M106" s="55">
        <f t="shared" si="42"/>
        <v>0.99135756477306047</v>
      </c>
      <c r="N106" s="55">
        <f t="shared" si="37"/>
        <v>6.5539190634292463E-3</v>
      </c>
      <c r="O106" s="56">
        <f t="shared" si="43"/>
        <v>2.3523570711298162E-8</v>
      </c>
      <c r="P106" s="56">
        <f t="shared" si="38"/>
        <v>2.4028751459516992E-5</v>
      </c>
      <c r="Q106" s="56">
        <f t="shared" si="39"/>
        <v>1.9120676123287183E-5</v>
      </c>
      <c r="R106" s="9">
        <f t="shared" si="44"/>
        <v>3.9999999999999996E-5</v>
      </c>
      <c r="S106" s="9">
        <f t="shared" si="45"/>
        <v>3.4569740907758234E-7</v>
      </c>
      <c r="T106" s="9">
        <f t="shared" si="40"/>
        <v>9.3573206820240621E-7</v>
      </c>
      <c r="U106" s="9">
        <f t="shared" si="41"/>
        <v>3.9654302590922415E-5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4.1472754470371651</v>
      </c>
      <c r="K108" s="55">
        <f t="shared" si="35"/>
        <v>4.8125443715597103E-3</v>
      </c>
      <c r="L108" s="55">
        <f t="shared" si="36"/>
        <v>2.4432440227340018E-2</v>
      </c>
      <c r="M108" s="55">
        <f t="shared" si="42"/>
        <v>0.97556755977265996</v>
      </c>
      <c r="N108" s="55">
        <f t="shared" si="37"/>
        <v>2.2376095069942929E-2</v>
      </c>
      <c r="O108" s="56">
        <f t="shared" si="43"/>
        <v>4.8393437255228058E-9</v>
      </c>
      <c r="P108" s="56">
        <f t="shared" si="38"/>
        <v>6.7930047302206296E-5</v>
      </c>
      <c r="Q108" s="56">
        <f t="shared" si="39"/>
        <v>6.528095061833085E-5</v>
      </c>
      <c r="R108" s="9">
        <f t="shared" si="44"/>
        <v>3.9999999999999996E-5</v>
      </c>
      <c r="S108" s="9">
        <f t="shared" si="45"/>
        <v>9.7729760909360059E-7</v>
      </c>
      <c r="T108" s="9">
        <f t="shared" si="40"/>
        <v>1.925017748623884E-7</v>
      </c>
      <c r="U108" s="9">
        <f t="shared" si="41"/>
        <v>3.9022702390906397E-5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4.8118195685069374</v>
      </c>
      <c r="K109" s="55">
        <f t="shared" si="35"/>
        <v>2.7684384131228001E-3</v>
      </c>
      <c r="L109" s="55">
        <f t="shared" si="36"/>
        <v>6.4918890117410491E-2</v>
      </c>
      <c r="M109" s="55">
        <f t="shared" si="42"/>
        <v>0.93508110988258952</v>
      </c>
      <c r="N109" s="55">
        <f t="shared" si="37"/>
        <v>6.3044095531340189E-2</v>
      </c>
      <c r="O109" s="56">
        <f t="shared" si="43"/>
        <v>2.7838548654669605E-9</v>
      </c>
      <c r="P109" s="56">
        <f t="shared" si="38"/>
        <v>1.8049540837708378E-4</v>
      </c>
      <c r="Q109" s="56">
        <f t="shared" si="39"/>
        <v>1.839274669818092E-4</v>
      </c>
      <c r="R109" s="9">
        <f t="shared" si="44"/>
        <v>3.9999999999999996E-5</v>
      </c>
      <c r="S109" s="9">
        <f t="shared" si="45"/>
        <v>2.5967556046964192E-6</v>
      </c>
      <c r="T109" s="9">
        <f t="shared" si="40"/>
        <v>1.1073753652491199E-7</v>
      </c>
      <c r="U109" s="9">
        <f t="shared" si="41"/>
        <v>3.7403244395303576E-5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1.838042440311523</v>
      </c>
      <c r="K110" s="55">
        <f t="shared" si="35"/>
        <v>0.1175428730120494</v>
      </c>
      <c r="L110" s="55">
        <f t="shared" si="36"/>
        <v>2.9278942930484127E-3</v>
      </c>
      <c r="M110" s="55">
        <f t="shared" si="42"/>
        <v>0.99707210570695159</v>
      </c>
      <c r="N110" s="55">
        <f t="shared" si="37"/>
        <v>1.0176673788033894E-3</v>
      </c>
      <c r="O110" s="56">
        <f t="shared" si="43"/>
        <v>1.1819742761279339E-7</v>
      </c>
      <c r="P110" s="56">
        <f t="shared" si="38"/>
        <v>8.1404884641885782E-6</v>
      </c>
      <c r="Q110" s="56">
        <f t="shared" si="39"/>
        <v>2.9689851465991161E-6</v>
      </c>
      <c r="R110" s="9">
        <f t="shared" si="44"/>
        <v>3.9999999999999996E-5</v>
      </c>
      <c r="S110" s="9">
        <f t="shared" si="45"/>
        <v>1.171157717219365E-7</v>
      </c>
      <c r="T110" s="9">
        <f t="shared" si="40"/>
        <v>4.7017149204819754E-6</v>
      </c>
      <c r="U110" s="9">
        <f t="shared" si="41"/>
        <v>3.9882884228278063E-5</v>
      </c>
      <c r="V110" s="100">
        <f t="shared" si="46"/>
        <v>0.11788803672198638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3.5413316815104214</v>
      </c>
      <c r="K111" s="55">
        <f t="shared" si="35"/>
        <v>0.14353527085560994</v>
      </c>
      <c r="L111" s="55">
        <f t="shared" si="36"/>
        <v>0.18055393831985703</v>
      </c>
      <c r="M111" s="55">
        <f t="shared" si="42"/>
        <v>0.819446061680143</v>
      </c>
      <c r="N111" s="55">
        <f t="shared" si="37"/>
        <v>0.17951617973162365</v>
      </c>
      <c r="O111" s="56">
        <f t="shared" si="43"/>
        <v>1.4433456790782632E-7</v>
      </c>
      <c r="P111" s="56">
        <f t="shared" si="38"/>
        <v>5.0199805899628824E-4</v>
      </c>
      <c r="Q111" s="56">
        <f t="shared" si="39"/>
        <v>5.2372797074826788E-4</v>
      </c>
      <c r="R111" s="9">
        <f t="shared" si="44"/>
        <v>3.9999999999999996E-5</v>
      </c>
      <c r="S111" s="9">
        <f t="shared" si="45"/>
        <v>7.2221575327942803E-6</v>
      </c>
      <c r="T111" s="9">
        <f t="shared" si="40"/>
        <v>5.7414108342243967E-6</v>
      </c>
      <c r="U111" s="9">
        <f t="shared" si="41"/>
        <v>3.277784246720572E-5</v>
      </c>
      <c r="V111" s="100">
        <f t="shared" si="46"/>
        <v>0.17516134077368539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6.7130505038246406</v>
      </c>
      <c r="K112" s="55">
        <f t="shared" si="35"/>
        <v>1.9221111307089953E-4</v>
      </c>
      <c r="L112" s="55">
        <f t="shared" si="36"/>
        <v>0.35904232594858249</v>
      </c>
      <c r="M112" s="55">
        <f t="shared" si="42"/>
        <v>0.64095767405141757</v>
      </c>
      <c r="N112" s="55">
        <f t="shared" si="37"/>
        <v>0.35851311335599173</v>
      </c>
      <c r="O112" s="56">
        <f t="shared" si="43"/>
        <v>1.9328146863692173E-10</v>
      </c>
      <c r="P112" s="56">
        <f t="shared" si="38"/>
        <v>9.9825322228309899E-4</v>
      </c>
      <c r="Q112" s="56">
        <f t="shared" si="39"/>
        <v>1.0459410713022253E-3</v>
      </c>
      <c r="R112" s="9">
        <f t="shared" si="44"/>
        <v>3.9999999999999996E-5</v>
      </c>
      <c r="S112" s="9">
        <f t="shared" si="45"/>
        <v>1.4361693037943298E-5</v>
      </c>
      <c r="T112" s="9">
        <f t="shared" si="40"/>
        <v>7.6884445228359803E-9</v>
      </c>
      <c r="U112" s="9">
        <f t="shared" si="41"/>
        <v>2.5638306962056699E-5</v>
      </c>
      <c r="V112" s="100">
        <f t="shared" si="46"/>
        <v>2.9988113233118165E-4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7.099350372052486</v>
      </c>
      <c r="K113" s="55">
        <f t="shared" si="35"/>
        <v>8.3746425711261403E-5</v>
      </c>
      <c r="L113" s="55">
        <f t="shared" si="36"/>
        <v>0.38074420649718876</v>
      </c>
      <c r="M113" s="55">
        <f t="shared" si="42"/>
        <v>0.61925579350281124</v>
      </c>
      <c r="N113" s="55">
        <f t="shared" si="37"/>
        <v>0.3803144549187068</v>
      </c>
      <c r="O113" s="56">
        <f t="shared" si="43"/>
        <v>8.4212779874984732E-11</v>
      </c>
      <c r="P113" s="56">
        <f t="shared" si="38"/>
        <v>1.0585914348601631E-3</v>
      </c>
      <c r="Q113" s="56">
        <f t="shared" si="39"/>
        <v>1.1095452121284198E-3</v>
      </c>
      <c r="R113" s="9">
        <f t="shared" si="44"/>
        <v>3.9999999999999996E-5</v>
      </c>
      <c r="S113" s="9">
        <f t="shared" si="45"/>
        <v>1.5229768259887549E-5</v>
      </c>
      <c r="T113" s="9">
        <f t="shared" si="40"/>
        <v>3.3498570284504558E-9</v>
      </c>
      <c r="U113" s="9">
        <f t="shared" si="41"/>
        <v>2.4770231740112446E-5</v>
      </c>
      <c r="V113" s="100">
        <f t="shared" si="46"/>
        <v>1.3523720987340462E-4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7.534683341589246</v>
      </c>
      <c r="K114" s="55">
        <f t="shared" si="35"/>
        <v>3.2253874997212514E-5</v>
      </c>
      <c r="L114" s="55">
        <f t="shared" si="36"/>
        <v>0.39955989586167878</v>
      </c>
      <c r="M114" s="55">
        <f t="shared" si="42"/>
        <v>0.60044010413832116</v>
      </c>
      <c r="N114" s="55">
        <f t="shared" si="37"/>
        <v>0.39921647014509332</v>
      </c>
      <c r="O114" s="56">
        <f t="shared" si="43"/>
        <v>3.2433485395786685E-11</v>
      </c>
      <c r="P114" s="56">
        <f t="shared" si="38"/>
        <v>1.1109051070378264E-3</v>
      </c>
      <c r="Q114" s="56">
        <f t="shared" si="39"/>
        <v>1.1646907376869963E-3</v>
      </c>
      <c r="R114" s="9">
        <f t="shared" si="44"/>
        <v>3.9999999999999996E-5</v>
      </c>
      <c r="S114" s="9">
        <f t="shared" si="45"/>
        <v>1.598239583446715E-5</v>
      </c>
      <c r="T114" s="9">
        <f t="shared" si="40"/>
        <v>1.2901549998885005E-9</v>
      </c>
      <c r="U114" s="9">
        <f t="shared" si="41"/>
        <v>2.4017604165532843E-5</v>
      </c>
      <c r="V114" s="100">
        <f t="shared" si="46"/>
        <v>5.3717056497249405E-5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6.1183405809307043</v>
      </c>
      <c r="K115" s="55">
        <f t="shared" si="35"/>
        <v>8.2111861082527049E-4</v>
      </c>
      <c r="L115" s="55">
        <f t="shared" si="36"/>
        <v>0.38999867160386947</v>
      </c>
      <c r="M115" s="55">
        <f t="shared" si="42"/>
        <v>0.61000132839613053</v>
      </c>
      <c r="N115" s="55">
        <f t="shared" si="37"/>
        <v>0.38961303622967508</v>
      </c>
      <c r="O115" s="56">
        <f t="shared" si="43"/>
        <v>8.2569112935148599E-10</v>
      </c>
      <c r="P115" s="56">
        <f t="shared" si="38"/>
        <v>1.0843218263644038E-3</v>
      </c>
      <c r="Q115" s="56">
        <f t="shared" si="39"/>
        <v>1.1366732800725556E-3</v>
      </c>
      <c r="R115" s="9">
        <f t="shared" si="44"/>
        <v>3.9999999999999996E-5</v>
      </c>
      <c r="S115" s="9">
        <f t="shared" si="45"/>
        <v>1.5599946864154778E-5</v>
      </c>
      <c r="T115" s="9">
        <f t="shared" si="40"/>
        <v>3.2844744433010818E-8</v>
      </c>
      <c r="U115" s="9">
        <f t="shared" si="41"/>
        <v>2.4400053135845218E-5</v>
      </c>
      <c r="V115" s="100">
        <f t="shared" si="46"/>
        <v>1.3460931519349772E-3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-0.59777522240342218</v>
      </c>
      <c r="K116" s="55">
        <f t="shared" si="35"/>
        <v>0.99619771601411788</v>
      </c>
      <c r="L116" s="55">
        <f t="shared" si="36"/>
        <v>9.0967648936455772E-5</v>
      </c>
      <c r="M116" s="55">
        <f t="shared" si="42"/>
        <v>0.99990903235106354</v>
      </c>
      <c r="N116" s="55">
        <f t="shared" si="37"/>
        <v>7.6599183271306784E-5</v>
      </c>
      <c r="O116" s="56">
        <f t="shared" si="43"/>
        <v>1.0017451880263159E-6</v>
      </c>
      <c r="P116" s="56">
        <f t="shared" si="38"/>
        <v>2.5291934156904707E-7</v>
      </c>
      <c r="Q116" s="56">
        <f t="shared" si="39"/>
        <v>2.2347364385556335E-7</v>
      </c>
      <c r="R116" s="9">
        <f t="shared" si="44"/>
        <v>3.9999999999999996E-5</v>
      </c>
      <c r="S116" s="9">
        <f t="shared" si="45"/>
        <v>3.6387059574582307E-9</v>
      </c>
      <c r="T116" s="9">
        <f t="shared" si="40"/>
        <v>3.9847908640564713E-5</v>
      </c>
      <c r="U116" s="9">
        <f t="shared" si="41"/>
        <v>3.9996361294042536E-5</v>
      </c>
      <c r="V116" s="100">
        <f t="shared" si="46"/>
        <v>0.9962883460226184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2.0658109944425873</v>
      </c>
      <c r="K117" s="55">
        <f t="shared" si="35"/>
        <v>0.7088794168502609</v>
      </c>
      <c r="L117" s="55">
        <f t="shared" si="36"/>
        <v>2.9833211837357272E-2</v>
      </c>
      <c r="M117" s="55">
        <f t="shared" si="42"/>
        <v>0.97016678816264268</v>
      </c>
      <c r="N117" s="55">
        <f t="shared" si="37"/>
        <v>2.9331273406652831E-2</v>
      </c>
      <c r="O117" s="56">
        <f t="shared" si="43"/>
        <v>7.1282691508458174E-7</v>
      </c>
      <c r="P117" s="56">
        <f t="shared" si="38"/>
        <v>8.2945930591929863E-5</v>
      </c>
      <c r="Q117" s="56">
        <f t="shared" si="39"/>
        <v>8.5572277238154769E-5</v>
      </c>
      <c r="R117" s="9">
        <f t="shared" si="44"/>
        <v>3.9999999999999996E-5</v>
      </c>
      <c r="S117" s="9">
        <f t="shared" si="45"/>
        <v>1.1933284734942909E-6</v>
      </c>
      <c r="T117" s="9">
        <f t="shared" si="40"/>
        <v>2.8355176674010432E-5</v>
      </c>
      <c r="U117" s="9">
        <f t="shared" si="41"/>
        <v>3.8806671526505702E-5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3.5557716269260013</v>
      </c>
      <c r="K118" s="55">
        <f t="shared" si="35"/>
        <v>0.14015189223608748</v>
      </c>
      <c r="L118" s="55">
        <f t="shared" si="36"/>
        <v>0.18225827008237777</v>
      </c>
      <c r="M118" s="55">
        <f t="shared" si="42"/>
        <v>0.81774172991762217</v>
      </c>
      <c r="N118" s="55">
        <f t="shared" si="37"/>
        <v>0.18122099061247376</v>
      </c>
      <c r="O118" s="56">
        <f t="shared" si="43"/>
        <v>1.4093234845189486E-7</v>
      </c>
      <c r="P118" s="56">
        <f t="shared" si="38"/>
        <v>5.0673664982755259E-4</v>
      </c>
      <c r="Q118" s="56">
        <f t="shared" si="39"/>
        <v>5.2870165693339063E-4</v>
      </c>
      <c r="R118" s="9">
        <f t="shared" si="44"/>
        <v>3.9999999999999996E-5</v>
      </c>
      <c r="S118" s="9">
        <f t="shared" si="45"/>
        <v>7.29033080329511E-6</v>
      </c>
      <c r="T118" s="9">
        <f t="shared" si="40"/>
        <v>5.6060756894434986E-6</v>
      </c>
      <c r="U118" s="9">
        <f t="shared" si="41"/>
        <v>3.2709669196704887E-5</v>
      </c>
      <c r="V118" s="100">
        <f t="shared" si="46"/>
        <v>0.17138894483250369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-1.4766922735183099</v>
      </c>
      <c r="K119" s="55">
        <f t="shared" si="35"/>
        <v>0.99948944515977678</v>
      </c>
      <c r="L119" s="55">
        <f t="shared" si="36"/>
        <v>1.2061535236434823E-5</v>
      </c>
      <c r="M119" s="55">
        <f t="shared" si="42"/>
        <v>0.99998793846476353</v>
      </c>
      <c r="N119" s="55">
        <f t="shared" si="37"/>
        <v>4.4819131782548768E-6</v>
      </c>
      <c r="O119" s="56">
        <f t="shared" si="43"/>
        <v>1.005055247644946E-6</v>
      </c>
      <c r="P119" s="56">
        <f t="shared" si="38"/>
        <v>3.3534949907762347E-8</v>
      </c>
      <c r="Q119" s="56">
        <f t="shared" si="39"/>
        <v>1.3075719956978589E-8</v>
      </c>
      <c r="R119" s="9">
        <f t="shared" si="44"/>
        <v>3.9999999999999996E-5</v>
      </c>
      <c r="S119" s="9">
        <f t="shared" si="45"/>
        <v>4.8246140945739287E-10</v>
      </c>
      <c r="T119" s="9">
        <f t="shared" si="40"/>
        <v>3.9979577806391069E-5</v>
      </c>
      <c r="U119" s="9">
        <f t="shared" si="41"/>
        <v>3.9999517538590536E-5</v>
      </c>
      <c r="V119" s="100">
        <f t="shared" si="46"/>
        <v>0.99950150068234622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-1.7447274539989919</v>
      </c>
      <c r="K120" s="55">
        <f t="shared" si="35"/>
        <v>0.99999348963998258</v>
      </c>
      <c r="L120" s="55">
        <f t="shared" si="36"/>
        <v>6.5100806640255218E-6</v>
      </c>
      <c r="M120" s="55">
        <f t="shared" si="42"/>
        <v>0.99999348991933601</v>
      </c>
      <c r="N120" s="55">
        <f t="shared" si="37"/>
        <v>5.8150937988567722E-15</v>
      </c>
      <c r="O120" s="56">
        <f t="shared" si="43"/>
        <v>1.0055620989702207E-6</v>
      </c>
      <c r="P120" s="56">
        <f t="shared" si="38"/>
        <v>1.8100119485960085E-8</v>
      </c>
      <c r="Q120" s="56">
        <f t="shared" si="39"/>
        <v>1.6965196560773245E-17</v>
      </c>
      <c r="R120" s="9">
        <f t="shared" si="44"/>
        <v>3.9999999999999996E-5</v>
      </c>
      <c r="S120" s="9">
        <f t="shared" si="45"/>
        <v>2.6040322656102087E-10</v>
      </c>
      <c r="T120" s="9">
        <f t="shared" si="40"/>
        <v>3.99997395855993E-5</v>
      </c>
      <c r="U120" s="9">
        <f t="shared" si="41"/>
        <v>3.9999739596773434E-5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0.79708962782648318</v>
      </c>
      <c r="K121" s="55">
        <f t="shared" si="35"/>
        <v>0.95889924712056451</v>
      </c>
      <c r="L121" s="55">
        <f t="shared" si="36"/>
        <v>2.1735981545213737E-3</v>
      </c>
      <c r="M121" s="55">
        <f t="shared" si="42"/>
        <v>0.99782640184547866</v>
      </c>
      <c r="N121" s="55">
        <f t="shared" si="37"/>
        <v>2.0877656292845508E-3</v>
      </c>
      <c r="O121" s="56">
        <f t="shared" si="43"/>
        <v>9.6423901717866402E-7</v>
      </c>
      <c r="P121" s="56">
        <f t="shared" si="38"/>
        <v>6.0433024322884128E-6</v>
      </c>
      <c r="Q121" s="56">
        <f t="shared" si="39"/>
        <v>6.0909342993920708E-6</v>
      </c>
      <c r="R121" s="9">
        <f t="shared" si="44"/>
        <v>3.9999999999999996E-5</v>
      </c>
      <c r="S121" s="9">
        <f t="shared" si="45"/>
        <v>8.6943926180854938E-8</v>
      </c>
      <c r="T121" s="9">
        <f t="shared" si="40"/>
        <v>3.8355969884822575E-5</v>
      </c>
      <c r="U121" s="9">
        <f t="shared" si="41"/>
        <v>3.991305607381914E-5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6.785565125303024</v>
      </c>
      <c r="K122" s="55">
        <f t="shared" si="35"/>
        <v>1.89052687819361E-4</v>
      </c>
      <c r="L122" s="55">
        <f t="shared" si="36"/>
        <v>0.41731561252328248</v>
      </c>
      <c r="M122" s="55">
        <f t="shared" si="42"/>
        <v>0.58268438747671758</v>
      </c>
      <c r="N122" s="55">
        <f t="shared" si="37"/>
        <v>0.41705409575729407</v>
      </c>
      <c r="O122" s="56">
        <f t="shared" si="43"/>
        <v>1.9010545523455339E-10</v>
      </c>
      <c r="P122" s="56">
        <f t="shared" si="38"/>
        <v>1.1602717139540543E-3</v>
      </c>
      <c r="Q122" s="56">
        <f t="shared" si="39"/>
        <v>1.2167309687057914E-3</v>
      </c>
      <c r="R122" s="9">
        <f t="shared" si="44"/>
        <v>3.9999999999999996E-5</v>
      </c>
      <c r="S122" s="9">
        <f t="shared" si="45"/>
        <v>1.6692624500931296E-5</v>
      </c>
      <c r="T122" s="9">
        <f t="shared" si="40"/>
        <v>7.5621075127744394E-9</v>
      </c>
      <c r="U122" s="9">
        <f t="shared" si="41"/>
        <v>2.33073754990687E-5</v>
      </c>
      <c r="V122" s="100">
        <f t="shared" si="46"/>
        <v>3.2445126707108661E-4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1.9552901171232637</v>
      </c>
      <c r="K123" s="55">
        <f t="shared" ref="K123:K127" si="49">IF(D123=0,"",1/(1+10^D123*$J$15/$J$14+10^E123*$J$16/$J$14+10^J123*$J$19/$J$14))</f>
        <v>0.78102674266098882</v>
      </c>
      <c r="L123" s="55">
        <f t="shared" ref="L123:L127" si="50">IF(D123=0,"",1/(1+10^I123/10^J123*$J$13/$J$19))</f>
        <v>2.5484297884031015E-2</v>
      </c>
      <c r="M123" s="55">
        <f t="shared" si="42"/>
        <v>0.97451570211596894</v>
      </c>
      <c r="N123" s="55">
        <f t="shared" ref="N123:N127" si="51">IF(D123=0,"",1/(1/10^E123*$J$20/$J$22+10^D123/10^E123*$J$21/$J$22+10^I123/10^E123*$J$13/$J$22+1))</f>
        <v>2.5119122066545884E-2</v>
      </c>
      <c r="O123" s="56">
        <f t="shared" si="43"/>
        <v>7.8537600378259207E-7</v>
      </c>
      <c r="P123" s="56">
        <f t="shared" ref="P123:P127" si="52">IF(D123=0,"",O123*10^J123)</f>
        <v>7.0854550123428849E-5</v>
      </c>
      <c r="Q123" s="56">
        <f t="shared" ref="Q123:Q127" si="53">IF(D123=0,"",F123*N123*$J$7/$J$22)</f>
        <v>7.3283571690070998E-5</v>
      </c>
      <c r="R123" s="9">
        <f t="shared" si="44"/>
        <v>3.9999999999999996E-5</v>
      </c>
      <c r="S123" s="9">
        <f t="shared" si="45"/>
        <v>1.0193719153612405E-6</v>
      </c>
      <c r="T123" s="9">
        <f t="shared" si="40"/>
        <v>3.1241069706439549E-5</v>
      </c>
      <c r="U123" s="9">
        <f t="shared" si="41"/>
        <v>3.8980628084638752E-5</v>
      </c>
      <c r="V123" s="100">
        <f t="shared" si="46"/>
        <v>0.80145116283415752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1.7297361884216989</v>
      </c>
      <c r="K124" s="55">
        <f t="shared" si="49"/>
        <v>0.6622484891426057</v>
      </c>
      <c r="L124" s="55">
        <f t="shared" si="50"/>
        <v>1.2855051350261494E-2</v>
      </c>
      <c r="M124" s="55">
        <f t="shared" si="42"/>
        <v>0.98714494864973845</v>
      </c>
      <c r="N124" s="55">
        <f t="shared" si="51"/>
        <v>1.2173810243799632E-2</v>
      </c>
      <c r="O124" s="56">
        <f t="shared" si="43"/>
        <v>6.6593631626726364E-7</v>
      </c>
      <c r="P124" s="56">
        <f t="shared" si="52"/>
        <v>3.5741180093766874E-5</v>
      </c>
      <c r="Q124" s="56">
        <f t="shared" si="53"/>
        <v>3.551638044432214E-5</v>
      </c>
      <c r="R124" s="9">
        <f t="shared" si="44"/>
        <v>3.9999999999999996E-5</v>
      </c>
      <c r="S124" s="9">
        <f t="shared" si="45"/>
        <v>5.1420205401045972E-7</v>
      </c>
      <c r="T124" s="9">
        <f t="shared" si="40"/>
        <v>2.6489939565704227E-5</v>
      </c>
      <c r="U124" s="9">
        <f t="shared" si="41"/>
        <v>3.9485797945989536E-5</v>
      </c>
      <c r="V124" s="100">
        <f t="shared" si="46"/>
        <v>0.67087259074613026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0.15519220542192749</v>
      </c>
      <c r="K125" s="55">
        <f t="shared" si="49"/>
        <v>0.98111030658789133</v>
      </c>
      <c r="L125" s="55">
        <f t="shared" si="50"/>
        <v>5.0725541824123556E-4</v>
      </c>
      <c r="M125" s="55">
        <f t="shared" si="42"/>
        <v>0.99949274458175874</v>
      </c>
      <c r="N125" s="55">
        <f t="shared" si="51"/>
        <v>4.6202171712719E-4</v>
      </c>
      <c r="O125" s="56">
        <f t="shared" si="43"/>
        <v>9.8657376216421228E-7</v>
      </c>
      <c r="P125" s="56">
        <f t="shared" si="52"/>
        <v>1.4103333205689798E-6</v>
      </c>
      <c r="Q125" s="56">
        <f t="shared" si="53"/>
        <v>1.3479213779749751E-6</v>
      </c>
      <c r="R125" s="9">
        <f t="shared" si="44"/>
        <v>3.9999999999999996E-5</v>
      </c>
      <c r="S125" s="9">
        <f t="shared" si="45"/>
        <v>2.0290216729649422E-8</v>
      </c>
      <c r="T125" s="9">
        <f t="shared" si="40"/>
        <v>3.9244412263515649E-5</v>
      </c>
      <c r="U125" s="9">
        <f t="shared" si="41"/>
        <v>3.9979709783270344E-5</v>
      </c>
      <c r="V125" s="100">
        <f t="shared" si="46"/>
        <v>0.98160823268250974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5.6647787636009141</v>
      </c>
      <c r="K126" s="55">
        <f t="shared" si="49"/>
        <v>2.1891973965448988E-3</v>
      </c>
      <c r="L126" s="55">
        <f t="shared" si="50"/>
        <v>0.36591510520358289</v>
      </c>
      <c r="M126" s="55">
        <f t="shared" si="42"/>
        <v>0.63408489479641705</v>
      </c>
      <c r="N126" s="55">
        <f t="shared" si="51"/>
        <v>0.36542180407711006</v>
      </c>
      <c r="O126" s="56">
        <f t="shared" si="43"/>
        <v>2.2013882609599482E-9</v>
      </c>
      <c r="P126" s="56">
        <f t="shared" si="52"/>
        <v>1.0173617605848673E-3</v>
      </c>
      <c r="Q126" s="56">
        <f t="shared" si="53"/>
        <v>1.066096773018405E-3</v>
      </c>
      <c r="R126" s="9">
        <f t="shared" si="44"/>
        <v>3.9999999999999996E-5</v>
      </c>
      <c r="S126" s="9">
        <f t="shared" si="45"/>
        <v>1.4636604208143314E-5</v>
      </c>
      <c r="T126" s="9">
        <f t="shared" si="40"/>
        <v>8.7567895861795947E-8</v>
      </c>
      <c r="U126" s="9">
        <f t="shared" si="41"/>
        <v>2.536339579185668E-5</v>
      </c>
      <c r="V126" s="100">
        <f t="shared" si="46"/>
        <v>3.4525304332439196E-3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3.3642190440491762</v>
      </c>
      <c r="K127" s="55">
        <f t="shared" si="49"/>
        <v>0.19043156845134446</v>
      </c>
      <c r="L127" s="55">
        <f t="shared" si="50"/>
        <v>0.15932159283325206</v>
      </c>
      <c r="M127" s="55">
        <f t="shared" si="42"/>
        <v>0.84067840716674791</v>
      </c>
      <c r="N127" s="55">
        <f t="shared" si="51"/>
        <v>0.15828817751745355</v>
      </c>
      <c r="O127" s="56">
        <f t="shared" si="43"/>
        <v>1.914920143640792E-7</v>
      </c>
      <c r="P127" s="56">
        <f t="shared" si="52"/>
        <v>4.4296530500932056E-4</v>
      </c>
      <c r="Q127" s="56">
        <f t="shared" si="53"/>
        <v>4.6179651398883825E-4</v>
      </c>
      <c r="R127" s="9">
        <f t="shared" si="44"/>
        <v>3.9999999999999996E-5</v>
      </c>
      <c r="S127" s="9">
        <f t="shared" si="45"/>
        <v>6.3728637133300824E-6</v>
      </c>
      <c r="T127" s="9">
        <f t="shared" si="40"/>
        <v>7.6172627380537773E-6</v>
      </c>
      <c r="U127" s="9">
        <f t="shared" si="41"/>
        <v>3.3627136286669912E-5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4.2948093083985448</v>
      </c>
      <c r="K128" s="55">
        <f t="shared" ref="K128:K134" si="56">IF(D128=0,"",1/(1+10^D128*$J$15/$J$14+10^E128*$J$16/$J$14+10^J128*$J$19/$J$14))</f>
        <v>2.8459056736922072E-2</v>
      </c>
      <c r="L128" s="55">
        <f t="shared" ref="L128:L134" si="57">IF(D128=0,"",1/(1+10^I128/10^J128*$J$13/$J$19))</f>
        <v>0.20293009612601406</v>
      </c>
      <c r="M128" s="55">
        <f t="shared" ref="M128:M134" si="58">IF(D128=0,"",1-L128)</f>
        <v>0.79706990387398591</v>
      </c>
      <c r="N128" s="55">
        <f t="shared" ref="N128:N134" si="59">IF(D128=0,"",1/(1/10^E128*$J$20/$J$22+10^D128/10^E128*$J$21/$J$22+10^I128/10^E128*$J$13/$J$22+1))</f>
        <v>0.20174512693591531</v>
      </c>
      <c r="O128" s="56">
        <f t="shared" ref="O128:O134" si="60">IF(D128=0,"",F128*K128*$J$7/$J$14)</f>
        <v>2.8617535137548518E-8</v>
      </c>
      <c r="P128" s="56">
        <f t="shared" ref="P128:P134" si="61">IF(D128=0,"",O128*10^J128)</f>
        <v>5.6421097936242449E-4</v>
      </c>
      <c r="Q128" s="56">
        <f t="shared" ref="Q128:Q134" si="62">IF(D128=0,"",F128*N128*$J$7/$J$22)</f>
        <v>5.8857962606189307E-4</v>
      </c>
      <c r="R128" s="9">
        <f t="shared" si="44"/>
        <v>3.9999999999999996E-5</v>
      </c>
      <c r="S128" s="9">
        <f t="shared" si="45"/>
        <v>8.1172038450405621E-6</v>
      </c>
      <c r="T128" s="9">
        <f t="shared" si="40"/>
        <v>1.1383622694768827E-6</v>
      </c>
      <c r="U128" s="9">
        <f t="shared" si="41"/>
        <v>3.1882796154959434E-5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-1.6080414735763353</v>
      </c>
      <c r="K129" s="55">
        <f t="shared" si="56"/>
        <v>0.99972562095690565</v>
      </c>
      <c r="L129" s="55">
        <f t="shared" si="57"/>
        <v>8.9157113584378143E-6</v>
      </c>
      <c r="M129" s="55">
        <f t="shared" si="58"/>
        <v>0.99999108428864159</v>
      </c>
      <c r="N129" s="55">
        <f t="shared" si="59"/>
        <v>1.8347331677146158E-6</v>
      </c>
      <c r="O129" s="56">
        <f t="shared" si="60"/>
        <v>1.0052927386213845E-6</v>
      </c>
      <c r="P129" s="56">
        <f t="shared" si="61"/>
        <v>2.4788547057767031E-8</v>
      </c>
      <c r="Q129" s="56">
        <f t="shared" si="62"/>
        <v>5.3527268696797267E-9</v>
      </c>
      <c r="R129" s="9">
        <f t="shared" si="44"/>
        <v>3.9999999999999996E-5</v>
      </c>
      <c r="S129" s="9">
        <f t="shared" si="45"/>
        <v>3.5662845433751253E-10</v>
      </c>
      <c r="T129" s="9">
        <f t="shared" si="40"/>
        <v>3.9989024838276224E-5</v>
      </c>
      <c r="U129" s="9">
        <f t="shared" si="41"/>
        <v>3.9999643371545663E-5</v>
      </c>
      <c r="V129" s="100">
        <f t="shared" si="46"/>
        <v>0.99973453430144854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2.5767035240547713</v>
      </c>
      <c r="K130" s="55">
        <f t="shared" si="56"/>
        <v>0.50487788701598091</v>
      </c>
      <c r="L130" s="55">
        <f t="shared" si="57"/>
        <v>6.8897985665160685E-2</v>
      </c>
      <c r="M130" s="55">
        <f t="shared" si="58"/>
        <v>0.9311020143348393</v>
      </c>
      <c r="N130" s="55">
        <f t="shared" si="59"/>
        <v>6.8132311157189901E-2</v>
      </c>
      <c r="O130" s="56">
        <f t="shared" si="60"/>
        <v>5.0768937303203523E-7</v>
      </c>
      <c r="P130" s="56">
        <f t="shared" si="61"/>
        <v>1.9155857465370492E-4</v>
      </c>
      <c r="Q130" s="56">
        <f t="shared" si="62"/>
        <v>1.9877203892200885E-4</v>
      </c>
      <c r="R130" s="9">
        <f t="shared" si="44"/>
        <v>3.9999999999999996E-5</v>
      </c>
      <c r="S130" s="9">
        <f t="shared" si="45"/>
        <v>2.755919426606427E-6</v>
      </c>
      <c r="T130" s="9">
        <f t="shared" si="40"/>
        <v>2.0195115480639234E-5</v>
      </c>
      <c r="U130" s="9">
        <f t="shared" si="41"/>
        <v>3.724408057339357E-5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0.25818722147322465</v>
      </c>
      <c r="K131" s="55">
        <f t="shared" si="56"/>
        <v>0.98325228692585931</v>
      </c>
      <c r="L131" s="55">
        <f t="shared" si="57"/>
        <v>6.4441974375331894E-4</v>
      </c>
      <c r="M131" s="55">
        <f t="shared" si="58"/>
        <v>0.99935558025624671</v>
      </c>
      <c r="N131" s="55">
        <f t="shared" si="59"/>
        <v>6.0446964925042919E-4</v>
      </c>
      <c r="O131" s="56">
        <f t="shared" si="60"/>
        <v>9.8872767043153042E-7</v>
      </c>
      <c r="P131" s="56">
        <f t="shared" si="61"/>
        <v>1.7916942912093424E-6</v>
      </c>
      <c r="Q131" s="56">
        <f t="shared" si="62"/>
        <v>1.7635049010853924E-6</v>
      </c>
      <c r="R131" s="9">
        <f t="shared" si="44"/>
        <v>3.9999999999999996E-5</v>
      </c>
      <c r="S131" s="9">
        <f t="shared" si="45"/>
        <v>2.5776789750132754E-8</v>
      </c>
      <c r="T131" s="9">
        <f t="shared" si="40"/>
        <v>3.9330091477034367E-5</v>
      </c>
      <c r="U131" s="9">
        <f t="shared" si="41"/>
        <v>3.9974223210249865E-5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0.83124855585318191</v>
      </c>
      <c r="K132" s="55">
        <f t="shared" si="56"/>
        <v>0.95652645214069043</v>
      </c>
      <c r="L132" s="55">
        <f t="shared" si="57"/>
        <v>2.3456444975584745E-3</v>
      </c>
      <c r="M132" s="55">
        <f t="shared" si="58"/>
        <v>0.99765435550244153</v>
      </c>
      <c r="N132" s="55">
        <f t="shared" si="59"/>
        <v>2.255447405771791E-3</v>
      </c>
      <c r="O132" s="56">
        <f t="shared" si="60"/>
        <v>9.6185300894450321E-7</v>
      </c>
      <c r="P132" s="56">
        <f t="shared" si="61"/>
        <v>6.5216466382676391E-6</v>
      </c>
      <c r="Q132" s="56">
        <f t="shared" si="62"/>
        <v>6.5801360897956831E-6</v>
      </c>
      <c r="R132" s="9">
        <f t="shared" si="44"/>
        <v>3.9999999999999996E-5</v>
      </c>
      <c r="S132" s="9">
        <f t="shared" si="45"/>
        <v>9.3825779902338972E-8</v>
      </c>
      <c r="T132" s="9">
        <f t="shared" si="40"/>
        <v>3.8261058085627615E-5</v>
      </c>
      <c r="U132" s="9">
        <f t="shared" si="41"/>
        <v>3.9906174220097659E-5</v>
      </c>
      <c r="V132" s="100">
        <f t="shared" si="46"/>
        <v>0.95877539837829096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3.6224301301033548</v>
      </c>
      <c r="K133" s="55">
        <f t="shared" si="56"/>
        <v>0.12535668392923241</v>
      </c>
      <c r="L133" s="55">
        <f t="shared" si="57"/>
        <v>0.19006155427587351</v>
      </c>
      <c r="M133" s="55">
        <f t="shared" si="58"/>
        <v>0.80993844572412654</v>
      </c>
      <c r="N133" s="55">
        <f t="shared" si="59"/>
        <v>0.18902797963625731</v>
      </c>
      <c r="O133" s="56">
        <f t="shared" si="60"/>
        <v>1.2605475087363557E-7</v>
      </c>
      <c r="P133" s="56">
        <f t="shared" si="61"/>
        <v>5.2843229133713748E-4</v>
      </c>
      <c r="Q133" s="56">
        <f t="shared" si="62"/>
        <v>5.5147809148760633E-4</v>
      </c>
      <c r="R133" s="9">
        <f t="shared" si="44"/>
        <v>3.9999999999999996E-5</v>
      </c>
      <c r="S133" s="9">
        <f t="shared" si="45"/>
        <v>7.6024621710349398E-6</v>
      </c>
      <c r="T133" s="9">
        <f t="shared" si="40"/>
        <v>5.0142673571692961E-6</v>
      </c>
      <c r="U133" s="9">
        <f t="shared" si="41"/>
        <v>3.2397537828965061E-5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-1.7101422464788028</v>
      </c>
      <c r="K134" s="55">
        <f t="shared" si="56"/>
        <v>0.99990902885920019</v>
      </c>
      <c r="L134" s="55">
        <f t="shared" si="57"/>
        <v>7.0491198517519358E-6</v>
      </c>
      <c r="M134" s="55">
        <f t="shared" si="58"/>
        <v>0.99999295088014828</v>
      </c>
      <c r="N134" s="55">
        <f t="shared" si="59"/>
        <v>3.5802315997646487E-7</v>
      </c>
      <c r="O134" s="56">
        <f t="shared" si="60"/>
        <v>1.0054771678572846E-6</v>
      </c>
      <c r="P134" s="56">
        <f t="shared" si="61"/>
        <v>1.9598821915160077E-8</v>
      </c>
      <c r="Q134" s="56">
        <f t="shared" si="62"/>
        <v>1.0445116609303887E-9</v>
      </c>
      <c r="R134" s="9">
        <f t="shared" si="44"/>
        <v>3.9999999999999996E-5</v>
      </c>
      <c r="S134" s="9">
        <f t="shared" si="45"/>
        <v>2.8196479407007739E-10</v>
      </c>
      <c r="T134" s="9">
        <f t="shared" si="40"/>
        <v>3.9996361154368003E-5</v>
      </c>
      <c r="U134" s="9">
        <f t="shared" si="41"/>
        <v>3.9999718035205927E-5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1.13192536142415</v>
      </c>
      <c r="K135" s="55">
        <f t="shared" ref="K135:K143" si="65">IF(D135=0,"",1/(1+10^D135*$J$15/$J$14+10^E135*$J$16/$J$14+10^J135*$J$19/$J$14))</f>
        <v>0.92915947147327982</v>
      </c>
      <c r="L135" s="55">
        <f t="shared" ref="L135:L143" si="66">IF(D135=0,"",1/(1+10^I135/10^J135*$J$13/$J$19))</f>
        <v>4.5533629653871132E-3</v>
      </c>
      <c r="M135" s="55">
        <f t="shared" ref="M135:M143" si="67">IF(D135=0,"",1-L135)</f>
        <v>0.99544663703461289</v>
      </c>
      <c r="N135" s="55">
        <f t="shared" ref="N135:N143" si="68">IF(D135=0,"",1/(1/10^E135*$J$20/$J$22+10^D135/10^E135*$J$21/$J$22+10^I135/10^E135*$J$13/$J$22+1))</f>
        <v>4.4138527675896587E-3</v>
      </c>
      <c r="O135" s="56">
        <f t="shared" ref="O135:O143" si="69">IF(D135=0,"",F135*K135*$J$7/$J$14)</f>
        <v>9.3433363126104816E-7</v>
      </c>
      <c r="P135" s="56">
        <f t="shared" ref="P135:P143" si="70">IF(D135=0,"",O135*10^J135)</f>
        <v>1.2659814523018513E-5</v>
      </c>
      <c r="Q135" s="56">
        <f t="shared" ref="Q135:Q143" si="71">IF(D135=0,"",F135*N135*$J$7/$J$22)</f>
        <v>1.2877157683542968E-5</v>
      </c>
      <c r="R135" s="9">
        <f t="shared" si="44"/>
        <v>3.9999999999999996E-5</v>
      </c>
      <c r="S135" s="9">
        <f t="shared" si="45"/>
        <v>1.8213451861548451E-7</v>
      </c>
      <c r="T135" s="9">
        <f t="shared" si="40"/>
        <v>3.7166378858931189E-5</v>
      </c>
      <c r="U135" s="9">
        <f t="shared" si="41"/>
        <v>3.9817865481384512E-5</v>
      </c>
      <c r="V135" s="100">
        <f t="shared" si="46"/>
        <v>0.93340962428804897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-0.6521994207584626</v>
      </c>
      <c r="K136" s="55">
        <f t="shared" si="65"/>
        <v>0.99655712651492812</v>
      </c>
      <c r="L136" s="55">
        <f t="shared" si="66"/>
        <v>8.0282230417262163E-5</v>
      </c>
      <c r="M136" s="55">
        <f t="shared" si="67"/>
        <v>0.99991971776958277</v>
      </c>
      <c r="N136" s="55">
        <f t="shared" si="68"/>
        <v>6.6645501616105542E-5</v>
      </c>
      <c r="O136" s="56">
        <f t="shared" si="69"/>
        <v>1.0021065999568245E-6</v>
      </c>
      <c r="P136" s="56">
        <f t="shared" si="70"/>
        <v>2.2321043903214652E-7</v>
      </c>
      <c r="Q136" s="56">
        <f t="shared" si="71"/>
        <v>1.9443435891452761E-7</v>
      </c>
      <c r="R136" s="9">
        <f t="shared" si="44"/>
        <v>3.9999999999999996E-5</v>
      </c>
      <c r="S136" s="9">
        <f t="shared" si="45"/>
        <v>3.2112892166904862E-9</v>
      </c>
      <c r="T136" s="9">
        <f t="shared" si="40"/>
        <v>3.9862285060597122E-5</v>
      </c>
      <c r="U136" s="9">
        <f t="shared" si="41"/>
        <v>3.999678871078331E-5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-1.742402163853854</v>
      </c>
      <c r="K137" s="55">
        <f t="shared" si="65"/>
        <v>0.99998436408964109</v>
      </c>
      <c r="L137" s="55">
        <f t="shared" si="66"/>
        <v>6.5449705498103376E-6</v>
      </c>
      <c r="M137" s="55">
        <f t="shared" si="67"/>
        <v>0.99999345502945014</v>
      </c>
      <c r="N137" s="55">
        <f t="shared" si="68"/>
        <v>1.5224775476502282E-8</v>
      </c>
      <c r="O137" s="56">
        <f t="shared" si="69"/>
        <v>1.0055529226029236E-6</v>
      </c>
      <c r="P137" s="56">
        <f t="shared" si="70"/>
        <v>1.8197124597593554E-8</v>
      </c>
      <c r="Q137" s="56">
        <f t="shared" si="71"/>
        <v>4.4417393336506548E-11</v>
      </c>
      <c r="R137" s="9">
        <f t="shared" si="44"/>
        <v>3.9999999999999996E-5</v>
      </c>
      <c r="S137" s="9">
        <f t="shared" si="45"/>
        <v>2.6179882199241348E-10</v>
      </c>
      <c r="T137" s="9">
        <f t="shared" si="40"/>
        <v>3.9999374563585641E-5</v>
      </c>
      <c r="U137" s="9">
        <f t="shared" si="41"/>
        <v>3.9999738201178002E-5</v>
      </c>
      <c r="V137" s="100">
        <f t="shared" si="46"/>
        <v>0.99999090900069065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-0.71582896186790201</v>
      </c>
      <c r="K138" s="55">
        <f t="shared" si="65"/>
        <v>0.99693903336957823</v>
      </c>
      <c r="L138" s="55">
        <f t="shared" si="66"/>
        <v>6.936753942934863E-5</v>
      </c>
      <c r="M138" s="55">
        <f t="shared" si="67"/>
        <v>0.99993063246057068</v>
      </c>
      <c r="N138" s="55">
        <f t="shared" si="68"/>
        <v>5.6510367905364613E-5</v>
      </c>
      <c r="O138" s="56">
        <f t="shared" si="69"/>
        <v>1.0024906335153945E-6</v>
      </c>
      <c r="P138" s="56">
        <f t="shared" si="70"/>
        <v>1.9286408524189921E-7</v>
      </c>
      <c r="Q138" s="56">
        <f t="shared" si="71"/>
        <v>1.6486569819812736E-7</v>
      </c>
      <c r="R138" s="9">
        <f t="shared" si="44"/>
        <v>3.9999999999999996E-5</v>
      </c>
      <c r="S138" s="9">
        <f t="shared" si="45"/>
        <v>2.7747015771739448E-9</v>
      </c>
      <c r="T138" s="9">
        <f t="shared" si="40"/>
        <v>3.9877561334783124E-5</v>
      </c>
      <c r="U138" s="9">
        <f t="shared" si="41"/>
        <v>3.9997225298422825E-5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0.78412765153631614</v>
      </c>
      <c r="K139" s="55">
        <f t="shared" si="65"/>
        <v>0.94667555838477568</v>
      </c>
      <c r="L139" s="55">
        <f t="shared" si="66"/>
        <v>2.0827899202968416E-3</v>
      </c>
      <c r="M139" s="55">
        <f t="shared" si="67"/>
        <v>0.99791721007970313</v>
      </c>
      <c r="N139" s="55">
        <f t="shared" si="68"/>
        <v>1.9699840791611799E-3</v>
      </c>
      <c r="O139" s="56">
        <f t="shared" si="69"/>
        <v>9.5194725905257487E-7</v>
      </c>
      <c r="P139" s="56">
        <f t="shared" si="70"/>
        <v>5.7908263149254174E-6</v>
      </c>
      <c r="Q139" s="56">
        <f t="shared" si="71"/>
        <v>5.7473135052668943E-6</v>
      </c>
      <c r="R139" s="9">
        <f t="shared" si="44"/>
        <v>3.9999999999999996E-5</v>
      </c>
      <c r="S139" s="9">
        <f t="shared" si="45"/>
        <v>8.3311596811873657E-8</v>
      </c>
      <c r="T139" s="9">
        <f t="shared" si="40"/>
        <v>3.7867022335391026E-5</v>
      </c>
      <c r="U139" s="9">
        <f t="shared" si="41"/>
        <v>3.9916688403188121E-5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-1.7177929468599606</v>
      </c>
      <c r="K140" s="55">
        <f t="shared" si="65"/>
        <v>0.99992458740241841</v>
      </c>
      <c r="L140" s="55">
        <f t="shared" si="66"/>
        <v>6.9261349926310357E-6</v>
      </c>
      <c r="M140" s="55">
        <f t="shared" si="67"/>
        <v>0.99999307386500735</v>
      </c>
      <c r="N140" s="55">
        <f t="shared" si="68"/>
        <v>2.6827449111725757E-7</v>
      </c>
      <c r="O140" s="56">
        <f t="shared" si="69"/>
        <v>1.0054928130405157E-6</v>
      </c>
      <c r="P140" s="56">
        <f t="shared" si="70"/>
        <v>1.9256884424684225E-8</v>
      </c>
      <c r="Q140" s="56">
        <f t="shared" si="71"/>
        <v>7.8267516079284339E-10</v>
      </c>
      <c r="R140" s="9">
        <f t="shared" si="44"/>
        <v>3.9999999999999996E-5</v>
      </c>
      <c r="S140" s="9">
        <f t="shared" si="45"/>
        <v>2.770453997052414E-10</v>
      </c>
      <c r="T140" s="9">
        <f t="shared" si="40"/>
        <v>3.9996983496096732E-5</v>
      </c>
      <c r="U140" s="9">
        <f t="shared" si="41"/>
        <v>3.9999722954600293E-5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-1.6630084738032636</v>
      </c>
      <c r="K141" s="55">
        <f t="shared" si="65"/>
        <v>0.99982162649150697</v>
      </c>
      <c r="L141" s="55">
        <f t="shared" si="66"/>
        <v>7.8565287458753701E-6</v>
      </c>
      <c r="M141" s="55">
        <f t="shared" si="67"/>
        <v>0.99999214347125409</v>
      </c>
      <c r="N141" s="55">
        <f t="shared" si="68"/>
        <v>9.7925824644735583E-7</v>
      </c>
      <c r="O141" s="56">
        <f t="shared" si="69"/>
        <v>1.0053892787767824E-6</v>
      </c>
      <c r="P141" s="56">
        <f t="shared" si="70"/>
        <v>2.1843678501718E-8</v>
      </c>
      <c r="Q141" s="56">
        <f t="shared" si="71"/>
        <v>2.8569287460167262E-9</v>
      </c>
      <c r="R141" s="9">
        <f t="shared" si="44"/>
        <v>3.9999999999999996E-5</v>
      </c>
      <c r="S141" s="9">
        <f t="shared" si="45"/>
        <v>3.1426114983501476E-10</v>
      </c>
      <c r="T141" s="9">
        <f t="shared" si="40"/>
        <v>3.9992865059660277E-5</v>
      </c>
      <c r="U141" s="9">
        <f t="shared" si="41"/>
        <v>3.9999685738850158E-5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2.8031484090593466</v>
      </c>
      <c r="K142" s="55">
        <f t="shared" si="65"/>
        <v>0.40233112530963827</v>
      </c>
      <c r="L142" s="55">
        <f t="shared" si="66"/>
        <v>9.2480185501952181E-2</v>
      </c>
      <c r="M142" s="55">
        <f t="shared" si="67"/>
        <v>0.90751981449804786</v>
      </c>
      <c r="N142" s="55">
        <f t="shared" si="68"/>
        <v>9.1600061276654765E-2</v>
      </c>
      <c r="O142" s="56">
        <f t="shared" si="69"/>
        <v>4.045715647539502E-7</v>
      </c>
      <c r="P142" s="56">
        <f t="shared" si="70"/>
        <v>2.5712468002416834E-4</v>
      </c>
      <c r="Q142" s="56">
        <f t="shared" si="71"/>
        <v>2.6723782939543219E-4</v>
      </c>
      <c r="R142" s="9">
        <f t="shared" si="44"/>
        <v>3.9999999999999996E-5</v>
      </c>
      <c r="S142" s="9">
        <f t="shared" si="45"/>
        <v>3.699207420078087E-6</v>
      </c>
      <c r="T142" s="9">
        <f t="shared" si="40"/>
        <v>1.6093245012385529E-5</v>
      </c>
      <c r="U142" s="9">
        <f t="shared" si="41"/>
        <v>3.6300792579921908E-5</v>
      </c>
      <c r="V142" s="100">
        <f t="shared" si="46"/>
        <v>0.44333040323992146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2.6860520244668198</v>
      </c>
      <c r="K143" s="55">
        <f t="shared" si="65"/>
        <v>6.5565279026646994E-2</v>
      </c>
      <c r="L143" s="55">
        <f t="shared" si="66"/>
        <v>1.150913248685588E-2</v>
      </c>
      <c r="M143" s="55">
        <f t="shared" si="67"/>
        <v>0.98849086751314408</v>
      </c>
      <c r="N143" s="55">
        <f t="shared" si="68"/>
        <v>9.5254049592651893E-3</v>
      </c>
      <c r="O143" s="56">
        <f t="shared" si="69"/>
        <v>6.5930388828170701E-8</v>
      </c>
      <c r="P143" s="56">
        <f t="shared" si="70"/>
        <v>3.1999092475610485E-5</v>
      </c>
      <c r="Q143" s="56">
        <f t="shared" si="71"/>
        <v>2.7789812691700395E-5</v>
      </c>
      <c r="R143" s="9">
        <f t="shared" si="44"/>
        <v>3.9999999999999996E-5</v>
      </c>
      <c r="S143" s="9">
        <f t="shared" si="45"/>
        <v>4.603652994742352E-7</v>
      </c>
      <c r="T143" s="9">
        <f t="shared" si="40"/>
        <v>2.6226111610658795E-6</v>
      </c>
      <c r="U143" s="9">
        <f t="shared" si="41"/>
        <v>3.9539634700525761E-5</v>
      </c>
      <c r="V143" s="100">
        <f t="shared" si="46"/>
        <v>6.6328664413053032E-2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2025-02-02T17:33:15Z</dcterms:modified>
</cp:coreProperties>
</file>