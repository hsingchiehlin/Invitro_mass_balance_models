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384well_1um\"/>
    </mc:Choice>
  </mc:AlternateContent>
  <xr:revisionPtr revIDLastSave="0" documentId="13_ncr:1_{D5423628-2FA7-406E-B14D-2D1B3DC55EAD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T143" i="4"/>
  <c r="S143" i="4"/>
  <c r="R143" i="4"/>
  <c r="U143" i="4" s="1"/>
  <c r="V142" i="4"/>
  <c r="U142" i="4"/>
  <c r="R142" i="4"/>
  <c r="T142" i="4" s="1"/>
  <c r="V141" i="4"/>
  <c r="U141" i="4"/>
  <c r="T141" i="4"/>
  <c r="R141" i="4"/>
  <c r="S141" i="4" s="1"/>
  <c r="V140" i="4"/>
  <c r="R140" i="4"/>
  <c r="U140" i="4" s="1"/>
  <c r="V139" i="4"/>
  <c r="R139" i="4"/>
  <c r="T139" i="4" s="1"/>
  <c r="V138" i="4"/>
  <c r="U138" i="4"/>
  <c r="R138" i="4"/>
  <c r="T138" i="4" s="1"/>
  <c r="V137" i="4"/>
  <c r="R137" i="4"/>
  <c r="U137" i="4" s="1"/>
  <c r="V136" i="4"/>
  <c r="U136" i="4"/>
  <c r="S136" i="4"/>
  <c r="R136" i="4"/>
  <c r="T136" i="4" s="1"/>
  <c r="V135" i="4"/>
  <c r="R135" i="4"/>
  <c r="T135" i="4" s="1"/>
  <c r="V134" i="4"/>
  <c r="U134" i="4"/>
  <c r="T134" i="4"/>
  <c r="S134" i="4"/>
  <c r="R134" i="4"/>
  <c r="V133" i="4"/>
  <c r="R133" i="4"/>
  <c r="U133" i="4" s="1"/>
  <c r="V132" i="4"/>
  <c r="R132" i="4"/>
  <c r="S132" i="4" s="1"/>
  <c r="V131" i="4"/>
  <c r="T131" i="4"/>
  <c r="S131" i="4"/>
  <c r="R131" i="4"/>
  <c r="U131" i="4" s="1"/>
  <c r="V130" i="4"/>
  <c r="R130" i="4"/>
  <c r="U130" i="4" s="1"/>
  <c r="V129" i="4"/>
  <c r="U129" i="4"/>
  <c r="T129" i="4"/>
  <c r="R129" i="4"/>
  <c r="S129" i="4" s="1"/>
  <c r="V128" i="4"/>
  <c r="R128" i="4"/>
  <c r="S128" i="4" s="1"/>
  <c r="V127" i="4"/>
  <c r="R127" i="4"/>
  <c r="T127" i="4" s="1"/>
  <c r="V126" i="4"/>
  <c r="U126" i="4"/>
  <c r="R126" i="4"/>
  <c r="T126" i="4" s="1"/>
  <c r="V125" i="4"/>
  <c r="R125" i="4"/>
  <c r="U125" i="4" s="1"/>
  <c r="V124" i="4"/>
  <c r="U124" i="4"/>
  <c r="S124" i="4"/>
  <c r="R124" i="4"/>
  <c r="T124" i="4" s="1"/>
  <c r="V123" i="4"/>
  <c r="R123" i="4"/>
  <c r="T123" i="4" s="1"/>
  <c r="V122" i="4"/>
  <c r="U122" i="4"/>
  <c r="T122" i="4"/>
  <c r="S122" i="4"/>
  <c r="R122" i="4"/>
  <c r="V121" i="4"/>
  <c r="R121" i="4"/>
  <c r="U121" i="4" s="1"/>
  <c r="V120" i="4"/>
  <c r="R120" i="4"/>
  <c r="S120" i="4" s="1"/>
  <c r="V119" i="4"/>
  <c r="T119" i="4"/>
  <c r="S119" i="4"/>
  <c r="R119" i="4"/>
  <c r="U119" i="4" s="1"/>
  <c r="V118" i="4"/>
  <c r="R118" i="4"/>
  <c r="U118" i="4" s="1"/>
  <c r="V117" i="4"/>
  <c r="U117" i="4"/>
  <c r="T117" i="4"/>
  <c r="R117" i="4"/>
  <c r="S117" i="4" s="1"/>
  <c r="V116" i="4"/>
  <c r="R116" i="4"/>
  <c r="S116" i="4" s="1"/>
  <c r="V115" i="4"/>
  <c r="R115" i="4"/>
  <c r="T115" i="4" s="1"/>
  <c r="V114" i="4"/>
  <c r="U114" i="4"/>
  <c r="R114" i="4"/>
  <c r="T114" i="4" s="1"/>
  <c r="V113" i="4"/>
  <c r="R113" i="4"/>
  <c r="U113" i="4" s="1"/>
  <c r="V112" i="4"/>
  <c r="U112" i="4"/>
  <c r="S112" i="4"/>
  <c r="R112" i="4"/>
  <c r="T112" i="4" s="1"/>
  <c r="V111" i="4"/>
  <c r="R111" i="4"/>
  <c r="T111" i="4" s="1"/>
  <c r="V110" i="4"/>
  <c r="U110" i="4"/>
  <c r="T110" i="4"/>
  <c r="S110" i="4"/>
  <c r="R110" i="4"/>
  <c r="V109" i="4"/>
  <c r="R109" i="4"/>
  <c r="U109" i="4" s="1"/>
  <c r="V108" i="4"/>
  <c r="R108" i="4"/>
  <c r="S108" i="4" s="1"/>
  <c r="R107" i="4"/>
  <c r="V106" i="4"/>
  <c r="U106" i="4"/>
  <c r="R106" i="4"/>
  <c r="T106" i="4" s="1"/>
  <c r="V105" i="4"/>
  <c r="R105" i="4"/>
  <c r="U105" i="4" s="1"/>
  <c r="V104" i="4"/>
  <c r="U104" i="4"/>
  <c r="S104" i="4"/>
  <c r="R104" i="4"/>
  <c r="T104" i="4" s="1"/>
  <c r="V103" i="4"/>
  <c r="R103" i="4"/>
  <c r="T103" i="4" s="1"/>
  <c r="V102" i="4"/>
  <c r="U102" i="4"/>
  <c r="T102" i="4"/>
  <c r="S102" i="4"/>
  <c r="R102" i="4"/>
  <c r="V101" i="4"/>
  <c r="R101" i="4"/>
  <c r="U101" i="4" s="1"/>
  <c r="R100" i="4"/>
  <c r="V99" i="4"/>
  <c r="R99" i="4"/>
  <c r="T99" i="4" s="1"/>
  <c r="V98" i="4"/>
  <c r="U98" i="4"/>
  <c r="R98" i="4"/>
  <c r="T98" i="4" s="1"/>
  <c r="R97" i="4"/>
  <c r="V96" i="4"/>
  <c r="R96" i="4"/>
  <c r="S96" i="4" s="1"/>
  <c r="V95" i="4"/>
  <c r="T95" i="4"/>
  <c r="S95" i="4"/>
  <c r="R95" i="4"/>
  <c r="U95" i="4" s="1"/>
  <c r="V94" i="4"/>
  <c r="R94" i="4"/>
  <c r="U94" i="4" s="1"/>
  <c r="V93" i="4"/>
  <c r="U93" i="4"/>
  <c r="T93" i="4"/>
  <c r="R93" i="4"/>
  <c r="S93" i="4" s="1"/>
  <c r="V92" i="4"/>
  <c r="R92" i="4"/>
  <c r="S92" i="4" s="1"/>
  <c r="V91" i="4"/>
  <c r="R91" i="4"/>
  <c r="T91" i="4" s="1"/>
  <c r="V90" i="4"/>
  <c r="U90" i="4"/>
  <c r="R90" i="4"/>
  <c r="T90" i="4" s="1"/>
  <c r="V89" i="4"/>
  <c r="R89" i="4"/>
  <c r="U89" i="4" s="1"/>
  <c r="V88" i="4"/>
  <c r="U88" i="4"/>
  <c r="S88" i="4"/>
  <c r="R88" i="4"/>
  <c r="T88" i="4" s="1"/>
  <c r="V87" i="4"/>
  <c r="R87" i="4"/>
  <c r="T87" i="4" s="1"/>
  <c r="V86" i="4"/>
  <c r="U86" i="4"/>
  <c r="T86" i="4"/>
  <c r="S86" i="4"/>
  <c r="R86" i="4"/>
  <c r="V85" i="4"/>
  <c r="R85" i="4"/>
  <c r="U85" i="4" s="1"/>
  <c r="V84" i="4"/>
  <c r="R84" i="4"/>
  <c r="S84" i="4" s="1"/>
  <c r="V83" i="4"/>
  <c r="T83" i="4"/>
  <c r="S83" i="4"/>
  <c r="R83" i="4"/>
  <c r="U83" i="4" s="1"/>
  <c r="V82" i="4"/>
  <c r="R82" i="4"/>
  <c r="U82" i="4" s="1"/>
  <c r="V81" i="4"/>
  <c r="U81" i="4"/>
  <c r="T81" i="4"/>
  <c r="R81" i="4"/>
  <c r="S81" i="4" s="1"/>
  <c r="V80" i="4"/>
  <c r="R80" i="4"/>
  <c r="S80" i="4" s="1"/>
  <c r="V79" i="4"/>
  <c r="R79" i="4"/>
  <c r="T79" i="4" s="1"/>
  <c r="V78" i="4"/>
  <c r="U78" i="4"/>
  <c r="T78" i="4"/>
  <c r="R78" i="4"/>
  <c r="S78" i="4" s="1"/>
  <c r="V77" i="4"/>
  <c r="R77" i="4"/>
  <c r="U77" i="4" s="1"/>
  <c r="V76" i="4"/>
  <c r="U76" i="4"/>
  <c r="S76" i="4"/>
  <c r="R76" i="4"/>
  <c r="T76" i="4" s="1"/>
  <c r="V75" i="4"/>
  <c r="R75" i="4"/>
  <c r="T75" i="4" s="1"/>
  <c r="V74" i="4"/>
  <c r="U74" i="4"/>
  <c r="T74" i="4"/>
  <c r="S74" i="4"/>
  <c r="R74" i="4"/>
  <c r="V73" i="4"/>
  <c r="R73" i="4"/>
  <c r="U73" i="4" s="1"/>
  <c r="V72" i="4"/>
  <c r="R72" i="4"/>
  <c r="S72" i="4" s="1"/>
  <c r="V71" i="4"/>
  <c r="U71" i="4"/>
  <c r="T71" i="4"/>
  <c r="S71" i="4"/>
  <c r="R71" i="4"/>
  <c r="V70" i="4"/>
  <c r="R70" i="4"/>
  <c r="V69" i="4"/>
  <c r="U69" i="4"/>
  <c r="T69" i="4"/>
  <c r="R69" i="4"/>
  <c r="S69" i="4" s="1"/>
  <c r="V68" i="4"/>
  <c r="R68" i="4"/>
  <c r="S68" i="4" s="1"/>
  <c r="V67" i="4"/>
  <c r="R67" i="4"/>
  <c r="T67" i="4" s="1"/>
  <c r="V66" i="4"/>
  <c r="U66" i="4"/>
  <c r="T66" i="4"/>
  <c r="R66" i="4"/>
  <c r="S66" i="4" s="1"/>
  <c r="V65" i="4"/>
  <c r="R65" i="4"/>
  <c r="S65" i="4" s="1"/>
  <c r="V64" i="4"/>
  <c r="U64" i="4"/>
  <c r="S64" i="4"/>
  <c r="R64" i="4"/>
  <c r="T64" i="4" s="1"/>
  <c r="V63" i="4"/>
  <c r="R63" i="4"/>
  <c r="T63" i="4" s="1"/>
  <c r="V62" i="4"/>
  <c r="U62" i="4"/>
  <c r="T62" i="4"/>
  <c r="S62" i="4"/>
  <c r="R62" i="4"/>
  <c r="V61" i="4"/>
  <c r="R61" i="4"/>
  <c r="U61" i="4" s="1"/>
  <c r="V60" i="4"/>
  <c r="R60" i="4"/>
  <c r="T60" i="4" s="1"/>
  <c r="V59" i="4"/>
  <c r="U59" i="4"/>
  <c r="T59" i="4"/>
  <c r="S59" i="4"/>
  <c r="R59" i="4"/>
  <c r="V58" i="4"/>
  <c r="R58" i="4"/>
  <c r="U58" i="4" s="1"/>
  <c r="V57" i="4"/>
  <c r="U57" i="4"/>
  <c r="T57" i="4"/>
  <c r="R57" i="4"/>
  <c r="S57" i="4" s="1"/>
  <c r="V56" i="4"/>
  <c r="R56" i="4"/>
  <c r="S56" i="4" s="1"/>
  <c r="V55" i="4"/>
  <c r="R55" i="4"/>
  <c r="U55" i="4" s="1"/>
  <c r="V54" i="4"/>
  <c r="U54" i="4"/>
  <c r="T54" i="4"/>
  <c r="R54" i="4"/>
  <c r="S54" i="4" s="1"/>
  <c r="V53" i="4"/>
  <c r="R53" i="4"/>
  <c r="S53" i="4" s="1"/>
  <c r="V52" i="4"/>
  <c r="U52" i="4"/>
  <c r="S52" i="4"/>
  <c r="R52" i="4"/>
  <c r="T52" i="4" s="1"/>
  <c r="V51" i="4"/>
  <c r="R51" i="4"/>
  <c r="T51" i="4" s="1"/>
  <c r="V50" i="4"/>
  <c r="U50" i="4"/>
  <c r="T50" i="4"/>
  <c r="S50" i="4"/>
  <c r="R50" i="4"/>
  <c r="V49" i="4"/>
  <c r="R49" i="4"/>
  <c r="U49" i="4" s="1"/>
  <c r="V48" i="4"/>
  <c r="R48" i="4"/>
  <c r="T48" i="4" s="1"/>
  <c r="V47" i="4"/>
  <c r="U47" i="4"/>
  <c r="T47" i="4"/>
  <c r="S47" i="4"/>
  <c r="R47" i="4"/>
  <c r="V46" i="4"/>
  <c r="R46" i="4"/>
  <c r="U46" i="4" s="1"/>
  <c r="V45" i="4"/>
  <c r="U45" i="4"/>
  <c r="T45" i="4"/>
  <c r="R45" i="4"/>
  <c r="S45" i="4" s="1"/>
  <c r="V44" i="4"/>
  <c r="R44" i="4"/>
  <c r="S44" i="4" s="1"/>
  <c r="V43" i="4"/>
  <c r="R43" i="4"/>
  <c r="U43" i="4" s="1"/>
  <c r="V42" i="4"/>
  <c r="U42" i="4"/>
  <c r="T42" i="4"/>
  <c r="R42" i="4"/>
  <c r="S42" i="4" s="1"/>
  <c r="V41" i="4"/>
  <c r="R41" i="4"/>
  <c r="S41" i="4" s="1"/>
  <c r="V40" i="4"/>
  <c r="U40" i="4"/>
  <c r="S40" i="4"/>
  <c r="R40" i="4"/>
  <c r="T40" i="4" s="1"/>
  <c r="V39" i="4"/>
  <c r="R39" i="4"/>
  <c r="T39" i="4" s="1"/>
  <c r="V38" i="4"/>
  <c r="U38" i="4"/>
  <c r="T38" i="4"/>
  <c r="S38" i="4"/>
  <c r="R38" i="4"/>
  <c r="V37" i="4"/>
  <c r="R37" i="4"/>
  <c r="U37" i="4" s="1"/>
  <c r="V36" i="4"/>
  <c r="R36" i="4"/>
  <c r="T36" i="4" s="1"/>
  <c r="V35" i="4"/>
  <c r="U35" i="4"/>
  <c r="T35" i="4"/>
  <c r="S35" i="4"/>
  <c r="R35" i="4"/>
  <c r="V34" i="4"/>
  <c r="R34" i="4"/>
  <c r="U34" i="4" s="1"/>
  <c r="V33" i="4"/>
  <c r="U33" i="4"/>
  <c r="T33" i="4"/>
  <c r="R33" i="4"/>
  <c r="S33" i="4" s="1"/>
  <c r="V32" i="4"/>
  <c r="R32" i="4"/>
  <c r="S32" i="4" s="1"/>
  <c r="V31" i="4"/>
  <c r="R31" i="4"/>
  <c r="U31" i="4" s="1"/>
  <c r="V30" i="4"/>
  <c r="U30" i="4"/>
  <c r="T30" i="4"/>
  <c r="R30" i="4"/>
  <c r="S30" i="4" s="1"/>
  <c r="V29" i="4"/>
  <c r="R29" i="4"/>
  <c r="S29" i="4" s="1"/>
  <c r="V28" i="4"/>
  <c r="U28" i="4"/>
  <c r="S28" i="4"/>
  <c r="R28" i="4"/>
  <c r="T28" i="4" s="1"/>
  <c r="I135" i="4"/>
  <c r="L135" i="4" s="1"/>
  <c r="M135" i="4" s="1"/>
  <c r="J135" i="4"/>
  <c r="K135" i="4" s="1"/>
  <c r="O135" i="4" s="1"/>
  <c r="P135" i="4" s="1"/>
  <c r="N135" i="4"/>
  <c r="Q135" i="4"/>
  <c r="I136" i="4"/>
  <c r="L136" i="4" s="1"/>
  <c r="M136" i="4" s="1"/>
  <c r="J136" i="4"/>
  <c r="K136" i="4"/>
  <c r="O136" i="4" s="1"/>
  <c r="P136" i="4" s="1"/>
  <c r="I137" i="4"/>
  <c r="J137" i="4"/>
  <c r="K137" i="4"/>
  <c r="O137" i="4" s="1"/>
  <c r="P137" i="4" s="1"/>
  <c r="L137" i="4"/>
  <c r="M137" i="4"/>
  <c r="N137" i="4"/>
  <c r="Q137" i="4" s="1"/>
  <c r="I138" i="4"/>
  <c r="J138" i="4"/>
  <c r="K138" i="4"/>
  <c r="L138" i="4"/>
  <c r="M138" i="4"/>
  <c r="N138" i="4"/>
  <c r="O138" i="4"/>
  <c r="P138" i="4"/>
  <c r="Q138" i="4"/>
  <c r="I139" i="4"/>
  <c r="L139" i="4" s="1"/>
  <c r="M139" i="4" s="1"/>
  <c r="J139" i="4"/>
  <c r="K139" i="4" s="1"/>
  <c r="O139" i="4" s="1"/>
  <c r="P139" i="4" s="1"/>
  <c r="N139" i="4"/>
  <c r="Q139" i="4"/>
  <c r="I140" i="4"/>
  <c r="L140" i="4" s="1"/>
  <c r="M140" i="4" s="1"/>
  <c r="J140" i="4"/>
  <c r="K140" i="4"/>
  <c r="O140" i="4" s="1"/>
  <c r="P140" i="4" s="1"/>
  <c r="I141" i="4"/>
  <c r="J141" i="4"/>
  <c r="K141" i="4"/>
  <c r="O141" i="4" s="1"/>
  <c r="P141" i="4" s="1"/>
  <c r="L141" i="4"/>
  <c r="M141" i="4"/>
  <c r="N141" i="4"/>
  <c r="Q141" i="4" s="1"/>
  <c r="I142" i="4"/>
  <c r="J142" i="4"/>
  <c r="K142" i="4"/>
  <c r="L142" i="4"/>
  <c r="M142" i="4"/>
  <c r="N142" i="4"/>
  <c r="O142" i="4"/>
  <c r="P142" i="4"/>
  <c r="Q142" i="4"/>
  <c r="I143" i="4"/>
  <c r="L143" i="4" s="1"/>
  <c r="M143" i="4" s="1"/>
  <c r="J143" i="4"/>
  <c r="K143" i="4" s="1"/>
  <c r="O143" i="4" s="1"/>
  <c r="P143" i="4" s="1"/>
  <c r="N143" i="4"/>
  <c r="Q143" i="4"/>
  <c r="U70" i="4" l="1"/>
  <c r="T70" i="4"/>
  <c r="S70" i="4"/>
  <c r="S31" i="4"/>
  <c r="S43" i="4"/>
  <c r="S55" i="4"/>
  <c r="S67" i="4"/>
  <c r="S79" i="4"/>
  <c r="S91" i="4"/>
  <c r="S99" i="4"/>
  <c r="S115" i="4"/>
  <c r="S127" i="4"/>
  <c r="S139" i="4"/>
  <c r="T55" i="4"/>
  <c r="U67" i="4"/>
  <c r="T72" i="4"/>
  <c r="S77" i="4"/>
  <c r="U79" i="4"/>
  <c r="T84" i="4"/>
  <c r="S89" i="4"/>
  <c r="U91" i="4"/>
  <c r="T96" i="4"/>
  <c r="U99" i="4"/>
  <c r="S105" i="4"/>
  <c r="T108" i="4"/>
  <c r="S113" i="4"/>
  <c r="U115" i="4"/>
  <c r="T120" i="4"/>
  <c r="S125" i="4"/>
  <c r="U127" i="4"/>
  <c r="T132" i="4"/>
  <c r="S137" i="4"/>
  <c r="U139" i="4"/>
  <c r="T29" i="4"/>
  <c r="S34" i="4"/>
  <c r="U36" i="4"/>
  <c r="T41" i="4"/>
  <c r="S46" i="4"/>
  <c r="U48" i="4"/>
  <c r="T53" i="4"/>
  <c r="S58" i="4"/>
  <c r="U60" i="4"/>
  <c r="T65" i="4"/>
  <c r="S140" i="4"/>
  <c r="T32" i="4"/>
  <c r="S37" i="4"/>
  <c r="U39" i="4"/>
  <c r="T44" i="4"/>
  <c r="S49" i="4"/>
  <c r="U51" i="4"/>
  <c r="T56" i="4"/>
  <c r="S61" i="4"/>
  <c r="U63" i="4"/>
  <c r="T68" i="4"/>
  <c r="S73" i="4"/>
  <c r="U75" i="4"/>
  <c r="T80" i="4"/>
  <c r="S85" i="4"/>
  <c r="U87" i="4"/>
  <c r="T92" i="4"/>
  <c r="S101" i="4"/>
  <c r="U103" i="4"/>
  <c r="S109" i="4"/>
  <c r="U111" i="4"/>
  <c r="T116" i="4"/>
  <c r="S121" i="4"/>
  <c r="U123" i="4"/>
  <c r="T128" i="4"/>
  <c r="S133" i="4"/>
  <c r="U135" i="4"/>
  <c r="T140" i="4"/>
  <c r="U32" i="4"/>
  <c r="T37" i="4"/>
  <c r="U44" i="4"/>
  <c r="T49" i="4"/>
  <c r="U56" i="4"/>
  <c r="T61" i="4"/>
  <c r="U68" i="4"/>
  <c r="T73" i="4"/>
  <c r="U80" i="4"/>
  <c r="T85" i="4"/>
  <c r="S90" i="4"/>
  <c r="U92" i="4"/>
  <c r="S98" i="4"/>
  <c r="T101" i="4"/>
  <c r="S106" i="4"/>
  <c r="T109" i="4"/>
  <c r="S114" i="4"/>
  <c r="U116" i="4"/>
  <c r="T121" i="4"/>
  <c r="S126" i="4"/>
  <c r="U128" i="4"/>
  <c r="T133" i="4"/>
  <c r="S138" i="4"/>
  <c r="U72" i="4"/>
  <c r="T77" i="4"/>
  <c r="S82" i="4"/>
  <c r="U84" i="4"/>
  <c r="T89" i="4"/>
  <c r="S94" i="4"/>
  <c r="U96" i="4"/>
  <c r="T105" i="4"/>
  <c r="U108" i="4"/>
  <c r="T113" i="4"/>
  <c r="S118" i="4"/>
  <c r="U120" i="4"/>
  <c r="T125" i="4"/>
  <c r="S130" i="4"/>
  <c r="U132" i="4"/>
  <c r="T137" i="4"/>
  <c r="S142" i="4"/>
  <c r="U29" i="4"/>
  <c r="T34" i="4"/>
  <c r="S39" i="4"/>
  <c r="U41" i="4"/>
  <c r="T46" i="4"/>
  <c r="S51" i="4"/>
  <c r="U53" i="4"/>
  <c r="T58" i="4"/>
  <c r="S63" i="4"/>
  <c r="U65" i="4"/>
  <c r="S75" i="4"/>
  <c r="T82" i="4"/>
  <c r="S87" i="4"/>
  <c r="T94" i="4"/>
  <c r="S103" i="4"/>
  <c r="S111" i="4"/>
  <c r="T118" i="4"/>
  <c r="S123" i="4"/>
  <c r="T130" i="4"/>
  <c r="S135" i="4"/>
  <c r="T31" i="4"/>
  <c r="S36" i="4"/>
  <c r="T43" i="4"/>
  <c r="S48" i="4"/>
  <c r="S60" i="4"/>
  <c r="N140" i="4"/>
  <c r="Q140" i="4" s="1"/>
  <c r="N136" i="4"/>
  <c r="Q136" i="4" s="1"/>
  <c r="I128" i="4" l="1"/>
  <c r="N128" i="4" s="1"/>
  <c r="Q128" i="4" s="1"/>
  <c r="J128" i="4"/>
  <c r="K128" i="4"/>
  <c r="O128" i="4" s="1"/>
  <c r="P128" i="4" s="1"/>
  <c r="L128" i="4"/>
  <c r="M128" i="4" s="1"/>
  <c r="I129" i="4"/>
  <c r="J129" i="4"/>
  <c r="K129" i="4"/>
  <c r="L129" i="4"/>
  <c r="M129" i="4"/>
  <c r="N129" i="4"/>
  <c r="Q129" i="4" s="1"/>
  <c r="O129" i="4"/>
  <c r="P129" i="4" s="1"/>
  <c r="I130" i="4"/>
  <c r="J130" i="4"/>
  <c r="K130" i="4"/>
  <c r="L130" i="4"/>
  <c r="M130" i="4"/>
  <c r="N130" i="4"/>
  <c r="O130" i="4"/>
  <c r="P130" i="4"/>
  <c r="Q130" i="4"/>
  <c r="I131" i="4"/>
  <c r="L131" i="4" s="1"/>
  <c r="M131" i="4" s="1"/>
  <c r="J131" i="4"/>
  <c r="K131" i="4"/>
  <c r="O131" i="4" s="1"/>
  <c r="P131" i="4" s="1"/>
  <c r="I132" i="4"/>
  <c r="J132" i="4"/>
  <c r="K132" i="4"/>
  <c r="L132" i="4"/>
  <c r="M132" i="4"/>
  <c r="N132" i="4"/>
  <c r="Q132" i="4" s="1"/>
  <c r="O132" i="4"/>
  <c r="P132" i="4" s="1"/>
  <c r="I133" i="4"/>
  <c r="N133" i="4" s="1"/>
  <c r="J133" i="4"/>
  <c r="K133" i="4"/>
  <c r="O133" i="4"/>
  <c r="P133" i="4"/>
  <c r="Q133" i="4"/>
  <c r="I134" i="4"/>
  <c r="J134" i="4"/>
  <c r="K134" i="4" s="1"/>
  <c r="O134" i="4" s="1"/>
  <c r="P134" i="4" s="1"/>
  <c r="L134" i="4" l="1"/>
  <c r="M134" i="4" s="1"/>
  <c r="N134" i="4"/>
  <c r="Q134" i="4" s="1"/>
  <c r="L133" i="4"/>
  <c r="M133" i="4" s="1"/>
  <c r="N131" i="4"/>
  <c r="Q131" i="4" s="1"/>
  <c r="O15" i="1"/>
  <c r="L15" i="1"/>
  <c r="N15" i="1"/>
  <c r="M103" i="4"/>
  <c r="M126" i="4"/>
  <c r="J16" i="4"/>
  <c r="J15" i="4"/>
  <c r="J87" i="4"/>
  <c r="K87" i="4" s="1"/>
  <c r="J122" i="4"/>
  <c r="K122" i="4"/>
  <c r="J117" i="4"/>
  <c r="K117" i="4"/>
  <c r="J120" i="4"/>
  <c r="K120" i="4"/>
  <c r="J101" i="4"/>
  <c r="K101" i="4"/>
  <c r="O101" i="4" s="1"/>
  <c r="P101" i="4" s="1"/>
  <c r="J86" i="4"/>
  <c r="K86" i="4" s="1"/>
  <c r="J85" i="4"/>
  <c r="K85" i="4" s="1"/>
  <c r="J88" i="4"/>
  <c r="K88" i="4"/>
  <c r="J119" i="4"/>
  <c r="K119" i="4"/>
  <c r="J72" i="4"/>
  <c r="K72" i="4"/>
  <c r="J103" i="4"/>
  <c r="K103" i="4"/>
  <c r="O103" i="4" s="1"/>
  <c r="P103" i="4" s="1"/>
  <c r="J118" i="4"/>
  <c r="K118" i="4"/>
  <c r="O118" i="4" s="1"/>
  <c r="P118" i="4" s="1"/>
  <c r="J104" i="4"/>
  <c r="L104" i="4" s="1"/>
  <c r="M104" i="4" s="1"/>
  <c r="K104" i="4"/>
  <c r="O104" i="4" s="1"/>
  <c r="P104" i="4" s="1"/>
  <c r="J90" i="4"/>
  <c r="K90" i="4"/>
  <c r="J71" i="4"/>
  <c r="K71" i="4"/>
  <c r="J110" i="4"/>
  <c r="K110" i="4"/>
  <c r="O110" i="4" s="1"/>
  <c r="P110" i="4" s="1"/>
  <c r="J82" i="4"/>
  <c r="K82" i="4"/>
  <c r="J113" i="4"/>
  <c r="L113" i="4" s="1"/>
  <c r="M113" i="4" s="1"/>
  <c r="K113" i="4"/>
  <c r="O113" i="4" s="1"/>
  <c r="P113" i="4" s="1"/>
  <c r="J97" i="4"/>
  <c r="K97" i="4"/>
  <c r="O97" i="4" s="1"/>
  <c r="P97" i="4" s="1"/>
  <c r="J81" i="4"/>
  <c r="K81" i="4"/>
  <c r="J116" i="4"/>
  <c r="K116" i="4"/>
  <c r="J100" i="4"/>
  <c r="K100" i="4"/>
  <c r="O100" i="4"/>
  <c r="J84" i="4"/>
  <c r="K84" i="4"/>
  <c r="J114" i="4"/>
  <c r="K114" i="4" s="1"/>
  <c r="J78" i="4"/>
  <c r="L78" i="4" s="1"/>
  <c r="K78" i="4"/>
  <c r="J115" i="4"/>
  <c r="K115" i="4"/>
  <c r="O115" i="4" s="1"/>
  <c r="P115" i="4" s="1"/>
  <c r="J99" i="4"/>
  <c r="K99" i="4"/>
  <c r="O99" i="4" s="1"/>
  <c r="P99" i="4" s="1"/>
  <c r="J83" i="4"/>
  <c r="K83" i="4"/>
  <c r="J102" i="4"/>
  <c r="L102" i="4" s="1"/>
  <c r="M102" i="4" s="1"/>
  <c r="K102" i="4"/>
  <c r="J74" i="4"/>
  <c r="K74" i="4" s="1"/>
  <c r="J125" i="4"/>
  <c r="K125" i="4"/>
  <c r="O125" i="4" s="1"/>
  <c r="P125" i="4" s="1"/>
  <c r="J109" i="4"/>
  <c r="K109" i="4"/>
  <c r="J93" i="4"/>
  <c r="K93" i="4"/>
  <c r="J77" i="4"/>
  <c r="K77" i="4"/>
  <c r="J112" i="4"/>
  <c r="K112" i="4"/>
  <c r="J96" i="4"/>
  <c r="K96" i="4" s="1"/>
  <c r="J80" i="4"/>
  <c r="K80" i="4" s="1"/>
  <c r="J106" i="4"/>
  <c r="K106" i="4"/>
  <c r="O106" i="4" s="1"/>
  <c r="P106" i="4" s="1"/>
  <c r="J127" i="4"/>
  <c r="K127" i="4"/>
  <c r="J111" i="4"/>
  <c r="K111" i="4"/>
  <c r="O111" i="4" s="1"/>
  <c r="P111" i="4" s="1"/>
  <c r="J95" i="4"/>
  <c r="K95" i="4" s="1"/>
  <c r="J79" i="4"/>
  <c r="K79" i="4" s="1"/>
  <c r="J126" i="4"/>
  <c r="K126" i="4"/>
  <c r="J94" i="4"/>
  <c r="K94" i="4" s="1"/>
  <c r="J121" i="4"/>
  <c r="L121" i="4" s="1"/>
  <c r="K121" i="4"/>
  <c r="J105" i="4"/>
  <c r="K105" i="4" s="1"/>
  <c r="O105" i="4" s="1"/>
  <c r="P105" i="4" s="1"/>
  <c r="J89" i="4"/>
  <c r="K89" i="4" s="1"/>
  <c r="J73" i="4"/>
  <c r="K73" i="4" s="1"/>
  <c r="J124" i="4"/>
  <c r="K124" i="4"/>
  <c r="J108" i="4"/>
  <c r="K108" i="4"/>
  <c r="J92" i="4"/>
  <c r="K92" i="4" s="1"/>
  <c r="J76" i="4"/>
  <c r="K76" i="4"/>
  <c r="J98" i="4"/>
  <c r="L98" i="4" s="1"/>
  <c r="M98" i="4" s="1"/>
  <c r="K98" i="4"/>
  <c r="O98" i="4" s="1"/>
  <c r="P98" i="4" s="1"/>
  <c r="J123" i="4"/>
  <c r="K123" i="4"/>
  <c r="J107" i="4"/>
  <c r="K107" i="4"/>
  <c r="J91" i="4"/>
  <c r="K91" i="4"/>
  <c r="J75" i="4"/>
  <c r="K75" i="4" s="1"/>
  <c r="P100" i="4"/>
  <c r="O112" i="4"/>
  <c r="P112" i="4"/>
  <c r="O91" i="4"/>
  <c r="P91" i="4"/>
  <c r="O102" i="4"/>
  <c r="P102" i="4"/>
  <c r="O117" i="4"/>
  <c r="P117" i="4"/>
  <c r="O109" i="4"/>
  <c r="P109" i="4" s="1"/>
  <c r="O119" i="4"/>
  <c r="P119" i="4"/>
  <c r="O122" i="4"/>
  <c r="P122" i="4"/>
  <c r="O123" i="4"/>
  <c r="P123" i="4"/>
  <c r="I76" i="4"/>
  <c r="N76" i="4" s="1"/>
  <c r="Q76" i="4" s="1"/>
  <c r="I77" i="4"/>
  <c r="N77" i="4" s="1"/>
  <c r="Q77" i="4" s="1"/>
  <c r="I81" i="4"/>
  <c r="N81" i="4" s="1"/>
  <c r="Q81" i="4" s="1"/>
  <c r="I89" i="4"/>
  <c r="N89" i="4" s="1"/>
  <c r="Q89" i="4" s="1"/>
  <c r="I90" i="4"/>
  <c r="N90" i="4" s="1"/>
  <c r="Q90" i="4" s="1"/>
  <c r="I96" i="4"/>
  <c r="L96" i="4" s="1"/>
  <c r="M96" i="4" s="1"/>
  <c r="I99" i="4"/>
  <c r="I102" i="4"/>
  <c r="I104" i="4"/>
  <c r="I108" i="4"/>
  <c r="N108" i="4" s="1"/>
  <c r="Q108" i="4" s="1"/>
  <c r="I111" i="4"/>
  <c r="N111" i="4" s="1"/>
  <c r="Q111" i="4" s="1"/>
  <c r="I113" i="4"/>
  <c r="N113" i="4" s="1"/>
  <c r="Q113" i="4" s="1"/>
  <c r="I115" i="4"/>
  <c r="L115" i="4" s="1"/>
  <c r="I119" i="4"/>
  <c r="L119" i="4" s="1"/>
  <c r="I120" i="4"/>
  <c r="N120" i="4" s="1"/>
  <c r="Q120" i="4" s="1"/>
  <c r="I123" i="4"/>
  <c r="L123" i="4" s="1"/>
  <c r="M123" i="4" s="1"/>
  <c r="I125" i="4"/>
  <c r="L125" i="4" s="1"/>
  <c r="M125" i="4" s="1"/>
  <c r="I79" i="4"/>
  <c r="N79" i="4" s="1"/>
  <c r="Q79" i="4" s="1"/>
  <c r="I92" i="4"/>
  <c r="I100" i="4"/>
  <c r="I103" i="4"/>
  <c r="I107" i="4"/>
  <c r="N107" i="4" s="1"/>
  <c r="Q107" i="4" s="1"/>
  <c r="I109" i="4"/>
  <c r="L109" i="4" s="1"/>
  <c r="M109" i="4" s="1"/>
  <c r="I110" i="4"/>
  <c r="I117" i="4"/>
  <c r="L117" i="4" s="1"/>
  <c r="M117" i="4" s="1"/>
  <c r="I124" i="4"/>
  <c r="L124" i="4" s="1"/>
  <c r="M124" i="4" s="1"/>
  <c r="I72" i="4"/>
  <c r="L72" i="4" s="1"/>
  <c r="I106" i="4"/>
  <c r="N106" i="4" s="1"/>
  <c r="Q106" i="4" s="1"/>
  <c r="I71" i="4"/>
  <c r="N71" i="4" s="1"/>
  <c r="Q71" i="4" s="1"/>
  <c r="I75" i="4"/>
  <c r="N75" i="4" s="1"/>
  <c r="Q75" i="4" s="1"/>
  <c r="I80" i="4"/>
  <c r="I83" i="4"/>
  <c r="I86" i="4"/>
  <c r="I88" i="4"/>
  <c r="L88" i="4" s="1"/>
  <c r="M88" i="4" s="1"/>
  <c r="I94" i="4"/>
  <c r="I95" i="4"/>
  <c r="N95" i="4" s="1"/>
  <c r="Q95" i="4" s="1"/>
  <c r="I98" i="4"/>
  <c r="I101" i="4"/>
  <c r="L101" i="4" s="1"/>
  <c r="M101" i="4" s="1"/>
  <c r="I118" i="4"/>
  <c r="N118" i="4" s="1"/>
  <c r="Q118" i="4" s="1"/>
  <c r="I127" i="4"/>
  <c r="L127" i="4" s="1"/>
  <c r="M127" i="4" s="1"/>
  <c r="I73" i="4"/>
  <c r="L73" i="4" s="1"/>
  <c r="I74" i="4"/>
  <c r="N74" i="4" s="1"/>
  <c r="Q74" i="4" s="1"/>
  <c r="I78" i="4"/>
  <c r="I82" i="4"/>
  <c r="I85" i="4"/>
  <c r="I93" i="4"/>
  <c r="I112" i="4"/>
  <c r="I114" i="4"/>
  <c r="I121" i="4"/>
  <c r="I122" i="4"/>
  <c r="N122" i="4" s="1"/>
  <c r="Q122" i="4" s="1"/>
  <c r="I84" i="4"/>
  <c r="L84" i="4" s="1"/>
  <c r="M84" i="4" s="1"/>
  <c r="I87" i="4"/>
  <c r="L87" i="4" s="1"/>
  <c r="M87" i="4" s="1"/>
  <c r="I91" i="4"/>
  <c r="L91" i="4" s="1"/>
  <c r="M91" i="4" s="1"/>
  <c r="I97" i="4"/>
  <c r="L97" i="4" s="1"/>
  <c r="M97" i="4" s="1"/>
  <c r="I105" i="4"/>
  <c r="I116" i="4"/>
  <c r="I126" i="4"/>
  <c r="N105" i="4"/>
  <c r="Q105" i="4"/>
  <c r="N121" i="4"/>
  <c r="Q121" i="4"/>
  <c r="N85" i="4"/>
  <c r="Q85" i="4"/>
  <c r="N101" i="4"/>
  <c r="Q101" i="4" s="1"/>
  <c r="N119" i="4"/>
  <c r="Q119" i="4"/>
  <c r="N114" i="4"/>
  <c r="Q114" i="4" s="1"/>
  <c r="N98" i="4"/>
  <c r="Q98" i="4"/>
  <c r="N86" i="4"/>
  <c r="Q86" i="4"/>
  <c r="N103" i="4"/>
  <c r="Q103" i="4"/>
  <c r="L103" i="4"/>
  <c r="N115" i="4"/>
  <c r="Q115" i="4" s="1"/>
  <c r="N104" i="4"/>
  <c r="Q104" i="4"/>
  <c r="N126" i="4"/>
  <c r="Q126" i="4"/>
  <c r="L126" i="4"/>
  <c r="L112" i="4"/>
  <c r="M112" i="4" s="1"/>
  <c r="N112" i="4"/>
  <c r="Q112" i="4" s="1"/>
  <c r="N78" i="4"/>
  <c r="Q78" i="4"/>
  <c r="N110" i="4"/>
  <c r="Q110" i="4"/>
  <c r="L110" i="4"/>
  <c r="M110" i="4" s="1"/>
  <c r="L100" i="4"/>
  <c r="M100" i="4" s="1"/>
  <c r="N100" i="4"/>
  <c r="Q100" i="4"/>
  <c r="N102" i="4"/>
  <c r="Q102" i="4"/>
  <c r="N116" i="4"/>
  <c r="Q116" i="4"/>
  <c r="L116" i="4"/>
  <c r="M116" i="4" s="1"/>
  <c r="L118" i="4"/>
  <c r="M118" i="4" s="1"/>
  <c r="L80" i="4"/>
  <c r="M80" i="4" s="1"/>
  <c r="N80" i="4"/>
  <c r="Q80" i="4" s="1"/>
  <c r="N109" i="4"/>
  <c r="Q109" i="4" s="1"/>
  <c r="N92" i="4"/>
  <c r="Q92" i="4" s="1"/>
  <c r="L111" i="4"/>
  <c r="M111" i="4" s="1"/>
  <c r="N99" i="4"/>
  <c r="Q99" i="4"/>
  <c r="L99" i="4"/>
  <c r="M99" i="4" s="1"/>
  <c r="L81" i="4"/>
  <c r="M119" i="4" l="1"/>
  <c r="M78" i="4"/>
  <c r="M115" i="4"/>
  <c r="M72" i="4"/>
  <c r="M121" i="4"/>
  <c r="O126" i="4"/>
  <c r="P126" i="4" s="1"/>
  <c r="L106" i="4"/>
  <c r="M106" i="4" s="1"/>
  <c r="L122" i="4"/>
  <c r="M122" i="4" s="1"/>
  <c r="N125" i="4"/>
  <c r="Q125" i="4" s="1"/>
  <c r="O121" i="4"/>
  <c r="P121" i="4" s="1"/>
  <c r="O120" i="4"/>
  <c r="P120" i="4" s="1"/>
  <c r="O108" i="4"/>
  <c r="P108" i="4" s="1"/>
  <c r="L114" i="4"/>
  <c r="N97" i="4"/>
  <c r="Q97" i="4" s="1"/>
  <c r="L94" i="4"/>
  <c r="L105" i="4"/>
  <c r="M105" i="4" s="1"/>
  <c r="O107" i="4"/>
  <c r="P107" i="4" s="1"/>
  <c r="O71" i="4"/>
  <c r="P71" i="4" s="1"/>
  <c r="N117" i="4"/>
  <c r="Q117" i="4" s="1"/>
  <c r="N96" i="4"/>
  <c r="Q96" i="4" s="1"/>
  <c r="L107" i="4"/>
  <c r="N88" i="4"/>
  <c r="Q88" i="4" s="1"/>
  <c r="L85" i="4"/>
  <c r="N123" i="4"/>
  <c r="Q123" i="4" s="1"/>
  <c r="N72" i="4"/>
  <c r="Q72" i="4" s="1"/>
  <c r="O116" i="4"/>
  <c r="P116" i="4" s="1"/>
  <c r="O127" i="4"/>
  <c r="P127" i="4" s="1"/>
  <c r="N91" i="4"/>
  <c r="Q91" i="4" s="1"/>
  <c r="O114" i="4"/>
  <c r="P114" i="4" s="1"/>
  <c r="L74" i="4"/>
  <c r="L76" i="4"/>
  <c r="O124" i="4"/>
  <c r="P124" i="4" s="1"/>
  <c r="N87" i="4"/>
  <c r="Q87" i="4" s="1"/>
  <c r="O78" i="4"/>
  <c r="P78" i="4" s="1"/>
  <c r="M85" i="4"/>
  <c r="M73" i="4"/>
  <c r="O80" i="4"/>
  <c r="P80" i="4" s="1"/>
  <c r="O92" i="4"/>
  <c r="P92" i="4" s="1"/>
  <c r="O75" i="4"/>
  <c r="P75" i="4" s="1"/>
  <c r="M81" i="4"/>
  <c r="O96" i="4"/>
  <c r="P96" i="4" s="1"/>
  <c r="O84" i="4"/>
  <c r="P84" i="4" s="1"/>
  <c r="L71" i="4"/>
  <c r="O79" i="4"/>
  <c r="P79" i="4" s="1"/>
  <c r="O83" i="4"/>
  <c r="P83" i="4" s="1"/>
  <c r="O82" i="4"/>
  <c r="P82" i="4" s="1"/>
  <c r="L79" i="4"/>
  <c r="O95" i="4"/>
  <c r="P95" i="4" s="1"/>
  <c r="L77" i="4"/>
  <c r="O72" i="4"/>
  <c r="P72" i="4" s="1"/>
  <c r="O73" i="4"/>
  <c r="P73" i="4" s="1"/>
  <c r="L90" i="4"/>
  <c r="M94" i="4"/>
  <c r="O77" i="4"/>
  <c r="P77" i="4" s="1"/>
  <c r="O89" i="4"/>
  <c r="P89" i="4" s="1"/>
  <c r="L120" i="4"/>
  <c r="L93" i="4"/>
  <c r="O81" i="4"/>
  <c r="P81" i="4" s="1"/>
  <c r="O88" i="4"/>
  <c r="P88" i="4" s="1"/>
  <c r="O87" i="4"/>
  <c r="P87" i="4" s="1"/>
  <c r="L108" i="4"/>
  <c r="N73" i="4"/>
  <c r="Q73" i="4" s="1"/>
  <c r="L82" i="4"/>
  <c r="L83" i="4"/>
  <c r="O76" i="4"/>
  <c r="P76" i="4" s="1"/>
  <c r="N124" i="4"/>
  <c r="Q124" i="4" s="1"/>
  <c r="O85" i="4"/>
  <c r="P85" i="4" s="1"/>
  <c r="N127" i="4"/>
  <c r="Q127" i="4" s="1"/>
  <c r="O93" i="4"/>
  <c r="P93" i="4" s="1"/>
  <c r="O90" i="4"/>
  <c r="P90" i="4" s="1"/>
  <c r="L92" i="4"/>
  <c r="N93" i="4"/>
  <c r="Q93" i="4" s="1"/>
  <c r="L75" i="4"/>
  <c r="O94" i="4"/>
  <c r="P94" i="4" s="1"/>
  <c r="O74" i="4"/>
  <c r="P74" i="4" s="1"/>
  <c r="O86" i="4"/>
  <c r="P86" i="4" s="1"/>
  <c r="N83" i="4"/>
  <c r="Q83" i="4" s="1"/>
  <c r="L95" i="4"/>
  <c r="L89" i="4"/>
  <c r="N82" i="4"/>
  <c r="Q82" i="4" s="1"/>
  <c r="N94" i="4"/>
  <c r="Q94" i="4" s="1"/>
  <c r="N84" i="4"/>
  <c r="Q84" i="4" s="1"/>
  <c r="L86" i="4"/>
  <c r="J14" i="4"/>
  <c r="J13" i="4" s="1"/>
  <c r="K16" i="4" s="1"/>
  <c r="M108" i="4" l="1"/>
  <c r="M74" i="4"/>
  <c r="M107" i="4"/>
  <c r="M114" i="4"/>
  <c r="M120" i="4"/>
  <c r="M76" i="4"/>
  <c r="M71" i="4"/>
  <c r="M83" i="4"/>
  <c r="M77" i="4"/>
  <c r="M90" i="4"/>
  <c r="M79" i="4"/>
  <c r="M86" i="4"/>
  <c r="M93" i="4"/>
  <c r="M82" i="4"/>
  <c r="M75" i="4"/>
  <c r="M89" i="4"/>
  <c r="M95" i="4"/>
  <c r="M92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2" i="4" l="1"/>
  <c r="P62" i="4" s="1"/>
  <c r="O61" i="4"/>
  <c r="P61" i="4" s="1"/>
  <c r="O60" i="4"/>
  <c r="P60" i="4" s="1"/>
  <c r="O57" i="4"/>
  <c r="P57" i="4" s="1"/>
  <c r="O58" i="4"/>
  <c r="P58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60" i="4" l="1"/>
  <c r="M61" i="4"/>
  <c r="M70" i="4"/>
  <c r="M62" i="4"/>
  <c r="M63" i="4"/>
  <c r="M64" i="4"/>
  <c r="O64" i="4"/>
  <c r="P64" i="4" s="1"/>
  <c r="M69" i="4"/>
  <c r="M58" i="4"/>
  <c r="O69" i="4"/>
  <c r="P69" i="4" s="1"/>
  <c r="M57" i="4"/>
  <c r="O65" i="4"/>
  <c r="P65" i="4" s="1"/>
  <c r="O66" i="4"/>
  <c r="P66" i="4" s="1"/>
  <c r="M65" i="4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L45" i="4" s="1"/>
  <c r="J30" i="4"/>
  <c r="K30" i="4" s="1"/>
  <c r="J43" i="4"/>
  <c r="K43" i="4" s="1"/>
  <c r="J31" i="4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7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L30" i="4"/>
  <c r="O48" i="4" l="1"/>
  <c r="P48" i="4" s="1"/>
  <c r="M48" i="4"/>
  <c r="O49" i="4"/>
  <c r="P49" i="4" s="1"/>
  <c r="M49" i="4"/>
  <c r="L43" i="4"/>
  <c r="K45" i="4"/>
  <c r="O30" i="4"/>
  <c r="P30" i="4" s="1"/>
  <c r="M39" i="4"/>
  <c r="O47" i="4"/>
  <c r="P47" i="4" s="1"/>
  <c r="O31" i="4"/>
  <c r="P31" i="4" s="1"/>
  <c r="O33" i="4"/>
  <c r="P33" i="4" s="1"/>
  <c r="O35" i="4"/>
  <c r="P35" i="4" s="1"/>
  <c r="O28" i="4"/>
  <c r="P28" i="4" s="1"/>
  <c r="O46" i="4"/>
  <c r="P46" i="4" s="1"/>
  <c r="M44" i="4"/>
  <c r="M47" i="4"/>
  <c r="M45" i="4"/>
  <c r="M31" i="4"/>
  <c r="M43" i="4"/>
  <c r="O43" i="4"/>
  <c r="P43" i="4" s="1"/>
  <c r="O41" i="4"/>
  <c r="P41" i="4" s="1"/>
  <c r="O39" i="4"/>
  <c r="P39" i="4" s="1"/>
  <c r="L35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45" i="4" l="1"/>
  <c r="P45" i="4" s="1"/>
  <c r="O42" i="4"/>
  <c r="P42" i="4" s="1"/>
  <c r="M41" i="4"/>
  <c r="O37" i="4"/>
  <c r="P37" i="4" s="1"/>
  <c r="M46" i="4"/>
  <c r="O44" i="4"/>
  <c r="P44" i="4" s="1"/>
  <c r="O36" i="4"/>
  <c r="P36" i="4" s="1"/>
  <c r="M35" i="4"/>
  <c r="O29" i="4"/>
  <c r="P29" i="4" s="1"/>
  <c r="O32" i="4"/>
  <c r="P32" i="4" s="1"/>
  <c r="O38" i="4"/>
  <c r="P38" i="4" s="1"/>
  <c r="O40" i="4"/>
  <c r="P40" i="4" s="1"/>
  <c r="M33" i="4"/>
  <c r="O34" i="4"/>
  <c r="P34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<sst xmlns="http://schemas.openxmlformats.org/spreadsheetml/2006/main" count="340" uniqueCount="315">
  <si>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</si>
  <si>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</si>
  <si>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</si>
  <si>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</si>
  <si>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</si>
  <si>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</si>
  <si>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</si>
  <si>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</si>
  <si>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</si>
  <si>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</si>
  <si>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</si>
  <si>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</si>
  <si>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</si>
  <si>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</si>
  <si>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</si>
  <si>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</si>
  <si>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</si>
  <si>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</si>
  <si>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</si>
  <si>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</si>
  <si>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</si>
  <si>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</si>
  <si>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</si>
  <si>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</si>
  <si>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</si>
  <si>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</si>
  <si>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</si>
  <si>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</si>
  <si>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</si>
  <si>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</si>
  <si>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</si>
  <si>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</si>
  <si>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</si>
  <si>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</si>
  <si>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</si>
  <si>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</si>
  <si>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</si>
  <si>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</si>
  <si>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</si>
  <si>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</si>
  <si>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</si>
  <si>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</si>
  <si>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</si>
  <si>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</si>
  <si>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</si>
  <si>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</si>
  <si>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</si>
  <si>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</si>
  <si>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</si>
  <si>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</si>
  <si>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</si>
  <si>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</si>
  <si>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</si>
  <si>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</si>
  <si>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</si>
  <si>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</si>
  <si>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</si>
  <si>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</si>
  <si>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</si>
  <si>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</si>
  <si>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</si>
  <si>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</si>
  <si>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</si>
  <si>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</si>
  <si>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</si>
  <si>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</si>
  <si>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</si>
  <si>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</si>
  <si>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</si>
  <si>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</si>
  <si>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</si>
  <si>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</si>
  <si>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</si>
  <si>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</si>
  <si>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</si>
  <si>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</si>
  <si>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</si>
  <si>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</si>
  <si>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</si>
  <si>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</si>
  <si>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</si>
  <si>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</si>
  <si>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</si>
  <si>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</si>
  <si>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</si>
  <si>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</si>
  <si>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</si>
  <si>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</si>
  <si>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</si>
  <si>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</si>
  <si>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</si>
  <si>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</si>
  <si>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</si>
  <si>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</si>
  <si>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</si>
  <si>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</si>
  <si>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</si>
  <si>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</si>
  <si>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</si>
  <si>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</si>
  <si>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</si>
  <si>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</si>
  <si>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</si>
  <si>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</si>
  <si>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</si>
  <si>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</si>
  <si>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</si>
  <si>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</si>
  <si>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</si>
  <si>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</si>
  <si>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</si>
  <si>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</si>
  <si>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SH-SY5Y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</si>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</sst>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112</v>
      </c>
      <c r="K17" s="31" t="s">
        <v>80</v>
      </c>
      <c r="L17" s="80">
        <v>1.8482799999999999E-3</v>
      </c>
      <c r="M17" s="80">
        <v>9.2119999999999992E-5</v>
      </c>
      <c r="N17" s="80">
        <v>1.9599999999999999E-5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I104" zoomScale="70" zoomScaleNormal="70" workbookViewId="0">
      <selection activeCell="S28" sqref="S28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38"/>
      <c r="H1" s="1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38"/>
      <c r="H2" s="138"/>
      <c r="I2" s="151" t="s">
        <v>19</v>
      </c>
      <c r="J2" s="152"/>
      <c r="K2" s="152"/>
      <c r="L2" s="152"/>
      <c r="M2" s="152"/>
      <c r="N2" s="152"/>
      <c r="O2" s="152"/>
      <c r="P2" s="152"/>
      <c r="Q2" s="15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38"/>
      <c r="H3" s="138"/>
      <c r="I3" s="154"/>
      <c r="J3" s="155"/>
      <c r="K3" s="155"/>
      <c r="L3" s="155"/>
      <c r="M3" s="155"/>
      <c r="N3" s="155"/>
      <c r="O3" s="155"/>
      <c r="P3" s="155"/>
      <c r="Q3" s="15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38"/>
      <c r="H4" s="138"/>
      <c r="I4" s="157"/>
      <c r="J4" s="158"/>
      <c r="K4" s="158"/>
      <c r="L4" s="158"/>
      <c r="M4" s="158"/>
      <c r="N4" s="158"/>
      <c r="O4" s="158"/>
      <c r="P4" s="158"/>
      <c r="Q4" s="15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38"/>
      <c r="H5" s="138"/>
      <c r="I5" s="160" t="s">
        <v>38</v>
      </c>
      <c r="J5" s="161"/>
      <c r="K5" s="161"/>
      <c r="L5" s="161"/>
      <c r="M5" s="161"/>
      <c r="N5" s="161"/>
      <c r="O5" s="161"/>
      <c r="P5" s="161"/>
      <c r="Q5" s="16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38"/>
      <c r="H6" s="138"/>
      <c r="I6" s="49" t="s">
        <v>49</v>
      </c>
      <c r="J6" s="49" t="s">
        <v>50</v>
      </c>
      <c r="K6" s="49" t="s">
        <v>46</v>
      </c>
      <c r="L6" s="130" t="s">
        <v>39</v>
      </c>
      <c r="M6" s="131"/>
      <c r="N6" s="131"/>
      <c r="O6" s="131"/>
      <c r="P6" s="131"/>
      <c r="Q6" s="13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38"/>
      <c r="H7" s="138"/>
      <c r="I7" s="50" t="s">
        <v>20</v>
      </c>
      <c r="J7" s="37">
        <f>SUM(J13,J19)</f>
        <v>40.010975999999999</v>
      </c>
      <c r="K7" s="38">
        <f>J7/J7</f>
        <v>1</v>
      </c>
      <c r="L7" s="113" t="s">
        <v>68</v>
      </c>
      <c r="M7" s="114"/>
      <c r="N7" s="114"/>
      <c r="O7" s="114"/>
      <c r="P7" s="114"/>
      <c r="Q7" s="1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6" t="s">
        <v>3</v>
      </c>
      <c r="C8" s="177"/>
      <c r="D8" s="177"/>
      <c r="E8" s="177"/>
      <c r="F8" s="178"/>
      <c r="G8" s="138"/>
      <c r="H8" s="138"/>
      <c r="I8" s="51" t="s">
        <v>6</v>
      </c>
      <c r="J8" s="37">
        <f>SUM(J14,J20)</f>
        <v>39.803150367999997</v>
      </c>
      <c r="K8" s="39">
        <f>J8/J7</f>
        <v>0.99480578449273516</v>
      </c>
      <c r="L8" s="113" t="s">
        <v>69</v>
      </c>
      <c r="M8" s="114"/>
      <c r="N8" s="114"/>
      <c r="O8" s="114"/>
      <c r="P8" s="114"/>
      <c r="Q8" s="11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9"/>
      <c r="C9" s="180"/>
      <c r="D9" s="180"/>
      <c r="E9" s="180"/>
      <c r="F9" s="181"/>
      <c r="G9" s="138"/>
      <c r="H9" s="138"/>
      <c r="I9" s="50" t="s">
        <v>8</v>
      </c>
      <c r="J9" s="40">
        <f t="shared" ref="J9:J10" si="0">SUM(J15,J21)</f>
        <v>0.19251587200000003</v>
      </c>
      <c r="K9" s="39">
        <f>J9/J7</f>
        <v>4.8115765034074656E-3</v>
      </c>
      <c r="L9" s="113" t="s">
        <v>69</v>
      </c>
      <c r="M9" s="114"/>
      <c r="N9" s="114"/>
      <c r="O9" s="114"/>
      <c r="P9" s="114"/>
      <c r="Q9" s="1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2"/>
      <c r="C10" s="183"/>
      <c r="D10" s="183"/>
      <c r="E10" s="183"/>
      <c r="F10" s="184"/>
      <c r="G10" s="138"/>
      <c r="H10" s="138"/>
      <c r="I10" s="51" t="s">
        <v>9</v>
      </c>
      <c r="J10" s="40">
        <f t="shared" si="0"/>
        <v>1.530976E-2</v>
      </c>
      <c r="K10" s="39">
        <f>J10/J7</f>
        <v>3.8263900385734158E-4</v>
      </c>
      <c r="L10" s="113" t="s">
        <v>69</v>
      </c>
      <c r="M10" s="114"/>
      <c r="N10" s="114"/>
      <c r="O10" s="114"/>
      <c r="P10" s="114"/>
      <c r="Q10" s="1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1" t="s">
        <v>36</v>
      </c>
      <c r="C11" s="142"/>
      <c r="D11" s="142"/>
      <c r="E11" s="142"/>
      <c r="F11" s="143"/>
      <c r="G11" s="138"/>
      <c r="H11" s="138"/>
      <c r="I11" s="129"/>
      <c r="J11" s="129"/>
      <c r="K11" s="129"/>
      <c r="L11" s="129"/>
      <c r="M11" s="129"/>
      <c r="N11" s="129"/>
      <c r="O11" s="129"/>
      <c r="P11" s="129"/>
      <c r="Q11" s="12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4"/>
      <c r="C12" s="145"/>
      <c r="D12" s="145"/>
      <c r="E12" s="145"/>
      <c r="F12" s="146"/>
      <c r="G12" s="138"/>
      <c r="H12" s="138"/>
      <c r="I12" s="49" t="s">
        <v>51</v>
      </c>
      <c r="J12" s="49" t="s">
        <v>50</v>
      </c>
      <c r="K12" s="49" t="s">
        <v>46</v>
      </c>
      <c r="L12" s="130" t="s">
        <v>39</v>
      </c>
      <c r="M12" s="131"/>
      <c r="N12" s="131"/>
      <c r="O12" s="131"/>
      <c r="P12" s="131"/>
      <c r="Q12" s="13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3" t="s">
        <v>4</v>
      </c>
      <c r="C13" s="134"/>
      <c r="D13" s="166" t="s">
        <v>39</v>
      </c>
      <c r="E13" s="166"/>
      <c r="F13" s="166"/>
      <c r="G13" s="138"/>
      <c r="H13" s="138"/>
      <c r="I13" s="50" t="s">
        <v>5</v>
      </c>
      <c r="J13" s="41">
        <f>SUM(J14:J16)</f>
        <v>40</v>
      </c>
      <c r="K13" s="38">
        <f>J13/J13</f>
        <v>1</v>
      </c>
      <c r="L13" s="113" t="s">
        <v>71</v>
      </c>
      <c r="M13" s="114"/>
      <c r="N13" s="114"/>
      <c r="O13" s="114"/>
      <c r="P13" s="114"/>
      <c r="Q13" s="1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67" t="s">
        <v>17</v>
      </c>
      <c r="E14" s="167"/>
      <c r="F14" s="167"/>
      <c r="G14" s="138"/>
      <c r="H14" s="138"/>
      <c r="I14" s="51" t="s">
        <v>43</v>
      </c>
      <c r="J14" s="41">
        <f>C14-SUM(J15:J16)</f>
        <v>39.7928</v>
      </c>
      <c r="K14" s="39">
        <f>J14/J13</f>
        <v>0.99482000000000004</v>
      </c>
      <c r="L14" s="135" t="s">
        <v>70</v>
      </c>
      <c r="M14" s="136"/>
      <c r="N14" s="136"/>
      <c r="O14" s="136"/>
      <c r="P14" s="136"/>
      <c r="Q14" s="13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68" t="s">
        <v>60</v>
      </c>
      <c r="E15" s="168"/>
      <c r="F15" s="168"/>
      <c r="G15" s="138"/>
      <c r="H15" s="13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13" t="s">
        <v>69</v>
      </c>
      <c r="M15" s="114"/>
      <c r="N15" s="114"/>
      <c r="O15" s="114"/>
      <c r="P15" s="114"/>
      <c r="Q15" s="11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69" t="s">
        <v>40</v>
      </c>
      <c r="E16" s="170"/>
      <c r="F16" s="171"/>
      <c r="G16" s="138"/>
      <c r="H16" s="13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13" t="s">
        <v>69</v>
      </c>
      <c r="M16" s="114"/>
      <c r="N16" s="114"/>
      <c r="O16" s="114"/>
      <c r="P16" s="114"/>
      <c r="Q16" s="1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72" t="s">
        <v>61</v>
      </c>
      <c r="E17" s="173"/>
      <c r="F17" s="174"/>
      <c r="G17" s="138"/>
      <c r="H17" s="138"/>
      <c r="I17" s="135"/>
      <c r="J17" s="136"/>
      <c r="K17" s="136"/>
      <c r="L17" s="136"/>
      <c r="M17" s="136"/>
      <c r="N17" s="136"/>
      <c r="O17" s="136"/>
      <c r="P17" s="136"/>
      <c r="Q17" s="13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69" t="s">
        <v>41</v>
      </c>
      <c r="E18" s="170"/>
      <c r="F18" s="171"/>
      <c r="G18" s="138"/>
      <c r="H18" s="138"/>
      <c r="I18" s="49" t="s">
        <v>29</v>
      </c>
      <c r="J18" s="49" t="s">
        <v>50</v>
      </c>
      <c r="K18" s="49" t="s">
        <v>46</v>
      </c>
      <c r="L18" s="130" t="s">
        <v>39</v>
      </c>
      <c r="M18" s="131"/>
      <c r="N18" s="131"/>
      <c r="O18" s="131"/>
      <c r="P18" s="131"/>
      <c r="Q18" s="13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68"/>
      <c r="C19" s="168"/>
      <c r="D19" s="168"/>
      <c r="E19" s="168"/>
      <c r="F19" s="168"/>
      <c r="G19" s="138"/>
      <c r="H19" s="138"/>
      <c r="I19" s="50" t="s">
        <v>5</v>
      </c>
      <c r="J19" s="41">
        <f>SUM(J20:J22)</f>
        <v>1.0976E-2</v>
      </c>
      <c r="K19" s="38">
        <f>J19/J19</f>
        <v>1</v>
      </c>
      <c r="L19" s="113" t="s">
        <v>55</v>
      </c>
      <c r="M19" s="114"/>
      <c r="N19" s="114"/>
      <c r="O19" s="114"/>
      <c r="P19" s="114"/>
      <c r="Q19" s="11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3" t="s">
        <v>7</v>
      </c>
      <c r="C20" s="134"/>
      <c r="D20" s="166" t="s">
        <v>39</v>
      </c>
      <c r="E20" s="166"/>
      <c r="F20" s="166"/>
      <c r="G20" s="138"/>
      <c r="H20" s="13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1.0350367999999999E-2</v>
      </c>
      <c r="K20" s="39">
        <f>J20/J19</f>
        <v>0.94299999999999995</v>
      </c>
      <c r="L20" s="113" t="s">
        <v>69</v>
      </c>
      <c r="M20" s="114"/>
      <c r="N20" s="114"/>
      <c r="O20" s="114"/>
      <c r="P20" s="114"/>
      <c r="Q20" s="11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72" t="s">
        <v>61</v>
      </c>
      <c r="E21" s="173"/>
      <c r="F21" s="174"/>
      <c r="G21" s="138"/>
      <c r="H21" s="13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5.1587200000000001E-4</v>
      </c>
      <c r="K21" s="39">
        <f>J21/J19</f>
        <v>4.7E-2</v>
      </c>
      <c r="L21" s="113" t="s">
        <v>69</v>
      </c>
      <c r="M21" s="114"/>
      <c r="N21" s="114"/>
      <c r="O21" s="114"/>
      <c r="P21" s="114"/>
      <c r="Q21" s="11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75" t="s">
        <v>67</v>
      </c>
      <c r="E22" s="175"/>
      <c r="F22" s="175"/>
      <c r="G22" s="138"/>
      <c r="H22" s="13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1.0975999999999998E-4</v>
      </c>
      <c r="K22" s="39">
        <f>J22/J19</f>
        <v>9.9999999999999985E-3</v>
      </c>
      <c r="L22" s="113" t="s">
        <v>69</v>
      </c>
      <c r="M22" s="114"/>
      <c r="N22" s="114"/>
      <c r="O22" s="114"/>
      <c r="P22" s="114"/>
      <c r="Q22" s="11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3"/>
      <c r="C23" s="164"/>
      <c r="D23" s="164"/>
      <c r="E23" s="164"/>
      <c r="F23" s="165"/>
      <c r="G23" s="138"/>
      <c r="H23" s="138"/>
      <c r="I23" s="124"/>
      <c r="J23" s="125"/>
      <c r="K23" s="125"/>
      <c r="L23" s="125"/>
      <c r="M23" s="125"/>
      <c r="N23" s="125"/>
      <c r="O23" s="125"/>
      <c r="P23" s="125"/>
      <c r="Q23" s="12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1" t="s">
        <v>37</v>
      </c>
      <c r="C24" s="142"/>
      <c r="D24" s="142"/>
      <c r="E24" s="142"/>
      <c r="F24" s="143"/>
      <c r="G24" s="138"/>
      <c r="H24" s="138"/>
      <c r="I24" s="118" t="s">
        <v>42</v>
      </c>
      <c r="J24" s="119"/>
      <c r="K24" s="119"/>
      <c r="L24" s="119"/>
      <c r="M24" s="119"/>
      <c r="N24" s="119"/>
      <c r="O24" s="119"/>
      <c r="P24" s="119"/>
      <c r="Q24" s="12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4"/>
      <c r="C25" s="145"/>
      <c r="D25" s="145"/>
      <c r="E25" s="145"/>
      <c r="F25" s="146"/>
      <c r="G25" s="138"/>
      <c r="H25" s="138"/>
      <c r="I25" s="121"/>
      <c r="J25" s="122"/>
      <c r="K25" s="122"/>
      <c r="L25" s="122"/>
      <c r="M25" s="122"/>
      <c r="N25" s="122"/>
      <c r="O25" s="122"/>
      <c r="P25" s="122"/>
      <c r="Q25" s="12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9" t="s">
        <v>11</v>
      </c>
      <c r="C26" s="139" t="s">
        <v>12</v>
      </c>
      <c r="D26" s="147" t="s">
        <v>47</v>
      </c>
      <c r="E26" s="147" t="s">
        <v>48</v>
      </c>
      <c r="F26" s="149" t="s">
        <v>66</v>
      </c>
      <c r="G26" s="138"/>
      <c r="H26" s="138"/>
      <c r="I26" s="127" t="s">
        <v>53</v>
      </c>
      <c r="J26" s="127" t="s">
        <v>54</v>
      </c>
      <c r="K26" s="116" t="s">
        <v>73</v>
      </c>
      <c r="L26" s="116" t="s">
        <v>52</v>
      </c>
      <c r="M26" s="116" t="s">
        <v>59</v>
      </c>
      <c r="N26" s="116" t="s">
        <v>62</v>
      </c>
      <c r="O26" s="116" t="s">
        <v>72</v>
      </c>
      <c r="P26" s="116" t="s">
        <v>64</v>
      </c>
      <c r="Q26" s="116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0"/>
      <c r="C27" s="140"/>
      <c r="D27" s="148"/>
      <c r="E27" s="148"/>
      <c r="F27" s="150"/>
      <c r="G27" s="138"/>
      <c r="H27" s="138"/>
      <c r="I27" s="128"/>
      <c r="J27" s="128"/>
      <c r="K27" s="117"/>
      <c r="L27" s="117"/>
      <c r="M27" s="117"/>
      <c r="N27" s="117"/>
      <c r="O27" s="117"/>
      <c r="P27" s="117"/>
      <c r="Q27" s="117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38"/>
      <c r="H28" s="13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4.1938241790910741E-3</v>
      </c>
      <c r="K28" s="93">
        <f t="shared" ref="K28:K47" si="3">IF(D28=0,"",1/(1+10^D28*$J$15/$J$14+10^E28*$J$16/$J$14+10^J28*$J$19/$J$14))</f>
        <v>0.99369275693795289</v>
      </c>
      <c r="L28" s="93">
        <f t="shared" ref="L28:L47" si="4">IF(D28=0,"",1/(1+10^I28/10^J28*$J$13/$J$19))</f>
        <v>2.767486733350064E-4</v>
      </c>
      <c r="M28" s="93">
        <f t="shared" ref="M28:M47" si="5">IF(D28=0,"",1-L28)</f>
        <v>0.99972325132666495</v>
      </c>
      <c r="N28" s="93">
        <f t="shared" ref="N28:N47" si="6">IF(D28=0,"",1/(1/10^E28*$J$20/$J$22+10^D28/10^E28*$J$21/$J$22+10^I28/10^E28*$J$13/$J$22+1))</f>
        <v>3.3121326625102142E-6</v>
      </c>
      <c r="O28" s="40">
        <f t="shared" ref="O28:O47" si="7">IF(D28=0,"",F28*K28*$J$7/$J$14)</f>
        <v>9.99140976488668E-7</v>
      </c>
      <c r="P28" s="40">
        <f t="shared" ref="P28:P47" si="8">IF(D28=0,"",O28*10^J28)</f>
        <v>1.0088360538300641E-6</v>
      </c>
      <c r="Q28" s="40">
        <f t="shared" ref="Q28:Q47" si="9">IF(D28=0,"",F28*N28*$J$7/$J$22)</f>
        <v>1.207376644210207E-6</v>
      </c>
      <c r="R28" s="9">
        <f>F28*$C$14</f>
        <v>3.9999999999999996E-5</v>
      </c>
      <c r="S28" s="9">
        <f>$R28*L28</f>
        <v>1.1069946933400255E-8</v>
      </c>
      <c r="T28" s="9">
        <f t="shared" ref="T28:T91" si="10">R28*K28</f>
        <v>3.9747710277518114E-5</v>
      </c>
      <c r="U28" s="9">
        <f t="shared" ref="U28:U91" si="11">$R28*M28</f>
        <v>3.9988930053066595E-5</v>
      </c>
      <c r="V28" s="100">
        <f>K28/M28</f>
        <v>0.99396783621796392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163</v>
      </c>
      <c r="C29" s="46" t="s">
        <v>164</v>
      </c>
      <c r="D29" s="47">
        <v>2.31</v>
      </c>
      <c r="E29" s="47">
        <v>2.58</v>
      </c>
      <c r="F29" s="96">
        <v>9.9999999999999995E-7</v>
      </c>
      <c r="G29" s="138"/>
      <c r="H29" s="138"/>
      <c r="I29" s="92">
        <f t="shared" si="1"/>
        <v>0.32619780382173885</v>
      </c>
      <c r="J29" s="92">
        <f t="shared" si="2"/>
        <v>1.1565813225528148</v>
      </c>
      <c r="K29" s="93">
        <f t="shared" si="3"/>
        <v>0.46853393243755237</v>
      </c>
      <c r="L29" s="93">
        <f t="shared" si="4"/>
        <v>1.8533693254789291E-3</v>
      </c>
      <c r="M29" s="93">
        <f t="shared" si="5"/>
        <v>0.99814663067452103</v>
      </c>
      <c r="N29" s="93">
        <f t="shared" si="6"/>
        <v>4.9133833332415681E-4</v>
      </c>
      <c r="O29" s="40">
        <f t="shared" si="7"/>
        <v>4.7110281070808101E-7</v>
      </c>
      <c r="P29" s="40">
        <f t="shared" si="8"/>
        <v>6.7561147595548102E-6</v>
      </c>
      <c r="Q29" s="40">
        <f t="shared" si="9"/>
        <v>1.7910829320802517E-4</v>
      </c>
      <c r="R29" s="9">
        <f t="shared" ref="R29:R92" si="12">F29*$C$14</f>
        <v>3.9999999999999996E-5</v>
      </c>
      <c r="S29" s="9">
        <f t="shared" ref="S29:S92" si="13">$R29*L29</f>
        <v>7.4134773019157151E-8</v>
      </c>
      <c r="T29" s="9">
        <f t="shared" si="10"/>
        <v>1.8741357297502093E-5</v>
      </c>
      <c r="U29" s="9">
        <f t="shared" si="11"/>
        <v>3.9925865226980836E-5</v>
      </c>
      <c r="V29" s="100">
        <f t="shared" ref="V29:V92" si="14">K29/M29</f>
        <v>0.46940391124791914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165</v>
      </c>
      <c r="C30" s="46" t="s">
        <v>166</v>
      </c>
      <c r="D30" s="90">
        <v>4.4000000000000004</v>
      </c>
      <c r="E30" s="90">
        <v>2.64</v>
      </c>
      <c r="F30" s="96">
        <v>9.9999999999999995E-7</v>
      </c>
      <c r="G30" s="138"/>
      <c r="H30" s="138"/>
      <c r="I30" s="92">
        <f t="shared" si="1"/>
        <v>2.0854020627961285</v>
      </c>
      <c r="J30" s="92">
        <f t="shared" si="2"/>
        <v>3.0740461578301499</v>
      </c>
      <c r="K30" s="93">
        <f t="shared" si="3"/>
        <v>8.1504773832989669E-3</v>
      </c>
      <c r="L30" s="93">
        <f t="shared" si="4"/>
        <v>2.6660531531393786E-3</v>
      </c>
      <c r="M30" s="93">
        <f t="shared" si="5"/>
        <v>0.99733394684686061</v>
      </c>
      <c r="N30" s="93">
        <f t="shared" si="6"/>
        <v>9.8134710554030791E-6</v>
      </c>
      <c r="O30" s="40">
        <f t="shared" si="7"/>
        <v>8.1951648281025162E-9</v>
      </c>
      <c r="P30" s="40">
        <f t="shared" si="8"/>
        <v>9.7186032001625441E-6</v>
      </c>
      <c r="Q30" s="40">
        <f t="shared" si="9"/>
        <v>3.5773191952845056E-6</v>
      </c>
      <c r="R30" s="9">
        <f t="shared" si="12"/>
        <v>3.9999999999999996E-5</v>
      </c>
      <c r="S30" s="9">
        <f t="shared" si="13"/>
        <v>1.0664212612557514E-7</v>
      </c>
      <c r="T30" s="9">
        <f t="shared" si="10"/>
        <v>3.2601909533195867E-7</v>
      </c>
      <c r="U30" s="9">
        <f t="shared" si="11"/>
        <v>3.9893357873874421E-5</v>
      </c>
      <c r="V30" s="100">
        <f t="shared" si="14"/>
        <v>8.1722650763741255E-3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38"/>
      <c r="H31" s="138"/>
      <c r="I31" s="92">
        <f t="shared" si="1"/>
        <v>-2.0020416091501053E-3</v>
      </c>
      <c r="J31" s="92">
        <f t="shared" si="2"/>
        <v>-2.2830594724809035E-2</v>
      </c>
      <c r="K31" s="93">
        <f t="shared" si="3"/>
        <v>0.9991552491552661</v>
      </c>
      <c r="L31" s="93">
        <f t="shared" si="4"/>
        <v>2.6148210881678447E-4</v>
      </c>
      <c r="M31" s="93">
        <f t="shared" si="5"/>
        <v>0.99973851789118318</v>
      </c>
      <c r="N31" s="93">
        <f t="shared" si="6"/>
        <v>4.4808852435339605E-8</v>
      </c>
      <c r="O31" s="40">
        <f t="shared" si="7"/>
        <v>1.0046334184632741E-6</v>
      </c>
      <c r="P31" s="40">
        <f t="shared" si="8"/>
        <v>9.5318461919622391E-7</v>
      </c>
      <c r="Q31" s="40">
        <f t="shared" si="9"/>
        <v>1.6334237603661759E-8</v>
      </c>
      <c r="R31" s="9">
        <f t="shared" si="12"/>
        <v>3.9999999999999996E-5</v>
      </c>
      <c r="S31" s="9">
        <f t="shared" si="13"/>
        <v>1.0459284352671378E-8</v>
      </c>
      <c r="T31" s="9">
        <f t="shared" si="10"/>
        <v>3.996620996621064E-5</v>
      </c>
      <c r="U31" s="9">
        <f t="shared" si="11"/>
        <v>3.9989540715647326E-5</v>
      </c>
      <c r="V31" s="100">
        <f t="shared" si="14"/>
        <v>0.99941657870985368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38"/>
      <c r="H32" s="138"/>
      <c r="I32" s="92">
        <f t="shared" si="1"/>
        <v>5.4008424806920542E-3</v>
      </c>
      <c r="J32" s="92">
        <f t="shared" si="2"/>
        <v>5.2623632451242734E-2</v>
      </c>
      <c r="K32" s="93">
        <f t="shared" si="3"/>
        <v>0.98222464444339397</v>
      </c>
      <c r="L32" s="93">
        <f t="shared" si="4"/>
        <v>3.0582575619120158E-4</v>
      </c>
      <c r="M32" s="93">
        <f t="shared" si="5"/>
        <v>0.9996941742438088</v>
      </c>
      <c r="N32" s="93">
        <f t="shared" si="6"/>
        <v>5.4226554108485182E-6</v>
      </c>
      <c r="O32" s="40">
        <f t="shared" si="7"/>
        <v>9.8760998661650265E-7</v>
      </c>
      <c r="P32" s="40">
        <f t="shared" si="8"/>
        <v>1.1148311763072175E-6</v>
      </c>
      <c r="Q32" s="40">
        <f t="shared" si="9"/>
        <v>1.9767286397570174E-6</v>
      </c>
      <c r="R32" s="9">
        <f t="shared" si="12"/>
        <v>3.9999999999999996E-5</v>
      </c>
      <c r="S32" s="9">
        <f t="shared" si="13"/>
        <v>1.2233030247648062E-8</v>
      </c>
      <c r="T32" s="9">
        <f t="shared" si="10"/>
        <v>3.9288985777735754E-5</v>
      </c>
      <c r="U32" s="9">
        <f t="shared" si="11"/>
        <v>3.9987766969752352E-5</v>
      </c>
      <c r="V32" s="100">
        <f t="shared" si="14"/>
        <v>0.98252512593300934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167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38"/>
      <c r="H33" s="138"/>
      <c r="I33" s="92">
        <f t="shared" si="1"/>
        <v>9.1527063522880606E-2</v>
      </c>
      <c r="J33" s="92">
        <f t="shared" si="2"/>
        <v>0.57389670394462478</v>
      </c>
      <c r="K33" s="93">
        <f t="shared" si="3"/>
        <v>0.80511095684976641</v>
      </c>
      <c r="L33" s="93">
        <f t="shared" si="4"/>
        <v>8.3251494822439052E-4</v>
      </c>
      <c r="M33" s="93">
        <f t="shared" si="5"/>
        <v>0.99916748505177566</v>
      </c>
      <c r="N33" s="93">
        <f t="shared" si="6"/>
        <v>1.6196857032900564E-4</v>
      </c>
      <c r="O33" s="40">
        <f t="shared" si="7"/>
        <v>8.095252199355924E-7</v>
      </c>
      <c r="P33" s="40">
        <f t="shared" si="8"/>
        <v>3.0347791192645173E-6</v>
      </c>
      <c r="Q33" s="40">
        <f t="shared" si="9"/>
        <v>5.9042643769935839E-5</v>
      </c>
      <c r="R33" s="9">
        <f t="shared" si="12"/>
        <v>3.9999999999999996E-5</v>
      </c>
      <c r="S33" s="9">
        <f t="shared" si="13"/>
        <v>3.3300597928975618E-8</v>
      </c>
      <c r="T33" s="9">
        <f t="shared" si="10"/>
        <v>3.2204438273990652E-5</v>
      </c>
      <c r="U33" s="9">
        <f t="shared" si="11"/>
        <v>3.9966699402071024E-5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38"/>
      <c r="H34" s="138"/>
      <c r="I34" s="92">
        <f t="shared" si="1"/>
        <v>3.1608226539332684E-3</v>
      </c>
      <c r="J34" s="92">
        <f t="shared" si="2"/>
        <v>3.0584256456650125E-2</v>
      </c>
      <c r="K34" s="93">
        <f t="shared" si="3"/>
        <v>0.98731734262412019</v>
      </c>
      <c r="L34" s="93">
        <f t="shared" si="4"/>
        <v>2.9220027567139462E-4</v>
      </c>
      <c r="M34" s="93">
        <f t="shared" si="5"/>
        <v>0.99970779972432866</v>
      </c>
      <c r="N34" s="93">
        <f t="shared" si="6"/>
        <v>3.3467384627549241E-6</v>
      </c>
      <c r="O34" s="40">
        <f t="shared" si="7"/>
        <v>9.927306070474421E-7</v>
      </c>
      <c r="P34" s="40">
        <f t="shared" si="8"/>
        <v>1.065162009573757E-6</v>
      </c>
      <c r="Q34" s="40">
        <f t="shared" si="9"/>
        <v>1.2199915480280993E-6</v>
      </c>
      <c r="R34" s="9">
        <f t="shared" si="12"/>
        <v>3.9999999999999996E-5</v>
      </c>
      <c r="S34" s="9">
        <f t="shared" si="13"/>
        <v>1.1688011026855784E-8</v>
      </c>
      <c r="T34" s="9">
        <f t="shared" si="10"/>
        <v>3.9492693704964803E-5</v>
      </c>
      <c r="U34" s="9">
        <f t="shared" si="11"/>
        <v>3.998831198897314E-5</v>
      </c>
      <c r="V34" s="100">
        <f t="shared" si="14"/>
        <v>0.98760592134659231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38"/>
      <c r="H35" s="138"/>
      <c r="I35" s="92">
        <f t="shared" si="1"/>
        <v>1.8333114105419375E-3</v>
      </c>
      <c r="J35" s="92">
        <f t="shared" si="2"/>
        <v>1.7172996903480602E-2</v>
      </c>
      <c r="K35" s="93">
        <f t="shared" si="3"/>
        <v>0.99034784091601591</v>
      </c>
      <c r="L35" s="93">
        <f t="shared" si="4"/>
        <v>2.8418447925822055E-4</v>
      </c>
      <c r="M35" s="93">
        <f t="shared" si="5"/>
        <v>0.99971581552074174</v>
      </c>
      <c r="N35" s="93">
        <f t="shared" si="6"/>
        <v>2.2587881143692786E-6</v>
      </c>
      <c r="O35" s="40">
        <f t="shared" si="7"/>
        <v>9.9577772095812632E-7</v>
      </c>
      <c r="P35" s="40">
        <f t="shared" si="8"/>
        <v>1.0359419077235023E-6</v>
      </c>
      <c r="Q35" s="40">
        <f t="shared" si="9"/>
        <v>8.2339938987895829E-7</v>
      </c>
      <c r="R35" s="9">
        <f t="shared" si="12"/>
        <v>3.9999999999999996E-5</v>
      </c>
      <c r="S35" s="9">
        <f t="shared" si="13"/>
        <v>1.1367379170328822E-8</v>
      </c>
      <c r="T35" s="9">
        <f t="shared" si="10"/>
        <v>3.9613913636640635E-5</v>
      </c>
      <c r="U35" s="9">
        <f t="shared" si="11"/>
        <v>3.9988632620829668E-5</v>
      </c>
      <c r="V35" s="100">
        <f t="shared" si="14"/>
        <v>0.99062936240550903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168</v>
      </c>
      <c r="C36" s="46" t="s">
        <v>169</v>
      </c>
      <c r="D36" s="47">
        <v>3.4409280000000009</v>
      </c>
      <c r="E36" s="47">
        <v>4.1160660000000009</v>
      </c>
      <c r="F36" s="96">
        <v>9.9999999999999995E-7</v>
      </c>
      <c r="G36" s="138"/>
      <c r="H36" s="138"/>
      <c r="I36" s="92">
        <f t="shared" si="1"/>
        <v>1.2834731216469764</v>
      </c>
      <c r="J36" s="92">
        <f t="shared" si="2"/>
        <v>2.4171487022124163</v>
      </c>
      <c r="K36" s="93">
        <f t="shared" si="3"/>
        <v>5.1600412927296432E-2</v>
      </c>
      <c r="L36" s="93">
        <f t="shared" si="4"/>
        <v>3.7191310220924582E-3</v>
      </c>
      <c r="M36" s="93">
        <f t="shared" si="5"/>
        <v>0.99628086897790757</v>
      </c>
      <c r="N36" s="93">
        <f t="shared" si="6"/>
        <v>1.8593398454285199E-3</v>
      </c>
      <c r="O36" s="40">
        <f t="shared" si="7"/>
        <v>5.1883327718183874E-8</v>
      </c>
      <c r="P36" s="40">
        <f t="shared" si="8"/>
        <v>1.3557403613866337E-5</v>
      </c>
      <c r="Q36" s="40">
        <f t="shared" si="9"/>
        <v>6.7778791847015519E-4</v>
      </c>
      <c r="R36" s="9">
        <f t="shared" si="12"/>
        <v>3.9999999999999996E-5</v>
      </c>
      <c r="S36" s="9">
        <f t="shared" si="13"/>
        <v>1.4876524088369832E-7</v>
      </c>
      <c r="T36" s="9">
        <f t="shared" si="10"/>
        <v>2.0640165170918571E-6</v>
      </c>
      <c r="U36" s="9">
        <f t="shared" si="11"/>
        <v>3.9851234759116303E-5</v>
      </c>
      <c r="V36" s="100">
        <f t="shared" si="14"/>
        <v>5.1793038021731463E-2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170</v>
      </c>
      <c r="C37" s="94" t="s">
        <v>171</v>
      </c>
      <c r="D37" s="95">
        <v>4.9025336133267672</v>
      </c>
      <c r="E37" s="95">
        <v>6.4965619006479365</v>
      </c>
      <c r="F37" s="96">
        <v>9.9999999999999995E-7</v>
      </c>
      <c r="G37" s="138"/>
      <c r="H37" s="138"/>
      <c r="I37" s="92">
        <f t="shared" si="1"/>
        <v>3.1977472098667894</v>
      </c>
      <c r="J37" s="92">
        <f t="shared" si="2"/>
        <v>4.5456726093926623</v>
      </c>
      <c r="K37" s="93">
        <f t="shared" si="3"/>
        <v>6.2711935174540525E-4</v>
      </c>
      <c r="L37" s="93">
        <f t="shared" si="4"/>
        <v>6.0766246514746148E-3</v>
      </c>
      <c r="M37" s="93">
        <f t="shared" si="5"/>
        <v>0.99392337534852537</v>
      </c>
      <c r="N37" s="93">
        <f t="shared" si="6"/>
        <v>5.42689854248445E-3</v>
      </c>
      <c r="O37" s="40">
        <f t="shared" si="7"/>
        <v>6.3055772229702268E-10</v>
      </c>
      <c r="P37" s="40">
        <f t="shared" si="8"/>
        <v>2.2151210194165399E-5</v>
      </c>
      <c r="Q37" s="40">
        <f t="shared" si="9"/>
        <v>1.9782753948412932E-3</v>
      </c>
      <c r="R37" s="9">
        <f t="shared" si="12"/>
        <v>3.9999999999999996E-5</v>
      </c>
      <c r="S37" s="9">
        <f t="shared" si="13"/>
        <v>2.4306498605898456E-7</v>
      </c>
      <c r="T37" s="9">
        <f t="shared" si="10"/>
        <v>2.5084774069816208E-8</v>
      </c>
      <c r="U37" s="9">
        <f t="shared" si="11"/>
        <v>3.9756935013941012E-5</v>
      </c>
      <c r="V37" s="100">
        <f t="shared" si="14"/>
        <v>6.3095341884428669E-4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172</v>
      </c>
      <c r="C38" s="46" t="s">
        <v>173</v>
      </c>
      <c r="D38" s="90">
        <v>-0.51108880646233978</v>
      </c>
      <c r="E38" s="90">
        <v>-1.2045066120098076</v>
      </c>
      <c r="F38" s="96">
        <v>9.9999999999999995E-7</v>
      </c>
      <c r="G38" s="138"/>
      <c r="H38" s="138"/>
      <c r="I38" s="92">
        <f t="shared" si="1"/>
        <v>-1.5996885357091404E-3</v>
      </c>
      <c r="J38" s="92">
        <f t="shared" si="2"/>
        <v>-1.8583509948609172E-2</v>
      </c>
      <c r="K38" s="93">
        <f t="shared" si="3"/>
        <v>0.99822768723893784</v>
      </c>
      <c r="L38" s="93">
        <f t="shared" si="4"/>
        <v>2.6380662677385249E-4</v>
      </c>
      <c r="M38" s="93">
        <f t="shared" si="5"/>
        <v>0.99973619337322617</v>
      </c>
      <c r="N38" s="93">
        <f t="shared" si="6"/>
        <v>1.7193432924044879E-7</v>
      </c>
      <c r="O38" s="40">
        <f t="shared" si="7"/>
        <v>1.0037007709096281E-6</v>
      </c>
      <c r="P38" s="40">
        <f t="shared" si="8"/>
        <v>9.6165821906792717E-7</v>
      </c>
      <c r="Q38" s="40">
        <f t="shared" si="9"/>
        <v>6.2675476683816465E-8</v>
      </c>
      <c r="R38" s="9">
        <f t="shared" si="12"/>
        <v>3.9999999999999996E-5</v>
      </c>
      <c r="S38" s="9">
        <f t="shared" si="13"/>
        <v>1.0552265070954098E-8</v>
      </c>
      <c r="T38" s="9">
        <f t="shared" si="10"/>
        <v>3.9929107489557508E-5</v>
      </c>
      <c r="U38" s="9">
        <f t="shared" si="11"/>
        <v>3.998944773492904E-5</v>
      </c>
      <c r="V38" s="100">
        <f t="shared" si="14"/>
        <v>0.9984910958067863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38"/>
      <c r="H39" s="138"/>
      <c r="I39" s="92">
        <f t="shared" si="1"/>
        <v>0.33491051106253611</v>
      </c>
      <c r="J39" s="92">
        <f t="shared" si="2"/>
        <v>1.1540090280827044</v>
      </c>
      <c r="K39" s="93">
        <f t="shared" si="3"/>
        <v>0.45924981308212082</v>
      </c>
      <c r="L39" s="93">
        <f t="shared" si="4"/>
        <v>1.8059162901127431E-3</v>
      </c>
      <c r="M39" s="93">
        <f t="shared" si="5"/>
        <v>0.99819408370988727</v>
      </c>
      <c r="N39" s="93">
        <f t="shared" si="6"/>
        <v>3.7968250609942664E-4</v>
      </c>
      <c r="O39" s="40">
        <f t="shared" si="7"/>
        <v>4.6176778837461102E-7</v>
      </c>
      <c r="P39" s="40">
        <f t="shared" si="8"/>
        <v>6.5831335041645388E-6</v>
      </c>
      <c r="Q39" s="40">
        <f t="shared" si="9"/>
        <v>1.3840622849092579E-4</v>
      </c>
      <c r="R39" s="9">
        <f t="shared" si="12"/>
        <v>3.9999999999999996E-5</v>
      </c>
      <c r="S39" s="9">
        <f t="shared" si="13"/>
        <v>7.2236651604509724E-8</v>
      </c>
      <c r="T39" s="9">
        <f t="shared" si="10"/>
        <v>1.8369992523284832E-5</v>
      </c>
      <c r="U39" s="9">
        <f t="shared" si="11"/>
        <v>3.9927763348395486E-5</v>
      </c>
      <c r="V39" s="100">
        <f t="shared" si="14"/>
        <v>0.4600806802773999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174</v>
      </c>
      <c r="C40" s="46" t="s">
        <v>175</v>
      </c>
      <c r="D40" s="47">
        <v>2.349974877229557</v>
      </c>
      <c r="E40" s="47">
        <v>2.8654572197209189</v>
      </c>
      <c r="F40" s="96">
        <v>9.9999999999999995E-7</v>
      </c>
      <c r="G40" s="138"/>
      <c r="H40" s="138"/>
      <c r="I40" s="92">
        <f t="shared" si="1"/>
        <v>0.37071855582347524</v>
      </c>
      <c r="J40" s="92">
        <f t="shared" si="2"/>
        <v>1.2741658230618662</v>
      </c>
      <c r="K40" s="93">
        <f t="shared" si="3"/>
        <v>0.42273952074186183</v>
      </c>
      <c r="L40" s="93">
        <f t="shared" si="4"/>
        <v>2.1921904072723557E-3</v>
      </c>
      <c r="M40" s="93">
        <f t="shared" si="5"/>
        <v>0.99780780959272763</v>
      </c>
      <c r="N40" s="93">
        <f t="shared" si="6"/>
        <v>8.5540083461662633E-4</v>
      </c>
      <c r="O40" s="40">
        <f t="shared" si="7"/>
        <v>4.2505731737033168E-7</v>
      </c>
      <c r="P40" s="40">
        <f t="shared" si="8"/>
        <v>7.9912242868808703E-6</v>
      </c>
      <c r="Q40" s="40">
        <f t="shared" si="9"/>
        <v>3.1182053812159078E-4</v>
      </c>
      <c r="R40" s="9">
        <f t="shared" si="12"/>
        <v>3.9999999999999996E-5</v>
      </c>
      <c r="S40" s="9">
        <f t="shared" si="13"/>
        <v>8.7687616290894216E-8</v>
      </c>
      <c r="T40" s="9">
        <f t="shared" si="10"/>
        <v>1.6909580829674471E-5</v>
      </c>
      <c r="U40" s="9">
        <f t="shared" si="11"/>
        <v>3.9912312383709103E-5</v>
      </c>
      <c r="V40" s="100">
        <f t="shared" si="14"/>
        <v>0.42366828228615511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176</v>
      </c>
      <c r="C41" s="94" t="s">
        <v>177</v>
      </c>
      <c r="D41" s="95">
        <v>1.4854320000000003</v>
      </c>
      <c r="E41" s="95">
        <v>1.5057189999999996</v>
      </c>
      <c r="F41" s="96">
        <v>9.9999999999999995E-7</v>
      </c>
      <c r="G41" s="138"/>
      <c r="H41" s="138"/>
      <c r="I41" s="92">
        <f t="shared" si="1"/>
        <v>6.2122287627494992E-2</v>
      </c>
      <c r="J41" s="92">
        <f t="shared" si="2"/>
        <v>0.43147013822686364</v>
      </c>
      <c r="K41" s="93">
        <f t="shared" si="3"/>
        <v>0.86167474876244476</v>
      </c>
      <c r="L41" s="93">
        <f t="shared" si="4"/>
        <v>6.4187890587906991E-4</v>
      </c>
      <c r="M41" s="93">
        <f t="shared" si="5"/>
        <v>0.99935812109412092</v>
      </c>
      <c r="N41" s="93">
        <f t="shared" si="6"/>
        <v>7.61556212751745E-5</v>
      </c>
      <c r="O41" s="40">
        <f t="shared" si="7"/>
        <v>8.6639913985796944E-7</v>
      </c>
      <c r="P41" s="40">
        <f t="shared" si="8"/>
        <v>2.3398507195730431E-6</v>
      </c>
      <c r="Q41" s="40">
        <f t="shared" si="9"/>
        <v>2.7761121857745053E-5</v>
      </c>
      <c r="R41" s="9">
        <f t="shared" si="12"/>
        <v>3.9999999999999996E-5</v>
      </c>
      <c r="S41" s="9">
        <f t="shared" si="13"/>
        <v>2.5675156235162793E-8</v>
      </c>
      <c r="T41" s="9">
        <f t="shared" si="10"/>
        <v>3.4466989950497788E-5</v>
      </c>
      <c r="U41" s="9">
        <f t="shared" si="11"/>
        <v>3.9974324843764837E-5</v>
      </c>
      <c r="V41" s="100">
        <f t="shared" si="14"/>
        <v>0.86222819485277491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178</v>
      </c>
      <c r="C42" s="46" t="s">
        <v>179</v>
      </c>
      <c r="D42" s="90">
        <v>2.0758240000000003</v>
      </c>
      <c r="E42" s="90">
        <v>2.477398</v>
      </c>
      <c r="F42" s="96">
        <v>9.9999999999999995E-7</v>
      </c>
      <c r="G42" s="138"/>
      <c r="H42" s="138"/>
      <c r="I42" s="92">
        <f t="shared" si="1"/>
        <v>0.22542744412672311</v>
      </c>
      <c r="J42" s="92">
        <f t="shared" si="2"/>
        <v>0.97961580067951626</v>
      </c>
      <c r="K42" s="93">
        <f t="shared" si="3"/>
        <v>0.59107276895723626</v>
      </c>
      <c r="L42" s="93">
        <f t="shared" si="4"/>
        <v>1.5555943300895787E-3</v>
      </c>
      <c r="M42" s="93">
        <f t="shared" si="5"/>
        <v>0.99844440566991044</v>
      </c>
      <c r="N42" s="93">
        <f t="shared" si="6"/>
        <v>4.8941643684705224E-4</v>
      </c>
      <c r="O42" s="40">
        <f t="shared" si="7"/>
        <v>5.9431350327198697E-7</v>
      </c>
      <c r="P42" s="40">
        <f t="shared" si="8"/>
        <v>5.670631141303772E-6</v>
      </c>
      <c r="Q42" s="40">
        <f t="shared" si="9"/>
        <v>1.7840770142759588E-4</v>
      </c>
      <c r="R42" s="9">
        <f t="shared" si="12"/>
        <v>3.9999999999999996E-5</v>
      </c>
      <c r="S42" s="9">
        <f t="shared" si="13"/>
        <v>6.2223773203583137E-8</v>
      </c>
      <c r="T42" s="9">
        <f t="shared" si="10"/>
        <v>2.3642910758289449E-5</v>
      </c>
      <c r="U42" s="9">
        <f t="shared" si="11"/>
        <v>3.9937776226796416E-5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180</v>
      </c>
      <c r="C43" s="46" t="s">
        <v>181</v>
      </c>
      <c r="D43" s="90">
        <v>2.3078000000000003</v>
      </c>
      <c r="E43" s="90">
        <v>2.5099249999999995</v>
      </c>
      <c r="F43" s="96">
        <v>9.9999999999999995E-7</v>
      </c>
      <c r="G43" s="138"/>
      <c r="H43" s="138"/>
      <c r="I43" s="92">
        <f t="shared" si="1"/>
        <v>0.32073739190116707</v>
      </c>
      <c r="J43" s="92">
        <f t="shared" si="2"/>
        <v>1.1375458252816428</v>
      </c>
      <c r="K43" s="93">
        <f t="shared" si="3"/>
        <v>0.47448909123849059</v>
      </c>
      <c r="L43" s="93">
        <f t="shared" si="4"/>
        <v>1.7964356158342029E-3</v>
      </c>
      <c r="M43" s="93">
        <f t="shared" si="5"/>
        <v>0.9982035643841658</v>
      </c>
      <c r="N43" s="93">
        <f t="shared" si="6"/>
        <v>4.2343897669419519E-4</v>
      </c>
      <c r="O43" s="40">
        <f t="shared" si="7"/>
        <v>4.7709062045910458E-7</v>
      </c>
      <c r="P43" s="40">
        <f t="shared" si="8"/>
        <v>6.5485734612506858E-6</v>
      </c>
      <c r="Q43" s="40">
        <f t="shared" si="9"/>
        <v>1.5435683977747819E-4</v>
      </c>
      <c r="R43" s="9">
        <f t="shared" si="12"/>
        <v>3.9999999999999996E-5</v>
      </c>
      <c r="S43" s="9">
        <f t="shared" si="13"/>
        <v>7.1857424633368114E-8</v>
      </c>
      <c r="T43" s="9">
        <f t="shared" si="10"/>
        <v>1.8979563649539622E-5</v>
      </c>
      <c r="U43" s="9">
        <f t="shared" si="11"/>
        <v>3.9928142575366628E-5</v>
      </c>
      <c r="V43" s="100">
        <f t="shared" si="14"/>
        <v>0.47534301435922349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182</v>
      </c>
      <c r="C44" s="46" t="s">
        <v>183</v>
      </c>
      <c r="D44" s="90">
        <v>5.676184000000001</v>
      </c>
      <c r="E44" s="90">
        <v>7.0708080000000004</v>
      </c>
      <c r="F44" s="96">
        <v>9.9999999999999995E-7</v>
      </c>
      <c r="G44" s="138"/>
      <c r="H44" s="138"/>
      <c r="I44" s="92">
        <f t="shared" si="1"/>
        <v>3.8293839195374848</v>
      </c>
      <c r="J44" s="92">
        <f t="shared" si="2"/>
        <v>5.1461538106089488</v>
      </c>
      <c r="K44" s="93">
        <f t="shared" si="3"/>
        <v>1.4651976733801557E-4</v>
      </c>
      <c r="L44" s="93">
        <f t="shared" si="4"/>
        <v>5.6583476907636227E-3</v>
      </c>
      <c r="M44" s="93">
        <f t="shared" si="5"/>
        <v>0.99434165230923632</v>
      </c>
      <c r="N44" s="93">
        <f t="shared" si="6"/>
        <v>4.7571168542441741E-3</v>
      </c>
      <c r="O44" s="40">
        <f t="shared" si="7"/>
        <v>1.4732310605152E-10</v>
      </c>
      <c r="P44" s="40">
        <f t="shared" si="8"/>
        <v>2.0626458970007178E-5</v>
      </c>
      <c r="Q44" s="40">
        <f t="shared" si="9"/>
        <v>1.7341188801417563E-3</v>
      </c>
      <c r="R44" s="9">
        <f t="shared" si="12"/>
        <v>3.9999999999999996E-5</v>
      </c>
      <c r="S44" s="9">
        <f t="shared" si="13"/>
        <v>2.2633390763054488E-7</v>
      </c>
      <c r="T44" s="9">
        <f t="shared" si="10"/>
        <v>5.8607906935206221E-9</v>
      </c>
      <c r="U44" s="9">
        <f t="shared" si="11"/>
        <v>3.9773666092369446E-5</v>
      </c>
      <c r="V44" s="100">
        <f t="shared" si="14"/>
        <v>1.4735354492868865E-4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184</v>
      </c>
      <c r="C45" s="46" t="s">
        <v>185</v>
      </c>
      <c r="D45" s="90">
        <v>1.2599279999999999</v>
      </c>
      <c r="E45" s="90">
        <v>1.3925860000000003</v>
      </c>
      <c r="F45" s="96">
        <v>9.9999999999999995E-7</v>
      </c>
      <c r="G45" s="138"/>
      <c r="H45" s="138"/>
      <c r="I45" s="92">
        <f t="shared" si="1"/>
        <v>3.8037572032670899E-2</v>
      </c>
      <c r="J45" s="92">
        <f t="shared" si="2"/>
        <v>0.31070489262972562</v>
      </c>
      <c r="K45" s="93">
        <f t="shared" si="3"/>
        <v>0.91092730533260546</v>
      </c>
      <c r="L45" s="93">
        <f t="shared" si="4"/>
        <v>5.1384035878151622E-4</v>
      </c>
      <c r="M45" s="93">
        <f t="shared" si="5"/>
        <v>0.99948615964121845</v>
      </c>
      <c r="N45" s="93">
        <f t="shared" si="6"/>
        <v>6.2045361549253541E-5</v>
      </c>
      <c r="O45" s="40">
        <f t="shared" si="7"/>
        <v>9.1592173839004921E-7</v>
      </c>
      <c r="P45" s="40">
        <f t="shared" si="8"/>
        <v>1.8731099000581853E-6</v>
      </c>
      <c r="Q45" s="40">
        <f t="shared" si="9"/>
        <v>2.261748789958552E-5</v>
      </c>
      <c r="R45" s="9">
        <f t="shared" si="12"/>
        <v>3.9999999999999996E-5</v>
      </c>
      <c r="S45" s="9">
        <f t="shared" si="13"/>
        <v>2.0553614351260648E-8</v>
      </c>
      <c r="T45" s="9">
        <f t="shared" si="10"/>
        <v>3.6437092213304216E-5</v>
      </c>
      <c r="U45" s="9">
        <f t="shared" si="11"/>
        <v>3.9979446385648732E-5</v>
      </c>
      <c r="V45" s="100">
        <f t="shared" si="14"/>
        <v>0.91139561718353101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186</v>
      </c>
      <c r="C46" s="46" t="s">
        <v>187</v>
      </c>
      <c r="D46" s="91">
        <v>1.2889359999999999</v>
      </c>
      <c r="E46" s="91">
        <v>1.371977</v>
      </c>
      <c r="F46" s="96">
        <v>9.9999999999999995E-7</v>
      </c>
      <c r="G46" s="138"/>
      <c r="H46" s="138"/>
      <c r="I46" s="92">
        <f t="shared" si="1"/>
        <v>4.0258976380178252E-2</v>
      </c>
      <c r="J46" s="92">
        <f t="shared" si="2"/>
        <v>0.32070219402122674</v>
      </c>
      <c r="K46" s="93">
        <f t="shared" si="3"/>
        <v>0.9062714202485892</v>
      </c>
      <c r="L46" s="93">
        <f t="shared" si="4"/>
        <v>5.2311849843726058E-4</v>
      </c>
      <c r="M46" s="93">
        <f t="shared" si="5"/>
        <v>0.99947688150156277</v>
      </c>
      <c r="N46" s="93">
        <f t="shared" si="6"/>
        <v>5.886740393199973E-5</v>
      </c>
      <c r="O46" s="40">
        <f t="shared" si="7"/>
        <v>9.1124032601506333E-7</v>
      </c>
      <c r="P46" s="40">
        <f t="shared" si="8"/>
        <v>1.9069316405001159E-6</v>
      </c>
      <c r="Q46" s="40">
        <f t="shared" si="9"/>
        <v>2.1459022284124885E-5</v>
      </c>
      <c r="R46" s="9">
        <f t="shared" si="12"/>
        <v>3.9999999999999996E-5</v>
      </c>
      <c r="S46" s="9">
        <f t="shared" si="13"/>
        <v>2.0924739937490421E-8</v>
      </c>
      <c r="T46" s="9">
        <f t="shared" si="10"/>
        <v>3.6250856809943565E-5</v>
      </c>
      <c r="U46" s="9">
        <f t="shared" si="11"/>
        <v>3.997907526006251E-5</v>
      </c>
      <c r="V46" s="100">
        <f t="shared" si="14"/>
        <v>0.90674575572678928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188</v>
      </c>
      <c r="C47" s="46" t="s">
        <v>189</v>
      </c>
      <c r="D47" s="90">
        <v>2.5448008164668257</v>
      </c>
      <c r="E47" s="90">
        <v>3.1426039783542175</v>
      </c>
      <c r="F47" s="96">
        <v>9.9999999999999995E-7</v>
      </c>
      <c r="G47" s="138"/>
      <c r="H47" s="138"/>
      <c r="I47" s="92">
        <f t="shared" si="1"/>
        <v>0.50587648659747519</v>
      </c>
      <c r="J47" s="92">
        <f t="shared" si="2"/>
        <v>1.4956502827878047</v>
      </c>
      <c r="K47" s="93">
        <f t="shared" si="3"/>
        <v>0.3095320379348076</v>
      </c>
      <c r="L47" s="93">
        <f t="shared" si="4"/>
        <v>2.6729786450220851E-3</v>
      </c>
      <c r="M47" s="93">
        <f t="shared" si="5"/>
        <v>0.99732702135497786</v>
      </c>
      <c r="N47" s="93">
        <f t="shared" si="6"/>
        <v>1.1856300134849651E-3</v>
      </c>
      <c r="O47" s="40">
        <f t="shared" si="7"/>
        <v>3.1122914047367053E-7</v>
      </c>
      <c r="P47" s="40">
        <f t="shared" si="8"/>
        <v>9.7438487986963542E-6</v>
      </c>
      <c r="Q47" s="40">
        <f t="shared" si="9"/>
        <v>4.3219947170578188E-4</v>
      </c>
      <c r="R47" s="9">
        <f t="shared" si="12"/>
        <v>3.9999999999999996E-5</v>
      </c>
      <c r="S47" s="9">
        <f t="shared" si="13"/>
        <v>1.0691914580088339E-7</v>
      </c>
      <c r="T47" s="9">
        <f t="shared" si="10"/>
        <v>1.2381281517392303E-5</v>
      </c>
      <c r="U47" s="9">
        <f t="shared" si="11"/>
        <v>3.9893080854199108E-5</v>
      </c>
      <c r="V47" s="100">
        <f t="shared" si="14"/>
        <v>0.31036162793852157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38"/>
      <c r="H48" s="13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2.1447334021721217E-2</v>
      </c>
      <c r="K48" s="93">
        <f t="shared" ref="K48:K50" si="17">IF(D48=0,"",1/(1+10^D48*$J$15/$J$14+10^E48*$J$16/$J$14+10^J48*$J$19/$J$14))</f>
        <v>0.98974662093906496</v>
      </c>
      <c r="L48" s="93">
        <f t="shared" ref="L48:L50" si="18">IF(D48=0,"",1/(1+10^I48/10^J48*$J$13/$J$19))</f>
        <v>2.8682101012679912E-4</v>
      </c>
      <c r="M48" s="93">
        <f t="shared" ref="M48:M92" si="19">IF(D48=0,"",1-L48)</f>
        <v>0.99971317898987322</v>
      </c>
      <c r="N48" s="93">
        <f t="shared" ref="N48:N50" si="20">IF(D48=0,"",1/(1/10^E48*$J$20/$J$22+10^D48/10^E48*$J$21/$J$22+10^I48/10^E48*$J$13/$J$22+1))</f>
        <v>4.145373119849074E-6</v>
      </c>
      <c r="O48" s="40">
        <f t="shared" ref="O48:O92" si="21">IF(D48=0,"",F48*K48*$J$7/$J$14)</f>
        <v>9.9517320461173949E-7</v>
      </c>
      <c r="P48" s="40">
        <f t="shared" ref="P48:P50" si="22">IF(D48=0,"",O48*10^J48)</f>
        <v>1.0455528929007941E-6</v>
      </c>
      <c r="Q48" s="40">
        <f t="shared" ref="Q48:Q50" si="23">IF(D48=0,"",F48*N48*$J$7/$J$22)</f>
        <v>1.5111190270529013E-6</v>
      </c>
      <c r="R48" s="9">
        <f t="shared" si="12"/>
        <v>3.9999999999999996E-5</v>
      </c>
      <c r="S48" s="9">
        <f t="shared" si="13"/>
        <v>1.1472840405071964E-8</v>
      </c>
      <c r="T48" s="9">
        <f t="shared" si="10"/>
        <v>3.9589864837562597E-5</v>
      </c>
      <c r="U48" s="9">
        <f t="shared" si="11"/>
        <v>3.9988527159594925E-5</v>
      </c>
      <c r="V48" s="100">
        <f t="shared" si="14"/>
        <v>0.99003058251079712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190</v>
      </c>
      <c r="C49" s="46" t="s">
        <v>191</v>
      </c>
      <c r="D49" s="90">
        <v>1.6175039999999998</v>
      </c>
      <c r="E49" s="90">
        <v>1.8999029999999997</v>
      </c>
      <c r="F49" s="96">
        <v>9.9999999999999995E-7</v>
      </c>
      <c r="G49" s="138"/>
      <c r="H49" s="138"/>
      <c r="I49" s="92">
        <f t="shared" si="15"/>
        <v>8.7763082204907472E-2</v>
      </c>
      <c r="J49" s="92">
        <f t="shared" si="16"/>
        <v>0.56646209105716006</v>
      </c>
      <c r="K49" s="93">
        <f t="shared" si="17"/>
        <v>0.81212477855704401</v>
      </c>
      <c r="L49" s="93">
        <f t="shared" si="18"/>
        <v>8.2551401658468009E-4</v>
      </c>
      <c r="M49" s="93">
        <f t="shared" si="19"/>
        <v>0.99917448598341529</v>
      </c>
      <c r="N49" s="93">
        <f t="shared" si="20"/>
        <v>1.7789566309732059E-4</v>
      </c>
      <c r="O49" s="40">
        <f t="shared" si="21"/>
        <v>8.1657749703090002E-7</v>
      </c>
      <c r="P49" s="40">
        <f t="shared" si="22"/>
        <v>3.0092585190627941E-6</v>
      </c>
      <c r="Q49" s="40">
        <f t="shared" si="23"/>
        <v>6.4848570578452812E-5</v>
      </c>
      <c r="R49" s="9">
        <f t="shared" si="12"/>
        <v>3.9999999999999996E-5</v>
      </c>
      <c r="S49" s="9">
        <f t="shared" si="13"/>
        <v>3.3020560663387198E-8</v>
      </c>
      <c r="T49" s="9">
        <f t="shared" si="10"/>
        <v>3.2484991142281755E-5</v>
      </c>
      <c r="U49" s="9">
        <f t="shared" si="11"/>
        <v>3.9966979439336611E-5</v>
      </c>
      <c r="V49" s="100">
        <f t="shared" si="14"/>
        <v>0.81279575284363692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192</v>
      </c>
      <c r="C50" s="46" t="s">
        <v>193</v>
      </c>
      <c r="D50" s="90">
        <v>2.5898400000000001</v>
      </c>
      <c r="E50" s="90">
        <v>2.96393</v>
      </c>
      <c r="F50" s="96">
        <v>9.9999999999999995E-7</v>
      </c>
      <c r="G50" s="138"/>
      <c r="H50" s="138"/>
      <c r="I50" s="92">
        <f t="shared" si="15"/>
        <v>0.50667591684415281</v>
      </c>
      <c r="J50" s="92">
        <f t="shared" si="16"/>
        <v>1.4536912879965904</v>
      </c>
      <c r="K50" s="93">
        <f t="shared" si="17"/>
        <v>0.30904024305500549</v>
      </c>
      <c r="L50" s="93">
        <f t="shared" si="18"/>
        <v>2.4229582112727855E-3</v>
      </c>
      <c r="M50" s="93">
        <f t="shared" si="19"/>
        <v>0.99757704178872719</v>
      </c>
      <c r="N50" s="93">
        <f t="shared" si="20"/>
        <v>7.8448498555055892E-4</v>
      </c>
      <c r="O50" s="40">
        <f t="shared" si="21"/>
        <v>3.107346491804545E-7</v>
      </c>
      <c r="P50" s="40">
        <f t="shared" si="22"/>
        <v>8.8324455940450362E-6</v>
      </c>
      <c r="Q50" s="40">
        <f t="shared" si="23"/>
        <v>2.8596947821814657E-4</v>
      </c>
      <c r="R50" s="9">
        <f t="shared" si="12"/>
        <v>3.9999999999999996E-5</v>
      </c>
      <c r="S50" s="9">
        <f t="shared" si="13"/>
        <v>9.6918328450911418E-8</v>
      </c>
      <c r="T50" s="9">
        <f t="shared" si="10"/>
        <v>1.2361609722200218E-5</v>
      </c>
      <c r="U50" s="9">
        <f t="shared" si="11"/>
        <v>3.9903081671549082E-5</v>
      </c>
      <c r="V50" s="100">
        <f t="shared" si="14"/>
        <v>0.3097908533468996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194</v>
      </c>
      <c r="C51" s="46" t="s">
        <v>195</v>
      </c>
      <c r="D51" s="90">
        <v>5.0487680000000008</v>
      </c>
      <c r="E51" s="90">
        <v>6.0352960000000007</v>
      </c>
      <c r="F51" s="96">
        <v>9.9999999999999995E-7</v>
      </c>
      <c r="G51" s="138"/>
      <c r="H51" s="13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4.2069917533022263</v>
      </c>
      <c r="K51" s="93">
        <f t="shared" ref="K51:K70" si="26">IF(D51=0,"",1/(1+10^D51*$J$15/$J$14+10^E51*$J$16/$J$14+10^J51*$J$19/$J$14))</f>
        <v>1.0420994025453138E-3</v>
      </c>
      <c r="L51" s="93">
        <f t="shared" ref="L51:L70" si="27">IF(D51=0,"",1/(1+10^I51/10^J51*$J$13/$J$19))</f>
        <v>4.6295683406904608E-3</v>
      </c>
      <c r="M51" s="93">
        <f t="shared" ref="M51:M70" si="28">IF(D51=0,"",1-L51)</f>
        <v>0.9953704316593095</v>
      </c>
      <c r="N51" s="93">
        <f t="shared" ref="N51:N70" si="29">IF(D51=0,"",1/(1/10^E51*$J$20/$J$22+10^D51/10^E51*$J$21/$J$22+10^I51/10^E51*$J$13/$J$22+1))</f>
        <v>3.11777482641996E-3</v>
      </c>
      <c r="O51" s="40">
        <f t="shared" ref="O51:O70" si="30">IF(D51=0,"",F51*K51*$J$7/$J$14)</f>
        <v>1.0478130260965522E-9</v>
      </c>
      <c r="P51" s="40">
        <f t="shared" ref="P51:P70" si="31">IF(D51=0,"",O51*10^J51)</f>
        <v>1.6876234308466271E-5</v>
      </c>
      <c r="Q51" s="40">
        <f t="shared" ref="Q51:Q70" si="32">IF(D51=0,"",F51*N51*$J$7/$J$22)</f>
        <v>1.1365270932333564E-3</v>
      </c>
      <c r="R51" s="9">
        <f t="shared" si="12"/>
        <v>3.9999999999999996E-5</v>
      </c>
      <c r="S51" s="9">
        <f t="shared" si="13"/>
        <v>1.8518273362761841E-7</v>
      </c>
      <c r="T51" s="9">
        <f t="shared" si="10"/>
        <v>4.168397610181255E-8</v>
      </c>
      <c r="U51" s="9">
        <f t="shared" si="11"/>
        <v>3.9814817266372377E-5</v>
      </c>
      <c r="V51" s="100">
        <f t="shared" si="14"/>
        <v>1.0469463120459646E-3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196</v>
      </c>
      <c r="C52" s="46" t="s">
        <v>197</v>
      </c>
      <c r="D52" s="47">
        <v>2.7330160000000001</v>
      </c>
      <c r="E52" s="47">
        <v>3.3310319999999995</v>
      </c>
      <c r="F52" s="96">
        <v>9.9999999999999995E-7</v>
      </c>
      <c r="G52" s="138"/>
      <c r="H52" s="138"/>
      <c r="I52" s="92">
        <f t="shared" si="24"/>
        <v>0.64393554165863076</v>
      </c>
      <c r="J52" s="92">
        <f t="shared" si="25"/>
        <v>1.6793358904404492</v>
      </c>
      <c r="K52" s="93">
        <f t="shared" si="26"/>
        <v>0.22517386142810383</v>
      </c>
      <c r="L52" s="93">
        <f t="shared" si="27"/>
        <v>2.9682020802563368E-3</v>
      </c>
      <c r="M52" s="93">
        <f t="shared" si="28"/>
        <v>0.99703179791974361</v>
      </c>
      <c r="N52" s="93">
        <f t="shared" si="29"/>
        <v>1.3310353038511248E-3</v>
      </c>
      <c r="O52" s="40">
        <f t="shared" si="30"/>
        <v>2.2640844488015892E-7</v>
      </c>
      <c r="P52" s="40">
        <f t="shared" si="31"/>
        <v>1.0820031176775361E-5</v>
      </c>
      <c r="Q52" s="40">
        <f t="shared" si="32"/>
        <v>4.8520427840324407E-4</v>
      </c>
      <c r="R52" s="9">
        <f t="shared" si="12"/>
        <v>3.9999999999999996E-5</v>
      </c>
      <c r="S52" s="9">
        <f t="shared" si="13"/>
        <v>1.1872808321025346E-7</v>
      </c>
      <c r="T52" s="9">
        <f t="shared" si="10"/>
        <v>9.0069544571241519E-6</v>
      </c>
      <c r="U52" s="9">
        <f t="shared" si="11"/>
        <v>3.9881271916789744E-5</v>
      </c>
      <c r="V52" s="100">
        <f t="shared" si="14"/>
        <v>0.22584421269002422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198</v>
      </c>
      <c r="C53" s="46" t="s">
        <v>199</v>
      </c>
      <c r="D53" s="47">
        <v>3.4406639999999999</v>
      </c>
      <c r="E53" s="47">
        <v>4.222847999999999</v>
      </c>
      <c r="F53" s="96">
        <v>9.9999999999999995E-7</v>
      </c>
      <c r="G53" s="138"/>
      <c r="H53" s="138"/>
      <c r="I53" s="92">
        <f t="shared" si="24"/>
        <v>1.3135143326183101</v>
      </c>
      <c r="J53" s="92">
        <f t="shared" si="25"/>
        <v>2.4736918816104327</v>
      </c>
      <c r="K53" s="93">
        <f t="shared" si="26"/>
        <v>4.8140472015762374E-2</v>
      </c>
      <c r="L53" s="93">
        <f t="shared" si="27"/>
        <v>3.9522264930026245E-3</v>
      </c>
      <c r="M53" s="93">
        <f t="shared" si="28"/>
        <v>0.99604777350699736</v>
      </c>
      <c r="N53" s="93">
        <f t="shared" si="29"/>
        <v>2.2181859157444192E-3</v>
      </c>
      <c r="O53" s="40">
        <f t="shared" si="30"/>
        <v>4.8404416639475989E-8</v>
      </c>
      <c r="P53" s="40">
        <f t="shared" si="31"/>
        <v>1.4407109999826188E-5</v>
      </c>
      <c r="Q53" s="40">
        <f t="shared" si="32"/>
        <v>8.0859861004362228E-4</v>
      </c>
      <c r="R53" s="9">
        <f t="shared" si="12"/>
        <v>3.9999999999999996E-5</v>
      </c>
      <c r="S53" s="9">
        <f t="shared" si="13"/>
        <v>1.5808905972010496E-7</v>
      </c>
      <c r="T53" s="9">
        <f t="shared" si="10"/>
        <v>1.9256188806304946E-6</v>
      </c>
      <c r="U53" s="9">
        <f t="shared" si="11"/>
        <v>3.9841910940279894E-5</v>
      </c>
      <c r="V53" s="100">
        <f t="shared" si="14"/>
        <v>4.8331489007062349E-2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200</v>
      </c>
      <c r="C54" s="46" t="s">
        <v>201</v>
      </c>
      <c r="D54" s="47">
        <v>2.8976480000000002</v>
      </c>
      <c r="E54" s="47">
        <v>3.5312959999999993</v>
      </c>
      <c r="F54" s="96">
        <v>9.9999999999999995E-7</v>
      </c>
      <c r="G54" s="138"/>
      <c r="H54" s="138"/>
      <c r="I54" s="92">
        <f t="shared" si="24"/>
        <v>0.78379345695532832</v>
      </c>
      <c r="J54" s="92">
        <f t="shared" si="25"/>
        <v>1.8576970931564492</v>
      </c>
      <c r="K54" s="93">
        <f t="shared" si="26"/>
        <v>0.16313253007362502</v>
      </c>
      <c r="L54" s="93">
        <f t="shared" si="27"/>
        <v>3.2424796883082029E-3</v>
      </c>
      <c r="M54" s="93">
        <f t="shared" si="28"/>
        <v>0.99675752031169185</v>
      </c>
      <c r="N54" s="93">
        <f t="shared" si="29"/>
        <v>1.5292418375002237E-3</v>
      </c>
      <c r="O54" s="40">
        <f t="shared" si="30"/>
        <v>1.6402695325775234E-7</v>
      </c>
      <c r="P54" s="40">
        <f t="shared" si="31"/>
        <v>1.1819859419587008E-5</v>
      </c>
      <c r="Q54" s="40">
        <f t="shared" si="32"/>
        <v>5.5745680082377319E-4</v>
      </c>
      <c r="R54" s="9">
        <f t="shared" si="12"/>
        <v>3.9999999999999996E-5</v>
      </c>
      <c r="S54" s="9">
        <f t="shared" si="13"/>
        <v>1.2969918753232809E-7</v>
      </c>
      <c r="T54" s="9">
        <f t="shared" si="10"/>
        <v>6.5253012029449999E-6</v>
      </c>
      <c r="U54" s="9">
        <f t="shared" si="11"/>
        <v>3.9870300812467671E-5</v>
      </c>
      <c r="V54" s="100">
        <f t="shared" si="14"/>
        <v>0.16366320469055756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38"/>
      <c r="H55" s="138"/>
      <c r="I55" s="54">
        <f t="shared" si="24"/>
        <v>5.6400487609719711E-2</v>
      </c>
      <c r="J55" s="54">
        <f t="shared" si="25"/>
        <v>0.41912406778565536</v>
      </c>
      <c r="K55" s="55">
        <f t="shared" si="26"/>
        <v>0.8731108516095093</v>
      </c>
      <c r="L55" s="55">
        <f t="shared" si="27"/>
        <v>6.3216879282732355E-4</v>
      </c>
      <c r="M55" s="55">
        <f t="shared" si="28"/>
        <v>0.99936783120717265</v>
      </c>
      <c r="N55" s="55">
        <f t="shared" si="29"/>
        <v>1.0484747722196065E-4</v>
      </c>
      <c r="O55" s="56">
        <f t="shared" si="30"/>
        <v>8.7789794458011587E-7</v>
      </c>
      <c r="P55" s="56">
        <f t="shared" si="31"/>
        <v>2.3044543000877386E-6</v>
      </c>
      <c r="Q55" s="56">
        <f t="shared" si="32"/>
        <v>3.8220206767387158E-5</v>
      </c>
      <c r="R55" s="9">
        <f t="shared" si="12"/>
        <v>3.9999999999999996E-5</v>
      </c>
      <c r="S55" s="9">
        <f t="shared" si="13"/>
        <v>2.5286751713092941E-8</v>
      </c>
      <c r="T55" s="9">
        <f t="shared" si="10"/>
        <v>3.4924434064380366E-5</v>
      </c>
      <c r="U55" s="9">
        <f t="shared" si="11"/>
        <v>3.9974713248286903E-5</v>
      </c>
      <c r="V55" s="100">
        <f t="shared" si="14"/>
        <v>0.87366315419103202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202</v>
      </c>
      <c r="C56" s="46" t="s">
        <v>203</v>
      </c>
      <c r="D56" s="47">
        <v>2.6912000000000003</v>
      </c>
      <c r="E56" s="47">
        <v>3.3249699999999995</v>
      </c>
      <c r="F56" s="96">
        <v>9.9999999999999995E-7</v>
      </c>
      <c r="G56" s="138"/>
      <c r="H56" s="138"/>
      <c r="I56" s="54">
        <f t="shared" si="24"/>
        <v>0.61860589125383425</v>
      </c>
      <c r="J56" s="54">
        <f t="shared" si="25"/>
        <v>1.6547513221475207</v>
      </c>
      <c r="K56" s="55">
        <f t="shared" si="26"/>
        <v>0.23869614901442146</v>
      </c>
      <c r="L56" s="55">
        <f t="shared" si="27"/>
        <v>2.973283589042862E-3</v>
      </c>
      <c r="M56" s="55">
        <f t="shared" si="28"/>
        <v>0.99702671641095719</v>
      </c>
      <c r="N56" s="55">
        <f t="shared" si="29"/>
        <v>1.3914096519097548E-3</v>
      </c>
      <c r="O56" s="56">
        <f t="shared" si="30"/>
        <v>2.4000487247714263E-7</v>
      </c>
      <c r="P56" s="56">
        <f t="shared" si="31"/>
        <v>1.0838554876310848E-5</v>
      </c>
      <c r="Q56" s="56">
        <f t="shared" si="32"/>
        <v>5.0721262927049535E-4</v>
      </c>
      <c r="R56" s="9">
        <f t="shared" si="12"/>
        <v>3.9999999999999996E-5</v>
      </c>
      <c r="S56" s="9">
        <f t="shared" si="13"/>
        <v>1.1893134356171447E-7</v>
      </c>
      <c r="T56" s="9">
        <f t="shared" si="10"/>
        <v>9.5478459605768584E-6</v>
      </c>
      <c r="U56" s="9">
        <f t="shared" si="11"/>
        <v>3.9881068656438282E-5</v>
      </c>
      <c r="V56" s="100">
        <f t="shared" si="14"/>
        <v>0.23940797682299522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38"/>
      <c r="H57" s="138"/>
      <c r="I57" s="54">
        <f t="shared" si="24"/>
        <v>0.26171036693668792</v>
      </c>
      <c r="J57" s="54">
        <f t="shared" si="25"/>
        <v>1.0664462987751342</v>
      </c>
      <c r="K57" s="55">
        <f t="shared" si="26"/>
        <v>0.5435939900100607</v>
      </c>
      <c r="L57" s="55">
        <f t="shared" si="27"/>
        <v>1.7472721090951524E-3</v>
      </c>
      <c r="M57" s="55">
        <f t="shared" si="28"/>
        <v>0.9982527278909048</v>
      </c>
      <c r="N57" s="55">
        <f t="shared" si="29"/>
        <v>6.1200397898234871E-4</v>
      </c>
      <c r="O57" s="56">
        <f t="shared" si="30"/>
        <v>5.4657440763245557E-7</v>
      </c>
      <c r="P57" s="56">
        <f t="shared" si="31"/>
        <v>6.3693569991322463E-6</v>
      </c>
      <c r="Q57" s="56">
        <f t="shared" si="32"/>
        <v>2.2309472043519735E-4</v>
      </c>
      <c r="R57" s="9">
        <f t="shared" si="12"/>
        <v>3.9999999999999996E-5</v>
      </c>
      <c r="S57" s="9">
        <f t="shared" si="13"/>
        <v>6.9890884363806093E-8</v>
      </c>
      <c r="T57" s="9">
        <f t="shared" si="10"/>
        <v>2.1743759600402426E-5</v>
      </c>
      <c r="U57" s="9">
        <f t="shared" si="11"/>
        <v>3.993010911563619E-5</v>
      </c>
      <c r="V57" s="100">
        <f t="shared" si="14"/>
        <v>0.54454545910288565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145</v>
      </c>
      <c r="C58" s="46" t="s">
        <v>146</v>
      </c>
      <c r="D58" s="47">
        <v>2.0184960000000003</v>
      </c>
      <c r="E58" s="47">
        <v>2.3512620000000002</v>
      </c>
      <c r="F58" s="96">
        <v>9.9999999999999995E-7</v>
      </c>
      <c r="G58" s="138"/>
      <c r="H58" s="138"/>
      <c r="I58" s="54">
        <f t="shared" si="24"/>
        <v>0.19893820408979257</v>
      </c>
      <c r="J58" s="54">
        <f t="shared" si="25"/>
        <v>0.90809484007231756</v>
      </c>
      <c r="K58" s="55">
        <f t="shared" si="26"/>
        <v>0.62834293806048991</v>
      </c>
      <c r="L58" s="55">
        <f t="shared" si="27"/>
        <v>1.4025914194644318E-3</v>
      </c>
      <c r="M58" s="55">
        <f t="shared" si="28"/>
        <v>0.99859740858053558</v>
      </c>
      <c r="N58" s="55">
        <f t="shared" si="29"/>
        <v>3.8913324677052703E-4</v>
      </c>
      <c r="O58" s="56">
        <f t="shared" si="30"/>
        <v>6.3178801729226763E-7</v>
      </c>
      <c r="P58" s="56">
        <f t="shared" si="31"/>
        <v>5.112887356231534E-6</v>
      </c>
      <c r="Q58" s="56">
        <f t="shared" si="32"/>
        <v>1.4185132103988372E-4</v>
      </c>
      <c r="R58" s="9">
        <f t="shared" si="12"/>
        <v>3.9999999999999996E-5</v>
      </c>
      <c r="S58" s="9">
        <f t="shared" si="13"/>
        <v>5.6103656778577267E-8</v>
      </c>
      <c r="T58" s="9">
        <f t="shared" si="10"/>
        <v>2.5133717522419594E-5</v>
      </c>
      <c r="U58" s="9">
        <f t="shared" si="11"/>
        <v>3.9943896343221421E-5</v>
      </c>
      <c r="V58" s="100">
        <f t="shared" si="14"/>
        <v>0.62922548432571346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147</v>
      </c>
      <c r="C59" s="46" t="s">
        <v>148</v>
      </c>
      <c r="D59" s="47">
        <v>1.4665360000000003</v>
      </c>
      <c r="E59" s="47">
        <v>1.8522119999999997</v>
      </c>
      <c r="F59" s="96">
        <v>9.9999999999999995E-7</v>
      </c>
      <c r="G59" s="138"/>
      <c r="H59" s="138"/>
      <c r="I59" s="54">
        <f t="shared" si="24"/>
        <v>6.5352597387686409E-2</v>
      </c>
      <c r="J59" s="54">
        <f t="shared" si="25"/>
        <v>0.48153000113979572</v>
      </c>
      <c r="K59" s="55">
        <f t="shared" si="26"/>
        <v>0.85522683240932396</v>
      </c>
      <c r="L59" s="55">
        <f t="shared" si="27"/>
        <v>7.1490925377999009E-4</v>
      </c>
      <c r="M59" s="55">
        <f t="shared" si="28"/>
        <v>0.99928509074621996</v>
      </c>
      <c r="N59" s="55">
        <f t="shared" si="29"/>
        <v>1.6785447246407402E-4</v>
      </c>
      <c r="O59" s="56">
        <f t="shared" si="30"/>
        <v>8.5991587086320851E-7</v>
      </c>
      <c r="P59" s="56">
        <f t="shared" si="31"/>
        <v>2.6060693326502452E-6</v>
      </c>
      <c r="Q59" s="56">
        <f t="shared" si="32"/>
        <v>6.1188240426865223E-5</v>
      </c>
      <c r="R59" s="9">
        <f t="shared" si="12"/>
        <v>3.9999999999999996E-5</v>
      </c>
      <c r="S59" s="9">
        <f t="shared" si="13"/>
        <v>2.8596370151199602E-8</v>
      </c>
      <c r="T59" s="9">
        <f t="shared" si="10"/>
        <v>3.4209073296372956E-5</v>
      </c>
      <c r="U59" s="9">
        <f t="shared" si="11"/>
        <v>3.9971403629848797E-5</v>
      </c>
      <c r="V59" s="100">
        <f t="shared" si="14"/>
        <v>0.85583867940097058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149</v>
      </c>
      <c r="C60" s="46" t="s">
        <v>150</v>
      </c>
      <c r="D60" s="47">
        <v>2.7203999877244023</v>
      </c>
      <c r="E60" s="47">
        <v>3.3923999825375306</v>
      </c>
      <c r="F60" s="96">
        <v>9.9999999999999995E-7</v>
      </c>
      <c r="G60" s="138"/>
      <c r="H60" s="138"/>
      <c r="I60" s="54">
        <f t="shared" si="24"/>
        <v>0.6487673116742505</v>
      </c>
      <c r="J60" s="54">
        <f t="shared" si="25"/>
        <v>1.701695703106914</v>
      </c>
      <c r="K60" s="55">
        <f t="shared" si="26"/>
        <v>0.22265534120713018</v>
      </c>
      <c r="L60" s="55">
        <f t="shared" si="27"/>
        <v>3.0900707284618849E-3</v>
      </c>
      <c r="M60" s="55">
        <f t="shared" si="28"/>
        <v>0.9969099292715381</v>
      </c>
      <c r="N60" s="55">
        <f t="shared" si="29"/>
        <v>1.5159074925419514E-3</v>
      </c>
      <c r="O60" s="56">
        <f t="shared" si="30"/>
        <v>2.2387611611422913E-7</v>
      </c>
      <c r="P60" s="56">
        <f t="shared" si="31"/>
        <v>1.1264280772120176E-5</v>
      </c>
      <c r="Q60" s="56">
        <f t="shared" si="32"/>
        <v>5.5259601222955724E-4</v>
      </c>
      <c r="R60" s="9">
        <f t="shared" si="12"/>
        <v>3.9999999999999996E-5</v>
      </c>
      <c r="S60" s="9">
        <f t="shared" si="13"/>
        <v>1.2360282913847539E-7</v>
      </c>
      <c r="T60" s="9">
        <f t="shared" si="10"/>
        <v>8.9062136482852061E-6</v>
      </c>
      <c r="U60" s="9">
        <f t="shared" si="11"/>
        <v>3.9876397170861523E-5</v>
      </c>
      <c r="V60" s="100">
        <f t="shared" si="14"/>
        <v>0.22334549458227271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151</v>
      </c>
      <c r="C61" s="46" t="s">
        <v>152</v>
      </c>
      <c r="D61" s="47">
        <v>3.4658999877244021</v>
      </c>
      <c r="E61" s="47">
        <v>4.4528999825375299</v>
      </c>
      <c r="F61" s="96">
        <v>9.9999999999999995E-7</v>
      </c>
      <c r="G61" s="138"/>
      <c r="H61" s="138"/>
      <c r="I61" s="54">
        <f t="shared" si="24"/>
        <v>1.4117733403846819</v>
      </c>
      <c r="J61" s="54">
        <f t="shared" si="25"/>
        <v>2.6253876426038136</v>
      </c>
      <c r="K61" s="55">
        <f t="shared" si="26"/>
        <v>3.8373079884758063E-2</v>
      </c>
      <c r="L61" s="55">
        <f t="shared" si="27"/>
        <v>4.4673903278706325E-3</v>
      </c>
      <c r="M61" s="55">
        <f t="shared" si="28"/>
        <v>0.99553260967212942</v>
      </c>
      <c r="N61" s="55">
        <f t="shared" si="29"/>
        <v>3.0030754215115973E-3</v>
      </c>
      <c r="O61" s="56">
        <f t="shared" si="30"/>
        <v>3.8583471842020104E-8</v>
      </c>
      <c r="P61" s="56">
        <f t="shared" si="31"/>
        <v>1.6285044386940972E-5</v>
      </c>
      <c r="Q61" s="56">
        <f t="shared" si="32"/>
        <v>1.0947155486178064E-3</v>
      </c>
      <c r="R61" s="9">
        <f t="shared" si="12"/>
        <v>3.9999999999999996E-5</v>
      </c>
      <c r="S61" s="9">
        <f t="shared" si="13"/>
        <v>1.7869561311482529E-7</v>
      </c>
      <c r="T61" s="9">
        <f t="shared" si="10"/>
        <v>1.5349231953903224E-6</v>
      </c>
      <c r="U61" s="9">
        <f t="shared" si="11"/>
        <v>3.9821304386885174E-5</v>
      </c>
      <c r="V61" s="100">
        <f t="shared" si="14"/>
        <v>3.8545276680987804E-2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153</v>
      </c>
      <c r="C62" s="46" t="s">
        <v>154</v>
      </c>
      <c r="D62" s="47">
        <v>4.1687999877244026</v>
      </c>
      <c r="E62" s="47">
        <v>5.4527999825375302</v>
      </c>
      <c r="F62" s="96">
        <v>9.9999999999999995E-7</v>
      </c>
      <c r="G62" s="138"/>
      <c r="H62" s="138"/>
      <c r="I62" s="54">
        <f t="shared" si="24"/>
        <v>2.2542758302531842</v>
      </c>
      <c r="J62" s="54">
        <f t="shared" si="25"/>
        <v>3.547875334829623</v>
      </c>
      <c r="K62" s="55">
        <f t="shared" si="26"/>
        <v>5.5097513315187389E-3</v>
      </c>
      <c r="L62" s="55">
        <f t="shared" si="27"/>
        <v>5.365953842541937E-3</v>
      </c>
      <c r="M62" s="55">
        <f t="shared" si="28"/>
        <v>0.9946340461574581</v>
      </c>
      <c r="N62" s="55">
        <f t="shared" si="29"/>
        <v>4.3109360487955739E-3</v>
      </c>
      <c r="O62" s="56">
        <f t="shared" si="30"/>
        <v>5.5399602011259401E-9</v>
      </c>
      <c r="P62" s="56">
        <f t="shared" si="31"/>
        <v>1.9560591327537662E-5</v>
      </c>
      <c r="Q62" s="56">
        <f t="shared" si="32"/>
        <v>1.5714719277140539E-3</v>
      </c>
      <c r="R62" s="9">
        <f t="shared" si="12"/>
        <v>3.9999999999999996E-5</v>
      </c>
      <c r="S62" s="9">
        <f t="shared" si="13"/>
        <v>2.1463815370167745E-7</v>
      </c>
      <c r="T62" s="9">
        <f t="shared" si="10"/>
        <v>2.2039005326074955E-7</v>
      </c>
      <c r="U62" s="9">
        <f t="shared" si="11"/>
        <v>3.9785361846298319E-5</v>
      </c>
      <c r="V62" s="100">
        <f t="shared" si="14"/>
        <v>5.5394759035289481E-3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155</v>
      </c>
      <c r="C63" s="46" t="s">
        <v>156</v>
      </c>
      <c r="D63" s="47">
        <v>4.999499987724402</v>
      </c>
      <c r="E63" s="47">
        <v>6.6344999825375304</v>
      </c>
      <c r="F63" s="96">
        <v>9.9999999999999995E-7</v>
      </c>
      <c r="G63" s="138"/>
      <c r="H63" s="138"/>
      <c r="I63" s="54">
        <f t="shared" si="24"/>
        <v>3.3259932392561606</v>
      </c>
      <c r="J63" s="54">
        <f t="shared" si="25"/>
        <v>4.6794078075147496</v>
      </c>
      <c r="K63" s="55">
        <f t="shared" si="26"/>
        <v>4.6673525544239729E-4</v>
      </c>
      <c r="L63" s="55">
        <f t="shared" si="27"/>
        <v>6.1534406171233937E-3</v>
      </c>
      <c r="M63" s="55">
        <f t="shared" si="28"/>
        <v>0.99384655938287658</v>
      </c>
      <c r="N63" s="55">
        <f t="shared" si="29"/>
        <v>5.5489420444842013E-3</v>
      </c>
      <c r="O63" s="56">
        <f t="shared" si="30"/>
        <v>4.6929427192506243E-10</v>
      </c>
      <c r="P63" s="56">
        <f t="shared" si="31"/>
        <v>2.2431228575906479E-5</v>
      </c>
      <c r="Q63" s="56">
        <f t="shared" si="32"/>
        <v>2.022764094089362E-3</v>
      </c>
      <c r="R63" s="9">
        <f t="shared" si="12"/>
        <v>3.9999999999999996E-5</v>
      </c>
      <c r="S63" s="9">
        <f t="shared" si="13"/>
        <v>2.4613762468493574E-7</v>
      </c>
      <c r="T63" s="9">
        <f t="shared" si="10"/>
        <v>1.866941021769589E-8</v>
      </c>
      <c r="U63" s="9">
        <f t="shared" si="11"/>
        <v>3.9753862375315063E-5</v>
      </c>
      <c r="V63" s="100">
        <f t="shared" si="14"/>
        <v>4.6962506539461577E-4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157</v>
      </c>
      <c r="C64" s="46" t="s">
        <v>158</v>
      </c>
      <c r="D64" s="47">
        <v>4.4669999877244022</v>
      </c>
      <c r="E64" s="47">
        <v>5.8769999825375301</v>
      </c>
      <c r="F64" s="96">
        <v>9.9999999999999995E-7</v>
      </c>
      <c r="G64" s="138"/>
      <c r="H64" s="138"/>
      <c r="I64" s="54">
        <f t="shared" si="24"/>
        <v>2.6313958666363746</v>
      </c>
      <c r="J64" s="54">
        <f t="shared" si="25"/>
        <v>3.9499760608789174</v>
      </c>
      <c r="K64" s="55">
        <f t="shared" si="26"/>
        <v>2.3113941442362237E-3</v>
      </c>
      <c r="L64" s="55">
        <f t="shared" si="27"/>
        <v>5.6818487514839009E-3</v>
      </c>
      <c r="M64" s="55">
        <f t="shared" si="28"/>
        <v>0.99431815124851608</v>
      </c>
      <c r="N64" s="55">
        <f t="shared" si="29"/>
        <v>4.8030111015418993E-3</v>
      </c>
      <c r="O64" s="56">
        <f t="shared" si="30"/>
        <v>2.3240670581506222E-9</v>
      </c>
      <c r="P64" s="56">
        <f t="shared" si="31"/>
        <v>2.0712127736083508E-5</v>
      </c>
      <c r="Q64" s="56">
        <f t="shared" si="32"/>
        <v>1.7508487783484557E-3</v>
      </c>
      <c r="R64" s="9">
        <f t="shared" si="12"/>
        <v>3.9999999999999996E-5</v>
      </c>
      <c r="S64" s="9">
        <f t="shared" si="13"/>
        <v>2.2727395005935602E-7</v>
      </c>
      <c r="T64" s="9">
        <f t="shared" si="10"/>
        <v>9.2455765769448937E-8</v>
      </c>
      <c r="U64" s="9">
        <f t="shared" si="11"/>
        <v>3.977272604994064E-5</v>
      </c>
      <c r="V64" s="100">
        <f t="shared" si="14"/>
        <v>2.3246021822430985E-3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159</v>
      </c>
      <c r="C65" s="46" t="s">
        <v>160</v>
      </c>
      <c r="D65" s="47">
        <v>4.2539999877244021</v>
      </c>
      <c r="E65" s="47">
        <v>5.5739999825375302</v>
      </c>
      <c r="F65" s="96">
        <v>9.9999999999999995E-7</v>
      </c>
      <c r="G65" s="138"/>
      <c r="H65" s="138"/>
      <c r="I65" s="54">
        <f t="shared" si="24"/>
        <v>2.3610319672695166</v>
      </c>
      <c r="J65" s="54">
        <f t="shared" si="25"/>
        <v>3.6622096755613032</v>
      </c>
      <c r="K65" s="55">
        <f t="shared" si="26"/>
        <v>4.3085867574670523E-3</v>
      </c>
      <c r="L65" s="55">
        <f t="shared" si="27"/>
        <v>5.4598928160851492E-3</v>
      </c>
      <c r="M65" s="55">
        <f t="shared" si="28"/>
        <v>0.99454010718391483</v>
      </c>
      <c r="N65" s="55">
        <f t="shared" si="29"/>
        <v>4.4563000413655827E-3</v>
      </c>
      <c r="O65" s="56">
        <f t="shared" si="30"/>
        <v>4.332209880856135E-9</v>
      </c>
      <c r="P65" s="56">
        <f t="shared" si="31"/>
        <v>1.9903028464554988E-5</v>
      </c>
      <c r="Q65" s="56">
        <f t="shared" si="32"/>
        <v>1.6244616800644804E-3</v>
      </c>
      <c r="R65" s="9">
        <f t="shared" si="12"/>
        <v>3.9999999999999996E-5</v>
      </c>
      <c r="S65" s="9">
        <f t="shared" si="13"/>
        <v>2.1839571264340594E-7</v>
      </c>
      <c r="T65" s="9">
        <f t="shared" si="10"/>
        <v>1.7234347029868209E-7</v>
      </c>
      <c r="U65" s="9">
        <f t="shared" si="11"/>
        <v>3.9781604287356588E-5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161</v>
      </c>
      <c r="C66" s="46" t="s">
        <v>162</v>
      </c>
      <c r="D66" s="47">
        <v>4.4669999877244022</v>
      </c>
      <c r="E66" s="47">
        <v>5.8769999825375301</v>
      </c>
      <c r="F66" s="96">
        <v>9.9999999999999995E-7</v>
      </c>
      <c r="G66" s="138"/>
      <c r="H66" s="138"/>
      <c r="I66" s="54">
        <f t="shared" si="24"/>
        <v>2.6313958666363746</v>
      </c>
      <c r="J66" s="54">
        <f t="shared" si="25"/>
        <v>3.9499760608789174</v>
      </c>
      <c r="K66" s="55">
        <f t="shared" si="26"/>
        <v>2.3113941442362237E-3</v>
      </c>
      <c r="L66" s="55">
        <f t="shared" si="27"/>
        <v>5.6818487514839009E-3</v>
      </c>
      <c r="M66" s="55">
        <f t="shared" si="28"/>
        <v>0.99431815124851608</v>
      </c>
      <c r="N66" s="55">
        <f t="shared" si="29"/>
        <v>4.8030111015418993E-3</v>
      </c>
      <c r="O66" s="56">
        <f t="shared" si="30"/>
        <v>2.3240670581506222E-9</v>
      </c>
      <c r="P66" s="56">
        <f t="shared" si="31"/>
        <v>2.0712127736083508E-5</v>
      </c>
      <c r="Q66" s="56">
        <f t="shared" si="32"/>
        <v>1.7508487783484557E-3</v>
      </c>
      <c r="R66" s="9">
        <f t="shared" si="12"/>
        <v>3.9999999999999996E-5</v>
      </c>
      <c r="S66" s="9">
        <f t="shared" si="13"/>
        <v>2.2727395005935602E-7</v>
      </c>
      <c r="T66" s="9">
        <f t="shared" si="10"/>
        <v>9.2455765769448937E-8</v>
      </c>
      <c r="U66" s="9">
        <f t="shared" si="11"/>
        <v>3.977272604994064E-5</v>
      </c>
      <c r="V66" s="100">
        <f t="shared" si="14"/>
        <v>2.3246021822430985E-3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115</v>
      </c>
      <c r="C67" s="46" t="s">
        <v>116</v>
      </c>
      <c r="D67" s="47">
        <v>-0.73745450190951667</v>
      </c>
      <c r="E67" s="47">
        <v>-1.5265197844064957</v>
      </c>
      <c r="F67" s="96">
        <v>9.9999999999999995E-7</v>
      </c>
      <c r="G67" s="138"/>
      <c r="H67" s="138"/>
      <c r="I67" s="54">
        <f t="shared" si="24"/>
        <v>-1.8671766444063711E-3</v>
      </c>
      <c r="J67" s="54">
        <f t="shared" si="25"/>
        <v>-2.1408506520216638E-2</v>
      </c>
      <c r="K67" s="55">
        <f t="shared" si="26"/>
        <v>0.99884424632620594</v>
      </c>
      <c r="L67" s="55">
        <f t="shared" si="27"/>
        <v>2.6225807250386312E-4</v>
      </c>
      <c r="M67" s="55">
        <f t="shared" si="28"/>
        <v>0.99973774192749609</v>
      </c>
      <c r="N67" s="55">
        <f t="shared" si="29"/>
        <v>8.196295113598726E-8</v>
      </c>
      <c r="O67" s="56">
        <f t="shared" si="30"/>
        <v>1.00432071046762E-6</v>
      </c>
      <c r="P67" s="56">
        <f t="shared" si="31"/>
        <v>9.5601325116238398E-7</v>
      </c>
      <c r="Q67" s="56">
        <f t="shared" si="32"/>
        <v>2.987807644671246E-8</v>
      </c>
      <c r="R67" s="9">
        <f t="shared" si="12"/>
        <v>3.9999999999999996E-5</v>
      </c>
      <c r="S67" s="9">
        <f t="shared" si="13"/>
        <v>1.0490322900154524E-8</v>
      </c>
      <c r="T67" s="9">
        <f t="shared" si="10"/>
        <v>3.9953769853048235E-5</v>
      </c>
      <c r="U67" s="9">
        <f t="shared" si="11"/>
        <v>3.9989509677099841E-5</v>
      </c>
      <c r="V67" s="100">
        <f t="shared" si="14"/>
        <v>0.99910627001080554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117</v>
      </c>
      <c r="C68" s="46" t="s">
        <v>118</v>
      </c>
      <c r="D68" s="47">
        <v>4.7386560000000006</v>
      </c>
      <c r="E68" s="47">
        <v>5.8355820000000005</v>
      </c>
      <c r="F68" s="96">
        <v>9.9999999999999995E-7</v>
      </c>
      <c r="G68" s="138"/>
      <c r="H68" s="138"/>
      <c r="I68" s="54">
        <f t="shared" si="24"/>
        <v>2.7194923137791687</v>
      </c>
      <c r="J68" s="54">
        <f t="shared" si="25"/>
        <v>3.9742395242673396</v>
      </c>
      <c r="K68" s="55">
        <f t="shared" si="26"/>
        <v>1.8884912938679351E-3</v>
      </c>
      <c r="L68" s="55">
        <f t="shared" si="27"/>
        <v>4.9090121898990842E-3</v>
      </c>
      <c r="M68" s="55">
        <f t="shared" si="28"/>
        <v>0.99509098781010097</v>
      </c>
      <c r="N68" s="55">
        <f t="shared" si="29"/>
        <v>3.5672749673001797E-3</v>
      </c>
      <c r="O68" s="56">
        <f t="shared" si="30"/>
        <v>1.8988455156500398E-9</v>
      </c>
      <c r="P68" s="56">
        <f t="shared" si="31"/>
        <v>1.7894895126982494E-5</v>
      </c>
      <c r="Q68" s="56">
        <f t="shared" si="32"/>
        <v>1.3003840479414021E-3</v>
      </c>
      <c r="R68" s="9">
        <f t="shared" si="12"/>
        <v>3.9999999999999996E-5</v>
      </c>
      <c r="S68" s="9">
        <f t="shared" si="13"/>
        <v>1.9636048759596334E-7</v>
      </c>
      <c r="T68" s="9">
        <f t="shared" si="10"/>
        <v>7.5539651754717399E-8</v>
      </c>
      <c r="U68" s="9">
        <f t="shared" si="11"/>
        <v>3.9803639512404036E-5</v>
      </c>
      <c r="V68" s="100">
        <f t="shared" si="14"/>
        <v>1.8978076547793306E-3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119</v>
      </c>
      <c r="C69" s="46" t="s">
        <v>120</v>
      </c>
      <c r="D69" s="47">
        <v>2.3724999877244022</v>
      </c>
      <c r="E69" s="47">
        <v>2.8974999825375303</v>
      </c>
      <c r="F69" s="96">
        <v>9.9999999999999995E-7</v>
      </c>
      <c r="G69" s="138"/>
      <c r="H69" s="138"/>
      <c r="I69" s="54">
        <f t="shared" si="24"/>
        <v>0.38500856866688477</v>
      </c>
      <c r="J69" s="54">
        <f t="shared" si="25"/>
        <v>1.2993366457192814</v>
      </c>
      <c r="K69" s="55">
        <f t="shared" si="26"/>
        <v>0.40903331734839582</v>
      </c>
      <c r="L69" s="55">
        <f t="shared" si="27"/>
        <v>2.2476823193890725E-3</v>
      </c>
      <c r="M69" s="55">
        <f t="shared" si="28"/>
        <v>0.9977523176806109</v>
      </c>
      <c r="N69" s="55">
        <f t="shared" si="29"/>
        <v>8.9104218637205395E-4</v>
      </c>
      <c r="O69" s="56">
        <f t="shared" si="30"/>
        <v>4.1127596559244506E-7</v>
      </c>
      <c r="P69" s="56">
        <f t="shared" si="31"/>
        <v>8.1935097792183426E-6</v>
      </c>
      <c r="Q69" s="56">
        <f t="shared" si="32"/>
        <v>3.2481293307142655E-4</v>
      </c>
      <c r="R69" s="9">
        <f t="shared" si="12"/>
        <v>3.9999999999999996E-5</v>
      </c>
      <c r="S69" s="9">
        <f t="shared" si="13"/>
        <v>8.9907292775562887E-8</v>
      </c>
      <c r="T69" s="9">
        <f t="shared" si="10"/>
        <v>1.6361332693935831E-5</v>
      </c>
      <c r="U69" s="9">
        <f t="shared" si="11"/>
        <v>3.9910092707224434E-5</v>
      </c>
      <c r="V69" s="100">
        <f t="shared" si="14"/>
        <v>0.40995476542639403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113</v>
      </c>
      <c r="C70" s="46" t="s">
        <v>114</v>
      </c>
      <c r="D70" s="47">
        <v>3.3511520000000004</v>
      </c>
      <c r="E70" s="47">
        <v>4.2962190000000007</v>
      </c>
      <c r="F70" s="96">
        <v>9.9999999999999995E-7</v>
      </c>
      <c r="G70" s="138"/>
      <c r="H70" s="138"/>
      <c r="I70" s="54">
        <f t="shared" si="24"/>
        <v>1.2852308448323728</v>
      </c>
      <c r="J70" s="54">
        <f t="shared" si="25"/>
        <v>2.4832149549104936</v>
      </c>
      <c r="K70" s="55">
        <f t="shared" si="26"/>
        <v>5.1361505276643807E-2</v>
      </c>
      <c r="L70" s="55">
        <f t="shared" si="27"/>
        <v>4.310149135726268E-3</v>
      </c>
      <c r="M70" s="55">
        <f t="shared" si="28"/>
        <v>0.99568985086427375</v>
      </c>
      <c r="N70" s="55">
        <f t="shared" si="29"/>
        <v>2.8021820228002624E-3</v>
      </c>
      <c r="O70" s="56">
        <f t="shared" si="30"/>
        <v>5.1643110184447152E-8</v>
      </c>
      <c r="P70" s="56">
        <f t="shared" si="31"/>
        <v>1.5711850731228549E-5</v>
      </c>
      <c r="Q70" s="56">
        <f t="shared" si="32"/>
        <v>1.021483579281093E-3</v>
      </c>
      <c r="R70" s="9">
        <f t="shared" si="12"/>
        <v>3.9999999999999996E-5</v>
      </c>
      <c r="S70" s="9">
        <f t="shared" si="13"/>
        <v>1.7240596542905072E-7</v>
      </c>
      <c r="T70" s="9">
        <f t="shared" si="10"/>
        <v>2.054460211065752E-6</v>
      </c>
      <c r="U70" s="9">
        <f t="shared" si="11"/>
        <v>3.9827594034570947E-5</v>
      </c>
      <c r="V70" s="100">
        <f t="shared" si="14"/>
        <v>5.1583839317093823E-2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121</v>
      </c>
      <c r="C71" s="46" t="s">
        <v>122</v>
      </c>
      <c r="D71" s="47">
        <v>5.9183200000000005</v>
      </c>
      <c r="E71" s="47">
        <v>7.0401399999999992</v>
      </c>
      <c r="F71" s="96">
        <v>9.9999999999999995E-7</v>
      </c>
      <c r="G71" s="138"/>
      <c r="H71" s="13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5.1720950211816961</v>
      </c>
      <c r="K71" s="55">
        <f t="shared" ref="K71:K122" si="35">IF(D71=0,"",1/(1+10^D71*$J$15/$J$14+10^E71*$J$16/$J$14+10^J71*$J$19/$J$14))</f>
        <v>1.2151526969141553E-4</v>
      </c>
      <c r="L71" s="55">
        <f t="shared" ref="L71:L122" si="36">IF(D71=0,"",1/(1+10^I71/10^J71*$J$13/$J$19))</f>
        <v>4.9815612618281874E-3</v>
      </c>
      <c r="M71" s="55">
        <f t="shared" si="19"/>
        <v>0.99501843873817186</v>
      </c>
      <c r="N71" s="55">
        <f t="shared" ref="N71:N122" si="37">IF(D71=0,"",1/(1/10^E71*$J$20/$J$22+10^D71/10^E71*$J$21/$J$22+10^I71/10^E71*$J$13/$J$22+1))</f>
        <v>3.6762958530131037E-3</v>
      </c>
      <c r="O71" s="56">
        <f t="shared" si="21"/>
        <v>1.221815137225014E-10</v>
      </c>
      <c r="P71" s="56">
        <f t="shared" ref="P71:P122" si="38">IF(D71=0,"",O71*10^J71)</f>
        <v>1.8159359337603615E-5</v>
      </c>
      <c r="Q71" s="56">
        <f t="shared" ref="Q71:Q122" si="39">IF(D71=0,"",F71*N71*$J$7/$J$22)</f>
        <v>1.3401255935113596E-3</v>
      </c>
      <c r="R71" s="9">
        <f t="shared" si="12"/>
        <v>3.9999999999999996E-5</v>
      </c>
      <c r="S71" s="9">
        <f t="shared" si="13"/>
        <v>1.9926245047312748E-7</v>
      </c>
      <c r="T71" s="9">
        <f t="shared" si="10"/>
        <v>4.8606107876566203E-9</v>
      </c>
      <c r="U71" s="9">
        <f t="shared" si="11"/>
        <v>3.9800737549526869E-5</v>
      </c>
      <c r="V71" s="100">
        <f t="shared" si="14"/>
        <v>1.221236360659955E-4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123</v>
      </c>
      <c r="C72" s="46" t="s">
        <v>124</v>
      </c>
      <c r="D72" s="47">
        <v>5.5295200000000007</v>
      </c>
      <c r="E72" s="47">
        <v>6.5305900000000001</v>
      </c>
      <c r="F72" s="96">
        <v>9.9999999999999995E-7</v>
      </c>
      <c r="G72" s="138"/>
      <c r="H72" s="138"/>
      <c r="I72" s="54">
        <f t="shared" si="33"/>
        <v>3.4646398062685493</v>
      </c>
      <c r="J72" s="54">
        <f t="shared" si="34"/>
        <v>4.6975737297600579</v>
      </c>
      <c r="K72" s="55">
        <f t="shared" si="35"/>
        <v>3.3968153866277475E-4</v>
      </c>
      <c r="L72" s="55">
        <f t="shared" si="36"/>
        <v>4.6696601344775601E-3</v>
      </c>
      <c r="M72" s="55">
        <f t="shared" si="19"/>
        <v>0.99533033986552244</v>
      </c>
      <c r="N72" s="55">
        <f t="shared" si="37"/>
        <v>3.1790806326782725E-3</v>
      </c>
      <c r="O72" s="56">
        <f t="shared" si="21"/>
        <v>3.4154394491162603E-10</v>
      </c>
      <c r="P72" s="56">
        <f t="shared" si="38"/>
        <v>1.7022381520475461E-5</v>
      </c>
      <c r="Q72" s="56">
        <f t="shared" si="39"/>
        <v>1.158874989943105E-3</v>
      </c>
      <c r="R72" s="9">
        <f t="shared" si="12"/>
        <v>3.9999999999999996E-5</v>
      </c>
      <c r="S72" s="9">
        <f t="shared" si="13"/>
        <v>1.8678640537910238E-7</v>
      </c>
      <c r="T72" s="9">
        <f t="shared" si="10"/>
        <v>1.3587261546510988E-8</v>
      </c>
      <c r="U72" s="9">
        <f t="shared" si="11"/>
        <v>3.9813213594620892E-5</v>
      </c>
      <c r="V72" s="100">
        <f t="shared" si="14"/>
        <v>3.4127517775522508E-4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125</v>
      </c>
      <c r="C73" s="46" t="s">
        <v>126</v>
      </c>
      <c r="D73" s="47">
        <v>5.4845040000000003</v>
      </c>
      <c r="E73" s="47">
        <v>6.5678879999999999</v>
      </c>
      <c r="F73" s="96">
        <v>9.9999999999999995E-7</v>
      </c>
      <c r="G73" s="138"/>
      <c r="H73" s="138"/>
      <c r="I73" s="54">
        <f t="shared" si="33"/>
        <v>3.4579829545014036</v>
      </c>
      <c r="J73" s="54">
        <f t="shared" si="34"/>
        <v>4.7102525015633843</v>
      </c>
      <c r="K73" s="55">
        <f t="shared" si="35"/>
        <v>3.4485495838001241E-4</v>
      </c>
      <c r="L73" s="55">
        <f t="shared" si="36"/>
        <v>4.8812221744646313E-3</v>
      </c>
      <c r="M73" s="55">
        <f t="shared" si="19"/>
        <v>0.99511877782553537</v>
      </c>
      <c r="N73" s="55">
        <f t="shared" si="37"/>
        <v>3.5169328313315244E-3</v>
      </c>
      <c r="O73" s="56">
        <f t="shared" si="21"/>
        <v>3.4674572945919047E-10</v>
      </c>
      <c r="P73" s="56">
        <f t="shared" si="38"/>
        <v>1.7793591770514973E-5</v>
      </c>
      <c r="Q73" s="56">
        <f t="shared" si="39"/>
        <v>1.2820327542640098E-3</v>
      </c>
      <c r="R73" s="9">
        <f t="shared" si="12"/>
        <v>3.9999999999999996E-5</v>
      </c>
      <c r="S73" s="9">
        <f t="shared" si="13"/>
        <v>1.9524888697858522E-7</v>
      </c>
      <c r="T73" s="9">
        <f t="shared" si="10"/>
        <v>1.3794198335200495E-8</v>
      </c>
      <c r="U73" s="9">
        <f t="shared" si="11"/>
        <v>3.980475111302141E-5</v>
      </c>
      <c r="V73" s="100">
        <f t="shared" si="14"/>
        <v>3.4654652898176192E-4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127</v>
      </c>
      <c r="C74" s="46" t="s">
        <v>128</v>
      </c>
      <c r="D74" s="47">
        <v>2.7195840000000011</v>
      </c>
      <c r="E74" s="47">
        <v>3.2500779999999994</v>
      </c>
      <c r="F74" s="96">
        <v>9.9999999999999995E-7</v>
      </c>
      <c r="G74" s="138"/>
      <c r="H74" s="138"/>
      <c r="I74" s="54">
        <f t="shared" si="33"/>
        <v>0.62193942428688143</v>
      </c>
      <c r="J74" s="54">
        <f t="shared" si="34"/>
        <v>1.6372026725125763</v>
      </c>
      <c r="K74" s="55">
        <f t="shared" si="35"/>
        <v>0.23690405977069903</v>
      </c>
      <c r="L74" s="55">
        <f t="shared" si="36"/>
        <v>2.8340974214183133E-3</v>
      </c>
      <c r="M74" s="55">
        <f t="shared" si="19"/>
        <v>0.99716590257858173</v>
      </c>
      <c r="N74" s="55">
        <f t="shared" si="37"/>
        <v>1.1622247038726176E-3</v>
      </c>
      <c r="O74" s="56">
        <f t="shared" si="21"/>
        <v>2.3820295756488623E-7</v>
      </c>
      <c r="P74" s="56">
        <f t="shared" si="38"/>
        <v>1.0331177469937138E-5</v>
      </c>
      <c r="Q74" s="56">
        <f t="shared" si="39"/>
        <v>4.2366749939189526E-4</v>
      </c>
      <c r="R74" s="9">
        <f t="shared" si="12"/>
        <v>3.9999999999999996E-5</v>
      </c>
      <c r="S74" s="9">
        <f t="shared" si="13"/>
        <v>1.1336389685673252E-7</v>
      </c>
      <c r="T74" s="9">
        <f t="shared" si="10"/>
        <v>9.4761623908279613E-6</v>
      </c>
      <c r="U74" s="9">
        <f t="shared" si="11"/>
        <v>3.9886636103143267E-5</v>
      </c>
      <c r="V74" s="100">
        <f t="shared" si="14"/>
        <v>0.23757737720281685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38"/>
      <c r="H75" s="138"/>
      <c r="I75" s="54">
        <f t="shared" si="33"/>
        <v>2.0259693417507676</v>
      </c>
      <c r="J75" s="54">
        <f t="shared" si="34"/>
        <v>3.3018286380002788</v>
      </c>
      <c r="K75" s="55">
        <f t="shared" si="35"/>
        <v>9.3224866937095131E-3</v>
      </c>
      <c r="L75" s="55">
        <f t="shared" si="36"/>
        <v>5.1522865571401377E-3</v>
      </c>
      <c r="M75" s="55">
        <f t="shared" si="19"/>
        <v>0.99484771344285983</v>
      </c>
      <c r="N75" s="55">
        <f t="shared" si="37"/>
        <v>3.9844772722498695E-3</v>
      </c>
      <c r="O75" s="56">
        <f t="shared" si="21"/>
        <v>9.3736000322251931E-9</v>
      </c>
      <c r="P75" s="56">
        <f t="shared" si="38"/>
        <v>1.8781706795085358E-5</v>
      </c>
      <c r="Q75" s="56">
        <f t="shared" si="39"/>
        <v>1.4524674244946704E-3</v>
      </c>
      <c r="R75" s="9">
        <f t="shared" si="12"/>
        <v>3.9999999999999996E-5</v>
      </c>
      <c r="S75" s="9">
        <f t="shared" si="13"/>
        <v>2.0609146228560548E-7</v>
      </c>
      <c r="T75" s="9">
        <f t="shared" si="10"/>
        <v>3.7289946774838049E-7</v>
      </c>
      <c r="U75" s="9">
        <f t="shared" si="11"/>
        <v>3.9793908537714391E-5</v>
      </c>
      <c r="V75" s="100">
        <f t="shared" si="14"/>
        <v>9.3707675735085864E-3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129</v>
      </c>
      <c r="C76" s="46" t="s">
        <v>130</v>
      </c>
      <c r="D76" s="47">
        <v>4.10616</v>
      </c>
      <c r="E76" s="47">
        <v>5.1108449999999994</v>
      </c>
      <c r="F76" s="96">
        <v>9.9999999999999995E-7</v>
      </c>
      <c r="G76" s="138"/>
      <c r="H76" s="138"/>
      <c r="I76" s="54">
        <f t="shared" si="33"/>
        <v>2.0466328175843658</v>
      </c>
      <c r="J76" s="54">
        <f t="shared" si="34"/>
        <v>3.2768864285866708</v>
      </c>
      <c r="K76" s="55">
        <f t="shared" si="35"/>
        <v>8.8938829706883687E-3</v>
      </c>
      <c r="L76" s="55">
        <f t="shared" si="36"/>
        <v>4.6410627282184157E-3</v>
      </c>
      <c r="M76" s="55">
        <f t="shared" si="19"/>
        <v>0.9953589372717816</v>
      </c>
      <c r="N76" s="55">
        <f t="shared" si="37"/>
        <v>3.166474607969599E-3</v>
      </c>
      <c r="O76" s="56">
        <f t="shared" si="21"/>
        <v>8.9426463603219931E-9</v>
      </c>
      <c r="P76" s="56">
        <f t="shared" si="38"/>
        <v>1.6918134970229749E-5</v>
      </c>
      <c r="Q76" s="56">
        <f t="shared" si="39"/>
        <v>1.1542796970124003E-3</v>
      </c>
      <c r="R76" s="9">
        <f t="shared" si="12"/>
        <v>3.9999999999999996E-5</v>
      </c>
      <c r="S76" s="9">
        <f t="shared" si="13"/>
        <v>1.856425091287366E-7</v>
      </c>
      <c r="T76" s="9">
        <f t="shared" si="10"/>
        <v>3.5575531882753474E-7</v>
      </c>
      <c r="U76" s="9">
        <f t="shared" si="11"/>
        <v>3.9814357490871258E-5</v>
      </c>
      <c r="V76" s="100">
        <f t="shared" si="14"/>
        <v>8.9353525021495881E-3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131</v>
      </c>
      <c r="C77" s="46" t="s">
        <v>132</v>
      </c>
      <c r="D77" s="47">
        <v>2.8295519999999996</v>
      </c>
      <c r="E77" s="47">
        <v>3.5791989999999991</v>
      </c>
      <c r="F77" s="96">
        <v>9.9999999999999995E-7</v>
      </c>
      <c r="G77" s="138"/>
      <c r="H77" s="138"/>
      <c r="I77" s="54">
        <f t="shared" si="33"/>
        <v>0.75425121724867172</v>
      </c>
      <c r="J77" s="54">
        <f t="shared" si="34"/>
        <v>1.849020080439971</v>
      </c>
      <c r="K77" s="55">
        <f t="shared" si="35"/>
        <v>0.17458764645108266</v>
      </c>
      <c r="L77" s="55">
        <f t="shared" si="36"/>
        <v>3.4015212633045277E-3</v>
      </c>
      <c r="M77" s="55">
        <f t="shared" si="19"/>
        <v>0.99659847873669549</v>
      </c>
      <c r="N77" s="55">
        <f t="shared" si="37"/>
        <v>1.8274777991170597E-3</v>
      </c>
      <c r="O77" s="56">
        <f t="shared" si="21"/>
        <v>1.7554487575769368E-7</v>
      </c>
      <c r="P77" s="56">
        <f t="shared" si="38"/>
        <v>1.2399616037679222E-5</v>
      </c>
      <c r="Q77" s="56">
        <f t="shared" si="39"/>
        <v>6.6617319935318429E-4</v>
      </c>
      <c r="R77" s="9">
        <f t="shared" si="12"/>
        <v>3.9999999999999996E-5</v>
      </c>
      <c r="S77" s="9">
        <f t="shared" si="13"/>
        <v>1.3606085053218109E-7</v>
      </c>
      <c r="T77" s="9">
        <f t="shared" si="10"/>
        <v>6.9835058580433054E-6</v>
      </c>
      <c r="U77" s="9">
        <f t="shared" si="11"/>
        <v>3.9863939149467816E-5</v>
      </c>
      <c r="V77" s="100">
        <f t="shared" si="14"/>
        <v>0.17518353697709113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2.1538315996948265</v>
      </c>
      <c r="K78" s="55">
        <f t="shared" si="35"/>
        <v>0.1031665161793059</v>
      </c>
      <c r="L78" s="55">
        <f t="shared" si="36"/>
        <v>4.0551783918152872E-3</v>
      </c>
      <c r="M78" s="55">
        <f t="shared" si="19"/>
        <v>0.99594482160818476</v>
      </c>
      <c r="N78" s="55">
        <f t="shared" si="37"/>
        <v>2.5952450081696038E-3</v>
      </c>
      <c r="O78" s="56">
        <f t="shared" si="21"/>
        <v>1.0373215764796193E-7</v>
      </c>
      <c r="P78" s="56">
        <f t="shared" si="38"/>
        <v>1.4782402087339659E-5</v>
      </c>
      <c r="Q78" s="56">
        <f t="shared" si="39"/>
        <v>9.4604852164717414E-4</v>
      </c>
      <c r="R78" s="9">
        <f t="shared" si="12"/>
        <v>3.9999999999999996E-5</v>
      </c>
      <c r="S78" s="9">
        <f t="shared" si="13"/>
        <v>1.6220713567261148E-7</v>
      </c>
      <c r="T78" s="9">
        <f t="shared" si="10"/>
        <v>4.1266606471722356E-6</v>
      </c>
      <c r="U78" s="9">
        <f t="shared" si="11"/>
        <v>3.9837792864327386E-5</v>
      </c>
      <c r="V78" s="100">
        <f t="shared" si="14"/>
        <v>0.1035865782330386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133</v>
      </c>
      <c r="C79" s="46" t="s">
        <v>134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2.1415977618226001</v>
      </c>
      <c r="K79" s="55">
        <f t="shared" si="35"/>
        <v>8.6941284249343387E-2</v>
      </c>
      <c r="L79" s="55">
        <f t="shared" si="36"/>
        <v>3.3224879316430104E-3</v>
      </c>
      <c r="M79" s="55">
        <f t="shared" si="19"/>
        <v>0.99667751206835697</v>
      </c>
      <c r="N79" s="55">
        <f t="shared" si="37"/>
        <v>1.3625443597038457E-3</v>
      </c>
      <c r="O79" s="56">
        <f t="shared" si="21"/>
        <v>8.7417966001629855E-8</v>
      </c>
      <c r="P79" s="56">
        <f t="shared" si="38"/>
        <v>1.2111514658642328E-5</v>
      </c>
      <c r="Q79" s="56">
        <f t="shared" si="39"/>
        <v>4.9669032138343608E-4</v>
      </c>
      <c r="R79" s="9">
        <f t="shared" si="12"/>
        <v>3.9999999999999996E-5</v>
      </c>
      <c r="S79" s="9">
        <f t="shared" si="13"/>
        <v>1.328995172657204E-7</v>
      </c>
      <c r="T79" s="9">
        <f t="shared" si="10"/>
        <v>3.4776513699737354E-6</v>
      </c>
      <c r="U79" s="9">
        <f t="shared" si="11"/>
        <v>3.9867100482734278E-5</v>
      </c>
      <c r="V79" s="100">
        <f t="shared" si="14"/>
        <v>8.7231108554780487E-2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135</v>
      </c>
      <c r="C80" s="46" t="s">
        <v>136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2.2248030285357943</v>
      </c>
      <c r="K80" s="55">
        <f t="shared" si="35"/>
        <v>7.1930573887606097E-2</v>
      </c>
      <c r="L80" s="55">
        <f t="shared" si="36"/>
        <v>3.3293247019458038E-3</v>
      </c>
      <c r="M80" s="55">
        <f t="shared" si="19"/>
        <v>0.9966706752980542</v>
      </c>
      <c r="N80" s="55">
        <f t="shared" si="37"/>
        <v>1.3154493312593431E-3</v>
      </c>
      <c r="O80" s="56">
        <f t="shared" si="21"/>
        <v>7.232495490348089E-8</v>
      </c>
      <c r="P80" s="56">
        <f t="shared" si="38"/>
        <v>1.2136436839081701E-5</v>
      </c>
      <c r="Q80" s="56">
        <f t="shared" si="39"/>
        <v>4.7952270063988364E-4</v>
      </c>
      <c r="R80" s="9">
        <f t="shared" si="12"/>
        <v>3.9999999999999996E-5</v>
      </c>
      <c r="S80" s="9">
        <f t="shared" si="13"/>
        <v>1.3317298807783214E-7</v>
      </c>
      <c r="T80" s="9">
        <f t="shared" si="10"/>
        <v>2.8772229555042435E-6</v>
      </c>
      <c r="U80" s="9">
        <f t="shared" si="11"/>
        <v>3.9866827011922161E-5</v>
      </c>
      <c r="V80" s="100">
        <f t="shared" si="14"/>
        <v>7.2170854094904785E-2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137</v>
      </c>
      <c r="C81" s="46" t="s">
        <v>138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3.7475217398878207</v>
      </c>
      <c r="K81" s="55">
        <f t="shared" si="35"/>
        <v>3.3803895171170889E-3</v>
      </c>
      <c r="L81" s="55">
        <f t="shared" si="36"/>
        <v>5.2134844840935769E-3</v>
      </c>
      <c r="M81" s="55">
        <f t="shared" si="19"/>
        <v>0.99478651551590647</v>
      </c>
      <c r="N81" s="55">
        <f t="shared" si="37"/>
        <v>4.0592364110327468E-3</v>
      </c>
      <c r="O81" s="56">
        <f t="shared" si="21"/>
        <v>3.3989235198333223E-9</v>
      </c>
      <c r="P81" s="56">
        <f t="shared" si="38"/>
        <v>1.9004792508148742E-5</v>
      </c>
      <c r="Q81" s="56">
        <f t="shared" si="39"/>
        <v>1.4797194845130959E-3</v>
      </c>
      <c r="R81" s="9">
        <f t="shared" si="12"/>
        <v>3.9999999999999996E-5</v>
      </c>
      <c r="S81" s="9">
        <f t="shared" si="13"/>
        <v>2.0853937936374306E-7</v>
      </c>
      <c r="T81" s="9">
        <f t="shared" si="10"/>
        <v>1.3521558068468354E-7</v>
      </c>
      <c r="U81" s="9">
        <f t="shared" si="11"/>
        <v>3.9791460620636257E-5</v>
      </c>
      <c r="V81" s="100">
        <f t="shared" si="14"/>
        <v>3.3981054873507047E-3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139</v>
      </c>
      <c r="C82" s="46" t="s">
        <v>140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3.4655852041320223</v>
      </c>
      <c r="K82" s="55">
        <f t="shared" si="35"/>
        <v>5.8662662861391768E-3</v>
      </c>
      <c r="L82" s="55">
        <f t="shared" si="36"/>
        <v>4.7270106012032411E-3</v>
      </c>
      <c r="M82" s="55">
        <f t="shared" si="19"/>
        <v>0.99527298939879671</v>
      </c>
      <c r="N82" s="55">
        <f t="shared" si="37"/>
        <v>3.292019296122526E-3</v>
      </c>
      <c r="O82" s="56">
        <f t="shared" si="21"/>
        <v>5.898429856263538E-9</v>
      </c>
      <c r="P82" s="56">
        <f t="shared" si="38"/>
        <v>1.7231442029563473E-5</v>
      </c>
      <c r="Q82" s="56">
        <f t="shared" si="39"/>
        <v>1.2000446888547312E-3</v>
      </c>
      <c r="R82" s="9">
        <f t="shared" si="12"/>
        <v>3.9999999999999996E-5</v>
      </c>
      <c r="S82" s="9">
        <f t="shared" si="13"/>
        <v>1.8908042404812963E-7</v>
      </c>
      <c r="T82" s="9">
        <f t="shared" si="10"/>
        <v>2.3465065144556705E-7</v>
      </c>
      <c r="U82" s="9">
        <f t="shared" si="11"/>
        <v>3.9810919575951864E-5</v>
      </c>
      <c r="V82" s="100">
        <f t="shared" si="14"/>
        <v>5.894127891165564E-3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0.70532975413914478</v>
      </c>
      <c r="J83" s="54">
        <f t="shared" si="34"/>
        <v>1.7919988422958726</v>
      </c>
      <c r="K83" s="55">
        <f t="shared" si="35"/>
        <v>0.19541696798261315</v>
      </c>
      <c r="L83" s="55">
        <f t="shared" si="36"/>
        <v>3.3388792424967608E-3</v>
      </c>
      <c r="M83" s="55">
        <f t="shared" si="19"/>
        <v>0.99666112075750324</v>
      </c>
      <c r="N83" s="55">
        <f t="shared" si="37"/>
        <v>1.8079477281227661E-3</v>
      </c>
      <c r="O83" s="56">
        <f t="shared" si="21"/>
        <v>1.9648840031224499E-7</v>
      </c>
      <c r="P83" s="56">
        <f t="shared" si="38"/>
        <v>1.2171266147816699E-5</v>
      </c>
      <c r="Q83" s="56">
        <f t="shared" si="39"/>
        <v>6.5905387353475348E-4</v>
      </c>
      <c r="R83" s="9">
        <f t="shared" si="12"/>
        <v>3.9999999999999996E-5</v>
      </c>
      <c r="S83" s="9">
        <f t="shared" si="13"/>
        <v>1.3355516969987043E-7</v>
      </c>
      <c r="T83" s="9">
        <f t="shared" si="10"/>
        <v>7.8166787193045249E-6</v>
      </c>
      <c r="U83" s="9">
        <f t="shared" si="11"/>
        <v>3.9866444830300125E-5</v>
      </c>
      <c r="V83" s="100">
        <f t="shared" si="14"/>
        <v>0.19607162746961401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141</v>
      </c>
      <c r="C84" s="46" t="s">
        <v>142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3.5094172504294607</v>
      </c>
      <c r="K84" s="55">
        <f t="shared" si="35"/>
        <v>4.663130391923594E-3</v>
      </c>
      <c r="L84" s="55">
        <f t="shared" si="36"/>
        <v>4.156563399900344E-3</v>
      </c>
      <c r="M84" s="55">
        <f t="shared" si="19"/>
        <v>0.99584343660009966</v>
      </c>
      <c r="N84" s="55">
        <f t="shared" si="37"/>
        <v>2.3764526127180159E-3</v>
      </c>
      <c r="O84" s="56">
        <f t="shared" si="21"/>
        <v>4.6886974074738524E-9</v>
      </c>
      <c r="P84" s="56">
        <f t="shared" si="38"/>
        <v>1.5151982364785991E-5</v>
      </c>
      <c r="Q84" s="56">
        <f t="shared" si="39"/>
        <v>8.662918044150677E-4</v>
      </c>
      <c r="R84" s="9">
        <f t="shared" si="12"/>
        <v>3.9999999999999996E-5</v>
      </c>
      <c r="S84" s="9">
        <f t="shared" si="13"/>
        <v>1.6626253599601375E-7</v>
      </c>
      <c r="T84" s="9">
        <f t="shared" si="10"/>
        <v>1.8652521567694375E-7</v>
      </c>
      <c r="U84" s="9">
        <f t="shared" si="11"/>
        <v>3.9833737464003983E-5</v>
      </c>
      <c r="V84" s="100">
        <f t="shared" si="14"/>
        <v>4.6825938903046309E-3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1.7105800211348248</v>
      </c>
      <c r="K85" s="55">
        <f t="shared" si="35"/>
        <v>0.22478660037793483</v>
      </c>
      <c r="L85" s="55">
        <f t="shared" si="36"/>
        <v>3.1841244937720974E-3</v>
      </c>
      <c r="M85" s="55">
        <f t="shared" si="19"/>
        <v>0.99681587550622786</v>
      </c>
      <c r="N85" s="55">
        <f t="shared" si="37"/>
        <v>1.6743336995384058E-3</v>
      </c>
      <c r="O85" s="56">
        <f t="shared" si="21"/>
        <v>2.2601906055475215E-7</v>
      </c>
      <c r="P85" s="56">
        <f t="shared" si="38"/>
        <v>1.1607136361272553E-5</v>
      </c>
      <c r="Q85" s="56">
        <f t="shared" si="39"/>
        <v>6.1034735302680735E-4</v>
      </c>
      <c r="R85" s="9">
        <f t="shared" si="12"/>
        <v>3.9999999999999996E-5</v>
      </c>
      <c r="S85" s="9">
        <f t="shared" si="13"/>
        <v>1.2736497975088389E-7</v>
      </c>
      <c r="T85" s="9">
        <f t="shared" si="10"/>
        <v>8.9914640151173918E-6</v>
      </c>
      <c r="U85" s="9">
        <f t="shared" si="11"/>
        <v>3.9872635020249113E-5</v>
      </c>
      <c r="V85" s="100">
        <f t="shared" si="14"/>
        <v>0.22550463521036732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143</v>
      </c>
      <c r="C86" s="46" t="s">
        <v>144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2.7189105100885862</v>
      </c>
      <c r="K86" s="55">
        <f t="shared" si="35"/>
        <v>2.3244708979355332E-2</v>
      </c>
      <c r="L86" s="55">
        <f t="shared" si="36"/>
        <v>3.3564039426131451E-3</v>
      </c>
      <c r="M86" s="55">
        <f t="shared" si="19"/>
        <v>0.99664359605738684</v>
      </c>
      <c r="N86" s="55">
        <f t="shared" si="37"/>
        <v>1.170533136157463E-3</v>
      </c>
      <c r="O86" s="56">
        <f t="shared" si="21"/>
        <v>2.3372155090869975E-8</v>
      </c>
      <c r="P86" s="56">
        <f t="shared" si="38"/>
        <v>1.2235149197722304E-5</v>
      </c>
      <c r="Q86" s="56">
        <f t="shared" si="39"/>
        <v>4.2669618456633559E-4</v>
      </c>
      <c r="R86" s="9">
        <f t="shared" si="12"/>
        <v>3.9999999999999996E-5</v>
      </c>
      <c r="S86" s="9">
        <f t="shared" si="13"/>
        <v>1.3425615770452579E-7</v>
      </c>
      <c r="T86" s="9">
        <f t="shared" si="10"/>
        <v>9.2978835917421318E-7</v>
      </c>
      <c r="U86" s="9">
        <f t="shared" si="11"/>
        <v>3.9865743842295469E-5</v>
      </c>
      <c r="V86" s="100">
        <f t="shared" si="14"/>
        <v>2.3322990356140209E-2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281</v>
      </c>
      <c r="C87" s="46" t="s">
        <v>282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1.4561462187091176</v>
      </c>
      <c r="K87" s="55">
        <f t="shared" si="35"/>
        <v>0.3283598725617341</v>
      </c>
      <c r="L87" s="55">
        <f t="shared" si="36"/>
        <v>2.5890229273103256E-3</v>
      </c>
      <c r="M87" s="55">
        <f t="shared" si="19"/>
        <v>0.99741097707268966</v>
      </c>
      <c r="N87" s="55">
        <f t="shared" si="37"/>
        <v>1.1243300285488447E-3</v>
      </c>
      <c r="O87" s="56">
        <f t="shared" si="21"/>
        <v>3.3016020436939852E-7</v>
      </c>
      <c r="P87" s="56">
        <f t="shared" si="38"/>
        <v>9.4378037726005093E-6</v>
      </c>
      <c r="Q87" s="56">
        <f t="shared" si="39"/>
        <v>4.0985369705126779E-4</v>
      </c>
      <c r="R87" s="9">
        <f t="shared" si="12"/>
        <v>3.9999999999999996E-5</v>
      </c>
      <c r="S87" s="9">
        <f t="shared" si="13"/>
        <v>1.0356091709241302E-7</v>
      </c>
      <c r="T87" s="9">
        <f t="shared" si="10"/>
        <v>1.3134394902469362E-5</v>
      </c>
      <c r="U87" s="9">
        <f t="shared" si="11"/>
        <v>3.9896439082907585E-5</v>
      </c>
      <c r="V87" s="100">
        <f t="shared" si="14"/>
        <v>0.32921221052272798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283</v>
      </c>
      <c r="C88" s="46" t="s">
        <v>284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0.70936976264120555</v>
      </c>
      <c r="K88" s="55">
        <f t="shared" si="35"/>
        <v>0.70478185035344465</v>
      </c>
      <c r="L88" s="55">
        <f t="shared" si="36"/>
        <v>9.9555228479461673E-4</v>
      </c>
      <c r="M88" s="55">
        <f t="shared" si="19"/>
        <v>0.99900444771520536</v>
      </c>
      <c r="N88" s="55">
        <f t="shared" si="37"/>
        <v>3.4569596525768594E-5</v>
      </c>
      <c r="O88" s="56">
        <f t="shared" si="21"/>
        <v>7.0864602892300278E-7</v>
      </c>
      <c r="P88" s="56">
        <f t="shared" si="38"/>
        <v>3.6291015464342717E-6</v>
      </c>
      <c r="Q88" s="56">
        <f t="shared" si="39"/>
        <v>1.2601706422396237E-5</v>
      </c>
      <c r="R88" s="9">
        <f t="shared" si="12"/>
        <v>3.9999999999999996E-5</v>
      </c>
      <c r="S88" s="9">
        <f t="shared" si="13"/>
        <v>3.9822091391784664E-8</v>
      </c>
      <c r="T88" s="9">
        <f t="shared" si="10"/>
        <v>2.8191274014137784E-5</v>
      </c>
      <c r="U88" s="9">
        <f t="shared" si="11"/>
        <v>3.9960177908608212E-5</v>
      </c>
      <c r="V88" s="100">
        <f t="shared" si="14"/>
        <v>0.70548419675741303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285</v>
      </c>
      <c r="C89" s="46" t="s">
        <v>286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0.30145678662482972</v>
      </c>
      <c r="K89" s="55">
        <f t="shared" si="35"/>
        <v>0.91240911363220256</v>
      </c>
      <c r="L89" s="55">
        <f t="shared" si="36"/>
        <v>5.0383229346820282E-4</v>
      </c>
      <c r="M89" s="55">
        <f t="shared" si="19"/>
        <v>0.99949616770653182</v>
      </c>
      <c r="N89" s="55">
        <f t="shared" si="37"/>
        <v>5.1790797889626139E-5</v>
      </c>
      <c r="O89" s="56">
        <f t="shared" si="21"/>
        <v>9.1741167114953772E-7</v>
      </c>
      <c r="P89" s="56">
        <f t="shared" si="38"/>
        <v>1.8366273507635949E-6</v>
      </c>
      <c r="Q89" s="56">
        <f t="shared" si="39"/>
        <v>1.8879376561431142E-5</v>
      </c>
      <c r="R89" s="9">
        <f t="shared" si="12"/>
        <v>3.9999999999999996E-5</v>
      </c>
      <c r="S89" s="9">
        <f t="shared" si="13"/>
        <v>2.015329173872811E-8</v>
      </c>
      <c r="T89" s="9">
        <f t="shared" si="10"/>
        <v>3.6496364545288098E-5</v>
      </c>
      <c r="U89" s="9">
        <f t="shared" si="11"/>
        <v>3.9979846708261268E-5</v>
      </c>
      <c r="V89" s="100">
        <f t="shared" si="14"/>
        <v>0.91286904653755574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287</v>
      </c>
      <c r="C90" s="46" t="s">
        <v>288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1.161093781343709E-2</v>
      </c>
      <c r="K90" s="55">
        <f t="shared" si="35"/>
        <v>0.9915907790467704</v>
      </c>
      <c r="L90" s="55">
        <f t="shared" si="36"/>
        <v>2.8092023082291453E-4</v>
      </c>
      <c r="M90" s="55">
        <f t="shared" si="19"/>
        <v>0.99971907976917707</v>
      </c>
      <c r="N90" s="55">
        <f t="shared" si="37"/>
        <v>1.8498999753499746E-6</v>
      </c>
      <c r="O90" s="56">
        <f t="shared" si="21"/>
        <v>9.9702747387119347E-7</v>
      </c>
      <c r="P90" s="56">
        <f t="shared" si="38"/>
        <v>1.0240426943668088E-6</v>
      </c>
      <c r="Q90" s="56">
        <f t="shared" si="39"/>
        <v>6.7434678859446471E-7</v>
      </c>
      <c r="R90" s="9">
        <f t="shared" si="12"/>
        <v>3.9999999999999996E-5</v>
      </c>
      <c r="S90" s="9">
        <f t="shared" si="13"/>
        <v>1.1236809232916581E-8</v>
      </c>
      <c r="T90" s="9">
        <f t="shared" si="10"/>
        <v>3.9663631161870811E-5</v>
      </c>
      <c r="U90" s="9">
        <f t="shared" si="11"/>
        <v>3.9988763190767078E-5</v>
      </c>
      <c r="V90" s="100">
        <f t="shared" si="14"/>
        <v>0.99186941523184358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289</v>
      </c>
      <c r="C91" s="46" t="s">
        <v>290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-4.1568887929674184E-3</v>
      </c>
      <c r="K91" s="55">
        <f t="shared" si="35"/>
        <v>0.99507552750327621</v>
      </c>
      <c r="L91" s="55">
        <f t="shared" si="36"/>
        <v>2.7185589571222281E-4</v>
      </c>
      <c r="M91" s="55">
        <f t="shared" si="19"/>
        <v>0.99972814410428779</v>
      </c>
      <c r="N91" s="55">
        <f t="shared" si="37"/>
        <v>8.431468564328394E-7</v>
      </c>
      <c r="O91" s="56">
        <f t="shared" si="21"/>
        <v>1.0005313285097033E-6</v>
      </c>
      <c r="P91" s="56">
        <f t="shared" si="38"/>
        <v>9.9100033881197624E-7</v>
      </c>
      <c r="Q91" s="56">
        <f t="shared" si="39"/>
        <v>3.0735357723405417E-7</v>
      </c>
      <c r="R91" s="9">
        <f t="shared" si="12"/>
        <v>3.9999999999999996E-5</v>
      </c>
      <c r="S91" s="9">
        <f t="shared" si="13"/>
        <v>1.0874235828488912E-8</v>
      </c>
      <c r="T91" s="9">
        <f t="shared" si="10"/>
        <v>3.9803021100131047E-5</v>
      </c>
      <c r="U91" s="9">
        <f t="shared" si="11"/>
        <v>3.998912576417151E-5</v>
      </c>
      <c r="V91" s="100">
        <f t="shared" si="14"/>
        <v>0.99534611821378693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291</v>
      </c>
      <c r="C92" s="46" t="s">
        <v>292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0.36182051032433649</v>
      </c>
      <c r="K92" s="55">
        <f t="shared" si="35"/>
        <v>0.89156367314047491</v>
      </c>
      <c r="L92" s="55">
        <f t="shared" si="36"/>
        <v>5.6573425297063264E-4</v>
      </c>
      <c r="M92" s="55">
        <f t="shared" si="19"/>
        <v>0.99943426574702932</v>
      </c>
      <c r="N92" s="55">
        <f t="shared" si="37"/>
        <v>7.0076808834894662E-5</v>
      </c>
      <c r="O92" s="56">
        <f t="shared" si="21"/>
        <v>8.9645193925773969E-7</v>
      </c>
      <c r="P92" s="56">
        <f t="shared" si="38"/>
        <v>2.0622794841459466E-6</v>
      </c>
      <c r="Q92" s="56">
        <f t="shared" si="39"/>
        <v>2.5545203320422365E-5</v>
      </c>
      <c r="R92" s="9">
        <f t="shared" si="12"/>
        <v>3.9999999999999996E-5</v>
      </c>
      <c r="S92" s="9">
        <f t="shared" si="13"/>
        <v>2.2629370118825305E-8</v>
      </c>
      <c r="T92" s="9">
        <f t="shared" ref="T92:T143" si="40">R92*K92</f>
        <v>3.5662546925618996E-5</v>
      </c>
      <c r="U92" s="9">
        <f t="shared" ref="U92:U143" si="41">$R92*M92</f>
        <v>3.997737062988117E-5</v>
      </c>
      <c r="V92" s="100">
        <f t="shared" si="14"/>
        <v>0.89206834676022806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293</v>
      </c>
      <c r="C93" s="46" t="s">
        <v>294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-3.5273748198145854E-3</v>
      </c>
      <c r="K93" s="55">
        <f t="shared" si="35"/>
        <v>0.99493737102667312</v>
      </c>
      <c r="L93" s="55">
        <f t="shared" si="36"/>
        <v>2.7221243987102581E-4</v>
      </c>
      <c r="M93" s="55">
        <f t="shared" ref="M93:M127" si="42">IF(D93=0,"",1-L93)</f>
        <v>0.99972778756012892</v>
      </c>
      <c r="N93" s="55">
        <f t="shared" si="37"/>
        <v>8.7855619164996793E-7</v>
      </c>
      <c r="O93" s="56">
        <f t="shared" ref="O93:O127" si="43">IF(D93=0,"",F93*K93*$J$7/$J$14)</f>
        <v>1.0003924145486448E-6</v>
      </c>
      <c r="P93" s="56">
        <f t="shared" si="38"/>
        <v>9.9230005453544616E-7</v>
      </c>
      <c r="Q93" s="56">
        <f t="shared" si="39"/>
        <v>3.2026139485020293E-7</v>
      </c>
      <c r="R93" s="9">
        <f t="shared" ref="R93:R143" si="44">F93*$C$14</f>
        <v>3.9999999999999996E-5</v>
      </c>
      <c r="S93" s="9">
        <f t="shared" ref="S93:S143" si="45">$R93*L93</f>
        <v>1.0888497594841031E-8</v>
      </c>
      <c r="T93" s="9">
        <f t="shared" si="40"/>
        <v>3.9797494841066918E-5</v>
      </c>
      <c r="U93" s="9">
        <f t="shared" si="41"/>
        <v>3.9989111502405155E-5</v>
      </c>
      <c r="V93" s="100">
        <f t="shared" ref="V93:V143" si="46">K93/M93</f>
        <v>0.99520827910050702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295</v>
      </c>
      <c r="C94" s="46" t="s">
        <v>296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-1.9299967589831664E-2</v>
      </c>
      <c r="K94" s="55">
        <f t="shared" si="35"/>
        <v>0.99838396378326311</v>
      </c>
      <c r="L94" s="55">
        <f t="shared" si="36"/>
        <v>2.6341301443467535E-4</v>
      </c>
      <c r="M94" s="55">
        <f t="shared" si="42"/>
        <v>0.99973658698556533</v>
      </c>
      <c r="N94" s="55">
        <f t="shared" si="37"/>
        <v>1.4736190533153152E-7</v>
      </c>
      <c r="O94" s="56">
        <f t="shared" si="43"/>
        <v>1.0038579042871325E-6</v>
      </c>
      <c r="P94" s="56">
        <f t="shared" si="38"/>
        <v>9.6022337815537997E-7</v>
      </c>
      <c r="Q94" s="56">
        <f t="shared" si="39"/>
        <v>5.3718054460041734E-8</v>
      </c>
      <c r="R94" s="9">
        <f t="shared" si="44"/>
        <v>3.9999999999999996E-5</v>
      </c>
      <c r="S94" s="9">
        <f t="shared" si="45"/>
        <v>1.0536520577387013E-8</v>
      </c>
      <c r="T94" s="9">
        <f t="shared" si="40"/>
        <v>3.9935358551330522E-5</v>
      </c>
      <c r="U94" s="9">
        <f t="shared" si="41"/>
        <v>3.9989463479422613E-5</v>
      </c>
      <c r="V94" s="100">
        <f t="shared" si="46"/>
        <v>0.99864702040526421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297</v>
      </c>
      <c r="C95" s="46" t="s">
        <v>298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3.167558402824401</v>
      </c>
      <c r="K95" s="55">
        <f t="shared" si="35"/>
        <v>1.2395257246062717E-2</v>
      </c>
      <c r="L95" s="55">
        <f t="shared" si="36"/>
        <v>5.0286747460183854E-3</v>
      </c>
      <c r="M95" s="55">
        <f t="shared" si="42"/>
        <v>0.99497132525398158</v>
      </c>
      <c r="N95" s="55">
        <f t="shared" si="37"/>
        <v>3.798963545592198E-3</v>
      </c>
      <c r="O95" s="56">
        <f t="shared" si="43"/>
        <v>1.2463217973755087E-8</v>
      </c>
      <c r="P95" s="56">
        <f t="shared" si="38"/>
        <v>1.8331102822043344E-5</v>
      </c>
      <c r="Q95" s="56">
        <f t="shared" si="39"/>
        <v>1.3848418298794127E-3</v>
      </c>
      <c r="R95" s="9">
        <f t="shared" si="44"/>
        <v>3.9999999999999996E-5</v>
      </c>
      <c r="S95" s="9">
        <f t="shared" si="45"/>
        <v>2.011469898407354E-7</v>
      </c>
      <c r="T95" s="9">
        <f t="shared" si="40"/>
        <v>4.9581028984250866E-7</v>
      </c>
      <c r="U95" s="9">
        <f t="shared" si="41"/>
        <v>3.979885301015926E-5</v>
      </c>
      <c r="V95" s="100">
        <f t="shared" si="46"/>
        <v>1.2457903993261955E-2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299</v>
      </c>
      <c r="C96" s="46" t="s">
        <v>212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-2.5488275090784249E-2</v>
      </c>
      <c r="K96" s="55">
        <f t="shared" si="35"/>
        <v>0.9997399539000752</v>
      </c>
      <c r="L96" s="55">
        <f t="shared" si="36"/>
        <v>2.6003893150794297E-4</v>
      </c>
      <c r="M96" s="55">
        <f t="shared" si="42"/>
        <v>0.99973996106849206</v>
      </c>
      <c r="N96" s="55">
        <f t="shared" si="37"/>
        <v>4.7046427212477209E-15</v>
      </c>
      <c r="O96" s="56">
        <f t="shared" si="43"/>
        <v>1.0052213290277894E-6</v>
      </c>
      <c r="P96" s="56">
        <f t="shared" si="38"/>
        <v>9.4792378349398257E-7</v>
      </c>
      <c r="Q96" s="56">
        <f t="shared" si="39"/>
        <v>1.7149904064177959E-15</v>
      </c>
      <c r="R96" s="9">
        <f t="shared" si="44"/>
        <v>3.9999999999999996E-5</v>
      </c>
      <c r="S96" s="9">
        <f t="shared" si="45"/>
        <v>1.0401557260317718E-8</v>
      </c>
      <c r="T96" s="9">
        <f t="shared" si="40"/>
        <v>3.9989598156003007E-5</v>
      </c>
      <c r="U96" s="9">
        <f t="shared" si="41"/>
        <v>3.9989598442739678E-5</v>
      </c>
      <c r="V96" s="100">
        <f t="shared" si="46"/>
        <v>0.99999999282971863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300</v>
      </c>
      <c r="C97" s="46" t="s">
        <v>213</v>
      </c>
      <c r="D97" s="47" t="s">
        <v>301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3.9999999999999996E-5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302</v>
      </c>
      <c r="C98" s="46" t="s">
        <v>214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3.2573026966933165</v>
      </c>
      <c r="K98" s="55">
        <f t="shared" si="35"/>
        <v>5.6950277446417346E-3</v>
      </c>
      <c r="L98" s="55">
        <f t="shared" si="36"/>
        <v>2.8407835216156989E-3</v>
      </c>
      <c r="M98" s="55">
        <f t="shared" si="42"/>
        <v>0.99715921647838435</v>
      </c>
      <c r="N98" s="55">
        <f t="shared" si="37"/>
        <v>2.7934148876931306E-4</v>
      </c>
      <c r="O98" s="56">
        <f t="shared" si="43"/>
        <v>5.7262524479351683E-9</v>
      </c>
      <c r="P98" s="56">
        <f t="shared" si="38"/>
        <v>1.0355550410400993E-5</v>
      </c>
      <c r="Q98" s="56">
        <f t="shared" si="39"/>
        <v>1.0182876824848082E-4</v>
      </c>
      <c r="R98" s="9">
        <f t="shared" si="44"/>
        <v>3.9999999999999996E-5</v>
      </c>
      <c r="S98" s="9">
        <f t="shared" si="45"/>
        <v>1.1363134086462795E-7</v>
      </c>
      <c r="T98" s="9">
        <f t="shared" si="40"/>
        <v>2.2780110978566937E-7</v>
      </c>
      <c r="U98" s="9">
        <f t="shared" si="41"/>
        <v>3.9886368659135368E-5</v>
      </c>
      <c r="V98" s="100">
        <f t="shared" si="46"/>
        <v>5.711252175710284E-3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303</v>
      </c>
      <c r="C99" s="46" t="s">
        <v>215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1.5416815154210541</v>
      </c>
      <c r="K99" s="55">
        <f t="shared" si="35"/>
        <v>0.22980561905947569</v>
      </c>
      <c r="L99" s="55">
        <f t="shared" si="36"/>
        <v>2.2063873466997663E-3</v>
      </c>
      <c r="M99" s="55">
        <f t="shared" si="42"/>
        <v>0.99779361265330024</v>
      </c>
      <c r="N99" s="55">
        <f t="shared" si="37"/>
        <v>1.3243422756042023E-4</v>
      </c>
      <c r="O99" s="56">
        <f t="shared" si="43"/>
        <v>2.3106559751648097E-7</v>
      </c>
      <c r="P99" s="56">
        <f t="shared" si="38"/>
        <v>8.0429766012671305E-6</v>
      </c>
      <c r="Q99" s="56">
        <f t="shared" si="39"/>
        <v>4.8276445886466052E-5</v>
      </c>
      <c r="R99" s="9">
        <f t="shared" si="44"/>
        <v>3.9999999999999996E-5</v>
      </c>
      <c r="S99" s="9">
        <f t="shared" si="45"/>
        <v>8.825549386799064E-8</v>
      </c>
      <c r="T99" s="9">
        <f t="shared" si="40"/>
        <v>9.1922247623790266E-6</v>
      </c>
      <c r="U99" s="9">
        <f t="shared" si="41"/>
        <v>3.9911744506132008E-5</v>
      </c>
      <c r="V99" s="100">
        <f t="shared" si="46"/>
        <v>0.23031378047047635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304</v>
      </c>
      <c r="C100" s="46" t="s">
        <v>216</v>
      </c>
      <c r="D100" s="47" t="s">
        <v>301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3.9999999999999996E-5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305</v>
      </c>
      <c r="C101" s="46" t="s">
        <v>217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2.8915128781421329</v>
      </c>
      <c r="K101" s="55">
        <f t="shared" si="35"/>
        <v>1.2666131893318194E-2</v>
      </c>
      <c r="L101" s="55">
        <f t="shared" si="36"/>
        <v>2.7214257104201545E-3</v>
      </c>
      <c r="M101" s="55">
        <f t="shared" si="42"/>
        <v>0.99727857428957989</v>
      </c>
      <c r="N101" s="55">
        <f t="shared" si="37"/>
        <v>1.1568674593012099E-4</v>
      </c>
      <c r="O101" s="56">
        <f t="shared" si="43"/>
        <v>1.2735577772772682E-8</v>
      </c>
      <c r="P101" s="56">
        <f t="shared" si="38"/>
        <v>9.9204536065418899E-6</v>
      </c>
      <c r="Q101" s="56">
        <f t="shared" si="39"/>
        <v>4.2171461506269764E-5</v>
      </c>
      <c r="R101" s="9">
        <f t="shared" si="44"/>
        <v>3.9999999999999996E-5</v>
      </c>
      <c r="S101" s="9">
        <f t="shared" si="45"/>
        <v>1.0885702841680617E-7</v>
      </c>
      <c r="T101" s="9">
        <f t="shared" si="40"/>
        <v>5.0664527573272772E-7</v>
      </c>
      <c r="U101" s="9">
        <f t="shared" si="41"/>
        <v>3.9891142971583189E-5</v>
      </c>
      <c r="V101" s="100">
        <f t="shared" si="46"/>
        <v>1.2700695893663436E-2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306</v>
      </c>
      <c r="C102" s="46" t="s">
        <v>218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2.1152501491474514</v>
      </c>
      <c r="K102" s="55">
        <f t="shared" si="35"/>
        <v>6.9807532140552644E-2</v>
      </c>
      <c r="L102" s="55">
        <f t="shared" si="36"/>
        <v>2.5106838751410201E-3</v>
      </c>
      <c r="M102" s="55">
        <f t="shared" si="42"/>
        <v>0.99748931612485903</v>
      </c>
      <c r="N102" s="55">
        <f t="shared" si="37"/>
        <v>2.209232612150183E-10</v>
      </c>
      <c r="O102" s="56">
        <f t="shared" si="43"/>
        <v>7.0190272941207463E-8</v>
      </c>
      <c r="P102" s="56">
        <f t="shared" si="38"/>
        <v>9.1522332609196772E-6</v>
      </c>
      <c r="Q102" s="56">
        <f t="shared" si="39"/>
        <v>8.0533484897192314E-11</v>
      </c>
      <c r="R102" s="9">
        <f t="shared" si="44"/>
        <v>3.9999999999999996E-5</v>
      </c>
      <c r="S102" s="9">
        <f t="shared" si="45"/>
        <v>1.004273550056408E-7</v>
      </c>
      <c r="T102" s="9">
        <f t="shared" si="40"/>
        <v>2.7923012856221057E-6</v>
      </c>
      <c r="U102" s="9">
        <f t="shared" si="41"/>
        <v>3.9899572644994356E-5</v>
      </c>
      <c r="V102" s="100">
        <f t="shared" si="46"/>
        <v>6.9983237927547487E-2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307</v>
      </c>
      <c r="C103" s="46" t="s">
        <v>219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3.1623797905268387</v>
      </c>
      <c r="K103" s="55">
        <f t="shared" si="35"/>
        <v>6.6441896111766536E-3</v>
      </c>
      <c r="L103" s="55">
        <f t="shared" si="36"/>
        <v>2.6635533965948433E-3</v>
      </c>
      <c r="M103" s="55">
        <f t="shared" si="42"/>
        <v>0.99733644660340515</v>
      </c>
      <c r="N103" s="55">
        <f t="shared" si="37"/>
        <v>3.5065592247391113E-10</v>
      </c>
      <c r="O103" s="56">
        <f t="shared" si="43"/>
        <v>6.680618380014435E-9</v>
      </c>
      <c r="P103" s="56">
        <f t="shared" si="38"/>
        <v>9.7094908004623492E-6</v>
      </c>
      <c r="Q103" s="56">
        <f t="shared" si="39"/>
        <v>1.278251248028564E-10</v>
      </c>
      <c r="R103" s="9">
        <f t="shared" si="44"/>
        <v>3.9999999999999996E-5</v>
      </c>
      <c r="S103" s="9">
        <f t="shared" si="45"/>
        <v>1.0654213586379372E-7</v>
      </c>
      <c r="T103" s="9">
        <f t="shared" si="40"/>
        <v>2.6576758444706611E-7</v>
      </c>
      <c r="U103" s="9">
        <f t="shared" si="41"/>
        <v>3.9893457864136205E-5</v>
      </c>
      <c r="V103" s="100">
        <f t="shared" si="46"/>
        <v>6.6619340281853174E-3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308</v>
      </c>
      <c r="C104" s="46" t="s">
        <v>220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3.8632924747948705</v>
      </c>
      <c r="K104" s="55">
        <f t="shared" si="35"/>
        <v>1.370000299804676E-3</v>
      </c>
      <c r="L104" s="55">
        <f t="shared" si="36"/>
        <v>2.7583713683037581E-3</v>
      </c>
      <c r="M104" s="55">
        <f t="shared" si="42"/>
        <v>0.9972416286316963</v>
      </c>
      <c r="N104" s="55">
        <f t="shared" si="37"/>
        <v>1.3102683826391991E-4</v>
      </c>
      <c r="O104" s="56">
        <f t="shared" si="43"/>
        <v>1.377511738693374E-9</v>
      </c>
      <c r="P104" s="56">
        <f t="shared" si="38"/>
        <v>1.0055132162562769E-5</v>
      </c>
      <c r="Q104" s="56">
        <f t="shared" si="39"/>
        <v>4.7763408173593127E-5</v>
      </c>
      <c r="R104" s="9">
        <f t="shared" si="44"/>
        <v>3.9999999999999996E-5</v>
      </c>
      <c r="S104" s="9">
        <f t="shared" si="45"/>
        <v>1.1033485473215031E-7</v>
      </c>
      <c r="T104" s="9">
        <f t="shared" si="40"/>
        <v>5.4800011992187032E-8</v>
      </c>
      <c r="U104" s="9">
        <f t="shared" si="41"/>
        <v>3.9889665145267847E-5</v>
      </c>
      <c r="V104" s="100">
        <f t="shared" si="46"/>
        <v>1.3737897220400211E-3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309</v>
      </c>
      <c r="C105" s="46" t="s">
        <v>221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3.5417985599526003</v>
      </c>
      <c r="K105" s="55">
        <f t="shared" si="35"/>
        <v>3.2335173959191889E-3</v>
      </c>
      <c r="L105" s="55">
        <f t="shared" si="36"/>
        <v>3.1053700558976581E-3</v>
      </c>
      <c r="M105" s="55">
        <f t="shared" si="42"/>
        <v>0.99689462994410238</v>
      </c>
      <c r="N105" s="55">
        <f t="shared" si="37"/>
        <v>6.9233263055972904E-4</v>
      </c>
      <c r="O105" s="56">
        <f t="shared" si="43"/>
        <v>3.2512461280358545E-9</v>
      </c>
      <c r="P105" s="56">
        <f t="shared" si="38"/>
        <v>1.1320051637904514E-5</v>
      </c>
      <c r="Q105" s="56">
        <f t="shared" si="39"/>
        <v>2.5237704323380274E-4</v>
      </c>
      <c r="R105" s="9">
        <f t="shared" si="44"/>
        <v>3.9999999999999996E-5</v>
      </c>
      <c r="S105" s="9">
        <f t="shared" si="45"/>
        <v>1.2421480223590633E-7</v>
      </c>
      <c r="T105" s="9">
        <f t="shared" si="40"/>
        <v>1.2934069583676754E-7</v>
      </c>
      <c r="U105" s="9">
        <f t="shared" si="41"/>
        <v>3.9875785197764095E-5</v>
      </c>
      <c r="V105" s="100">
        <f t="shared" si="46"/>
        <v>3.2435899430017972E-3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310</v>
      </c>
      <c r="C106" s="46" t="s">
        <v>222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2.6118360433536578</v>
      </c>
      <c r="K106" s="55">
        <f t="shared" si="35"/>
        <v>2.3534571706406823E-2</v>
      </c>
      <c r="L106" s="55">
        <f t="shared" si="36"/>
        <v>2.6557179060484066E-3</v>
      </c>
      <c r="M106" s="55">
        <f t="shared" si="42"/>
        <v>0.99734428209395154</v>
      </c>
      <c r="N106" s="55">
        <f t="shared" si="37"/>
        <v>5.2764994650386169E-5</v>
      </c>
      <c r="O106" s="56">
        <f t="shared" si="43"/>
        <v>2.3663607077544738E-8</v>
      </c>
      <c r="P106" s="56">
        <f t="shared" si="38"/>
        <v>9.680927970269046E-6</v>
      </c>
      <c r="Q106" s="56">
        <f t="shared" si="39"/>
        <v>1.9234501955145132E-5</v>
      </c>
      <c r="R106" s="9">
        <f t="shared" si="44"/>
        <v>3.9999999999999996E-5</v>
      </c>
      <c r="S106" s="9">
        <f t="shared" si="45"/>
        <v>1.0622871624193625E-7</v>
      </c>
      <c r="T106" s="9">
        <f t="shared" si="40"/>
        <v>9.4138286825627279E-7</v>
      </c>
      <c r="U106" s="9">
        <f t="shared" si="41"/>
        <v>3.9893771283758058E-5</v>
      </c>
      <c r="V106" s="100">
        <f t="shared" si="46"/>
        <v>2.3597239317395342E-2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311</v>
      </c>
      <c r="C107" s="46" t="s">
        <v>223</v>
      </c>
      <c r="D107" s="47" t="s">
        <v>301</v>
      </c>
      <c r="E107" s="47" t="s">
        <v>312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3.9999999999999996E-5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313</v>
      </c>
      <c r="C108" s="46" t="s">
        <v>224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3.3118654061647601</v>
      </c>
      <c r="K108" s="55">
        <f t="shared" si="35"/>
        <v>4.9193457923710085E-3</v>
      </c>
      <c r="L108" s="55">
        <f t="shared" si="36"/>
        <v>2.7823538204768089E-3</v>
      </c>
      <c r="M108" s="55">
        <f t="shared" si="42"/>
        <v>0.99721764617952324</v>
      </c>
      <c r="N108" s="55">
        <f t="shared" si="37"/>
        <v>1.8304039758154287E-4</v>
      </c>
      <c r="O108" s="56">
        <f t="shared" si="43"/>
        <v>4.9463175859516645E-9</v>
      </c>
      <c r="P108" s="56">
        <f t="shared" si="38"/>
        <v>1.0142555752059577E-5</v>
      </c>
      <c r="Q108" s="56">
        <f t="shared" si="39"/>
        <v>6.6723988289591566E-5</v>
      </c>
      <c r="R108" s="9">
        <f t="shared" si="44"/>
        <v>3.9999999999999996E-5</v>
      </c>
      <c r="S108" s="9">
        <f t="shared" si="45"/>
        <v>1.1129415281907235E-7</v>
      </c>
      <c r="T108" s="9">
        <f t="shared" si="40"/>
        <v>1.9677383169484033E-7</v>
      </c>
      <c r="U108" s="9">
        <f t="shared" si="41"/>
        <v>3.9888705847180924E-5</v>
      </c>
      <c r="V108" s="100">
        <f t="shared" si="46"/>
        <v>4.9330713422668492E-3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314</v>
      </c>
      <c r="C109" s="46" t="s">
        <v>225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3.5677567932915144</v>
      </c>
      <c r="K109" s="55">
        <f t="shared" si="35"/>
        <v>2.9517302584011959E-3</v>
      </c>
      <c r="L109" s="55">
        <f t="shared" si="36"/>
        <v>3.0093524867649993E-3</v>
      </c>
      <c r="M109" s="55">
        <f t="shared" si="42"/>
        <v>0.99699064751323496</v>
      </c>
      <c r="N109" s="55">
        <f t="shared" si="37"/>
        <v>5.379182347037049E-4</v>
      </c>
      <c r="O109" s="56">
        <f t="shared" si="43"/>
        <v>2.9679140077442162E-9</v>
      </c>
      <c r="P109" s="56">
        <f t="shared" si="38"/>
        <v>1.0970037365478745E-5</v>
      </c>
      <c r="Q109" s="56">
        <f t="shared" si="39"/>
        <v>1.9608813391665733E-4</v>
      </c>
      <c r="R109" s="9">
        <f t="shared" si="44"/>
        <v>3.9999999999999996E-5</v>
      </c>
      <c r="S109" s="9">
        <f t="shared" si="45"/>
        <v>1.2037409947059997E-7</v>
      </c>
      <c r="T109" s="9">
        <f t="shared" si="40"/>
        <v>1.1806921033604783E-7</v>
      </c>
      <c r="U109" s="9">
        <f t="shared" si="41"/>
        <v>3.9879625900529392E-5</v>
      </c>
      <c r="V109" s="100">
        <f t="shared" si="46"/>
        <v>2.9606398673484168E-3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204</v>
      </c>
      <c r="C110" s="46" t="s">
        <v>205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1.86916463208601</v>
      </c>
      <c r="K110" s="55">
        <f t="shared" si="35"/>
        <v>0.1176050929779256</v>
      </c>
      <c r="L110" s="55">
        <f t="shared" si="36"/>
        <v>2.4001056589658632E-3</v>
      </c>
      <c r="M110" s="55">
        <f t="shared" si="42"/>
        <v>0.99759989434103413</v>
      </c>
      <c r="N110" s="55">
        <f t="shared" si="37"/>
        <v>8.1482759577324246E-6</v>
      </c>
      <c r="O110" s="56">
        <f t="shared" si="43"/>
        <v>1.1824989828857355E-7</v>
      </c>
      <c r="P110" s="56">
        <f t="shared" si="38"/>
        <v>8.7491408453304805E-6</v>
      </c>
      <c r="Q110" s="56">
        <f t="shared" si="39"/>
        <v>2.9703031503845576E-6</v>
      </c>
      <c r="R110" s="9">
        <f t="shared" si="44"/>
        <v>3.9999999999999996E-5</v>
      </c>
      <c r="S110" s="9">
        <f t="shared" si="45"/>
        <v>9.6004226358634521E-8</v>
      </c>
      <c r="T110" s="9">
        <f t="shared" si="40"/>
        <v>4.7042037191170238E-6</v>
      </c>
      <c r="U110" s="9">
        <f t="shared" si="41"/>
        <v>3.990399577364136E-5</v>
      </c>
      <c r="V110" s="100">
        <f t="shared" si="46"/>
        <v>0.11788803672198642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206</v>
      </c>
      <c r="C111" s="46" t="s">
        <v>207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1.84259502512759</v>
      </c>
      <c r="K111" s="55">
        <f t="shared" si="35"/>
        <v>0.17457432030474418</v>
      </c>
      <c r="L111" s="55">
        <f t="shared" si="36"/>
        <v>3.3513129458153062E-3</v>
      </c>
      <c r="M111" s="55">
        <f t="shared" si="42"/>
        <v>0.99664868705418475</v>
      </c>
      <c r="N111" s="55">
        <f t="shared" si="37"/>
        <v>1.7472512970019053E-3</v>
      </c>
      <c r="O111" s="56">
        <f t="shared" si="43"/>
        <v>1.7553147654674795E-7</v>
      </c>
      <c r="P111" s="56">
        <f t="shared" si="38"/>
        <v>1.22165909113981E-5</v>
      </c>
      <c r="Q111" s="56">
        <f t="shared" si="39"/>
        <v>6.3692811324992803E-4</v>
      </c>
      <c r="R111" s="9">
        <f t="shared" si="44"/>
        <v>3.9999999999999996E-5</v>
      </c>
      <c r="S111" s="9">
        <f t="shared" si="45"/>
        <v>1.3405251783261225E-7</v>
      </c>
      <c r="T111" s="9">
        <f t="shared" si="40"/>
        <v>6.9829728121897667E-6</v>
      </c>
      <c r="U111" s="9">
        <f t="shared" si="41"/>
        <v>3.9865947482167389E-5</v>
      </c>
      <c r="V111" s="100">
        <f t="shared" si="46"/>
        <v>0.17516134077368539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208</v>
      </c>
      <c r="C112" s="46" t="s">
        <v>209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4.8225181897123042</v>
      </c>
      <c r="K112" s="55">
        <f t="shared" si="35"/>
        <v>2.9824176832059473E-4</v>
      </c>
      <c r="L112" s="55">
        <f t="shared" si="36"/>
        <v>5.4667127532936257E-3</v>
      </c>
      <c r="M112" s="55">
        <f t="shared" si="42"/>
        <v>0.99453328724670642</v>
      </c>
      <c r="N112" s="55">
        <f t="shared" si="37"/>
        <v>4.4516915471205544E-3</v>
      </c>
      <c r="O112" s="56">
        <f t="shared" si="43"/>
        <v>2.9987696855895728E-10</v>
      </c>
      <c r="P112" s="56">
        <f t="shared" si="38"/>
        <v>1.9927889283065352E-5</v>
      </c>
      <c r="Q112" s="56">
        <f t="shared" si="39"/>
        <v>1.6227817388050601E-3</v>
      </c>
      <c r="R112" s="9">
        <f t="shared" si="44"/>
        <v>3.9999999999999996E-5</v>
      </c>
      <c r="S112" s="9">
        <f t="shared" si="45"/>
        <v>2.18668510131745E-7</v>
      </c>
      <c r="T112" s="9">
        <f t="shared" si="40"/>
        <v>1.1929670732823788E-8</v>
      </c>
      <c r="U112" s="9">
        <f t="shared" si="41"/>
        <v>3.9781331489868254E-5</v>
      </c>
      <c r="V112" s="100">
        <f t="shared" si="46"/>
        <v>2.9988113233118171E-4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210</v>
      </c>
      <c r="C113" s="46" t="s">
        <v>211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5.1896332804405967</v>
      </c>
      <c r="K113" s="55">
        <f t="shared" si="35"/>
        <v>1.3446102442326357E-4</v>
      </c>
      <c r="L113" s="55">
        <f t="shared" si="36"/>
        <v>5.7394370297029207E-3</v>
      </c>
      <c r="M113" s="55">
        <f t="shared" si="42"/>
        <v>0.99426056297029708</v>
      </c>
      <c r="N113" s="55">
        <f t="shared" si="37"/>
        <v>4.8865575165461059E-3</v>
      </c>
      <c r="O113" s="56">
        <f t="shared" si="43"/>
        <v>1.351982474501571E-10</v>
      </c>
      <c r="P113" s="56">
        <f t="shared" si="38"/>
        <v>2.0922055142944153E-5</v>
      </c>
      <c r="Q113" s="56">
        <f t="shared" si="39"/>
        <v>1.7813040772334721E-3</v>
      </c>
      <c r="R113" s="9">
        <f t="shared" si="44"/>
        <v>3.9999999999999996E-5</v>
      </c>
      <c r="S113" s="9">
        <f t="shared" si="45"/>
        <v>2.295774811881168E-7</v>
      </c>
      <c r="T113" s="9">
        <f t="shared" si="40"/>
        <v>5.3784409769305426E-9</v>
      </c>
      <c r="U113" s="9">
        <f t="shared" si="41"/>
        <v>3.9770422518811883E-5</v>
      </c>
      <c r="V113" s="100">
        <f t="shared" si="46"/>
        <v>1.352372098734047E-4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5.609396901026626</v>
      </c>
      <c r="K114" s="55">
        <f t="shared" si="35"/>
        <v>5.3395208365328253E-5</v>
      </c>
      <c r="L114" s="55">
        <f t="shared" si="36"/>
        <v>5.9915444536250253E-3</v>
      </c>
      <c r="M114" s="55">
        <f t="shared" si="42"/>
        <v>0.99400845554637496</v>
      </c>
      <c r="N114" s="55">
        <f t="shared" si="37"/>
        <v>5.2888211979774009E-3</v>
      </c>
      <c r="O114" s="56">
        <f t="shared" si="43"/>
        <v>5.3687963662274278E-11</v>
      </c>
      <c r="P114" s="56">
        <f t="shared" si="38"/>
        <v>2.1841066083903435E-5</v>
      </c>
      <c r="Q114" s="56">
        <f t="shared" si="39"/>
        <v>1.927941855143632E-3</v>
      </c>
      <c r="R114" s="9">
        <f t="shared" si="44"/>
        <v>3.9999999999999996E-5</v>
      </c>
      <c r="S114" s="9">
        <f t="shared" si="45"/>
        <v>2.3966177814500098E-7</v>
      </c>
      <c r="T114" s="9">
        <f t="shared" si="40"/>
        <v>2.1358083346131301E-9</v>
      </c>
      <c r="U114" s="9">
        <f t="shared" si="41"/>
        <v>3.9760338221854995E-5</v>
      </c>
      <c r="V114" s="100">
        <f t="shared" si="46"/>
        <v>5.3717056497249412E-5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4.2006252163899038</v>
      </c>
      <c r="K115" s="55">
        <f t="shared" si="35"/>
        <v>1.3382070345192099E-3</v>
      </c>
      <c r="L115" s="55">
        <f t="shared" si="36"/>
        <v>5.8585227957152226E-3</v>
      </c>
      <c r="M115" s="55">
        <f t="shared" si="42"/>
        <v>0.99414147720428481</v>
      </c>
      <c r="N115" s="55">
        <f t="shared" si="37"/>
        <v>5.0813714127085205E-3</v>
      </c>
      <c r="O115" s="56">
        <f t="shared" si="43"/>
        <v>1.3455441572641101E-9</v>
      </c>
      <c r="P115" s="56">
        <f t="shared" si="38"/>
        <v>2.1356160256451772E-5</v>
      </c>
      <c r="Q115" s="56">
        <f t="shared" si="39"/>
        <v>1.8523198764665337E-3</v>
      </c>
      <c r="R115" s="9">
        <f t="shared" si="44"/>
        <v>3.9999999999999996E-5</v>
      </c>
      <c r="S115" s="9">
        <f t="shared" si="45"/>
        <v>2.3434091182860888E-7</v>
      </c>
      <c r="T115" s="9">
        <f t="shared" si="40"/>
        <v>5.352828138076839E-8</v>
      </c>
      <c r="U115" s="9">
        <f t="shared" si="41"/>
        <v>3.9765659088171392E-5</v>
      </c>
      <c r="V115" s="100">
        <f t="shared" si="46"/>
        <v>1.346093151934977E-3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226</v>
      </c>
      <c r="C116" s="46" t="s">
        <v>227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-8.4680322282971229E-3</v>
      </c>
      <c r="K116" s="55">
        <f t="shared" si="35"/>
        <v>0.99601991998445649</v>
      </c>
      <c r="L116" s="55">
        <f t="shared" si="36"/>
        <v>2.6942605444830873E-4</v>
      </c>
      <c r="M116" s="55">
        <f t="shared" si="42"/>
        <v>0.99973057394555165</v>
      </c>
      <c r="N116" s="55">
        <f t="shared" si="37"/>
        <v>6.1288172116221429E-7</v>
      </c>
      <c r="O116" s="56">
        <f t="shared" si="43"/>
        <v>1.0014808989068377E-6</v>
      </c>
      <c r="P116" s="56">
        <f t="shared" si="38"/>
        <v>9.8214280232379542E-7</v>
      </c>
      <c r="Q116" s="56">
        <f t="shared" si="39"/>
        <v>2.2341468509712145E-7</v>
      </c>
      <c r="R116" s="9">
        <f t="shared" si="44"/>
        <v>3.9999999999999996E-5</v>
      </c>
      <c r="S116" s="9">
        <f t="shared" si="45"/>
        <v>1.0777042177932348E-8</v>
      </c>
      <c r="T116" s="9">
        <f t="shared" si="40"/>
        <v>3.9840796799378259E-5</v>
      </c>
      <c r="U116" s="9">
        <f t="shared" si="41"/>
        <v>3.9989222957822065E-5</v>
      </c>
      <c r="V116" s="100">
        <f t="shared" si="46"/>
        <v>0.99628834602261829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228</v>
      </c>
      <c r="C117" s="46" t="s">
        <v>229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0.72322796015768975</v>
      </c>
      <c r="K117" s="55">
        <f t="shared" si="35"/>
        <v>0.72990010466087241</v>
      </c>
      <c r="L117" s="55">
        <f t="shared" si="36"/>
        <v>1.0644640173053806E-3</v>
      </c>
      <c r="M117" s="55">
        <f t="shared" si="42"/>
        <v>0.99893553598269458</v>
      </c>
      <c r="N117" s="55">
        <f t="shared" si="37"/>
        <v>2.4168629557888937E-4</v>
      </c>
      <c r="O117" s="56">
        <f t="shared" si="43"/>
        <v>7.339020016179724E-7</v>
      </c>
      <c r="P117" s="56">
        <f t="shared" si="38"/>
        <v>3.8803065095908509E-6</v>
      </c>
      <c r="Q117" s="56">
        <f t="shared" si="39"/>
        <v>8.8102264686004483E-5</v>
      </c>
      <c r="R117" s="9">
        <f t="shared" si="44"/>
        <v>3.9999999999999996E-5</v>
      </c>
      <c r="S117" s="9">
        <f t="shared" si="45"/>
        <v>4.2578560692215222E-8</v>
      </c>
      <c r="T117" s="9">
        <f t="shared" si="40"/>
        <v>2.9196004186434893E-5</v>
      </c>
      <c r="U117" s="9">
        <f t="shared" si="41"/>
        <v>3.9957421439307779E-5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230</v>
      </c>
      <c r="C118" s="46" t="s">
        <v>231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1.8548729892070779</v>
      </c>
      <c r="K118" s="55">
        <f t="shared" si="35"/>
        <v>0.17081083439868575</v>
      </c>
      <c r="L118" s="55">
        <f t="shared" si="36"/>
        <v>3.3730905711738986E-3</v>
      </c>
      <c r="M118" s="55">
        <f t="shared" si="42"/>
        <v>0.99662690942882615</v>
      </c>
      <c r="N118" s="55">
        <f t="shared" si="37"/>
        <v>1.7674819849945217E-3</v>
      </c>
      <c r="O118" s="56">
        <f t="shared" si="43"/>
        <v>1.7174735619674387E-7</v>
      </c>
      <c r="P118" s="56">
        <f t="shared" si="38"/>
        <v>1.2295977212925032E-5</v>
      </c>
      <c r="Q118" s="56">
        <f t="shared" si="39"/>
        <v>6.4430283602449141E-4</v>
      </c>
      <c r="R118" s="9">
        <f t="shared" si="44"/>
        <v>3.9999999999999996E-5</v>
      </c>
      <c r="S118" s="9">
        <f t="shared" si="45"/>
        <v>1.3492362284695592E-7</v>
      </c>
      <c r="T118" s="9">
        <f t="shared" si="40"/>
        <v>6.8324333759474289E-6</v>
      </c>
      <c r="U118" s="9">
        <f t="shared" si="41"/>
        <v>3.9865076377153041E-5</v>
      </c>
      <c r="V118" s="100">
        <f t="shared" si="46"/>
        <v>0.17138894483250369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232</v>
      </c>
      <c r="C119" s="46" t="s">
        <v>233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-2.3219165023637366E-2</v>
      </c>
      <c r="K119" s="55">
        <f t="shared" si="35"/>
        <v>0.99924036041038</v>
      </c>
      <c r="L119" s="55">
        <f t="shared" si="36"/>
        <v>2.6127051513955349E-4</v>
      </c>
      <c r="M119" s="55">
        <f t="shared" si="42"/>
        <v>0.99973872948486042</v>
      </c>
      <c r="N119" s="55">
        <f t="shared" si="37"/>
        <v>3.5857932207823644E-8</v>
      </c>
      <c r="O119" s="56">
        <f t="shared" si="43"/>
        <v>1.004718996366455E-6</v>
      </c>
      <c r="P119" s="56">
        <f t="shared" si="38"/>
        <v>9.5241329361846865E-7</v>
      </c>
      <c r="Q119" s="56">
        <f t="shared" si="39"/>
        <v>1.3071345344176923E-8</v>
      </c>
      <c r="R119" s="9">
        <f t="shared" si="44"/>
        <v>3.9999999999999996E-5</v>
      </c>
      <c r="S119" s="9">
        <f t="shared" si="45"/>
        <v>1.0450820605582138E-8</v>
      </c>
      <c r="T119" s="9">
        <f t="shared" si="40"/>
        <v>3.9969614416415196E-5</v>
      </c>
      <c r="U119" s="9">
        <f t="shared" si="41"/>
        <v>3.998954917939441E-5</v>
      </c>
      <c r="V119" s="100">
        <f t="shared" si="46"/>
        <v>0.99950150068234611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234</v>
      </c>
      <c r="C120" s="46" t="s">
        <v>235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-2.5488306009393686E-2</v>
      </c>
      <c r="K120" s="55">
        <f t="shared" si="35"/>
        <v>0.99973996080592609</v>
      </c>
      <c r="L120" s="55">
        <f t="shared" si="36"/>
        <v>2.6003891479131955E-4</v>
      </c>
      <c r="M120" s="55">
        <f t="shared" si="42"/>
        <v>0.99973996108520868</v>
      </c>
      <c r="N120" s="55">
        <f t="shared" si="37"/>
        <v>4.6523957565105619E-17</v>
      </c>
      <c r="O120" s="56">
        <f t="shared" si="43"/>
        <v>1.0052213359715035E-6</v>
      </c>
      <c r="P120" s="56">
        <f t="shared" si="38"/>
        <v>9.4792372255662625E-7</v>
      </c>
      <c r="Q120" s="56">
        <f t="shared" si="39"/>
        <v>1.6959447426771682E-17</v>
      </c>
      <c r="R120" s="9">
        <f t="shared" si="44"/>
        <v>3.9999999999999996E-5</v>
      </c>
      <c r="S120" s="9">
        <f t="shared" si="45"/>
        <v>1.0401556591652782E-8</v>
      </c>
      <c r="T120" s="9">
        <f t="shared" si="40"/>
        <v>3.9989598432237039E-5</v>
      </c>
      <c r="U120" s="9">
        <f t="shared" si="41"/>
        <v>3.9989598443408346E-5</v>
      </c>
      <c r="V120" s="100">
        <f t="shared" si="46"/>
        <v>0.99999999972064479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236</v>
      </c>
      <c r="C121" s="46" t="s">
        <v>237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0.13928219055833857</v>
      </c>
      <c r="K121" s="55">
        <f t="shared" si="35"/>
        <v>0.96063713622033298</v>
      </c>
      <c r="L121" s="55">
        <f t="shared" si="36"/>
        <v>3.6515828720914875E-4</v>
      </c>
      <c r="M121" s="55">
        <f t="shared" si="42"/>
        <v>0.99963484171279082</v>
      </c>
      <c r="N121" s="55">
        <f t="shared" si="37"/>
        <v>1.6737792703322436E-5</v>
      </c>
      <c r="O121" s="56">
        <f t="shared" si="43"/>
        <v>9.6590411838373964E-7</v>
      </c>
      <c r="P121" s="56">
        <f t="shared" si="38"/>
        <v>1.331116933830754E-6</v>
      </c>
      <c r="Q121" s="56">
        <f t="shared" si="39"/>
        <v>6.1014524612391515E-6</v>
      </c>
      <c r="R121" s="9">
        <f t="shared" si="44"/>
        <v>3.9999999999999996E-5</v>
      </c>
      <c r="S121" s="9">
        <f t="shared" si="45"/>
        <v>1.4606331488365948E-8</v>
      </c>
      <c r="T121" s="9">
        <f t="shared" si="40"/>
        <v>3.8425485448813315E-5</v>
      </c>
      <c r="U121" s="9">
        <f t="shared" si="41"/>
        <v>3.9985393668511632E-5</v>
      </c>
      <c r="V121" s="100">
        <f t="shared" si="46"/>
        <v>0.96098804897032342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238</v>
      </c>
      <c r="C122" s="46" t="s">
        <v>239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4.8463529002714498</v>
      </c>
      <c r="K122" s="55">
        <f t="shared" si="35"/>
        <v>3.2242558413663456E-4</v>
      </c>
      <c r="L122" s="55">
        <f t="shared" si="36"/>
        <v>6.2434120006331405E-3</v>
      </c>
      <c r="M122" s="55">
        <f t="shared" si="42"/>
        <v>0.99375658799936684</v>
      </c>
      <c r="N122" s="55">
        <f t="shared" si="37"/>
        <v>5.6920548590474506E-3</v>
      </c>
      <c r="O122" s="56">
        <f t="shared" si="43"/>
        <v>3.2419337942232928E-10</v>
      </c>
      <c r="P122" s="56">
        <f t="shared" si="38"/>
        <v>2.2759202597981496E-5</v>
      </c>
      <c r="Q122" s="56">
        <f t="shared" si="39"/>
        <v>2.0749332211737513E-3</v>
      </c>
      <c r="R122" s="9">
        <f t="shared" si="44"/>
        <v>3.9999999999999996E-5</v>
      </c>
      <c r="S122" s="9">
        <f t="shared" si="45"/>
        <v>2.497364800253256E-7</v>
      </c>
      <c r="T122" s="9">
        <f t="shared" si="40"/>
        <v>1.2897023365465382E-8</v>
      </c>
      <c r="U122" s="9">
        <f t="shared" si="41"/>
        <v>3.9750263519974671E-5</v>
      </c>
      <c r="V122" s="100">
        <f t="shared" si="46"/>
        <v>3.2445126707108683E-4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240</v>
      </c>
      <c r="C123" s="46" t="s">
        <v>241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0.59572758809205939</v>
      </c>
      <c r="K123" s="55">
        <f t="shared" ref="K123:K127" si="49">IF(D123=0,"",1/(1+10^D123*$J$15/$J$14+10^E123*$J$16/$J$14+10^J123*$J$19/$J$14))</f>
        <v>0.80075334347861238</v>
      </c>
      <c r="L123" s="55">
        <f t="shared" ref="L123:L127" si="50">IF(D123=0,"",1/(1+10^I123/10^J123*$J$13/$J$19))</f>
        <v>8.706947945241151E-4</v>
      </c>
      <c r="M123" s="55">
        <f t="shared" si="42"/>
        <v>0.99912930520547594</v>
      </c>
      <c r="N123" s="55">
        <f t="shared" ref="N123:N127" si="51">IF(D123=0,"",1/(1/10^E123*$J$20/$J$22+10^D123/10^E123*$J$21/$J$22+10^I123/10^E123*$J$13/$J$22+1))</f>
        <v>2.060949545827807E-4</v>
      </c>
      <c r="O123" s="56">
        <f t="shared" si="43"/>
        <v>8.0514371463788717E-7</v>
      </c>
      <c r="P123" s="56">
        <f t="shared" ref="P123:P127" si="52">IF(D123=0,"",O123*10^J123)</f>
        <v>3.1739566806695791E-6</v>
      </c>
      <c r="Q123" s="56">
        <f t="shared" ref="Q123:Q127" si="53">IF(D123=0,"",F123*N123*$J$7/$J$22)</f>
        <v>7.5128100232623257E-5</v>
      </c>
      <c r="R123" s="9">
        <f t="shared" si="44"/>
        <v>3.9999999999999996E-5</v>
      </c>
      <c r="S123" s="9">
        <f t="shared" si="45"/>
        <v>3.4827791780964598E-8</v>
      </c>
      <c r="T123" s="9">
        <f t="shared" si="40"/>
        <v>3.2030133739144491E-5</v>
      </c>
      <c r="U123" s="9">
        <f t="shared" si="41"/>
        <v>3.9965172208219033E-5</v>
      </c>
      <c r="V123" s="100">
        <f t="shared" si="46"/>
        <v>0.80145116283415729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242</v>
      </c>
      <c r="C124" s="46" t="s">
        <v>243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0.17110445915344102</v>
      </c>
      <c r="J124" s="54">
        <f t="shared" si="48"/>
        <v>0.78224006697670034</v>
      </c>
      <c r="K124" s="55">
        <f t="shared" si="49"/>
        <v>0.67012153307157918</v>
      </c>
      <c r="L124" s="55">
        <f t="shared" si="50"/>
        <v>1.1195235651463113E-3</v>
      </c>
      <c r="M124" s="55">
        <f t="shared" si="42"/>
        <v>0.99888047643485367</v>
      </c>
      <c r="N124" s="55">
        <f t="shared" si="51"/>
        <v>9.8580081442440148E-5</v>
      </c>
      <c r="O124" s="56">
        <f t="shared" si="43"/>
        <v>6.7379567602204816E-7</v>
      </c>
      <c r="P124" s="56">
        <f t="shared" si="52"/>
        <v>4.081015898005057E-6</v>
      </c>
      <c r="Q124" s="56">
        <f t="shared" si="53"/>
        <v>3.5935543665010194E-5</v>
      </c>
      <c r="R124" s="9">
        <f t="shared" si="44"/>
        <v>3.9999999999999996E-5</v>
      </c>
      <c r="S124" s="9">
        <f t="shared" si="45"/>
        <v>4.4780942605852449E-8</v>
      </c>
      <c r="T124" s="9">
        <f t="shared" si="40"/>
        <v>2.6804861322863164E-5</v>
      </c>
      <c r="U124" s="9">
        <f t="shared" si="41"/>
        <v>3.9955219057394145E-5</v>
      </c>
      <c r="V124" s="100">
        <f t="shared" si="46"/>
        <v>0.67087259074613026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244</v>
      </c>
      <c r="C125" s="46" t="s">
        <v>245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5.4647098001601571E-2</v>
      </c>
      <c r="K125" s="55">
        <f t="shared" si="49"/>
        <v>0.98130691144179905</v>
      </c>
      <c r="L125" s="55">
        <f t="shared" si="50"/>
        <v>3.0696690459414573E-4</v>
      </c>
      <c r="M125" s="55">
        <f t="shared" si="42"/>
        <v>0.9996930330954058</v>
      </c>
      <c r="N125" s="55">
        <f t="shared" si="51"/>
        <v>3.6981068646587673E-6</v>
      </c>
      <c r="O125" s="56">
        <f t="shared" si="43"/>
        <v>9.8668722186757279E-7</v>
      </c>
      <c r="P125" s="56">
        <f t="shared" si="52"/>
        <v>1.1189910215479826E-6</v>
      </c>
      <c r="Q125" s="56">
        <f t="shared" si="53"/>
        <v>1.3480763940169207E-6</v>
      </c>
      <c r="R125" s="9">
        <f t="shared" si="44"/>
        <v>3.9999999999999996E-5</v>
      </c>
      <c r="S125" s="9">
        <f t="shared" si="45"/>
        <v>1.2278676183765827E-8</v>
      </c>
      <c r="T125" s="9">
        <f t="shared" si="40"/>
        <v>3.9252276457671957E-5</v>
      </c>
      <c r="U125" s="9">
        <f t="shared" si="41"/>
        <v>3.9987721323816231E-5</v>
      </c>
      <c r="V125" s="100">
        <f t="shared" si="46"/>
        <v>0.98160823268250974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246</v>
      </c>
      <c r="C126" s="46" t="s">
        <v>247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3.7674151938527967</v>
      </c>
      <c r="K126" s="55">
        <f t="shared" si="49"/>
        <v>3.4333915916567692E-3</v>
      </c>
      <c r="L126" s="55">
        <f t="shared" si="50"/>
        <v>5.5434244410605465E-3</v>
      </c>
      <c r="M126" s="55">
        <f t="shared" si="42"/>
        <v>0.9944565755589394</v>
      </c>
      <c r="N126" s="55">
        <f t="shared" si="51"/>
        <v>4.5863048737190418E-3</v>
      </c>
      <c r="O126" s="56">
        <f t="shared" si="43"/>
        <v>3.4522161941954519E-9</v>
      </c>
      <c r="P126" s="56">
        <f t="shared" si="52"/>
        <v>2.0207527539093201E-5</v>
      </c>
      <c r="Q126" s="56">
        <f t="shared" si="53"/>
        <v>1.6718525349039327E-3</v>
      </c>
      <c r="R126" s="9">
        <f t="shared" si="44"/>
        <v>3.9999999999999996E-5</v>
      </c>
      <c r="S126" s="9">
        <f t="shared" si="45"/>
        <v>2.2173697764242183E-7</v>
      </c>
      <c r="T126" s="9">
        <f t="shared" si="40"/>
        <v>1.3733566366627074E-7</v>
      </c>
      <c r="U126" s="9">
        <f t="shared" si="41"/>
        <v>3.9778263022357574E-5</v>
      </c>
      <c r="V126" s="100">
        <f t="shared" si="46"/>
        <v>3.4525304332439191E-3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248</v>
      </c>
      <c r="C127" s="46" t="s">
        <v>249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1.6932611669613751</v>
      </c>
      <c r="K127" s="55">
        <f t="shared" si="49"/>
        <v>0.22582502656348255</v>
      </c>
      <c r="L127" s="55">
        <f t="shared" si="50"/>
        <v>3.073780394330925E-3</v>
      </c>
      <c r="M127" s="55">
        <f t="shared" si="42"/>
        <v>0.99692621960566907</v>
      </c>
      <c r="N127" s="55">
        <f t="shared" si="51"/>
        <v>1.5021442916912111E-3</v>
      </c>
      <c r="O127" s="56">
        <f t="shared" si="43"/>
        <v>2.270631802243336E-7</v>
      </c>
      <c r="P127" s="56">
        <f t="shared" si="52"/>
        <v>1.1204897374894789E-5</v>
      </c>
      <c r="Q127" s="56">
        <f t="shared" si="53"/>
        <v>5.4757889215920237E-4</v>
      </c>
      <c r="R127" s="9">
        <f t="shared" si="44"/>
        <v>3.9999999999999996E-5</v>
      </c>
      <c r="S127" s="9">
        <f t="shared" si="45"/>
        <v>1.2295121577323699E-7</v>
      </c>
      <c r="T127" s="9">
        <f t="shared" si="40"/>
        <v>9.0330010625393012E-6</v>
      </c>
      <c r="U127" s="9">
        <f t="shared" si="41"/>
        <v>3.9877048784226758E-5</v>
      </c>
      <c r="V127" s="100">
        <f t="shared" si="46"/>
        <v>0.22652130330447814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250</v>
      </c>
      <c r="C128" s="46" t="s">
        <v>251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2.594576847430778</v>
      </c>
      <c r="K128" s="55">
        <f t="shared" ref="K128:K134" si="56">IF(D128=0,"",1/(1+10^D128*$J$15/$J$14+10^E128*$J$16/$J$14+10^J128*$J$19/$J$14))</f>
        <v>3.5566876692437667E-2</v>
      </c>
      <c r="L128" s="55">
        <f t="shared" ref="L128:L134" si="57">IF(D128=0,"",1/(1+10^I128/10^J128*$J$13/$J$19))</f>
        <v>3.8571113441174839E-3</v>
      </c>
      <c r="M128" s="55">
        <f t="shared" ref="M128:M134" si="58">IF(D128=0,"",1-L128)</f>
        <v>0.99614288865588252</v>
      </c>
      <c r="N128" s="55">
        <f t="shared" ref="N128:N134" si="59">IF(D128=0,"",1/(1/10^E128*$J$20/$J$22+10^D128/10^E128*$J$21/$J$22+10^I128/10^E128*$J$13/$J$22+1))</f>
        <v>2.017708058363358E-3</v>
      </c>
      <c r="O128" s="56">
        <f t="shared" ref="O128:O134" si="60">IF(D128=0,"",F128*K128*$J$7/$J$14)</f>
        <v>3.5761882796286834E-8</v>
      </c>
      <c r="P128" s="56">
        <f t="shared" ref="P128:P134" si="61">IF(D128=0,"",O128*10^J128)</f>
        <v>1.4060385333346615E-5</v>
      </c>
      <c r="Q128" s="56">
        <f t="shared" ref="Q128:Q134" si="62">IF(D128=0,"",F128*N128*$J$7/$J$22)</f>
        <v>7.3551811860589399E-4</v>
      </c>
      <c r="R128" s="9">
        <f t="shared" si="44"/>
        <v>3.9999999999999996E-5</v>
      </c>
      <c r="S128" s="9">
        <f t="shared" si="45"/>
        <v>1.5428445376469934E-7</v>
      </c>
      <c r="T128" s="9">
        <f t="shared" si="40"/>
        <v>1.4226750676975065E-6</v>
      </c>
      <c r="U128" s="9">
        <f t="shared" si="41"/>
        <v>3.9845715546235296E-5</v>
      </c>
      <c r="V128" s="100">
        <f t="shared" si="46"/>
        <v>3.5704593284231374E-2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252</v>
      </c>
      <c r="C129" s="46" t="s">
        <v>253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-2.4283347601120907E-2</v>
      </c>
      <c r="K129" s="55">
        <f t="shared" si="56"/>
        <v>0.99947391150008691</v>
      </c>
      <c r="L129" s="55">
        <f t="shared" si="57"/>
        <v>2.6069200614713866E-4</v>
      </c>
      <c r="M129" s="55">
        <f t="shared" si="58"/>
        <v>0.99973930799385291</v>
      </c>
      <c r="N129" s="55">
        <f t="shared" si="59"/>
        <v>1.4678902967500529E-8</v>
      </c>
      <c r="O129" s="56">
        <f t="shared" si="60"/>
        <v>1.0049538279702885E-6</v>
      </c>
      <c r="P129" s="56">
        <f t="shared" si="61"/>
        <v>9.5030444618668147E-7</v>
      </c>
      <c r="Q129" s="56">
        <f t="shared" si="62"/>
        <v>5.3509223245170612E-9</v>
      </c>
      <c r="R129" s="9">
        <f t="shared" si="44"/>
        <v>3.9999999999999996E-5</v>
      </c>
      <c r="S129" s="9">
        <f t="shared" si="45"/>
        <v>1.0427680245885545E-8</v>
      </c>
      <c r="T129" s="9">
        <f t="shared" si="40"/>
        <v>3.9978956460003472E-5</v>
      </c>
      <c r="U129" s="9">
        <f t="shared" si="41"/>
        <v>3.9989572319754115E-5</v>
      </c>
      <c r="V129" s="100">
        <f t="shared" si="46"/>
        <v>0.99973453430144843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254</v>
      </c>
      <c r="C130" s="46" t="s">
        <v>255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1.0653878888077168</v>
      </c>
      <c r="K130" s="55">
        <f t="shared" si="56"/>
        <v>0.54129578498482889</v>
      </c>
      <c r="L130" s="55">
        <f t="shared" si="57"/>
        <v>1.7356499228513883E-3</v>
      </c>
      <c r="M130" s="55">
        <f t="shared" si="58"/>
        <v>0.99826435007714864</v>
      </c>
      <c r="N130" s="55">
        <f t="shared" si="59"/>
        <v>5.8456318990996413E-4</v>
      </c>
      <c r="O130" s="56">
        <f t="shared" si="60"/>
        <v>5.4426360200662297E-7</v>
      </c>
      <c r="P130" s="56">
        <f t="shared" si="61"/>
        <v>6.3269904708098348E-6</v>
      </c>
      <c r="Q130" s="56">
        <f t="shared" si="62"/>
        <v>2.1309168879346776E-4</v>
      </c>
      <c r="R130" s="9">
        <f t="shared" si="44"/>
        <v>3.9999999999999996E-5</v>
      </c>
      <c r="S130" s="9">
        <f t="shared" si="45"/>
        <v>6.9425996914055529E-8</v>
      </c>
      <c r="T130" s="9">
        <f t="shared" si="40"/>
        <v>2.1651831399393155E-5</v>
      </c>
      <c r="U130" s="9">
        <f t="shared" si="41"/>
        <v>3.993057400308594E-5</v>
      </c>
      <c r="V130" s="100">
        <f t="shared" si="46"/>
        <v>0.5422369184505047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256</v>
      </c>
      <c r="C131" s="46" t="s">
        <v>257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4.6780974817077756E-2</v>
      </c>
      <c r="K131" s="55">
        <f t="shared" si="56"/>
        <v>0.98358903346838</v>
      </c>
      <c r="L131" s="55">
        <f t="shared" si="57"/>
        <v>3.0215810767595243E-4</v>
      </c>
      <c r="M131" s="55">
        <f t="shared" si="58"/>
        <v>0.99969784189232402</v>
      </c>
      <c r="N131" s="55">
        <f t="shared" si="59"/>
        <v>4.8389736775600521E-6</v>
      </c>
      <c r="O131" s="56">
        <f t="shared" si="60"/>
        <v>9.8898185631487477E-7</v>
      </c>
      <c r="P131" s="56">
        <f t="shared" si="61"/>
        <v>1.1014614426410304E-6</v>
      </c>
      <c r="Q131" s="56">
        <f t="shared" si="62"/>
        <v>1.7639582696564049E-6</v>
      </c>
      <c r="R131" s="9">
        <f t="shared" si="44"/>
        <v>3.9999999999999996E-5</v>
      </c>
      <c r="S131" s="9">
        <f t="shared" si="45"/>
        <v>1.2086324307038097E-8</v>
      </c>
      <c r="T131" s="9">
        <f t="shared" si="40"/>
        <v>3.9343561338735198E-5</v>
      </c>
      <c r="U131" s="9">
        <f t="shared" si="41"/>
        <v>3.998791367569296E-5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258</v>
      </c>
      <c r="C132" s="46" t="s">
        <v>259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0.14761117753551775</v>
      </c>
      <c r="K132" s="55">
        <f t="shared" si="56"/>
        <v>0.95841933834626647</v>
      </c>
      <c r="L132" s="55">
        <f t="shared" si="57"/>
        <v>3.7136959565983474E-4</v>
      </c>
      <c r="M132" s="55">
        <f t="shared" si="58"/>
        <v>0.99962863040434013</v>
      </c>
      <c r="N132" s="55">
        <f t="shared" si="59"/>
        <v>1.8085117514829397E-5</v>
      </c>
      <c r="O132" s="56">
        <f t="shared" si="60"/>
        <v>9.6367416076547389E-7</v>
      </c>
      <c r="P132" s="56">
        <f t="shared" si="61"/>
        <v>1.3537591088807719E-6</v>
      </c>
      <c r="Q132" s="56">
        <f t="shared" si="62"/>
        <v>6.5925947780887281E-6</v>
      </c>
      <c r="R132" s="9">
        <f t="shared" si="44"/>
        <v>3.9999999999999996E-5</v>
      </c>
      <c r="S132" s="9">
        <f t="shared" si="45"/>
        <v>1.4854783826393388E-8</v>
      </c>
      <c r="T132" s="9">
        <f t="shared" si="40"/>
        <v>3.8336773533850655E-5</v>
      </c>
      <c r="U132" s="9">
        <f t="shared" si="41"/>
        <v>3.9985145216173604E-5</v>
      </c>
      <c r="V132" s="100">
        <f t="shared" si="46"/>
        <v>0.95877539837829084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260</v>
      </c>
      <c r="C133" s="46" t="s">
        <v>261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1.9117422164117917</v>
      </c>
      <c r="K133" s="55">
        <f t="shared" si="56"/>
        <v>0.1542357435669752</v>
      </c>
      <c r="L133" s="55">
        <f t="shared" si="57"/>
        <v>3.4718971166888576E-3</v>
      </c>
      <c r="M133" s="55">
        <f t="shared" si="58"/>
        <v>0.99652810288331117</v>
      </c>
      <c r="N133" s="55">
        <f t="shared" si="59"/>
        <v>1.8612027102653552E-3</v>
      </c>
      <c r="O133" s="56">
        <f t="shared" si="60"/>
        <v>1.550813874419593E-7</v>
      </c>
      <c r="P133" s="56">
        <f t="shared" si="61"/>
        <v>1.2656158182425941E-5</v>
      </c>
      <c r="Q133" s="56">
        <f t="shared" si="62"/>
        <v>6.7846699135898413E-4</v>
      </c>
      <c r="R133" s="9">
        <f t="shared" si="44"/>
        <v>3.9999999999999996E-5</v>
      </c>
      <c r="S133" s="9">
        <f t="shared" si="45"/>
        <v>1.388758846675543E-7</v>
      </c>
      <c r="T133" s="9">
        <f t="shared" si="40"/>
        <v>6.1694297426790073E-6</v>
      </c>
      <c r="U133" s="9">
        <f t="shared" si="41"/>
        <v>3.9861124115332442E-5</v>
      </c>
      <c r="V133" s="100">
        <f t="shared" si="46"/>
        <v>0.15477309984607177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262</v>
      </c>
      <c r="C134" s="46" t="s">
        <v>263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-2.5108947899438367E-2</v>
      </c>
      <c r="K134" s="55">
        <f t="shared" si="56"/>
        <v>0.99965585496430398</v>
      </c>
      <c r="L134" s="55">
        <f t="shared" si="57"/>
        <v>2.6024426354600899E-4</v>
      </c>
      <c r="M134" s="55">
        <f t="shared" si="58"/>
        <v>0.99973975573645402</v>
      </c>
      <c r="N134" s="55">
        <f t="shared" si="59"/>
        <v>2.8643836944956374E-9</v>
      </c>
      <c r="O134" s="56">
        <f t="shared" si="60"/>
        <v>1.0051367689942965E-6</v>
      </c>
      <c r="P134" s="56">
        <f t="shared" si="61"/>
        <v>9.4867228342538625E-7</v>
      </c>
      <c r="Q134" s="56">
        <f t="shared" si="62"/>
        <v>1.0441580471506588E-9</v>
      </c>
      <c r="R134" s="9">
        <f t="shared" si="44"/>
        <v>3.9999999999999996E-5</v>
      </c>
      <c r="S134" s="9">
        <f t="shared" si="45"/>
        <v>1.0409770541840359E-8</v>
      </c>
      <c r="T134" s="9">
        <f t="shared" si="40"/>
        <v>3.9986234198572156E-5</v>
      </c>
      <c r="U134" s="9">
        <f t="shared" si="41"/>
        <v>3.9989590229458156E-5</v>
      </c>
      <c r="V134" s="100">
        <f t="shared" si="46"/>
        <v>0.99991607738747146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264</v>
      </c>
      <c r="C135" s="46" t="s">
        <v>265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0.2366555028982649</v>
      </c>
      <c r="K135" s="55">
        <f t="shared" ref="K135:K143" si="65">IF(D135=0,"",1/(1+10^D135*$J$15/$J$14+10^E135*$J$16/$J$14+10^J135*$J$19/$J$14))</f>
        <v>0.93299538920871716</v>
      </c>
      <c r="L135" s="55">
        <f t="shared" ref="L135:L143" si="66">IF(D135=0,"",1/(1+10^I135/10^J135*$J$13/$J$19))</f>
        <v>4.437870239959096E-4</v>
      </c>
      <c r="M135" s="55">
        <f t="shared" ref="M135:M143" si="67">IF(D135=0,"",1-L135)</f>
        <v>0.99955621297600405</v>
      </c>
      <c r="N135" s="55">
        <f t="shared" ref="N135:N143" si="68">IF(D135=0,"",1/(1/10^E135*$J$20/$J$22+10^D135/10^E135*$J$21/$J$22+10^I135/10^E135*$J$13/$J$22+1))</f>
        <v>3.5468035049870409E-5</v>
      </c>
      <c r="O135" s="56">
        <f t="shared" ref="O135:O143" si="69">IF(D135=0,"",F135*K135*$J$7/$J$14)</f>
        <v>9.3811081717649014E-7</v>
      </c>
      <c r="P135" s="56">
        <f t="shared" ref="P135:P143" si="70">IF(D135=0,"",O135*10^J135)</f>
        <v>1.6177434371548621E-6</v>
      </c>
      <c r="Q135" s="56">
        <f t="shared" ref="Q135:Q143" si="71">IF(D135=0,"",F135*N135*$J$7/$J$22)</f>
        <v>1.2929215553457763E-5</v>
      </c>
      <c r="R135" s="9">
        <f t="shared" si="44"/>
        <v>3.9999999999999996E-5</v>
      </c>
      <c r="S135" s="9">
        <f t="shared" si="45"/>
        <v>1.7751480959836383E-8</v>
      </c>
      <c r="T135" s="9">
        <f t="shared" si="40"/>
        <v>3.7319815568348681E-5</v>
      </c>
      <c r="U135" s="9">
        <f t="shared" si="41"/>
        <v>3.9982248519040156E-5</v>
      </c>
      <c r="V135" s="100">
        <f t="shared" si="46"/>
        <v>0.93340962428804908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266</v>
      </c>
      <c r="C136" s="46" t="s">
        <v>267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-1.0067076570108828E-2</v>
      </c>
      <c r="K136" s="55">
        <f t="shared" si="65"/>
        <v>0.99636951170974342</v>
      </c>
      <c r="L136" s="55">
        <f t="shared" si="66"/>
        <v>2.685300870211493E-4</v>
      </c>
      <c r="M136" s="55">
        <f t="shared" si="67"/>
        <v>0.9997314699129789</v>
      </c>
      <c r="N136" s="55">
        <f t="shared" si="68"/>
        <v>5.3323557915624087E-7</v>
      </c>
      <c r="O136" s="56">
        <f t="shared" si="69"/>
        <v>1.0018324073739536E-6</v>
      </c>
      <c r="P136" s="56">
        <f t="shared" si="70"/>
        <v>9.7887671893960612E-7</v>
      </c>
      <c r="Q136" s="56">
        <f t="shared" si="71"/>
        <v>1.9438115852739116E-7</v>
      </c>
      <c r="R136" s="9">
        <f t="shared" si="44"/>
        <v>3.9999999999999996E-5</v>
      </c>
      <c r="S136" s="9">
        <f t="shared" si="45"/>
        <v>1.0741203480845972E-8</v>
      </c>
      <c r="T136" s="9">
        <f t="shared" si="40"/>
        <v>3.9854780468389733E-5</v>
      </c>
      <c r="U136" s="9">
        <f t="shared" si="41"/>
        <v>3.9989258796519153E-5</v>
      </c>
      <c r="V136" s="100">
        <f t="shared" si="46"/>
        <v>0.99663713876734505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268</v>
      </c>
      <c r="C137" s="46" t="s">
        <v>269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-2.5447397497553339E-2</v>
      </c>
      <c r="K137" s="55">
        <f t="shared" si="65"/>
        <v>0.99973085032442799</v>
      </c>
      <c r="L137" s="55">
        <f t="shared" si="66"/>
        <v>2.6006104047709869E-4</v>
      </c>
      <c r="M137" s="55">
        <f t="shared" si="67"/>
        <v>0.99973993895952296</v>
      </c>
      <c r="N137" s="55">
        <f t="shared" si="68"/>
        <v>1.2180660222256223E-10</v>
      </c>
      <c r="O137" s="56">
        <f t="shared" si="69"/>
        <v>1.0052121755390492E-6</v>
      </c>
      <c r="P137" s="56">
        <f t="shared" si="70"/>
        <v>9.4800437764797942E-7</v>
      </c>
      <c r="Q137" s="56">
        <f t="shared" si="71"/>
        <v>4.4402341820048142E-11</v>
      </c>
      <c r="R137" s="9">
        <f t="shared" si="44"/>
        <v>3.9999999999999996E-5</v>
      </c>
      <c r="S137" s="9">
        <f t="shared" si="45"/>
        <v>1.0402441619083946E-8</v>
      </c>
      <c r="T137" s="9">
        <f t="shared" si="40"/>
        <v>3.9989234012977114E-5</v>
      </c>
      <c r="U137" s="9">
        <f t="shared" si="41"/>
        <v>3.9989597558380916E-5</v>
      </c>
      <c r="V137" s="100">
        <f t="shared" si="46"/>
        <v>0.99999090900069032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270</v>
      </c>
      <c r="C138" s="46" t="s">
        <v>271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-1.1769730655706941E-2</v>
      </c>
      <c r="K138" s="55">
        <f t="shared" si="65"/>
        <v>0.99674141470692623</v>
      </c>
      <c r="L138" s="55">
        <f t="shared" si="66"/>
        <v>2.6757921307973853E-4</v>
      </c>
      <c r="M138" s="55">
        <f t="shared" si="67"/>
        <v>0.99973242078692026</v>
      </c>
      <c r="N138" s="55">
        <f t="shared" si="68"/>
        <v>4.5213912070788799E-7</v>
      </c>
      <c r="O138" s="56">
        <f t="shared" si="69"/>
        <v>1.0022063494412273E-6</v>
      </c>
      <c r="P138" s="56">
        <f t="shared" si="70"/>
        <v>9.7541048402262248E-7</v>
      </c>
      <c r="Q138" s="56">
        <f t="shared" si="71"/>
        <v>1.6481894594847314E-7</v>
      </c>
      <c r="R138" s="9">
        <f t="shared" si="44"/>
        <v>3.9999999999999996E-5</v>
      </c>
      <c r="S138" s="9">
        <f t="shared" si="45"/>
        <v>1.0703168523189539E-8</v>
      </c>
      <c r="T138" s="9">
        <f t="shared" si="40"/>
        <v>3.9869656588277049E-5</v>
      </c>
      <c r="U138" s="9">
        <f t="shared" si="41"/>
        <v>3.998929683147681E-5</v>
      </c>
      <c r="V138" s="100">
        <f t="shared" si="46"/>
        <v>0.99700819337474345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272</v>
      </c>
      <c r="C139" s="46" t="s">
        <v>273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0.17844969461457041</v>
      </c>
      <c r="K139" s="55">
        <f t="shared" si="65"/>
        <v>0.94827717629705011</v>
      </c>
      <c r="L139" s="55">
        <f t="shared" si="66"/>
        <v>3.9447963862272088E-4</v>
      </c>
      <c r="M139" s="55">
        <f t="shared" si="67"/>
        <v>0.99960552036137729</v>
      </c>
      <c r="N139" s="55">
        <f t="shared" si="68"/>
        <v>1.5791627716149474E-5</v>
      </c>
      <c r="O139" s="56">
        <f t="shared" si="69"/>
        <v>9.5347639126095769E-7</v>
      </c>
      <c r="P139" s="56">
        <f t="shared" si="70"/>
        <v>1.4380024921120955E-6</v>
      </c>
      <c r="Q139" s="56">
        <f t="shared" si="71"/>
        <v>5.7565455316307541E-6</v>
      </c>
      <c r="R139" s="9">
        <f t="shared" si="44"/>
        <v>3.9999999999999996E-5</v>
      </c>
      <c r="S139" s="9">
        <f t="shared" si="45"/>
        <v>1.5779185544908833E-8</v>
      </c>
      <c r="T139" s="9">
        <f t="shared" si="40"/>
        <v>3.7931087051881999E-5</v>
      </c>
      <c r="U139" s="9">
        <f t="shared" si="41"/>
        <v>3.9984220814455088E-5</v>
      </c>
      <c r="V139" s="100">
        <f t="shared" si="46"/>
        <v>0.94865139995848469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274</v>
      </c>
      <c r="C140" s="46" t="s">
        <v>275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-2.5178902809730442E-2</v>
      </c>
      <c r="K140" s="55">
        <f t="shared" si="65"/>
        <v>0.9996713245096791</v>
      </c>
      <c r="L140" s="55">
        <f t="shared" si="66"/>
        <v>2.6020637411969846E-4</v>
      </c>
      <c r="M140" s="55">
        <f t="shared" si="67"/>
        <v>0.99973979362588028</v>
      </c>
      <c r="N140" s="55">
        <f t="shared" si="68"/>
        <v>2.1463444227239282E-9</v>
      </c>
      <c r="O140" s="56">
        <f t="shared" si="69"/>
        <v>1.0051523233561093E-6</v>
      </c>
      <c r="P140" s="56">
        <f t="shared" si="70"/>
        <v>9.4853416453628605E-7</v>
      </c>
      <c r="Q140" s="56">
        <f t="shared" si="71"/>
        <v>7.8241012377315015E-10</v>
      </c>
      <c r="R140" s="9">
        <f t="shared" si="44"/>
        <v>3.9999999999999996E-5</v>
      </c>
      <c r="S140" s="9">
        <f t="shared" si="45"/>
        <v>1.0408254964787937E-8</v>
      </c>
      <c r="T140" s="9">
        <f t="shared" si="40"/>
        <v>3.9986852980387162E-5</v>
      </c>
      <c r="U140" s="9">
        <f t="shared" si="41"/>
        <v>3.9989591745035208E-5</v>
      </c>
      <c r="V140" s="100">
        <f t="shared" si="46"/>
        <v>0.99993151306306127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276</v>
      </c>
      <c r="C141" s="46" t="s">
        <v>277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-2.4715676297558456E-2</v>
      </c>
      <c r="K141" s="55">
        <f t="shared" si="65"/>
        <v>0.99956906867499495</v>
      </c>
      <c r="L141" s="55">
        <f t="shared" si="66"/>
        <v>2.6045741833715839E-4</v>
      </c>
      <c r="M141" s="55">
        <f t="shared" si="67"/>
        <v>0.99973954258166287</v>
      </c>
      <c r="N141" s="55">
        <f t="shared" si="68"/>
        <v>7.8346133270707738E-9</v>
      </c>
      <c r="O141" s="56">
        <f t="shared" si="69"/>
        <v>1.0050495068730419E-6</v>
      </c>
      <c r="P141" s="56">
        <f t="shared" si="70"/>
        <v>9.494492997549203E-7</v>
      </c>
      <c r="Q141" s="56">
        <f t="shared" si="71"/>
        <v>2.8559632452506283E-9</v>
      </c>
      <c r="R141" s="9">
        <f t="shared" si="44"/>
        <v>3.9999999999999996E-5</v>
      </c>
      <c r="S141" s="9">
        <f t="shared" si="45"/>
        <v>1.0418296733486334E-8</v>
      </c>
      <c r="T141" s="9">
        <f t="shared" si="40"/>
        <v>3.9982762746999795E-5</v>
      </c>
      <c r="U141" s="9">
        <f t="shared" si="41"/>
        <v>3.9989581703266508E-5</v>
      </c>
      <c r="V141" s="100">
        <f t="shared" si="46"/>
        <v>0.99982948168057084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278</v>
      </c>
      <c r="C142" s="46" t="s">
        <v>279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1.2385963152013792</v>
      </c>
      <c r="K142" s="55">
        <f t="shared" si="65"/>
        <v>0.44239333330526748</v>
      </c>
      <c r="L142" s="55">
        <f t="shared" si="66"/>
        <v>2.1137055518992299E-3</v>
      </c>
      <c r="M142" s="55">
        <f t="shared" si="67"/>
        <v>0.99788629444810073</v>
      </c>
      <c r="N142" s="55">
        <f t="shared" si="68"/>
        <v>8.060291592967843E-4</v>
      </c>
      <c r="O142" s="56">
        <f t="shared" si="69"/>
        <v>4.4481888787511952E-7</v>
      </c>
      <c r="P142" s="56">
        <f t="shared" si="70"/>
        <v>7.705122276613229E-6</v>
      </c>
      <c r="Q142" s="56">
        <f t="shared" si="71"/>
        <v>2.9382300790746914E-4</v>
      </c>
      <c r="R142" s="9">
        <f t="shared" si="44"/>
        <v>3.9999999999999996E-5</v>
      </c>
      <c r="S142" s="9">
        <f t="shared" si="45"/>
        <v>8.4548222075969189E-8</v>
      </c>
      <c r="T142" s="9">
        <f t="shared" si="40"/>
        <v>1.7695733332210697E-5</v>
      </c>
      <c r="U142" s="9">
        <f t="shared" si="41"/>
        <v>3.9915451777924024E-5</v>
      </c>
      <c r="V142" s="100">
        <f t="shared" si="46"/>
        <v>0.44333040323992146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280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2.1483172591113218</v>
      </c>
      <c r="K143" s="55">
        <f t="shared" si="65"/>
        <v>6.6158353374105999E-2</v>
      </c>
      <c r="L143" s="55">
        <f t="shared" si="66"/>
        <v>2.5676838280118512E-3</v>
      </c>
      <c r="M143" s="55">
        <f t="shared" si="67"/>
        <v>0.99743231617198813</v>
      </c>
      <c r="N143" s="55">
        <f t="shared" si="68"/>
        <v>7.6917342199821968E-5</v>
      </c>
      <c r="O143" s="56">
        <f t="shared" si="69"/>
        <v>6.6521086454104102E-8</v>
      </c>
      <c r="P143" s="56">
        <f t="shared" si="70"/>
        <v>9.360016036640879E-6</v>
      </c>
      <c r="Q143" s="56">
        <f t="shared" si="71"/>
        <v>2.8038793118994754E-5</v>
      </c>
      <c r="R143" s="9">
        <f t="shared" si="44"/>
        <v>3.9999999999999996E-5</v>
      </c>
      <c r="S143" s="9">
        <f t="shared" si="45"/>
        <v>1.0270735312047404E-7</v>
      </c>
      <c r="T143" s="9">
        <f t="shared" si="40"/>
        <v>2.6463341349642398E-6</v>
      </c>
      <c r="U143" s="9">
        <f t="shared" si="41"/>
        <v>3.9897292646879522E-5</v>
      </c>
      <c r="V143" s="100">
        <f t="shared" si="46"/>
        <v>6.6328664413053018E-2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2025-02-02T17:32:43Z</dcterms:modified>
</cp:coreProperties>
</file>