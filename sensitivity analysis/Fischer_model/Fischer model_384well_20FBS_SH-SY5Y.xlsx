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384well_1um\"/>
    </mc:Choice>
  </mc:AlternateContent>
  <xr:revisionPtr revIDLastSave="0" documentId="13_ncr:1_{E9CB64B3-F40A-43E1-B1A7-DDB0DC298F8E}" xr6:coauthVersionLast="47" xr6:coauthVersionMax="47" xr10:uidLastSave="{00000000-0000-0000-0000-000000000000}"/>
  <bookViews>
    <workbookView minimized="1" xWindow="45405" yWindow="2205" windowWidth="16200" windowHeight="999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U131" i="4"/>
  <c r="T131" i="4"/>
  <c r="S131" i="4"/>
  <c r="R131" i="4"/>
  <c r="V130" i="4"/>
  <c r="R130" i="4"/>
  <c r="U130" i="4" s="1"/>
  <c r="V127" i="4"/>
  <c r="U127" i="4"/>
  <c r="R127" i="4"/>
  <c r="T127" i="4" s="1"/>
  <c r="V126" i="4"/>
  <c r="R126" i="4"/>
  <c r="U126" i="4" s="1"/>
  <c r="V124" i="4"/>
  <c r="U124" i="4"/>
  <c r="T124" i="4"/>
  <c r="S124" i="4"/>
  <c r="R124" i="4"/>
  <c r="V121" i="4"/>
  <c r="U121" i="4"/>
  <c r="T121" i="4"/>
  <c r="R121" i="4"/>
  <c r="S121" i="4" s="1"/>
  <c r="V120" i="4"/>
  <c r="R120" i="4"/>
  <c r="V119" i="4"/>
  <c r="R119" i="4"/>
  <c r="U119" i="4" s="1"/>
  <c r="V116" i="4"/>
  <c r="R116" i="4"/>
  <c r="U116" i="4" s="1"/>
  <c r="V115" i="4"/>
  <c r="U115" i="4"/>
  <c r="T115" i="4"/>
  <c r="R115" i="4"/>
  <c r="S115" i="4" s="1"/>
  <c r="V114" i="4"/>
  <c r="U114" i="4"/>
  <c r="R114" i="4"/>
  <c r="T114" i="4" s="1"/>
  <c r="V108" i="4"/>
  <c r="R108" i="4"/>
  <c r="U108" i="4" s="1"/>
  <c r="V107" i="4"/>
  <c r="U107" i="4"/>
  <c r="T107" i="4"/>
  <c r="S107" i="4"/>
  <c r="R107" i="4"/>
  <c r="V93" i="4"/>
  <c r="R93" i="4"/>
  <c r="V92" i="4"/>
  <c r="U92" i="4"/>
  <c r="R92" i="4"/>
  <c r="T92" i="4" s="1"/>
  <c r="V91" i="4"/>
  <c r="R91" i="4"/>
  <c r="U91" i="4" s="1"/>
  <c r="V90" i="4"/>
  <c r="U90" i="4"/>
  <c r="T90" i="4"/>
  <c r="S90" i="4"/>
  <c r="R90" i="4"/>
  <c r="V89" i="4"/>
  <c r="U89" i="4"/>
  <c r="T89" i="4"/>
  <c r="R89" i="4"/>
  <c r="S89" i="4" s="1"/>
  <c r="V88" i="4"/>
  <c r="R88" i="4"/>
  <c r="V86" i="4"/>
  <c r="R86" i="4"/>
  <c r="U86" i="4" s="1"/>
  <c r="V85" i="4"/>
  <c r="R85" i="4"/>
  <c r="U85" i="4" s="1"/>
  <c r="V84" i="4"/>
  <c r="U84" i="4"/>
  <c r="T84" i="4"/>
  <c r="R84" i="4"/>
  <c r="S84" i="4" s="1"/>
  <c r="V83" i="4"/>
  <c r="U83" i="4"/>
  <c r="R83" i="4"/>
  <c r="T83" i="4" s="1"/>
  <c r="V82" i="4"/>
  <c r="T82" i="4"/>
  <c r="S82" i="4"/>
  <c r="R82" i="4"/>
  <c r="U82" i="4" s="1"/>
  <c r="V81" i="4"/>
  <c r="U81" i="4"/>
  <c r="T81" i="4"/>
  <c r="S81" i="4"/>
  <c r="R81" i="4"/>
  <c r="V80" i="4"/>
  <c r="R80" i="4"/>
  <c r="V79" i="4"/>
  <c r="U79" i="4"/>
  <c r="R79" i="4"/>
  <c r="T79" i="4" s="1"/>
  <c r="V78" i="4"/>
  <c r="R78" i="4"/>
  <c r="U78" i="4" s="1"/>
  <c r="V77" i="4"/>
  <c r="U77" i="4"/>
  <c r="T77" i="4"/>
  <c r="S77" i="4"/>
  <c r="R77" i="4"/>
  <c r="V76" i="4"/>
  <c r="U76" i="4"/>
  <c r="T76" i="4"/>
  <c r="R76" i="4"/>
  <c r="S76" i="4" s="1"/>
  <c r="V75" i="4"/>
  <c r="S75" i="4"/>
  <c r="R75" i="4"/>
  <c r="V74" i="4"/>
  <c r="R74" i="4"/>
  <c r="U74" i="4" s="1"/>
  <c r="V73" i="4"/>
  <c r="R73" i="4"/>
  <c r="U73" i="4" s="1"/>
  <c r="V72" i="4"/>
  <c r="U72" i="4"/>
  <c r="T72" i="4"/>
  <c r="R72" i="4"/>
  <c r="S72" i="4" s="1"/>
  <c r="V71" i="4"/>
  <c r="U71" i="4"/>
  <c r="R71" i="4"/>
  <c r="T71" i="4" s="1"/>
  <c r="V70" i="4"/>
  <c r="R70" i="4"/>
  <c r="U70" i="4" s="1"/>
  <c r="V69" i="4"/>
  <c r="U69" i="4"/>
  <c r="T69" i="4"/>
  <c r="S69" i="4"/>
  <c r="R69" i="4"/>
  <c r="V68" i="4"/>
  <c r="R68" i="4"/>
  <c r="V65" i="4"/>
  <c r="U65" i="4"/>
  <c r="R65" i="4"/>
  <c r="T65" i="4" s="1"/>
  <c r="V64" i="4"/>
  <c r="R64" i="4"/>
  <c r="U64" i="4" s="1"/>
  <c r="V63" i="4"/>
  <c r="U63" i="4"/>
  <c r="T63" i="4"/>
  <c r="S63" i="4"/>
  <c r="R63" i="4"/>
  <c r="V62" i="4"/>
  <c r="U62" i="4"/>
  <c r="T62" i="4"/>
  <c r="R62" i="4"/>
  <c r="S62" i="4" s="1"/>
  <c r="V61" i="4"/>
  <c r="R61" i="4"/>
  <c r="V60" i="4"/>
  <c r="R60" i="4"/>
  <c r="V58" i="4"/>
  <c r="R58" i="4"/>
  <c r="U58" i="4" s="1"/>
  <c r="V57" i="4"/>
  <c r="U57" i="4"/>
  <c r="T57" i="4"/>
  <c r="R57" i="4"/>
  <c r="S57" i="4" s="1"/>
  <c r="V49" i="4"/>
  <c r="U49" i="4"/>
  <c r="R49" i="4"/>
  <c r="T49" i="4" s="1"/>
  <c r="V48" i="4"/>
  <c r="R48" i="4"/>
  <c r="U48" i="4" s="1"/>
  <c r="V47" i="4"/>
  <c r="U47" i="4"/>
  <c r="T47" i="4"/>
  <c r="S47" i="4"/>
  <c r="R47" i="4"/>
  <c r="V46" i="4"/>
  <c r="R46" i="4"/>
  <c r="V45" i="4"/>
  <c r="U45" i="4"/>
  <c r="R45" i="4"/>
  <c r="T45" i="4" s="1"/>
  <c r="V44" i="4"/>
  <c r="R44" i="4"/>
  <c r="U44" i="4" s="1"/>
  <c r="V43" i="4"/>
  <c r="U43" i="4"/>
  <c r="T43" i="4"/>
  <c r="S43" i="4"/>
  <c r="R43" i="4"/>
  <c r="V42" i="4"/>
  <c r="U42" i="4"/>
  <c r="T42" i="4"/>
  <c r="R42" i="4"/>
  <c r="S42" i="4" s="1"/>
  <c r="V41" i="4"/>
  <c r="R41" i="4"/>
  <c r="V40" i="4"/>
  <c r="R40" i="4"/>
  <c r="V39" i="4"/>
  <c r="R39" i="4"/>
  <c r="U39" i="4" s="1"/>
  <c r="V38" i="4"/>
  <c r="U38" i="4"/>
  <c r="T38" i="4"/>
  <c r="R38" i="4"/>
  <c r="S38" i="4" s="1"/>
  <c r="V37" i="4"/>
  <c r="U37" i="4"/>
  <c r="R37" i="4"/>
  <c r="T37" i="4" s="1"/>
  <c r="V36" i="4"/>
  <c r="R36" i="4"/>
  <c r="U36" i="4" s="1"/>
  <c r="V35" i="4"/>
  <c r="U35" i="4"/>
  <c r="T35" i="4"/>
  <c r="S35" i="4"/>
  <c r="R35" i="4"/>
  <c r="V34" i="4"/>
  <c r="R34" i="4"/>
  <c r="V33" i="4"/>
  <c r="U33" i="4"/>
  <c r="R33" i="4"/>
  <c r="T33" i="4" s="1"/>
  <c r="V32" i="4"/>
  <c r="R32" i="4"/>
  <c r="U32" i="4" s="1"/>
  <c r="V31" i="4"/>
  <c r="U31" i="4"/>
  <c r="T31" i="4"/>
  <c r="S31" i="4"/>
  <c r="R31" i="4"/>
  <c r="V30" i="4"/>
  <c r="U30" i="4"/>
  <c r="T30" i="4"/>
  <c r="R30" i="4"/>
  <c r="S30" i="4" s="1"/>
  <c r="V29" i="4"/>
  <c r="R29" i="4"/>
  <c r="V28" i="4"/>
  <c r="R28" i="4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L130" i="4"/>
  <c r="M130" i="4"/>
  <c r="N130" i="4"/>
  <c r="O130" i="4"/>
  <c r="P130" i="4"/>
  <c r="Q130" i="4"/>
  <c r="I131" i="4"/>
  <c r="L131" i="4" s="1"/>
  <c r="M131" i="4" s="1"/>
  <c r="J131" i="4"/>
  <c r="K131" i="4"/>
  <c r="O131" i="4"/>
  <c r="P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U28" i="4" l="1"/>
  <c r="T28" i="4"/>
  <c r="S28" i="4"/>
  <c r="U68" i="4"/>
  <c r="T68" i="4"/>
  <c r="S68" i="4"/>
  <c r="U29" i="4"/>
  <c r="T29" i="4"/>
  <c r="U88" i="4"/>
  <c r="T88" i="4"/>
  <c r="S29" i="4"/>
  <c r="S36" i="4"/>
  <c r="U40" i="4"/>
  <c r="T40" i="4"/>
  <c r="S40" i="4"/>
  <c r="S88" i="4"/>
  <c r="S108" i="4"/>
  <c r="T36" i="4"/>
  <c r="U80" i="4"/>
  <c r="T80" i="4"/>
  <c r="S80" i="4"/>
  <c r="T108" i="4"/>
  <c r="U41" i="4"/>
  <c r="T41" i="4"/>
  <c r="U120" i="4"/>
  <c r="T120" i="4"/>
  <c r="S120" i="4"/>
  <c r="S41" i="4"/>
  <c r="S48" i="4"/>
  <c r="U60" i="4"/>
  <c r="T60" i="4"/>
  <c r="S60" i="4"/>
  <c r="U34" i="4"/>
  <c r="T34" i="4"/>
  <c r="S34" i="4"/>
  <c r="T48" i="4"/>
  <c r="U93" i="4"/>
  <c r="T93" i="4"/>
  <c r="S93" i="4"/>
  <c r="U61" i="4"/>
  <c r="T61" i="4"/>
  <c r="S61" i="4"/>
  <c r="S70" i="4"/>
  <c r="U46" i="4"/>
  <c r="T46" i="4"/>
  <c r="S46" i="4"/>
  <c r="T70" i="4"/>
  <c r="U75" i="4"/>
  <c r="T75" i="4"/>
  <c r="S130" i="4"/>
  <c r="S39" i="4"/>
  <c r="S58" i="4"/>
  <c r="S73" i="4"/>
  <c r="S85" i="4"/>
  <c r="S116" i="4"/>
  <c r="T130" i="4"/>
  <c r="S32" i="4"/>
  <c r="T39" i="4"/>
  <c r="S44" i="4"/>
  <c r="T58" i="4"/>
  <c r="S64" i="4"/>
  <c r="T73" i="4"/>
  <c r="S78" i="4"/>
  <c r="T85" i="4"/>
  <c r="S91" i="4"/>
  <c r="T116" i="4"/>
  <c r="S126" i="4"/>
  <c r="T32" i="4"/>
  <c r="S37" i="4"/>
  <c r="T44" i="4"/>
  <c r="S49" i="4"/>
  <c r="T64" i="4"/>
  <c r="S71" i="4"/>
  <c r="T78" i="4"/>
  <c r="S83" i="4"/>
  <c r="T91" i="4"/>
  <c r="S114" i="4"/>
  <c r="T126" i="4"/>
  <c r="S74" i="4"/>
  <c r="S86" i="4"/>
  <c r="S119" i="4"/>
  <c r="S33" i="4"/>
  <c r="S45" i="4"/>
  <c r="S65" i="4"/>
  <c r="T74" i="4"/>
  <c r="S79" i="4"/>
  <c r="T86" i="4"/>
  <c r="S92" i="4"/>
  <c r="T119" i="4"/>
  <c r="S127" i="4"/>
  <c r="N131" i="4"/>
  <c r="Q131" i="4" s="1"/>
  <c r="O15" i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M126" i="4"/>
  <c r="J16" i="4"/>
  <c r="J15" i="4"/>
  <c r="J87" i="4"/>
  <c r="K87" i="4" s="1"/>
  <c r="J122" i="4"/>
  <c r="K122" i="4"/>
  <c r="J117" i="4"/>
  <c r="K117" i="4"/>
  <c r="J120" i="4"/>
  <c r="K120" i="4"/>
  <c r="O120" i="4" s="1"/>
  <c r="P120" i="4" s="1"/>
  <c r="J101" i="4"/>
  <c r="K101" i="4"/>
  <c r="J86" i="4"/>
  <c r="K86" i="4" s="1"/>
  <c r="J85" i="4"/>
  <c r="K85" i="4" s="1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O71" i="4" s="1"/>
  <c r="P71" i="4" s="1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 s="1"/>
  <c r="O114" i="4" s="1"/>
  <c r="P114" i="4" s="1"/>
  <c r="J78" i="4"/>
  <c r="K78" i="4"/>
  <c r="J115" i="4"/>
  <c r="K115" i="4"/>
  <c r="O115" i="4"/>
  <c r="P115" i="4" s="1"/>
  <c r="J99" i="4"/>
  <c r="K99" i="4"/>
  <c r="J83" i="4"/>
  <c r="K83" i="4"/>
  <c r="J102" i="4"/>
  <c r="K102" i="4"/>
  <c r="J74" i="4"/>
  <c r="K74" i="4" s="1"/>
  <c r="J125" i="4"/>
  <c r="K125" i="4"/>
  <c r="J109" i="4"/>
  <c r="K109" i="4"/>
  <c r="J93" i="4"/>
  <c r="K93" i="4"/>
  <c r="J77" i="4"/>
  <c r="K77" i="4"/>
  <c r="J112" i="4"/>
  <c r="K112" i="4"/>
  <c r="J96" i="4"/>
  <c r="K96" i="4" s="1"/>
  <c r="J80" i="4"/>
  <c r="K80" i="4" s="1"/>
  <c r="J106" i="4"/>
  <c r="K106" i="4"/>
  <c r="J127" i="4"/>
  <c r="K127" i="4"/>
  <c r="O127" i="4" s="1"/>
  <c r="P127" i="4" s="1"/>
  <c r="J111" i="4"/>
  <c r="K111" i="4"/>
  <c r="J95" i="4"/>
  <c r="K95" i="4" s="1"/>
  <c r="J79" i="4"/>
  <c r="K79" i="4" s="1"/>
  <c r="J126" i="4"/>
  <c r="K126" i="4"/>
  <c r="O126" i="4" s="1"/>
  <c r="P126" i="4" s="1"/>
  <c r="J94" i="4"/>
  <c r="K94" i="4" s="1"/>
  <c r="J121" i="4"/>
  <c r="K121" i="4"/>
  <c r="J105" i="4"/>
  <c r="K105" i="4"/>
  <c r="J89" i="4"/>
  <c r="K89" i="4" s="1"/>
  <c r="J73" i="4"/>
  <c r="K73" i="4" s="1"/>
  <c r="J124" i="4"/>
  <c r="K124" i="4"/>
  <c r="O124" i="4" s="1"/>
  <c r="P124" i="4" s="1"/>
  <c r="J108" i="4"/>
  <c r="K108" i="4"/>
  <c r="O108" i="4" s="1"/>
  <c r="P108" i="4" s="1"/>
  <c r="J92" i="4"/>
  <c r="K92" i="4" s="1"/>
  <c r="J76" i="4"/>
  <c r="K76" i="4"/>
  <c r="J98" i="4"/>
  <c r="K98" i="4"/>
  <c r="J123" i="4"/>
  <c r="K123" i="4"/>
  <c r="J107" i="4"/>
  <c r="L107" i="4" s="1"/>
  <c r="M107" i="4" s="1"/>
  <c r="K107" i="4"/>
  <c r="O107" i="4" s="1"/>
  <c r="P107" i="4" s="1"/>
  <c r="J91" i="4"/>
  <c r="K91" i="4"/>
  <c r="J75" i="4"/>
  <c r="K75" i="4" s="1"/>
  <c r="P100" i="4"/>
  <c r="O112" i="4"/>
  <c r="P112" i="4"/>
  <c r="O98" i="4"/>
  <c r="P98" i="4"/>
  <c r="O105" i="4"/>
  <c r="P105" i="4"/>
  <c r="O111" i="4"/>
  <c r="P111" i="4"/>
  <c r="O104" i="4"/>
  <c r="P104" i="4"/>
  <c r="O91" i="4"/>
  <c r="P91" i="4"/>
  <c r="O121" i="4"/>
  <c r="P121" i="4"/>
  <c r="O102" i="4"/>
  <c r="P102" i="4"/>
  <c r="O78" i="4"/>
  <c r="P78" i="4" s="1"/>
  <c r="O97" i="4"/>
  <c r="P97" i="4"/>
  <c r="O110" i="4"/>
  <c r="P110" i="4"/>
  <c r="O118" i="4"/>
  <c r="P118" i="4"/>
  <c r="O117" i="4"/>
  <c r="P117" i="4"/>
  <c r="O106" i="4"/>
  <c r="P106" i="4"/>
  <c r="O109" i="4"/>
  <c r="P109" i="4"/>
  <c r="O116" i="4"/>
  <c r="P116" i="4" s="1"/>
  <c r="O113" i="4"/>
  <c r="P113" i="4"/>
  <c r="O103" i="4"/>
  <c r="P103" i="4"/>
  <c r="O119" i="4"/>
  <c r="P119" i="4"/>
  <c r="O122" i="4"/>
  <c r="P122" i="4"/>
  <c r="O123" i="4"/>
  <c r="P123" i="4"/>
  <c r="O125" i="4"/>
  <c r="P125" i="4"/>
  <c r="O99" i="4"/>
  <c r="P99" i="4"/>
  <c r="O101" i="4"/>
  <c r="P101" i="4"/>
  <c r="I76" i="4"/>
  <c r="N76" i="4" s="1"/>
  <c r="Q76" i="4" s="1"/>
  <c r="I77" i="4"/>
  <c r="N77" i="4" s="1"/>
  <c r="Q77" i="4" s="1"/>
  <c r="I81" i="4"/>
  <c r="N81" i="4" s="1"/>
  <c r="Q81" i="4" s="1"/>
  <c r="I89" i="4"/>
  <c r="N89" i="4" s="1"/>
  <c r="Q89" i="4" s="1"/>
  <c r="I90" i="4"/>
  <c r="N90" i="4" s="1"/>
  <c r="Q90" i="4" s="1"/>
  <c r="I96" i="4"/>
  <c r="I99" i="4"/>
  <c r="I102" i="4"/>
  <c r="I104" i="4"/>
  <c r="I108" i="4"/>
  <c r="N108" i="4" s="1"/>
  <c r="Q108" i="4" s="1"/>
  <c r="I111" i="4"/>
  <c r="I113" i="4"/>
  <c r="I115" i="4"/>
  <c r="I119" i="4"/>
  <c r="I120" i="4"/>
  <c r="N120" i="4" s="1"/>
  <c r="Q120" i="4" s="1"/>
  <c r="I123" i="4"/>
  <c r="I125" i="4"/>
  <c r="I79" i="4"/>
  <c r="I92" i="4"/>
  <c r="I100" i="4"/>
  <c r="I103" i="4"/>
  <c r="I107" i="4"/>
  <c r="N107" i="4" s="1"/>
  <c r="Q107" i="4" s="1"/>
  <c r="I109" i="4"/>
  <c r="I110" i="4"/>
  <c r="I117" i="4"/>
  <c r="I124" i="4"/>
  <c r="L124" i="4" s="1"/>
  <c r="M124" i="4" s="1"/>
  <c r="I72" i="4"/>
  <c r="I106" i="4"/>
  <c r="I71" i="4"/>
  <c r="N71" i="4" s="1"/>
  <c r="Q71" i="4" s="1"/>
  <c r="I75" i="4"/>
  <c r="I80" i="4"/>
  <c r="I83" i="4"/>
  <c r="I86" i="4"/>
  <c r="I88" i="4"/>
  <c r="L88" i="4" s="1"/>
  <c r="M88" i="4" s="1"/>
  <c r="I94" i="4"/>
  <c r="L94" i="4" s="1"/>
  <c r="I95" i="4"/>
  <c r="I98" i="4"/>
  <c r="I101" i="4"/>
  <c r="I118" i="4"/>
  <c r="I127" i="4"/>
  <c r="L127" i="4" s="1"/>
  <c r="M127" i="4" s="1"/>
  <c r="I73" i="4"/>
  <c r="L73" i="4" s="1"/>
  <c r="I74" i="4"/>
  <c r="N74" i="4" s="1"/>
  <c r="Q74" i="4" s="1"/>
  <c r="I78" i="4"/>
  <c r="I82" i="4"/>
  <c r="I85" i="4"/>
  <c r="L85" i="4" s="1"/>
  <c r="I93" i="4"/>
  <c r="I112" i="4"/>
  <c r="I114" i="4"/>
  <c r="L114" i="4" s="1"/>
  <c r="M114" i="4" s="1"/>
  <c r="I121" i="4"/>
  <c r="I122" i="4"/>
  <c r="I84" i="4"/>
  <c r="L84" i="4" s="1"/>
  <c r="M84" i="4" s="1"/>
  <c r="I87" i="4"/>
  <c r="L87" i="4" s="1"/>
  <c r="M87" i="4" s="1"/>
  <c r="I91" i="4"/>
  <c r="L91" i="4" s="1"/>
  <c r="M91" i="4" s="1"/>
  <c r="I97" i="4"/>
  <c r="I105" i="4"/>
  <c r="I116" i="4"/>
  <c r="I126" i="4"/>
  <c r="L105" i="4"/>
  <c r="N105" i="4"/>
  <c r="Q105" i="4"/>
  <c r="N121" i="4"/>
  <c r="Q121" i="4"/>
  <c r="L121" i="4"/>
  <c r="M121" i="4" s="1"/>
  <c r="N85" i="4"/>
  <c r="Q85" i="4"/>
  <c r="N101" i="4"/>
  <c r="Q101" i="4"/>
  <c r="L101" i="4"/>
  <c r="N88" i="4"/>
  <c r="Q88" i="4" s="1"/>
  <c r="N75" i="4"/>
  <c r="Q75" i="4"/>
  <c r="L106" i="4"/>
  <c r="N106" i="4"/>
  <c r="Q106" i="4"/>
  <c r="N79" i="4"/>
  <c r="Q79" i="4"/>
  <c r="N119" i="4"/>
  <c r="Q119" i="4"/>
  <c r="L119" i="4"/>
  <c r="M119" i="4" s="1"/>
  <c r="L96" i="4"/>
  <c r="M96" i="4" s="1"/>
  <c r="N96" i="4"/>
  <c r="Q96" i="4" s="1"/>
  <c r="L97" i="4"/>
  <c r="M97" i="4" s="1"/>
  <c r="N97" i="4"/>
  <c r="Q97" i="4"/>
  <c r="N114" i="4"/>
  <c r="Q114" i="4" s="1"/>
  <c r="N98" i="4"/>
  <c r="Q98" i="4"/>
  <c r="L98" i="4"/>
  <c r="N86" i="4"/>
  <c r="Q86" i="4"/>
  <c r="L72" i="4"/>
  <c r="M72" i="4" s="1"/>
  <c r="N72" i="4"/>
  <c r="Q72" i="4" s="1"/>
  <c r="N117" i="4"/>
  <c r="Q117" i="4"/>
  <c r="L117" i="4"/>
  <c r="N103" i="4"/>
  <c r="Q103" i="4"/>
  <c r="L103" i="4"/>
  <c r="L125" i="4"/>
  <c r="N125" i="4"/>
  <c r="Q125" i="4"/>
  <c r="N115" i="4"/>
  <c r="Q115" i="4"/>
  <c r="L115" i="4"/>
  <c r="M115" i="4" s="1"/>
  <c r="L104" i="4"/>
  <c r="N104" i="4"/>
  <c r="Q104" i="4"/>
  <c r="L76" i="4"/>
  <c r="M76" i="4" s="1"/>
  <c r="N126" i="4"/>
  <c r="Q126" i="4"/>
  <c r="L126" i="4"/>
  <c r="N91" i="4"/>
  <c r="Q91" i="4" s="1"/>
  <c r="L112" i="4"/>
  <c r="N112" i="4"/>
  <c r="Q112" i="4"/>
  <c r="L78" i="4"/>
  <c r="M78" i="4" s="1"/>
  <c r="N78" i="4"/>
  <c r="Q78" i="4"/>
  <c r="N95" i="4"/>
  <c r="Q95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116" i="4"/>
  <c r="Q116" i="4"/>
  <c r="L116" i="4"/>
  <c r="M116" i="4" s="1"/>
  <c r="N87" i="4"/>
  <c r="Q87" i="4"/>
  <c r="N122" i="4"/>
  <c r="Q122" i="4"/>
  <c r="L122" i="4"/>
  <c r="L74" i="4"/>
  <c r="M74" i="4" s="1"/>
  <c r="N118" i="4"/>
  <c r="Q118" i="4"/>
  <c r="L118" i="4"/>
  <c r="L80" i="4"/>
  <c r="M80" i="4" s="1"/>
  <c r="N80" i="4"/>
  <c r="Q80" i="4" s="1"/>
  <c r="N109" i="4"/>
  <c r="Q109" i="4"/>
  <c r="L109" i="4"/>
  <c r="N92" i="4"/>
  <c r="Q92" i="4" s="1"/>
  <c r="N111" i="4"/>
  <c r="Q111" i="4"/>
  <c r="L111" i="4"/>
  <c r="N99" i="4"/>
  <c r="Q99" i="4"/>
  <c r="L99" i="4"/>
  <c r="L81" i="4"/>
  <c r="M85" i="4" l="1"/>
  <c r="M73" i="4"/>
  <c r="O80" i="4"/>
  <c r="P80" i="4" s="1"/>
  <c r="O92" i="4"/>
  <c r="P92" i="4" s="1"/>
  <c r="O75" i="4"/>
  <c r="P75" i="4" s="1"/>
  <c r="M81" i="4"/>
  <c r="O96" i="4"/>
  <c r="P96" i="4" s="1"/>
  <c r="O84" i="4"/>
  <c r="P84" i="4" s="1"/>
  <c r="L71" i="4"/>
  <c r="M71" i="4" s="1"/>
  <c r="O79" i="4"/>
  <c r="P79" i="4" s="1"/>
  <c r="O83" i="4"/>
  <c r="P83" i="4" s="1"/>
  <c r="O82" i="4"/>
  <c r="P82" i="4" s="1"/>
  <c r="L79" i="4"/>
  <c r="O95" i="4"/>
  <c r="P95" i="4" s="1"/>
  <c r="L77" i="4"/>
  <c r="O72" i="4"/>
  <c r="P72" i="4" s="1"/>
  <c r="O73" i="4"/>
  <c r="P73" i="4" s="1"/>
  <c r="L90" i="4"/>
  <c r="M94" i="4"/>
  <c r="O77" i="4"/>
  <c r="P77" i="4" s="1"/>
  <c r="O89" i="4"/>
  <c r="P89" i="4" s="1"/>
  <c r="L120" i="4"/>
  <c r="M120" i="4" s="1"/>
  <c r="L93" i="4"/>
  <c r="O81" i="4"/>
  <c r="P81" i="4" s="1"/>
  <c r="O88" i="4"/>
  <c r="P88" i="4" s="1"/>
  <c r="O87" i="4"/>
  <c r="P87" i="4" s="1"/>
  <c r="L108" i="4"/>
  <c r="M108" i="4" s="1"/>
  <c r="N73" i="4"/>
  <c r="Q73" i="4" s="1"/>
  <c r="L82" i="4"/>
  <c r="L83" i="4"/>
  <c r="O76" i="4"/>
  <c r="P76" i="4" s="1"/>
  <c r="N124" i="4"/>
  <c r="Q124" i="4" s="1"/>
  <c r="O85" i="4"/>
  <c r="P85" i="4" s="1"/>
  <c r="N127" i="4"/>
  <c r="Q127" i="4" s="1"/>
  <c r="O93" i="4"/>
  <c r="P93" i="4" s="1"/>
  <c r="O90" i="4"/>
  <c r="P90" i="4" s="1"/>
  <c r="L92" i="4"/>
  <c r="N93" i="4"/>
  <c r="Q93" i="4" s="1"/>
  <c r="L75" i="4"/>
  <c r="O94" i="4"/>
  <c r="P94" i="4" s="1"/>
  <c r="O74" i="4"/>
  <c r="P74" i="4" s="1"/>
  <c r="O86" i="4"/>
  <c r="P86" i="4" s="1"/>
  <c r="N83" i="4"/>
  <c r="Q83" i="4" s="1"/>
  <c r="L95" i="4"/>
  <c r="L89" i="4"/>
  <c r="N82" i="4"/>
  <c r="Q82" i="4" s="1"/>
  <c r="N94" i="4"/>
  <c r="Q94" i="4" s="1"/>
  <c r="N84" i="4"/>
  <c r="Q84" i="4" s="1"/>
  <c r="L86" i="4"/>
  <c r="J14" i="4"/>
  <c r="J13" i="4" s="1"/>
  <c r="K16" i="4" s="1"/>
  <c r="M83" i="4" l="1"/>
  <c r="M77" i="4"/>
  <c r="M90" i="4"/>
  <c r="M79" i="4"/>
  <c r="M86" i="4"/>
  <c r="M93" i="4"/>
  <c r="M82" i="4"/>
  <c r="M75" i="4"/>
  <c r="M89" i="4"/>
  <c r="M95" i="4"/>
  <c r="M92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O64" i="4"/>
  <c r="P64" i="4" s="1"/>
  <c r="M69" i="4"/>
  <c r="M58" i="4"/>
  <c r="O69" i="4"/>
  <c r="P69" i="4" s="1"/>
  <c r="M57" i="4"/>
  <c r="O65" i="4"/>
  <c r="P65" i="4" s="1"/>
  <c r="O66" i="4"/>
  <c r="P66" i="4" s="1"/>
  <c r="M65" i="4"/>
  <c r="M66" i="4"/>
  <c r="O67" i="4"/>
  <c r="P67" i="4" s="1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L45" i="4" s="1"/>
  <c r="J30" i="4"/>
  <c r="K30" i="4" s="1"/>
  <c r="J43" i="4"/>
  <c r="K43" i="4" s="1"/>
  <c r="J31" i="4"/>
  <c r="J44" i="4"/>
  <c r="L44" i="4" s="1"/>
  <c r="J36" i="4"/>
  <c r="L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7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0" i="4"/>
  <c r="O48" i="4" l="1"/>
  <c r="P48" i="4" s="1"/>
  <c r="M48" i="4"/>
  <c r="O49" i="4"/>
  <c r="P49" i="4" s="1"/>
  <c r="M49" i="4"/>
  <c r="L43" i="4"/>
  <c r="K45" i="4"/>
  <c r="O30" i="4"/>
  <c r="P30" i="4" s="1"/>
  <c r="M39" i="4"/>
  <c r="O47" i="4"/>
  <c r="P47" i="4" s="1"/>
  <c r="O31" i="4"/>
  <c r="P31" i="4" s="1"/>
  <c r="O33" i="4"/>
  <c r="P33" i="4" s="1"/>
  <c r="O35" i="4"/>
  <c r="P35" i="4" s="1"/>
  <c r="O28" i="4"/>
  <c r="P28" i="4" s="1"/>
  <c r="O46" i="4"/>
  <c r="P46" i="4" s="1"/>
  <c r="M44" i="4"/>
  <c r="M47" i="4"/>
  <c r="M45" i="4"/>
  <c r="M31" i="4"/>
  <c r="M43" i="4"/>
  <c r="O43" i="4"/>
  <c r="P43" i="4" s="1"/>
  <c r="O41" i="4"/>
  <c r="P41" i="4" s="1"/>
  <c r="O39" i="4"/>
  <c r="P39" i="4" s="1"/>
  <c r="L35" i="4"/>
  <c r="K36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45" i="4" l="1"/>
  <c r="P45" i="4" s="1"/>
  <c r="O42" i="4"/>
  <c r="P42" i="4" s="1"/>
  <c r="M41" i="4"/>
  <c r="O37" i="4"/>
  <c r="P37" i="4" s="1"/>
  <c r="M46" i="4"/>
  <c r="O44" i="4"/>
  <c r="P44" i="4" s="1"/>
  <c r="O36" i="4"/>
  <c r="P36" i="4" s="1"/>
  <c r="M35" i="4"/>
  <c r="O29" i="4"/>
  <c r="P29" i="4" s="1"/>
  <c r="O32" i="4"/>
  <c r="P32" i="4" s="1"/>
  <c r="O38" i="4"/>
  <c r="P38" i="4" s="1"/>
  <c r="O40" i="4"/>
  <c r="P40" i="4" s="1"/>
  <c r="M33" i="4"/>
  <c r="O34" i="4"/>
  <c r="P34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<sst xmlns="http://schemas.openxmlformats.org/spreadsheetml/2006/main" count="318" uniqueCount="295">
  <si>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</si>
  <si>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</si>
  <si>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</si>
  <si>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</si>
  <si>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</si>
  <si>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</si>
  <si>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</si>
  <si>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</si>
  <si>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</si>
  <si>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</si>
  <si>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</si>
  <si>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</si>
  <si>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</si>
  <si>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</si>
  <si>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</si>
  <si>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</si>
  <si>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</si>
  <si>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</si>
  <si>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</si>
  <si>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</si>
  <si>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</si>
  <si>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</si>
  <si>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</si>
  <si>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</si>
  <si>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</si>
  <si>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</si>
  <si>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</si>
  <si>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</si>
  <si>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</si>
  <si>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</si>
  <si>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</si>
  <si>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</si>
  <si>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</si>
  <si>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</si>
  <si>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</si>
  <si>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</si>
  <si>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</si>
  <si>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</si>
  <si>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</si>
  <si>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</si>
  <si>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</si>
  <si>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</si>
  <si>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</si>
  <si>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</si>
  <si>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</si>
  <si>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</si>
  <si>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</si>
  <si>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</si>
  <si>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</si>
  <si>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</si>
  <si>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</si>
  <si>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</si>
  <si>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</si>
  <si>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</si>
  <si>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</si>
  <si>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</si>
  <si>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</si>
  <si>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</si>
  <si>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</si>
  <si>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</si>
  <si>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</si>
  <si>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</si>
  <si>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</si>
  <si>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</si>
  <si>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</si>
  <si>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</si>
  <si>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</si>
  <si>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</si>
  <si>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</si>
  <si>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</si>
  <si>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</si>
  <si>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</si>
  <si>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</si>
  <si>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</si>
  <si>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</si>
  <si>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</si>
  <si>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</si>
  <si>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</si>
  <si>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</si>
  <si>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</si>
  <si>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</si>
  <si>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</si>
  <si>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</si>
  <si>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</si>
  <si>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</si>
  <si>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</si>
  <si>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</si>
  <si>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</si>
  <si>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</si>
  <si>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</si>
  <si>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</si>
  <si>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</si>
  <si>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</si>
  <si>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</si>
  <si>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</si>
  <si>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</si>
  <si>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</si>
  <si>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</si>
  <si>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</si>
  <si>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</si>
  <si>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</si>
  <si>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</si>
  <si>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</si>
  <si>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</si>
  <si>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</si>
  <si>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</si>
  <si>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</si>
  <si>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</si>
  <si>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</si>
  <si>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</si>
  <si>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</si>
  <si>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</si>
  <si>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SH-SY5Y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</si>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</sst>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112</v>
      </c>
      <c r="K17" s="31" t="s">
        <v>80</v>
      </c>
      <c r="L17" s="81">
        <v>1.8482799999999999E-3</v>
      </c>
      <c r="M17" s="81">
        <v>9.2119999999999992E-5</v>
      </c>
      <c r="N17" s="81">
        <v>1.9599999999999999E-5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4" zoomScale="70" zoomScaleNormal="70" workbookViewId="0">
      <selection activeCell="R28" sqref="R28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40.010975999999999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39.803150367999997</v>
      </c>
      <c r="K8" s="39">
        <f>J8/J7</f>
        <v>0.99480578449273516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0.19251587200000003</v>
      </c>
      <c r="K9" s="39">
        <f>J9/J7</f>
        <v>4.8115765034074656E-3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1.530976E-2</v>
      </c>
      <c r="K10" s="39">
        <f>J10/J7</f>
        <v>3.8263900385734158E-4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40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39.7928</v>
      </c>
      <c r="K14" s="39">
        <f>J14/J13</f>
        <v>0.99482000000000004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0.19200000000000003</v>
      </c>
      <c r="K15" s="39">
        <f>J15/J13</f>
        <v>4.8000000000000004E-3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1.52E-2</v>
      </c>
      <c r="K16" s="39">
        <f>J16/J13</f>
        <v>3.8000000000000002E-4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1.0976E-2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1.0350367999999999E-2</v>
      </c>
      <c r="K20" s="39">
        <f>J20/J19</f>
        <v>0.94299999999999995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5.1587200000000001E-4</v>
      </c>
      <c r="K21" s="39">
        <f>J21/J19</f>
        <v>4.7E-2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1.0975999999999998E-4</v>
      </c>
      <c r="K22" s="39">
        <f>J22/J19</f>
        <v>9.9999999999999985E-3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115</v>
      </c>
      <c r="C28" s="46" t="s">
        <v>116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0.58104875936134615</v>
      </c>
      <c r="K28" s="95">
        <f t="shared" ref="K28:K47" si="3">IF(D28=0,"",1/(1+10^D28*$J$15/$J$14+10^E28*$J$16/$J$14+10^J28*$J$19/$J$14))</f>
        <v>0.8038620230507354</v>
      </c>
      <c r="L28" s="95">
        <f t="shared" ref="L28:L47" si="4">IF(D28=0,"",1/(1+10^I28/10^J28*$J$13/$J$19))</f>
        <v>8.4502560825048341E-4</v>
      </c>
      <c r="M28" s="95">
        <f t="shared" ref="M28:M47" si="5">IF(D28=0,"",1-L28)</f>
        <v>0.9991549743917495</v>
      </c>
      <c r="N28" s="95">
        <f t="shared" ref="N28:N47" si="6">IF(D28=0,"",1/(1/10^E28*$J$20/$J$22+10^D28/10^E28*$J$21/$J$22+10^I28/10^E28*$J$13/$J$22+1))</f>
        <v>1.7711939127580215E-4</v>
      </c>
      <c r="O28" s="40">
        <f t="shared" ref="O28:O47" si="7">IF(D28=0,"",F28*K28*$J$7/$J$14)</f>
        <v>8.0826943848119301E-7</v>
      </c>
      <c r="P28" s="40">
        <f t="shared" ref="P28:P47" si="8">IF(D28=0,"",O28*10^J28)</f>
        <v>3.0803844142761918E-6</v>
      </c>
      <c r="Q28" s="40">
        <f t="shared" ref="Q28:Q47" si="9">IF(D28=0,"",F28*N28*$J$7/$J$22)</f>
        <v>6.4565595057131285E-5</v>
      </c>
      <c r="R28" s="9">
        <f>F28*$C$14</f>
        <v>3.9999999999999996E-5</v>
      </c>
      <c r="S28" s="9">
        <f>$R28*L28</f>
        <v>3.3801024330019336E-8</v>
      </c>
      <c r="T28" s="9">
        <f>R28*K28</f>
        <v>3.2154480922029411E-5</v>
      </c>
      <c r="U28" s="9">
        <f>$R28*M28</f>
        <v>3.9966198975669976E-5</v>
      </c>
      <c r="V28" s="102">
        <f>K28/M28</f>
        <v>0.80454188154354978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117</v>
      </c>
      <c r="C29" s="46" t="s">
        <v>118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2.7194923137791687</v>
      </c>
      <c r="J29" s="94">
        <f t="shared" si="2"/>
        <v>3.9742395242673396</v>
      </c>
      <c r="K29" s="95">
        <f t="shared" si="3"/>
        <v>1.8884912938679351E-3</v>
      </c>
      <c r="L29" s="95">
        <f t="shared" si="4"/>
        <v>4.9090121898990842E-3</v>
      </c>
      <c r="M29" s="95">
        <f t="shared" si="5"/>
        <v>0.99509098781010097</v>
      </c>
      <c r="N29" s="95">
        <f t="shared" si="6"/>
        <v>3.5672749673001797E-3</v>
      </c>
      <c r="O29" s="40">
        <f t="shared" si="7"/>
        <v>1.8988455156500398E-9</v>
      </c>
      <c r="P29" s="40">
        <f t="shared" si="8"/>
        <v>1.7894895126982494E-5</v>
      </c>
      <c r="Q29" s="40">
        <f t="shared" si="9"/>
        <v>1.3003840479414021E-3</v>
      </c>
      <c r="R29" s="9">
        <f>F29*$C$14</f>
        <v>3.9999999999999996E-5</v>
      </c>
      <c r="S29" s="9">
        <f t="shared" ref="S29:S49" si="10">$R29*L29</f>
        <v>1.9636048759596334E-7</v>
      </c>
      <c r="T29" s="9">
        <f t="shared" ref="T29:T49" si="11">R29*K29</f>
        <v>7.5539651754717399E-8</v>
      </c>
      <c r="U29" s="9">
        <f t="shared" ref="U29:U49" si="12">$R29*M29</f>
        <v>3.9803639512404036E-5</v>
      </c>
      <c r="V29" s="102">
        <f t="shared" ref="V29:V49" si="13">K29/M29</f>
        <v>1.8978076547793306E-3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119</v>
      </c>
      <c r="C30" s="46" t="s">
        <v>120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5.9163420575972845</v>
      </c>
      <c r="J30" s="94">
        <f t="shared" si="2"/>
        <v>7.3139190043882341</v>
      </c>
      <c r="K30" s="95">
        <f t="shared" si="3"/>
        <v>1.1979421198071847E-6</v>
      </c>
      <c r="L30" s="95">
        <f t="shared" si="4"/>
        <v>6.8076064117901739E-3</v>
      </c>
      <c r="M30" s="95">
        <f t="shared" si="5"/>
        <v>0.99319239358820988</v>
      </c>
      <c r="N30" s="95">
        <f t="shared" si="6"/>
        <v>6.5917455437756647E-3</v>
      </c>
      <c r="O30" s="40">
        <f t="shared" si="7"/>
        <v>1.204510197950242E-12</v>
      </c>
      <c r="P30" s="40">
        <f t="shared" si="8"/>
        <v>2.481586887386876E-5</v>
      </c>
      <c r="Q30" s="40">
        <f t="shared" si="9"/>
        <v>2.4028988042102324E-3</v>
      </c>
      <c r="R30" s="9">
        <f t="shared" ref="R30:R49" si="14">F30*$C$14</f>
        <v>3.9999999999999996E-5</v>
      </c>
      <c r="S30" s="9">
        <f t="shared" si="10"/>
        <v>2.7230425647160693E-7</v>
      </c>
      <c r="T30" s="9">
        <f t="shared" si="11"/>
        <v>4.7917684792287383E-11</v>
      </c>
      <c r="U30" s="9">
        <f t="shared" si="12"/>
        <v>3.972769574352839E-5</v>
      </c>
      <c r="V30" s="102">
        <f t="shared" si="13"/>
        <v>1.2061531356268791E-6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113</v>
      </c>
      <c r="C31" s="46" t="s">
        <v>114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1.2852308448323728</v>
      </c>
      <c r="J31" s="94">
        <f t="shared" si="2"/>
        <v>2.4832149549104936</v>
      </c>
      <c r="K31" s="95">
        <f t="shared" si="3"/>
        <v>5.1361505276643807E-2</v>
      </c>
      <c r="L31" s="95">
        <f t="shared" si="4"/>
        <v>4.310149135726268E-3</v>
      </c>
      <c r="M31" s="95">
        <f t="shared" si="5"/>
        <v>0.99568985086427375</v>
      </c>
      <c r="N31" s="95">
        <f t="shared" si="6"/>
        <v>2.8021820228002624E-3</v>
      </c>
      <c r="O31" s="40">
        <f t="shared" si="7"/>
        <v>5.1643110184447152E-8</v>
      </c>
      <c r="P31" s="40">
        <f t="shared" si="8"/>
        <v>1.5711850731228549E-5</v>
      </c>
      <c r="Q31" s="40">
        <f t="shared" si="9"/>
        <v>1.021483579281093E-3</v>
      </c>
      <c r="R31" s="9">
        <f t="shared" si="14"/>
        <v>3.9999999999999996E-5</v>
      </c>
      <c r="S31" s="9">
        <f t="shared" si="10"/>
        <v>1.7240596542905072E-7</v>
      </c>
      <c r="T31" s="9">
        <f t="shared" si="11"/>
        <v>2.054460211065752E-6</v>
      </c>
      <c r="U31" s="9">
        <f t="shared" si="12"/>
        <v>3.9827594034570947E-5</v>
      </c>
      <c r="V31" s="102">
        <f t="shared" si="13"/>
        <v>5.1583839317093823E-2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121</v>
      </c>
      <c r="C32" s="46" t="s">
        <v>122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3.9109447814528924</v>
      </c>
      <c r="J32" s="94">
        <f t="shared" si="2"/>
        <v>5.1720950211816961</v>
      </c>
      <c r="K32" s="95">
        <f t="shared" si="3"/>
        <v>1.2151526969141553E-4</v>
      </c>
      <c r="L32" s="95">
        <f t="shared" si="4"/>
        <v>4.9815612618281874E-3</v>
      </c>
      <c r="M32" s="95">
        <f t="shared" si="5"/>
        <v>0.99501843873817186</v>
      </c>
      <c r="N32" s="95">
        <f t="shared" si="6"/>
        <v>3.6762958530131037E-3</v>
      </c>
      <c r="O32" s="40">
        <f t="shared" si="7"/>
        <v>1.221815137225014E-10</v>
      </c>
      <c r="P32" s="40">
        <f t="shared" si="8"/>
        <v>1.8159359337603615E-5</v>
      </c>
      <c r="Q32" s="40">
        <f t="shared" si="9"/>
        <v>1.3401255935113596E-3</v>
      </c>
      <c r="R32" s="9">
        <f t="shared" si="14"/>
        <v>3.9999999999999996E-5</v>
      </c>
      <c r="S32" s="9">
        <f t="shared" si="10"/>
        <v>1.9926245047312748E-7</v>
      </c>
      <c r="T32" s="9">
        <f t="shared" si="11"/>
        <v>4.8606107876566203E-9</v>
      </c>
      <c r="U32" s="9">
        <f t="shared" si="12"/>
        <v>3.9800737549526869E-5</v>
      </c>
      <c r="V32" s="102">
        <f t="shared" si="13"/>
        <v>1.221236360659955E-4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123</v>
      </c>
      <c r="C33" s="96" t="s">
        <v>124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3.4646398062685493</v>
      </c>
      <c r="J33" s="94">
        <f t="shared" si="2"/>
        <v>4.6975737297600579</v>
      </c>
      <c r="K33" s="95">
        <f t="shared" si="3"/>
        <v>3.3968153866277475E-4</v>
      </c>
      <c r="L33" s="95">
        <f t="shared" si="4"/>
        <v>4.6696601344775601E-3</v>
      </c>
      <c r="M33" s="95">
        <f t="shared" si="5"/>
        <v>0.99533033986552244</v>
      </c>
      <c r="N33" s="95">
        <f t="shared" si="6"/>
        <v>3.1790806326782725E-3</v>
      </c>
      <c r="O33" s="40">
        <f t="shared" si="7"/>
        <v>3.4154394491162603E-10</v>
      </c>
      <c r="P33" s="40">
        <f t="shared" si="8"/>
        <v>1.7022381520475461E-5</v>
      </c>
      <c r="Q33" s="40">
        <f t="shared" si="9"/>
        <v>1.158874989943105E-3</v>
      </c>
      <c r="R33" s="9">
        <f t="shared" si="14"/>
        <v>3.9999999999999996E-5</v>
      </c>
      <c r="S33" s="9">
        <f t="shared" si="10"/>
        <v>1.8678640537910238E-7</v>
      </c>
      <c r="T33" s="9">
        <f t="shared" si="11"/>
        <v>1.3587261546510988E-8</v>
      </c>
      <c r="U33" s="9">
        <f t="shared" si="12"/>
        <v>3.9813213594620892E-5</v>
      </c>
      <c r="V33" s="102">
        <f t="shared" si="13"/>
        <v>3.4127517775522508E-4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125</v>
      </c>
      <c r="C34" s="46" t="s">
        <v>126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3.4579829545014036</v>
      </c>
      <c r="J34" s="94">
        <f t="shared" si="2"/>
        <v>4.7102525015633843</v>
      </c>
      <c r="K34" s="95">
        <f t="shared" si="3"/>
        <v>3.4485495838001241E-4</v>
      </c>
      <c r="L34" s="95">
        <f t="shared" si="4"/>
        <v>4.8812221744646313E-3</v>
      </c>
      <c r="M34" s="95">
        <f t="shared" si="5"/>
        <v>0.99511877782553537</v>
      </c>
      <c r="N34" s="95">
        <f t="shared" si="6"/>
        <v>3.5169328313315244E-3</v>
      </c>
      <c r="O34" s="40">
        <f t="shared" si="7"/>
        <v>3.4674572945919047E-10</v>
      </c>
      <c r="P34" s="40">
        <f t="shared" si="8"/>
        <v>1.7793591770514973E-5</v>
      </c>
      <c r="Q34" s="40">
        <f t="shared" si="9"/>
        <v>1.2820327542640098E-3</v>
      </c>
      <c r="R34" s="9">
        <f t="shared" si="14"/>
        <v>3.9999999999999996E-5</v>
      </c>
      <c r="S34" s="9">
        <f t="shared" si="10"/>
        <v>1.9524888697858522E-7</v>
      </c>
      <c r="T34" s="9">
        <f t="shared" si="11"/>
        <v>1.3794198335200495E-8</v>
      </c>
      <c r="U34" s="9">
        <f t="shared" si="12"/>
        <v>3.980475111302141E-5</v>
      </c>
      <c r="V34" s="102">
        <f t="shared" si="13"/>
        <v>3.4654652898176192E-4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127</v>
      </c>
      <c r="C35" s="46" t="s">
        <v>128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0.62193942428688143</v>
      </c>
      <c r="J35" s="94">
        <f t="shared" si="2"/>
        <v>1.6372026725125763</v>
      </c>
      <c r="K35" s="95">
        <f t="shared" si="3"/>
        <v>0.23690405977069903</v>
      </c>
      <c r="L35" s="95">
        <f t="shared" si="4"/>
        <v>2.8340974214183133E-3</v>
      </c>
      <c r="M35" s="95">
        <f t="shared" si="5"/>
        <v>0.99716590257858173</v>
      </c>
      <c r="N35" s="95">
        <f t="shared" si="6"/>
        <v>1.1622247038726176E-3</v>
      </c>
      <c r="O35" s="40">
        <f t="shared" si="7"/>
        <v>2.3820295756488623E-7</v>
      </c>
      <c r="P35" s="40">
        <f t="shared" si="8"/>
        <v>1.0331177469937138E-5</v>
      </c>
      <c r="Q35" s="40">
        <f t="shared" si="9"/>
        <v>4.2366749939189526E-4</v>
      </c>
      <c r="R35" s="9">
        <f t="shared" si="14"/>
        <v>3.9999999999999996E-5</v>
      </c>
      <c r="S35" s="9">
        <f t="shared" si="10"/>
        <v>1.1336389685673252E-7</v>
      </c>
      <c r="T35" s="9">
        <f t="shared" si="11"/>
        <v>9.4761623908279613E-6</v>
      </c>
      <c r="U35" s="9">
        <f t="shared" si="12"/>
        <v>3.9886636103143267E-5</v>
      </c>
      <c r="V35" s="102">
        <f t="shared" si="13"/>
        <v>0.23757737720281685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6.3597288158186656</v>
      </c>
      <c r="J36" s="94">
        <f t="shared" si="2"/>
        <v>7.7589368452238956</v>
      </c>
      <c r="K36" s="95">
        <f t="shared" si="3"/>
        <v>4.3155678824775103E-7</v>
      </c>
      <c r="L36" s="95">
        <f t="shared" si="4"/>
        <v>6.8330468239382108E-3</v>
      </c>
      <c r="M36" s="95">
        <f t="shared" si="5"/>
        <v>0.99316695317606174</v>
      </c>
      <c r="N36" s="95">
        <f t="shared" si="6"/>
        <v>6.6323670272330094E-3</v>
      </c>
      <c r="O36" s="40">
        <f t="shared" si="7"/>
        <v>4.3392292819851447E-13</v>
      </c>
      <c r="P36" s="40">
        <f t="shared" si="8"/>
        <v>2.4908607186540487E-5</v>
      </c>
      <c r="Q36" s="40">
        <f t="shared" si="9"/>
        <v>2.4177066139742282E-3</v>
      </c>
      <c r="R36" s="9">
        <f t="shared" si="14"/>
        <v>3.9999999999999996E-5</v>
      </c>
      <c r="S36" s="9">
        <f t="shared" si="10"/>
        <v>2.7332187295752842E-7</v>
      </c>
      <c r="T36" s="9">
        <f t="shared" si="11"/>
        <v>1.726227152991004E-11</v>
      </c>
      <c r="U36" s="9">
        <f t="shared" si="12"/>
        <v>3.9726678127042467E-5</v>
      </c>
      <c r="V36" s="102">
        <f t="shared" si="13"/>
        <v>4.3452592423425877E-7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129</v>
      </c>
      <c r="C37" s="96" t="s">
        <v>130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2.0466328175843658</v>
      </c>
      <c r="J37" s="94">
        <f t="shared" si="2"/>
        <v>3.2768864285866708</v>
      </c>
      <c r="K37" s="95">
        <f t="shared" si="3"/>
        <v>8.8938829706883687E-3</v>
      </c>
      <c r="L37" s="95">
        <f t="shared" si="4"/>
        <v>4.6410627282184157E-3</v>
      </c>
      <c r="M37" s="95">
        <f t="shared" si="5"/>
        <v>0.9953589372717816</v>
      </c>
      <c r="N37" s="95">
        <f t="shared" si="6"/>
        <v>3.166474607969599E-3</v>
      </c>
      <c r="O37" s="40">
        <f t="shared" si="7"/>
        <v>8.9426463603219931E-9</v>
      </c>
      <c r="P37" s="40">
        <f t="shared" si="8"/>
        <v>1.6918134970229749E-5</v>
      </c>
      <c r="Q37" s="40">
        <f t="shared" si="9"/>
        <v>1.1542796970124003E-3</v>
      </c>
      <c r="R37" s="9">
        <f t="shared" si="14"/>
        <v>3.9999999999999996E-5</v>
      </c>
      <c r="S37" s="9">
        <f t="shared" si="10"/>
        <v>1.856425091287366E-7</v>
      </c>
      <c r="T37" s="9">
        <f t="shared" si="11"/>
        <v>3.5575531882753474E-7</v>
      </c>
      <c r="U37" s="9">
        <f t="shared" si="12"/>
        <v>3.9814357490871258E-5</v>
      </c>
      <c r="V37" s="102">
        <f t="shared" si="13"/>
        <v>8.9353525021495881E-3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131</v>
      </c>
      <c r="C38" s="46" t="s">
        <v>132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0.75425121724867172</v>
      </c>
      <c r="J38" s="94">
        <f t="shared" si="2"/>
        <v>1.849020080439971</v>
      </c>
      <c r="K38" s="95">
        <f t="shared" si="3"/>
        <v>0.17458764645108266</v>
      </c>
      <c r="L38" s="95">
        <f t="shared" si="4"/>
        <v>3.4015212633045277E-3</v>
      </c>
      <c r="M38" s="95">
        <f t="shared" si="5"/>
        <v>0.99659847873669549</v>
      </c>
      <c r="N38" s="95">
        <f t="shared" si="6"/>
        <v>1.8274777991170597E-3</v>
      </c>
      <c r="O38" s="40">
        <f t="shared" si="7"/>
        <v>1.7554487575769368E-7</v>
      </c>
      <c r="P38" s="40">
        <f t="shared" si="8"/>
        <v>1.2399616037679222E-5</v>
      </c>
      <c r="Q38" s="40">
        <f t="shared" si="9"/>
        <v>6.6617319935318429E-4</v>
      </c>
      <c r="R38" s="9">
        <f t="shared" si="14"/>
        <v>3.9999999999999996E-5</v>
      </c>
      <c r="S38" s="9">
        <f t="shared" si="10"/>
        <v>1.3606085053218109E-7</v>
      </c>
      <c r="T38" s="9">
        <f t="shared" si="11"/>
        <v>6.9835058580433054E-6</v>
      </c>
      <c r="U38" s="9">
        <f t="shared" si="12"/>
        <v>3.9863939149467816E-5</v>
      </c>
      <c r="V38" s="102">
        <f t="shared" si="13"/>
        <v>0.17518353697709113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-1.6810051832329899E-4</v>
      </c>
      <c r="J39" s="94">
        <f t="shared" si="2"/>
        <v>-4.2614210599769241E-3</v>
      </c>
      <c r="K39" s="95">
        <f t="shared" si="3"/>
        <v>0.99493468629200621</v>
      </c>
      <c r="L39" s="95">
        <f t="shared" si="4"/>
        <v>2.7175200064674573E-4</v>
      </c>
      <c r="M39" s="95">
        <f t="shared" si="5"/>
        <v>0.99972824799935323</v>
      </c>
      <c r="N39" s="95">
        <f t="shared" si="6"/>
        <v>1.3292943875838768E-7</v>
      </c>
      <c r="O39" s="40">
        <f t="shared" si="7"/>
        <v>1.0003897150941122E-6</v>
      </c>
      <c r="P39" s="40">
        <f t="shared" si="8"/>
        <v>9.9062160858499708E-7</v>
      </c>
      <c r="Q39" s="40">
        <f t="shared" si="9"/>
        <v>4.8456965960780982E-8</v>
      </c>
      <c r="R39" s="9">
        <f t="shared" si="14"/>
        <v>3.9999999999999996E-5</v>
      </c>
      <c r="S39" s="9">
        <f t="shared" si="10"/>
        <v>1.0870080025869829E-8</v>
      </c>
      <c r="T39" s="9">
        <f t="shared" si="11"/>
        <v>3.9797387451680242E-5</v>
      </c>
      <c r="U39" s="9">
        <f t="shared" si="12"/>
        <v>3.9989129919974125E-5</v>
      </c>
      <c r="V39" s="102">
        <f t="shared" si="13"/>
        <v>0.99520513527857213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133</v>
      </c>
      <c r="C40" s="46" t="s">
        <v>134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1.0570731161685156</v>
      </c>
      <c r="J40" s="94">
        <f t="shared" si="2"/>
        <v>2.1415977618226001</v>
      </c>
      <c r="K40" s="95">
        <f t="shared" si="3"/>
        <v>8.6941284249343387E-2</v>
      </c>
      <c r="L40" s="95">
        <f t="shared" si="4"/>
        <v>3.3224879316430104E-3</v>
      </c>
      <c r="M40" s="95">
        <f t="shared" si="5"/>
        <v>0.99667751206835697</v>
      </c>
      <c r="N40" s="95">
        <f t="shared" si="6"/>
        <v>1.3625443597038457E-3</v>
      </c>
      <c r="O40" s="40">
        <f t="shared" si="7"/>
        <v>8.7417966001629855E-8</v>
      </c>
      <c r="P40" s="40">
        <f t="shared" si="8"/>
        <v>1.2111514658642328E-5</v>
      </c>
      <c r="Q40" s="40">
        <f t="shared" si="9"/>
        <v>4.9669032138343608E-4</v>
      </c>
      <c r="R40" s="9">
        <f t="shared" si="14"/>
        <v>3.9999999999999996E-5</v>
      </c>
      <c r="S40" s="9">
        <f t="shared" si="10"/>
        <v>1.328995172657204E-7</v>
      </c>
      <c r="T40" s="9">
        <f t="shared" si="11"/>
        <v>3.4776513699737354E-6</v>
      </c>
      <c r="U40" s="9">
        <f t="shared" si="12"/>
        <v>3.9867100482734278E-5</v>
      </c>
      <c r="V40" s="102">
        <f t="shared" si="13"/>
        <v>8.7231108554780487E-2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135</v>
      </c>
      <c r="C41" s="96" t="s">
        <v>136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1.1393826628828596</v>
      </c>
      <c r="J41" s="94">
        <f t="shared" si="2"/>
        <v>2.2248030285357943</v>
      </c>
      <c r="K41" s="95">
        <f t="shared" si="3"/>
        <v>7.1930573887606097E-2</v>
      </c>
      <c r="L41" s="95">
        <f t="shared" si="4"/>
        <v>3.3293247019458038E-3</v>
      </c>
      <c r="M41" s="95">
        <f t="shared" si="5"/>
        <v>0.9966706752980542</v>
      </c>
      <c r="N41" s="95">
        <f t="shared" si="6"/>
        <v>1.3154493312593431E-3</v>
      </c>
      <c r="O41" s="40">
        <f t="shared" si="7"/>
        <v>7.232495490348089E-8</v>
      </c>
      <c r="P41" s="40">
        <f t="shared" si="8"/>
        <v>1.2136436839081701E-5</v>
      </c>
      <c r="Q41" s="40">
        <f t="shared" si="9"/>
        <v>4.7952270063988364E-4</v>
      </c>
      <c r="R41" s="9">
        <f t="shared" si="14"/>
        <v>3.9999999999999996E-5</v>
      </c>
      <c r="S41" s="9">
        <f t="shared" si="10"/>
        <v>1.3317298807783214E-7</v>
      </c>
      <c r="T41" s="9">
        <f t="shared" si="11"/>
        <v>2.8772229555042435E-6</v>
      </c>
      <c r="U41" s="9">
        <f t="shared" si="12"/>
        <v>3.9866827011922161E-5</v>
      </c>
      <c r="V41" s="102">
        <f t="shared" si="13"/>
        <v>7.2170854094904785E-2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137</v>
      </c>
      <c r="C42" s="46" t="s">
        <v>138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2.466507651261447</v>
      </c>
      <c r="J42" s="94">
        <f t="shared" si="2"/>
        <v>3.7475217398878207</v>
      </c>
      <c r="K42" s="95">
        <f t="shared" si="3"/>
        <v>3.3803895171170889E-3</v>
      </c>
      <c r="L42" s="95">
        <f t="shared" si="4"/>
        <v>5.2134844840935769E-3</v>
      </c>
      <c r="M42" s="95">
        <f t="shared" si="5"/>
        <v>0.99478651551590647</v>
      </c>
      <c r="N42" s="95">
        <f t="shared" si="6"/>
        <v>4.0592364110327468E-3</v>
      </c>
      <c r="O42" s="40">
        <f t="shared" si="7"/>
        <v>3.3989235198333223E-9</v>
      </c>
      <c r="P42" s="40">
        <f t="shared" si="8"/>
        <v>1.9004792508148742E-5</v>
      </c>
      <c r="Q42" s="40">
        <f t="shared" si="9"/>
        <v>1.4797194845130959E-3</v>
      </c>
      <c r="R42" s="9">
        <f t="shared" si="14"/>
        <v>3.9999999999999996E-5</v>
      </c>
      <c r="S42" s="9">
        <f t="shared" si="10"/>
        <v>2.0853937936374306E-7</v>
      </c>
      <c r="T42" s="9">
        <f t="shared" si="11"/>
        <v>1.3521558068468354E-7</v>
      </c>
      <c r="U42" s="9">
        <f t="shared" si="12"/>
        <v>3.9791460620636257E-5</v>
      </c>
      <c r="V42" s="102">
        <f t="shared" si="13"/>
        <v>3.3981054873507047E-3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139</v>
      </c>
      <c r="C43" s="46" t="s">
        <v>140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2.2273249528367836</v>
      </c>
      <c r="J43" s="94">
        <f t="shared" si="2"/>
        <v>3.4655852041320223</v>
      </c>
      <c r="K43" s="95">
        <f t="shared" si="3"/>
        <v>5.8662662861391768E-3</v>
      </c>
      <c r="L43" s="95">
        <f t="shared" si="4"/>
        <v>4.7270106012032411E-3</v>
      </c>
      <c r="M43" s="95">
        <f t="shared" si="5"/>
        <v>0.99527298939879671</v>
      </c>
      <c r="N43" s="95">
        <f t="shared" si="6"/>
        <v>3.292019296122526E-3</v>
      </c>
      <c r="O43" s="40">
        <f t="shared" si="7"/>
        <v>5.898429856263538E-9</v>
      </c>
      <c r="P43" s="40">
        <f t="shared" si="8"/>
        <v>1.7231442029563473E-5</v>
      </c>
      <c r="Q43" s="40">
        <f t="shared" si="9"/>
        <v>1.2000446888547312E-3</v>
      </c>
      <c r="R43" s="9">
        <f t="shared" si="14"/>
        <v>3.9999999999999996E-5</v>
      </c>
      <c r="S43" s="9">
        <f t="shared" si="10"/>
        <v>1.8908042404812963E-7</v>
      </c>
      <c r="T43" s="9">
        <f t="shared" si="11"/>
        <v>2.3465065144556705E-7</v>
      </c>
      <c r="U43" s="9">
        <f t="shared" si="12"/>
        <v>3.9810919575951864E-5</v>
      </c>
      <c r="V43" s="102">
        <f t="shared" si="13"/>
        <v>5.894127891165564E-3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0.70532975413914478</v>
      </c>
      <c r="J44" s="94">
        <f t="shared" si="2"/>
        <v>1.7919988422958726</v>
      </c>
      <c r="K44" s="95">
        <f t="shared" si="3"/>
        <v>0.19541696798261315</v>
      </c>
      <c r="L44" s="95">
        <f t="shared" si="4"/>
        <v>3.3388792424967608E-3</v>
      </c>
      <c r="M44" s="95">
        <f t="shared" si="5"/>
        <v>0.99666112075750324</v>
      </c>
      <c r="N44" s="95">
        <f t="shared" si="6"/>
        <v>1.8079477281227661E-3</v>
      </c>
      <c r="O44" s="40">
        <f t="shared" si="7"/>
        <v>1.9648840031224499E-7</v>
      </c>
      <c r="P44" s="40">
        <f t="shared" si="8"/>
        <v>1.2171266147816699E-5</v>
      </c>
      <c r="Q44" s="40">
        <f t="shared" si="9"/>
        <v>6.5905387353475348E-4</v>
      </c>
      <c r="R44" s="9">
        <f t="shared" si="14"/>
        <v>3.9999999999999996E-5</v>
      </c>
      <c r="S44" s="9">
        <f t="shared" si="10"/>
        <v>1.3355516969987043E-7</v>
      </c>
      <c r="T44" s="9">
        <f t="shared" si="11"/>
        <v>7.8166787193045249E-6</v>
      </c>
      <c r="U44" s="9">
        <f t="shared" si="12"/>
        <v>3.9866444830300125E-5</v>
      </c>
      <c r="V44" s="102">
        <f t="shared" si="13"/>
        <v>0.19607162746961401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141</v>
      </c>
      <c r="C45" s="46" t="s">
        <v>142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2.3272580136650043</v>
      </c>
      <c r="J45" s="94">
        <f t="shared" si="2"/>
        <v>3.5094172504294607</v>
      </c>
      <c r="K45" s="95">
        <f t="shared" si="3"/>
        <v>4.663130391923594E-3</v>
      </c>
      <c r="L45" s="95">
        <f t="shared" si="4"/>
        <v>4.156563399900344E-3</v>
      </c>
      <c r="M45" s="95">
        <f t="shared" si="5"/>
        <v>0.99584343660009966</v>
      </c>
      <c r="N45" s="95">
        <f t="shared" si="6"/>
        <v>2.3764526127180159E-3</v>
      </c>
      <c r="O45" s="40">
        <f t="shared" si="7"/>
        <v>4.6886974074738524E-9</v>
      </c>
      <c r="P45" s="40">
        <f t="shared" si="8"/>
        <v>1.5151982364785991E-5</v>
      </c>
      <c r="Q45" s="40">
        <f t="shared" si="9"/>
        <v>8.662918044150677E-4</v>
      </c>
      <c r="R45" s="9">
        <f t="shared" si="14"/>
        <v>3.9999999999999996E-5</v>
      </c>
      <c r="S45" s="9">
        <f t="shared" si="10"/>
        <v>1.6626253599601375E-7</v>
      </c>
      <c r="T45" s="9">
        <f t="shared" si="11"/>
        <v>1.8652521567694375E-7</v>
      </c>
      <c r="U45" s="9">
        <f t="shared" si="12"/>
        <v>3.9833737464003983E-5</v>
      </c>
      <c r="V45" s="102">
        <f t="shared" si="13"/>
        <v>4.6825938903046309E-3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0.64458903464573347</v>
      </c>
      <c r="J46" s="94">
        <f t="shared" si="2"/>
        <v>1.7105800211348248</v>
      </c>
      <c r="K46" s="95">
        <f t="shared" si="3"/>
        <v>0.22478660037793483</v>
      </c>
      <c r="L46" s="95">
        <f t="shared" si="4"/>
        <v>3.1841244937720974E-3</v>
      </c>
      <c r="M46" s="95">
        <f t="shared" si="5"/>
        <v>0.99681587550622786</v>
      </c>
      <c r="N46" s="95">
        <f t="shared" si="6"/>
        <v>1.6743336995384058E-3</v>
      </c>
      <c r="O46" s="40">
        <f t="shared" si="7"/>
        <v>2.2601906055475215E-7</v>
      </c>
      <c r="P46" s="40">
        <f t="shared" si="8"/>
        <v>1.1607136361272553E-5</v>
      </c>
      <c r="Q46" s="40">
        <f t="shared" si="9"/>
        <v>6.1034735302680735E-4</v>
      </c>
      <c r="R46" s="9">
        <f t="shared" si="14"/>
        <v>3.9999999999999996E-5</v>
      </c>
      <c r="S46" s="9">
        <f t="shared" si="10"/>
        <v>1.2736497975088389E-7</v>
      </c>
      <c r="T46" s="9">
        <f t="shared" si="11"/>
        <v>8.9914640151173918E-6</v>
      </c>
      <c r="U46" s="9">
        <f t="shared" si="12"/>
        <v>3.9872635020249113E-5</v>
      </c>
      <c r="V46" s="102">
        <f t="shared" si="13"/>
        <v>0.22550463521036732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143</v>
      </c>
      <c r="C47" s="46" t="s">
        <v>144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1.6299602750984028</v>
      </c>
      <c r="J47" s="94">
        <f t="shared" si="2"/>
        <v>2.7189105100885862</v>
      </c>
      <c r="K47" s="95">
        <f t="shared" si="3"/>
        <v>2.3244708979355332E-2</v>
      </c>
      <c r="L47" s="95">
        <f t="shared" si="4"/>
        <v>3.3564039426131451E-3</v>
      </c>
      <c r="M47" s="95">
        <f t="shared" si="5"/>
        <v>0.99664359605738684</v>
      </c>
      <c r="N47" s="95">
        <f t="shared" si="6"/>
        <v>1.170533136157463E-3</v>
      </c>
      <c r="O47" s="40">
        <f t="shared" si="7"/>
        <v>2.3372155090869975E-8</v>
      </c>
      <c r="P47" s="40">
        <f t="shared" si="8"/>
        <v>1.2235149197722304E-5</v>
      </c>
      <c r="Q47" s="40">
        <f t="shared" si="9"/>
        <v>4.2669618456633559E-4</v>
      </c>
      <c r="R47" s="9">
        <f t="shared" si="14"/>
        <v>3.9999999999999996E-5</v>
      </c>
      <c r="S47" s="9">
        <f t="shared" si="10"/>
        <v>1.3425615770452579E-7</v>
      </c>
      <c r="T47" s="9">
        <f t="shared" si="11"/>
        <v>9.2978835917421318E-7</v>
      </c>
      <c r="U47" s="9">
        <f t="shared" si="12"/>
        <v>3.9865743842295469E-5</v>
      </c>
      <c r="V47" s="102">
        <f t="shared" si="13"/>
        <v>2.3322990356140209E-2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145</v>
      </c>
      <c r="C48" s="46" t="s">
        <v>146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0.90809484007231756</v>
      </c>
      <c r="K48" s="95">
        <f t="shared" ref="K48:K50" si="17">IF(D48=0,"",1/(1+10^D48*$J$15/$J$14+10^E48*$J$16/$J$14+10^J48*$J$19/$J$14))</f>
        <v>0.62834293806048991</v>
      </c>
      <c r="L48" s="95">
        <f t="shared" ref="L48:L50" si="18">IF(D48=0,"",1/(1+10^I48/10^J48*$J$13/$J$19))</f>
        <v>1.4025914194644318E-3</v>
      </c>
      <c r="M48" s="95">
        <f t="shared" ref="M48:M92" si="19">IF(D48=0,"",1-L48)</f>
        <v>0.99859740858053558</v>
      </c>
      <c r="N48" s="95">
        <f t="shared" ref="N48:N50" si="20">IF(D48=0,"",1/(1/10^E48*$J$20/$J$22+10^D48/10^E48*$J$21/$J$22+10^I48/10^E48*$J$13/$J$22+1))</f>
        <v>3.8913324677052703E-4</v>
      </c>
      <c r="O48" s="40">
        <f t="shared" ref="O48:O92" si="21">IF(D48=0,"",F48*K48*$J$7/$J$14)</f>
        <v>6.3178801729226763E-7</v>
      </c>
      <c r="P48" s="40">
        <f t="shared" ref="P48:P50" si="22">IF(D48=0,"",O48*10^J48)</f>
        <v>5.112887356231534E-6</v>
      </c>
      <c r="Q48" s="40">
        <f t="shared" ref="Q48:Q50" si="23">IF(D48=0,"",F48*N48*$J$7/$J$22)</f>
        <v>1.4185132103988372E-4</v>
      </c>
      <c r="R48" s="9">
        <f t="shared" si="14"/>
        <v>3.9999999999999996E-5</v>
      </c>
      <c r="S48" s="9">
        <f t="shared" si="10"/>
        <v>5.6103656778577267E-8</v>
      </c>
      <c r="T48" s="9">
        <f t="shared" si="11"/>
        <v>2.5133717522419594E-5</v>
      </c>
      <c r="U48" s="9">
        <f t="shared" si="12"/>
        <v>3.9943896343221421E-5</v>
      </c>
      <c r="V48" s="102">
        <f t="shared" si="13"/>
        <v>0.62922548432571346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147</v>
      </c>
      <c r="C49" s="46" t="s">
        <v>148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6.5352597387686409E-2</v>
      </c>
      <c r="J49" s="94">
        <f t="shared" si="16"/>
        <v>0.48153000113979572</v>
      </c>
      <c r="K49" s="95">
        <f t="shared" si="17"/>
        <v>0.85522683240932396</v>
      </c>
      <c r="L49" s="95">
        <f t="shared" si="18"/>
        <v>7.1490925377999009E-4</v>
      </c>
      <c r="M49" s="95">
        <f t="shared" si="19"/>
        <v>0.99928509074621996</v>
      </c>
      <c r="N49" s="95">
        <f t="shared" si="20"/>
        <v>1.6785447246407402E-4</v>
      </c>
      <c r="O49" s="40">
        <f t="shared" si="21"/>
        <v>8.5991587086320851E-7</v>
      </c>
      <c r="P49" s="40">
        <f t="shared" si="22"/>
        <v>2.6060693326502452E-6</v>
      </c>
      <c r="Q49" s="40">
        <f t="shared" si="23"/>
        <v>6.1188240426865223E-5</v>
      </c>
      <c r="R49" s="9">
        <f t="shared" si="14"/>
        <v>3.9999999999999996E-5</v>
      </c>
      <c r="S49" s="9">
        <f t="shared" si="10"/>
        <v>2.8596370151199602E-8</v>
      </c>
      <c r="T49" s="9">
        <f t="shared" si="11"/>
        <v>3.4209073296372956E-5</v>
      </c>
      <c r="U49" s="9">
        <f t="shared" si="12"/>
        <v>3.9971403629848797E-5</v>
      </c>
      <c r="V49" s="102">
        <f t="shared" si="13"/>
        <v>0.85583867940097058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149</v>
      </c>
      <c r="C50" s="46" t="s">
        <v>150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151</v>
      </c>
      <c r="C51" s="46" t="s">
        <v>152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153</v>
      </c>
      <c r="C52" s="46" t="s">
        <v>154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155</v>
      </c>
      <c r="C53" s="46" t="s">
        <v>156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157</v>
      </c>
      <c r="C54" s="46" t="s">
        <v>158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159</v>
      </c>
      <c r="C55" s="46" t="s">
        <v>160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161</v>
      </c>
      <c r="C56" s="46" t="s">
        <v>162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3.7217650281818146E-4</v>
      </c>
      <c r="J57" s="54">
        <f t="shared" si="25"/>
        <v>4.1938241790910741E-3</v>
      </c>
      <c r="K57" s="55">
        <f t="shared" si="26"/>
        <v>0.99369275693795289</v>
      </c>
      <c r="L57" s="55">
        <f t="shared" si="27"/>
        <v>2.767486733350064E-4</v>
      </c>
      <c r="M57" s="55">
        <f t="shared" si="28"/>
        <v>0.99972325132666495</v>
      </c>
      <c r="N57" s="55">
        <f t="shared" si="29"/>
        <v>3.3121326625102142E-6</v>
      </c>
      <c r="O57" s="56">
        <f t="shared" si="30"/>
        <v>9.99140976488668E-7</v>
      </c>
      <c r="P57" s="56">
        <f t="shared" si="31"/>
        <v>1.0088360538300641E-6</v>
      </c>
      <c r="Q57" s="56">
        <f t="shared" si="32"/>
        <v>1.207376644210207E-6</v>
      </c>
      <c r="R57" s="9">
        <f t="shared" ref="R57:R58" si="33">F57*$C$14</f>
        <v>3.9999999999999996E-5</v>
      </c>
      <c r="S57" s="9">
        <f t="shared" ref="S57:S58" si="34">$R57*L57</f>
        <v>1.1069946933400255E-8</v>
      </c>
      <c r="T57" s="9">
        <f t="shared" ref="T57:T58" si="35">R57*K57</f>
        <v>3.9747710277518114E-5</v>
      </c>
      <c r="U57" s="9">
        <f t="shared" ref="U57:U58" si="36">$R57*M57</f>
        <v>3.9988930053066595E-5</v>
      </c>
      <c r="V57" s="102">
        <f t="shared" ref="V57:V58" si="37">K57/M57</f>
        <v>0.99396783621796392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163</v>
      </c>
      <c r="C58" s="46" t="s">
        <v>164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0.27242732253974722</v>
      </c>
      <c r="J58" s="54">
        <f t="shared" si="25"/>
        <v>1.0781066295666415</v>
      </c>
      <c r="K58" s="55">
        <f t="shared" si="26"/>
        <v>0.53034202285361387</v>
      </c>
      <c r="L58" s="55">
        <f t="shared" si="27"/>
        <v>1.7510650083862028E-3</v>
      </c>
      <c r="M58" s="55">
        <f t="shared" si="28"/>
        <v>0.99824893499161382</v>
      </c>
      <c r="N58" s="55">
        <f t="shared" si="29"/>
        <v>5.668454174554829E-4</v>
      </c>
      <c r="O58" s="56">
        <f t="shared" si="30"/>
        <v>5.3324978257844123E-7</v>
      </c>
      <c r="P58" s="56">
        <f t="shared" si="31"/>
        <v>6.3831833113137913E-6</v>
      </c>
      <c r="Q58" s="56">
        <f t="shared" si="32"/>
        <v>2.0663300285642594E-4</v>
      </c>
      <c r="R58" s="9">
        <f t="shared" si="33"/>
        <v>3.9999999999999996E-5</v>
      </c>
      <c r="S58" s="9">
        <f t="shared" si="34"/>
        <v>7.0042600335448108E-8</v>
      </c>
      <c r="T58" s="9">
        <f t="shared" si="35"/>
        <v>2.1213680914144552E-5</v>
      </c>
      <c r="U58" s="9">
        <f t="shared" si="36"/>
        <v>3.9929957399664549E-5</v>
      </c>
      <c r="V58" s="102">
        <f t="shared" si="37"/>
        <v>0.53127231521471063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165</v>
      </c>
      <c r="C59" s="46" t="s">
        <v>166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0.35062624883359406</v>
      </c>
      <c r="J60" s="54">
        <f t="shared" si="25"/>
        <v>1.1895891343934544</v>
      </c>
      <c r="K60" s="55">
        <f t="shared" si="26"/>
        <v>0.44289068435288476</v>
      </c>
      <c r="L60" s="55">
        <f t="shared" si="27"/>
        <v>1.8902762561250764E-3</v>
      </c>
      <c r="M60" s="55">
        <f t="shared" si="28"/>
        <v>0.99810972374387497</v>
      </c>
      <c r="N60" s="55">
        <f t="shared" si="29"/>
        <v>4.5116888917600475E-4</v>
      </c>
      <c r="O60" s="56">
        <f t="shared" si="30"/>
        <v>4.4531896579951262E-7</v>
      </c>
      <c r="P60" s="56">
        <f t="shared" si="31"/>
        <v>6.8906521426011564E-6</v>
      </c>
      <c r="Q60" s="56">
        <f t="shared" si="32"/>
        <v>1.6446526600553743E-4</v>
      </c>
      <c r="R60" s="9">
        <f t="shared" ref="R60:R65" si="38">F60*$C$14</f>
        <v>3.9999999999999996E-5</v>
      </c>
      <c r="S60" s="9">
        <f t="shared" ref="S60:S93" si="39">$R60*L60</f>
        <v>7.5611050245003046E-8</v>
      </c>
      <c r="T60" s="9">
        <f t="shared" ref="T60:T93" si="40">R60*K60</f>
        <v>1.7715627374115389E-5</v>
      </c>
      <c r="U60" s="9">
        <f t="shared" ref="U60:U93" si="41">$R60*M60</f>
        <v>3.9924388949754998E-5</v>
      </c>
      <c r="V60" s="102">
        <f t="shared" ref="V60:V93" si="42">K60/M60</f>
        <v>0.44372945560696186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1.0599296125914559</v>
      </c>
      <c r="J61" s="54">
        <f t="shared" si="25"/>
        <v>2.1143052627716603</v>
      </c>
      <c r="K61" s="55">
        <f t="shared" si="26"/>
        <v>8.6390569560861483E-2</v>
      </c>
      <c r="L61" s="55">
        <f t="shared" si="27"/>
        <v>3.1003533905557888E-3</v>
      </c>
      <c r="M61" s="55">
        <f t="shared" si="28"/>
        <v>0.99689964660944419</v>
      </c>
      <c r="N61" s="55">
        <f t="shared" si="29"/>
        <v>1.0057011262703055E-3</v>
      </c>
      <c r="O61" s="56">
        <f t="shared" si="30"/>
        <v>8.6864231854153497E-8</v>
      </c>
      <c r="P61" s="56">
        <f t="shared" si="31"/>
        <v>1.1301764313141974E-5</v>
      </c>
      <c r="Q61" s="56">
        <f t="shared" si="32"/>
        <v>3.6660972691667431E-4</v>
      </c>
      <c r="R61" s="9">
        <f t="shared" si="38"/>
        <v>3.9999999999999996E-5</v>
      </c>
      <c r="S61" s="9">
        <f t="shared" si="39"/>
        <v>1.2401413562223154E-7</v>
      </c>
      <c r="T61" s="9">
        <f t="shared" si="40"/>
        <v>3.4556227824344591E-6</v>
      </c>
      <c r="U61" s="9">
        <f t="shared" si="41"/>
        <v>3.9875985864377764E-5</v>
      </c>
      <c r="V61" s="102">
        <f t="shared" si="42"/>
        <v>8.6659243841327949E-2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167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0.76837016932652724</v>
      </c>
      <c r="J62" s="54">
        <f t="shared" si="25"/>
        <v>1.8115258470571185</v>
      </c>
      <c r="K62" s="55">
        <f t="shared" si="26"/>
        <v>0.16906749667629661</v>
      </c>
      <c r="L62" s="55">
        <f t="shared" si="27"/>
        <v>3.0215206628772116E-3</v>
      </c>
      <c r="M62" s="55">
        <f t="shared" si="28"/>
        <v>0.9969784793371228</v>
      </c>
      <c r="N62" s="55">
        <f t="shared" si="29"/>
        <v>1.1993411132463104E-3</v>
      </c>
      <c r="O62" s="56">
        <f t="shared" si="30"/>
        <v>1.6999446010070624E-7</v>
      </c>
      <c r="P62" s="56">
        <f t="shared" si="31"/>
        <v>1.1014394198786831E-5</v>
      </c>
      <c r="Q62" s="56">
        <f t="shared" si="32"/>
        <v>4.3719759928855152E-4</v>
      </c>
      <c r="R62" s="9">
        <f t="shared" si="38"/>
        <v>3.9999999999999996E-5</v>
      </c>
      <c r="S62" s="9">
        <f t="shared" si="39"/>
        <v>1.2086082651508845E-7</v>
      </c>
      <c r="T62" s="9">
        <f t="shared" si="40"/>
        <v>6.7626998670518639E-6</v>
      </c>
      <c r="U62" s="9">
        <f t="shared" si="41"/>
        <v>3.9879139173484906E-5</v>
      </c>
      <c r="V62" s="102">
        <f t="shared" si="42"/>
        <v>0.16957988580526559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0.7211484450377651</v>
      </c>
      <c r="J63" s="54">
        <f t="shared" si="25"/>
        <v>1.749094784631535</v>
      </c>
      <c r="K63" s="55">
        <f t="shared" si="26"/>
        <v>0.18850679467175069</v>
      </c>
      <c r="L63" s="55">
        <f t="shared" si="27"/>
        <v>2.9178394562515931E-3</v>
      </c>
      <c r="M63" s="55">
        <f t="shared" si="28"/>
        <v>0.99708216054374843</v>
      </c>
      <c r="N63" s="55">
        <f t="shared" si="29"/>
        <v>1.1089056801624876E-3</v>
      </c>
      <c r="O63" s="56">
        <f t="shared" si="30"/>
        <v>1.895403398968744E-7</v>
      </c>
      <c r="P63" s="56">
        <f t="shared" si="31"/>
        <v>1.0636443554658852E-5</v>
      </c>
      <c r="Q63" s="56">
        <f t="shared" si="32"/>
        <v>4.0423103639982663E-4</v>
      </c>
      <c r="R63" s="9">
        <f t="shared" si="38"/>
        <v>3.9999999999999996E-5</v>
      </c>
      <c r="S63" s="9">
        <f t="shared" si="39"/>
        <v>1.1671357825006371E-7</v>
      </c>
      <c r="T63" s="9">
        <f t="shared" si="40"/>
        <v>7.5402717868700269E-6</v>
      </c>
      <c r="U63" s="9">
        <f t="shared" si="41"/>
        <v>3.9883286421749935E-5</v>
      </c>
      <c r="V63" s="102">
        <f t="shared" si="42"/>
        <v>0.18905843683829471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0.2338148544799136</v>
      </c>
      <c r="J64" s="54">
        <f t="shared" si="25"/>
        <v>1.0148712383242999</v>
      </c>
      <c r="K64" s="55">
        <f t="shared" si="26"/>
        <v>0.57970951372277857</v>
      </c>
      <c r="L64" s="55">
        <f t="shared" si="27"/>
        <v>1.6547076139989457E-3</v>
      </c>
      <c r="M64" s="55">
        <f t="shared" si="28"/>
        <v>0.998345292386001</v>
      </c>
      <c r="N64" s="55">
        <f t="shared" si="29"/>
        <v>6.0376930052281571E-4</v>
      </c>
      <c r="O64" s="56">
        <f t="shared" si="30"/>
        <v>5.8288794557140394E-7</v>
      </c>
      <c r="P64" s="56">
        <f t="shared" si="31"/>
        <v>6.0319302688346475E-6</v>
      </c>
      <c r="Q64" s="56">
        <f t="shared" si="32"/>
        <v>2.2009292085236121E-4</v>
      </c>
      <c r="R64" s="9">
        <f t="shared" si="38"/>
        <v>3.9999999999999996E-5</v>
      </c>
      <c r="S64" s="9">
        <f t="shared" si="39"/>
        <v>6.6188304559957826E-8</v>
      </c>
      <c r="T64" s="9">
        <f t="shared" si="40"/>
        <v>2.3188380548911141E-5</v>
      </c>
      <c r="U64" s="9">
        <f t="shared" si="41"/>
        <v>3.9933811695440034E-5</v>
      </c>
      <c r="V64" s="102">
        <f t="shared" si="42"/>
        <v>0.5806703533777362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168</v>
      </c>
      <c r="C65" s="46" t="s">
        <v>169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1.2834731216469764</v>
      </c>
      <c r="J65" s="54">
        <f t="shared" si="25"/>
        <v>2.4171487022124163</v>
      </c>
      <c r="K65" s="55">
        <f t="shared" si="26"/>
        <v>5.1600412927296432E-2</v>
      </c>
      <c r="L65" s="55">
        <f t="shared" si="27"/>
        <v>3.7191310220924582E-3</v>
      </c>
      <c r="M65" s="55">
        <f t="shared" si="28"/>
        <v>0.99628086897790757</v>
      </c>
      <c r="N65" s="55">
        <f t="shared" si="29"/>
        <v>1.8593398454285199E-3</v>
      </c>
      <c r="O65" s="56">
        <f t="shared" si="30"/>
        <v>5.1883327718183874E-8</v>
      </c>
      <c r="P65" s="56">
        <f t="shared" si="31"/>
        <v>1.3557403613866337E-5</v>
      </c>
      <c r="Q65" s="56">
        <f t="shared" si="32"/>
        <v>6.7778791847015519E-4</v>
      </c>
      <c r="R65" s="9">
        <f t="shared" si="38"/>
        <v>3.9999999999999996E-5</v>
      </c>
      <c r="S65" s="9">
        <f t="shared" si="39"/>
        <v>1.4876524088369832E-7</v>
      </c>
      <c r="T65" s="9">
        <f t="shared" si="40"/>
        <v>2.0640165170918571E-6</v>
      </c>
      <c r="U65" s="9">
        <f t="shared" si="41"/>
        <v>3.9851234759116303E-5</v>
      </c>
      <c r="V65" s="102">
        <f t="shared" si="42"/>
        <v>5.1793038021731463E-2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170</v>
      </c>
      <c r="C66" s="46" t="s">
        <v>171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172</v>
      </c>
      <c r="C67" s="46" t="s">
        <v>173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0.33491051106253611</v>
      </c>
      <c r="J68" s="54">
        <f t="shared" si="25"/>
        <v>1.1540090280827044</v>
      </c>
      <c r="K68" s="55">
        <f t="shared" si="26"/>
        <v>0.45924981308212082</v>
      </c>
      <c r="L68" s="55">
        <f t="shared" si="27"/>
        <v>1.8059162901127431E-3</v>
      </c>
      <c r="M68" s="55">
        <f t="shared" si="28"/>
        <v>0.99819408370988727</v>
      </c>
      <c r="N68" s="55">
        <f t="shared" si="29"/>
        <v>3.7968250609942664E-4</v>
      </c>
      <c r="O68" s="56">
        <f t="shared" si="30"/>
        <v>4.6176778837461102E-7</v>
      </c>
      <c r="P68" s="56">
        <f t="shared" si="31"/>
        <v>6.5831335041645388E-6</v>
      </c>
      <c r="Q68" s="56">
        <f t="shared" si="32"/>
        <v>1.3840622849092579E-4</v>
      </c>
      <c r="R68" s="9">
        <f>F68*$C$14</f>
        <v>3.9999999999999996E-5</v>
      </c>
      <c r="S68" s="9">
        <f t="shared" si="39"/>
        <v>7.2236651604509724E-8</v>
      </c>
      <c r="T68" s="9">
        <f t="shared" si="40"/>
        <v>1.8369992523284832E-5</v>
      </c>
      <c r="U68" s="9">
        <f t="shared" si="41"/>
        <v>3.9927763348395486E-5</v>
      </c>
      <c r="V68" s="102">
        <f t="shared" si="42"/>
        <v>0.4600806802773999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174</v>
      </c>
      <c r="C69" s="46" t="s">
        <v>175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2.1724337273682748</v>
      </c>
      <c r="J69" s="54">
        <f t="shared" si="25"/>
        <v>3.3408910784414916</v>
      </c>
      <c r="K69" s="55">
        <f t="shared" si="26"/>
        <v>6.661283435265882E-3</v>
      </c>
      <c r="L69" s="55">
        <f t="shared" si="27"/>
        <v>4.0279919208996715E-3</v>
      </c>
      <c r="M69" s="55">
        <f t="shared" si="28"/>
        <v>0.99597200807910036</v>
      </c>
      <c r="N69" s="55">
        <f t="shared" si="29"/>
        <v>2.1788659515911751E-3</v>
      </c>
      <c r="O69" s="56">
        <f t="shared" si="30"/>
        <v>6.6978059261379131E-9</v>
      </c>
      <c r="P69" s="56">
        <f t="shared" si="31"/>
        <v>1.4683298840680647E-5</v>
      </c>
      <c r="Q69" s="56">
        <f t="shared" si="32"/>
        <v>7.9426524504675356E-4</v>
      </c>
      <c r="R69" s="9">
        <f>F69*$C$14</f>
        <v>3.9999999999999996E-5</v>
      </c>
      <c r="S69" s="9">
        <f t="shared" si="39"/>
        <v>1.6111967683598684E-7</v>
      </c>
      <c r="T69" s="9">
        <f t="shared" si="40"/>
        <v>2.6645133741063526E-7</v>
      </c>
      <c r="U69" s="9">
        <f t="shared" si="41"/>
        <v>3.9838880323164009E-5</v>
      </c>
      <c r="V69" s="102">
        <f t="shared" si="42"/>
        <v>6.6882235456730233E-3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176</v>
      </c>
      <c r="C70" s="46" t="s">
        <v>177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6.2122287627494992E-2</v>
      </c>
      <c r="J70" s="54">
        <f t="shared" si="25"/>
        <v>0.43147013822686364</v>
      </c>
      <c r="K70" s="55">
        <f t="shared" si="26"/>
        <v>0.86167474876244476</v>
      </c>
      <c r="L70" s="55">
        <f t="shared" si="27"/>
        <v>6.4187890587906991E-4</v>
      </c>
      <c r="M70" s="55">
        <f t="shared" si="28"/>
        <v>0.99935812109412092</v>
      </c>
      <c r="N70" s="55">
        <f t="shared" si="29"/>
        <v>7.61556212751745E-5</v>
      </c>
      <c r="O70" s="56">
        <f t="shared" si="30"/>
        <v>8.6639913985796944E-7</v>
      </c>
      <c r="P70" s="56">
        <f t="shared" si="31"/>
        <v>2.3398507195730431E-6</v>
      </c>
      <c r="Q70" s="56">
        <f t="shared" si="32"/>
        <v>2.7761121857745053E-5</v>
      </c>
      <c r="R70" s="9">
        <f t="shared" ref="R70:R86" si="43">F70*$C$14</f>
        <v>3.9999999999999996E-5</v>
      </c>
      <c r="S70" s="9">
        <f t="shared" si="39"/>
        <v>2.5675156235162793E-8</v>
      </c>
      <c r="T70" s="9">
        <f t="shared" si="40"/>
        <v>3.4466989950497788E-5</v>
      </c>
      <c r="U70" s="9">
        <f t="shared" si="41"/>
        <v>3.9974324843764837E-5</v>
      </c>
      <c r="V70" s="102">
        <f t="shared" si="42"/>
        <v>0.86222819485277491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178</v>
      </c>
      <c r="C71" s="46" t="s">
        <v>179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0.97961580067951626</v>
      </c>
      <c r="K71" s="55">
        <f t="shared" ref="K71:K122" si="46">IF(D71=0,"",1/(1+10^D71*$J$15/$J$14+10^E71*$J$16/$J$14+10^J71*$J$19/$J$14))</f>
        <v>0.59107276895723626</v>
      </c>
      <c r="L71" s="55">
        <f t="shared" ref="L71:L122" si="47">IF(D71=0,"",1/(1+10^I71/10^J71*$J$13/$J$19))</f>
        <v>1.5555943300895787E-3</v>
      </c>
      <c r="M71" s="55">
        <f t="shared" si="19"/>
        <v>0.99844440566991044</v>
      </c>
      <c r="N71" s="55">
        <f t="shared" ref="N71:N122" si="48">IF(D71=0,"",1/(1/10^E71*$J$20/$J$22+10^D71/10^E71*$J$21/$J$22+10^I71/10^E71*$J$13/$J$22+1))</f>
        <v>4.8941643684705224E-4</v>
      </c>
      <c r="O71" s="56">
        <f t="shared" si="21"/>
        <v>5.9431350327198697E-7</v>
      </c>
      <c r="P71" s="56">
        <f t="shared" ref="P71:P122" si="49">IF(D71=0,"",O71*10^J71)</f>
        <v>5.670631141303772E-6</v>
      </c>
      <c r="Q71" s="56">
        <f t="shared" ref="Q71:Q122" si="50">IF(D71=0,"",F71*N71*$J$7/$J$22)</f>
        <v>1.7840770142759588E-4</v>
      </c>
      <c r="R71" s="9">
        <f t="shared" si="43"/>
        <v>3.9999999999999996E-5</v>
      </c>
      <c r="S71" s="9">
        <f t="shared" si="39"/>
        <v>6.2223773203583137E-8</v>
      </c>
      <c r="T71" s="9">
        <f t="shared" si="40"/>
        <v>2.3642910758289449E-5</v>
      </c>
      <c r="U71" s="9">
        <f t="shared" si="41"/>
        <v>3.9937776226796416E-5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180</v>
      </c>
      <c r="C72" s="46" t="s">
        <v>181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4"/>
        <v>0.32073739190116707</v>
      </c>
      <c r="J72" s="54">
        <f t="shared" si="45"/>
        <v>1.1375458252816428</v>
      </c>
      <c r="K72" s="55">
        <f t="shared" si="46"/>
        <v>0.47448909123849059</v>
      </c>
      <c r="L72" s="55">
        <f t="shared" si="47"/>
        <v>1.7964356158342029E-3</v>
      </c>
      <c r="M72" s="55">
        <f t="shared" si="19"/>
        <v>0.9982035643841658</v>
      </c>
      <c r="N72" s="55">
        <f t="shared" si="48"/>
        <v>4.2343897669419519E-4</v>
      </c>
      <c r="O72" s="56">
        <f t="shared" si="21"/>
        <v>4.7709062045910458E-7</v>
      </c>
      <c r="P72" s="56">
        <f t="shared" si="49"/>
        <v>6.5485734612506858E-6</v>
      </c>
      <c r="Q72" s="56">
        <f t="shared" si="50"/>
        <v>1.5435683977747819E-4</v>
      </c>
      <c r="R72" s="9">
        <f t="shared" si="43"/>
        <v>3.9999999999999996E-5</v>
      </c>
      <c r="S72" s="9">
        <f t="shared" si="39"/>
        <v>7.1857424633368114E-8</v>
      </c>
      <c r="T72" s="9">
        <f t="shared" si="40"/>
        <v>1.8979563649539622E-5</v>
      </c>
      <c r="U72" s="9">
        <f t="shared" si="41"/>
        <v>3.9928142575366628E-5</v>
      </c>
      <c r="V72" s="102">
        <f t="shared" si="42"/>
        <v>0.47534301435922349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182</v>
      </c>
      <c r="C73" s="46" t="s">
        <v>183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4"/>
        <v>3.8293839195374848</v>
      </c>
      <c r="J73" s="54">
        <f t="shared" si="45"/>
        <v>5.1461538106089488</v>
      </c>
      <c r="K73" s="55">
        <f t="shared" si="46"/>
        <v>1.4651976733801557E-4</v>
      </c>
      <c r="L73" s="55">
        <f t="shared" si="47"/>
        <v>5.6583476907636227E-3</v>
      </c>
      <c r="M73" s="55">
        <f t="shared" si="19"/>
        <v>0.99434165230923632</v>
      </c>
      <c r="N73" s="55">
        <f t="shared" si="48"/>
        <v>4.7571168542441741E-3</v>
      </c>
      <c r="O73" s="56">
        <f t="shared" si="21"/>
        <v>1.4732310605152E-10</v>
      </c>
      <c r="P73" s="56">
        <f t="shared" si="49"/>
        <v>2.0626458970007178E-5</v>
      </c>
      <c r="Q73" s="56">
        <f t="shared" si="50"/>
        <v>1.7341188801417563E-3</v>
      </c>
      <c r="R73" s="9">
        <f t="shared" si="43"/>
        <v>3.9999999999999996E-5</v>
      </c>
      <c r="S73" s="9">
        <f t="shared" si="39"/>
        <v>2.2633390763054488E-7</v>
      </c>
      <c r="T73" s="9">
        <f t="shared" si="40"/>
        <v>5.8607906935206221E-9</v>
      </c>
      <c r="U73" s="9">
        <f t="shared" si="41"/>
        <v>3.9773666092369446E-5</v>
      </c>
      <c r="V73" s="102">
        <f t="shared" si="42"/>
        <v>1.4735354492868865E-4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184</v>
      </c>
      <c r="C74" s="46" t="s">
        <v>185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4"/>
        <v>3.8037572032670899E-2</v>
      </c>
      <c r="J74" s="54">
        <f t="shared" si="45"/>
        <v>0.31070489262972562</v>
      </c>
      <c r="K74" s="55">
        <f t="shared" si="46"/>
        <v>0.91092730533260546</v>
      </c>
      <c r="L74" s="55">
        <f t="shared" si="47"/>
        <v>5.1384035878151622E-4</v>
      </c>
      <c r="M74" s="55">
        <f t="shared" si="19"/>
        <v>0.99948615964121845</v>
      </c>
      <c r="N74" s="55">
        <f t="shared" si="48"/>
        <v>6.2045361549253541E-5</v>
      </c>
      <c r="O74" s="56">
        <f t="shared" si="21"/>
        <v>9.1592173839004921E-7</v>
      </c>
      <c r="P74" s="56">
        <f t="shared" si="49"/>
        <v>1.8731099000581853E-6</v>
      </c>
      <c r="Q74" s="56">
        <f t="shared" si="50"/>
        <v>2.261748789958552E-5</v>
      </c>
      <c r="R74" s="9">
        <f t="shared" si="43"/>
        <v>3.9999999999999996E-5</v>
      </c>
      <c r="S74" s="9">
        <f t="shared" si="39"/>
        <v>2.0553614351260648E-8</v>
      </c>
      <c r="T74" s="9">
        <f t="shared" si="40"/>
        <v>3.6437092213304216E-5</v>
      </c>
      <c r="U74" s="9">
        <f t="shared" si="41"/>
        <v>3.9979446385648732E-5</v>
      </c>
      <c r="V74" s="102">
        <f t="shared" si="42"/>
        <v>0.91139561718353101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186</v>
      </c>
      <c r="C75" s="46" t="s">
        <v>187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4"/>
        <v>4.0258976380178252E-2</v>
      </c>
      <c r="J75" s="54">
        <f t="shared" si="45"/>
        <v>0.32070219402122674</v>
      </c>
      <c r="K75" s="55">
        <f t="shared" si="46"/>
        <v>0.9062714202485892</v>
      </c>
      <c r="L75" s="55">
        <f t="shared" si="47"/>
        <v>5.2311849843726058E-4</v>
      </c>
      <c r="M75" s="55">
        <f t="shared" si="19"/>
        <v>0.99947688150156277</v>
      </c>
      <c r="N75" s="55">
        <f t="shared" si="48"/>
        <v>5.886740393199973E-5</v>
      </c>
      <c r="O75" s="56">
        <f t="shared" si="21"/>
        <v>9.1124032601506333E-7</v>
      </c>
      <c r="P75" s="56">
        <f t="shared" si="49"/>
        <v>1.9069316405001159E-6</v>
      </c>
      <c r="Q75" s="56">
        <f t="shared" si="50"/>
        <v>2.1459022284124885E-5</v>
      </c>
      <c r="R75" s="9">
        <f t="shared" si="43"/>
        <v>3.9999999999999996E-5</v>
      </c>
      <c r="S75" s="9">
        <f t="shared" si="39"/>
        <v>2.0924739937490421E-8</v>
      </c>
      <c r="T75" s="9">
        <f t="shared" si="40"/>
        <v>3.6250856809943565E-5</v>
      </c>
      <c r="U75" s="9">
        <f t="shared" si="41"/>
        <v>3.997907526006251E-5</v>
      </c>
      <c r="V75" s="102">
        <f t="shared" si="42"/>
        <v>0.90674575572678928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188</v>
      </c>
      <c r="C76" s="46" t="s">
        <v>189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4"/>
        <v>1.137117589232139</v>
      </c>
      <c r="J76" s="54">
        <f t="shared" si="45"/>
        <v>2.235569933795444</v>
      </c>
      <c r="K76" s="55">
        <f t="shared" si="46"/>
        <v>7.2299377152201791E-2</v>
      </c>
      <c r="L76" s="55">
        <f t="shared" si="47"/>
        <v>3.4303946705560116E-3</v>
      </c>
      <c r="M76" s="55">
        <f t="shared" si="19"/>
        <v>0.99656960532944394</v>
      </c>
      <c r="N76" s="55">
        <f t="shared" si="48"/>
        <v>1.478267929582041E-3</v>
      </c>
      <c r="O76" s="56">
        <f t="shared" si="21"/>
        <v>7.2695780242950835E-8</v>
      </c>
      <c r="P76" s="56">
        <f t="shared" si="49"/>
        <v>1.2504868698446111E-5</v>
      </c>
      <c r="Q76" s="56">
        <f t="shared" si="50"/>
        <v>5.3887520637825018E-4</v>
      </c>
      <c r="R76" s="9">
        <f t="shared" si="43"/>
        <v>3.9999999999999996E-5</v>
      </c>
      <c r="S76" s="9">
        <f t="shared" si="39"/>
        <v>1.3721578682224045E-7</v>
      </c>
      <c r="T76" s="9">
        <f t="shared" si="40"/>
        <v>2.8919750860880716E-6</v>
      </c>
      <c r="U76" s="9">
        <f t="shared" si="41"/>
        <v>3.9862784213177752E-5</v>
      </c>
      <c r="V76" s="102">
        <f t="shared" si="42"/>
        <v>7.2548246269563091E-2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4"/>
        <v>2.0958974367173925E-3</v>
      </c>
      <c r="J77" s="54">
        <f t="shared" si="45"/>
        <v>2.1447334021721217E-2</v>
      </c>
      <c r="K77" s="55">
        <f t="shared" si="46"/>
        <v>0.98974662093906496</v>
      </c>
      <c r="L77" s="55">
        <f t="shared" si="47"/>
        <v>2.8682101012679912E-4</v>
      </c>
      <c r="M77" s="55">
        <f t="shared" si="19"/>
        <v>0.99971317898987322</v>
      </c>
      <c r="N77" s="55">
        <f t="shared" si="48"/>
        <v>4.145373119849074E-6</v>
      </c>
      <c r="O77" s="56">
        <f t="shared" si="21"/>
        <v>9.9517320461173949E-7</v>
      </c>
      <c r="P77" s="56">
        <f t="shared" si="49"/>
        <v>1.0455528929007941E-6</v>
      </c>
      <c r="Q77" s="56">
        <f t="shared" si="50"/>
        <v>1.5111190270529013E-6</v>
      </c>
      <c r="R77" s="9">
        <f t="shared" si="43"/>
        <v>3.9999999999999996E-5</v>
      </c>
      <c r="S77" s="9">
        <f t="shared" si="39"/>
        <v>1.1472840405071964E-8</v>
      </c>
      <c r="T77" s="9">
        <f t="shared" si="40"/>
        <v>3.9589864837562597E-5</v>
      </c>
      <c r="U77" s="9">
        <f t="shared" si="41"/>
        <v>3.9988527159594925E-5</v>
      </c>
      <c r="V77" s="102">
        <f t="shared" si="42"/>
        <v>0.99003058251079712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190</v>
      </c>
      <c r="C78" s="46" t="s">
        <v>191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0.56646209105716006</v>
      </c>
      <c r="K78" s="55">
        <f t="shared" si="46"/>
        <v>0.81212477855704401</v>
      </c>
      <c r="L78" s="55">
        <f t="shared" si="47"/>
        <v>8.2551401658468009E-4</v>
      </c>
      <c r="M78" s="55">
        <f t="shared" si="19"/>
        <v>0.99917448598341529</v>
      </c>
      <c r="N78" s="55">
        <f t="shared" si="48"/>
        <v>1.7789566309732059E-4</v>
      </c>
      <c r="O78" s="56">
        <f t="shared" si="21"/>
        <v>8.1657749703090002E-7</v>
      </c>
      <c r="P78" s="56">
        <f t="shared" si="49"/>
        <v>3.0092585190627941E-6</v>
      </c>
      <c r="Q78" s="56">
        <f t="shared" si="50"/>
        <v>6.4848570578452812E-5</v>
      </c>
      <c r="R78" s="9">
        <f t="shared" si="43"/>
        <v>3.9999999999999996E-5</v>
      </c>
      <c r="S78" s="9">
        <f t="shared" si="39"/>
        <v>3.3020560663387198E-8</v>
      </c>
      <c r="T78" s="9">
        <f t="shared" si="40"/>
        <v>3.2484991142281755E-5</v>
      </c>
      <c r="U78" s="9">
        <f t="shared" si="41"/>
        <v>3.9966979439336611E-5</v>
      </c>
      <c r="V78" s="102">
        <f t="shared" si="42"/>
        <v>0.81279575284363692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192</v>
      </c>
      <c r="C79" s="46" t="s">
        <v>193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1.4536912879965904</v>
      </c>
      <c r="K79" s="55">
        <f t="shared" si="46"/>
        <v>0.30904024305500549</v>
      </c>
      <c r="L79" s="55">
        <f t="shared" si="47"/>
        <v>2.4229582112727855E-3</v>
      </c>
      <c r="M79" s="55">
        <f t="shared" si="19"/>
        <v>0.99757704178872719</v>
      </c>
      <c r="N79" s="55">
        <f t="shared" si="48"/>
        <v>7.8448498555055892E-4</v>
      </c>
      <c r="O79" s="56">
        <f t="shared" si="21"/>
        <v>3.107346491804545E-7</v>
      </c>
      <c r="P79" s="56">
        <f t="shared" si="49"/>
        <v>8.8324455940450362E-6</v>
      </c>
      <c r="Q79" s="56">
        <f t="shared" si="50"/>
        <v>2.8596947821814657E-4</v>
      </c>
      <c r="R79" s="9">
        <f t="shared" si="43"/>
        <v>3.9999999999999996E-5</v>
      </c>
      <c r="S79" s="9">
        <f t="shared" si="39"/>
        <v>9.6918328450911418E-8</v>
      </c>
      <c r="T79" s="9">
        <f t="shared" si="40"/>
        <v>1.2361609722200218E-5</v>
      </c>
      <c r="U79" s="9">
        <f t="shared" si="41"/>
        <v>3.9903081671549082E-5</v>
      </c>
      <c r="V79" s="102">
        <f t="shared" si="42"/>
        <v>0.3097908533468996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194</v>
      </c>
      <c r="C80" s="46" t="s">
        <v>195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4.2069917533022263</v>
      </c>
      <c r="K80" s="55">
        <f t="shared" si="46"/>
        <v>1.0420994025453138E-3</v>
      </c>
      <c r="L80" s="55">
        <f t="shared" si="47"/>
        <v>4.6295683406904608E-3</v>
      </c>
      <c r="M80" s="55">
        <f t="shared" si="19"/>
        <v>0.9953704316593095</v>
      </c>
      <c r="N80" s="55">
        <f t="shared" si="48"/>
        <v>3.11777482641996E-3</v>
      </c>
      <c r="O80" s="56">
        <f t="shared" si="21"/>
        <v>1.0478130260965522E-9</v>
      </c>
      <c r="P80" s="56">
        <f t="shared" si="49"/>
        <v>1.6876234308466271E-5</v>
      </c>
      <c r="Q80" s="56">
        <f t="shared" si="50"/>
        <v>1.1365270932333564E-3</v>
      </c>
      <c r="R80" s="9">
        <f t="shared" si="43"/>
        <v>3.9999999999999996E-5</v>
      </c>
      <c r="S80" s="9">
        <f t="shared" si="39"/>
        <v>1.8518273362761841E-7</v>
      </c>
      <c r="T80" s="9">
        <f t="shared" si="40"/>
        <v>4.168397610181255E-8</v>
      </c>
      <c r="U80" s="9">
        <f t="shared" si="41"/>
        <v>3.9814817266372377E-5</v>
      </c>
      <c r="V80" s="102">
        <f t="shared" si="42"/>
        <v>1.0469463120459646E-3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196</v>
      </c>
      <c r="C81" s="46" t="s">
        <v>197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1.6793358904404492</v>
      </c>
      <c r="K81" s="55">
        <f t="shared" si="46"/>
        <v>0.22517386142810383</v>
      </c>
      <c r="L81" s="55">
        <f t="shared" si="47"/>
        <v>2.9682020802563368E-3</v>
      </c>
      <c r="M81" s="55">
        <f t="shared" si="19"/>
        <v>0.99703179791974361</v>
      </c>
      <c r="N81" s="55">
        <f t="shared" si="48"/>
        <v>1.3310353038511248E-3</v>
      </c>
      <c r="O81" s="56">
        <f t="shared" si="21"/>
        <v>2.2640844488015892E-7</v>
      </c>
      <c r="P81" s="56">
        <f t="shared" si="49"/>
        <v>1.0820031176775361E-5</v>
      </c>
      <c r="Q81" s="56">
        <f t="shared" si="50"/>
        <v>4.8520427840324407E-4</v>
      </c>
      <c r="R81" s="9">
        <f t="shared" si="43"/>
        <v>3.9999999999999996E-5</v>
      </c>
      <c r="S81" s="9">
        <f t="shared" si="39"/>
        <v>1.1872808321025346E-7</v>
      </c>
      <c r="T81" s="9">
        <f t="shared" si="40"/>
        <v>9.0069544571241519E-6</v>
      </c>
      <c r="U81" s="9">
        <f t="shared" si="41"/>
        <v>3.9881271916789744E-5</v>
      </c>
      <c r="V81" s="102">
        <f t="shared" si="42"/>
        <v>0.22584421269002422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198</v>
      </c>
      <c r="C82" s="46" t="s">
        <v>199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2.4736918816104327</v>
      </c>
      <c r="K82" s="55">
        <f t="shared" si="46"/>
        <v>4.8140472015762374E-2</v>
      </c>
      <c r="L82" s="55">
        <f t="shared" si="47"/>
        <v>3.9522264930026245E-3</v>
      </c>
      <c r="M82" s="55">
        <f t="shared" si="19"/>
        <v>0.99604777350699736</v>
      </c>
      <c r="N82" s="55">
        <f t="shared" si="48"/>
        <v>2.2181859157444192E-3</v>
      </c>
      <c r="O82" s="56">
        <f t="shared" si="21"/>
        <v>4.8404416639475989E-8</v>
      </c>
      <c r="P82" s="56">
        <f t="shared" si="49"/>
        <v>1.4407109999826188E-5</v>
      </c>
      <c r="Q82" s="56">
        <f t="shared" si="50"/>
        <v>8.0859861004362228E-4</v>
      </c>
      <c r="R82" s="9">
        <f t="shared" si="43"/>
        <v>3.9999999999999996E-5</v>
      </c>
      <c r="S82" s="9">
        <f t="shared" si="39"/>
        <v>1.5808905972010496E-7</v>
      </c>
      <c r="T82" s="9">
        <f t="shared" si="40"/>
        <v>1.9256188806304946E-6</v>
      </c>
      <c r="U82" s="9">
        <f t="shared" si="41"/>
        <v>3.9841910940279894E-5</v>
      </c>
      <c r="V82" s="102">
        <f t="shared" si="42"/>
        <v>4.8331489007062349E-2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200</v>
      </c>
      <c r="C83" s="46" t="s">
        <v>201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1.8576970931564492</v>
      </c>
      <c r="K83" s="55">
        <f t="shared" si="46"/>
        <v>0.16313253007362502</v>
      </c>
      <c r="L83" s="55">
        <f t="shared" si="47"/>
        <v>3.2424796883082029E-3</v>
      </c>
      <c r="M83" s="55">
        <f t="shared" si="19"/>
        <v>0.99675752031169185</v>
      </c>
      <c r="N83" s="55">
        <f t="shared" si="48"/>
        <v>1.5292418375002237E-3</v>
      </c>
      <c r="O83" s="56">
        <f t="shared" si="21"/>
        <v>1.6402695325775234E-7</v>
      </c>
      <c r="P83" s="56">
        <f t="shared" si="49"/>
        <v>1.1819859419587008E-5</v>
      </c>
      <c r="Q83" s="56">
        <f t="shared" si="50"/>
        <v>5.5745680082377319E-4</v>
      </c>
      <c r="R83" s="9">
        <f t="shared" si="43"/>
        <v>3.9999999999999996E-5</v>
      </c>
      <c r="S83" s="9">
        <f t="shared" si="39"/>
        <v>1.2969918753232809E-7</v>
      </c>
      <c r="T83" s="9">
        <f t="shared" si="40"/>
        <v>6.5253012029449999E-6</v>
      </c>
      <c r="U83" s="9">
        <f t="shared" si="41"/>
        <v>3.9870300812467671E-5</v>
      </c>
      <c r="V83" s="102">
        <f t="shared" si="42"/>
        <v>0.16366320469055756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0.41912406778565536</v>
      </c>
      <c r="K84" s="55">
        <f t="shared" si="46"/>
        <v>0.8731108516095093</v>
      </c>
      <c r="L84" s="55">
        <f t="shared" si="47"/>
        <v>6.3216879282732355E-4</v>
      </c>
      <c r="M84" s="55">
        <f t="shared" si="19"/>
        <v>0.99936783120717265</v>
      </c>
      <c r="N84" s="55">
        <f t="shared" si="48"/>
        <v>1.0484747722196065E-4</v>
      </c>
      <c r="O84" s="56">
        <f t="shared" si="21"/>
        <v>8.7789794458011587E-7</v>
      </c>
      <c r="P84" s="56">
        <f t="shared" si="49"/>
        <v>2.3044543000877386E-6</v>
      </c>
      <c r="Q84" s="56">
        <f t="shared" si="50"/>
        <v>3.8220206767387158E-5</v>
      </c>
      <c r="R84" s="9">
        <f t="shared" si="43"/>
        <v>3.9999999999999996E-5</v>
      </c>
      <c r="S84" s="9">
        <f t="shared" si="39"/>
        <v>2.5286751713092941E-8</v>
      </c>
      <c r="T84" s="9">
        <f t="shared" si="40"/>
        <v>3.4924434064380366E-5</v>
      </c>
      <c r="U84" s="9">
        <f t="shared" si="41"/>
        <v>3.9974713248286903E-5</v>
      </c>
      <c r="V84" s="102">
        <f t="shared" si="42"/>
        <v>0.87366315419103202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202</v>
      </c>
      <c r="C85" s="46" t="s">
        <v>203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0.61860589125383425</v>
      </c>
      <c r="J85" s="54">
        <f t="shared" si="45"/>
        <v>1.6547513221475207</v>
      </c>
      <c r="K85" s="55">
        <f t="shared" si="46"/>
        <v>0.23869614901442146</v>
      </c>
      <c r="L85" s="55">
        <f t="shared" si="47"/>
        <v>2.973283589042862E-3</v>
      </c>
      <c r="M85" s="55">
        <f t="shared" si="19"/>
        <v>0.99702671641095719</v>
      </c>
      <c r="N85" s="55">
        <f t="shared" si="48"/>
        <v>1.3914096519097548E-3</v>
      </c>
      <c r="O85" s="56">
        <f t="shared" si="21"/>
        <v>2.4000487247714263E-7</v>
      </c>
      <c r="P85" s="56">
        <f t="shared" si="49"/>
        <v>1.0838554876310848E-5</v>
      </c>
      <c r="Q85" s="56">
        <f t="shared" si="50"/>
        <v>5.0721262927049535E-4</v>
      </c>
      <c r="R85" s="9">
        <f t="shared" si="43"/>
        <v>3.9999999999999996E-5</v>
      </c>
      <c r="S85" s="9">
        <f t="shared" si="39"/>
        <v>1.1893134356171447E-7</v>
      </c>
      <c r="T85" s="9">
        <f t="shared" si="40"/>
        <v>9.5478459605768584E-6</v>
      </c>
      <c r="U85" s="9">
        <f t="shared" si="41"/>
        <v>3.9881068656438282E-5</v>
      </c>
      <c r="V85" s="102">
        <f t="shared" si="42"/>
        <v>0.23940797682299522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1.0664462987751342</v>
      </c>
      <c r="K86" s="55">
        <f t="shared" si="46"/>
        <v>0.5435939900100607</v>
      </c>
      <c r="L86" s="55">
        <f t="shared" si="47"/>
        <v>1.7472721090951524E-3</v>
      </c>
      <c r="M86" s="55">
        <f t="shared" si="19"/>
        <v>0.9982527278909048</v>
      </c>
      <c r="N86" s="55">
        <f t="shared" si="48"/>
        <v>6.1200397898234871E-4</v>
      </c>
      <c r="O86" s="56">
        <f t="shared" si="21"/>
        <v>5.4657440763245557E-7</v>
      </c>
      <c r="P86" s="56">
        <f t="shared" si="49"/>
        <v>6.3693569991322463E-6</v>
      </c>
      <c r="Q86" s="56">
        <f t="shared" si="50"/>
        <v>2.2309472043519735E-4</v>
      </c>
      <c r="R86" s="9">
        <f t="shared" si="43"/>
        <v>3.9999999999999996E-5</v>
      </c>
      <c r="S86" s="9">
        <f t="shared" si="39"/>
        <v>6.9890884363806093E-8</v>
      </c>
      <c r="T86" s="9">
        <f t="shared" si="40"/>
        <v>2.1743759600402426E-5</v>
      </c>
      <c r="U86" s="9">
        <f t="shared" si="41"/>
        <v>3.993010911563619E-5</v>
      </c>
      <c r="V86" s="102">
        <f t="shared" si="42"/>
        <v>0.54454545910288565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204</v>
      </c>
      <c r="C87" s="46" t="s">
        <v>205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206</v>
      </c>
      <c r="C88" s="46" t="s">
        <v>207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3.3868764044282145</v>
      </c>
      <c r="K88" s="55">
        <f t="shared" si="46"/>
        <v>7.2322104234210606E-3</v>
      </c>
      <c r="L88" s="55">
        <f t="shared" si="47"/>
        <v>4.8616876954740073E-3</v>
      </c>
      <c r="M88" s="55">
        <f t="shared" si="19"/>
        <v>0.99513831230452598</v>
      </c>
      <c r="N88" s="55">
        <f t="shared" si="48"/>
        <v>3.5123570092957996E-3</v>
      </c>
      <c r="O88" s="56">
        <f t="shared" si="21"/>
        <v>7.2718631933025543E-9</v>
      </c>
      <c r="P88" s="56">
        <f t="shared" si="49"/>
        <v>1.7722382443796078E-5</v>
      </c>
      <c r="Q88" s="56">
        <f t="shared" si="50"/>
        <v>1.2803647230536263E-3</v>
      </c>
      <c r="R88" s="9">
        <f>F88*$C$14</f>
        <v>3.9999999999999996E-5</v>
      </c>
      <c r="S88" s="9">
        <f t="shared" si="39"/>
        <v>1.9446750781896027E-7</v>
      </c>
      <c r="T88" s="9">
        <f t="shared" si="40"/>
        <v>2.8928841693684241E-7</v>
      </c>
      <c r="U88" s="9">
        <f t="shared" si="41"/>
        <v>3.9805532492181035E-5</v>
      </c>
      <c r="V88" s="102">
        <f t="shared" si="42"/>
        <v>7.267542947545471E-3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208</v>
      </c>
      <c r="C89" s="46" t="s">
        <v>209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4.8225181897123042</v>
      </c>
      <c r="K89" s="55">
        <f t="shared" si="46"/>
        <v>2.9824176832059473E-4</v>
      </c>
      <c r="L89" s="55">
        <f t="shared" si="47"/>
        <v>5.4667127532936257E-3</v>
      </c>
      <c r="M89" s="55">
        <f t="shared" si="19"/>
        <v>0.99453328724670642</v>
      </c>
      <c r="N89" s="55">
        <f t="shared" si="48"/>
        <v>4.4516915471205544E-3</v>
      </c>
      <c r="O89" s="56">
        <f t="shared" si="21"/>
        <v>2.9987696855895728E-10</v>
      </c>
      <c r="P89" s="56">
        <f t="shared" si="49"/>
        <v>1.9927889283065352E-5</v>
      </c>
      <c r="Q89" s="56">
        <f t="shared" si="50"/>
        <v>1.6227817388050601E-3</v>
      </c>
      <c r="R89" s="9">
        <f>F89*$C$14</f>
        <v>3.9999999999999996E-5</v>
      </c>
      <c r="S89" s="9">
        <f t="shared" si="39"/>
        <v>2.18668510131745E-7</v>
      </c>
      <c r="T89" s="9">
        <f t="shared" si="40"/>
        <v>1.1929670732823788E-8</v>
      </c>
      <c r="U89" s="9">
        <f t="shared" si="41"/>
        <v>3.9781331489868254E-5</v>
      </c>
      <c r="V89" s="102">
        <f t="shared" si="42"/>
        <v>2.9988113233118171E-4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210</v>
      </c>
      <c r="C90" s="46" t="s">
        <v>211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5.1896332804405967</v>
      </c>
      <c r="K90" s="55">
        <f t="shared" si="46"/>
        <v>1.3446102442326357E-4</v>
      </c>
      <c r="L90" s="55">
        <f t="shared" si="47"/>
        <v>5.7394370297029207E-3</v>
      </c>
      <c r="M90" s="55">
        <f t="shared" si="19"/>
        <v>0.99426056297029708</v>
      </c>
      <c r="N90" s="55">
        <f t="shared" si="48"/>
        <v>4.8865575165461059E-3</v>
      </c>
      <c r="O90" s="56">
        <f t="shared" si="21"/>
        <v>1.351982474501571E-10</v>
      </c>
      <c r="P90" s="56">
        <f t="shared" si="49"/>
        <v>2.0922055142944153E-5</v>
      </c>
      <c r="Q90" s="56">
        <f t="shared" si="50"/>
        <v>1.7813040772334721E-3</v>
      </c>
      <c r="R90" s="9">
        <f>F90*$C$14</f>
        <v>3.9999999999999996E-5</v>
      </c>
      <c r="S90" s="9">
        <f t="shared" si="39"/>
        <v>2.295774811881168E-7</v>
      </c>
      <c r="T90" s="9">
        <f t="shared" si="40"/>
        <v>5.3784409769305426E-9</v>
      </c>
      <c r="U90" s="9">
        <f t="shared" si="41"/>
        <v>3.9770422518811883E-5</v>
      </c>
      <c r="V90" s="102">
        <f t="shared" si="42"/>
        <v>1.352372098734047E-4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5.609396901026626</v>
      </c>
      <c r="K91" s="55">
        <f t="shared" si="46"/>
        <v>5.3395208365328253E-5</v>
      </c>
      <c r="L91" s="55">
        <f t="shared" si="47"/>
        <v>5.9915444536250253E-3</v>
      </c>
      <c r="M91" s="55">
        <f t="shared" si="19"/>
        <v>0.99400845554637496</v>
      </c>
      <c r="N91" s="55">
        <f t="shared" si="48"/>
        <v>5.2888211979774009E-3</v>
      </c>
      <c r="O91" s="56">
        <f t="shared" si="21"/>
        <v>5.3687963662274278E-11</v>
      </c>
      <c r="P91" s="56">
        <f t="shared" si="49"/>
        <v>2.1841066083903435E-5</v>
      </c>
      <c r="Q91" s="56">
        <f t="shared" si="50"/>
        <v>1.927941855143632E-3</v>
      </c>
      <c r="R91" s="9">
        <f t="shared" ref="R91:R92" si="51">F91*$C$14</f>
        <v>3.9999999999999996E-5</v>
      </c>
      <c r="S91" s="9">
        <f t="shared" si="39"/>
        <v>2.3966177814500098E-7</v>
      </c>
      <c r="T91" s="9">
        <f t="shared" si="40"/>
        <v>2.1358083346131301E-9</v>
      </c>
      <c r="U91" s="9">
        <f t="shared" si="41"/>
        <v>3.9760338221854995E-5</v>
      </c>
      <c r="V91" s="102">
        <f t="shared" si="42"/>
        <v>5.3717056497249412E-5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6.8585088282696232</v>
      </c>
      <c r="K92" s="55">
        <f t="shared" si="46"/>
        <v>3.2133723951281344E-6</v>
      </c>
      <c r="L92" s="55">
        <f t="shared" si="47"/>
        <v>6.3989613350661188E-3</v>
      </c>
      <c r="M92" s="55">
        <f t="shared" si="19"/>
        <v>0.99360103866493388</v>
      </c>
      <c r="N92" s="55">
        <f t="shared" si="48"/>
        <v>5.9392096758965895E-3</v>
      </c>
      <c r="O92" s="56">
        <f t="shared" si="21"/>
        <v>3.2309906762161568E-12</v>
      </c>
      <c r="P92" s="56">
        <f t="shared" si="49"/>
        <v>2.3326228899622702E-5</v>
      </c>
      <c r="Q92" s="56">
        <f t="shared" si="50"/>
        <v>2.1650289340494375E-3</v>
      </c>
      <c r="R92" s="9">
        <f t="shared" si="51"/>
        <v>3.9999999999999996E-5</v>
      </c>
      <c r="S92" s="9">
        <f t="shared" si="39"/>
        <v>2.5595845340264471E-7</v>
      </c>
      <c r="T92" s="9">
        <f t="shared" si="40"/>
        <v>1.2853489580512538E-10</v>
      </c>
      <c r="U92" s="9">
        <f t="shared" si="41"/>
        <v>3.974404154659735E-5</v>
      </c>
      <c r="V92" s="102">
        <f t="shared" si="42"/>
        <v>3.2340670652335748E-6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212</v>
      </c>
      <c r="C93" s="46" t="s">
        <v>213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0.98556517620768624</v>
      </c>
      <c r="K93" s="55">
        <f t="shared" si="46"/>
        <v>0.56045536020118214</v>
      </c>
      <c r="L93" s="55">
        <f t="shared" si="47"/>
        <v>1.495360148792079E-3</v>
      </c>
      <c r="M93" s="55">
        <f t="shared" ref="M93:M127" si="52">IF(D93=0,"",1-L93)</f>
        <v>0.99850463985120796</v>
      </c>
      <c r="N93" s="55">
        <f t="shared" si="48"/>
        <v>2.7490372606988743E-4</v>
      </c>
      <c r="O93" s="56">
        <f t="shared" ref="O93:O127" si="53">IF(D93=0,"",F93*K93*$J$7/$J$14)</f>
        <v>5.6352822535938293E-7</v>
      </c>
      <c r="P93" s="56">
        <f t="shared" si="49"/>
        <v>5.4510585846097222E-6</v>
      </c>
      <c r="Q93" s="56">
        <f t="shared" si="50"/>
        <v>1.0021106401323653E-4</v>
      </c>
      <c r="R93" s="9">
        <f>F93*$C$14</f>
        <v>3.9999999999999996E-5</v>
      </c>
      <c r="S93" s="9">
        <f t="shared" si="39"/>
        <v>5.9814405951683149E-8</v>
      </c>
      <c r="T93" s="9">
        <f t="shared" si="40"/>
        <v>2.2418214408047284E-5</v>
      </c>
      <c r="U93" s="9">
        <f t="shared" si="41"/>
        <v>3.9940185594048316E-5</v>
      </c>
      <c r="V93" s="102">
        <f t="shared" si="42"/>
        <v>0.56129469792418618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214</v>
      </c>
      <c r="C94" s="46" t="s">
        <v>215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216</v>
      </c>
      <c r="C95" s="46" t="s">
        <v>217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218</v>
      </c>
      <c r="C96" s="46" t="s">
        <v>219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220</v>
      </c>
      <c r="C97" s="46" t="s">
        <v>221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222</v>
      </c>
      <c r="C98" s="46" t="s">
        <v>223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224</v>
      </c>
      <c r="C99" s="46" t="s">
        <v>225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226</v>
      </c>
      <c r="C100" s="46" t="s">
        <v>227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228</v>
      </c>
      <c r="C101" s="46" t="s">
        <v>229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230</v>
      </c>
      <c r="C102" s="46" t="s">
        <v>231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232</v>
      </c>
      <c r="C103" s="46" t="s">
        <v>233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234</v>
      </c>
      <c r="C104" s="46" t="s">
        <v>235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236</v>
      </c>
      <c r="C105" s="46" t="s">
        <v>237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238</v>
      </c>
      <c r="C106" s="46" t="s">
        <v>239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240</v>
      </c>
      <c r="C107" s="46" t="s">
        <v>241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0.1779757021952241</v>
      </c>
      <c r="K107" s="55">
        <f t="shared" si="46"/>
        <v>0.9517152701973125</v>
      </c>
      <c r="L107" s="55">
        <f t="shared" si="47"/>
        <v>3.9547800894946026E-4</v>
      </c>
      <c r="M107" s="55">
        <f t="shared" si="52"/>
        <v>0.99960452199105054</v>
      </c>
      <c r="N107" s="55">
        <f t="shared" si="48"/>
        <v>3.0673168248801287E-5</v>
      </c>
      <c r="O107" s="56">
        <f t="shared" si="53"/>
        <v>9.5693333554558071E-7</v>
      </c>
      <c r="P107" s="56">
        <f t="shared" si="49"/>
        <v>1.441641866308732E-6</v>
      </c>
      <c r="Q107" s="56">
        <f t="shared" si="50"/>
        <v>1.118133562907025E-5</v>
      </c>
      <c r="R107" s="9">
        <f>F107*$C$14</f>
        <v>3.9999999999999996E-5</v>
      </c>
      <c r="S107" s="9">
        <f t="shared" ref="S107:S108" si="54">$R107*L107</f>
        <v>1.5819120357978411E-8</v>
      </c>
      <c r="T107" s="9">
        <f t="shared" ref="T107:T108" si="55">R107*K107</f>
        <v>3.8068610807892494E-5</v>
      </c>
      <c r="U107" s="9">
        <f t="shared" ref="U107:U108" si="56">$R107*M107</f>
        <v>3.9984180879642016E-5</v>
      </c>
      <c r="V107" s="102">
        <f t="shared" ref="V107:V108" si="57">K107/M107</f>
        <v>0.95209180156733342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242</v>
      </c>
      <c r="C108" s="46" t="s">
        <v>243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0.72322796015768975</v>
      </c>
      <c r="K108" s="55">
        <f t="shared" si="46"/>
        <v>0.72990010466087241</v>
      </c>
      <c r="L108" s="55">
        <f t="shared" si="47"/>
        <v>1.0644640173053806E-3</v>
      </c>
      <c r="M108" s="55">
        <f t="shared" si="52"/>
        <v>0.99893553598269458</v>
      </c>
      <c r="N108" s="55">
        <f t="shared" si="48"/>
        <v>2.4168629557888937E-4</v>
      </c>
      <c r="O108" s="56">
        <f t="shared" si="53"/>
        <v>7.339020016179724E-7</v>
      </c>
      <c r="P108" s="56">
        <f t="shared" si="49"/>
        <v>3.8803065095908509E-6</v>
      </c>
      <c r="Q108" s="56">
        <f t="shared" si="50"/>
        <v>8.8102264686004483E-5</v>
      </c>
      <c r="R108" s="9">
        <f>F108*$C$14</f>
        <v>3.9999999999999996E-5</v>
      </c>
      <c r="S108" s="9">
        <f t="shared" si="54"/>
        <v>4.2578560692215222E-8</v>
      </c>
      <c r="T108" s="9">
        <f t="shared" si="55"/>
        <v>2.9196004186434893E-5</v>
      </c>
      <c r="U108" s="9">
        <f t="shared" si="56"/>
        <v>3.9957421439307779E-5</v>
      </c>
      <c r="V108" s="102">
        <f t="shared" si="57"/>
        <v>0.73067788497767194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244</v>
      </c>
      <c r="C109" s="46" t="s">
        <v>245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246</v>
      </c>
      <c r="C110" s="46" t="s">
        <v>247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248</v>
      </c>
      <c r="C111" s="46" t="s">
        <v>249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250</v>
      </c>
      <c r="C112" s="46" t="s">
        <v>251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252</v>
      </c>
      <c r="C113" s="46" t="s">
        <v>253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254</v>
      </c>
      <c r="C114" s="46" t="s">
        <v>255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0.59572758809205939</v>
      </c>
      <c r="K114" s="55">
        <f t="shared" si="46"/>
        <v>0.80075334347861238</v>
      </c>
      <c r="L114" s="55">
        <f t="shared" si="47"/>
        <v>8.706947945241151E-4</v>
      </c>
      <c r="M114" s="55">
        <f t="shared" si="52"/>
        <v>0.99912930520547594</v>
      </c>
      <c r="N114" s="55">
        <f t="shared" si="48"/>
        <v>2.060949545827807E-4</v>
      </c>
      <c r="O114" s="56">
        <f t="shared" si="53"/>
        <v>8.0514371463788717E-7</v>
      </c>
      <c r="P114" s="56">
        <f t="shared" si="49"/>
        <v>3.1739566806695791E-6</v>
      </c>
      <c r="Q114" s="56">
        <f t="shared" si="50"/>
        <v>7.5128100232623257E-5</v>
      </c>
      <c r="R114" s="9">
        <f>F114*$C$14</f>
        <v>3.9999999999999996E-5</v>
      </c>
      <c r="S114" s="9">
        <f t="shared" ref="S114:S116" si="58">$R114*L114</f>
        <v>3.4827791780964598E-8</v>
      </c>
      <c r="T114" s="9">
        <f t="shared" ref="T114:T116" si="59">R114*K114</f>
        <v>3.2030133739144491E-5</v>
      </c>
      <c r="U114" s="9">
        <f t="shared" ref="U114:U116" si="60">$R114*M114</f>
        <v>3.9965172208219033E-5</v>
      </c>
      <c r="V114" s="102">
        <f t="shared" ref="V114:V116" si="61">K114/M114</f>
        <v>0.80145116283415729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256</v>
      </c>
      <c r="C115" s="46" t="s">
        <v>257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0.17110445915344102</v>
      </c>
      <c r="J115" s="54">
        <f t="shared" si="45"/>
        <v>0.78224006697670034</v>
      </c>
      <c r="K115" s="55">
        <f t="shared" si="46"/>
        <v>0.67012153307157918</v>
      </c>
      <c r="L115" s="55">
        <f t="shared" si="47"/>
        <v>1.1195235651463113E-3</v>
      </c>
      <c r="M115" s="55">
        <f t="shared" si="52"/>
        <v>0.99888047643485367</v>
      </c>
      <c r="N115" s="55">
        <f t="shared" si="48"/>
        <v>9.8580081442440148E-5</v>
      </c>
      <c r="O115" s="56">
        <f t="shared" si="53"/>
        <v>6.7379567602204816E-7</v>
      </c>
      <c r="P115" s="56">
        <f t="shared" si="49"/>
        <v>4.081015898005057E-6</v>
      </c>
      <c r="Q115" s="56">
        <f t="shared" si="50"/>
        <v>3.5935543665010194E-5</v>
      </c>
      <c r="R115" s="9">
        <f>F115*$C$14</f>
        <v>3.9999999999999996E-5</v>
      </c>
      <c r="S115" s="9">
        <f t="shared" si="58"/>
        <v>4.4780942605852449E-8</v>
      </c>
      <c r="T115" s="9">
        <f t="shared" si="59"/>
        <v>2.6804861322863164E-5</v>
      </c>
      <c r="U115" s="9">
        <f t="shared" si="60"/>
        <v>3.9955219057394145E-5</v>
      </c>
      <c r="V115" s="102">
        <f t="shared" si="61"/>
        <v>0.67087259074613026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258</v>
      </c>
      <c r="C116" s="46" t="s">
        <v>259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5.4647098001601571E-2</v>
      </c>
      <c r="K116" s="55">
        <f t="shared" si="46"/>
        <v>0.98130691144179905</v>
      </c>
      <c r="L116" s="55">
        <f t="shared" si="47"/>
        <v>3.0696690459414573E-4</v>
      </c>
      <c r="M116" s="55">
        <f t="shared" si="52"/>
        <v>0.9996930330954058</v>
      </c>
      <c r="N116" s="55">
        <f t="shared" si="48"/>
        <v>3.6981068646587673E-6</v>
      </c>
      <c r="O116" s="56">
        <f t="shared" si="53"/>
        <v>9.8668722186757279E-7</v>
      </c>
      <c r="P116" s="56">
        <f t="shared" si="49"/>
        <v>1.1189910215479826E-6</v>
      </c>
      <c r="Q116" s="56">
        <f t="shared" si="50"/>
        <v>1.3480763940169207E-6</v>
      </c>
      <c r="R116" s="9">
        <f>F116*$C$14</f>
        <v>3.9999999999999996E-5</v>
      </c>
      <c r="S116" s="9">
        <f t="shared" si="58"/>
        <v>1.2278676183765827E-8</v>
      </c>
      <c r="T116" s="9">
        <f t="shared" si="59"/>
        <v>3.9252276457671957E-5</v>
      </c>
      <c r="U116" s="9">
        <f t="shared" si="60"/>
        <v>3.9987721323816231E-5</v>
      </c>
      <c r="V116" s="102">
        <f t="shared" si="61"/>
        <v>0.98160823268250974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260</v>
      </c>
      <c r="C117" s="46" t="s">
        <v>261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262</v>
      </c>
      <c r="C118" s="46" t="s">
        <v>263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264</v>
      </c>
      <c r="C119" s="46" t="s">
        <v>265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2.594576847430778</v>
      </c>
      <c r="K119" s="55">
        <f t="shared" si="46"/>
        <v>3.5566876692437667E-2</v>
      </c>
      <c r="L119" s="55">
        <f t="shared" si="47"/>
        <v>3.8571113441174839E-3</v>
      </c>
      <c r="M119" s="55">
        <f t="shared" si="52"/>
        <v>0.99614288865588252</v>
      </c>
      <c r="N119" s="55">
        <f t="shared" si="48"/>
        <v>2.017708058363358E-3</v>
      </c>
      <c r="O119" s="56">
        <f t="shared" si="53"/>
        <v>3.5761882796286834E-8</v>
      </c>
      <c r="P119" s="56">
        <f t="shared" si="49"/>
        <v>1.4060385333346615E-5</v>
      </c>
      <c r="Q119" s="56">
        <f t="shared" si="50"/>
        <v>7.3551811860589399E-4</v>
      </c>
      <c r="R119" s="9">
        <f>F119*$C$14</f>
        <v>3.9999999999999996E-5</v>
      </c>
      <c r="S119" s="9">
        <f t="shared" ref="S119:S121" si="62">$R119*L119</f>
        <v>1.5428445376469934E-7</v>
      </c>
      <c r="T119" s="9">
        <f t="shared" ref="T119:T121" si="63">R119*K119</f>
        <v>1.4226750676975065E-6</v>
      </c>
      <c r="U119" s="9">
        <f t="shared" ref="U119:U121" si="64">$R119*M119</f>
        <v>3.9845715546235296E-5</v>
      </c>
      <c r="V119" s="102">
        <f t="shared" ref="V119:V121" si="65">K119/M119</f>
        <v>3.5704593284231374E-2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266</v>
      </c>
      <c r="C120" s="46" t="s">
        <v>267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0.87356769077484919</v>
      </c>
      <c r="K120" s="55">
        <f t="shared" si="46"/>
        <v>0.63835592456843504</v>
      </c>
      <c r="L120" s="55">
        <f t="shared" si="47"/>
        <v>1.3160433148581613E-3</v>
      </c>
      <c r="M120" s="55">
        <f t="shared" si="52"/>
        <v>0.99868395668514187</v>
      </c>
      <c r="N120" s="55">
        <f t="shared" si="48"/>
        <v>2.8962663110800334E-4</v>
      </c>
      <c r="O120" s="56">
        <f t="shared" si="53"/>
        <v>6.4185590301173741E-7</v>
      </c>
      <c r="P120" s="56">
        <f t="shared" si="49"/>
        <v>4.7973922636434329E-6</v>
      </c>
      <c r="Q120" s="56">
        <f t="shared" si="50"/>
        <v>1.0557802647798083E-4</v>
      </c>
      <c r="R120" s="9">
        <f>F120*$C$14</f>
        <v>3.9999999999999996E-5</v>
      </c>
      <c r="S120" s="9">
        <f t="shared" si="62"/>
        <v>5.2641732594326448E-8</v>
      </c>
      <c r="T120" s="9">
        <f t="shared" si="63"/>
        <v>2.5534236982737399E-5</v>
      </c>
      <c r="U120" s="9">
        <f t="shared" si="64"/>
        <v>3.9947358267405674E-5</v>
      </c>
      <c r="V120" s="102">
        <f t="shared" si="65"/>
        <v>0.63919713568573067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268</v>
      </c>
      <c r="C121" s="46" t="s">
        <v>269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3.1059362408784228</v>
      </c>
      <c r="K121" s="55">
        <f t="shared" si="46"/>
        <v>1.004282695411237E-2</v>
      </c>
      <c r="L121" s="55">
        <f t="shared" si="47"/>
        <v>3.535345149687646E-3</v>
      </c>
      <c r="M121" s="55">
        <f t="shared" si="52"/>
        <v>0.99646465485031233</v>
      </c>
      <c r="N121" s="55">
        <f t="shared" si="48"/>
        <v>1.4052531864808821E-3</v>
      </c>
      <c r="O121" s="56">
        <f t="shared" si="53"/>
        <v>1.0097889774862363E-8</v>
      </c>
      <c r="P121" s="56">
        <f t="shared" si="49"/>
        <v>1.2887446240512832E-5</v>
      </c>
      <c r="Q121" s="56">
        <f t="shared" si="50"/>
        <v>5.1225903351138945E-4</v>
      </c>
      <c r="R121" s="9">
        <f>F121*$C$14</f>
        <v>3.9999999999999996E-5</v>
      </c>
      <c r="S121" s="9">
        <f t="shared" si="62"/>
        <v>1.4141380598750582E-7</v>
      </c>
      <c r="T121" s="9">
        <f t="shared" si="63"/>
        <v>4.0171307816449476E-7</v>
      </c>
      <c r="U121" s="9">
        <f t="shared" si="64"/>
        <v>3.985858619401249E-5</v>
      </c>
      <c r="V121" s="102">
        <f t="shared" si="65"/>
        <v>1.0078457780944565E-2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270</v>
      </c>
      <c r="C122" s="46" t="s">
        <v>271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272</v>
      </c>
      <c r="C123" s="46" t="s">
        <v>273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274</v>
      </c>
      <c r="C124" s="46" t="s">
        <v>275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1.7480313432951757</v>
      </c>
      <c r="K124" s="55">
        <f t="shared" si="68"/>
        <v>0.2066844762816501</v>
      </c>
      <c r="L124" s="55">
        <f t="shared" si="69"/>
        <v>3.1913820738829791E-3</v>
      </c>
      <c r="M124" s="55">
        <f t="shared" si="52"/>
        <v>0.99680861792611697</v>
      </c>
      <c r="N124" s="55">
        <f t="shared" si="70"/>
        <v>1.6159631684293928E-3</v>
      </c>
      <c r="O124" s="56">
        <f t="shared" si="53"/>
        <v>2.0781768611602275E-7</v>
      </c>
      <c r="P124" s="56">
        <f t="shared" si="71"/>
        <v>1.1633592525962291E-5</v>
      </c>
      <c r="Q124" s="56">
        <f t="shared" si="72"/>
        <v>5.8906945653163629E-4</v>
      </c>
      <c r="R124" s="9">
        <f>F124*$C$14</f>
        <v>3.9999999999999996E-5</v>
      </c>
      <c r="S124" s="9">
        <f t="shared" ref="S124:S127" si="73">$R124*L124</f>
        <v>1.2765528295531915E-7</v>
      </c>
      <c r="T124" s="9">
        <f t="shared" ref="T124:T127" si="74">R124*K124</f>
        <v>8.2673790512660024E-6</v>
      </c>
      <c r="U124" s="9">
        <f t="shared" ref="U124:U127" si="75">$R124*M124</f>
        <v>3.9872344717044677E-5</v>
      </c>
      <c r="V124" s="102">
        <f t="shared" ref="V124:V127" si="76">K124/M124</f>
        <v>0.20734619721854117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276</v>
      </c>
      <c r="C125" s="46" t="s">
        <v>277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278</v>
      </c>
      <c r="C126" s="46" t="s">
        <v>279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1.1902304989634933</v>
      </c>
      <c r="K126" s="55">
        <f t="shared" si="68"/>
        <v>0.45081799587465698</v>
      </c>
      <c r="L126" s="55">
        <f t="shared" si="69"/>
        <v>1.9269539771213161E-3</v>
      </c>
      <c r="M126" s="55">
        <f t="shared" si="52"/>
        <v>0.99807304602287872</v>
      </c>
      <c r="N126" s="55">
        <f t="shared" si="70"/>
        <v>5.4037449569588607E-4</v>
      </c>
      <c r="O126" s="56">
        <f t="shared" si="53"/>
        <v>4.5328974119210005E-7</v>
      </c>
      <c r="P126" s="56">
        <f t="shared" si="71"/>
        <v>7.0243539843026186E-6</v>
      </c>
      <c r="Q126" s="56">
        <f t="shared" si="72"/>
        <v>1.969835183883036E-4</v>
      </c>
      <c r="R126" s="9">
        <f>F126*$C$14</f>
        <v>3.9999999999999996E-5</v>
      </c>
      <c r="S126" s="9">
        <f t="shared" si="73"/>
        <v>7.7078159084852642E-8</v>
      </c>
      <c r="T126" s="9">
        <f t="shared" si="74"/>
        <v>1.8032719834986278E-5</v>
      </c>
      <c r="U126" s="9">
        <f t="shared" si="75"/>
        <v>3.9922921840915148E-5</v>
      </c>
      <c r="V126" s="102">
        <f t="shared" si="76"/>
        <v>0.45168837859220468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280</v>
      </c>
      <c r="C127" s="46" t="s">
        <v>281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5.8210314832371742E-3</v>
      </c>
      <c r="K127" s="55">
        <f t="shared" si="68"/>
        <v>0.99329492743562342</v>
      </c>
      <c r="L127" s="55">
        <f t="shared" si="69"/>
        <v>2.7767632209028958E-4</v>
      </c>
      <c r="M127" s="55">
        <f t="shared" si="52"/>
        <v>0.9997223236779097</v>
      </c>
      <c r="N127" s="55">
        <f t="shared" si="70"/>
        <v>3.2559431763500655E-6</v>
      </c>
      <c r="O127" s="56">
        <f t="shared" si="53"/>
        <v>9.9874096576638156E-7</v>
      </c>
      <c r="P127" s="56">
        <f t="shared" si="71"/>
        <v>1.012217625630726E-6</v>
      </c>
      <c r="Q127" s="56">
        <f t="shared" si="72"/>
        <v>1.1868938072731985E-6</v>
      </c>
      <c r="R127" s="9">
        <f>F127*$C$14</f>
        <v>3.9999999999999996E-5</v>
      </c>
      <c r="S127" s="9">
        <f t="shared" si="73"/>
        <v>1.1107052883611582E-8</v>
      </c>
      <c r="T127" s="9">
        <f t="shared" si="74"/>
        <v>3.9731797097424933E-5</v>
      </c>
      <c r="U127" s="9">
        <f t="shared" si="75"/>
        <v>3.9988892947116386E-5</v>
      </c>
      <c r="V127" s="102">
        <f t="shared" si="76"/>
        <v>0.99357081852624807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282</v>
      </c>
      <c r="C128" s="46" t="s">
        <v>283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284</v>
      </c>
      <c r="C129" s="46" t="s">
        <v>285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286</v>
      </c>
      <c r="C130" s="46" t="s">
        <v>287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0.17844969461457041</v>
      </c>
      <c r="K130" s="55">
        <f t="shared" si="79"/>
        <v>0.94827717629705011</v>
      </c>
      <c r="L130" s="55">
        <f t="shared" si="80"/>
        <v>3.9447963862272088E-4</v>
      </c>
      <c r="M130" s="55">
        <f t="shared" si="81"/>
        <v>0.99960552036137729</v>
      </c>
      <c r="N130" s="55">
        <f t="shared" si="82"/>
        <v>1.5791627716149474E-5</v>
      </c>
      <c r="O130" s="56">
        <f t="shared" si="83"/>
        <v>9.5347639126095769E-7</v>
      </c>
      <c r="P130" s="56">
        <f t="shared" si="84"/>
        <v>1.4380024921120955E-6</v>
      </c>
      <c r="Q130" s="56">
        <f t="shared" si="85"/>
        <v>5.7565455316307541E-6</v>
      </c>
      <c r="R130" s="9">
        <f>F130*$C$14</f>
        <v>3.9999999999999996E-5</v>
      </c>
      <c r="S130" s="9">
        <f t="shared" ref="S130:S131" si="86">$R130*L130</f>
        <v>1.5779185544908833E-8</v>
      </c>
      <c r="T130" s="9">
        <f t="shared" ref="T130:T131" si="87">R130*K130</f>
        <v>3.7931087051881999E-5</v>
      </c>
      <c r="U130" s="9">
        <f t="shared" ref="U130:U131" si="88">$R130*M130</f>
        <v>3.9984220814455088E-5</v>
      </c>
      <c r="V130" s="102">
        <f t="shared" ref="V130:V131" si="89">K130/M130</f>
        <v>0.94865139995848469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288</v>
      </c>
      <c r="C131" s="46" t="s">
        <v>289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-6.9344795452375681E-3</v>
      </c>
      <c r="K131" s="55">
        <f t="shared" si="79"/>
        <v>0.99588792997806375</v>
      </c>
      <c r="L131" s="55">
        <f t="shared" si="80"/>
        <v>2.7034328612381701E-4</v>
      </c>
      <c r="M131" s="55">
        <f t="shared" si="81"/>
        <v>0.99972965671387615</v>
      </c>
      <c r="N131" s="55">
        <f t="shared" si="82"/>
        <v>1.5674549513021551E-6</v>
      </c>
      <c r="O131" s="56">
        <f t="shared" si="83"/>
        <v>1.0013481852255177E-6</v>
      </c>
      <c r="P131" s="56">
        <f t="shared" si="84"/>
        <v>9.8548640058866369E-7</v>
      </c>
      <c r="Q131" s="56">
        <f t="shared" si="85"/>
        <v>5.7138668401632383E-7</v>
      </c>
      <c r="R131" s="9">
        <f>F131*$C$14</f>
        <v>3.9999999999999996E-5</v>
      </c>
      <c r="S131" s="9">
        <f t="shared" si="86"/>
        <v>1.0813731444952679E-8</v>
      </c>
      <c r="T131" s="9">
        <f t="shared" si="87"/>
        <v>3.9835517199122546E-5</v>
      </c>
      <c r="U131" s="9">
        <f t="shared" si="88"/>
        <v>3.9989186268555043E-5</v>
      </c>
      <c r="V131" s="102">
        <f t="shared" si="89"/>
        <v>0.99615723439830706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290</v>
      </c>
      <c r="C132" s="46" t="s">
        <v>291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292</v>
      </c>
      <c r="C133" s="46" t="s">
        <v>293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294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2024-10-28T22:55:56Z</dcterms:modified>
</cp:coreProperties>
</file>