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0E5DA64C-1BBF-44DF-8C9B-B6B049150896}" xr6:coauthVersionLast="47" xr6:coauthVersionMax="47" xr10:uidLastSave="{00000000-0000-0000-0000-000000000000}"/>
  <bookViews>
    <workbookView minimized="1" xWindow="43485" yWindow="2880" windowWidth="16200" windowHeight="999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R131" i="4"/>
  <c r="U131" i="4" s="1"/>
  <c r="V130" i="4"/>
  <c r="R130" i="4"/>
  <c r="V127" i="4"/>
  <c r="U127" i="4"/>
  <c r="R127" i="4"/>
  <c r="T127" i="4" s="1"/>
  <c r="V126" i="4"/>
  <c r="R126" i="4"/>
  <c r="U126" i="4" s="1"/>
  <c r="V124" i="4"/>
  <c r="U124" i="4"/>
  <c r="T124" i="4"/>
  <c r="S124" i="4"/>
  <c r="R124" i="4"/>
  <c r="V121" i="4"/>
  <c r="T121" i="4"/>
  <c r="S121" i="4"/>
  <c r="R121" i="4"/>
  <c r="U121" i="4" s="1"/>
  <c r="V120" i="4"/>
  <c r="R120" i="4"/>
  <c r="S120" i="4" s="1"/>
  <c r="V119" i="4"/>
  <c r="R119" i="4"/>
  <c r="U119" i="4" s="1"/>
  <c r="V116" i="4"/>
  <c r="R116" i="4"/>
  <c r="S116" i="4" s="1"/>
  <c r="V115" i="4"/>
  <c r="U115" i="4"/>
  <c r="T115" i="4"/>
  <c r="S115" i="4"/>
  <c r="R115" i="4"/>
  <c r="V114" i="4"/>
  <c r="R114" i="4"/>
  <c r="U114" i="4" s="1"/>
  <c r="V108" i="4"/>
  <c r="R108" i="4"/>
  <c r="U108" i="4" s="1"/>
  <c r="V107" i="4"/>
  <c r="R107" i="4"/>
  <c r="U107" i="4" s="1"/>
  <c r="V93" i="4"/>
  <c r="R93" i="4"/>
  <c r="V92" i="4"/>
  <c r="U92" i="4"/>
  <c r="R92" i="4"/>
  <c r="T92" i="4" s="1"/>
  <c r="V91" i="4"/>
  <c r="R91" i="4"/>
  <c r="U91" i="4" s="1"/>
  <c r="V90" i="4"/>
  <c r="U90" i="4"/>
  <c r="T90" i="4"/>
  <c r="S90" i="4"/>
  <c r="R90" i="4"/>
  <c r="V89" i="4"/>
  <c r="T89" i="4"/>
  <c r="S89" i="4"/>
  <c r="R89" i="4"/>
  <c r="U89" i="4" s="1"/>
  <c r="V88" i="4"/>
  <c r="R88" i="4"/>
  <c r="V86" i="4"/>
  <c r="R86" i="4"/>
  <c r="U86" i="4" s="1"/>
  <c r="V85" i="4"/>
  <c r="R85" i="4"/>
  <c r="S85" i="4" s="1"/>
  <c r="V84" i="4"/>
  <c r="U84" i="4"/>
  <c r="T84" i="4"/>
  <c r="S84" i="4"/>
  <c r="R84" i="4"/>
  <c r="V83" i="4"/>
  <c r="R83" i="4"/>
  <c r="U83" i="4" s="1"/>
  <c r="V82" i="4"/>
  <c r="R82" i="4"/>
  <c r="U82" i="4" s="1"/>
  <c r="V81" i="4"/>
  <c r="R81" i="4"/>
  <c r="U81" i="4" s="1"/>
  <c r="V80" i="4"/>
  <c r="R80" i="4"/>
  <c r="V79" i="4"/>
  <c r="U79" i="4"/>
  <c r="R79" i="4"/>
  <c r="T79" i="4" s="1"/>
  <c r="V78" i="4"/>
  <c r="R78" i="4"/>
  <c r="U78" i="4" s="1"/>
  <c r="V77" i="4"/>
  <c r="U77" i="4"/>
  <c r="T77" i="4"/>
  <c r="S77" i="4"/>
  <c r="R77" i="4"/>
  <c r="V76" i="4"/>
  <c r="T76" i="4"/>
  <c r="S76" i="4"/>
  <c r="R76" i="4"/>
  <c r="U76" i="4" s="1"/>
  <c r="V75" i="4"/>
  <c r="R75" i="4"/>
  <c r="V74" i="4"/>
  <c r="R74" i="4"/>
  <c r="U74" i="4" s="1"/>
  <c r="V73" i="4"/>
  <c r="R73" i="4"/>
  <c r="S73" i="4" s="1"/>
  <c r="V72" i="4"/>
  <c r="U72" i="4"/>
  <c r="T72" i="4"/>
  <c r="S72" i="4"/>
  <c r="R72" i="4"/>
  <c r="V71" i="4"/>
  <c r="R71" i="4"/>
  <c r="U71" i="4" s="1"/>
  <c r="V70" i="4"/>
  <c r="R70" i="4"/>
  <c r="U70" i="4" s="1"/>
  <c r="V69" i="4"/>
  <c r="R69" i="4"/>
  <c r="U69" i="4" s="1"/>
  <c r="V68" i="4"/>
  <c r="R68" i="4"/>
  <c r="V65" i="4"/>
  <c r="U65" i="4"/>
  <c r="R65" i="4"/>
  <c r="T65" i="4" s="1"/>
  <c r="V64" i="4"/>
  <c r="R64" i="4"/>
  <c r="U64" i="4" s="1"/>
  <c r="V63" i="4"/>
  <c r="U63" i="4"/>
  <c r="T63" i="4"/>
  <c r="S63" i="4"/>
  <c r="R63" i="4"/>
  <c r="V62" i="4"/>
  <c r="T62" i="4"/>
  <c r="S62" i="4"/>
  <c r="R62" i="4"/>
  <c r="U62" i="4" s="1"/>
  <c r="V61" i="4"/>
  <c r="R61" i="4"/>
  <c r="V60" i="4"/>
  <c r="R60" i="4"/>
  <c r="U60" i="4" s="1"/>
  <c r="V58" i="4"/>
  <c r="R58" i="4"/>
  <c r="S58" i="4" s="1"/>
  <c r="V57" i="4"/>
  <c r="U57" i="4"/>
  <c r="T57" i="4"/>
  <c r="S57" i="4"/>
  <c r="R57" i="4"/>
  <c r="V49" i="4"/>
  <c r="R49" i="4"/>
  <c r="U49" i="4" s="1"/>
  <c r="V48" i="4"/>
  <c r="R48" i="4"/>
  <c r="U48" i="4" s="1"/>
  <c r="V47" i="4"/>
  <c r="R47" i="4"/>
  <c r="U47" i="4" s="1"/>
  <c r="V46" i="4"/>
  <c r="R46" i="4"/>
  <c r="V45" i="4"/>
  <c r="U45" i="4"/>
  <c r="R45" i="4"/>
  <c r="T45" i="4" s="1"/>
  <c r="V44" i="4"/>
  <c r="R44" i="4"/>
  <c r="U44" i="4" s="1"/>
  <c r="V43" i="4"/>
  <c r="U43" i="4"/>
  <c r="T43" i="4"/>
  <c r="S43" i="4"/>
  <c r="R43" i="4"/>
  <c r="V42" i="4"/>
  <c r="T42" i="4"/>
  <c r="S42" i="4"/>
  <c r="R42" i="4"/>
  <c r="U42" i="4" s="1"/>
  <c r="V41" i="4"/>
  <c r="R41" i="4"/>
  <c r="V40" i="4"/>
  <c r="R40" i="4"/>
  <c r="U40" i="4" s="1"/>
  <c r="V39" i="4"/>
  <c r="R39" i="4"/>
  <c r="U39" i="4" s="1"/>
  <c r="V38" i="4"/>
  <c r="U38" i="4"/>
  <c r="T38" i="4"/>
  <c r="S38" i="4"/>
  <c r="R38" i="4"/>
  <c r="V37" i="4"/>
  <c r="R37" i="4"/>
  <c r="U37" i="4" s="1"/>
  <c r="V36" i="4"/>
  <c r="R36" i="4"/>
  <c r="U36" i="4" s="1"/>
  <c r="V35" i="4"/>
  <c r="R35" i="4"/>
  <c r="U35" i="4" s="1"/>
  <c r="V34" i="4"/>
  <c r="R34" i="4"/>
  <c r="V33" i="4"/>
  <c r="U33" i="4"/>
  <c r="R33" i="4"/>
  <c r="T33" i="4" s="1"/>
  <c r="V32" i="4"/>
  <c r="R32" i="4"/>
  <c r="U32" i="4" s="1"/>
  <c r="V31" i="4"/>
  <c r="U31" i="4"/>
  <c r="T31" i="4"/>
  <c r="S31" i="4"/>
  <c r="R31" i="4"/>
  <c r="V30" i="4"/>
  <c r="T30" i="4"/>
  <c r="S30" i="4"/>
  <c r="R30" i="4"/>
  <c r="U30" i="4" s="1"/>
  <c r="V29" i="4"/>
  <c r="R29" i="4"/>
  <c r="U29" i="4" s="1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L130" i="4"/>
  <c r="M130" i="4"/>
  <c r="N130" i="4"/>
  <c r="Q130" i="4" s="1"/>
  <c r="O130" i="4"/>
  <c r="P130" i="4"/>
  <c r="I131" i="4"/>
  <c r="L131" i="4" s="1"/>
  <c r="M131" i="4" s="1"/>
  <c r="J131" i="4"/>
  <c r="K131" i="4"/>
  <c r="O131" i="4"/>
  <c r="P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S36" i="4" l="1"/>
  <c r="S48" i="4"/>
  <c r="S70" i="4"/>
  <c r="S82" i="4"/>
  <c r="T36" i="4"/>
  <c r="T48" i="4"/>
  <c r="T70" i="4"/>
  <c r="T82" i="4"/>
  <c r="S29" i="4"/>
  <c r="U41" i="4"/>
  <c r="T41" i="4"/>
  <c r="T61" i="4"/>
  <c r="U61" i="4"/>
  <c r="U75" i="4"/>
  <c r="T75" i="4"/>
  <c r="U88" i="4"/>
  <c r="T88" i="4"/>
  <c r="T29" i="4"/>
  <c r="S41" i="4"/>
  <c r="S61" i="4"/>
  <c r="S75" i="4"/>
  <c r="S88" i="4"/>
  <c r="T34" i="4"/>
  <c r="S34" i="4"/>
  <c r="U34" i="4"/>
  <c r="T46" i="4"/>
  <c r="S46" i="4"/>
  <c r="U46" i="4"/>
  <c r="T68" i="4"/>
  <c r="S68" i="4"/>
  <c r="U68" i="4"/>
  <c r="T80" i="4"/>
  <c r="S80" i="4"/>
  <c r="U80" i="4"/>
  <c r="T93" i="4"/>
  <c r="S93" i="4"/>
  <c r="U93" i="4"/>
  <c r="S130" i="4"/>
  <c r="U130" i="4"/>
  <c r="T130" i="4"/>
  <c r="S108" i="4"/>
  <c r="T108" i="4"/>
  <c r="U120" i="4"/>
  <c r="T120" i="4"/>
  <c r="S39" i="4"/>
  <c r="S32" i="4"/>
  <c r="T39" i="4"/>
  <c r="S44" i="4"/>
  <c r="T58" i="4"/>
  <c r="S64" i="4"/>
  <c r="T73" i="4"/>
  <c r="S78" i="4"/>
  <c r="T85" i="4"/>
  <c r="S91" i="4"/>
  <c r="T116" i="4"/>
  <c r="S126" i="4"/>
  <c r="T32" i="4"/>
  <c r="S37" i="4"/>
  <c r="T44" i="4"/>
  <c r="S49" i="4"/>
  <c r="U58" i="4"/>
  <c r="T64" i="4"/>
  <c r="S71" i="4"/>
  <c r="U73" i="4"/>
  <c r="T78" i="4"/>
  <c r="S83" i="4"/>
  <c r="U85" i="4"/>
  <c r="T91" i="4"/>
  <c r="S114" i="4"/>
  <c r="U116" i="4"/>
  <c r="T126" i="4"/>
  <c r="T37" i="4"/>
  <c r="T49" i="4"/>
  <c r="T71" i="4"/>
  <c r="T83" i="4"/>
  <c r="T114" i="4"/>
  <c r="S35" i="4"/>
  <c r="S47" i="4"/>
  <c r="S69" i="4"/>
  <c r="S81" i="4"/>
  <c r="S107" i="4"/>
  <c r="S131" i="4"/>
  <c r="S28" i="4"/>
  <c r="T35" i="4"/>
  <c r="S40" i="4"/>
  <c r="T47" i="4"/>
  <c r="S60" i="4"/>
  <c r="T69" i="4"/>
  <c r="S74" i="4"/>
  <c r="T81" i="4"/>
  <c r="S86" i="4"/>
  <c r="T107" i="4"/>
  <c r="S119" i="4"/>
  <c r="T131" i="4"/>
  <c r="T28" i="4"/>
  <c r="S33" i="4"/>
  <c r="T40" i="4"/>
  <c r="S45" i="4"/>
  <c r="T60" i="4"/>
  <c r="S65" i="4"/>
  <c r="T74" i="4"/>
  <c r="S79" i="4"/>
  <c r="T86" i="4"/>
  <c r="S92" i="4"/>
  <c r="T119" i="4"/>
  <c r="S127" i="4"/>
  <c r="N131" i="4"/>
  <c r="Q131" i="4" s="1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4" i="4"/>
  <c r="M125" i="4"/>
  <c r="M126" i="4"/>
  <c r="J16" i="4"/>
  <c r="J15" i="4"/>
  <c r="J87" i="4"/>
  <c r="K87" i="4"/>
  <c r="J122" i="4"/>
  <c r="K122" i="4"/>
  <c r="J117" i="4"/>
  <c r="K117" i="4"/>
  <c r="J120" i="4"/>
  <c r="L120" i="4" s="1"/>
  <c r="M120" i="4" s="1"/>
  <c r="K120" i="4"/>
  <c r="O120" i="4" s="1"/>
  <c r="P120" i="4" s="1"/>
  <c r="J101" i="4"/>
  <c r="K101" i="4"/>
  <c r="J86" i="4"/>
  <c r="K86" i="4" s="1"/>
  <c r="J85" i="4"/>
  <c r="K85" i="4"/>
  <c r="J88" i="4"/>
  <c r="K88" i="4" s="1"/>
  <c r="J119" i="4"/>
  <c r="K119" i="4"/>
  <c r="O119" i="4" s="1"/>
  <c r="P119" i="4" s="1"/>
  <c r="J72" i="4"/>
  <c r="K72" i="4" s="1"/>
  <c r="J103" i="4"/>
  <c r="K103" i="4"/>
  <c r="J118" i="4"/>
  <c r="K118" i="4"/>
  <c r="J104" i="4"/>
  <c r="K104" i="4"/>
  <c r="J90" i="4"/>
  <c r="K90" i="4" s="1"/>
  <c r="J71" i="4"/>
  <c r="K71" i="4"/>
  <c r="J110" i="4"/>
  <c r="K110" i="4"/>
  <c r="J82" i="4"/>
  <c r="K82" i="4"/>
  <c r="J113" i="4"/>
  <c r="K113" i="4"/>
  <c r="J97" i="4"/>
  <c r="K97" i="4" s="1"/>
  <c r="J81" i="4"/>
  <c r="K81" i="4" s="1"/>
  <c r="J116" i="4"/>
  <c r="K116" i="4" s="1"/>
  <c r="O116" i="4" s="1"/>
  <c r="P116" i="4" s="1"/>
  <c r="J100" i="4"/>
  <c r="K100" i="4"/>
  <c r="O100" i="4"/>
  <c r="J84" i="4"/>
  <c r="K84" i="4" s="1"/>
  <c r="J114" i="4"/>
  <c r="L114" i="4" s="1"/>
  <c r="M114" i="4" s="1"/>
  <c r="K114" i="4"/>
  <c r="O114" i="4" s="1"/>
  <c r="P114" i="4" s="1"/>
  <c r="J78" i="4"/>
  <c r="K78" i="4" s="1"/>
  <c r="J115" i="4"/>
  <c r="L115" i="4" s="1"/>
  <c r="M115" i="4" s="1"/>
  <c r="K115" i="4"/>
  <c r="O115" i="4" s="1"/>
  <c r="P115" i="4" s="1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 s="1"/>
  <c r="J77" i="4"/>
  <c r="K77" i="4"/>
  <c r="J112" i="4"/>
  <c r="K112" i="4"/>
  <c r="J96" i="4"/>
  <c r="K96" i="4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 s="1"/>
  <c r="J79" i="4"/>
  <c r="K79" i="4" s="1"/>
  <c r="J126" i="4"/>
  <c r="K126" i="4"/>
  <c r="J94" i="4"/>
  <c r="K94" i="4"/>
  <c r="J121" i="4"/>
  <c r="L121" i="4" s="1"/>
  <c r="M121" i="4" s="1"/>
  <c r="K121" i="4"/>
  <c r="O121" i="4" s="1"/>
  <c r="P121" i="4" s="1"/>
  <c r="J105" i="4"/>
  <c r="K105" i="4"/>
  <c r="J89" i="4"/>
  <c r="K89" i="4" s="1"/>
  <c r="J73" i="4"/>
  <c r="K73" i="4"/>
  <c r="J124" i="4"/>
  <c r="K124" i="4"/>
  <c r="J108" i="4"/>
  <c r="K108" i="4"/>
  <c r="O108" i="4" s="1"/>
  <c r="P108" i="4" s="1"/>
  <c r="J92" i="4"/>
  <c r="K92" i="4" s="1"/>
  <c r="J76" i="4"/>
  <c r="L76" i="4" s="1"/>
  <c r="K76" i="4"/>
  <c r="J98" i="4"/>
  <c r="K98" i="4"/>
  <c r="J123" i="4"/>
  <c r="K123" i="4"/>
  <c r="J107" i="4"/>
  <c r="K107" i="4" s="1"/>
  <c r="O107" i="4" s="1"/>
  <c r="P107" i="4" s="1"/>
  <c r="J91" i="4"/>
  <c r="K91" i="4"/>
  <c r="J75" i="4"/>
  <c r="K75" i="4" s="1"/>
  <c r="P100" i="4"/>
  <c r="O112" i="4"/>
  <c r="P112" i="4"/>
  <c r="O98" i="4"/>
  <c r="P98" i="4"/>
  <c r="O105" i="4"/>
  <c r="P105" i="4"/>
  <c r="O126" i="4"/>
  <c r="P126" i="4"/>
  <c r="O111" i="4"/>
  <c r="P111" i="4"/>
  <c r="O104" i="4"/>
  <c r="P104" i="4"/>
  <c r="O85" i="4"/>
  <c r="P85" i="4" s="1"/>
  <c r="O91" i="4"/>
  <c r="P91" i="4"/>
  <c r="O124" i="4"/>
  <c r="P124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71" i="4"/>
  <c r="P71" i="4"/>
  <c r="O103" i="4"/>
  <c r="P103" i="4"/>
  <c r="O122" i="4"/>
  <c r="P122" i="4"/>
  <c r="O123" i="4"/>
  <c r="P123" i="4"/>
  <c r="O94" i="4"/>
  <c r="P94" i="4" s="1"/>
  <c r="O125" i="4"/>
  <c r="P125" i="4"/>
  <c r="O99" i="4"/>
  <c r="P99" i="4"/>
  <c r="O101" i="4"/>
  <c r="P101" i="4"/>
  <c r="O87" i="4"/>
  <c r="P87" i="4" s="1"/>
  <c r="I76" i="4"/>
  <c r="I77" i="4"/>
  <c r="I81" i="4"/>
  <c r="L81" i="4" s="1"/>
  <c r="I89" i="4"/>
  <c r="N89" i="4" s="1"/>
  <c r="Q89" i="4" s="1"/>
  <c r="I90" i="4"/>
  <c r="L90" i="4" s="1"/>
  <c r="I96" i="4"/>
  <c r="I99" i="4"/>
  <c r="I102" i="4"/>
  <c r="I104" i="4"/>
  <c r="I108" i="4"/>
  <c r="N108" i="4" s="1"/>
  <c r="Q108" i="4" s="1"/>
  <c r="I111" i="4"/>
  <c r="I113" i="4"/>
  <c r="I115" i="4"/>
  <c r="I119" i="4"/>
  <c r="I120" i="4"/>
  <c r="I123" i="4"/>
  <c r="I125" i="4"/>
  <c r="I79" i="4"/>
  <c r="N79" i="4" s="1"/>
  <c r="Q79" i="4" s="1"/>
  <c r="I92" i="4"/>
  <c r="L92" i="4" s="1"/>
  <c r="I100" i="4"/>
  <c r="I103" i="4"/>
  <c r="I107" i="4"/>
  <c r="I109" i="4"/>
  <c r="I110" i="4"/>
  <c r="I117" i="4"/>
  <c r="I124" i="4"/>
  <c r="I72" i="4"/>
  <c r="N72" i="4" s="1"/>
  <c r="Q72" i="4" s="1"/>
  <c r="I106" i="4"/>
  <c r="I71" i="4"/>
  <c r="L71" i="4" s="1"/>
  <c r="M71" i="4" s="1"/>
  <c r="I75" i="4"/>
  <c r="N75" i="4" s="1"/>
  <c r="Q75" i="4" s="1"/>
  <c r="I80" i="4"/>
  <c r="N80" i="4" s="1"/>
  <c r="Q80" i="4" s="1"/>
  <c r="I83" i="4"/>
  <c r="N83" i="4" s="1"/>
  <c r="Q83" i="4" s="1"/>
  <c r="I86" i="4"/>
  <c r="L86" i="4" s="1"/>
  <c r="I88" i="4"/>
  <c r="N88" i="4" s="1"/>
  <c r="Q88" i="4" s="1"/>
  <c r="I94" i="4"/>
  <c r="I95" i="4"/>
  <c r="I98" i="4"/>
  <c r="I101" i="4"/>
  <c r="I118" i="4"/>
  <c r="I127" i="4"/>
  <c r="I73" i="4"/>
  <c r="L73" i="4" s="1"/>
  <c r="I74" i="4"/>
  <c r="N74" i="4" s="1"/>
  <c r="Q74" i="4" s="1"/>
  <c r="I78" i="4"/>
  <c r="L78" i="4" s="1"/>
  <c r="I82" i="4"/>
  <c r="N82" i="4" s="1"/>
  <c r="Q82" i="4" s="1"/>
  <c r="I85" i="4"/>
  <c r="L85" i="4" s="1"/>
  <c r="I93" i="4"/>
  <c r="N93" i="4" s="1"/>
  <c r="Q93" i="4" s="1"/>
  <c r="I112" i="4"/>
  <c r="I114" i="4"/>
  <c r="I121" i="4"/>
  <c r="N121" i="4" s="1"/>
  <c r="Q121" i="4" s="1"/>
  <c r="I122" i="4"/>
  <c r="I84" i="4"/>
  <c r="L84" i="4" s="1"/>
  <c r="I87" i="4"/>
  <c r="I91" i="4"/>
  <c r="N91" i="4" s="1"/>
  <c r="Q91" i="4" s="1"/>
  <c r="I97" i="4"/>
  <c r="L97" i="4" s="1"/>
  <c r="I105" i="4"/>
  <c r="I116" i="4"/>
  <c r="N116" i="4" s="1"/>
  <c r="Q116" i="4" s="1"/>
  <c r="I126" i="4"/>
  <c r="L105" i="4"/>
  <c r="N105" i="4"/>
  <c r="Q105" i="4"/>
  <c r="N73" i="4"/>
  <c r="Q73" i="4" s="1"/>
  <c r="N101" i="4"/>
  <c r="Q101" i="4"/>
  <c r="L101" i="4"/>
  <c r="L106" i="4"/>
  <c r="N106" i="4"/>
  <c r="Q106" i="4"/>
  <c r="L124" i="4"/>
  <c r="N124" i="4"/>
  <c r="Q124" i="4"/>
  <c r="N107" i="4"/>
  <c r="Q107" i="4"/>
  <c r="L107" i="4"/>
  <c r="M107" i="4" s="1"/>
  <c r="N119" i="4"/>
  <c r="Q119" i="4" s="1"/>
  <c r="L119" i="4"/>
  <c r="M119" i="4" s="1"/>
  <c r="L108" i="4"/>
  <c r="M108" i="4" s="1"/>
  <c r="L96" i="4"/>
  <c r="N96" i="4"/>
  <c r="Q96" i="4" s="1"/>
  <c r="N77" i="4"/>
  <c r="Q77" i="4" s="1"/>
  <c r="L77" i="4"/>
  <c r="N97" i="4"/>
  <c r="Q97" i="4"/>
  <c r="N114" i="4"/>
  <c r="Q114" i="4" s="1"/>
  <c r="N98" i="4"/>
  <c r="Q98" i="4"/>
  <c r="L98" i="4"/>
  <c r="N86" i="4"/>
  <c r="Q86" i="4" s="1"/>
  <c r="N71" i="4"/>
  <c r="Q71" i="4"/>
  <c r="N117" i="4"/>
  <c r="Q117" i="4"/>
  <c r="L117" i="4"/>
  <c r="N103" i="4"/>
  <c r="Q103" i="4"/>
  <c r="L103" i="4"/>
  <c r="L125" i="4"/>
  <c r="N125" i="4"/>
  <c r="Q125" i="4"/>
  <c r="N115" i="4"/>
  <c r="Q115" i="4"/>
  <c r="L104" i="4"/>
  <c r="N104" i="4"/>
  <c r="Q104" i="4"/>
  <c r="N76" i="4"/>
  <c r="Q76" i="4"/>
  <c r="N126" i="4"/>
  <c r="Q126" i="4"/>
  <c r="L126" i="4"/>
  <c r="L112" i="4"/>
  <c r="N112" i="4"/>
  <c r="Q112" i="4"/>
  <c r="N127" i="4"/>
  <c r="Q127" i="4"/>
  <c r="N95" i="4"/>
  <c r="Q95" i="4" s="1"/>
  <c r="L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L89" i="4"/>
  <c r="N87" i="4"/>
  <c r="Q87" i="4" s="1"/>
  <c r="L87" i="4"/>
  <c r="N122" i="4"/>
  <c r="Q122" i="4"/>
  <c r="L122" i="4"/>
  <c r="N118" i="4"/>
  <c r="Q118" i="4"/>
  <c r="L118" i="4"/>
  <c r="L94" i="4"/>
  <c r="N94" i="4"/>
  <c r="Q94" i="4" s="1"/>
  <c r="L80" i="4"/>
  <c r="N109" i="4"/>
  <c r="Q109" i="4"/>
  <c r="L109" i="4"/>
  <c r="N120" i="4"/>
  <c r="Q120" i="4"/>
  <c r="N111" i="4"/>
  <c r="Q111" i="4"/>
  <c r="L111" i="4"/>
  <c r="N99" i="4"/>
  <c r="Q99" i="4"/>
  <c r="L99" i="4"/>
  <c r="N81" i="4"/>
  <c r="Q81" i="4" s="1"/>
  <c r="M73" i="4" l="1"/>
  <c r="M92" i="4"/>
  <c r="M90" i="4"/>
  <c r="M81" i="4"/>
  <c r="O79" i="4"/>
  <c r="P79" i="4" s="1"/>
  <c r="M77" i="4"/>
  <c r="M76" i="4"/>
  <c r="M97" i="4"/>
  <c r="O92" i="4"/>
  <c r="P92" i="4" s="1"/>
  <c r="M96" i="4"/>
  <c r="O80" i="4"/>
  <c r="P80" i="4" s="1"/>
  <c r="M89" i="4"/>
  <c r="N78" i="4"/>
  <c r="Q78" i="4" s="1"/>
  <c r="O96" i="4"/>
  <c r="P96" i="4" s="1"/>
  <c r="L82" i="4"/>
  <c r="M84" i="4"/>
  <c r="O84" i="4"/>
  <c r="P84" i="4" s="1"/>
  <c r="N92" i="4"/>
  <c r="Q92" i="4" s="1"/>
  <c r="L74" i="4"/>
  <c r="L116" i="4"/>
  <c r="M116" i="4" s="1"/>
  <c r="M78" i="4"/>
  <c r="O82" i="4"/>
  <c r="P82" i="4" s="1"/>
  <c r="N90" i="4"/>
  <c r="Q90" i="4" s="1"/>
  <c r="N84" i="4"/>
  <c r="Q84" i="4" s="1"/>
  <c r="O73" i="4"/>
  <c r="P73" i="4" s="1"/>
  <c r="O83" i="4"/>
  <c r="P83" i="4" s="1"/>
  <c r="O88" i="4"/>
  <c r="P88" i="4" s="1"/>
  <c r="M94" i="4"/>
  <c r="L127" i="4"/>
  <c r="M127" i="4" s="1"/>
  <c r="L91" i="4"/>
  <c r="M91" i="4" s="1"/>
  <c r="O95" i="4"/>
  <c r="P95" i="4" s="1"/>
  <c r="O77" i="4"/>
  <c r="P77" i="4" s="1"/>
  <c r="L83" i="4"/>
  <c r="O75" i="4"/>
  <c r="P75" i="4" s="1"/>
  <c r="O72" i="4"/>
  <c r="P72" i="4" s="1"/>
  <c r="L75" i="4"/>
  <c r="O89" i="4"/>
  <c r="P89" i="4" s="1"/>
  <c r="O90" i="4"/>
  <c r="P90" i="4" s="1"/>
  <c r="M80" i="4"/>
  <c r="O97" i="4"/>
  <c r="P97" i="4" s="1"/>
  <c r="L72" i="4"/>
  <c r="L79" i="4"/>
  <c r="O74" i="4"/>
  <c r="P74" i="4" s="1"/>
  <c r="O93" i="4"/>
  <c r="P93" i="4" s="1"/>
  <c r="O86" i="4"/>
  <c r="P86" i="4" s="1"/>
  <c r="O76" i="4"/>
  <c r="P76" i="4" s="1"/>
  <c r="O78" i="4"/>
  <c r="P78" i="4" s="1"/>
  <c r="M87" i="4"/>
  <c r="M95" i="4"/>
  <c r="M85" i="4"/>
  <c r="M86" i="4"/>
  <c r="O81" i="4"/>
  <c r="P81" i="4" s="1"/>
  <c r="N85" i="4"/>
  <c r="Q85" i="4" s="1"/>
  <c r="L93" i="4"/>
  <c r="L88" i="4"/>
  <c r="J14" i="4"/>
  <c r="J13" i="4" s="1"/>
  <c r="K16" i="4" s="1"/>
  <c r="M75" i="4" l="1"/>
  <c r="M79" i="4"/>
  <c r="M82" i="4"/>
  <c r="M74" i="4"/>
  <c r="M83" i="4"/>
  <c r="M72" i="4"/>
  <c r="M88" i="4"/>
  <c r="M93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O66" i="4" l="1"/>
  <c r="P66" i="4" s="1"/>
  <c r="M67" i="4"/>
  <c r="M64" i="4"/>
  <c r="M69" i="4"/>
  <c r="O69" i="4"/>
  <c r="P69" i="4" s="1"/>
  <c r="M65" i="4"/>
  <c r="O64" i="4"/>
  <c r="P64" i="4" s="1"/>
  <c r="M58" i="4"/>
  <c r="O65" i="4"/>
  <c r="P65" i="4" s="1"/>
  <c r="O68" i="4"/>
  <c r="P68" i="4" s="1"/>
  <c r="M57" i="4"/>
  <c r="M66" i="4"/>
  <c r="O67" i="4"/>
  <c r="P67" i="4" s="1"/>
  <c r="M68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L39" i="4" s="1"/>
  <c r="J45" i="4"/>
  <c r="J30" i="4"/>
  <c r="K30" i="4" s="1"/>
  <c r="J43" i="4"/>
  <c r="L43" i="4" s="1"/>
  <c r="J31" i="4"/>
  <c r="J44" i="4"/>
  <c r="L44" i="4" s="1"/>
  <c r="J36" i="4"/>
  <c r="K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50" i="4"/>
  <c r="M50" i="4" s="1"/>
  <c r="K50" i="4"/>
  <c r="O50" i="4" s="1"/>
  <c r="P50" i="4" s="1"/>
  <c r="L49" i="4"/>
  <c r="K49" i="4"/>
  <c r="M48" i="4" l="1"/>
  <c r="O48" i="4"/>
  <c r="P48" i="4" s="1"/>
  <c r="O49" i="4"/>
  <c r="P49" i="4" s="1"/>
  <c r="M49" i="4"/>
  <c r="K44" i="4"/>
  <c r="M35" i="4"/>
  <c r="M43" i="4"/>
  <c r="O45" i="4"/>
  <c r="P45" i="4" s="1"/>
  <c r="O47" i="4"/>
  <c r="P47" i="4" s="1"/>
  <c r="O31" i="4"/>
  <c r="P31" i="4" s="1"/>
  <c r="O33" i="4"/>
  <c r="P33" i="4" s="1"/>
  <c r="O36" i="4"/>
  <c r="P36" i="4" s="1"/>
  <c r="K35" i="4"/>
  <c r="K43" i="4"/>
  <c r="M44" i="4"/>
  <c r="O28" i="4"/>
  <c r="P28" i="4" s="1"/>
  <c r="O46" i="4"/>
  <c r="P46" i="4" s="1"/>
  <c r="O41" i="4"/>
  <c r="P41" i="4" s="1"/>
  <c r="L36" i="4"/>
  <c r="M45" i="4"/>
  <c r="M31" i="4"/>
  <c r="O30" i="4"/>
  <c r="P30" i="4" s="1"/>
  <c r="O44" i="4"/>
  <c r="P44" i="4" s="1"/>
  <c r="M39" i="4"/>
  <c r="K39" i="4"/>
  <c r="L30" i="4"/>
  <c r="L47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K40" i="4"/>
  <c r="K32" i="4"/>
  <c r="L28" i="4"/>
  <c r="O29" i="4" l="1"/>
  <c r="P29" i="4" s="1"/>
  <c r="O34" i="4"/>
  <c r="P34" i="4" s="1"/>
  <c r="O42" i="4"/>
  <c r="P42" i="4" s="1"/>
  <c r="M41" i="4"/>
  <c r="O38" i="4"/>
  <c r="P38" i="4" s="1"/>
  <c r="O35" i="4"/>
  <c r="P35" i="4" s="1"/>
  <c r="M33" i="4"/>
  <c r="O40" i="4"/>
  <c r="P40" i="4" s="1"/>
  <c r="M36" i="4"/>
  <c r="O37" i="4"/>
  <c r="P37" i="4" s="1"/>
  <c r="M30" i="4"/>
  <c r="O32" i="4"/>
  <c r="P32" i="4" s="1"/>
  <c r="M46" i="4"/>
  <c r="O39" i="4"/>
  <c r="P39" i="4" s="1"/>
  <c r="O43" i="4"/>
  <c r="P43" i="4" s="1"/>
  <c r="M47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<sst xmlns="http://schemas.openxmlformats.org/spreadsheetml/2006/main" count="318" uniqueCount="294">
  <si>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</si>
  <si>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</si>
  <si>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</si>
  <si>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</si>
  <si>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</si>
  <si>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</si>
  <si>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</si>
  <si>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</si>
  <si>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</si>
  <si>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</si>
  <si>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</si>
  <si>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</si>
  <si>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</si>
  <si>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</si>
  <si>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</si>
  <si>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</si>
  <si>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</si>
  <si>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</si>
  <si>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</si>
  <si>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</si>
  <si>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</si>
  <si>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</si>
  <si>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</si>
  <si>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</si>
  <si>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</si>
  <si>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</si>
  <si>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</si>
  <si>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</si>
  <si>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</si>
  <si>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</si>
  <si>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</si>
  <si>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</si>
  <si>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</si>
  <si>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</si>
  <si>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</si>
  <si>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</si>
  <si>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</si>
  <si>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</si>
  <si>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</si>
  <si>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</si>
  <si>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</si>
  <si>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</si>
  <si>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</si>
  <si>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</si>
  <si>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</si>
  <si>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</si>
  <si>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</si>
  <si>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</si>
  <si>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</si>
  <si>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</si>
  <si>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</si>
  <si>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</si>
  <si>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</si>
  <si>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</si>
  <si>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</si>
  <si>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</si>
  <si>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</si>
  <si>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</si>
  <si>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</si>
  <si>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</si>
  <si>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</si>
  <si>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</si>
  <si>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</si>
  <si>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</si>
  <si>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</si>
  <si>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</si>
  <si>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</si>
  <si>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</si>
  <si>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</si>
  <si>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</si>
  <si>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</si>
  <si>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</si>
  <si>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</si>
  <si>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</si>
  <si>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</si>
  <si>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</si>
  <si>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</si>
  <si>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</si>
  <si>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</si>
  <si>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</si>
  <si>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</si>
  <si>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</si>
  <si>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</si>
  <si>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</si>
  <si>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</si>
  <si>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</si>
  <si>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</si>
  <si>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</si>
  <si>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</si>
  <si>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</si>
  <si>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</si>
  <si>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</si>
  <si>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</si>
  <si>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</si>
  <si>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</si>
  <si>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</si>
  <si>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</si>
  <si>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</si>
  <si>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</si>
  <si>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</si>
  <si>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</si>
  <si>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</si>
  <si>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</si>
  <si>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</si>
  <si>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</si>
  <si>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</si>
  <si>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</si>
  <si>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</si>
  <si>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</si>
  <si>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</si>
  <si>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</si>
  <si>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Balb/c 3T3</t>
    <phoneticPr fontId="22" type="noConversion"/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</si>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</sst>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3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  <font>
      <sz val="9"/>
      <name val="新細明體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1.4831999999999998E-3</v>
      </c>
      <c r="M17" s="81">
        <v>5.7599999999999991E-4</v>
      </c>
      <c r="N17" s="81">
        <v>3.4079999999999994E-4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0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40.013440000000003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39.987585920000001</v>
      </c>
      <c r="K8" s="39">
        <f>J8/J7</f>
        <v>0.99935386510132596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2.2425599999999997E-2</v>
      </c>
      <c r="K9" s="39">
        <f>J9/J7</f>
        <v>5.6045168823275367E-4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3.4284799999999994E-3</v>
      </c>
      <c r="K10" s="39">
        <f>J10/J7</f>
        <v>8.5683210441291698E-5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1.3439999999999997E-2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8.3059199999999996E-3</v>
      </c>
      <c r="K20" s="39">
        <f>J20/J19</f>
        <v>0.6180000000000001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3.225599999999999E-3</v>
      </c>
      <c r="K21" s="39">
        <f>J21/J19</f>
        <v>0.24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1.9084799999999995E-3</v>
      </c>
      <c r="K22" s="39">
        <f>J22/J19</f>
        <v>0.14199999999999999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1.352715763119182</v>
      </c>
      <c r="K28" s="95">
        <f t="shared" ref="K28:K47" si="3">IF(D28=0,"",1/(1+10^D28*$J$15/$J$14+10^E28*$J$16/$J$14+10^J28*$J$19/$J$14))</f>
        <v>0.9692230682403008</v>
      </c>
      <c r="L28" s="95">
        <f t="shared" ref="L28:L47" si="4">IF(D28=0,"",1/(1+10^I28/10^J28*$J$13/$J$19))</f>
        <v>7.3401309084324354E-3</v>
      </c>
      <c r="M28" s="95">
        <f t="shared" ref="M28:M47" si="5">IF(D28=0,"",1-L28)</f>
        <v>0.99265986909156756</v>
      </c>
      <c r="N28" s="95">
        <f t="shared" ref="N28:N47" si="6">IF(D28=0,"",1/(1/10^E28*$J$20/$J$22+10^D28/10^E28*$J$21/$J$22+10^I28/10^E28*$J$13/$J$22+1))</f>
        <v>3.6959099970948822E-3</v>
      </c>
      <c r="O28" s="40">
        <f>IF(D28=0,"",F28*K28*$J$7/$J$14)</f>
        <v>9.7005121371993649E-7</v>
      </c>
      <c r="P28" s="40">
        <f t="shared" ref="P28:P47" si="7">IF(D28=0,"",O28*10^J28)</f>
        <v>2.1852967834576405E-5</v>
      </c>
      <c r="Q28" s="40">
        <f t="shared" ref="Q28:Q47" si="8">IF(D28=0,"",F28*N28*$J$7/$J$22)</f>
        <v>7.7488929888789139E-5</v>
      </c>
      <c r="R28" s="9">
        <f>F28*$C$14</f>
        <v>3.9999999999999996E-5</v>
      </c>
      <c r="S28" s="9">
        <f>$R28*L28</f>
        <v>2.9360523633729738E-7</v>
      </c>
      <c r="T28" s="9">
        <f>R28*K28</f>
        <v>3.876892272961203E-5</v>
      </c>
      <c r="U28" s="9">
        <f>$R28*M28</f>
        <v>3.97063947636627E-5</v>
      </c>
      <c r="V28" s="102">
        <f>K28/M28</f>
        <v>0.97638989790862107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5.0429475645742867</v>
      </c>
      <c r="K29" s="95">
        <f t="shared" si="3"/>
        <v>1.1054749947075306E-2</v>
      </c>
      <c r="L29" s="95">
        <f t="shared" si="4"/>
        <v>0.4102615233626794</v>
      </c>
      <c r="M29" s="95">
        <f t="shared" si="5"/>
        <v>0.5897384766373206</v>
      </c>
      <c r="N29" s="95">
        <f t="shared" si="6"/>
        <v>0.36139618865129369</v>
      </c>
      <c r="O29" s="40">
        <f t="shared" ref="O29:O47" si="9">IF(D29=0,"",F29*K29*$J$7/$J$14)</f>
        <v>1.1064195596376446E-8</v>
      </c>
      <c r="P29" s="40">
        <f t="shared" si="7"/>
        <v>1.221426700102766E-3</v>
      </c>
      <c r="Q29" s="40">
        <f t="shared" si="8"/>
        <v>7.5770795139730182E-3</v>
      </c>
      <c r="R29" s="9">
        <f>F29*$C$14</f>
        <v>3.9999999999999996E-5</v>
      </c>
      <c r="S29" s="9">
        <f t="shared" ref="S29:S49" si="10">$R29*L29</f>
        <v>1.6410460934507173E-5</v>
      </c>
      <c r="T29" s="9">
        <f t="shared" ref="T29:T50" si="11">R29*K29</f>
        <v>4.4218999788301221E-7</v>
      </c>
      <c r="U29" s="9">
        <f t="shared" ref="U29:U50" si="12">$R29*M29</f>
        <v>2.3589539065492823E-5</v>
      </c>
      <c r="V29" s="102">
        <f t="shared" ref="V29:V49" si="13">K29/M29</f>
        <v>1.8745173301408641E-2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8.4572977199279009</v>
      </c>
      <c r="K30" s="95">
        <f t="shared" si="3"/>
        <v>5.5905061718831247E-6</v>
      </c>
      <c r="L30" s="95">
        <f t="shared" si="4"/>
        <v>0.53865804609220336</v>
      </c>
      <c r="M30" s="95">
        <f t="shared" si="5"/>
        <v>0.46134195390779664</v>
      </c>
      <c r="N30" s="95">
        <f t="shared" si="6"/>
        <v>0.5323886349175323</v>
      </c>
      <c r="O30" s="40">
        <f t="shared" si="9"/>
        <v>5.59528293851903E-12</v>
      </c>
      <c r="P30" s="40">
        <f t="shared" si="7"/>
        <v>1.6036876047490799E-3</v>
      </c>
      <c r="Q30" s="40">
        <f t="shared" si="8"/>
        <v>1.1162129390905114E-2</v>
      </c>
      <c r="R30" s="9">
        <f t="shared" ref="R30:R49" si="14">F30*$C$14</f>
        <v>3.9999999999999996E-5</v>
      </c>
      <c r="S30" s="9">
        <f t="shared" si="10"/>
        <v>2.1546321843688131E-5</v>
      </c>
      <c r="T30" s="9">
        <f t="shared" si="11"/>
        <v>2.2362024687532498E-10</v>
      </c>
      <c r="U30" s="9">
        <f t="shared" si="12"/>
        <v>1.8453678156311866E-5</v>
      </c>
      <c r="V30" s="102">
        <f t="shared" si="13"/>
        <v>1.2117922778383251E-5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3.5247920710512646</v>
      </c>
      <c r="K31" s="95">
        <f t="shared" si="3"/>
        <v>0.25280973589815292</v>
      </c>
      <c r="L31" s="95">
        <f t="shared" si="4"/>
        <v>0.28454448082238215</v>
      </c>
      <c r="M31" s="95">
        <f t="shared" si="5"/>
        <v>0.71545551917761785</v>
      </c>
      <c r="N31" s="95">
        <f t="shared" si="6"/>
        <v>0.23870715654951352</v>
      </c>
      <c r="O31" s="40">
        <f t="shared" si="9"/>
        <v>2.5302574730651948E-7</v>
      </c>
      <c r="P31" s="40">
        <f t="shared" si="7"/>
        <v>8.4714311835696005E-4</v>
      </c>
      <c r="Q31" s="40">
        <f t="shared" si="8"/>
        <v>5.0047653033642317E-3</v>
      </c>
      <c r="R31" s="9">
        <f t="shared" si="14"/>
        <v>3.9999999999999996E-5</v>
      </c>
      <c r="S31" s="9">
        <f t="shared" si="10"/>
        <v>1.1381779232895284E-5</v>
      </c>
      <c r="T31" s="9">
        <f t="shared" si="11"/>
        <v>1.0112389435926116E-5</v>
      </c>
      <c r="U31" s="9">
        <f t="shared" si="12"/>
        <v>2.8618220767104711E-5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2.9114243406645763</v>
      </c>
      <c r="J32" s="94">
        <f t="shared" si="2"/>
        <v>6.2446121134706578</v>
      </c>
      <c r="K32" s="95">
        <f t="shared" si="3"/>
        <v>7.110533541161624E-4</v>
      </c>
      <c r="L32" s="95">
        <f t="shared" si="4"/>
        <v>0.41983496314921975</v>
      </c>
      <c r="M32" s="95">
        <f t="shared" si="5"/>
        <v>0.58016503685078025</v>
      </c>
      <c r="N32" s="95">
        <f t="shared" si="6"/>
        <v>0.3723015411373663</v>
      </c>
      <c r="O32" s="40">
        <f t="shared" si="9"/>
        <v>7.1166090839369334E-10</v>
      </c>
      <c r="P32" s="40">
        <f t="shared" si="7"/>
        <v>1.2499286538596376E-3</v>
      </c>
      <c r="Q32" s="40">
        <f t="shared" si="8"/>
        <v>7.80572255313524E-3</v>
      </c>
      <c r="R32" s="9">
        <f t="shared" si="14"/>
        <v>3.9999999999999996E-5</v>
      </c>
      <c r="S32" s="9">
        <f t="shared" si="10"/>
        <v>1.679339852596879E-5</v>
      </c>
      <c r="T32" s="9">
        <f t="shared" si="11"/>
        <v>2.8442134164646493E-8</v>
      </c>
      <c r="U32" s="9">
        <f t="shared" si="12"/>
        <v>2.3206601474031206E-5</v>
      </c>
      <c r="V32" s="102">
        <f t="shared" si="13"/>
        <v>1.2256053173694556E-3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5.7505440288504071</v>
      </c>
      <c r="K33" s="95">
        <f t="shared" si="3"/>
        <v>2.0754037817878688E-3</v>
      </c>
      <c r="L33" s="95">
        <f t="shared" si="4"/>
        <v>0.39283568575230166</v>
      </c>
      <c r="M33" s="95">
        <f t="shared" si="5"/>
        <v>0.60716431424769834</v>
      </c>
      <c r="N33" s="95">
        <f t="shared" si="6"/>
        <v>0.33615939107030368</v>
      </c>
      <c r="O33" s="40">
        <f t="shared" si="9"/>
        <v>2.0771770951938597E-9</v>
      </c>
      <c r="P33" s="40">
        <f t="shared" si="7"/>
        <v>1.1695466623295081E-3</v>
      </c>
      <c r="Q33" s="40">
        <f t="shared" si="8"/>
        <v>7.0479615322288601E-3</v>
      </c>
      <c r="R33" s="9">
        <f t="shared" si="14"/>
        <v>3.9999999999999996E-5</v>
      </c>
      <c r="S33" s="9">
        <f t="shared" si="10"/>
        <v>1.5713427430092067E-5</v>
      </c>
      <c r="T33" s="9">
        <f t="shared" si="11"/>
        <v>8.3016151271514743E-8</v>
      </c>
      <c r="U33" s="9">
        <f t="shared" si="12"/>
        <v>2.428657256990793E-5</v>
      </c>
      <c r="V33" s="102">
        <f t="shared" si="13"/>
        <v>3.4181913084918038E-3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5.7768867999222078</v>
      </c>
      <c r="K34" s="95">
        <f t="shared" si="3"/>
        <v>2.0440112056370179E-3</v>
      </c>
      <c r="L34" s="95">
        <f t="shared" si="4"/>
        <v>0.41108759576045761</v>
      </c>
      <c r="M34" s="95">
        <f t="shared" si="5"/>
        <v>0.58891240423954239</v>
      </c>
      <c r="N34" s="95">
        <f t="shared" si="6"/>
        <v>0.36076460091695178</v>
      </c>
      <c r="O34" s="40">
        <f t="shared" si="9"/>
        <v>2.0457576958885818E-9</v>
      </c>
      <c r="P34" s="40">
        <f t="shared" si="7"/>
        <v>1.2238860749780747E-3</v>
      </c>
      <c r="Q34" s="40">
        <f t="shared" si="8"/>
        <v>7.5638375633563879E-3</v>
      </c>
      <c r="R34" s="9">
        <f t="shared" si="14"/>
        <v>3.9999999999999996E-5</v>
      </c>
      <c r="S34" s="9">
        <f t="shared" si="10"/>
        <v>1.6443503830418302E-5</v>
      </c>
      <c r="T34" s="9">
        <f t="shared" si="11"/>
        <v>8.1760448225480709E-8</v>
      </c>
      <c r="U34" s="9">
        <f t="shared" si="12"/>
        <v>2.3556496169581694E-5</v>
      </c>
      <c r="V34" s="102">
        <f t="shared" si="13"/>
        <v>3.4708238286752209E-3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2.5786532271571372</v>
      </c>
      <c r="K35" s="95">
        <f t="shared" si="3"/>
        <v>0.69116490292958854</v>
      </c>
      <c r="L35" s="95">
        <f t="shared" si="4"/>
        <v>8.8064161454794607E-2</v>
      </c>
      <c r="M35" s="95">
        <f t="shared" si="5"/>
        <v>0.91193583854520543</v>
      </c>
      <c r="N35" s="95">
        <f t="shared" si="6"/>
        <v>5.868300182920963E-2</v>
      </c>
      <c r="O35" s="40">
        <f t="shared" si="9"/>
        <v>6.9175546366715237E-7</v>
      </c>
      <c r="P35" s="40">
        <f t="shared" si="7"/>
        <v>2.6218378277691499E-4</v>
      </c>
      <c r="Q35" s="40">
        <f t="shared" si="8"/>
        <v>1.2303554518323326E-3</v>
      </c>
      <c r="R35" s="9">
        <f t="shared" si="14"/>
        <v>3.9999999999999996E-5</v>
      </c>
      <c r="S35" s="9">
        <f t="shared" si="10"/>
        <v>3.522566458191784E-6</v>
      </c>
      <c r="T35" s="9">
        <f t="shared" si="11"/>
        <v>2.7646596117183538E-5</v>
      </c>
      <c r="U35" s="9">
        <f t="shared" si="12"/>
        <v>3.6477433541808217E-5</v>
      </c>
      <c r="V35" s="102">
        <f t="shared" si="13"/>
        <v>0.757909574024628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8.902979282626525</v>
      </c>
      <c r="K36" s="95">
        <f t="shared" si="3"/>
        <v>2.0082979565943436E-6</v>
      </c>
      <c r="L36" s="95">
        <f t="shared" si="4"/>
        <v>0.53997260792964441</v>
      </c>
      <c r="M36" s="95">
        <f t="shared" si="5"/>
        <v>0.46002739207035559</v>
      </c>
      <c r="N36" s="95">
        <f t="shared" si="6"/>
        <v>0.53416052610965603</v>
      </c>
      <c r="O36" s="40">
        <f t="shared" si="9"/>
        <v>2.0100139319244962E-12</v>
      </c>
      <c r="P36" s="40">
        <f t="shared" si="7"/>
        <v>1.6076013057318734E-3</v>
      </c>
      <c r="Q36" s="40">
        <f t="shared" si="8"/>
        <v>1.1199279092187061E-2</v>
      </c>
      <c r="R36" s="9">
        <f t="shared" si="14"/>
        <v>3.9999999999999996E-5</v>
      </c>
      <c r="S36" s="9">
        <f t="shared" si="10"/>
        <v>2.1598904317185773E-5</v>
      </c>
      <c r="T36" s="9">
        <f t="shared" si="11"/>
        <v>8.0331918263773736E-11</v>
      </c>
      <c r="U36" s="9">
        <f t="shared" si="12"/>
        <v>1.8401095682814223E-5</v>
      </c>
      <c r="V36" s="102">
        <f t="shared" si="13"/>
        <v>4.3656051600666397E-6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4.3302914014280267</v>
      </c>
      <c r="K37" s="95">
        <f t="shared" si="3"/>
        <v>5.1997038168982213E-2</v>
      </c>
      <c r="L37" s="95">
        <f t="shared" si="4"/>
        <v>0.37396788476909909</v>
      </c>
      <c r="M37" s="95">
        <f t="shared" si="5"/>
        <v>0.62603211523090097</v>
      </c>
      <c r="N37" s="95">
        <f t="shared" si="6"/>
        <v>0.32038800698147823</v>
      </c>
      <c r="O37" s="40">
        <f t="shared" si="9"/>
        <v>5.2041466653533517E-8</v>
      </c>
      <c r="P37" s="40">
        <f t="shared" si="7"/>
        <v>1.1133736249356598E-3</v>
      </c>
      <c r="Q37" s="40">
        <f t="shared" si="8"/>
        <v>6.7172966413444023E-3</v>
      </c>
      <c r="R37" s="9">
        <f t="shared" si="14"/>
        <v>3.9999999999999996E-5</v>
      </c>
      <c r="S37" s="9">
        <f t="shared" si="10"/>
        <v>1.4958715390763962E-5</v>
      </c>
      <c r="T37" s="9">
        <f t="shared" si="11"/>
        <v>2.0798815267592883E-6</v>
      </c>
      <c r="U37" s="9">
        <f t="shared" si="12"/>
        <v>2.5041284609236037E-5</v>
      </c>
      <c r="V37" s="102">
        <f t="shared" si="13"/>
        <v>8.305810022190957E-2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2.8460801477665378</v>
      </c>
      <c r="K38" s="95">
        <f t="shared" si="3"/>
        <v>0.5866863038792729</v>
      </c>
      <c r="L38" s="95">
        <f t="shared" si="4"/>
        <v>0.13837269444503766</v>
      </c>
      <c r="M38" s="95">
        <f t="shared" si="5"/>
        <v>0.86162730555496236</v>
      </c>
      <c r="N38" s="95">
        <f t="shared" si="6"/>
        <v>0.10628148022706622</v>
      </c>
      <c r="O38" s="40">
        <f t="shared" si="9"/>
        <v>5.871875936508875E-7</v>
      </c>
      <c r="P38" s="40">
        <f t="shared" si="7"/>
        <v>4.119618680665811E-4</v>
      </c>
      <c r="Q38" s="40">
        <f t="shared" si="8"/>
        <v>2.2283113431510429E-3</v>
      </c>
      <c r="R38" s="9">
        <f t="shared" si="14"/>
        <v>3.9999999999999996E-5</v>
      </c>
      <c r="S38" s="9">
        <f t="shared" si="10"/>
        <v>5.5349077778015057E-6</v>
      </c>
      <c r="T38" s="9">
        <f t="shared" si="11"/>
        <v>2.3467452155170914E-5</v>
      </c>
      <c r="U38" s="9">
        <f t="shared" si="12"/>
        <v>3.4465092222198488E-5</v>
      </c>
      <c r="V38" s="102">
        <f t="shared" si="13"/>
        <v>0.6809049575110625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-6.3683170976411324E-2</v>
      </c>
      <c r="K39" s="95">
        <f t="shared" si="3"/>
        <v>0.99923072013499059</v>
      </c>
      <c r="L39" s="95">
        <f t="shared" si="4"/>
        <v>2.9009945083156386E-4</v>
      </c>
      <c r="M39" s="95">
        <f t="shared" si="5"/>
        <v>0.99970990054916842</v>
      </c>
      <c r="N39" s="95">
        <f t="shared" si="6"/>
        <v>2.3104970695371963E-6</v>
      </c>
      <c r="O39" s="40">
        <f t="shared" si="9"/>
        <v>1.000084505430769E-6</v>
      </c>
      <c r="P39" s="40">
        <f t="shared" si="7"/>
        <v>8.6368132216381913E-7</v>
      </c>
      <c r="Q39" s="40">
        <f t="shared" si="8"/>
        <v>4.844218218797286E-8</v>
      </c>
      <c r="R39" s="9">
        <f t="shared" si="14"/>
        <v>3.9999999999999996E-5</v>
      </c>
      <c r="S39" s="9">
        <f t="shared" si="10"/>
        <v>1.1603978033262553E-8</v>
      </c>
      <c r="T39" s="9">
        <f t="shared" si="11"/>
        <v>3.9969228805399618E-5</v>
      </c>
      <c r="U39" s="9">
        <f t="shared" si="12"/>
        <v>3.9988396021966736E-5</v>
      </c>
      <c r="V39" s="102">
        <f t="shared" si="13"/>
        <v>0.9995206805355088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3.0863447971892604</v>
      </c>
      <c r="K40" s="95">
        <f t="shared" si="3"/>
        <v>0.40789396867638583</v>
      </c>
      <c r="L40" s="95">
        <f t="shared" si="4"/>
        <v>0.16728476133645531</v>
      </c>
      <c r="M40" s="95">
        <f t="shared" si="5"/>
        <v>0.83271523866354469</v>
      </c>
      <c r="N40" s="95">
        <f t="shared" si="6"/>
        <v>0.11063306090710863</v>
      </c>
      <c r="O40" s="40">
        <f t="shared" si="9"/>
        <v>4.0824249066002299E-7</v>
      </c>
      <c r="P40" s="40">
        <f t="shared" si="7"/>
        <v>4.9803859826269168E-4</v>
      </c>
      <c r="Q40" s="40">
        <f t="shared" si="8"/>
        <v>2.3195471498904567E-3</v>
      </c>
      <c r="R40" s="9">
        <f t="shared" si="14"/>
        <v>3.9999999999999996E-5</v>
      </c>
      <c r="S40" s="9">
        <f t="shared" si="10"/>
        <v>6.6913904534582118E-6</v>
      </c>
      <c r="T40" s="9">
        <f t="shared" si="11"/>
        <v>1.6315758747055432E-5</v>
      </c>
      <c r="U40" s="9">
        <f t="shared" si="12"/>
        <v>3.3308609546541781E-5</v>
      </c>
      <c r="V40" s="102">
        <f t="shared" si="13"/>
        <v>0.48983608049617283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3.1630398899948347</v>
      </c>
      <c r="K41" s="95">
        <f t="shared" si="3"/>
        <v>0.36114942795929061</v>
      </c>
      <c r="L41" s="95">
        <f t="shared" si="4"/>
        <v>0.1767222049309041</v>
      </c>
      <c r="M41" s="95">
        <f t="shared" si="5"/>
        <v>0.82327779506909593</v>
      </c>
      <c r="N41" s="95">
        <f t="shared" si="6"/>
        <v>0.11430377559055679</v>
      </c>
      <c r="O41" s="40">
        <f t="shared" si="9"/>
        <v>3.6145800941596241E-7</v>
      </c>
      <c r="P41" s="40">
        <f t="shared" si="7"/>
        <v>5.2613566545166952E-4</v>
      </c>
      <c r="Q41" s="40">
        <f t="shared" si="8"/>
        <v>2.3965078315550648E-3</v>
      </c>
      <c r="R41" s="9">
        <f t="shared" si="14"/>
        <v>3.9999999999999996E-5</v>
      </c>
      <c r="S41" s="9">
        <f t="shared" si="10"/>
        <v>7.0688881972361634E-6</v>
      </c>
      <c r="T41" s="9">
        <f t="shared" si="11"/>
        <v>1.4445977118371623E-5</v>
      </c>
      <c r="U41" s="9">
        <f t="shared" si="12"/>
        <v>3.2931111802763831E-5</v>
      </c>
      <c r="V41" s="102">
        <f t="shared" si="13"/>
        <v>0.43867262073912744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1.4796577057346774</v>
      </c>
      <c r="J42" s="94">
        <f t="shared" si="2"/>
        <v>4.8333812334786872</v>
      </c>
      <c r="K42" s="95">
        <f t="shared" si="3"/>
        <v>1.8833396423670403E-2</v>
      </c>
      <c r="L42" s="95">
        <f t="shared" si="4"/>
        <v>0.43139408063965029</v>
      </c>
      <c r="M42" s="95">
        <f t="shared" si="5"/>
        <v>0.56860591936034965</v>
      </c>
      <c r="N42" s="95">
        <f t="shared" si="6"/>
        <v>0.39139862222779542</v>
      </c>
      <c r="O42" s="40">
        <f t="shared" si="9"/>
        <v>1.8849488479901345E-8</v>
      </c>
      <c r="P42" s="40">
        <f t="shared" si="7"/>
        <v>1.2843423483653142E-3</v>
      </c>
      <c r="Q42" s="40">
        <f t="shared" si="8"/>
        <v>8.2061144400751192E-3</v>
      </c>
      <c r="R42" s="9">
        <f t="shared" si="14"/>
        <v>3.9999999999999996E-5</v>
      </c>
      <c r="S42" s="9">
        <f t="shared" si="10"/>
        <v>1.725576322558601E-5</v>
      </c>
      <c r="T42" s="9">
        <f t="shared" si="11"/>
        <v>7.5333585694681607E-7</v>
      </c>
      <c r="U42" s="9">
        <f t="shared" si="12"/>
        <v>2.2744236774413984E-5</v>
      </c>
      <c r="V42" s="102">
        <f t="shared" si="13"/>
        <v>3.3122054805298083E-2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4.5239348971579787</v>
      </c>
      <c r="K43" s="95">
        <f t="shared" si="3"/>
        <v>3.4458451045242949E-2</v>
      </c>
      <c r="L43" s="95">
        <f t="shared" si="4"/>
        <v>0.38707484521295543</v>
      </c>
      <c r="M43" s="95">
        <f t="shared" si="5"/>
        <v>0.61292515478704457</v>
      </c>
      <c r="N43" s="95">
        <f t="shared" si="6"/>
        <v>0.33466430704677752</v>
      </c>
      <c r="O43" s="40">
        <f t="shared" si="9"/>
        <v>3.448789381378969E-8</v>
      </c>
      <c r="P43" s="40">
        <f t="shared" si="7"/>
        <v>1.1523955427409141E-3</v>
      </c>
      <c r="Q43" s="40">
        <f t="shared" si="8"/>
        <v>7.0166154060602223E-3</v>
      </c>
      <c r="R43" s="9">
        <f t="shared" si="14"/>
        <v>3.9999999999999996E-5</v>
      </c>
      <c r="S43" s="9">
        <f t="shared" si="10"/>
        <v>1.5482993808518215E-5</v>
      </c>
      <c r="T43" s="9">
        <f t="shared" si="11"/>
        <v>1.3783380418097178E-6</v>
      </c>
      <c r="U43" s="9">
        <f t="shared" si="12"/>
        <v>2.4517006191481782E-5</v>
      </c>
      <c r="V43" s="102">
        <f t="shared" si="13"/>
        <v>5.6219671808404134E-2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0.14841008082679896</v>
      </c>
      <c r="J44" s="94">
        <f t="shared" si="2"/>
        <v>2.7903744043145644</v>
      </c>
      <c r="K44" s="95">
        <f t="shared" si="3"/>
        <v>0.61897762881157248</v>
      </c>
      <c r="L44" s="95">
        <f t="shared" si="4"/>
        <v>0.12841437947060633</v>
      </c>
      <c r="M44" s="95">
        <f t="shared" si="5"/>
        <v>0.8715856205293937</v>
      </c>
      <c r="N44" s="95">
        <f t="shared" si="6"/>
        <v>9.9108658464437047E-2</v>
      </c>
      <c r="O44" s="40">
        <f t="shared" si="9"/>
        <v>6.1950650966686052E-7</v>
      </c>
      <c r="P44" s="40">
        <f t="shared" si="7"/>
        <v>3.8231406756579906E-4</v>
      </c>
      <c r="Q44" s="40">
        <f t="shared" si="8"/>
        <v>2.0779250287911036E-3</v>
      </c>
      <c r="R44" s="9">
        <f t="shared" si="14"/>
        <v>3.9999999999999996E-5</v>
      </c>
      <c r="S44" s="9">
        <f t="shared" si="10"/>
        <v>5.1365751788242525E-6</v>
      </c>
      <c r="T44" s="9">
        <f t="shared" si="11"/>
        <v>2.4759105152462897E-5</v>
      </c>
      <c r="U44" s="9">
        <f t="shared" si="12"/>
        <v>3.4863424821175743E-5</v>
      </c>
      <c r="V44" s="102">
        <f t="shared" si="13"/>
        <v>0.71017420920231644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4.522432495717549</v>
      </c>
      <c r="K45" s="95">
        <f t="shared" si="3"/>
        <v>2.998425598917067E-2</v>
      </c>
      <c r="L45" s="95">
        <f t="shared" si="4"/>
        <v>0.33565264428759073</v>
      </c>
      <c r="M45" s="95">
        <f t="shared" si="5"/>
        <v>0.66434735571240933</v>
      </c>
      <c r="N45" s="95">
        <f t="shared" si="6"/>
        <v>0.26445873827137251</v>
      </c>
      <c r="O45" s="40">
        <f t="shared" si="9"/>
        <v>3.000987581485513E-8</v>
      </c>
      <c r="P45" s="40">
        <f t="shared" si="7"/>
        <v>9.9930185588116538E-4</v>
      </c>
      <c r="Q45" s="40">
        <f t="shared" si="8"/>
        <v>5.5446763163864796E-3</v>
      </c>
      <c r="R45" s="9">
        <f t="shared" si="14"/>
        <v>3.9999999999999996E-5</v>
      </c>
      <c r="S45" s="9">
        <f t="shared" si="10"/>
        <v>1.3426105771503628E-5</v>
      </c>
      <c r="T45" s="9">
        <f t="shared" si="11"/>
        <v>1.1993702395668267E-6</v>
      </c>
      <c r="U45" s="9">
        <f t="shared" si="12"/>
        <v>2.657389422849637E-5</v>
      </c>
      <c r="V45" s="102">
        <f t="shared" si="13"/>
        <v>4.5133401572761911E-2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0.12747825886296771</v>
      </c>
      <c r="J46" s="94">
        <f t="shared" si="2"/>
        <v>2.7020905339390611</v>
      </c>
      <c r="K46" s="95">
        <f t="shared" si="3"/>
        <v>0.66174897018829193</v>
      </c>
      <c r="L46" s="95">
        <f t="shared" si="4"/>
        <v>0.11203355274234342</v>
      </c>
      <c r="M46" s="95">
        <f t="shared" si="5"/>
        <v>0.88796644725765661</v>
      </c>
      <c r="N46" s="95">
        <f t="shared" si="6"/>
        <v>8.5305674008879617E-2</v>
      </c>
      <c r="O46" s="40">
        <f t="shared" si="9"/>
        <v>6.6231439669976559E-7</v>
      </c>
      <c r="P46" s="40">
        <f t="shared" si="7"/>
        <v>3.3354522623828828E-4</v>
      </c>
      <c r="Q46" s="40">
        <f t="shared" si="8"/>
        <v>1.788529860734126E-3</v>
      </c>
      <c r="R46" s="9">
        <f t="shared" si="14"/>
        <v>3.9999999999999996E-5</v>
      </c>
      <c r="S46" s="9">
        <f t="shared" si="10"/>
        <v>4.481342109693736E-6</v>
      </c>
      <c r="T46" s="9">
        <f t="shared" si="11"/>
        <v>2.6469958807531675E-5</v>
      </c>
      <c r="U46" s="9">
        <f t="shared" si="12"/>
        <v>3.551865789030626E-5</v>
      </c>
      <c r="V46" s="102">
        <f t="shared" si="13"/>
        <v>0.74524096291250486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3.6364018134902829</v>
      </c>
      <c r="K47" s="95">
        <f t="shared" si="3"/>
        <v>0.15097923011559028</v>
      </c>
      <c r="L47" s="95">
        <f t="shared" si="4"/>
        <v>0.21972694635170772</v>
      </c>
      <c r="M47" s="95">
        <f t="shared" si="5"/>
        <v>0.78027305364829225</v>
      </c>
      <c r="N47" s="95">
        <f t="shared" si="6"/>
        <v>0.13157999060598666</v>
      </c>
      <c r="O47" s="40">
        <f t="shared" si="9"/>
        <v>1.5110823320170761E-7</v>
      </c>
      <c r="P47" s="40">
        <f t="shared" si="7"/>
        <v>6.5416897204072005E-4</v>
      </c>
      <c r="Q47" s="40">
        <f t="shared" si="8"/>
        <v>2.7587232034463091E-3</v>
      </c>
      <c r="R47" s="9">
        <f t="shared" si="14"/>
        <v>3.9999999999999996E-5</v>
      </c>
      <c r="S47" s="9">
        <f t="shared" si="10"/>
        <v>8.7890778540683087E-6</v>
      </c>
      <c r="T47" s="9">
        <f t="shared" si="11"/>
        <v>6.0391692046236104E-6</v>
      </c>
      <c r="U47" s="9">
        <f t="shared" si="12"/>
        <v>3.1210922145931684E-5</v>
      </c>
      <c r="V47" s="102">
        <f t="shared" si="13"/>
        <v>0.19349537884162804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1.7600042430072071</v>
      </c>
      <c r="K48" s="95">
        <f t="shared" ref="K48:K50" si="17">IF(D48=0,"",1/(1+10^D48*$J$15/$J$14+10^E48*$J$16/$J$14+10^J48*$J$19/$J$14))</f>
        <v>0.92764750359398218</v>
      </c>
      <c r="L48" s="95">
        <f t="shared" ref="L48:L50" si="18">IF(D48=0,"",1/(1+10^I48/10^J48*$J$13/$J$19))</f>
        <v>1.794533307169385E-2</v>
      </c>
      <c r="M48" s="95">
        <f t="shared" ref="M48:M92" si="19">IF(D48=0,"",1-L48)</f>
        <v>0.98205466692830612</v>
      </c>
      <c r="N48" s="95">
        <f t="shared" ref="N48:N50" si="20">IF(D48=0,"",1/(1/10^E48*$J$20/$J$22+10^D48/10^E48*$J$21/$J$22+10^I48/10^E48*$J$13/$J$22+1))</f>
        <v>9.9425463621016161E-3</v>
      </c>
      <c r="O48" s="40">
        <f t="shared" ref="O48:O92" si="21">IF(D48=0,"",F48*K48*$J$7/$J$14)</f>
        <v>9.2844012514001227E-7</v>
      </c>
      <c r="P48" s="40">
        <f t="shared" ref="P48:P50" si="22">IF(D48=0,"",O48*10^J48)</f>
        <v>5.3426674713112929E-5</v>
      </c>
      <c r="Q48" s="40">
        <f t="shared" ref="Q48:Q50" si="23">IF(D48=0,"",F48*N48*$J$7/$J$22)</f>
        <v>2.0845672069247327E-4</v>
      </c>
      <c r="R48" s="9">
        <f t="shared" si="14"/>
        <v>3.9999999999999996E-5</v>
      </c>
      <c r="S48" s="9">
        <f t="shared" si="10"/>
        <v>7.1781332286775389E-7</v>
      </c>
      <c r="T48" s="9">
        <f t="shared" si="11"/>
        <v>3.7105900143759286E-5</v>
      </c>
      <c r="U48" s="9">
        <f t="shared" si="12"/>
        <v>3.9282186677132243E-5</v>
      </c>
      <c r="V48" s="102">
        <f t="shared" si="13"/>
        <v>0.94459864082261336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1.2491688866071173</v>
      </c>
      <c r="K49" s="95">
        <f t="shared" si="17"/>
        <v>0.9777727164346669</v>
      </c>
      <c r="L49" s="95">
        <f t="shared" si="18"/>
        <v>5.8340628234073641E-3</v>
      </c>
      <c r="M49" s="95">
        <f t="shared" si="19"/>
        <v>0.99416593717659263</v>
      </c>
      <c r="N49" s="95">
        <f t="shared" si="20"/>
        <v>3.3212575848876008E-3</v>
      </c>
      <c r="O49" s="40">
        <f t="shared" si="21"/>
        <v>9.7860816709794572E-7</v>
      </c>
      <c r="P49" s="40">
        <f t="shared" si="22"/>
        <v>1.7369116275345332E-5</v>
      </c>
      <c r="Q49" s="40">
        <f t="shared" si="23"/>
        <v>6.9633918666920776E-5</v>
      </c>
      <c r="R49" s="9">
        <f t="shared" si="14"/>
        <v>3.9999999999999996E-5</v>
      </c>
      <c r="S49" s="9">
        <f t="shared" si="10"/>
        <v>2.3336251293629455E-7</v>
      </c>
      <c r="T49" s="9">
        <f t="shared" si="11"/>
        <v>3.9110908657386675E-5</v>
      </c>
      <c r="U49" s="9">
        <f t="shared" si="12"/>
        <v>3.9766637487063698E-5</v>
      </c>
      <c r="V49" s="102">
        <f t="shared" si="13"/>
        <v>0.98351057893968674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2.8775248633271803E-2</v>
      </c>
      <c r="K57" s="55">
        <f t="shared" si="26"/>
        <v>0.99903767785899833</v>
      </c>
      <c r="L57" s="55">
        <f t="shared" si="27"/>
        <v>3.5885699526594833E-4</v>
      </c>
      <c r="M57" s="55">
        <f t="shared" si="28"/>
        <v>0.99964114300473406</v>
      </c>
      <c r="N57" s="55">
        <f t="shared" si="29"/>
        <v>5.7630251145026137E-5</v>
      </c>
      <c r="O57" s="56">
        <f t="shared" si="30"/>
        <v>9.9989129821123216E-7</v>
      </c>
      <c r="P57" s="56">
        <f t="shared" si="31"/>
        <v>1.0683856286201122E-6</v>
      </c>
      <c r="Q57" s="56">
        <f t="shared" si="32"/>
        <v>1.2082833440101206E-6</v>
      </c>
      <c r="R57" s="9">
        <f t="shared" ref="R57:R58" si="33">F57*$C$14</f>
        <v>3.9999999999999996E-5</v>
      </c>
      <c r="S57" s="9">
        <f t="shared" ref="S57:S58" si="34">$R57*L57</f>
        <v>1.4354279810637932E-8</v>
      </c>
      <c r="T57" s="9">
        <f t="shared" ref="T57:T58" si="35">R57*K57</f>
        <v>3.996150711435993E-5</v>
      </c>
      <c r="U57" s="9">
        <f t="shared" ref="U57:U58" si="36">$R57*M57</f>
        <v>3.9985645720189359E-5</v>
      </c>
      <c r="V57" s="102">
        <f t="shared" ref="V57:V58" si="37">K57/M57</f>
        <v>0.99939631821883423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1.9645678547977998</v>
      </c>
      <c r="K58" s="55">
        <f t="shared" si="26"/>
        <v>0.89381521846672629</v>
      </c>
      <c r="L58" s="55">
        <f t="shared" si="27"/>
        <v>2.7693630915227235E-2</v>
      </c>
      <c r="M58" s="55">
        <f t="shared" si="28"/>
        <v>0.97230636908477275</v>
      </c>
      <c r="N58" s="55">
        <f t="shared" si="29"/>
        <v>1.6533674731660373E-2</v>
      </c>
      <c r="O58" s="56">
        <f t="shared" si="30"/>
        <v>8.9457893226704535E-7</v>
      </c>
      <c r="P58" s="56">
        <f t="shared" si="31"/>
        <v>8.2449214211948672E-5</v>
      </c>
      <c r="Q58" s="56">
        <f t="shared" si="32"/>
        <v>3.4664717568683379E-4</v>
      </c>
      <c r="R58" s="9">
        <f t="shared" si="33"/>
        <v>3.9999999999999996E-5</v>
      </c>
      <c r="S58" s="9">
        <f t="shared" si="34"/>
        <v>1.1077452366090893E-6</v>
      </c>
      <c r="T58" s="9">
        <f t="shared" si="35"/>
        <v>3.575260873866905E-5</v>
      </c>
      <c r="U58" s="9">
        <f t="shared" si="36"/>
        <v>3.8892254763390905E-5</v>
      </c>
      <c r="V58" s="102">
        <f t="shared" si="37"/>
        <v>0.91927323206580469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2.0350331374712782</v>
      </c>
      <c r="K60" s="55">
        <f t="shared" si="26"/>
        <v>0.86116370182762059</v>
      </c>
      <c r="L60" s="55">
        <f t="shared" si="27"/>
        <v>3.1382183221112601E-2</v>
      </c>
      <c r="M60" s="55">
        <f t="shared" si="28"/>
        <v>0.96861781677888736</v>
      </c>
      <c r="N60" s="55">
        <f t="shared" si="29"/>
        <v>1.5182432556166371E-2</v>
      </c>
      <c r="O60" s="56">
        <f t="shared" si="30"/>
        <v>8.6189951678112722E-7</v>
      </c>
      <c r="P60" s="56">
        <f t="shared" si="31"/>
        <v>9.3430737007961013E-5</v>
      </c>
      <c r="Q60" s="56">
        <f t="shared" si="32"/>
        <v>3.1831685641987861E-4</v>
      </c>
      <c r="R60" s="9">
        <f t="shared" ref="R60:R65" si="38">F60*$C$14</f>
        <v>3.9999999999999996E-5</v>
      </c>
      <c r="S60" s="9">
        <f t="shared" ref="S60:S93" si="39">$R60*L60</f>
        <v>1.255287328844504E-6</v>
      </c>
      <c r="T60" s="9">
        <f t="shared" ref="T60:T93" si="40">R60*K60</f>
        <v>3.4446548073104819E-5</v>
      </c>
      <c r="U60" s="9">
        <f t="shared" ref="U60:U93" si="41">$R60*M60</f>
        <v>3.8744712671155488E-5</v>
      </c>
      <c r="V60" s="102">
        <f t="shared" ref="V60:V93" si="42">K60/M60</f>
        <v>0.8890644864363505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3.0186926757394756</v>
      </c>
      <c r="K61" s="55">
        <f t="shared" si="26"/>
        <v>0.41666867582869638</v>
      </c>
      <c r="L61" s="55">
        <f t="shared" si="27"/>
        <v>0.1462338211388218</v>
      </c>
      <c r="M61" s="55">
        <f t="shared" si="28"/>
        <v>0.85376617886117823</v>
      </c>
      <c r="N61" s="55">
        <f t="shared" si="29"/>
        <v>8.3947254493768317E-2</v>
      </c>
      <c r="O61" s="56">
        <f t="shared" si="30"/>
        <v>4.1702469529593806E-7</v>
      </c>
      <c r="P61" s="56">
        <f t="shared" si="31"/>
        <v>4.3536593959144193E-4</v>
      </c>
      <c r="Q61" s="56">
        <f t="shared" si="32"/>
        <v>1.7600490604308819E-3</v>
      </c>
      <c r="R61" s="9">
        <f t="shared" si="38"/>
        <v>3.9999999999999996E-5</v>
      </c>
      <c r="S61" s="9">
        <f t="shared" si="39"/>
        <v>5.8493528455528713E-6</v>
      </c>
      <c r="T61" s="9">
        <f t="shared" si="40"/>
        <v>1.6666747033147855E-5</v>
      </c>
      <c r="U61" s="9">
        <f t="shared" si="41"/>
        <v>3.4150647154447127E-5</v>
      </c>
      <c r="V61" s="102">
        <f t="shared" si="42"/>
        <v>0.48803605266313366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2.7486001130708546</v>
      </c>
      <c r="K62" s="55">
        <f t="shared" si="26"/>
        <v>0.59671401029706617</v>
      </c>
      <c r="L62" s="55">
        <f t="shared" si="27"/>
        <v>0.11244254016220889</v>
      </c>
      <c r="M62" s="55">
        <f t="shared" si="28"/>
        <v>0.88755745983779111</v>
      </c>
      <c r="N62" s="55">
        <f t="shared" si="29"/>
        <v>7.3259150675993312E-2</v>
      </c>
      <c r="O62" s="56">
        <f t="shared" si="30"/>
        <v>5.972238681682371E-7</v>
      </c>
      <c r="P62" s="56">
        <f t="shared" si="31"/>
        <v>3.3476285968959355E-4</v>
      </c>
      <c r="Q62" s="56">
        <f t="shared" si="32"/>
        <v>1.5359608851152847E-3</v>
      </c>
      <c r="R62" s="9">
        <f t="shared" si="38"/>
        <v>3.9999999999999996E-5</v>
      </c>
      <c r="S62" s="9">
        <f t="shared" si="39"/>
        <v>4.4977016064883554E-6</v>
      </c>
      <c r="T62" s="9">
        <f t="shared" si="40"/>
        <v>2.3868560411882643E-5</v>
      </c>
      <c r="U62" s="9">
        <f t="shared" si="41"/>
        <v>3.5502298393511641E-5</v>
      </c>
      <c r="V62" s="102">
        <f t="shared" si="42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2.677877461623039</v>
      </c>
      <c r="K63" s="55">
        <f t="shared" si="26"/>
        <v>0.63009794985890333</v>
      </c>
      <c r="L63" s="55">
        <f t="shared" si="27"/>
        <v>0.1008903964028241</v>
      </c>
      <c r="M63" s="55">
        <f t="shared" si="28"/>
        <v>0.89910960359717595</v>
      </c>
      <c r="N63" s="55">
        <f t="shared" si="29"/>
        <v>6.4148825775929771E-2</v>
      </c>
      <c r="O63" s="56">
        <f t="shared" si="30"/>
        <v>6.3063633239023393E-7</v>
      </c>
      <c r="P63" s="56">
        <f t="shared" si="31"/>
        <v>3.0036992730956977E-4</v>
      </c>
      <c r="Q63" s="56">
        <f t="shared" si="32"/>
        <v>1.3449526278795797E-3</v>
      </c>
      <c r="R63" s="9">
        <f t="shared" si="38"/>
        <v>3.9999999999999996E-5</v>
      </c>
      <c r="S63" s="9">
        <f t="shared" si="39"/>
        <v>4.0356158561129636E-6</v>
      </c>
      <c r="T63" s="9">
        <f t="shared" si="40"/>
        <v>2.5203917994356132E-5</v>
      </c>
      <c r="U63" s="9">
        <f t="shared" si="41"/>
        <v>3.5964384143887032E-5</v>
      </c>
      <c r="V63" s="102">
        <f t="shared" si="42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1.9189837104465801</v>
      </c>
      <c r="K64" s="55">
        <f t="shared" si="26"/>
        <v>0.90927747538704484</v>
      </c>
      <c r="L64" s="55">
        <f t="shared" si="27"/>
        <v>2.5365559345243212E-2</v>
      </c>
      <c r="M64" s="55">
        <f t="shared" si="28"/>
        <v>0.9746344406547568</v>
      </c>
      <c r="N64" s="55">
        <f t="shared" si="29"/>
        <v>1.6389665025447031E-2</v>
      </c>
      <c r="O64" s="56">
        <f t="shared" si="30"/>
        <v>9.1005440079838843E-7</v>
      </c>
      <c r="P64" s="56">
        <f t="shared" si="31"/>
        <v>7.5518101705902439E-5</v>
      </c>
      <c r="Q64" s="56">
        <f t="shared" si="32"/>
        <v>3.4362784944868343E-4</v>
      </c>
      <c r="R64" s="9">
        <f t="shared" si="38"/>
        <v>3.9999999999999996E-5</v>
      </c>
      <c r="S64" s="9">
        <f t="shared" si="39"/>
        <v>1.0146223738097283E-6</v>
      </c>
      <c r="T64" s="9">
        <f t="shared" si="40"/>
        <v>3.6371099015481789E-5</v>
      </c>
      <c r="U64" s="9">
        <f t="shared" si="41"/>
        <v>3.8985377626190267E-5</v>
      </c>
      <c r="V64" s="102">
        <f t="shared" si="42"/>
        <v>0.93294207290293851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3.4010714909731083</v>
      </c>
      <c r="K65" s="55">
        <f t="shared" si="26"/>
        <v>0.27257320425973008</v>
      </c>
      <c r="L65" s="55">
        <f t="shared" si="27"/>
        <v>0.23073790801479591</v>
      </c>
      <c r="M65" s="55">
        <f t="shared" si="28"/>
        <v>0.76926209198520412</v>
      </c>
      <c r="N65" s="55">
        <f t="shared" si="29"/>
        <v>0.16998155747386812</v>
      </c>
      <c r="O65" s="56">
        <f t="shared" si="30"/>
        <v>2.7280610241741362E-7</v>
      </c>
      <c r="P65" s="56">
        <f t="shared" si="31"/>
        <v>6.8695070223776487E-4</v>
      </c>
      <c r="Q65" s="56">
        <f t="shared" si="32"/>
        <v>3.5638554509804534E-3</v>
      </c>
      <c r="R65" s="9">
        <f t="shared" si="38"/>
        <v>3.9999999999999996E-5</v>
      </c>
      <c r="S65" s="9">
        <f t="shared" si="39"/>
        <v>9.2295163205918357E-6</v>
      </c>
      <c r="T65" s="9">
        <f t="shared" si="40"/>
        <v>1.0902928170389202E-5</v>
      </c>
      <c r="U65" s="9">
        <f t="shared" si="41"/>
        <v>3.0770483679408162E-5</v>
      </c>
      <c r="V65" s="102">
        <f t="shared" si="42"/>
        <v>0.3543307373385724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1.9816264972737887</v>
      </c>
      <c r="K68" s="55">
        <f t="shared" si="26"/>
        <v>0.8702988109220825</v>
      </c>
      <c r="L68" s="55">
        <f t="shared" si="27"/>
        <v>2.8045241728217915E-2</v>
      </c>
      <c r="M68" s="55">
        <f t="shared" si="28"/>
        <v>0.97195475827178213</v>
      </c>
      <c r="N68" s="55">
        <f t="shared" si="29"/>
        <v>1.2452399196323082E-2</v>
      </c>
      <c r="O68" s="56">
        <f t="shared" si="30"/>
        <v>8.7104243130196669E-7</v>
      </c>
      <c r="P68" s="56">
        <f t="shared" si="31"/>
        <v>8.349602657571014E-5</v>
      </c>
      <c r="Q68" s="56">
        <f t="shared" si="32"/>
        <v>2.6107862178179601E-4</v>
      </c>
      <c r="R68" s="9">
        <f>F68*$C$14</f>
        <v>3.9999999999999996E-5</v>
      </c>
      <c r="S68" s="9">
        <f t="shared" si="39"/>
        <v>1.1218096691287164E-6</v>
      </c>
      <c r="T68" s="9">
        <f t="shared" si="40"/>
        <v>3.4811952436883297E-5</v>
      </c>
      <c r="U68" s="9">
        <f t="shared" si="41"/>
        <v>3.8878190330871279E-5</v>
      </c>
      <c r="V68" s="102">
        <f t="shared" si="42"/>
        <v>0.89541082392512539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4.3419099657043558</v>
      </c>
      <c r="K69" s="55">
        <f t="shared" si="26"/>
        <v>4.3160218929530932E-2</v>
      </c>
      <c r="L69" s="55">
        <f t="shared" si="27"/>
        <v>0.31882906451365695</v>
      </c>
      <c r="M69" s="55">
        <f t="shared" si="28"/>
        <v>0.68117093548634311</v>
      </c>
      <c r="N69" s="55">
        <f t="shared" si="29"/>
        <v>0.24432577418125001</v>
      </c>
      <c r="O69" s="56">
        <f t="shared" si="30"/>
        <v>4.3197096859264352E-8</v>
      </c>
      <c r="P69" s="56">
        <f t="shared" si="31"/>
        <v>9.4921485440277898E-4</v>
      </c>
      <c r="Q69" s="56">
        <f t="shared" si="32"/>
        <v>5.1225659716921312E-3</v>
      </c>
      <c r="R69" s="9">
        <f>F69*$C$14</f>
        <v>3.9999999999999996E-5</v>
      </c>
      <c r="S69" s="9">
        <f t="shared" si="39"/>
        <v>1.2753162580546276E-5</v>
      </c>
      <c r="T69" s="9">
        <f t="shared" si="40"/>
        <v>1.7264087571812371E-6</v>
      </c>
      <c r="U69" s="9">
        <f t="shared" si="41"/>
        <v>2.7246837419453723E-5</v>
      </c>
      <c r="V69" s="102">
        <f t="shared" si="42"/>
        <v>6.3361803449108342E-2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1.0971554041516225</v>
      </c>
      <c r="K70" s="55">
        <f t="shared" si="26"/>
        <v>0.98028778591943788</v>
      </c>
      <c r="L70" s="55">
        <f t="shared" si="27"/>
        <v>4.1216707465255064E-3</v>
      </c>
      <c r="M70" s="55">
        <f t="shared" si="28"/>
        <v>0.99587832925347453</v>
      </c>
      <c r="N70" s="55">
        <f t="shared" si="29"/>
        <v>1.4994266866099159E-3</v>
      </c>
      <c r="O70" s="56">
        <f t="shared" si="30"/>
        <v>9.8112538556522941E-7</v>
      </c>
      <c r="P70" s="56">
        <f t="shared" si="31"/>
        <v>1.2270998892548628E-5</v>
      </c>
      <c r="Q70" s="56">
        <f t="shared" si="32"/>
        <v>3.1437175007893557E-5</v>
      </c>
      <c r="R70" s="9">
        <f t="shared" ref="R70:R86" si="43">F70*$C$14</f>
        <v>3.9999999999999996E-5</v>
      </c>
      <c r="S70" s="9">
        <f t="shared" si="39"/>
        <v>1.6486682986102025E-7</v>
      </c>
      <c r="T70" s="9">
        <f t="shared" si="40"/>
        <v>3.9211511436777512E-5</v>
      </c>
      <c r="U70" s="9">
        <f t="shared" si="41"/>
        <v>3.9835133170138979E-5</v>
      </c>
      <c r="V70" s="102">
        <f t="shared" si="42"/>
        <v>0.98434493162862224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2.8589842167479149E-2</v>
      </c>
      <c r="J71" s="54">
        <f t="shared" ref="J71:J122" si="45">IF(D71=0,"",LOG($K$21*10^D71+$K$22*10^E71+$K$20))</f>
        <v>1.8562658331213004</v>
      </c>
      <c r="K71" s="55">
        <f t="shared" ref="K71:K122" si="46">IF(D71=0,"",1/(1+10^D71*$J$15/$J$14+10^E71*$J$16/$J$14+10^J71*$J$19/$J$14))</f>
        <v>0.91512707694091955</v>
      </c>
      <c r="L71" s="55">
        <f t="shared" ref="L71:L122" si="47">IF(D71=0,"",1/(1+10^I71/10^J71*$J$13/$J$19))</f>
        <v>2.2095892018318054E-2</v>
      </c>
      <c r="M71" s="55">
        <f t="shared" si="19"/>
        <v>0.97790410798168192</v>
      </c>
      <c r="N71" s="55">
        <f t="shared" ref="N71:N122" si="48">IF(D71=0,"",1/(1/10^E71*$J$20/$J$22+10^D71/10^E71*$J$21/$J$22+10^I71/10^E71*$J$13/$J$22+1))</f>
        <v>1.3113905510471662E-2</v>
      </c>
      <c r="O71" s="56">
        <f t="shared" si="21"/>
        <v>9.1590900050103113E-7</v>
      </c>
      <c r="P71" s="56">
        <f t="shared" ref="P71:P122" si="49">IF(D71=0,"",O71*10^J71)</f>
        <v>6.5783679279869688E-5</v>
      </c>
      <c r="Q71" s="56">
        <f t="shared" ref="Q71:Q122" si="50">IF(D71=0,"",F71*N71*$J$7/$J$22)</f>
        <v>2.7494784923547924E-4</v>
      </c>
      <c r="R71" s="9">
        <f t="shared" si="43"/>
        <v>3.9999999999999996E-5</v>
      </c>
      <c r="S71" s="9">
        <f t="shared" si="39"/>
        <v>8.838356807327221E-7</v>
      </c>
      <c r="T71" s="9">
        <f t="shared" si="40"/>
        <v>3.6605083077636776E-5</v>
      </c>
      <c r="U71" s="9">
        <f t="shared" si="41"/>
        <v>3.9116164319267275E-5</v>
      </c>
      <c r="V71" s="102">
        <f t="shared" si="42"/>
        <v>0.93580451239710072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4.5043006346732313E-2</v>
      </c>
      <c r="J72" s="54">
        <f t="shared" si="45"/>
        <v>1.9791588629447154</v>
      </c>
      <c r="K72" s="55">
        <f t="shared" si="46"/>
        <v>0.87573202594843214</v>
      </c>
      <c r="L72" s="55">
        <f t="shared" si="47"/>
        <v>2.8060434756657853E-2</v>
      </c>
      <c r="M72" s="55">
        <f t="shared" si="19"/>
        <v>0.97193956524334213</v>
      </c>
      <c r="N72" s="55">
        <f t="shared" si="48"/>
        <v>1.3525361356483426E-2</v>
      </c>
      <c r="O72" s="56">
        <f t="shared" si="21"/>
        <v>8.7648028869869668E-7</v>
      </c>
      <c r="P72" s="56">
        <f t="shared" si="49"/>
        <v>8.3541259115285996E-5</v>
      </c>
      <c r="Q72" s="56">
        <f t="shared" si="50"/>
        <v>2.8357448603913502E-4</v>
      </c>
      <c r="R72" s="9">
        <f t="shared" si="43"/>
        <v>3.9999999999999996E-5</v>
      </c>
      <c r="S72" s="9">
        <f t="shared" si="39"/>
        <v>1.122417390266314E-6</v>
      </c>
      <c r="T72" s="9">
        <f t="shared" si="40"/>
        <v>3.5029281037937279E-5</v>
      </c>
      <c r="U72" s="9">
        <f t="shared" si="41"/>
        <v>3.8877582609733685E-5</v>
      </c>
      <c r="V72" s="102">
        <f t="shared" si="42"/>
        <v>0.90101489564238213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2.829962486439805</v>
      </c>
      <c r="J73" s="54">
        <f t="shared" si="45"/>
        <v>6.2517180889118604</v>
      </c>
      <c r="K73" s="55">
        <f t="shared" si="46"/>
        <v>7.8335763377731463E-4</v>
      </c>
      <c r="L73" s="55">
        <f t="shared" si="47"/>
        <v>0.47015652641561545</v>
      </c>
      <c r="M73" s="55">
        <f t="shared" si="19"/>
        <v>0.52984347358438455</v>
      </c>
      <c r="N73" s="55">
        <f t="shared" si="48"/>
        <v>0.44017028873847908</v>
      </c>
      <c r="O73" s="56">
        <f t="shared" si="21"/>
        <v>7.8402696791164211E-10</v>
      </c>
      <c r="P73" s="56">
        <f t="shared" si="49"/>
        <v>1.3997455327633673E-3</v>
      </c>
      <c r="Q73" s="56">
        <f t="shared" si="50"/>
        <v>9.2286675460155794E-3</v>
      </c>
      <c r="R73" s="9">
        <f t="shared" si="43"/>
        <v>3.9999999999999996E-5</v>
      </c>
      <c r="S73" s="9">
        <f t="shared" si="39"/>
        <v>1.8806261056624617E-5</v>
      </c>
      <c r="T73" s="9">
        <f t="shared" si="40"/>
        <v>3.1334305351092585E-8</v>
      </c>
      <c r="U73" s="9">
        <f t="shared" si="41"/>
        <v>2.119373894337538E-5</v>
      </c>
      <c r="V73" s="102">
        <f t="shared" si="42"/>
        <v>1.4784699120249797E-3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3.957220636313619E-3</v>
      </c>
      <c r="J74" s="54">
        <f t="shared" si="45"/>
        <v>0.92896201878272155</v>
      </c>
      <c r="K74" s="55">
        <f t="shared" si="46"/>
        <v>0.98762411741766254</v>
      </c>
      <c r="L74" s="55">
        <f t="shared" si="47"/>
        <v>2.8191488411625307E-3</v>
      </c>
      <c r="M74" s="55">
        <f t="shared" si="19"/>
        <v>0.99718085115883748</v>
      </c>
      <c r="N74" s="55">
        <f t="shared" si="48"/>
        <v>1.16420733527996E-3</v>
      </c>
      <c r="O74" s="56">
        <f t="shared" si="21"/>
        <v>9.884679855376232E-7</v>
      </c>
      <c r="P74" s="56">
        <f t="shared" si="49"/>
        <v>8.3931430808725055E-6</v>
      </c>
      <c r="Q74" s="56">
        <f t="shared" si="50"/>
        <v>2.4408922471173173E-5</v>
      </c>
      <c r="R74" s="9">
        <f t="shared" si="43"/>
        <v>3.9999999999999996E-5</v>
      </c>
      <c r="S74" s="9">
        <f t="shared" si="39"/>
        <v>1.1276595364650123E-7</v>
      </c>
      <c r="T74" s="9">
        <f t="shared" si="40"/>
        <v>3.9504964696706497E-5</v>
      </c>
      <c r="U74" s="9">
        <f t="shared" si="41"/>
        <v>3.9887234046353498E-5</v>
      </c>
      <c r="V74" s="102">
        <f t="shared" si="42"/>
        <v>0.99041624823614605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4.1980440605165602E-3</v>
      </c>
      <c r="J75" s="54">
        <f t="shared" si="45"/>
        <v>0.93601930537447964</v>
      </c>
      <c r="K75" s="55">
        <f t="shared" si="46"/>
        <v>0.98703259675909094</v>
      </c>
      <c r="L75" s="55">
        <f t="shared" si="47"/>
        <v>2.863618115087251E-3</v>
      </c>
      <c r="M75" s="55">
        <f t="shared" si="19"/>
        <v>0.99713638188491271</v>
      </c>
      <c r="N75" s="55">
        <f t="shared" si="48"/>
        <v>1.1095864384685786E-3</v>
      </c>
      <c r="O75" s="56">
        <f t="shared" si="21"/>
        <v>9.8787595945860146E-7</v>
      </c>
      <c r="P75" s="56">
        <f t="shared" si="49"/>
        <v>8.5255365796842889E-6</v>
      </c>
      <c r="Q75" s="56">
        <f t="shared" si="50"/>
        <v>2.3263733641681426E-5</v>
      </c>
      <c r="R75" s="9">
        <f t="shared" si="43"/>
        <v>3.9999999999999996E-5</v>
      </c>
      <c r="S75" s="9">
        <f t="shared" si="39"/>
        <v>1.1454472460349003E-7</v>
      </c>
      <c r="T75" s="9">
        <f t="shared" si="40"/>
        <v>3.9481303870363635E-5</v>
      </c>
      <c r="U75" s="9">
        <f t="shared" si="41"/>
        <v>3.9885455275396506E-5</v>
      </c>
      <c r="V75" s="102">
        <f t="shared" si="42"/>
        <v>0.98986719839995974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0.35626551305621779</v>
      </c>
      <c r="J76" s="54">
        <f t="shared" si="45"/>
        <v>3.1898469808277863</v>
      </c>
      <c r="K76" s="55">
        <f t="shared" si="46"/>
        <v>0.35804836336300466</v>
      </c>
      <c r="L76" s="55">
        <f t="shared" si="47"/>
        <v>0.18636011679445655</v>
      </c>
      <c r="M76" s="55">
        <f t="shared" si="19"/>
        <v>0.81363988320554348</v>
      </c>
      <c r="N76" s="55">
        <f t="shared" si="48"/>
        <v>0.12669904387073661</v>
      </c>
      <c r="O76" s="56">
        <f t="shared" si="21"/>
        <v>3.583542951379761E-7</v>
      </c>
      <c r="P76" s="56">
        <f t="shared" si="49"/>
        <v>5.5482956486220113E-4</v>
      </c>
      <c r="Q76" s="56">
        <f t="shared" si="50"/>
        <v>2.656388639115468E-3</v>
      </c>
      <c r="R76" s="9">
        <f t="shared" si="43"/>
        <v>3.9999999999999996E-5</v>
      </c>
      <c r="S76" s="9">
        <f t="shared" si="39"/>
        <v>7.4544046717782613E-6</v>
      </c>
      <c r="T76" s="9">
        <f t="shared" si="40"/>
        <v>1.4321934534520186E-5</v>
      </c>
      <c r="U76" s="9">
        <f t="shared" si="41"/>
        <v>3.2545595328221739E-5</v>
      </c>
      <c r="V76" s="102">
        <f t="shared" si="42"/>
        <v>0.44005753743582615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2.1004549420906745E-4</v>
      </c>
      <c r="J77" s="54">
        <f t="shared" si="45"/>
        <v>0.11582725100744908</v>
      </c>
      <c r="K77" s="55">
        <f t="shared" si="46"/>
        <v>0.99856086406738442</v>
      </c>
      <c r="L77" s="55">
        <f t="shared" si="47"/>
        <v>4.3829457203685624E-4</v>
      </c>
      <c r="M77" s="55">
        <f t="shared" si="19"/>
        <v>0.99956170542796319</v>
      </c>
      <c r="N77" s="55">
        <f t="shared" si="48"/>
        <v>7.2381434444011172E-5</v>
      </c>
      <c r="O77" s="56">
        <f t="shared" si="21"/>
        <v>9.9941407700960201E-7</v>
      </c>
      <c r="P77" s="56">
        <f t="shared" si="49"/>
        <v>1.3048864256341094E-6</v>
      </c>
      <c r="Q77" s="56">
        <f t="shared" si="50"/>
        <v>1.5175585723923619E-6</v>
      </c>
      <c r="R77" s="9">
        <f t="shared" si="43"/>
        <v>3.9999999999999996E-5</v>
      </c>
      <c r="S77" s="9">
        <f t="shared" si="39"/>
        <v>1.7531782881474248E-8</v>
      </c>
      <c r="T77" s="9">
        <f t="shared" si="40"/>
        <v>3.9942434562695376E-5</v>
      </c>
      <c r="U77" s="9">
        <f t="shared" si="41"/>
        <v>3.9982468217118523E-5</v>
      </c>
      <c r="V77" s="102">
        <f t="shared" si="42"/>
        <v>0.99899871978373733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9.6186457475178466E-3</v>
      </c>
      <c r="J78" s="54">
        <f t="shared" si="45"/>
        <v>1.3393017792075548</v>
      </c>
      <c r="K78" s="55">
        <f t="shared" si="46"/>
        <v>0.9706216306645109</v>
      </c>
      <c r="L78" s="55">
        <f t="shared" si="47"/>
        <v>7.1271523918781188E-3</v>
      </c>
      <c r="M78" s="55">
        <f t="shared" si="19"/>
        <v>0.99287284760812189</v>
      </c>
      <c r="N78" s="55">
        <f t="shared" si="48"/>
        <v>3.6796423624927176E-3</v>
      </c>
      <c r="O78" s="56">
        <f t="shared" si="21"/>
        <v>9.7145097113546223E-7</v>
      </c>
      <c r="P78" s="56">
        <f t="shared" si="49"/>
        <v>2.1218890223457714E-5</v>
      </c>
      <c r="Q78" s="56">
        <f t="shared" si="50"/>
        <v>7.7147860545072862E-5</v>
      </c>
      <c r="R78" s="9">
        <f t="shared" si="43"/>
        <v>3.9999999999999996E-5</v>
      </c>
      <c r="S78" s="9">
        <f t="shared" si="39"/>
        <v>2.8508609567512474E-7</v>
      </c>
      <c r="T78" s="9">
        <f t="shared" si="40"/>
        <v>3.8824865226580432E-5</v>
      </c>
      <c r="U78" s="9">
        <f t="shared" si="41"/>
        <v>3.971491390432487E-5</v>
      </c>
      <c r="V78" s="102">
        <f t="shared" si="42"/>
        <v>0.9775890568493083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8.6760595853303396E-2</v>
      </c>
      <c r="J79" s="54">
        <f t="shared" si="45"/>
        <v>2.3514817080656072</v>
      </c>
      <c r="K79" s="55">
        <f t="shared" si="46"/>
        <v>0.7708457358820463</v>
      </c>
      <c r="L79" s="55">
        <f t="shared" si="47"/>
        <v>5.8212128938453726E-2</v>
      </c>
      <c r="M79" s="55">
        <f t="shared" si="19"/>
        <v>0.94178787106154627</v>
      </c>
      <c r="N79" s="55">
        <f t="shared" si="48"/>
        <v>3.3864925064265639E-2</v>
      </c>
      <c r="O79" s="56">
        <f t="shared" si="21"/>
        <v>7.7150437931778923E-7</v>
      </c>
      <c r="P79" s="56">
        <f t="shared" si="49"/>
        <v>1.733085958743365E-4</v>
      </c>
      <c r="Q79" s="56">
        <f t="shared" si="50"/>
        <v>7.1001642519884396E-4</v>
      </c>
      <c r="R79" s="9">
        <f t="shared" si="43"/>
        <v>3.9999999999999996E-5</v>
      </c>
      <c r="S79" s="9">
        <f t="shared" si="39"/>
        <v>2.3284851575381489E-6</v>
      </c>
      <c r="T79" s="9">
        <f t="shared" si="40"/>
        <v>3.0833829435281852E-5</v>
      </c>
      <c r="U79" s="9">
        <f t="shared" si="41"/>
        <v>3.7671514842461848E-5</v>
      </c>
      <c r="V79" s="102">
        <f t="shared" si="42"/>
        <v>0.81849189139925882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1.9819141928346475</v>
      </c>
      <c r="J80" s="54">
        <f t="shared" si="45"/>
        <v>5.2573793638422401</v>
      </c>
      <c r="K80" s="55">
        <f t="shared" si="46"/>
        <v>6.3785096578804507E-3</v>
      </c>
      <c r="L80" s="55">
        <f t="shared" si="47"/>
        <v>0.38784918349650843</v>
      </c>
      <c r="M80" s="55">
        <f t="shared" si="19"/>
        <v>0.61215081650349157</v>
      </c>
      <c r="N80" s="55">
        <f t="shared" si="48"/>
        <v>0.33026903845596051</v>
      </c>
      <c r="O80" s="56">
        <f t="shared" si="21"/>
        <v>6.383959728264739E-9</v>
      </c>
      <c r="P80" s="56">
        <f t="shared" si="49"/>
        <v>1.1547008953040577E-3</v>
      </c>
      <c r="Q80" s="56">
        <f t="shared" si="50"/>
        <v>6.9244636328990982E-3</v>
      </c>
      <c r="R80" s="9">
        <f t="shared" si="43"/>
        <v>3.9999999999999996E-5</v>
      </c>
      <c r="S80" s="9">
        <f t="shared" si="39"/>
        <v>1.5513967339860336E-5</v>
      </c>
      <c r="T80" s="9">
        <f t="shared" si="40"/>
        <v>2.5514038631521798E-7</v>
      </c>
      <c r="U80" s="9">
        <f t="shared" si="41"/>
        <v>2.4486032660139661E-5</v>
      </c>
      <c r="V80" s="102">
        <f t="shared" si="42"/>
        <v>1.0419833619292525E-2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0.12726341031571042</v>
      </c>
      <c r="J81" s="54">
        <f t="shared" si="45"/>
        <v>2.638206330325866</v>
      </c>
      <c r="K81" s="55">
        <f t="shared" si="46"/>
        <v>0.67234813015778327</v>
      </c>
      <c r="L81" s="55">
        <f t="shared" si="47"/>
        <v>9.8257301338817257E-2</v>
      </c>
      <c r="M81" s="55">
        <f t="shared" si="19"/>
        <v>0.90174269866118273</v>
      </c>
      <c r="N81" s="55">
        <f t="shared" si="48"/>
        <v>6.8782640825754582E-2</v>
      </c>
      <c r="O81" s="56">
        <f t="shared" si="21"/>
        <v>6.729226130430726E-7</v>
      </c>
      <c r="P81" s="56">
        <f t="shared" si="49"/>
        <v>2.9253070176210458E-4</v>
      </c>
      <c r="Q81" s="56">
        <f t="shared" si="50"/>
        <v>1.4421057971384988E-3</v>
      </c>
      <c r="R81" s="9">
        <f t="shared" si="43"/>
        <v>3.9999999999999996E-5</v>
      </c>
      <c r="S81" s="9">
        <f t="shared" si="39"/>
        <v>3.93029205355269E-6</v>
      </c>
      <c r="T81" s="9">
        <f t="shared" si="40"/>
        <v>2.6893925206311329E-5</v>
      </c>
      <c r="U81" s="9">
        <f t="shared" si="41"/>
        <v>3.6069707946447304E-5</v>
      </c>
      <c r="V81" s="102">
        <f t="shared" si="42"/>
        <v>0.74560973008821529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0.47104615060046062</v>
      </c>
      <c r="J82" s="54">
        <f t="shared" si="45"/>
        <v>3.4821247233434276</v>
      </c>
      <c r="K82" s="55">
        <f t="shared" si="46"/>
        <v>0.25125194270770629</v>
      </c>
      <c r="L82" s="55">
        <f t="shared" si="47"/>
        <v>0.25632941833288836</v>
      </c>
      <c r="M82" s="55">
        <f t="shared" si="19"/>
        <v>0.74367058166711164</v>
      </c>
      <c r="N82" s="55">
        <f t="shared" si="48"/>
        <v>0.20035956173904074</v>
      </c>
      <c r="O82" s="56">
        <f t="shared" si="21"/>
        <v>2.5146662307120698E-7</v>
      </c>
      <c r="P82" s="56">
        <f t="shared" si="49"/>
        <v>7.6314150302811998E-4</v>
      </c>
      <c r="Q82" s="56">
        <f t="shared" si="50"/>
        <v>4.2007646410082387E-3</v>
      </c>
      <c r="R82" s="9">
        <f t="shared" si="43"/>
        <v>3.9999999999999996E-5</v>
      </c>
      <c r="S82" s="9">
        <f t="shared" si="39"/>
        <v>1.0253176733315533E-5</v>
      </c>
      <c r="T82" s="9">
        <f t="shared" si="40"/>
        <v>1.005007770830825E-5</v>
      </c>
      <c r="U82" s="9">
        <f t="shared" si="41"/>
        <v>2.9746823266684462E-5</v>
      </c>
      <c r="V82" s="102">
        <f t="shared" si="42"/>
        <v>0.337853814446265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0.17835694544431219</v>
      </c>
      <c r="J83" s="54">
        <f t="shared" si="45"/>
        <v>2.8279013612794559</v>
      </c>
      <c r="K83" s="55">
        <f t="shared" si="46"/>
        <v>0.57643090811492703</v>
      </c>
      <c r="L83" s="55">
        <f t="shared" si="47"/>
        <v>0.13038058371543843</v>
      </c>
      <c r="M83" s="55">
        <f t="shared" si="19"/>
        <v>0.86961941628456163</v>
      </c>
      <c r="N83" s="55">
        <f t="shared" si="48"/>
        <v>9.3518149405607223E-2</v>
      </c>
      <c r="O83" s="56">
        <f t="shared" si="21"/>
        <v>5.769234352395077E-7</v>
      </c>
      <c r="P83" s="56">
        <f t="shared" si="49"/>
        <v>3.8816783211775846E-4</v>
      </c>
      <c r="Q83" s="56">
        <f t="shared" si="50"/>
        <v>1.9607136884600843E-3</v>
      </c>
      <c r="R83" s="9">
        <f t="shared" si="43"/>
        <v>3.9999999999999996E-5</v>
      </c>
      <c r="S83" s="9">
        <f t="shared" si="39"/>
        <v>5.2152233486175362E-6</v>
      </c>
      <c r="T83" s="9">
        <f t="shared" si="40"/>
        <v>2.3057236324597078E-5</v>
      </c>
      <c r="U83" s="9">
        <f t="shared" si="41"/>
        <v>3.4784776651382465E-5</v>
      </c>
      <c r="V83" s="102">
        <f t="shared" si="42"/>
        <v>0.66285422947169359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5.9812805986470914E-3</v>
      </c>
      <c r="J84" s="54">
        <f t="shared" si="45"/>
        <v>1.1194464580046877</v>
      </c>
      <c r="K84" s="55">
        <f t="shared" si="46"/>
        <v>0.98152848485173994</v>
      </c>
      <c r="L84" s="55">
        <f t="shared" si="47"/>
        <v>4.3442385583171575E-3</v>
      </c>
      <c r="M84" s="55">
        <f t="shared" si="19"/>
        <v>0.99565576144168288</v>
      </c>
      <c r="N84" s="55">
        <f t="shared" si="48"/>
        <v>2.0398796824878979E-3</v>
      </c>
      <c r="O84" s="56">
        <f t="shared" si="21"/>
        <v>9.8236714460355475E-7</v>
      </c>
      <c r="P84" s="56">
        <f t="shared" si="49"/>
        <v>1.2933625662121292E-5</v>
      </c>
      <c r="Q84" s="56">
        <f t="shared" si="50"/>
        <v>4.2768382839981858E-5</v>
      </c>
      <c r="R84" s="9">
        <f t="shared" si="43"/>
        <v>3.9999999999999996E-5</v>
      </c>
      <c r="S84" s="9">
        <f t="shared" si="39"/>
        <v>1.7376954233268628E-7</v>
      </c>
      <c r="T84" s="9">
        <f t="shared" si="40"/>
        <v>3.9261139394069593E-5</v>
      </c>
      <c r="U84" s="9">
        <f t="shared" si="41"/>
        <v>3.9826230457667314E-5</v>
      </c>
      <c r="V84" s="102">
        <f t="shared" si="42"/>
        <v>0.98581108337133805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0.11910186422699467</v>
      </c>
      <c r="J85" s="54">
        <f t="shared" si="45"/>
        <v>2.6217835296151417</v>
      </c>
      <c r="K85" s="55">
        <f t="shared" si="46"/>
        <v>0.68637356635816182</v>
      </c>
      <c r="L85" s="55">
        <f t="shared" si="47"/>
        <v>9.6584709837837457E-2</v>
      </c>
      <c r="M85" s="55">
        <f t="shared" si="19"/>
        <v>0.9034152901621626</v>
      </c>
      <c r="N85" s="55">
        <f t="shared" si="48"/>
        <v>6.9244166853733455E-2</v>
      </c>
      <c r="O85" s="56">
        <f t="shared" si="21"/>
        <v>6.8696003317364209E-7</v>
      </c>
      <c r="P85" s="56">
        <f t="shared" si="49"/>
        <v>2.8755107827483034E-4</v>
      </c>
      <c r="Q85" s="56">
        <f t="shared" si="50"/>
        <v>1.4517822118921095E-3</v>
      </c>
      <c r="R85" s="9">
        <f t="shared" si="43"/>
        <v>3.9999999999999996E-5</v>
      </c>
      <c r="S85" s="9">
        <f t="shared" si="39"/>
        <v>3.8633883935134983E-6</v>
      </c>
      <c r="T85" s="9">
        <f t="shared" si="40"/>
        <v>2.7454942654326472E-5</v>
      </c>
      <c r="U85" s="9">
        <f t="shared" si="41"/>
        <v>3.6136611606486499E-5</v>
      </c>
      <c r="V85" s="102">
        <f t="shared" si="42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3.4503381608646556E-2</v>
      </c>
      <c r="J86" s="54">
        <f t="shared" si="45"/>
        <v>1.9657934893493081</v>
      </c>
      <c r="K86" s="55">
        <f t="shared" si="46"/>
        <v>0.8974079212168159</v>
      </c>
      <c r="L86" s="55">
        <f t="shared" si="47"/>
        <v>2.7883525792509089E-2</v>
      </c>
      <c r="M86" s="55">
        <f t="shared" si="19"/>
        <v>0.97211647420749092</v>
      </c>
      <c r="N86" s="55">
        <f t="shared" si="48"/>
        <v>1.7485680684337739E-2</v>
      </c>
      <c r="O86" s="56">
        <f t="shared" si="21"/>
        <v>8.981747047754184E-7</v>
      </c>
      <c r="P86" s="56">
        <f t="shared" si="49"/>
        <v>8.3014567432069581E-5</v>
      </c>
      <c r="Q86" s="56">
        <f t="shared" si="50"/>
        <v>3.6660705635998663E-4</v>
      </c>
      <c r="R86" s="9">
        <f t="shared" si="43"/>
        <v>3.9999999999999996E-5</v>
      </c>
      <c r="S86" s="9">
        <f t="shared" si="39"/>
        <v>1.1153410317003635E-6</v>
      </c>
      <c r="T86" s="9">
        <f t="shared" si="40"/>
        <v>3.5896316848672635E-5</v>
      </c>
      <c r="U86" s="9">
        <f t="shared" si="41"/>
        <v>3.8884658968299634E-5</v>
      </c>
      <c r="V86" s="102">
        <f t="shared" si="42"/>
        <v>0.92314855783965544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1.1640116161103842</v>
      </c>
      <c r="J88" s="54">
        <f t="shared" si="45"/>
        <v>4.4541110421332437</v>
      </c>
      <c r="K88" s="55">
        <f t="shared" si="46"/>
        <v>4.1389218456586878E-2</v>
      </c>
      <c r="L88" s="55">
        <f t="shared" si="47"/>
        <v>0.39587909442400904</v>
      </c>
      <c r="M88" s="55">
        <f t="shared" si="19"/>
        <v>0.60412090557599096</v>
      </c>
      <c r="N88" s="55">
        <f t="shared" si="48"/>
        <v>0.34787872556613575</v>
      </c>
      <c r="O88" s="56">
        <f t="shared" si="21"/>
        <v>4.1424583168069348E-8</v>
      </c>
      <c r="P88" s="56">
        <f t="shared" si="49"/>
        <v>1.1786074696420702E-3</v>
      </c>
      <c r="Q88" s="56">
        <f t="shared" si="50"/>
        <v>7.293670624118169E-3</v>
      </c>
      <c r="R88" s="9">
        <f>F88*$C$14</f>
        <v>3.9999999999999996E-5</v>
      </c>
      <c r="S88" s="9">
        <f t="shared" si="39"/>
        <v>1.583516377696036E-5</v>
      </c>
      <c r="T88" s="9">
        <f t="shared" si="40"/>
        <v>1.6555687382634751E-6</v>
      </c>
      <c r="U88" s="9">
        <f t="shared" si="41"/>
        <v>2.4164836223039636E-5</v>
      </c>
      <c r="V88" s="102">
        <f t="shared" si="42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2.5219720041185631</v>
      </c>
      <c r="J89" s="54">
        <f t="shared" si="45"/>
        <v>5.9198274752242268</v>
      </c>
      <c r="K89" s="55">
        <f t="shared" si="46"/>
        <v>1.6331412231193115E-3</v>
      </c>
      <c r="L89" s="55">
        <f t="shared" si="47"/>
        <v>0.45647344377204163</v>
      </c>
      <c r="M89" s="55">
        <f t="shared" si="19"/>
        <v>0.54352655622795831</v>
      </c>
      <c r="N89" s="55">
        <f t="shared" si="48"/>
        <v>0.42188432136169929</v>
      </c>
      <c r="O89" s="56">
        <f t="shared" si="21"/>
        <v>1.6345366485542306E-9</v>
      </c>
      <c r="P89" s="56">
        <f t="shared" si="49"/>
        <v>1.3590083894319924E-3</v>
      </c>
      <c r="Q89" s="56">
        <f t="shared" si="50"/>
        <v>8.8452815747333373E-3</v>
      </c>
      <c r="R89" s="9">
        <f>F89*$C$14</f>
        <v>3.9999999999999996E-5</v>
      </c>
      <c r="S89" s="9">
        <f t="shared" si="39"/>
        <v>1.8258937750881664E-5</v>
      </c>
      <c r="T89" s="9">
        <f t="shared" si="40"/>
        <v>6.5325648924772459E-8</v>
      </c>
      <c r="U89" s="9">
        <f t="shared" si="41"/>
        <v>2.1741062249118329E-5</v>
      </c>
      <c r="V89" s="102">
        <f t="shared" si="42"/>
        <v>3.0047128413618162E-3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2.8671793282646911</v>
      </c>
      <c r="J90" s="54">
        <f t="shared" si="45"/>
        <v>6.2984912087723171</v>
      </c>
      <c r="K90" s="55">
        <f t="shared" si="46"/>
        <v>7.1158058416602226E-4</v>
      </c>
      <c r="L90" s="55">
        <f t="shared" si="47"/>
        <v>0.47564134510712947</v>
      </c>
      <c r="M90" s="55">
        <f t="shared" si="19"/>
        <v>0.52435865489287048</v>
      </c>
      <c r="N90" s="55">
        <f t="shared" si="48"/>
        <v>0.44755223908905067</v>
      </c>
      <c r="O90" s="56">
        <f t="shared" si="21"/>
        <v>7.1218858893136839E-10</v>
      </c>
      <c r="P90" s="56">
        <f t="shared" si="49"/>
        <v>1.4160748827353742E-3</v>
      </c>
      <c r="Q90" s="56">
        <f t="shared" si="50"/>
        <v>9.3834384775608806E-3</v>
      </c>
      <c r="R90" s="9">
        <f>F90*$C$14</f>
        <v>3.9999999999999996E-5</v>
      </c>
      <c r="S90" s="9">
        <f t="shared" si="39"/>
        <v>1.9025653804285178E-5</v>
      </c>
      <c r="T90" s="9">
        <f t="shared" si="40"/>
        <v>2.8463223366640888E-8</v>
      </c>
      <c r="U90" s="9">
        <f t="shared" si="41"/>
        <v>2.0974346195714819E-5</v>
      </c>
      <c r="V90" s="102">
        <f t="shared" si="42"/>
        <v>1.3570493736036499E-3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3.2678433041260839</v>
      </c>
      <c r="J91" s="54">
        <f t="shared" si="45"/>
        <v>6.7277753052884339</v>
      </c>
      <c r="K91" s="55">
        <f t="shared" si="46"/>
        <v>2.7397554031902268E-4</v>
      </c>
      <c r="L91" s="55">
        <f t="shared" si="47"/>
        <v>0.49209777070273802</v>
      </c>
      <c r="M91" s="55">
        <f t="shared" si="19"/>
        <v>0.50790222929726192</v>
      </c>
      <c r="N91" s="55">
        <f t="shared" si="48"/>
        <v>0.46965768890674109</v>
      </c>
      <c r="O91" s="56">
        <f t="shared" si="21"/>
        <v>2.7420963669237654E-10</v>
      </c>
      <c r="P91" s="56">
        <f t="shared" si="49"/>
        <v>1.4650687962907581E-3</v>
      </c>
      <c r="Q91" s="56">
        <f t="shared" si="50"/>
        <v>9.846904214667461E-3</v>
      </c>
      <c r="R91" s="9">
        <f t="shared" ref="R91:R92" si="51">F91*$C$14</f>
        <v>3.9999999999999996E-5</v>
      </c>
      <c r="S91" s="9">
        <f t="shared" si="39"/>
        <v>1.968391082810952E-5</v>
      </c>
      <c r="T91" s="9">
        <f t="shared" si="40"/>
        <v>1.0959021612760906E-8</v>
      </c>
      <c r="U91" s="9">
        <f t="shared" si="41"/>
        <v>2.0316089171890476E-5</v>
      </c>
      <c r="V91" s="102">
        <f t="shared" si="42"/>
        <v>5.3942574872746214E-4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4.4880081925943038</v>
      </c>
      <c r="J92" s="54">
        <f t="shared" si="45"/>
        <v>7.9903404987982469</v>
      </c>
      <c r="K92" s="55">
        <f t="shared" si="46"/>
        <v>1.5709574865631624E-5</v>
      </c>
      <c r="L92" s="55">
        <f t="shared" si="47"/>
        <v>0.51649869824635386</v>
      </c>
      <c r="M92" s="55">
        <f t="shared" si="19"/>
        <v>0.48350130175364614</v>
      </c>
      <c r="N92" s="55">
        <f t="shared" si="48"/>
        <v>0.5025104260204255</v>
      </c>
      <c r="O92" s="56">
        <f t="shared" si="21"/>
        <v>1.572299779564462E-11</v>
      </c>
      <c r="P92" s="56">
        <f t="shared" si="49"/>
        <v>1.5377150053838252E-3</v>
      </c>
      <c r="Q92" s="56">
        <f t="shared" si="50"/>
        <v>1.0535698975594579E-2</v>
      </c>
      <c r="R92" s="9">
        <f t="shared" si="51"/>
        <v>3.9999999999999996E-5</v>
      </c>
      <c r="S92" s="9">
        <f t="shared" si="39"/>
        <v>2.0659947929854152E-5</v>
      </c>
      <c r="T92" s="9">
        <f t="shared" si="40"/>
        <v>6.2838299462526491E-10</v>
      </c>
      <c r="U92" s="9">
        <f t="shared" si="41"/>
        <v>1.9340052070145844E-5</v>
      </c>
      <c r="V92" s="102">
        <f t="shared" si="42"/>
        <v>3.2491277290574858E-5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3.2311126461878961E-2</v>
      </c>
      <c r="J93" s="54">
        <f t="shared" si="45"/>
        <v>1.7879431652958269</v>
      </c>
      <c r="K93" s="55">
        <f t="shared" si="46"/>
        <v>0.91039413541005232</v>
      </c>
      <c r="L93" s="55">
        <f t="shared" si="47"/>
        <v>1.8781787256254002E-2</v>
      </c>
      <c r="M93" s="55">
        <f t="shared" ref="M93:M127" si="52">IF(D93=0,"",1-L93)</f>
        <v>0.98121821274374599</v>
      </c>
      <c r="N93" s="55">
        <f t="shared" si="48"/>
        <v>7.7282666107944603E-3</v>
      </c>
      <c r="O93" s="56">
        <f t="shared" ref="O93:O127" si="53">IF(D93=0,"",F93*K93*$J$7/$J$14)</f>
        <v>9.1117201494329059E-7</v>
      </c>
      <c r="P93" s="56">
        <f t="shared" si="49"/>
        <v>5.5916958145155072E-5</v>
      </c>
      <c r="Q93" s="56">
        <f t="shared" si="50"/>
        <v>1.6203184331773325E-4</v>
      </c>
      <c r="R93" s="9">
        <f>F93*$C$14</f>
        <v>3.9999999999999996E-5</v>
      </c>
      <c r="S93" s="9">
        <f t="shared" si="39"/>
        <v>7.5127149025015999E-7</v>
      </c>
      <c r="T93" s="9">
        <f t="shared" si="40"/>
        <v>3.641576541640209E-5</v>
      </c>
      <c r="U93" s="9">
        <f t="shared" si="41"/>
        <v>3.9248728509749834E-5</v>
      </c>
      <c r="V93" s="102">
        <f t="shared" si="42"/>
        <v>0.92782025810991542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1.9446765022663539E-3</v>
      </c>
      <c r="J107" s="54">
        <f t="shared" si="45"/>
        <v>0.65878493193924714</v>
      </c>
      <c r="K107" s="55">
        <f t="shared" si="46"/>
        <v>0.99350176633963061</v>
      </c>
      <c r="L107" s="55">
        <f t="shared" si="47"/>
        <v>1.5223617926028443E-3</v>
      </c>
      <c r="M107" s="55">
        <f t="shared" si="52"/>
        <v>0.99847763820739721</v>
      </c>
      <c r="N107" s="55">
        <f t="shared" si="48"/>
        <v>5.5415759289045787E-4</v>
      </c>
      <c r="O107" s="56">
        <f t="shared" si="53"/>
        <v>9.9435065657322563E-7</v>
      </c>
      <c r="P107" s="56">
        <f t="shared" si="49"/>
        <v>4.5323610302534512E-6</v>
      </c>
      <c r="Q107" s="56">
        <f t="shared" si="50"/>
        <v>1.1618540196212047E-5</v>
      </c>
      <c r="R107" s="9">
        <f>F107*$C$14</f>
        <v>3.9999999999999996E-5</v>
      </c>
      <c r="S107" s="9">
        <f t="shared" ref="S107:S108" si="54">$R107*L107</f>
        <v>6.089447170411377E-8</v>
      </c>
      <c r="T107" s="9">
        <f t="shared" ref="T107:T108" si="55">R107*K107</f>
        <v>3.9740070653585219E-5</v>
      </c>
      <c r="U107" s="9">
        <f t="shared" ref="U107:U108" si="56">$R107*M107</f>
        <v>3.9939105528295885E-5</v>
      </c>
      <c r="V107" s="102">
        <f t="shared" ref="V107:V108" si="57">K107/M107</f>
        <v>0.99501654150542629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1.5422749478710035E-2</v>
      </c>
      <c r="J108" s="54">
        <f t="shared" si="45"/>
        <v>1.5278597886488656</v>
      </c>
      <c r="K108" s="55">
        <f t="shared" si="46"/>
        <v>0.95417812159147575</v>
      </c>
      <c r="L108" s="55">
        <f t="shared" si="47"/>
        <v>1.0815672871979959E-2</v>
      </c>
      <c r="M108" s="55">
        <f t="shared" si="52"/>
        <v>0.98918432712802007</v>
      </c>
      <c r="N108" s="55">
        <f t="shared" si="48"/>
        <v>5.4680326483250814E-3</v>
      </c>
      <c r="O108" s="56">
        <f t="shared" si="53"/>
        <v>9.5499341202776086E-7</v>
      </c>
      <c r="P108" s="56">
        <f t="shared" si="49"/>
        <v>3.2200318268050434E-5</v>
      </c>
      <c r="Q108" s="56">
        <f t="shared" si="50"/>
        <v>1.1464348397247904E-4</v>
      </c>
      <c r="R108" s="9">
        <f>F108*$C$14</f>
        <v>3.9999999999999996E-5</v>
      </c>
      <c r="S108" s="9">
        <f t="shared" si="54"/>
        <v>4.3262691487919834E-7</v>
      </c>
      <c r="T108" s="9">
        <f t="shared" si="55"/>
        <v>3.8167124863659026E-5</v>
      </c>
      <c r="U108" s="9">
        <f t="shared" si="56"/>
        <v>3.9567373085120797E-5</v>
      </c>
      <c r="V108" s="102">
        <f t="shared" si="57"/>
        <v>0.96461103903841594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1.0353959656071578E-2</v>
      </c>
      <c r="J114" s="54">
        <f t="shared" si="45"/>
        <v>1.3877069023096393</v>
      </c>
      <c r="K114" s="55">
        <f t="shared" si="46"/>
        <v>0.96817909813263936</v>
      </c>
      <c r="L114" s="55">
        <f t="shared" si="47"/>
        <v>7.9474335433016591E-3</v>
      </c>
      <c r="M114" s="55">
        <f t="shared" si="52"/>
        <v>0.99205256645669837</v>
      </c>
      <c r="N114" s="55">
        <f t="shared" si="48"/>
        <v>4.3125818133014212E-3</v>
      </c>
      <c r="O114" s="56">
        <f t="shared" si="53"/>
        <v>9.6900635159974064E-7</v>
      </c>
      <c r="P114" s="56">
        <f t="shared" si="49"/>
        <v>2.3661023455274435E-5</v>
      </c>
      <c r="Q114" s="56">
        <f t="shared" si="50"/>
        <v>9.0418151425022885E-5</v>
      </c>
      <c r="R114" s="9">
        <f>F114*$C$14</f>
        <v>3.9999999999999996E-5</v>
      </c>
      <c r="S114" s="9">
        <f t="shared" ref="S114:S116" si="58">$R114*L114</f>
        <v>3.1789734173206633E-7</v>
      </c>
      <c r="T114" s="9">
        <f t="shared" ref="T114:T116" si="59">R114*K114</f>
        <v>3.8727163925305571E-5</v>
      </c>
      <c r="U114" s="9">
        <f t="shared" ref="U114:U116" si="60">$R114*M114</f>
        <v>3.9682102658267931E-5</v>
      </c>
      <c r="V114" s="102">
        <f t="shared" ref="V114:V116" si="61">K114/M114</f>
        <v>0.97593527890429477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2.0480395290290027E-2</v>
      </c>
      <c r="J115" s="54">
        <f t="shared" si="45"/>
        <v>1.4994216752369602</v>
      </c>
      <c r="K115" s="55">
        <f t="shared" si="46"/>
        <v>0.9438883143109974</v>
      </c>
      <c r="L115" s="55">
        <f t="shared" si="47"/>
        <v>1.0020896690825063E-2</v>
      </c>
      <c r="M115" s="55">
        <f t="shared" si="52"/>
        <v>0.98997910330917493</v>
      </c>
      <c r="N115" s="55">
        <f t="shared" si="48"/>
        <v>2.4030856717629475E-3</v>
      </c>
      <c r="O115" s="56">
        <f t="shared" si="53"/>
        <v>9.4469481269758315E-7</v>
      </c>
      <c r="P115" s="56">
        <f t="shared" si="49"/>
        <v>2.9834118190813045E-5</v>
      </c>
      <c r="Q115" s="56">
        <f t="shared" si="50"/>
        <v>5.0383406869312976E-5</v>
      </c>
      <c r="R115" s="9">
        <f>F115*$C$14</f>
        <v>3.9999999999999996E-5</v>
      </c>
      <c r="S115" s="9">
        <f t="shared" si="58"/>
        <v>4.0083586763300252E-7</v>
      </c>
      <c r="T115" s="9">
        <f t="shared" si="59"/>
        <v>3.7755532572439891E-5</v>
      </c>
      <c r="U115" s="9">
        <f t="shared" si="60"/>
        <v>3.9599164132366991E-5</v>
      </c>
      <c r="V115" s="102">
        <f t="shared" si="61"/>
        <v>0.95344266475513351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5.8413729360461944E-4</v>
      </c>
      <c r="J116" s="54">
        <f t="shared" si="45"/>
        <v>0.23502720558428336</v>
      </c>
      <c r="K116" s="55">
        <f t="shared" si="46"/>
        <v>0.99756350167959607</v>
      </c>
      <c r="L116" s="55">
        <f t="shared" si="47"/>
        <v>5.761453443380467E-4</v>
      </c>
      <c r="M116" s="55">
        <f t="shared" si="52"/>
        <v>0.99942385465566197</v>
      </c>
      <c r="N116" s="55">
        <f t="shared" si="48"/>
        <v>6.5062117796783404E-5</v>
      </c>
      <c r="O116" s="56">
        <f t="shared" si="53"/>
        <v>9.9841586243290053E-7</v>
      </c>
      <c r="P116" s="56">
        <f t="shared" si="49"/>
        <v>1.7152944320647157E-6</v>
      </c>
      <c r="Q116" s="56">
        <f t="shared" si="50"/>
        <v>1.3641008272208907E-6</v>
      </c>
      <c r="R116" s="9">
        <f>F116*$C$14</f>
        <v>3.9999999999999996E-5</v>
      </c>
      <c r="S116" s="9">
        <f t="shared" si="58"/>
        <v>2.3045813773521866E-8</v>
      </c>
      <c r="T116" s="9">
        <f t="shared" si="59"/>
        <v>3.9902540067183837E-5</v>
      </c>
      <c r="U116" s="9">
        <f t="shared" si="60"/>
        <v>3.9976954186226476E-5</v>
      </c>
      <c r="V116" s="102">
        <f t="shared" si="61"/>
        <v>0.99813857457234012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0.56658503951123784</v>
      </c>
      <c r="J119" s="54">
        <f t="shared" si="45"/>
        <v>3.5881322653047101</v>
      </c>
      <c r="K119" s="55">
        <f t="shared" si="46"/>
        <v>0.20038396698811273</v>
      </c>
      <c r="L119" s="55">
        <f t="shared" si="47"/>
        <v>0.26095134255473212</v>
      </c>
      <c r="M119" s="55">
        <f t="shared" si="52"/>
        <v>0.73904865744526793</v>
      </c>
      <c r="N119" s="55">
        <f t="shared" si="48"/>
        <v>0.19673816422900167</v>
      </c>
      <c r="O119" s="56">
        <f t="shared" si="53"/>
        <v>2.0055518358611836E-7</v>
      </c>
      <c r="P119" s="56">
        <f t="shared" si="49"/>
        <v>7.7690185180306697E-4</v>
      </c>
      <c r="Q119" s="56">
        <f t="shared" si="50"/>
        <v>4.1248379496181811E-3</v>
      </c>
      <c r="R119" s="9">
        <f>F119*$C$14</f>
        <v>3.9999999999999996E-5</v>
      </c>
      <c r="S119" s="9">
        <f t="shared" ref="S119:S121" si="62">$R119*L119</f>
        <v>1.0438053702189284E-5</v>
      </c>
      <c r="T119" s="9">
        <f t="shared" ref="T119:T121" si="63">R119*K119</f>
        <v>8.0153586795245091E-6</v>
      </c>
      <c r="U119" s="9">
        <f t="shared" ref="U119:U121" si="64">$R119*M119</f>
        <v>2.9561946297810714E-5</v>
      </c>
      <c r="V119" s="102">
        <f t="shared" ref="V119:V121" si="65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2.3514137427377815E-2</v>
      </c>
      <c r="J120" s="54">
        <f t="shared" si="45"/>
        <v>1.6895489434747182</v>
      </c>
      <c r="K120" s="55">
        <f t="shared" si="46"/>
        <v>0.93228708063194732</v>
      </c>
      <c r="L120" s="55">
        <f t="shared" si="47"/>
        <v>1.533426307057603E-2</v>
      </c>
      <c r="M120" s="55">
        <f t="shared" si="52"/>
        <v>0.98466573692942394</v>
      </c>
      <c r="N120" s="55">
        <f t="shared" si="48"/>
        <v>7.3204589651018545E-3</v>
      </c>
      <c r="O120" s="56">
        <f t="shared" si="53"/>
        <v>9.3308366643025044E-7</v>
      </c>
      <c r="P120" s="56">
        <f t="shared" si="49"/>
        <v>4.5653021973118296E-5</v>
      </c>
      <c r="Q120" s="56">
        <f t="shared" si="50"/>
        <v>1.5348169515665096E-4</v>
      </c>
      <c r="R120" s="9">
        <f>F120*$C$14</f>
        <v>3.9999999999999996E-5</v>
      </c>
      <c r="S120" s="9">
        <f t="shared" si="62"/>
        <v>6.133705228230412E-7</v>
      </c>
      <c r="T120" s="9">
        <f t="shared" si="63"/>
        <v>3.7291483225277893E-5</v>
      </c>
      <c r="U120" s="9">
        <f t="shared" si="64"/>
        <v>3.9386629477176952E-5</v>
      </c>
      <c r="V120" s="102">
        <f t="shared" si="65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1.0322461970770105</v>
      </c>
      <c r="J121" s="54">
        <f t="shared" si="45"/>
        <v>4.0463375290265402</v>
      </c>
      <c r="K121" s="55">
        <f t="shared" si="46"/>
        <v>6.8886660094514718E-2</v>
      </c>
      <c r="L121" s="55">
        <f t="shared" si="47"/>
        <v>0.25765404093821215</v>
      </c>
      <c r="M121" s="55">
        <f t="shared" si="52"/>
        <v>0.7423459590617878</v>
      </c>
      <c r="N121" s="55">
        <f t="shared" si="48"/>
        <v>0.16681948399347726</v>
      </c>
      <c r="O121" s="56">
        <f t="shared" si="53"/>
        <v>6.8945519791558499E-8</v>
      </c>
      <c r="P121" s="56">
        <f t="shared" si="49"/>
        <v>7.6708515683323653E-4</v>
      </c>
      <c r="Q121" s="56">
        <f t="shared" si="50"/>
        <v>3.4975590069604942E-3</v>
      </c>
      <c r="R121" s="9">
        <f>F121*$C$14</f>
        <v>3.9999999999999996E-5</v>
      </c>
      <c r="S121" s="9">
        <f t="shared" si="62"/>
        <v>1.0306161637528485E-5</v>
      </c>
      <c r="T121" s="9">
        <f t="shared" si="63"/>
        <v>2.7554664037805886E-6</v>
      </c>
      <c r="U121" s="9">
        <f t="shared" si="64"/>
        <v>2.9693838362471508E-5</v>
      </c>
      <c r="V121" s="102">
        <f t="shared" si="65"/>
        <v>9.2795898264977375E-2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0.13981203375224771</v>
      </c>
      <c r="J124" s="54">
        <f t="shared" si="67"/>
        <v>2.7319270672547926</v>
      </c>
      <c r="K124" s="55">
        <f t="shared" si="68"/>
        <v>0.64026999304680776</v>
      </c>
      <c r="L124" s="55">
        <f t="shared" si="69"/>
        <v>0.11610596063888134</v>
      </c>
      <c r="M124" s="55">
        <f t="shared" si="52"/>
        <v>0.88389403936111866</v>
      </c>
      <c r="N124" s="55">
        <f t="shared" si="70"/>
        <v>8.6636279399930877E-2</v>
      </c>
      <c r="O124" s="56">
        <f t="shared" si="53"/>
        <v>6.4081706700518007E-7</v>
      </c>
      <c r="P124" s="56">
        <f t="shared" si="71"/>
        <v>3.456695602430239E-4</v>
      </c>
      <c r="Q124" s="56">
        <f t="shared" si="72"/>
        <v>1.81642750649332E-3</v>
      </c>
      <c r="R124" s="9">
        <f>F124*$C$14</f>
        <v>3.9999999999999996E-5</v>
      </c>
      <c r="S124" s="9">
        <f t="shared" ref="S124:S127" si="73">$R124*L124</f>
        <v>4.6442384255552533E-6</v>
      </c>
      <c r="T124" s="9">
        <f t="shared" ref="T124:T127" si="74">R124*K124</f>
        <v>2.5610799721872309E-5</v>
      </c>
      <c r="U124" s="9">
        <f t="shared" ref="U124:U127" si="75">$R124*M124</f>
        <v>3.5355761574444746E-5</v>
      </c>
      <c r="V124" s="102">
        <f t="shared" ref="V124:V127" si="76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4.9312922410980113E-2</v>
      </c>
      <c r="J126" s="54">
        <f t="shared" si="67"/>
        <v>2.0586187754155523</v>
      </c>
      <c r="K126" s="55">
        <f t="shared" si="68"/>
        <v>0.86258893952060078</v>
      </c>
      <c r="L126" s="55">
        <f t="shared" si="69"/>
        <v>3.3188449292517262E-2</v>
      </c>
      <c r="M126" s="55">
        <f t="shared" si="52"/>
        <v>0.9668115507074827</v>
      </c>
      <c r="N126" s="55">
        <f t="shared" si="70"/>
        <v>1.7894127593411833E-2</v>
      </c>
      <c r="O126" s="56">
        <f t="shared" si="53"/>
        <v>8.6332597225790929E-7</v>
      </c>
      <c r="P126" s="56">
        <f t="shared" si="71"/>
        <v>9.8808335153212969E-5</v>
      </c>
      <c r="Q126" s="56">
        <f t="shared" si="72"/>
        <v>3.7517060740030234E-4</v>
      </c>
      <c r="R126" s="9">
        <f>F126*$C$14</f>
        <v>3.9999999999999996E-5</v>
      </c>
      <c r="S126" s="9">
        <f t="shared" si="73"/>
        <v>1.3275379717006904E-6</v>
      </c>
      <c r="T126" s="9">
        <f t="shared" si="74"/>
        <v>3.4503557580824026E-5</v>
      </c>
      <c r="U126" s="9">
        <f t="shared" si="75"/>
        <v>3.8672462028299305E-5</v>
      </c>
      <c r="V126" s="102">
        <f t="shared" si="76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5.4598878066109929E-5</v>
      </c>
      <c r="J127" s="54">
        <f t="shared" si="67"/>
        <v>3.5843904257090345E-2</v>
      </c>
      <c r="K127" s="55">
        <f t="shared" si="68"/>
        <v>0.99899186033282716</v>
      </c>
      <c r="L127" s="55">
        <f t="shared" si="69"/>
        <v>3.6472888093132174E-4</v>
      </c>
      <c r="M127" s="55">
        <f t="shared" si="52"/>
        <v>0.99963527111906869</v>
      </c>
      <c r="N127" s="55">
        <f t="shared" si="70"/>
        <v>5.6672659608919678E-5</v>
      </c>
      <c r="O127" s="56">
        <f t="shared" si="53"/>
        <v>9.9984544153661499E-7</v>
      </c>
      <c r="P127" s="56">
        <f t="shared" si="71"/>
        <v>1.0858673507003412E-6</v>
      </c>
      <c r="Q127" s="56">
        <f t="shared" si="72"/>
        <v>1.1882063552680309E-6</v>
      </c>
      <c r="R127" s="9">
        <f>F127*$C$14</f>
        <v>3.9999999999999996E-5</v>
      </c>
      <c r="S127" s="9">
        <f t="shared" si="73"/>
        <v>1.4589155237252869E-8</v>
      </c>
      <c r="T127" s="9">
        <f t="shared" si="74"/>
        <v>3.9959674413313086E-5</v>
      </c>
      <c r="U127" s="9">
        <f t="shared" si="75"/>
        <v>3.9985410844762742E-5</v>
      </c>
      <c r="V127" s="102">
        <f t="shared" si="76"/>
        <v>0.99935635445764004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2.1084810301724875E-3</v>
      </c>
      <c r="J130" s="54">
        <f t="shared" si="78"/>
        <v>0.60777493199684662</v>
      </c>
      <c r="K130" s="55">
        <f t="shared" si="79"/>
        <v>0.99329519714852221</v>
      </c>
      <c r="L130" s="55">
        <f t="shared" si="80"/>
        <v>1.3533731862510044E-3</v>
      </c>
      <c r="M130" s="55">
        <f t="shared" si="81"/>
        <v>0.99864662681374905</v>
      </c>
      <c r="N130" s="55">
        <f t="shared" si="82"/>
        <v>2.8627470785814481E-4</v>
      </c>
      <c r="O130" s="56">
        <f t="shared" si="83"/>
        <v>9.941439108806002E-7</v>
      </c>
      <c r="P130" s="56">
        <f t="shared" si="84"/>
        <v>4.0292497608380506E-6</v>
      </c>
      <c r="Q130" s="56">
        <f t="shared" si="85"/>
        <v>6.0020727733061964E-6</v>
      </c>
      <c r="R130" s="9">
        <f>F130*$C$14</f>
        <v>3.9999999999999996E-5</v>
      </c>
      <c r="S130" s="9">
        <f t="shared" ref="S130:S131" si="86">$R130*L130</f>
        <v>5.4134927450040167E-8</v>
      </c>
      <c r="T130" s="9">
        <f t="shared" ref="T130:T131" si="87">R130*K130</f>
        <v>3.9731807885940888E-5</v>
      </c>
      <c r="U130" s="9">
        <f t="shared" ref="U130:U131" si="88">$R130*M130</f>
        <v>3.9945865072549962E-5</v>
      </c>
      <c r="V130" s="102">
        <f t="shared" ref="V130:V131" si="89">K130/M130</f>
        <v>0.99464131803829259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-5.830329626681688E-5</v>
      </c>
      <c r="J131" s="54">
        <f t="shared" si="78"/>
        <v>-5.5484612143741681E-2</v>
      </c>
      <c r="K131" s="55">
        <f t="shared" si="79"/>
        <v>0.9993206467057475</v>
      </c>
      <c r="L131" s="55">
        <f t="shared" si="80"/>
        <v>2.9565453735547306E-4</v>
      </c>
      <c r="M131" s="55">
        <f t="shared" si="81"/>
        <v>0.99970434546264453</v>
      </c>
      <c r="N131" s="55">
        <f t="shared" si="82"/>
        <v>2.7220901556971256E-5</v>
      </c>
      <c r="O131" s="56">
        <f t="shared" si="83"/>
        <v>1.000174508838619E-6</v>
      </c>
      <c r="P131" s="56">
        <f t="shared" si="84"/>
        <v>8.8021987285721602E-7</v>
      </c>
      <c r="Q131" s="56">
        <f t="shared" si="85"/>
        <v>5.7071696386431942E-7</v>
      </c>
      <c r="R131" s="9">
        <f>F131*$C$14</f>
        <v>3.9999999999999996E-5</v>
      </c>
      <c r="S131" s="9">
        <f t="shared" si="86"/>
        <v>1.1826181494218922E-8</v>
      </c>
      <c r="T131" s="9">
        <f t="shared" si="87"/>
        <v>3.9972825868229899E-5</v>
      </c>
      <c r="U131" s="9">
        <f t="shared" si="88"/>
        <v>3.9988173818505776E-5</v>
      </c>
      <c r="V131" s="102">
        <f t="shared" si="89"/>
        <v>0.9996161877672749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2024-10-28T22:49:45Z</dcterms:modified>
</cp:coreProperties>
</file>