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33AD0783-7BA6-47E4-AF80-09374B43DD4D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S142" i="4" s="1"/>
  <c r="V141" i="4"/>
  <c r="U141" i="4"/>
  <c r="T141" i="4"/>
  <c r="S141" i="4"/>
  <c r="R141" i="4"/>
  <c r="V140" i="4"/>
  <c r="R140" i="4"/>
  <c r="V139" i="4"/>
  <c r="U139" i="4"/>
  <c r="T139" i="4"/>
  <c r="S139" i="4"/>
  <c r="R139" i="4"/>
  <c r="V138" i="4"/>
  <c r="R138" i="4"/>
  <c r="V137" i="4"/>
  <c r="U137" i="4"/>
  <c r="T137" i="4"/>
  <c r="R137" i="4"/>
  <c r="S137" i="4" s="1"/>
  <c r="V136" i="4"/>
  <c r="R136" i="4"/>
  <c r="U136" i="4" s="1"/>
  <c r="V135" i="4"/>
  <c r="R135" i="4"/>
  <c r="U135" i="4" s="1"/>
  <c r="V134" i="4"/>
  <c r="U134" i="4"/>
  <c r="T134" i="4"/>
  <c r="R134" i="4"/>
  <c r="S134" i="4" s="1"/>
  <c r="V133" i="4"/>
  <c r="R133" i="4"/>
  <c r="V132" i="4"/>
  <c r="R132" i="4"/>
  <c r="T132" i="4" s="1"/>
  <c r="V131" i="4"/>
  <c r="R131" i="4"/>
  <c r="U131" i="4" s="1"/>
  <c r="V130" i="4"/>
  <c r="U130" i="4"/>
  <c r="T130" i="4"/>
  <c r="R130" i="4"/>
  <c r="S130" i="4" s="1"/>
  <c r="V129" i="4"/>
  <c r="U129" i="4"/>
  <c r="T129" i="4"/>
  <c r="S129" i="4"/>
  <c r="R129" i="4"/>
  <c r="V128" i="4"/>
  <c r="R128" i="4"/>
  <c r="V127" i="4"/>
  <c r="U127" i="4"/>
  <c r="T127" i="4"/>
  <c r="S127" i="4"/>
  <c r="R127" i="4"/>
  <c r="V126" i="4"/>
  <c r="R126" i="4"/>
  <c r="U126" i="4" s="1"/>
  <c r="V125" i="4"/>
  <c r="R125" i="4"/>
  <c r="U125" i="4" s="1"/>
  <c r="V124" i="4"/>
  <c r="R124" i="4"/>
  <c r="U124" i="4" s="1"/>
  <c r="V123" i="4"/>
  <c r="R123" i="4"/>
  <c r="U123" i="4" s="1"/>
  <c r="V122" i="4"/>
  <c r="U122" i="4"/>
  <c r="T122" i="4"/>
  <c r="R122" i="4"/>
  <c r="S122" i="4" s="1"/>
  <c r="V121" i="4"/>
  <c r="R121" i="4"/>
  <c r="V120" i="4"/>
  <c r="R120" i="4"/>
  <c r="U120" i="4" s="1"/>
  <c r="V119" i="4"/>
  <c r="R119" i="4"/>
  <c r="U119" i="4" s="1"/>
  <c r="V118" i="4"/>
  <c r="R118" i="4"/>
  <c r="U118" i="4" s="1"/>
  <c r="V117" i="4"/>
  <c r="U117" i="4"/>
  <c r="T117" i="4"/>
  <c r="S117" i="4"/>
  <c r="R117" i="4"/>
  <c r="V116" i="4"/>
  <c r="R116" i="4"/>
  <c r="V115" i="4"/>
  <c r="U115" i="4"/>
  <c r="T115" i="4"/>
  <c r="S115" i="4"/>
  <c r="R115" i="4"/>
  <c r="V114" i="4"/>
  <c r="R114" i="4"/>
  <c r="V113" i="4"/>
  <c r="R113" i="4"/>
  <c r="S113" i="4" s="1"/>
  <c r="V112" i="4"/>
  <c r="R112" i="4"/>
  <c r="U112" i="4" s="1"/>
  <c r="V111" i="4"/>
  <c r="U111" i="4"/>
  <c r="T111" i="4"/>
  <c r="S111" i="4"/>
  <c r="R111" i="4"/>
  <c r="V110" i="4"/>
  <c r="U110" i="4"/>
  <c r="T110" i="4"/>
  <c r="R110" i="4"/>
  <c r="S110" i="4" s="1"/>
  <c r="V109" i="4"/>
  <c r="R109" i="4"/>
  <c r="V108" i="4"/>
  <c r="U108" i="4"/>
  <c r="T108" i="4"/>
  <c r="S108" i="4"/>
  <c r="R108" i="4"/>
  <c r="R107" i="4"/>
  <c r="V106" i="4"/>
  <c r="R106" i="4"/>
  <c r="V105" i="4"/>
  <c r="R105" i="4"/>
  <c r="U105" i="4" s="1"/>
  <c r="V104" i="4"/>
  <c r="R104" i="4"/>
  <c r="U104" i="4" s="1"/>
  <c r="V103" i="4"/>
  <c r="R103" i="4"/>
  <c r="U103" i="4" s="1"/>
  <c r="V102" i="4"/>
  <c r="U102" i="4"/>
  <c r="T102" i="4"/>
  <c r="R102" i="4"/>
  <c r="S102" i="4" s="1"/>
  <c r="V101" i="4"/>
  <c r="R101" i="4"/>
  <c r="R100" i="4"/>
  <c r="V99" i="4"/>
  <c r="U99" i="4"/>
  <c r="T99" i="4"/>
  <c r="S99" i="4"/>
  <c r="R99" i="4"/>
  <c r="V98" i="4"/>
  <c r="R98" i="4"/>
  <c r="R97" i="4"/>
  <c r="V96" i="4"/>
  <c r="U96" i="4"/>
  <c r="T96" i="4"/>
  <c r="S96" i="4"/>
  <c r="R96" i="4"/>
  <c r="V95" i="4"/>
  <c r="R95" i="4"/>
  <c r="U95" i="4" s="1"/>
  <c r="V94" i="4"/>
  <c r="R94" i="4"/>
  <c r="U94" i="4" s="1"/>
  <c r="V93" i="4"/>
  <c r="U93" i="4"/>
  <c r="T93" i="4"/>
  <c r="S93" i="4"/>
  <c r="R93" i="4"/>
  <c r="V92" i="4"/>
  <c r="R92" i="4"/>
  <c r="U92" i="4" s="1"/>
  <c r="V91" i="4"/>
  <c r="U91" i="4"/>
  <c r="T91" i="4"/>
  <c r="S91" i="4"/>
  <c r="R91" i="4"/>
  <c r="V90" i="4"/>
  <c r="R90" i="4"/>
  <c r="V89" i="4"/>
  <c r="R89" i="4"/>
  <c r="U89" i="4" s="1"/>
  <c r="V88" i="4"/>
  <c r="R88" i="4"/>
  <c r="U88" i="4" s="1"/>
  <c r="V87" i="4"/>
  <c r="U87" i="4"/>
  <c r="T87" i="4"/>
  <c r="S87" i="4"/>
  <c r="R87" i="4"/>
  <c r="V86" i="4"/>
  <c r="U86" i="4"/>
  <c r="T86" i="4"/>
  <c r="R86" i="4"/>
  <c r="S86" i="4" s="1"/>
  <c r="V85" i="4"/>
  <c r="R85" i="4"/>
  <c r="V84" i="4"/>
  <c r="U84" i="4"/>
  <c r="T84" i="4"/>
  <c r="S84" i="4"/>
  <c r="R84" i="4"/>
  <c r="V83" i="4"/>
  <c r="R83" i="4"/>
  <c r="U83" i="4" s="1"/>
  <c r="V82" i="4"/>
  <c r="S82" i="4"/>
  <c r="R82" i="4"/>
  <c r="T82" i="4" s="1"/>
  <c r="V81" i="4"/>
  <c r="U81" i="4"/>
  <c r="T81" i="4"/>
  <c r="S81" i="4"/>
  <c r="R81" i="4"/>
  <c r="V80" i="4"/>
  <c r="R80" i="4"/>
  <c r="U80" i="4" s="1"/>
  <c r="V79" i="4"/>
  <c r="U79" i="4"/>
  <c r="T79" i="4"/>
  <c r="S79" i="4"/>
  <c r="R79" i="4"/>
  <c r="V78" i="4"/>
  <c r="R78" i="4"/>
  <c r="V77" i="4"/>
  <c r="R77" i="4"/>
  <c r="U77" i="4" s="1"/>
  <c r="V76" i="4"/>
  <c r="R76" i="4"/>
  <c r="U76" i="4" s="1"/>
  <c r="V75" i="4"/>
  <c r="R75" i="4"/>
  <c r="U75" i="4" s="1"/>
  <c r="V74" i="4"/>
  <c r="U74" i="4"/>
  <c r="T74" i="4"/>
  <c r="R74" i="4"/>
  <c r="S74" i="4" s="1"/>
  <c r="V73" i="4"/>
  <c r="R73" i="4"/>
  <c r="V72" i="4"/>
  <c r="R72" i="4"/>
  <c r="U72" i="4" s="1"/>
  <c r="V71" i="4"/>
  <c r="R71" i="4"/>
  <c r="U71" i="4" s="1"/>
  <c r="V70" i="4"/>
  <c r="R70" i="4"/>
  <c r="S70" i="4" s="1"/>
  <c r="V69" i="4"/>
  <c r="U69" i="4"/>
  <c r="T69" i="4"/>
  <c r="S69" i="4"/>
  <c r="R69" i="4"/>
  <c r="V68" i="4"/>
  <c r="R68" i="4"/>
  <c r="U68" i="4" s="1"/>
  <c r="V67" i="4"/>
  <c r="U67" i="4"/>
  <c r="T67" i="4"/>
  <c r="S67" i="4"/>
  <c r="R67" i="4"/>
  <c r="V66" i="4"/>
  <c r="R66" i="4"/>
  <c r="V65" i="4"/>
  <c r="R65" i="4"/>
  <c r="U65" i="4" s="1"/>
  <c r="V64" i="4"/>
  <c r="R64" i="4"/>
  <c r="U64" i="4" s="1"/>
  <c r="V63" i="4"/>
  <c r="R63" i="4"/>
  <c r="U63" i="4" s="1"/>
  <c r="V62" i="4"/>
  <c r="U62" i="4"/>
  <c r="T62" i="4"/>
  <c r="R62" i="4"/>
  <c r="S62" i="4" s="1"/>
  <c r="V61" i="4"/>
  <c r="R61" i="4"/>
  <c r="S61" i="4" s="1"/>
  <c r="V60" i="4"/>
  <c r="R60" i="4"/>
  <c r="S60" i="4" s="1"/>
  <c r="V59" i="4"/>
  <c r="R59" i="4"/>
  <c r="U59" i="4" s="1"/>
  <c r="V58" i="4"/>
  <c r="R58" i="4"/>
  <c r="U58" i="4" s="1"/>
  <c r="V57" i="4"/>
  <c r="U57" i="4"/>
  <c r="T57" i="4"/>
  <c r="S57" i="4"/>
  <c r="R57" i="4"/>
  <c r="V56" i="4"/>
  <c r="T56" i="4"/>
  <c r="S56" i="4"/>
  <c r="R56" i="4"/>
  <c r="U56" i="4" s="1"/>
  <c r="V55" i="4"/>
  <c r="U55" i="4"/>
  <c r="T55" i="4"/>
  <c r="S55" i="4"/>
  <c r="R55" i="4"/>
  <c r="V54" i="4"/>
  <c r="R54" i="4"/>
  <c r="V53" i="4"/>
  <c r="U53" i="4"/>
  <c r="T53" i="4"/>
  <c r="S53" i="4"/>
  <c r="R53" i="4"/>
  <c r="V52" i="4"/>
  <c r="R52" i="4"/>
  <c r="U52" i="4" s="1"/>
  <c r="V51" i="4"/>
  <c r="R51" i="4"/>
  <c r="U51" i="4" s="1"/>
  <c r="V50" i="4"/>
  <c r="U50" i="4"/>
  <c r="T50" i="4"/>
  <c r="R50" i="4"/>
  <c r="S50" i="4" s="1"/>
  <c r="V49" i="4"/>
  <c r="R49" i="4"/>
  <c r="V48" i="4"/>
  <c r="R48" i="4"/>
  <c r="U48" i="4" s="1"/>
  <c r="V47" i="4"/>
  <c r="R47" i="4"/>
  <c r="U47" i="4" s="1"/>
  <c r="V46" i="4"/>
  <c r="R46" i="4"/>
  <c r="U46" i="4" s="1"/>
  <c r="V45" i="4"/>
  <c r="U45" i="4"/>
  <c r="T45" i="4"/>
  <c r="S45" i="4"/>
  <c r="R45" i="4"/>
  <c r="V44" i="4"/>
  <c r="T44" i="4"/>
  <c r="S44" i="4"/>
  <c r="R44" i="4"/>
  <c r="U44" i="4" s="1"/>
  <c r="V43" i="4"/>
  <c r="U43" i="4"/>
  <c r="T43" i="4"/>
  <c r="S43" i="4"/>
  <c r="R43" i="4"/>
  <c r="V42" i="4"/>
  <c r="R42" i="4"/>
  <c r="V41" i="4"/>
  <c r="U41" i="4"/>
  <c r="T41" i="4"/>
  <c r="S41" i="4"/>
  <c r="R41" i="4"/>
  <c r="V40" i="4"/>
  <c r="R40" i="4"/>
  <c r="U40" i="4" s="1"/>
  <c r="V39" i="4"/>
  <c r="R39" i="4"/>
  <c r="U39" i="4" s="1"/>
  <c r="V38" i="4"/>
  <c r="U38" i="4"/>
  <c r="T38" i="4"/>
  <c r="R38" i="4"/>
  <c r="S38" i="4" s="1"/>
  <c r="V37" i="4"/>
  <c r="R37" i="4"/>
  <c r="V36" i="4"/>
  <c r="R36" i="4"/>
  <c r="T36" i="4" s="1"/>
  <c r="V35" i="4"/>
  <c r="R35" i="4"/>
  <c r="U35" i="4" s="1"/>
  <c r="V34" i="4"/>
  <c r="U34" i="4"/>
  <c r="R34" i="4"/>
  <c r="T34" i="4" s="1"/>
  <c r="V33" i="4"/>
  <c r="U33" i="4"/>
  <c r="T33" i="4"/>
  <c r="S33" i="4"/>
  <c r="R33" i="4"/>
  <c r="V32" i="4"/>
  <c r="T32" i="4"/>
  <c r="S32" i="4"/>
  <c r="R32" i="4"/>
  <c r="U32" i="4" s="1"/>
  <c r="V31" i="4"/>
  <c r="U31" i="4"/>
  <c r="T31" i="4"/>
  <c r="S31" i="4"/>
  <c r="R31" i="4"/>
  <c r="V30" i="4"/>
  <c r="R30" i="4"/>
  <c r="V29" i="4"/>
  <c r="U29" i="4"/>
  <c r="T29" i="4"/>
  <c r="S29" i="4"/>
  <c r="R29" i="4"/>
  <c r="V28" i="4"/>
  <c r="R28" i="4"/>
  <c r="U28" i="4" s="1"/>
  <c r="I135" i="4"/>
  <c r="J135" i="4"/>
  <c r="K135" i="4"/>
  <c r="L135" i="4"/>
  <c r="M135" i="4" s="1"/>
  <c r="N135" i="4"/>
  <c r="O135" i="4"/>
  <c r="P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/>
  <c r="L139" i="4"/>
  <c r="M139" i="4" s="1"/>
  <c r="N139" i="4"/>
  <c r="Q139" i="4" s="1"/>
  <c r="O139" i="4"/>
  <c r="P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L142" i="4" s="1"/>
  <c r="M142" i="4" s="1"/>
  <c r="J142" i="4"/>
  <c r="K142" i="4"/>
  <c r="N142" i="4"/>
  <c r="O142" i="4"/>
  <c r="P142" i="4"/>
  <c r="Q142" i="4"/>
  <c r="I143" i="4"/>
  <c r="J143" i="4"/>
  <c r="K143" i="4"/>
  <c r="L143" i="4"/>
  <c r="M143" i="4" s="1"/>
  <c r="N143" i="4"/>
  <c r="O143" i="4"/>
  <c r="P143" i="4"/>
  <c r="Q143" i="4"/>
  <c r="S78" i="4" l="1"/>
  <c r="U78" i="4"/>
  <c r="T78" i="4"/>
  <c r="U101" i="4"/>
  <c r="T101" i="4"/>
  <c r="U66" i="4"/>
  <c r="T66" i="4"/>
  <c r="S66" i="4"/>
  <c r="S72" i="4"/>
  <c r="S75" i="4"/>
  <c r="S101" i="4"/>
  <c r="U121" i="4"/>
  <c r="T121" i="4"/>
  <c r="S121" i="4"/>
  <c r="U128" i="4"/>
  <c r="T128" i="4"/>
  <c r="S54" i="4"/>
  <c r="U54" i="4"/>
  <c r="T54" i="4"/>
  <c r="S63" i="4"/>
  <c r="T72" i="4"/>
  <c r="T75" i="4"/>
  <c r="S118" i="4"/>
  <c r="S125" i="4"/>
  <c r="S128" i="4"/>
  <c r="S42" i="4"/>
  <c r="U42" i="4"/>
  <c r="T42" i="4"/>
  <c r="S48" i="4"/>
  <c r="T60" i="4"/>
  <c r="T63" i="4"/>
  <c r="S105" i="4"/>
  <c r="U109" i="4"/>
  <c r="T109" i="4"/>
  <c r="T118" i="4"/>
  <c r="T125" i="4"/>
  <c r="U30" i="4"/>
  <c r="T30" i="4"/>
  <c r="S30" i="4"/>
  <c r="S36" i="4"/>
  <c r="S39" i="4"/>
  <c r="T48" i="4"/>
  <c r="U60" i="4"/>
  <c r="T85" i="4"/>
  <c r="U85" i="4"/>
  <c r="U98" i="4"/>
  <c r="T98" i="4"/>
  <c r="S98" i="4"/>
  <c r="T105" i="4"/>
  <c r="S109" i="4"/>
  <c r="S135" i="4"/>
  <c r="T39" i="4"/>
  <c r="T73" i="4"/>
  <c r="U73" i="4"/>
  <c r="T94" i="4"/>
  <c r="U116" i="4"/>
  <c r="T116" i="4"/>
  <c r="S132" i="4"/>
  <c r="T49" i="4"/>
  <c r="U49" i="4"/>
  <c r="S58" i="4"/>
  <c r="T70" i="4"/>
  <c r="S89" i="4"/>
  <c r="S92" i="4"/>
  <c r="U106" i="4"/>
  <c r="T106" i="4"/>
  <c r="S106" i="4"/>
  <c r="T113" i="4"/>
  <c r="U132" i="4"/>
  <c r="T142" i="4"/>
  <c r="U37" i="4"/>
  <c r="T37" i="4"/>
  <c r="S46" i="4"/>
  <c r="T58" i="4"/>
  <c r="U70" i="4"/>
  <c r="S77" i="4"/>
  <c r="T89" i="4"/>
  <c r="T92" i="4"/>
  <c r="S103" i="4"/>
  <c r="U113" i="4"/>
  <c r="S123" i="4"/>
  <c r="U142" i="4"/>
  <c r="S34" i="4"/>
  <c r="S37" i="4"/>
  <c r="T46" i="4"/>
  <c r="S65" i="4"/>
  <c r="S68" i="4"/>
  <c r="T77" i="4"/>
  <c r="T80" i="4"/>
  <c r="T103" i="4"/>
  <c r="S120" i="4"/>
  <c r="T123" i="4"/>
  <c r="U133" i="4"/>
  <c r="T133" i="4"/>
  <c r="S133" i="4"/>
  <c r="U140" i="4"/>
  <c r="T140" i="4"/>
  <c r="S51" i="4"/>
  <c r="T135" i="4"/>
  <c r="U36" i="4"/>
  <c r="S116" i="4"/>
  <c r="U82" i="4"/>
  <c r="S49" i="4"/>
  <c r="S80" i="4"/>
  <c r="T65" i="4"/>
  <c r="T68" i="4"/>
  <c r="U114" i="4"/>
  <c r="T114" i="4"/>
  <c r="S114" i="4"/>
  <c r="T120" i="4"/>
  <c r="S140" i="4"/>
  <c r="S138" i="4"/>
  <c r="U138" i="4"/>
  <c r="T138" i="4"/>
  <c r="T51" i="4"/>
  <c r="S94" i="4"/>
  <c r="S85" i="4"/>
  <c r="U61" i="4"/>
  <c r="T61" i="4"/>
  <c r="S73" i="4"/>
  <c r="U90" i="4"/>
  <c r="T90" i="4"/>
  <c r="S90" i="4"/>
  <c r="S126" i="4"/>
  <c r="S35" i="4"/>
  <c r="S47" i="4"/>
  <c r="S59" i="4"/>
  <c r="S71" i="4"/>
  <c r="S83" i="4"/>
  <c r="S95" i="4"/>
  <c r="S119" i="4"/>
  <c r="T126" i="4"/>
  <c r="S131" i="4"/>
  <c r="S143" i="4"/>
  <c r="S28" i="4"/>
  <c r="T35" i="4"/>
  <c r="S40" i="4"/>
  <c r="T47" i="4"/>
  <c r="S52" i="4"/>
  <c r="T59" i="4"/>
  <c r="S64" i="4"/>
  <c r="T71" i="4"/>
  <c r="S76" i="4"/>
  <c r="T83" i="4"/>
  <c r="S88" i="4"/>
  <c r="T95" i="4"/>
  <c r="S104" i="4"/>
  <c r="S112" i="4"/>
  <c r="T119" i="4"/>
  <c r="S124" i="4"/>
  <c r="T131" i="4"/>
  <c r="S136" i="4"/>
  <c r="T143" i="4"/>
  <c r="T28" i="4"/>
  <c r="T40" i="4"/>
  <c r="T52" i="4"/>
  <c r="T64" i="4"/>
  <c r="T76" i="4"/>
  <c r="T88" i="4"/>
  <c r="T104" i="4"/>
  <c r="T112" i="4"/>
  <c r="T124" i="4"/>
  <c r="T136" i="4"/>
  <c r="N140" i="4"/>
  <c r="Q140" i="4" s="1"/>
  <c r="N136" i="4"/>
  <c r="Q136" i="4" s="1"/>
  <c r="I128" i="4" l="1"/>
  <c r="N128" i="4" s="1"/>
  <c r="Q128" i="4" s="1"/>
  <c r="J128" i="4"/>
  <c r="K128" i="4"/>
  <c r="O128" i="4" s="1"/>
  <c r="P128" i="4" s="1"/>
  <c r="L128" i="4"/>
  <c r="M128" i="4" s="1"/>
  <c r="I129" i="4"/>
  <c r="L129" i="4" s="1"/>
  <c r="M129" i="4" s="1"/>
  <c r="J129" i="4"/>
  <c r="K129" i="4"/>
  <c r="N129" i="4"/>
  <c r="Q129" i="4" s="1"/>
  <c r="O129" i="4"/>
  <c r="P129" i="4" s="1"/>
  <c r="I130" i="4"/>
  <c r="J130" i="4"/>
  <c r="K130" i="4"/>
  <c r="L130" i="4"/>
  <c r="M130" i="4"/>
  <c r="N130" i="4"/>
  <c r="Q130" i="4" s="1"/>
  <c r="I131" i="4"/>
  <c r="J131" i="4"/>
  <c r="K131" i="4" s="1"/>
  <c r="I132" i="4"/>
  <c r="N132" i="4" s="1"/>
  <c r="J132" i="4"/>
  <c r="K132" i="4"/>
  <c r="O132" i="4" s="1"/>
  <c r="P132" i="4" s="1"/>
  <c r="L132" i="4"/>
  <c r="M132" i="4"/>
  <c r="Q132" i="4"/>
  <c r="I133" i="4"/>
  <c r="J133" i="4"/>
  <c r="K133" i="4"/>
  <c r="L133" i="4"/>
  <c r="M133" i="4"/>
  <c r="N133" i="4"/>
  <c r="Q133" i="4" s="1"/>
  <c r="O133" i="4"/>
  <c r="P133" i="4"/>
  <c r="I134" i="4"/>
  <c r="L134" i="4" s="1"/>
  <c r="M134" i="4" s="1"/>
  <c r="J134" i="4"/>
  <c r="K134" i="4"/>
  <c r="O134" i="4" s="1"/>
  <c r="P134" i="4" s="1"/>
  <c r="O131" i="4" l="1"/>
  <c r="P131" i="4" s="1"/>
  <c r="L131" i="4"/>
  <c r="M131" i="4" s="1"/>
  <c r="O130" i="4"/>
  <c r="P130" i="4" s="1"/>
  <c r="N134" i="4"/>
  <c r="Q134" i="4" s="1"/>
  <c r="N131" i="4"/>
  <c r="Q131" i="4" s="1"/>
  <c r="O15" i="1" l="1"/>
  <c r="L15" i="1"/>
  <c r="N15" i="1"/>
  <c r="M106" i="4"/>
  <c r="M122" i="4"/>
  <c r="J16" i="4"/>
  <c r="J15" i="4"/>
  <c r="J87" i="4"/>
  <c r="K87" i="4"/>
  <c r="O87" i="4" s="1"/>
  <c r="P87" i="4" s="1"/>
  <c r="J122" i="4"/>
  <c r="K122" i="4"/>
  <c r="O122" i="4" s="1"/>
  <c r="P122" i="4" s="1"/>
  <c r="J117" i="4"/>
  <c r="K117" i="4"/>
  <c r="O117" i="4" s="1"/>
  <c r="P117" i="4" s="1"/>
  <c r="J120" i="4"/>
  <c r="L120" i="4" s="1"/>
  <c r="K120" i="4"/>
  <c r="J101" i="4"/>
  <c r="L101" i="4" s="1"/>
  <c r="M101" i="4" s="1"/>
  <c r="K101" i="4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 s="1"/>
  <c r="J103" i="4"/>
  <c r="K103" i="4"/>
  <c r="O103" i="4" s="1"/>
  <c r="P103" i="4" s="1"/>
  <c r="J118" i="4"/>
  <c r="K118" i="4"/>
  <c r="O118" i="4" s="1"/>
  <c r="P118" i="4" s="1"/>
  <c r="J104" i="4"/>
  <c r="K104" i="4" s="1"/>
  <c r="O104" i="4" s="1"/>
  <c r="P104" i="4" s="1"/>
  <c r="J90" i="4"/>
  <c r="K90" i="4" s="1"/>
  <c r="J71" i="4"/>
  <c r="K71" i="4"/>
  <c r="J110" i="4"/>
  <c r="L110" i="4" s="1"/>
  <c r="M110" i="4" s="1"/>
  <c r="K110" i="4"/>
  <c r="J82" i="4"/>
  <c r="K82" i="4"/>
  <c r="J113" i="4"/>
  <c r="K113" i="4"/>
  <c r="J97" i="4"/>
  <c r="K97" i="4" s="1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L114" i="4" s="1"/>
  <c r="K114" i="4"/>
  <c r="J78" i="4"/>
  <c r="K78" i="4" s="1"/>
  <c r="J115" i="4"/>
  <c r="L115" i="4" s="1"/>
  <c r="K115" i="4"/>
  <c r="J99" i="4"/>
  <c r="K99" i="4"/>
  <c r="O99" i="4" s="1"/>
  <c r="P99" i="4" s="1"/>
  <c r="J83" i="4"/>
  <c r="K83" i="4"/>
  <c r="J102" i="4"/>
  <c r="K102" i="4"/>
  <c r="J74" i="4"/>
  <c r="K74" i="4"/>
  <c r="J125" i="4"/>
  <c r="K125" i="4"/>
  <c r="J109" i="4"/>
  <c r="L109" i="4" s="1"/>
  <c r="M109" i="4" s="1"/>
  <c r="K109" i="4"/>
  <c r="O109" i="4" s="1"/>
  <c r="P109" i="4" s="1"/>
  <c r="J93" i="4"/>
  <c r="K93" i="4" s="1"/>
  <c r="J77" i="4"/>
  <c r="K77" i="4" s="1"/>
  <c r="J112" i="4"/>
  <c r="K112" i="4" s="1"/>
  <c r="O112" i="4" s="1"/>
  <c r="P112" i="4" s="1"/>
  <c r="J96" i="4"/>
  <c r="K96" i="4"/>
  <c r="J80" i="4"/>
  <c r="K80" i="4" s="1"/>
  <c r="J106" i="4"/>
  <c r="K106" i="4"/>
  <c r="O106" i="4" s="1"/>
  <c r="P106" i="4" s="1"/>
  <c r="J127" i="4"/>
  <c r="K127" i="4" s="1"/>
  <c r="J111" i="4"/>
  <c r="L111" i="4" s="1"/>
  <c r="M111" i="4" s="1"/>
  <c r="K111" i="4"/>
  <c r="O111" i="4" s="1"/>
  <c r="P111" i="4" s="1"/>
  <c r="J95" i="4"/>
  <c r="K95" i="4" s="1"/>
  <c r="J79" i="4"/>
  <c r="K79" i="4" s="1"/>
  <c r="J126" i="4"/>
  <c r="K126" i="4" s="1"/>
  <c r="J94" i="4"/>
  <c r="K94" i="4"/>
  <c r="J121" i="4"/>
  <c r="L121" i="4" s="1"/>
  <c r="K121" i="4"/>
  <c r="J105" i="4"/>
  <c r="K105" i="4"/>
  <c r="O105" i="4" s="1"/>
  <c r="P105" i="4" s="1"/>
  <c r="J89" i="4"/>
  <c r="K89" i="4" s="1"/>
  <c r="J73" i="4"/>
  <c r="K73" i="4"/>
  <c r="J124" i="4"/>
  <c r="K124" i="4"/>
  <c r="J108" i="4"/>
  <c r="K108" i="4"/>
  <c r="J92" i="4"/>
  <c r="K92" i="4" s="1"/>
  <c r="J76" i="4"/>
  <c r="L76" i="4" s="1"/>
  <c r="K76" i="4"/>
  <c r="J98" i="4"/>
  <c r="L98" i="4" s="1"/>
  <c r="M98" i="4" s="1"/>
  <c r="K98" i="4"/>
  <c r="O98" i="4" s="1"/>
  <c r="P98" i="4" s="1"/>
  <c r="J123" i="4"/>
  <c r="K123" i="4"/>
  <c r="O123" i="4" s="1"/>
  <c r="P123" i="4" s="1"/>
  <c r="J107" i="4"/>
  <c r="K107" i="4" s="1"/>
  <c r="J91" i="4"/>
  <c r="K91" i="4"/>
  <c r="J75" i="4"/>
  <c r="K75" i="4" s="1"/>
  <c r="O91" i="4"/>
  <c r="P91" i="4"/>
  <c r="O124" i="4"/>
  <c r="P124" i="4"/>
  <c r="O102" i="4"/>
  <c r="P102" i="4"/>
  <c r="O110" i="4"/>
  <c r="P110" i="4" s="1"/>
  <c r="O113" i="4"/>
  <c r="P113" i="4"/>
  <c r="O71" i="4"/>
  <c r="P71" i="4" s="1"/>
  <c r="O94" i="4"/>
  <c r="P94" i="4" s="1"/>
  <c r="O125" i="4"/>
  <c r="P125" i="4"/>
  <c r="I76" i="4"/>
  <c r="I77" i="4"/>
  <c r="I81" i="4"/>
  <c r="I89" i="4"/>
  <c r="N89" i="4" s="1"/>
  <c r="Q89" i="4" s="1"/>
  <c r="I90" i="4"/>
  <c r="L90" i="4" s="1"/>
  <c r="I96" i="4"/>
  <c r="L96" i="4" s="1"/>
  <c r="I99" i="4"/>
  <c r="I102" i="4"/>
  <c r="I104" i="4"/>
  <c r="N104" i="4" s="1"/>
  <c r="Q104" i="4" s="1"/>
  <c r="I108" i="4"/>
  <c r="N108" i="4" s="1"/>
  <c r="Q108" i="4" s="1"/>
  <c r="I111" i="4"/>
  <c r="I113" i="4"/>
  <c r="I115" i="4"/>
  <c r="I119" i="4"/>
  <c r="I120" i="4"/>
  <c r="N120" i="4" s="1"/>
  <c r="Q120" i="4" s="1"/>
  <c r="I123" i="4"/>
  <c r="N123" i="4" s="1"/>
  <c r="Q123" i="4" s="1"/>
  <c r="I125" i="4"/>
  <c r="L125" i="4" s="1"/>
  <c r="M125" i="4" s="1"/>
  <c r="I79" i="4"/>
  <c r="N79" i="4" s="1"/>
  <c r="Q79" i="4" s="1"/>
  <c r="I92" i="4"/>
  <c r="L92" i="4" s="1"/>
  <c r="I100" i="4"/>
  <c r="L100" i="4" s="1"/>
  <c r="M100" i="4" s="1"/>
  <c r="I103" i="4"/>
  <c r="L103" i="4" s="1"/>
  <c r="M103" i="4" s="1"/>
  <c r="I107" i="4"/>
  <c r="I109" i="4"/>
  <c r="I110" i="4"/>
  <c r="I117" i="4"/>
  <c r="I124" i="4"/>
  <c r="I72" i="4"/>
  <c r="N72" i="4" s="1"/>
  <c r="Q72" i="4" s="1"/>
  <c r="I106" i="4"/>
  <c r="I71" i="4"/>
  <c r="L71" i="4" s="1"/>
  <c r="I75" i="4"/>
  <c r="N75" i="4" s="1"/>
  <c r="Q75" i="4" s="1"/>
  <c r="I80" i="4"/>
  <c r="N80" i="4" s="1"/>
  <c r="Q80" i="4" s="1"/>
  <c r="I83" i="4"/>
  <c r="N83" i="4" s="1"/>
  <c r="Q83" i="4" s="1"/>
  <c r="I86" i="4"/>
  <c r="L86" i="4" s="1"/>
  <c r="I88" i="4"/>
  <c r="N88" i="4" s="1"/>
  <c r="Q88" i="4" s="1"/>
  <c r="I94" i="4"/>
  <c r="I95" i="4"/>
  <c r="I98" i="4"/>
  <c r="N98" i="4" s="1"/>
  <c r="Q98" i="4" s="1"/>
  <c r="I101" i="4"/>
  <c r="I118" i="4"/>
  <c r="I127" i="4"/>
  <c r="I73" i="4"/>
  <c r="I74" i="4"/>
  <c r="N74" i="4" s="1"/>
  <c r="Q74" i="4" s="1"/>
  <c r="I78" i="4"/>
  <c r="L78" i="4" s="1"/>
  <c r="I82" i="4"/>
  <c r="N82" i="4" s="1"/>
  <c r="Q82" i="4" s="1"/>
  <c r="I85" i="4"/>
  <c r="L85" i="4" s="1"/>
  <c r="I93" i="4"/>
  <c r="N93" i="4" s="1"/>
  <c r="Q93" i="4" s="1"/>
  <c r="I112" i="4"/>
  <c r="I114" i="4"/>
  <c r="I121" i="4"/>
  <c r="N121" i="4" s="1"/>
  <c r="Q121" i="4" s="1"/>
  <c r="I122" i="4"/>
  <c r="I84" i="4"/>
  <c r="L84" i="4" s="1"/>
  <c r="I87" i="4"/>
  <c r="N87" i="4" s="1"/>
  <c r="Q87" i="4" s="1"/>
  <c r="I91" i="4"/>
  <c r="N91" i="4" s="1"/>
  <c r="Q91" i="4" s="1"/>
  <c r="I97" i="4"/>
  <c r="I105" i="4"/>
  <c r="L105" i="4" s="1"/>
  <c r="M105" i="4" s="1"/>
  <c r="I116" i="4"/>
  <c r="N116" i="4" s="1"/>
  <c r="Q116" i="4" s="1"/>
  <c r="I126" i="4"/>
  <c r="N126" i="4" s="1"/>
  <c r="Q126" i="4" s="1"/>
  <c r="N101" i="4"/>
  <c r="Q101" i="4"/>
  <c r="L106" i="4"/>
  <c r="N106" i="4"/>
  <c r="Q106" i="4"/>
  <c r="L124" i="4"/>
  <c r="N124" i="4"/>
  <c r="Q124" i="4" s="1"/>
  <c r="N107" i="4"/>
  <c r="Q107" i="4" s="1"/>
  <c r="N119" i="4"/>
  <c r="Q119" i="4" s="1"/>
  <c r="L119" i="4"/>
  <c r="L108" i="4"/>
  <c r="N96" i="4"/>
  <c r="Q96" i="4" s="1"/>
  <c r="N77" i="4"/>
  <c r="Q77" i="4" s="1"/>
  <c r="N97" i="4"/>
  <c r="Q97" i="4" s="1"/>
  <c r="N114" i="4"/>
  <c r="Q114" i="4" s="1"/>
  <c r="N117" i="4"/>
  <c r="Q117" i="4"/>
  <c r="L117" i="4"/>
  <c r="M117" i="4" s="1"/>
  <c r="N103" i="4"/>
  <c r="Q103" i="4" s="1"/>
  <c r="N115" i="4"/>
  <c r="Q115" i="4"/>
  <c r="N76" i="4"/>
  <c r="Q76" i="4"/>
  <c r="L112" i="4"/>
  <c r="M112" i="4" s="1"/>
  <c r="N112" i="4"/>
  <c r="Q112" i="4"/>
  <c r="N127" i="4"/>
  <c r="Q127" i="4"/>
  <c r="N95" i="4"/>
  <c r="Q95" i="4" s="1"/>
  <c r="N110" i="4"/>
  <c r="Q110" i="4"/>
  <c r="N113" i="4"/>
  <c r="Q113" i="4"/>
  <c r="L113" i="4"/>
  <c r="M113" i="4" s="1"/>
  <c r="L102" i="4"/>
  <c r="M102" i="4" s="1"/>
  <c r="N102" i="4"/>
  <c r="Q102" i="4" s="1"/>
  <c r="N122" i="4"/>
  <c r="Q122" i="4"/>
  <c r="L122" i="4"/>
  <c r="N118" i="4"/>
  <c r="Q118" i="4"/>
  <c r="L118" i="4"/>
  <c r="M118" i="4" s="1"/>
  <c r="L94" i="4"/>
  <c r="N94" i="4"/>
  <c r="Q94" i="4" s="1"/>
  <c r="N109" i="4"/>
  <c r="Q109" i="4" s="1"/>
  <c r="N111" i="4"/>
  <c r="Q111" i="4"/>
  <c r="N99" i="4"/>
  <c r="Q99" i="4"/>
  <c r="L99" i="4"/>
  <c r="M99" i="4" s="1"/>
  <c r="O85" i="4" l="1"/>
  <c r="P85" i="4" s="1"/>
  <c r="O126" i="4"/>
  <c r="P126" i="4" s="1"/>
  <c r="L95" i="4"/>
  <c r="M95" i="4" s="1"/>
  <c r="O115" i="4"/>
  <c r="P115" i="4" s="1"/>
  <c r="M124" i="4"/>
  <c r="L97" i="4"/>
  <c r="O127" i="4"/>
  <c r="P127" i="4" s="1"/>
  <c r="M120" i="4"/>
  <c r="L104" i="4"/>
  <c r="M104" i="4" s="1"/>
  <c r="L73" i="4"/>
  <c r="M71" i="4"/>
  <c r="N71" i="4"/>
  <c r="Q71" i="4" s="1"/>
  <c r="O121" i="4"/>
  <c r="P121" i="4" s="1"/>
  <c r="M119" i="4"/>
  <c r="L81" i="4"/>
  <c r="M121" i="4"/>
  <c r="M114" i="4"/>
  <c r="L87" i="4"/>
  <c r="M87" i="4" s="1"/>
  <c r="N125" i="4"/>
  <c r="Q125" i="4" s="1"/>
  <c r="L107" i="4"/>
  <c r="N73" i="4"/>
  <c r="Q73" i="4" s="1"/>
  <c r="O108" i="4"/>
  <c r="P108" i="4" s="1"/>
  <c r="N100" i="4"/>
  <c r="Q100" i="4" s="1"/>
  <c r="L126" i="4"/>
  <c r="O107" i="4"/>
  <c r="P107" i="4" s="1"/>
  <c r="L77" i="4"/>
  <c r="O120" i="4"/>
  <c r="P120" i="4" s="1"/>
  <c r="O114" i="4"/>
  <c r="P114" i="4" s="1"/>
  <c r="N86" i="4"/>
  <c r="Q86" i="4" s="1"/>
  <c r="O119" i="4"/>
  <c r="P119" i="4" s="1"/>
  <c r="L123" i="4"/>
  <c r="M123" i="4" s="1"/>
  <c r="N105" i="4"/>
  <c r="Q105" i="4" s="1"/>
  <c r="M115" i="4"/>
  <c r="M108" i="4"/>
  <c r="L89" i="4"/>
  <c r="N81" i="4"/>
  <c r="Q81" i="4" s="1"/>
  <c r="L80" i="4"/>
  <c r="O116" i="4"/>
  <c r="P116" i="4" s="1"/>
  <c r="M73" i="4"/>
  <c r="M92" i="4"/>
  <c r="M90" i="4"/>
  <c r="O79" i="4"/>
  <c r="P79" i="4" s="1"/>
  <c r="M77" i="4"/>
  <c r="M76" i="4"/>
  <c r="M97" i="4"/>
  <c r="O92" i="4"/>
  <c r="P92" i="4" s="1"/>
  <c r="M96" i="4"/>
  <c r="O80" i="4"/>
  <c r="P80" i="4" s="1"/>
  <c r="N78" i="4"/>
  <c r="Q78" i="4" s="1"/>
  <c r="O96" i="4"/>
  <c r="P96" i="4" s="1"/>
  <c r="L82" i="4"/>
  <c r="M84" i="4"/>
  <c r="O84" i="4"/>
  <c r="P84" i="4" s="1"/>
  <c r="N92" i="4"/>
  <c r="Q92" i="4" s="1"/>
  <c r="L74" i="4"/>
  <c r="L116" i="4"/>
  <c r="M78" i="4"/>
  <c r="O82" i="4"/>
  <c r="P82" i="4" s="1"/>
  <c r="N90" i="4"/>
  <c r="Q90" i="4" s="1"/>
  <c r="N84" i="4"/>
  <c r="Q84" i="4" s="1"/>
  <c r="O73" i="4"/>
  <c r="P73" i="4" s="1"/>
  <c r="O83" i="4"/>
  <c r="P83" i="4" s="1"/>
  <c r="O88" i="4"/>
  <c r="P88" i="4" s="1"/>
  <c r="M94" i="4"/>
  <c r="L127" i="4"/>
  <c r="L91" i="4"/>
  <c r="O95" i="4"/>
  <c r="P95" i="4" s="1"/>
  <c r="O77" i="4"/>
  <c r="P77" i="4" s="1"/>
  <c r="L83" i="4"/>
  <c r="O75" i="4"/>
  <c r="P75" i="4" s="1"/>
  <c r="O72" i="4"/>
  <c r="P72" i="4" s="1"/>
  <c r="L75" i="4"/>
  <c r="O89" i="4"/>
  <c r="P89" i="4" s="1"/>
  <c r="O90" i="4"/>
  <c r="P90" i="4" s="1"/>
  <c r="O97" i="4"/>
  <c r="P97" i="4" s="1"/>
  <c r="L72" i="4"/>
  <c r="L79" i="4"/>
  <c r="O74" i="4"/>
  <c r="P74" i="4" s="1"/>
  <c r="O93" i="4"/>
  <c r="P93" i="4" s="1"/>
  <c r="O86" i="4"/>
  <c r="P86" i="4" s="1"/>
  <c r="O76" i="4"/>
  <c r="P76" i="4" s="1"/>
  <c r="O78" i="4"/>
  <c r="P78" i="4" s="1"/>
  <c r="M85" i="4"/>
  <c r="M86" i="4"/>
  <c r="O81" i="4"/>
  <c r="P81" i="4" s="1"/>
  <c r="N85" i="4"/>
  <c r="Q85" i="4" s="1"/>
  <c r="L93" i="4"/>
  <c r="L88" i="4"/>
  <c r="J14" i="4"/>
  <c r="J13" i="4" s="1"/>
  <c r="K16" i="4" s="1"/>
  <c r="M116" i="4" l="1"/>
  <c r="M91" i="4"/>
  <c r="M126" i="4"/>
  <c r="M127" i="4"/>
  <c r="M89" i="4"/>
  <c r="M81" i="4"/>
  <c r="M80" i="4"/>
  <c r="M107" i="4"/>
  <c r="M75" i="4"/>
  <c r="M79" i="4"/>
  <c r="M82" i="4"/>
  <c r="M74" i="4"/>
  <c r="M83" i="4"/>
  <c r="M72" i="4"/>
  <c r="M88" i="4"/>
  <c r="M9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0" i="4"/>
  <c r="P60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0" i="4" l="1"/>
  <c r="M61" i="4"/>
  <c r="M62" i="4"/>
  <c r="M70" i="4"/>
  <c r="M63" i="4"/>
  <c r="O66" i="4"/>
  <c r="P66" i="4" s="1"/>
  <c r="M67" i="4"/>
  <c r="M64" i="4"/>
  <c r="M69" i="4"/>
  <c r="O69" i="4"/>
  <c r="P69" i="4" s="1"/>
  <c r="M65" i="4"/>
  <c r="O64" i="4"/>
  <c r="P64" i="4" s="1"/>
  <c r="M58" i="4"/>
  <c r="O65" i="4"/>
  <c r="P65" i="4" s="1"/>
  <c r="O68" i="4"/>
  <c r="P68" i="4" s="1"/>
  <c r="M57" i="4"/>
  <c r="M66" i="4"/>
  <c r="O67" i="4"/>
  <c r="P67" i="4" s="1"/>
  <c r="M68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45" i="4"/>
  <c r="J30" i="4"/>
  <c r="K30" i="4" s="1"/>
  <c r="J43" i="4"/>
  <c r="L43" i="4" s="1"/>
  <c r="J31" i="4"/>
  <c r="J44" i="4"/>
  <c r="L44" i="4" s="1"/>
  <c r="J36" i="4"/>
  <c r="K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50" i="4"/>
  <c r="M50" i="4" s="1"/>
  <c r="K50" i="4"/>
  <c r="O50" i="4" s="1"/>
  <c r="P50" i="4" s="1"/>
  <c r="L49" i="4"/>
  <c r="K49" i="4"/>
  <c r="M48" i="4" l="1"/>
  <c r="O48" i="4"/>
  <c r="P48" i="4" s="1"/>
  <c r="O49" i="4"/>
  <c r="P49" i="4" s="1"/>
  <c r="M49" i="4"/>
  <c r="K44" i="4"/>
  <c r="M35" i="4"/>
  <c r="M43" i="4"/>
  <c r="O45" i="4"/>
  <c r="P45" i="4" s="1"/>
  <c r="O47" i="4"/>
  <c r="P47" i="4" s="1"/>
  <c r="O31" i="4"/>
  <c r="P31" i="4" s="1"/>
  <c r="O33" i="4"/>
  <c r="P33" i="4" s="1"/>
  <c r="O36" i="4"/>
  <c r="P36" i="4" s="1"/>
  <c r="K35" i="4"/>
  <c r="K43" i="4"/>
  <c r="M44" i="4"/>
  <c r="O28" i="4"/>
  <c r="P28" i="4" s="1"/>
  <c r="O46" i="4"/>
  <c r="P46" i="4" s="1"/>
  <c r="O41" i="4"/>
  <c r="P41" i="4" s="1"/>
  <c r="L36" i="4"/>
  <c r="M45" i="4"/>
  <c r="M31" i="4"/>
  <c r="O30" i="4"/>
  <c r="P30" i="4" s="1"/>
  <c r="O44" i="4"/>
  <c r="P44" i="4" s="1"/>
  <c r="M39" i="4"/>
  <c r="K39" i="4"/>
  <c r="L30" i="4"/>
  <c r="L47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K40" i="4"/>
  <c r="K32" i="4"/>
  <c r="L28" i="4"/>
  <c r="O29" i="4" l="1"/>
  <c r="P29" i="4" s="1"/>
  <c r="O34" i="4"/>
  <c r="P34" i="4" s="1"/>
  <c r="O42" i="4"/>
  <c r="P42" i="4" s="1"/>
  <c r="M41" i="4"/>
  <c r="O38" i="4"/>
  <c r="P38" i="4" s="1"/>
  <c r="O35" i="4"/>
  <c r="P35" i="4" s="1"/>
  <c r="M33" i="4"/>
  <c r="O40" i="4"/>
  <c r="P40" i="4" s="1"/>
  <c r="M36" i="4"/>
  <c r="O37" i="4"/>
  <c r="P37" i="4" s="1"/>
  <c r="M30" i="4"/>
  <c r="O32" i="4"/>
  <c r="P32" i="4" s="1"/>
  <c r="M46" i="4"/>
  <c r="O39" i="4"/>
  <c r="P39" i="4" s="1"/>
  <c r="O43" i="4"/>
  <c r="P43" i="4" s="1"/>
  <c r="M47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<sst xmlns="http://schemas.openxmlformats.org/spreadsheetml/2006/main" count="340" uniqueCount="314">
  <si>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</si>
  <si>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</si>
  <si>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</si>
  <si>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</si>
  <si>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</si>
  <si>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</si>
  <si>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</si>
  <si>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</si>
  <si>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</si>
  <si>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</si>
  <si>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</si>
  <si>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</si>
  <si>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</si>
  <si>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</si>
  <si>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</si>
  <si>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</si>
  <si>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</si>
  <si>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</si>
  <si>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</si>
  <si>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</si>
  <si>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</si>
  <si>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</si>
  <si>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</si>
  <si>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</si>
  <si>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</si>
  <si>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</si>
  <si>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</si>
  <si>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</si>
  <si>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</si>
  <si>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</si>
  <si>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</si>
  <si>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</si>
  <si>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</si>
  <si>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</si>
  <si>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</si>
  <si>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</si>
  <si>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</si>
  <si>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</si>
  <si>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</si>
  <si>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</si>
  <si>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</si>
  <si>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</si>
  <si>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</si>
  <si>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</si>
  <si>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</si>
  <si>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</si>
  <si>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</si>
  <si>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</si>
  <si>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</si>
  <si>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</si>
  <si>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</si>
  <si>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</si>
  <si>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</si>
  <si>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</si>
  <si>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</si>
  <si>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</si>
  <si>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</si>
  <si>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</si>
  <si>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</si>
  <si>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</si>
  <si>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</si>
  <si>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</si>
  <si>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</si>
  <si>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</si>
  <si>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</si>
  <si>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</si>
  <si>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</si>
  <si>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</si>
  <si>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</si>
  <si>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</si>
  <si>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</si>
  <si>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</si>
  <si>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</si>
  <si>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</si>
  <si>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</si>
  <si>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</si>
  <si>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</si>
  <si>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</si>
  <si>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</si>
  <si>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</si>
  <si>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</si>
  <si>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</si>
  <si>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</si>
  <si>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</si>
  <si>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</si>
  <si>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</si>
  <si>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</si>
  <si>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</si>
  <si>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</si>
  <si>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</si>
  <si>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</si>
  <si>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</si>
  <si>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</si>
  <si>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</si>
  <si>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</si>
  <si>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</si>
  <si>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</si>
  <si>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</si>
  <si>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</si>
  <si>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</si>
  <si>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</si>
  <si>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</si>
  <si>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</si>
  <si>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</si>
  <si>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</si>
  <si>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</si>
  <si>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</si>
  <si>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</si>
  <si>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</si>
  <si>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</si>
  <si>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</si>
  <si>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Balb/c 3T3</t>
    <phoneticPr fontId="22" type="noConversion"/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</si>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</sst>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3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9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1.4831999999999998E-3</v>
      </c>
      <c r="M17" s="80">
        <v>5.7599999999999991E-4</v>
      </c>
      <c r="N17" s="80">
        <v>3.4079999999999994E-4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87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40.013440000000003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39.987585920000001</v>
      </c>
      <c r="K8" s="39">
        <f>J8/J7</f>
        <v>0.99935386510132596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2.2425599999999997E-2</v>
      </c>
      <c r="K9" s="39">
        <f>J9/J7</f>
        <v>5.6045168823275367E-4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3.4284799999999994E-3</v>
      </c>
      <c r="K10" s="39">
        <f>J10/J7</f>
        <v>8.5683210441291698E-5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1.3439999999999997E-2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8.3059199999999996E-3</v>
      </c>
      <c r="K20" s="39">
        <f>J20/J19</f>
        <v>0.6180000000000001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3.225599999999999E-3</v>
      </c>
      <c r="K21" s="39">
        <f>J21/J19</f>
        <v>0.24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1.9084799999999995E-3</v>
      </c>
      <c r="K22" s="39">
        <f>J22/J19</f>
        <v>0.14199999999999999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2.8775248633271803E-2</v>
      </c>
      <c r="K28" s="93">
        <f t="shared" ref="K28:K47" si="3">IF(D28=0,"",1/(1+10^D28*$J$15/$J$14+10^E28*$J$16/$J$14+10^J28*$J$19/$J$14))</f>
        <v>0.99903767785899833</v>
      </c>
      <c r="L28" s="93">
        <f t="shared" ref="L28:L47" si="4">IF(D28=0,"",1/(1+10^I28/10^J28*$J$13/$J$19))</f>
        <v>3.5885699526594833E-4</v>
      </c>
      <c r="M28" s="93">
        <f t="shared" ref="M28:M47" si="5">IF(D28=0,"",1-L28)</f>
        <v>0.99964114300473406</v>
      </c>
      <c r="N28" s="93">
        <f t="shared" ref="N28:N47" si="6">IF(D28=0,"",1/(1/10^E28*$J$20/$J$22+10^D28/10^E28*$J$21/$J$22+10^I28/10^E28*$J$13/$J$22+1))</f>
        <v>5.7630251145026137E-5</v>
      </c>
      <c r="O28" s="40">
        <f>IF(D28=0,"",F28*K28*$J$7/$J$14)</f>
        <v>9.9989129821123216E-7</v>
      </c>
      <c r="P28" s="40">
        <f t="shared" ref="P28:P47" si="7">IF(D28=0,"",O28*10^J28)</f>
        <v>1.0683856286201122E-6</v>
      </c>
      <c r="Q28" s="40">
        <f t="shared" ref="Q28:Q47" si="8">IF(D28=0,"",F28*N28*$J$7/$J$22)</f>
        <v>1.2082833440101206E-6</v>
      </c>
      <c r="R28" s="9">
        <f>F28*$C$14</f>
        <v>3.9999999999999996E-5</v>
      </c>
      <c r="S28" s="9">
        <f>$R28*L28</f>
        <v>1.4354279810637932E-8</v>
      </c>
      <c r="T28" s="9">
        <f t="shared" ref="T28:T91" si="9">R28*K28</f>
        <v>3.996150711435993E-5</v>
      </c>
      <c r="U28" s="9">
        <f t="shared" ref="U28:U91" si="10">$R28*M28</f>
        <v>3.9985645720189359E-5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2.0153874426845424</v>
      </c>
      <c r="K29" s="93">
        <f t="shared" si="3"/>
        <v>0.87158216527569943</v>
      </c>
      <c r="L29" s="93">
        <f t="shared" si="4"/>
        <v>3.0357085780920171E-2</v>
      </c>
      <c r="M29" s="93">
        <f t="shared" si="5"/>
        <v>0.96964291421907978</v>
      </c>
      <c r="N29" s="93">
        <f t="shared" si="6"/>
        <v>1.5818342676372429E-2</v>
      </c>
      <c r="O29" s="40">
        <f t="shared" ref="O29:O47" si="11">IF(D29=0,"",F29*K29*$J$7/$J$14)</f>
        <v>8.7232688220821594E-7</v>
      </c>
      <c r="P29" s="40">
        <f t="shared" si="7"/>
        <v>9.0378826671852887E-5</v>
      </c>
      <c r="Q29" s="40">
        <f t="shared" si="8"/>
        <v>3.3164943074093928E-4</v>
      </c>
      <c r="R29" s="9">
        <f t="shared" ref="R29:R92" si="12">F29*$C$14</f>
        <v>3.9999999999999996E-5</v>
      </c>
      <c r="S29" s="9">
        <f t="shared" ref="S29:S92" si="13">$R29*L29</f>
        <v>1.2142834312368068E-6</v>
      </c>
      <c r="T29" s="9">
        <f t="shared" si="9"/>
        <v>3.4863286611027976E-5</v>
      </c>
      <c r="U29" s="9">
        <f t="shared" si="10"/>
        <v>3.8785716568763191E-5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3.7846979172891171</v>
      </c>
      <c r="K30" s="93">
        <f t="shared" si="3"/>
        <v>6.6104424433811565E-2</v>
      </c>
      <c r="L30" s="93">
        <f t="shared" si="4"/>
        <v>0.13536074803676024</v>
      </c>
      <c r="M30" s="93">
        <f t="shared" si="5"/>
        <v>0.86463925196323976</v>
      </c>
      <c r="N30" s="93">
        <f t="shared" si="6"/>
        <v>1.3774732469532907E-3</v>
      </c>
      <c r="O30" s="40">
        <f t="shared" si="11"/>
        <v>6.6160906870180077E-8</v>
      </c>
      <c r="P30" s="40">
        <f t="shared" si="7"/>
        <v>4.0299472990506152E-4</v>
      </c>
      <c r="Q30" s="40">
        <f t="shared" si="8"/>
        <v>2.8880283324200775E-5</v>
      </c>
      <c r="R30" s="9">
        <f t="shared" si="12"/>
        <v>3.9999999999999996E-5</v>
      </c>
      <c r="S30" s="9">
        <f t="shared" si="13"/>
        <v>5.4144299214704089E-6</v>
      </c>
      <c r="T30" s="9">
        <f t="shared" si="9"/>
        <v>2.6441769773524625E-6</v>
      </c>
      <c r="U30" s="9">
        <f t="shared" si="10"/>
        <v>3.4585570078529584E-5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-0.18773071557122345</v>
      </c>
      <c r="K31" s="93">
        <f t="shared" si="3"/>
        <v>0.99972378305262855</v>
      </c>
      <c r="L31" s="93">
        <f t="shared" si="4"/>
        <v>2.1812910055758302E-4</v>
      </c>
      <c r="M31" s="93">
        <f t="shared" si="5"/>
        <v>0.99978187089944237</v>
      </c>
      <c r="N31" s="93">
        <f t="shared" si="6"/>
        <v>7.7593245344510834E-7</v>
      </c>
      <c r="O31" s="40">
        <f t="shared" si="11"/>
        <v>1.0005779896423687E-6</v>
      </c>
      <c r="P31" s="40">
        <f t="shared" si="7"/>
        <v>6.4941188076003089E-7</v>
      </c>
      <c r="Q31" s="40">
        <f t="shared" si="8"/>
        <v>1.6268300778618923E-8</v>
      </c>
      <c r="R31" s="9">
        <f t="shared" si="12"/>
        <v>3.9999999999999996E-5</v>
      </c>
      <c r="S31" s="9">
        <f t="shared" si="13"/>
        <v>8.7251640223033202E-9</v>
      </c>
      <c r="T31" s="9">
        <f t="shared" si="9"/>
        <v>3.9988951322105141E-5</v>
      </c>
      <c r="U31" s="9">
        <f t="shared" si="10"/>
        <v>3.999127483597769E-5</v>
      </c>
      <c r="V31" s="100">
        <f t="shared" si="14"/>
        <v>0.99994189947977197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0.2427563434266759</v>
      </c>
      <c r="K32" s="93">
        <f t="shared" si="3"/>
        <v>0.99764735306582275</v>
      </c>
      <c r="L32" s="93">
        <f t="shared" si="4"/>
        <v>5.8654008566878498E-4</v>
      </c>
      <c r="M32" s="93">
        <f t="shared" si="5"/>
        <v>0.99941345991433117</v>
      </c>
      <c r="N32" s="93">
        <f t="shared" si="6"/>
        <v>9.5321590668925478E-5</v>
      </c>
      <c r="O32" s="40">
        <f t="shared" si="11"/>
        <v>9.9849978546532371E-7</v>
      </c>
      <c r="P32" s="40">
        <f t="shared" si="7"/>
        <v>1.7462415569570531E-6</v>
      </c>
      <c r="Q32" s="40">
        <f t="shared" si="8"/>
        <v>1.9985248726398025E-6</v>
      </c>
      <c r="R32" s="9">
        <f t="shared" si="12"/>
        <v>3.9999999999999996E-5</v>
      </c>
      <c r="S32" s="9">
        <f t="shared" si="13"/>
        <v>2.3461603426751396E-8</v>
      </c>
      <c r="T32" s="9">
        <f t="shared" si="9"/>
        <v>3.9905894122632905E-5</v>
      </c>
      <c r="U32" s="9">
        <f t="shared" si="10"/>
        <v>3.9976538396573246E-5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1.3340133129861464</v>
      </c>
      <c r="K33" s="93">
        <f t="shared" si="3"/>
        <v>0.96970199754864761</v>
      </c>
      <c r="L33" s="93">
        <f t="shared" si="4"/>
        <v>7.0342192937631973E-3</v>
      </c>
      <c r="M33" s="93">
        <f t="shared" si="5"/>
        <v>0.99296578070623676</v>
      </c>
      <c r="N33" s="93">
        <f t="shared" si="6"/>
        <v>3.3761858652351122E-3</v>
      </c>
      <c r="O33" s="40">
        <f t="shared" si="11"/>
        <v>9.7053055224588725E-7</v>
      </c>
      <c r="P33" s="40">
        <f t="shared" si="7"/>
        <v>2.0942210688827096E-5</v>
      </c>
      <c r="Q33" s="40">
        <f t="shared" si="8"/>
        <v>7.0785552139625925E-5</v>
      </c>
      <c r="R33" s="9">
        <f t="shared" si="12"/>
        <v>3.9999999999999996E-5</v>
      </c>
      <c r="S33" s="9">
        <f t="shared" si="13"/>
        <v>2.8136877175052786E-7</v>
      </c>
      <c r="T33" s="9">
        <f t="shared" si="9"/>
        <v>3.8788079901945902E-5</v>
      </c>
      <c r="U33" s="9">
        <f t="shared" si="10"/>
        <v>3.9718631228249468E-5</v>
      </c>
      <c r="V33" s="100">
        <f t="shared" si="14"/>
        <v>0.9765714150380459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0.14407219555289499</v>
      </c>
      <c r="K34" s="93">
        <f t="shared" si="3"/>
        <v>0.99828541540200488</v>
      </c>
      <c r="L34" s="93">
        <f t="shared" si="4"/>
        <v>4.6761800209930033E-4</v>
      </c>
      <c r="M34" s="93">
        <f t="shared" si="5"/>
        <v>0.99953238199790073</v>
      </c>
      <c r="N34" s="93">
        <f t="shared" si="6"/>
        <v>5.8564276299402293E-5</v>
      </c>
      <c r="O34" s="40">
        <f t="shared" si="11"/>
        <v>9.9913839298914816E-7</v>
      </c>
      <c r="P34" s="40">
        <f t="shared" si="7"/>
        <v>1.3921878623452551E-6</v>
      </c>
      <c r="Q34" s="40">
        <f t="shared" si="8"/>
        <v>1.2278662369265364E-6</v>
      </c>
      <c r="R34" s="9">
        <f t="shared" si="12"/>
        <v>3.9999999999999996E-5</v>
      </c>
      <c r="S34" s="9">
        <f t="shared" si="13"/>
        <v>1.8704720083972012E-8</v>
      </c>
      <c r="T34" s="9">
        <f t="shared" si="9"/>
        <v>3.9931416616080191E-5</v>
      </c>
      <c r="U34" s="9">
        <f t="shared" si="10"/>
        <v>3.9981295279916026E-5</v>
      </c>
      <c r="V34" s="100">
        <f t="shared" si="14"/>
        <v>0.99875245002727842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7.5627777349989087E-2</v>
      </c>
      <c r="K35" s="93">
        <f t="shared" si="3"/>
        <v>0.99866016039951411</v>
      </c>
      <c r="L35" s="93">
        <f t="shared" si="4"/>
        <v>3.9958557556004466E-4</v>
      </c>
      <c r="M35" s="93">
        <f t="shared" si="5"/>
        <v>0.99960041442443992</v>
      </c>
      <c r="N35" s="93">
        <f t="shared" si="6"/>
        <v>3.942017110234985E-5</v>
      </c>
      <c r="O35" s="40">
        <f t="shared" si="11"/>
        <v>9.9951345818474808E-7</v>
      </c>
      <c r="P35" s="40">
        <f t="shared" si="7"/>
        <v>1.1896423699804553E-6</v>
      </c>
      <c r="Q35" s="40">
        <f t="shared" si="8"/>
        <v>8.2648843644869742E-7</v>
      </c>
      <c r="R35" s="9">
        <f t="shared" si="12"/>
        <v>3.9999999999999996E-5</v>
      </c>
      <c r="S35" s="9">
        <f t="shared" si="13"/>
        <v>1.5983423022401786E-8</v>
      </c>
      <c r="T35" s="9">
        <f t="shared" si="9"/>
        <v>3.9946406415980561E-5</v>
      </c>
      <c r="U35" s="9">
        <f t="shared" si="10"/>
        <v>3.9984016576977592E-5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3.4010714909731083</v>
      </c>
      <c r="K36" s="93">
        <f t="shared" si="3"/>
        <v>0.27257320425973008</v>
      </c>
      <c r="L36" s="93">
        <f t="shared" si="4"/>
        <v>0.23073790801479591</v>
      </c>
      <c r="M36" s="93">
        <f t="shared" si="5"/>
        <v>0.76926209198520412</v>
      </c>
      <c r="N36" s="93">
        <f t="shared" si="6"/>
        <v>0.16998155747386812</v>
      </c>
      <c r="O36" s="40">
        <f t="shared" si="11"/>
        <v>2.7280610241741362E-7</v>
      </c>
      <c r="P36" s="40">
        <f t="shared" si="7"/>
        <v>6.8695070223776487E-4</v>
      </c>
      <c r="Q36" s="40">
        <f t="shared" si="8"/>
        <v>3.5638554509804534E-3</v>
      </c>
      <c r="R36" s="9">
        <f t="shared" si="12"/>
        <v>3.9999999999999996E-5</v>
      </c>
      <c r="S36" s="9">
        <f t="shared" si="13"/>
        <v>9.2295163205918357E-6</v>
      </c>
      <c r="T36" s="9">
        <f t="shared" si="9"/>
        <v>1.0902928170389202E-5</v>
      </c>
      <c r="U36" s="9">
        <f t="shared" si="10"/>
        <v>3.0770483679408162E-5</v>
      </c>
      <c r="V36" s="100">
        <f t="shared" si="14"/>
        <v>0.3543307373385724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5.6671527084817406</v>
      </c>
      <c r="K37" s="93">
        <f t="shared" si="3"/>
        <v>3.1759698704315847E-3</v>
      </c>
      <c r="L37" s="93">
        <f t="shared" si="4"/>
        <v>0.4961275937854393</v>
      </c>
      <c r="M37" s="93">
        <f t="shared" si="5"/>
        <v>0.50387240621456075</v>
      </c>
      <c r="N37" s="93">
        <f t="shared" si="6"/>
        <v>0.47565374338922134</v>
      </c>
      <c r="O37" s="40">
        <f t="shared" si="11"/>
        <v>3.1786835543892233E-9</v>
      </c>
      <c r="P37" s="40">
        <f t="shared" si="7"/>
        <v>1.4770663471933073E-3</v>
      </c>
      <c r="Q37" s="40">
        <f t="shared" si="8"/>
        <v>9.9726182731178781E-3</v>
      </c>
      <c r="R37" s="9">
        <f t="shared" si="12"/>
        <v>3.9999999999999996E-5</v>
      </c>
      <c r="S37" s="9">
        <f t="shared" si="13"/>
        <v>1.984510375141757E-5</v>
      </c>
      <c r="T37" s="9">
        <f t="shared" si="9"/>
        <v>1.2703879481726339E-7</v>
      </c>
      <c r="U37" s="9">
        <f t="shared" si="10"/>
        <v>2.015489624858243E-5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-0.15437586186998223</v>
      </c>
      <c r="K38" s="93">
        <f t="shared" si="3"/>
        <v>0.99961412825616358</v>
      </c>
      <c r="L38" s="93">
        <f t="shared" si="4"/>
        <v>2.3551622091399243E-4</v>
      </c>
      <c r="M38" s="93">
        <f t="shared" si="5"/>
        <v>0.999764483779086</v>
      </c>
      <c r="N38" s="93">
        <f t="shared" si="6"/>
        <v>2.9797403246838887E-6</v>
      </c>
      <c r="O38" s="40">
        <f t="shared" si="11"/>
        <v>1.0004682411521742E-6</v>
      </c>
      <c r="P38" s="40">
        <f t="shared" si="7"/>
        <v>7.0117664989351034E-7</v>
      </c>
      <c r="Q38" s="40">
        <f t="shared" si="8"/>
        <v>6.2473623353306988E-8</v>
      </c>
      <c r="R38" s="9">
        <f t="shared" si="12"/>
        <v>3.9999999999999996E-5</v>
      </c>
      <c r="S38" s="9">
        <f t="shared" si="13"/>
        <v>9.4206488365596966E-9</v>
      </c>
      <c r="T38" s="9">
        <f t="shared" si="9"/>
        <v>3.9984565130246543E-5</v>
      </c>
      <c r="U38" s="9">
        <f t="shared" si="10"/>
        <v>3.999057935116344E-5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1.9816264972737887</v>
      </c>
      <c r="K39" s="93">
        <f t="shared" si="3"/>
        <v>0.8702988109220825</v>
      </c>
      <c r="L39" s="93">
        <f t="shared" si="4"/>
        <v>2.8045241728217915E-2</v>
      </c>
      <c r="M39" s="93">
        <f t="shared" si="5"/>
        <v>0.97195475827178213</v>
      </c>
      <c r="N39" s="93">
        <f t="shared" si="6"/>
        <v>1.2452399196323082E-2</v>
      </c>
      <c r="O39" s="40">
        <f t="shared" si="11"/>
        <v>8.7104243130196669E-7</v>
      </c>
      <c r="P39" s="40">
        <f t="shared" si="7"/>
        <v>8.349602657571014E-5</v>
      </c>
      <c r="Q39" s="40">
        <f t="shared" si="8"/>
        <v>2.6107862178179601E-4</v>
      </c>
      <c r="R39" s="9">
        <f t="shared" si="12"/>
        <v>3.9999999999999996E-5</v>
      </c>
      <c r="S39" s="9">
        <f t="shared" si="13"/>
        <v>1.1218096691287164E-6</v>
      </c>
      <c r="T39" s="9">
        <f t="shared" si="9"/>
        <v>3.4811952436883297E-5</v>
      </c>
      <c r="U39" s="9">
        <f t="shared" si="10"/>
        <v>3.8878190330871279E-5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2.2000700770906532</v>
      </c>
      <c r="K40" s="93">
        <f t="shared" si="3"/>
        <v>0.84126378073643637</v>
      </c>
      <c r="L40" s="93">
        <f t="shared" si="4"/>
        <v>4.4829775993012945E-2</v>
      </c>
      <c r="M40" s="93">
        <f t="shared" si="5"/>
        <v>0.95517022400698703</v>
      </c>
      <c r="N40" s="93">
        <f t="shared" si="6"/>
        <v>2.9460631765278373E-2</v>
      </c>
      <c r="O40" s="40">
        <f t="shared" si="11"/>
        <v>8.4198259234960078E-7</v>
      </c>
      <c r="P40" s="40">
        <f t="shared" si="7"/>
        <v>1.3346678213615063E-4</v>
      </c>
      <c r="Q40" s="40">
        <f t="shared" si="8"/>
        <v>6.1767543883198186E-4</v>
      </c>
      <c r="R40" s="9">
        <f t="shared" si="12"/>
        <v>3.9999999999999996E-5</v>
      </c>
      <c r="S40" s="9">
        <f t="shared" si="13"/>
        <v>1.7931910397205176E-6</v>
      </c>
      <c r="T40" s="9">
        <f t="shared" si="9"/>
        <v>3.365055122945745E-5</v>
      </c>
      <c r="U40" s="9">
        <f t="shared" si="10"/>
        <v>3.820680896027948E-5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1.0971554041516225</v>
      </c>
      <c r="K41" s="93">
        <f t="shared" si="3"/>
        <v>0.98028778591943788</v>
      </c>
      <c r="L41" s="93">
        <f t="shared" si="4"/>
        <v>4.1216707465255064E-3</v>
      </c>
      <c r="M41" s="93">
        <f t="shared" si="5"/>
        <v>0.99587832925347453</v>
      </c>
      <c r="N41" s="93">
        <f t="shared" si="6"/>
        <v>1.4994266866099159E-3</v>
      </c>
      <c r="O41" s="40">
        <f t="shared" si="11"/>
        <v>9.8112538556522941E-7</v>
      </c>
      <c r="P41" s="40">
        <f t="shared" si="7"/>
        <v>1.2270998892548628E-5</v>
      </c>
      <c r="Q41" s="40">
        <f t="shared" si="8"/>
        <v>3.1437175007893557E-5</v>
      </c>
      <c r="R41" s="9">
        <f t="shared" si="12"/>
        <v>3.9999999999999996E-5</v>
      </c>
      <c r="S41" s="9">
        <f t="shared" si="13"/>
        <v>1.6486682986102025E-7</v>
      </c>
      <c r="T41" s="9">
        <f t="shared" si="9"/>
        <v>3.9211511436777512E-5</v>
      </c>
      <c r="U41" s="9">
        <f t="shared" si="10"/>
        <v>3.9835133170138979E-5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1.8562658331213004</v>
      </c>
      <c r="K42" s="93">
        <f t="shared" si="3"/>
        <v>0.91512707694091955</v>
      </c>
      <c r="L42" s="93">
        <f t="shared" si="4"/>
        <v>2.2095892018318054E-2</v>
      </c>
      <c r="M42" s="93">
        <f t="shared" si="5"/>
        <v>0.97790410798168192</v>
      </c>
      <c r="N42" s="93">
        <f t="shared" si="6"/>
        <v>1.3113905510471662E-2</v>
      </c>
      <c r="O42" s="40">
        <f t="shared" si="11"/>
        <v>9.1590900050103113E-7</v>
      </c>
      <c r="P42" s="40">
        <f t="shared" si="7"/>
        <v>6.5783679279869688E-5</v>
      </c>
      <c r="Q42" s="40">
        <f t="shared" si="8"/>
        <v>2.7494784923547924E-4</v>
      </c>
      <c r="R42" s="9">
        <f t="shared" si="12"/>
        <v>3.9999999999999996E-5</v>
      </c>
      <c r="S42" s="9">
        <f t="shared" si="13"/>
        <v>8.838356807327221E-7</v>
      </c>
      <c r="T42" s="9">
        <f t="shared" si="9"/>
        <v>3.6605083077636776E-5</v>
      </c>
      <c r="U42" s="9">
        <f t="shared" si="10"/>
        <v>3.9116164319267275E-5</v>
      </c>
      <c r="V42" s="100">
        <f t="shared" si="14"/>
        <v>0.93580451239710072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1.9791588629447154</v>
      </c>
      <c r="K43" s="93">
        <f t="shared" si="3"/>
        <v>0.87573202594843214</v>
      </c>
      <c r="L43" s="93">
        <f t="shared" si="4"/>
        <v>2.8060434756657853E-2</v>
      </c>
      <c r="M43" s="93">
        <f t="shared" si="5"/>
        <v>0.97193956524334213</v>
      </c>
      <c r="N43" s="93">
        <f t="shared" si="6"/>
        <v>1.3525361356483426E-2</v>
      </c>
      <c r="O43" s="40">
        <f t="shared" si="11"/>
        <v>8.7648028869869668E-7</v>
      </c>
      <c r="P43" s="40">
        <f t="shared" si="7"/>
        <v>8.3541259115285996E-5</v>
      </c>
      <c r="Q43" s="40">
        <f t="shared" si="8"/>
        <v>2.8357448603913502E-4</v>
      </c>
      <c r="R43" s="9">
        <f t="shared" si="12"/>
        <v>3.9999999999999996E-5</v>
      </c>
      <c r="S43" s="9">
        <f t="shared" si="13"/>
        <v>1.122417390266314E-6</v>
      </c>
      <c r="T43" s="9">
        <f t="shared" si="9"/>
        <v>3.5029281037937279E-5</v>
      </c>
      <c r="U43" s="9">
        <f t="shared" si="10"/>
        <v>3.8877582609733685E-5</v>
      </c>
      <c r="V43" s="100">
        <f t="shared" si="14"/>
        <v>0.90101489564238213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6.2517180889118604</v>
      </c>
      <c r="K44" s="93">
        <f t="shared" si="3"/>
        <v>7.8335763377731463E-4</v>
      </c>
      <c r="L44" s="93">
        <f t="shared" si="4"/>
        <v>0.47015652641561545</v>
      </c>
      <c r="M44" s="93">
        <f t="shared" si="5"/>
        <v>0.52984347358438455</v>
      </c>
      <c r="N44" s="93">
        <f t="shared" si="6"/>
        <v>0.44017028873847908</v>
      </c>
      <c r="O44" s="40">
        <f t="shared" si="11"/>
        <v>7.8402696791164211E-10</v>
      </c>
      <c r="P44" s="40">
        <f t="shared" si="7"/>
        <v>1.3997455327633673E-3</v>
      </c>
      <c r="Q44" s="40">
        <f t="shared" si="8"/>
        <v>9.2286675460155794E-3</v>
      </c>
      <c r="R44" s="9">
        <f t="shared" si="12"/>
        <v>3.9999999999999996E-5</v>
      </c>
      <c r="S44" s="9">
        <f t="shared" si="13"/>
        <v>1.8806261056624617E-5</v>
      </c>
      <c r="T44" s="9">
        <f t="shared" si="9"/>
        <v>3.1334305351092585E-8</v>
      </c>
      <c r="U44" s="9">
        <f t="shared" si="10"/>
        <v>2.119373894337538E-5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0.92896201878272155</v>
      </c>
      <c r="K45" s="93">
        <f t="shared" si="3"/>
        <v>0.98762411741766254</v>
      </c>
      <c r="L45" s="93">
        <f t="shared" si="4"/>
        <v>2.8191488411625307E-3</v>
      </c>
      <c r="M45" s="93">
        <f t="shared" si="5"/>
        <v>0.99718085115883748</v>
      </c>
      <c r="N45" s="93">
        <f t="shared" si="6"/>
        <v>1.16420733527996E-3</v>
      </c>
      <c r="O45" s="40">
        <f t="shared" si="11"/>
        <v>9.884679855376232E-7</v>
      </c>
      <c r="P45" s="40">
        <f t="shared" si="7"/>
        <v>8.3931430808725055E-6</v>
      </c>
      <c r="Q45" s="40">
        <f t="shared" si="8"/>
        <v>2.4408922471173173E-5</v>
      </c>
      <c r="R45" s="9">
        <f t="shared" si="12"/>
        <v>3.9999999999999996E-5</v>
      </c>
      <c r="S45" s="9">
        <f t="shared" si="13"/>
        <v>1.1276595364650123E-7</v>
      </c>
      <c r="T45" s="9">
        <f t="shared" si="9"/>
        <v>3.9504964696706497E-5</v>
      </c>
      <c r="U45" s="9">
        <f t="shared" si="10"/>
        <v>3.9887234046353498E-5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0.93601930537447964</v>
      </c>
      <c r="K46" s="93">
        <f t="shared" si="3"/>
        <v>0.98703259675909094</v>
      </c>
      <c r="L46" s="93">
        <f t="shared" si="4"/>
        <v>2.863618115087251E-3</v>
      </c>
      <c r="M46" s="93">
        <f t="shared" si="5"/>
        <v>0.99713638188491271</v>
      </c>
      <c r="N46" s="93">
        <f t="shared" si="6"/>
        <v>1.1095864384685786E-3</v>
      </c>
      <c r="O46" s="40">
        <f t="shared" si="11"/>
        <v>9.8787595945860146E-7</v>
      </c>
      <c r="P46" s="40">
        <f t="shared" si="7"/>
        <v>8.5255365796842889E-6</v>
      </c>
      <c r="Q46" s="40">
        <f t="shared" si="8"/>
        <v>2.3263733641681426E-5</v>
      </c>
      <c r="R46" s="9">
        <f t="shared" si="12"/>
        <v>3.9999999999999996E-5</v>
      </c>
      <c r="S46" s="9">
        <f t="shared" si="13"/>
        <v>1.1454472460349003E-7</v>
      </c>
      <c r="T46" s="9">
        <f t="shared" si="9"/>
        <v>3.9481303870363635E-5</v>
      </c>
      <c r="U46" s="9">
        <f t="shared" si="10"/>
        <v>3.9885455275396506E-5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2.4501770687994897</v>
      </c>
      <c r="K47" s="93">
        <f t="shared" si="3"/>
        <v>0.7599051505528398</v>
      </c>
      <c r="L47" s="93">
        <f t="shared" si="4"/>
        <v>7.2027900695164543E-2</v>
      </c>
      <c r="M47" s="93">
        <f t="shared" si="5"/>
        <v>0.92797209930483548</v>
      </c>
      <c r="N47" s="93">
        <f t="shared" si="6"/>
        <v>5.0375110416558247E-2</v>
      </c>
      <c r="O47" s="40">
        <f t="shared" si="11"/>
        <v>7.6055444588639456E-7</v>
      </c>
      <c r="P47" s="40">
        <f t="shared" si="7"/>
        <v>2.1444077996963726E-4</v>
      </c>
      <c r="Q47" s="40">
        <f t="shared" si="8"/>
        <v>1.0561711195015558E-3</v>
      </c>
      <c r="R47" s="9">
        <f t="shared" si="12"/>
        <v>3.9999999999999996E-5</v>
      </c>
      <c r="S47" s="9">
        <f t="shared" si="13"/>
        <v>2.8811160278065817E-6</v>
      </c>
      <c r="T47" s="9">
        <f t="shared" si="9"/>
        <v>3.0396206022113589E-5</v>
      </c>
      <c r="U47" s="9">
        <f t="shared" si="10"/>
        <v>3.7118883972193417E-5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0.11582725100744908</v>
      </c>
      <c r="K48" s="93">
        <f t="shared" ref="K48:K50" si="17">IF(D48=0,"",1/(1+10^D48*$J$15/$J$14+10^E48*$J$16/$J$14+10^J48*$J$19/$J$14))</f>
        <v>0.99856086406738442</v>
      </c>
      <c r="L48" s="93">
        <f t="shared" ref="L48:L50" si="18">IF(D48=0,"",1/(1+10^I48/10^J48*$J$13/$J$19))</f>
        <v>4.3829457203685624E-4</v>
      </c>
      <c r="M48" s="93">
        <f t="shared" ref="M48:M92" si="19">IF(D48=0,"",1-L48)</f>
        <v>0.99956170542796319</v>
      </c>
      <c r="N48" s="93">
        <f t="shared" ref="N48:N50" si="20">IF(D48=0,"",1/(1/10^E48*$J$20/$J$22+10^D48/10^E48*$J$21/$J$22+10^I48/10^E48*$J$13/$J$22+1))</f>
        <v>7.2381434444011172E-5</v>
      </c>
      <c r="O48" s="40">
        <f t="shared" ref="O48:O92" si="21">IF(D48=0,"",F48*K48*$J$7/$J$14)</f>
        <v>9.9941407700960201E-7</v>
      </c>
      <c r="P48" s="40">
        <f t="shared" ref="P48:P50" si="22">IF(D48=0,"",O48*10^J48)</f>
        <v>1.3048864256341094E-6</v>
      </c>
      <c r="Q48" s="40">
        <f t="shared" ref="Q48:Q50" si="23">IF(D48=0,"",F48*N48*$J$7/$J$22)</f>
        <v>1.5175585723923619E-6</v>
      </c>
      <c r="R48" s="9">
        <f t="shared" si="12"/>
        <v>3.9999999999999996E-5</v>
      </c>
      <c r="S48" s="9">
        <f t="shared" si="13"/>
        <v>1.7531782881474248E-8</v>
      </c>
      <c r="T48" s="9">
        <f t="shared" si="9"/>
        <v>3.9942434562695376E-5</v>
      </c>
      <c r="U48" s="9">
        <f t="shared" si="10"/>
        <v>3.9982468217118523E-5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1.3393017792075548</v>
      </c>
      <c r="K49" s="93">
        <f t="shared" si="17"/>
        <v>0.9706216306645109</v>
      </c>
      <c r="L49" s="93">
        <f t="shared" si="18"/>
        <v>7.1271523918781188E-3</v>
      </c>
      <c r="M49" s="93">
        <f t="shared" si="19"/>
        <v>0.99287284760812189</v>
      </c>
      <c r="N49" s="93">
        <f t="shared" si="20"/>
        <v>3.6796423624927176E-3</v>
      </c>
      <c r="O49" s="40">
        <f t="shared" si="21"/>
        <v>9.7145097113546223E-7</v>
      </c>
      <c r="P49" s="40">
        <f t="shared" si="22"/>
        <v>2.1218890223457714E-5</v>
      </c>
      <c r="Q49" s="40">
        <f t="shared" si="23"/>
        <v>7.7147860545072862E-5</v>
      </c>
      <c r="R49" s="9">
        <f t="shared" si="12"/>
        <v>3.9999999999999996E-5</v>
      </c>
      <c r="S49" s="9">
        <f t="shared" si="13"/>
        <v>2.8508609567512474E-7</v>
      </c>
      <c r="T49" s="9">
        <f t="shared" si="9"/>
        <v>3.8824865226580432E-5</v>
      </c>
      <c r="U49" s="9">
        <f t="shared" si="10"/>
        <v>3.971491390432487E-5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2.3514817080656072</v>
      </c>
      <c r="K50" s="93">
        <f t="shared" si="17"/>
        <v>0.7708457358820463</v>
      </c>
      <c r="L50" s="93">
        <f t="shared" si="18"/>
        <v>5.8212128938453726E-2</v>
      </c>
      <c r="M50" s="93">
        <f t="shared" si="19"/>
        <v>0.94178787106154627</v>
      </c>
      <c r="N50" s="93">
        <f t="shared" si="20"/>
        <v>3.3864925064265639E-2</v>
      </c>
      <c r="O50" s="40">
        <f t="shared" si="21"/>
        <v>7.7150437931778923E-7</v>
      </c>
      <c r="P50" s="40">
        <f t="shared" si="22"/>
        <v>1.733085958743365E-4</v>
      </c>
      <c r="Q50" s="40">
        <f t="shared" si="23"/>
        <v>7.1001642519884396E-4</v>
      </c>
      <c r="R50" s="9">
        <f t="shared" si="12"/>
        <v>3.9999999999999996E-5</v>
      </c>
      <c r="S50" s="9">
        <f t="shared" si="13"/>
        <v>2.3284851575381489E-6</v>
      </c>
      <c r="T50" s="9">
        <f t="shared" si="9"/>
        <v>3.0833829435281852E-5</v>
      </c>
      <c r="U50" s="9">
        <f t="shared" si="10"/>
        <v>3.7671514842461848E-5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5.2573793638422401</v>
      </c>
      <c r="K51" s="93">
        <f t="shared" ref="K51:K70" si="26">IF(D51=0,"",1/(1+10^D51*$J$15/$J$14+10^E51*$J$16/$J$14+10^J51*$J$19/$J$14))</f>
        <v>6.3785096578804507E-3</v>
      </c>
      <c r="L51" s="93">
        <f t="shared" ref="L51:L70" si="27">IF(D51=0,"",1/(1+10^I51/10^J51*$J$13/$J$19))</f>
        <v>0.38784918349650843</v>
      </c>
      <c r="M51" s="93">
        <f t="shared" ref="M51:M70" si="28">IF(D51=0,"",1-L51)</f>
        <v>0.61215081650349157</v>
      </c>
      <c r="N51" s="93">
        <f t="shared" ref="N51:N70" si="29">IF(D51=0,"",1/(1/10^E51*$J$20/$J$22+10^D51/10^E51*$J$21/$J$22+10^I51/10^E51*$J$13/$J$22+1))</f>
        <v>0.33026903845596051</v>
      </c>
      <c r="O51" s="40">
        <f t="shared" ref="O51:O70" si="30">IF(D51=0,"",F51*K51*$J$7/$J$14)</f>
        <v>6.383959728264739E-9</v>
      </c>
      <c r="P51" s="40">
        <f t="shared" ref="P51:P70" si="31">IF(D51=0,"",O51*10^J51)</f>
        <v>1.1547008953040577E-3</v>
      </c>
      <c r="Q51" s="40">
        <f t="shared" ref="Q51:Q70" si="32">IF(D51=0,"",F51*N51*$J$7/$J$22)</f>
        <v>6.9244636328990982E-3</v>
      </c>
      <c r="R51" s="9">
        <f t="shared" si="12"/>
        <v>3.9999999999999996E-5</v>
      </c>
      <c r="S51" s="9">
        <f t="shared" si="13"/>
        <v>1.5513967339860336E-5</v>
      </c>
      <c r="T51" s="9">
        <f t="shared" si="9"/>
        <v>2.5514038631521798E-7</v>
      </c>
      <c r="U51" s="9">
        <f t="shared" si="10"/>
        <v>2.4486032660139661E-5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2.638206330325866</v>
      </c>
      <c r="K52" s="93">
        <f t="shared" si="26"/>
        <v>0.67234813015778327</v>
      </c>
      <c r="L52" s="93">
        <f t="shared" si="27"/>
        <v>9.8257301338817257E-2</v>
      </c>
      <c r="M52" s="93">
        <f t="shared" si="28"/>
        <v>0.90174269866118273</v>
      </c>
      <c r="N52" s="93">
        <f t="shared" si="29"/>
        <v>6.8782640825754582E-2</v>
      </c>
      <c r="O52" s="40">
        <f t="shared" si="30"/>
        <v>6.729226130430726E-7</v>
      </c>
      <c r="P52" s="40">
        <f t="shared" si="31"/>
        <v>2.9253070176210458E-4</v>
      </c>
      <c r="Q52" s="40">
        <f t="shared" si="32"/>
        <v>1.4421057971384988E-3</v>
      </c>
      <c r="R52" s="9">
        <f t="shared" si="12"/>
        <v>3.9999999999999996E-5</v>
      </c>
      <c r="S52" s="9">
        <f t="shared" si="13"/>
        <v>3.93029205355269E-6</v>
      </c>
      <c r="T52" s="9">
        <f t="shared" si="9"/>
        <v>2.6893925206311329E-5</v>
      </c>
      <c r="U52" s="9">
        <f t="shared" si="10"/>
        <v>3.6069707946447304E-5</v>
      </c>
      <c r="V52" s="100">
        <f t="shared" si="14"/>
        <v>0.74560973008821529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3.4821247233434276</v>
      </c>
      <c r="K53" s="93">
        <f t="shared" si="26"/>
        <v>0.25125194270770629</v>
      </c>
      <c r="L53" s="93">
        <f t="shared" si="27"/>
        <v>0.25632941833288836</v>
      </c>
      <c r="M53" s="93">
        <f t="shared" si="28"/>
        <v>0.74367058166711164</v>
      </c>
      <c r="N53" s="93">
        <f t="shared" si="29"/>
        <v>0.20035956173904074</v>
      </c>
      <c r="O53" s="40">
        <f t="shared" si="30"/>
        <v>2.5146662307120698E-7</v>
      </c>
      <c r="P53" s="40">
        <f t="shared" si="31"/>
        <v>7.6314150302811998E-4</v>
      </c>
      <c r="Q53" s="40">
        <f t="shared" si="32"/>
        <v>4.2007646410082387E-3</v>
      </c>
      <c r="R53" s="9">
        <f t="shared" si="12"/>
        <v>3.9999999999999996E-5</v>
      </c>
      <c r="S53" s="9">
        <f t="shared" si="13"/>
        <v>1.0253176733315533E-5</v>
      </c>
      <c r="T53" s="9">
        <f t="shared" si="9"/>
        <v>1.005007770830825E-5</v>
      </c>
      <c r="U53" s="9">
        <f t="shared" si="10"/>
        <v>2.9746823266684462E-5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2.8279013612794559</v>
      </c>
      <c r="K54" s="93">
        <f t="shared" si="26"/>
        <v>0.57643090811492703</v>
      </c>
      <c r="L54" s="93">
        <f t="shared" si="27"/>
        <v>0.13038058371543843</v>
      </c>
      <c r="M54" s="93">
        <f t="shared" si="28"/>
        <v>0.86961941628456163</v>
      </c>
      <c r="N54" s="93">
        <f t="shared" si="29"/>
        <v>9.3518149405607223E-2</v>
      </c>
      <c r="O54" s="40">
        <f t="shared" si="30"/>
        <v>5.769234352395077E-7</v>
      </c>
      <c r="P54" s="40">
        <f t="shared" si="31"/>
        <v>3.8816783211775846E-4</v>
      </c>
      <c r="Q54" s="40">
        <f t="shared" si="32"/>
        <v>1.9607136884600843E-3</v>
      </c>
      <c r="R54" s="9">
        <f t="shared" si="12"/>
        <v>3.9999999999999996E-5</v>
      </c>
      <c r="S54" s="9">
        <f t="shared" si="13"/>
        <v>5.2152233486175362E-6</v>
      </c>
      <c r="T54" s="9">
        <f t="shared" si="9"/>
        <v>2.3057236324597078E-5</v>
      </c>
      <c r="U54" s="9">
        <f t="shared" si="10"/>
        <v>3.4784776651382465E-5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1.1194464580046877</v>
      </c>
      <c r="K55" s="55">
        <f t="shared" si="26"/>
        <v>0.98152848485173994</v>
      </c>
      <c r="L55" s="55">
        <f t="shared" si="27"/>
        <v>4.3442385583171575E-3</v>
      </c>
      <c r="M55" s="55">
        <f t="shared" si="28"/>
        <v>0.99565576144168288</v>
      </c>
      <c r="N55" s="55">
        <f t="shared" si="29"/>
        <v>2.0398796824878979E-3</v>
      </c>
      <c r="O55" s="56">
        <f t="shared" si="30"/>
        <v>9.8236714460355475E-7</v>
      </c>
      <c r="P55" s="56">
        <f t="shared" si="31"/>
        <v>1.2933625662121292E-5</v>
      </c>
      <c r="Q55" s="56">
        <f t="shared" si="32"/>
        <v>4.2768382839981858E-5</v>
      </c>
      <c r="R55" s="9">
        <f t="shared" si="12"/>
        <v>3.9999999999999996E-5</v>
      </c>
      <c r="S55" s="9">
        <f t="shared" si="13"/>
        <v>1.7376954233268628E-7</v>
      </c>
      <c r="T55" s="9">
        <f t="shared" si="9"/>
        <v>3.9261139394069593E-5</v>
      </c>
      <c r="U55" s="9">
        <f t="shared" si="10"/>
        <v>3.9826230457667314E-5</v>
      </c>
      <c r="V55" s="100">
        <f t="shared" si="14"/>
        <v>0.98581108337133805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2.6217835296151417</v>
      </c>
      <c r="K56" s="55">
        <f t="shared" si="26"/>
        <v>0.68637356635816182</v>
      </c>
      <c r="L56" s="55">
        <f t="shared" si="27"/>
        <v>9.6584709837837457E-2</v>
      </c>
      <c r="M56" s="55">
        <f t="shared" si="28"/>
        <v>0.9034152901621626</v>
      </c>
      <c r="N56" s="55">
        <f t="shared" si="29"/>
        <v>6.9244166853733455E-2</v>
      </c>
      <c r="O56" s="56">
        <f t="shared" si="30"/>
        <v>6.8696003317364209E-7</v>
      </c>
      <c r="P56" s="56">
        <f t="shared" si="31"/>
        <v>2.8755107827483034E-4</v>
      </c>
      <c r="Q56" s="56">
        <f t="shared" si="32"/>
        <v>1.4517822118921095E-3</v>
      </c>
      <c r="R56" s="9">
        <f t="shared" si="12"/>
        <v>3.9999999999999996E-5</v>
      </c>
      <c r="S56" s="9">
        <f t="shared" si="13"/>
        <v>3.8633883935134983E-6</v>
      </c>
      <c r="T56" s="9">
        <f t="shared" si="9"/>
        <v>2.7454942654326472E-5</v>
      </c>
      <c r="U56" s="9">
        <f t="shared" si="10"/>
        <v>3.6136611606486499E-5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1.9657934893493081</v>
      </c>
      <c r="K57" s="55">
        <f t="shared" si="26"/>
        <v>0.8974079212168159</v>
      </c>
      <c r="L57" s="55">
        <f t="shared" si="27"/>
        <v>2.7883525792509089E-2</v>
      </c>
      <c r="M57" s="55">
        <f t="shared" si="28"/>
        <v>0.97211647420749092</v>
      </c>
      <c r="N57" s="55">
        <f t="shared" si="29"/>
        <v>1.7485680684337739E-2</v>
      </c>
      <c r="O57" s="56">
        <f t="shared" si="30"/>
        <v>8.981747047754184E-7</v>
      </c>
      <c r="P57" s="56">
        <f t="shared" si="31"/>
        <v>8.3014567432069581E-5</v>
      </c>
      <c r="Q57" s="56">
        <f t="shared" si="32"/>
        <v>3.6660705635998663E-4</v>
      </c>
      <c r="R57" s="9">
        <f t="shared" si="12"/>
        <v>3.9999999999999996E-5</v>
      </c>
      <c r="S57" s="9">
        <f t="shared" si="13"/>
        <v>1.1153410317003635E-6</v>
      </c>
      <c r="T57" s="9">
        <f t="shared" si="9"/>
        <v>3.5896316848672635E-5</v>
      </c>
      <c r="U57" s="9">
        <f t="shared" si="10"/>
        <v>3.8884658968299634E-5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1.7600042430072071</v>
      </c>
      <c r="K58" s="55">
        <f t="shared" si="26"/>
        <v>0.92764750359398218</v>
      </c>
      <c r="L58" s="55">
        <f t="shared" si="27"/>
        <v>1.794533307169385E-2</v>
      </c>
      <c r="M58" s="55">
        <f t="shared" si="28"/>
        <v>0.98205466692830612</v>
      </c>
      <c r="N58" s="55">
        <f t="shared" si="29"/>
        <v>9.9425463621016161E-3</v>
      </c>
      <c r="O58" s="56">
        <f t="shared" si="30"/>
        <v>9.2844012514001227E-7</v>
      </c>
      <c r="P58" s="56">
        <f t="shared" si="31"/>
        <v>5.3426674713112929E-5</v>
      </c>
      <c r="Q58" s="56">
        <f t="shared" si="32"/>
        <v>2.0845672069247327E-4</v>
      </c>
      <c r="R58" s="9">
        <f t="shared" si="12"/>
        <v>3.9999999999999996E-5</v>
      </c>
      <c r="S58" s="9">
        <f t="shared" si="13"/>
        <v>7.1781332286775389E-7</v>
      </c>
      <c r="T58" s="9">
        <f t="shared" si="9"/>
        <v>3.7105900143759286E-5</v>
      </c>
      <c r="U58" s="9">
        <f t="shared" si="10"/>
        <v>3.9282186677132243E-5</v>
      </c>
      <c r="V58" s="100">
        <f t="shared" si="14"/>
        <v>0.94459864082261336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1.2491688866071173</v>
      </c>
      <c r="K59" s="55">
        <f t="shared" si="26"/>
        <v>0.9777727164346669</v>
      </c>
      <c r="L59" s="55">
        <f t="shared" si="27"/>
        <v>5.8340628234073641E-3</v>
      </c>
      <c r="M59" s="55">
        <f t="shared" si="28"/>
        <v>0.99416593717659263</v>
      </c>
      <c r="N59" s="55">
        <f t="shared" si="29"/>
        <v>3.3212575848876008E-3</v>
      </c>
      <c r="O59" s="56">
        <f t="shared" si="30"/>
        <v>9.7860816709794572E-7</v>
      </c>
      <c r="P59" s="56">
        <f t="shared" si="31"/>
        <v>1.7369116275345332E-5</v>
      </c>
      <c r="Q59" s="56">
        <f t="shared" si="32"/>
        <v>6.9633918666920776E-5</v>
      </c>
      <c r="R59" s="9">
        <f t="shared" si="12"/>
        <v>3.9999999999999996E-5</v>
      </c>
      <c r="S59" s="9">
        <f t="shared" si="13"/>
        <v>2.3336251293629455E-7</v>
      </c>
      <c r="T59" s="9">
        <f t="shared" si="9"/>
        <v>3.9110908657386675E-5</v>
      </c>
      <c r="U59" s="9">
        <f t="shared" si="10"/>
        <v>3.9766637487063698E-5</v>
      </c>
      <c r="V59" s="100">
        <f t="shared" si="14"/>
        <v>0.98351057893968674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2.6786895992598456</v>
      </c>
      <c r="K60" s="55">
        <f t="shared" si="26"/>
        <v>0.66377564923164034</v>
      </c>
      <c r="L60" s="55">
        <f t="shared" si="27"/>
        <v>0.10648175872914467</v>
      </c>
      <c r="M60" s="55">
        <f t="shared" si="28"/>
        <v>0.89351824127085533</v>
      </c>
      <c r="N60" s="55">
        <f t="shared" si="29"/>
        <v>7.8212099356386108E-2</v>
      </c>
      <c r="O60" s="56">
        <f t="shared" si="30"/>
        <v>6.6434280742402776E-7</v>
      </c>
      <c r="P60" s="56">
        <f t="shared" si="31"/>
        <v>3.1701647797642167E-4</v>
      </c>
      <c r="Q60" s="56">
        <f t="shared" si="32"/>
        <v>1.6398050515964513E-3</v>
      </c>
      <c r="R60" s="9">
        <f t="shared" si="12"/>
        <v>3.9999999999999996E-5</v>
      </c>
      <c r="S60" s="9">
        <f t="shared" si="13"/>
        <v>4.2592703491657863E-6</v>
      </c>
      <c r="T60" s="9">
        <f t="shared" si="9"/>
        <v>2.6551025969265611E-5</v>
      </c>
      <c r="U60" s="9">
        <f t="shared" si="10"/>
        <v>3.5740729650834212E-5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3.6749685564755032</v>
      </c>
      <c r="K61" s="55">
        <f t="shared" si="26"/>
        <v>0.19711370699920355</v>
      </c>
      <c r="L61" s="55">
        <f t="shared" si="27"/>
        <v>0.31350876138536343</v>
      </c>
      <c r="M61" s="55">
        <f t="shared" si="28"/>
        <v>0.68649123861463657</v>
      </c>
      <c r="N61" s="55">
        <f t="shared" si="29"/>
        <v>0.26697429766145031</v>
      </c>
      <c r="O61" s="56">
        <f t="shared" si="30"/>
        <v>1.9728212934775742E-7</v>
      </c>
      <c r="P61" s="56">
        <f t="shared" si="31"/>
        <v>9.3337529859877707E-4</v>
      </c>
      <c r="Q61" s="56">
        <f t="shared" si="32"/>
        <v>5.5974178618683904E-3</v>
      </c>
      <c r="R61" s="9">
        <f t="shared" si="12"/>
        <v>3.9999999999999996E-5</v>
      </c>
      <c r="S61" s="9">
        <f t="shared" si="13"/>
        <v>1.2540350455414536E-5</v>
      </c>
      <c r="T61" s="9">
        <f t="shared" si="9"/>
        <v>7.8845482799681417E-6</v>
      </c>
      <c r="U61" s="9">
        <f t="shared" si="10"/>
        <v>2.7459649544585459E-5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4.6416780984884465</v>
      </c>
      <c r="K62" s="55">
        <f t="shared" si="26"/>
        <v>2.9762031007355815E-2</v>
      </c>
      <c r="L62" s="55">
        <f t="shared" si="27"/>
        <v>0.43843474478764732</v>
      </c>
      <c r="M62" s="55">
        <f t="shared" si="28"/>
        <v>0.56156525521235268</v>
      </c>
      <c r="N62" s="55">
        <f t="shared" si="29"/>
        <v>0.40300941483475933</v>
      </c>
      <c r="O62" s="56">
        <f t="shared" si="30"/>
        <v>2.9787460954548743E-8</v>
      </c>
      <c r="P62" s="56">
        <f t="shared" si="31"/>
        <v>1.305303746612786E-3</v>
      </c>
      <c r="Q62" s="56">
        <f t="shared" si="32"/>
        <v>8.4495478285995969E-3</v>
      </c>
      <c r="R62" s="9">
        <f t="shared" si="12"/>
        <v>3.9999999999999996E-5</v>
      </c>
      <c r="S62" s="9">
        <f t="shared" si="13"/>
        <v>1.7537389791505891E-5</v>
      </c>
      <c r="T62" s="9">
        <f t="shared" si="9"/>
        <v>1.1904812402942326E-6</v>
      </c>
      <c r="U62" s="9">
        <f t="shared" si="10"/>
        <v>2.2462610208494105E-5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5.8034741934365162</v>
      </c>
      <c r="K63" s="55">
        <f t="shared" si="26"/>
        <v>2.3437963549852682E-3</v>
      </c>
      <c r="L63" s="55">
        <f t="shared" si="27"/>
        <v>0.50113919170776589</v>
      </c>
      <c r="M63" s="55">
        <f t="shared" si="28"/>
        <v>0.49886080829223411</v>
      </c>
      <c r="N63" s="55">
        <f t="shared" si="29"/>
        <v>0.48225029463978691</v>
      </c>
      <c r="O63" s="56">
        <f t="shared" si="30"/>
        <v>2.345798994439663E-9</v>
      </c>
      <c r="P63" s="56">
        <f t="shared" si="31"/>
        <v>1.4919868287981543E-3</v>
      </c>
      <c r="Q63" s="56">
        <f t="shared" si="32"/>
        <v>1.0110922424941021E-2</v>
      </c>
      <c r="R63" s="9">
        <f t="shared" si="12"/>
        <v>3.9999999999999996E-5</v>
      </c>
      <c r="S63" s="9">
        <f t="shared" si="13"/>
        <v>2.0045567668310635E-5</v>
      </c>
      <c r="T63" s="9">
        <f t="shared" si="9"/>
        <v>9.3751854199410724E-8</v>
      </c>
      <c r="U63" s="9">
        <f t="shared" si="10"/>
        <v>1.9954432331689362E-5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5.0569476970919887</v>
      </c>
      <c r="K64" s="55">
        <f t="shared" si="26"/>
        <v>1.2188350259107295E-2</v>
      </c>
      <c r="L64" s="55">
        <f t="shared" si="27"/>
        <v>0.46715061340723674</v>
      </c>
      <c r="M64" s="55">
        <f t="shared" si="28"/>
        <v>0.53284938659276326</v>
      </c>
      <c r="N64" s="55">
        <f t="shared" si="29"/>
        <v>0.43832632397481958</v>
      </c>
      <c r="O64" s="56">
        <f t="shared" si="30"/>
        <v>1.2198764504807847E-8</v>
      </c>
      <c r="P64" s="56">
        <f t="shared" si="31"/>
        <v>1.3907963571825649E-3</v>
      </c>
      <c r="Q64" s="56">
        <f t="shared" si="32"/>
        <v>9.1900067408550307E-3</v>
      </c>
      <c r="R64" s="9">
        <f t="shared" si="12"/>
        <v>3.9999999999999996E-5</v>
      </c>
      <c r="S64" s="9">
        <f t="shared" si="13"/>
        <v>1.8686024536289467E-5</v>
      </c>
      <c r="T64" s="9">
        <f t="shared" si="9"/>
        <v>4.8753401036429173E-7</v>
      </c>
      <c r="U64" s="9">
        <f t="shared" si="10"/>
        <v>2.1313975463710529E-5</v>
      </c>
      <c r="V64" s="100">
        <f t="shared" si="14"/>
        <v>2.2873912527222994E-2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4.7600765897084454</v>
      </c>
      <c r="K65" s="55">
        <f t="shared" si="26"/>
        <v>2.3135424440084738E-2</v>
      </c>
      <c r="L65" s="55">
        <f t="shared" si="27"/>
        <v>0.447629150973121</v>
      </c>
      <c r="M65" s="55">
        <f t="shared" si="28"/>
        <v>0.55237084902687905</v>
      </c>
      <c r="N65" s="55">
        <f t="shared" si="29"/>
        <v>0.41412371239184853</v>
      </c>
      <c r="O65" s="56">
        <f t="shared" si="30"/>
        <v>2.3155192332324751E-8</v>
      </c>
      <c r="P65" s="56">
        <f t="shared" si="31"/>
        <v>1.3326772451424055E-3</v>
      </c>
      <c r="Q65" s="56">
        <f t="shared" si="32"/>
        <v>8.6825716373074343E-3</v>
      </c>
      <c r="R65" s="9">
        <f t="shared" si="12"/>
        <v>3.9999999999999996E-5</v>
      </c>
      <c r="S65" s="9">
        <f t="shared" si="13"/>
        <v>1.790516603892484E-5</v>
      </c>
      <c r="T65" s="9">
        <f t="shared" si="9"/>
        <v>9.2541697760338946E-7</v>
      </c>
      <c r="U65" s="9">
        <f t="shared" si="10"/>
        <v>2.209483396107516E-5</v>
      </c>
      <c r="V65" s="100">
        <f t="shared" si="14"/>
        <v>4.1883862048192444E-2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5.0569476970919887</v>
      </c>
      <c r="K66" s="55">
        <f t="shared" si="26"/>
        <v>1.2188350259107295E-2</v>
      </c>
      <c r="L66" s="55">
        <f t="shared" si="27"/>
        <v>0.46715061340723674</v>
      </c>
      <c r="M66" s="55">
        <f t="shared" si="28"/>
        <v>0.53284938659276326</v>
      </c>
      <c r="N66" s="55">
        <f t="shared" si="29"/>
        <v>0.43832632397481958</v>
      </c>
      <c r="O66" s="56">
        <f t="shared" si="30"/>
        <v>1.2198764504807847E-8</v>
      </c>
      <c r="P66" s="56">
        <f t="shared" si="31"/>
        <v>1.3907963571825649E-3</v>
      </c>
      <c r="Q66" s="56">
        <f t="shared" si="32"/>
        <v>9.1900067408550307E-3</v>
      </c>
      <c r="R66" s="9">
        <f t="shared" si="12"/>
        <v>3.9999999999999996E-5</v>
      </c>
      <c r="S66" s="9">
        <f t="shared" si="13"/>
        <v>1.8686024536289467E-5</v>
      </c>
      <c r="T66" s="9">
        <f t="shared" si="9"/>
        <v>4.8753401036429173E-7</v>
      </c>
      <c r="U66" s="9">
        <f t="shared" si="10"/>
        <v>2.1313975463710529E-5</v>
      </c>
      <c r="V66" s="100">
        <f t="shared" si="14"/>
        <v>2.2873912527222994E-2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-0.17642537119776203</v>
      </c>
      <c r="K67" s="55">
        <f t="shared" si="26"/>
        <v>0.99968711848446656</v>
      </c>
      <c r="L67" s="55">
        <f t="shared" si="27"/>
        <v>2.2387367322477384E-4</v>
      </c>
      <c r="M67" s="55">
        <f t="shared" si="28"/>
        <v>0.99977612632677526</v>
      </c>
      <c r="N67" s="55">
        <f t="shared" si="29"/>
        <v>1.4197012222134927E-6</v>
      </c>
      <c r="O67" s="56">
        <f t="shared" si="30"/>
        <v>1.0005412937464378E-6</v>
      </c>
      <c r="P67" s="56">
        <f t="shared" si="31"/>
        <v>6.6651456779457567E-7</v>
      </c>
      <c r="Q67" s="56">
        <f t="shared" si="32"/>
        <v>2.9765640547957682E-8</v>
      </c>
      <c r="R67" s="9">
        <f t="shared" si="12"/>
        <v>3.9999999999999996E-5</v>
      </c>
      <c r="S67" s="9">
        <f t="shared" si="13"/>
        <v>8.9549469289909527E-9</v>
      </c>
      <c r="T67" s="9">
        <f t="shared" si="9"/>
        <v>3.9987484739378657E-5</v>
      </c>
      <c r="U67" s="9">
        <f t="shared" si="10"/>
        <v>3.9991045053071005E-5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5.0429475645742867</v>
      </c>
      <c r="K68" s="55">
        <f t="shared" si="26"/>
        <v>1.1054749947075306E-2</v>
      </c>
      <c r="L68" s="55">
        <f t="shared" si="27"/>
        <v>0.4102615233626794</v>
      </c>
      <c r="M68" s="55">
        <f t="shared" si="28"/>
        <v>0.5897384766373206</v>
      </c>
      <c r="N68" s="55">
        <f t="shared" si="29"/>
        <v>0.36139618865129369</v>
      </c>
      <c r="O68" s="56">
        <f t="shared" si="30"/>
        <v>1.1064195596376446E-8</v>
      </c>
      <c r="P68" s="56">
        <f t="shared" si="31"/>
        <v>1.221426700102766E-3</v>
      </c>
      <c r="Q68" s="56">
        <f t="shared" si="32"/>
        <v>7.5770795139730182E-3</v>
      </c>
      <c r="R68" s="9">
        <f t="shared" si="12"/>
        <v>3.9999999999999996E-5</v>
      </c>
      <c r="S68" s="9">
        <f t="shared" si="13"/>
        <v>1.6410460934507173E-5</v>
      </c>
      <c r="T68" s="9">
        <f t="shared" si="9"/>
        <v>4.4218999788301221E-7</v>
      </c>
      <c r="U68" s="9">
        <f t="shared" si="10"/>
        <v>2.3589539065492823E-5</v>
      </c>
      <c r="V68" s="100">
        <f t="shared" si="14"/>
        <v>1.8745173301408641E-2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2.2287889533331362</v>
      </c>
      <c r="K69" s="55">
        <f t="shared" si="26"/>
        <v>0.83320169640686337</v>
      </c>
      <c r="L69" s="55">
        <f t="shared" si="27"/>
        <v>4.7435490866364428E-2</v>
      </c>
      <c r="M69" s="55">
        <f t="shared" si="28"/>
        <v>0.95256450913363555</v>
      </c>
      <c r="N69" s="55">
        <f t="shared" si="29"/>
        <v>3.141251960444872E-2</v>
      </c>
      <c r="O69" s="56">
        <f t="shared" si="30"/>
        <v>8.3391361943172161E-7</v>
      </c>
      <c r="P69" s="56">
        <f t="shared" si="31"/>
        <v>1.4122449164076048E-4</v>
      </c>
      <c r="Q69" s="56">
        <f t="shared" si="32"/>
        <v>6.5859897323599574E-4</v>
      </c>
      <c r="R69" s="9">
        <f t="shared" si="12"/>
        <v>3.9999999999999996E-5</v>
      </c>
      <c r="S69" s="9">
        <f t="shared" si="13"/>
        <v>1.897419634654577E-6</v>
      </c>
      <c r="T69" s="9">
        <f t="shared" si="9"/>
        <v>3.3328067856274531E-5</v>
      </c>
      <c r="U69" s="9">
        <f t="shared" si="10"/>
        <v>3.8102580365345417E-5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3.5247920710512646</v>
      </c>
      <c r="K70" s="55">
        <f t="shared" si="26"/>
        <v>0.25280973589815292</v>
      </c>
      <c r="L70" s="55">
        <f t="shared" si="27"/>
        <v>0.28454448082238215</v>
      </c>
      <c r="M70" s="55">
        <f t="shared" si="28"/>
        <v>0.71545551917761785</v>
      </c>
      <c r="N70" s="55">
        <f t="shared" si="29"/>
        <v>0.23870715654951352</v>
      </c>
      <c r="O70" s="56">
        <f t="shared" si="30"/>
        <v>2.5302574730651948E-7</v>
      </c>
      <c r="P70" s="56">
        <f t="shared" si="31"/>
        <v>8.4714311835696005E-4</v>
      </c>
      <c r="Q70" s="56">
        <f t="shared" si="32"/>
        <v>5.0047653033642317E-3</v>
      </c>
      <c r="R70" s="9">
        <f t="shared" si="12"/>
        <v>3.9999999999999996E-5</v>
      </c>
      <c r="S70" s="9">
        <f t="shared" si="13"/>
        <v>1.1381779232895284E-5</v>
      </c>
      <c r="T70" s="9">
        <f t="shared" si="9"/>
        <v>1.0112389435926116E-5</v>
      </c>
      <c r="U70" s="9">
        <f t="shared" si="10"/>
        <v>2.8618220767104711E-5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6.2446121134706578</v>
      </c>
      <c r="K71" s="55">
        <f t="shared" ref="K71:K122" si="35">IF(D71=0,"",1/(1+10^D71*$J$15/$J$14+10^E71*$J$16/$J$14+10^J71*$J$19/$J$14))</f>
        <v>7.110533541161624E-4</v>
      </c>
      <c r="L71" s="55">
        <f t="shared" ref="L71:L122" si="36">IF(D71=0,"",1/(1+10^I71/10^J71*$J$13/$J$19))</f>
        <v>0.41983496314921975</v>
      </c>
      <c r="M71" s="55">
        <f t="shared" si="19"/>
        <v>0.58016503685078025</v>
      </c>
      <c r="N71" s="55">
        <f t="shared" ref="N71:N122" si="37">IF(D71=0,"",1/(1/10^E71*$J$20/$J$22+10^D71/10^E71*$J$21/$J$22+10^I71/10^E71*$J$13/$J$22+1))</f>
        <v>0.3723015411373663</v>
      </c>
      <c r="O71" s="56">
        <f t="shared" si="21"/>
        <v>7.1166090839369334E-10</v>
      </c>
      <c r="P71" s="56">
        <f t="shared" ref="P71:P122" si="38">IF(D71=0,"",O71*10^J71)</f>
        <v>1.2499286538596376E-3</v>
      </c>
      <c r="Q71" s="56">
        <f t="shared" ref="Q71:Q122" si="39">IF(D71=0,"",F71*N71*$J$7/$J$22)</f>
        <v>7.80572255313524E-3</v>
      </c>
      <c r="R71" s="9">
        <f t="shared" si="12"/>
        <v>3.9999999999999996E-5</v>
      </c>
      <c r="S71" s="9">
        <f t="shared" si="13"/>
        <v>1.679339852596879E-5</v>
      </c>
      <c r="T71" s="9">
        <f t="shared" si="9"/>
        <v>2.8442134164646493E-8</v>
      </c>
      <c r="U71" s="9">
        <f t="shared" si="10"/>
        <v>2.3206601474031206E-5</v>
      </c>
      <c r="V71" s="100">
        <f t="shared" si="14"/>
        <v>1.2256053173694556E-3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5.7505440288504071</v>
      </c>
      <c r="K72" s="55">
        <f t="shared" si="35"/>
        <v>2.0754037817878688E-3</v>
      </c>
      <c r="L72" s="55">
        <f t="shared" si="36"/>
        <v>0.39283568575230166</v>
      </c>
      <c r="M72" s="55">
        <f t="shared" si="19"/>
        <v>0.60716431424769834</v>
      </c>
      <c r="N72" s="55">
        <f t="shared" si="37"/>
        <v>0.33615939107030368</v>
      </c>
      <c r="O72" s="56">
        <f t="shared" si="21"/>
        <v>2.0771770951938597E-9</v>
      </c>
      <c r="P72" s="56">
        <f t="shared" si="38"/>
        <v>1.1695466623295081E-3</v>
      </c>
      <c r="Q72" s="56">
        <f t="shared" si="39"/>
        <v>7.0479615322288601E-3</v>
      </c>
      <c r="R72" s="9">
        <f t="shared" si="12"/>
        <v>3.9999999999999996E-5</v>
      </c>
      <c r="S72" s="9">
        <f t="shared" si="13"/>
        <v>1.5713427430092067E-5</v>
      </c>
      <c r="T72" s="9">
        <f t="shared" si="9"/>
        <v>8.3016151271514743E-8</v>
      </c>
      <c r="U72" s="9">
        <f t="shared" si="10"/>
        <v>2.428657256990793E-5</v>
      </c>
      <c r="V72" s="100">
        <f t="shared" si="14"/>
        <v>3.4181913084918038E-3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5.7768867999222078</v>
      </c>
      <c r="K73" s="55">
        <f t="shared" si="35"/>
        <v>2.0440112056370179E-3</v>
      </c>
      <c r="L73" s="55">
        <f t="shared" si="36"/>
        <v>0.41108759576045761</v>
      </c>
      <c r="M73" s="55">
        <f t="shared" si="19"/>
        <v>0.58891240423954239</v>
      </c>
      <c r="N73" s="55">
        <f t="shared" si="37"/>
        <v>0.36076460091695178</v>
      </c>
      <c r="O73" s="56">
        <f t="shared" si="21"/>
        <v>2.0457576958885818E-9</v>
      </c>
      <c r="P73" s="56">
        <f t="shared" si="38"/>
        <v>1.2238860749780747E-3</v>
      </c>
      <c r="Q73" s="56">
        <f t="shared" si="39"/>
        <v>7.5638375633563879E-3</v>
      </c>
      <c r="R73" s="9">
        <f t="shared" si="12"/>
        <v>3.9999999999999996E-5</v>
      </c>
      <c r="S73" s="9">
        <f t="shared" si="13"/>
        <v>1.6443503830418302E-5</v>
      </c>
      <c r="T73" s="9">
        <f t="shared" si="9"/>
        <v>8.1760448225480709E-8</v>
      </c>
      <c r="U73" s="9">
        <f t="shared" si="10"/>
        <v>2.3556496169581694E-5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2.5786532271571372</v>
      </c>
      <c r="K74" s="55">
        <f t="shared" si="35"/>
        <v>0.69116490292958854</v>
      </c>
      <c r="L74" s="55">
        <f t="shared" si="36"/>
        <v>8.8064161454794607E-2</v>
      </c>
      <c r="M74" s="55">
        <f t="shared" si="19"/>
        <v>0.91193583854520543</v>
      </c>
      <c r="N74" s="55">
        <f t="shared" si="37"/>
        <v>5.868300182920963E-2</v>
      </c>
      <c r="O74" s="56">
        <f t="shared" si="21"/>
        <v>6.9175546366715237E-7</v>
      </c>
      <c r="P74" s="56">
        <f t="shared" si="38"/>
        <v>2.6218378277691499E-4</v>
      </c>
      <c r="Q74" s="56">
        <f t="shared" si="39"/>
        <v>1.2303554518323326E-3</v>
      </c>
      <c r="R74" s="9">
        <f t="shared" si="12"/>
        <v>3.9999999999999996E-5</v>
      </c>
      <c r="S74" s="9">
        <f t="shared" si="13"/>
        <v>3.522566458191784E-6</v>
      </c>
      <c r="T74" s="9">
        <f t="shared" si="9"/>
        <v>2.7646596117183538E-5</v>
      </c>
      <c r="U74" s="9">
        <f t="shared" si="10"/>
        <v>3.6477433541808217E-5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4.3859314040665449</v>
      </c>
      <c r="K75" s="55">
        <f t="shared" si="35"/>
        <v>5.0768317264609737E-2</v>
      </c>
      <c r="L75" s="55">
        <f t="shared" si="36"/>
        <v>0.41503858434309487</v>
      </c>
      <c r="M75" s="55">
        <f t="shared" si="19"/>
        <v>0.58496141565690518</v>
      </c>
      <c r="N75" s="55">
        <f t="shared" si="37"/>
        <v>0.375530656018154</v>
      </c>
      <c r="O75" s="56">
        <f t="shared" si="21"/>
        <v>5.0811695877675288E-8</v>
      </c>
      <c r="P75" s="56">
        <f t="shared" si="38"/>
        <v>1.2356489205578405E-3</v>
      </c>
      <c r="Q75" s="56">
        <f t="shared" si="39"/>
        <v>7.8734245958789438E-3</v>
      </c>
      <c r="R75" s="9">
        <f t="shared" si="12"/>
        <v>3.9999999999999996E-5</v>
      </c>
      <c r="S75" s="9">
        <f t="shared" si="13"/>
        <v>1.6601543373723792E-5</v>
      </c>
      <c r="T75" s="9">
        <f t="shared" si="9"/>
        <v>2.0307326905843893E-6</v>
      </c>
      <c r="U75" s="9">
        <f t="shared" si="10"/>
        <v>2.3398456626276204E-5</v>
      </c>
      <c r="V75" s="100">
        <f t="shared" si="14"/>
        <v>8.6789172594567587E-2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4.3302914014280267</v>
      </c>
      <c r="K76" s="55">
        <f t="shared" si="35"/>
        <v>5.1997038168982213E-2</v>
      </c>
      <c r="L76" s="55">
        <f t="shared" si="36"/>
        <v>0.37396788476909909</v>
      </c>
      <c r="M76" s="55">
        <f t="shared" si="19"/>
        <v>0.62603211523090097</v>
      </c>
      <c r="N76" s="55">
        <f t="shared" si="37"/>
        <v>0.32038800698147823</v>
      </c>
      <c r="O76" s="56">
        <f t="shared" si="21"/>
        <v>5.2041466653533517E-8</v>
      </c>
      <c r="P76" s="56">
        <f t="shared" si="38"/>
        <v>1.1133736249356598E-3</v>
      </c>
      <c r="Q76" s="56">
        <f t="shared" si="39"/>
        <v>6.7172966413444023E-3</v>
      </c>
      <c r="R76" s="9">
        <f t="shared" si="12"/>
        <v>3.9999999999999996E-5</v>
      </c>
      <c r="S76" s="9">
        <f t="shared" si="13"/>
        <v>1.4958715390763962E-5</v>
      </c>
      <c r="T76" s="9">
        <f t="shared" si="9"/>
        <v>2.0798815267592883E-6</v>
      </c>
      <c r="U76" s="9">
        <f t="shared" si="10"/>
        <v>2.5041284609236037E-5</v>
      </c>
      <c r="V76" s="100">
        <f t="shared" si="14"/>
        <v>8.305810022190957E-2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2.8460801477665378</v>
      </c>
      <c r="K77" s="55">
        <f t="shared" si="35"/>
        <v>0.5866863038792729</v>
      </c>
      <c r="L77" s="55">
        <f t="shared" si="36"/>
        <v>0.13837269444503766</v>
      </c>
      <c r="M77" s="55">
        <f t="shared" si="19"/>
        <v>0.86162730555496236</v>
      </c>
      <c r="N77" s="55">
        <f t="shared" si="37"/>
        <v>0.10628148022706622</v>
      </c>
      <c r="O77" s="56">
        <f t="shared" si="21"/>
        <v>5.871875936508875E-7</v>
      </c>
      <c r="P77" s="56">
        <f t="shared" si="38"/>
        <v>4.119618680665811E-4</v>
      </c>
      <c r="Q77" s="56">
        <f t="shared" si="39"/>
        <v>2.2283113431510429E-3</v>
      </c>
      <c r="R77" s="9">
        <f t="shared" si="12"/>
        <v>3.9999999999999996E-5</v>
      </c>
      <c r="S77" s="9">
        <f t="shared" si="13"/>
        <v>5.5349077778015057E-6</v>
      </c>
      <c r="T77" s="9">
        <f t="shared" si="9"/>
        <v>2.3467452155170914E-5</v>
      </c>
      <c r="U77" s="9">
        <f t="shared" si="10"/>
        <v>3.4465092222198488E-5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3.1911261573025951</v>
      </c>
      <c r="K78" s="55">
        <f t="shared" si="35"/>
        <v>0.41957510108756302</v>
      </c>
      <c r="L78" s="55">
        <f t="shared" si="36"/>
        <v>0.21902826622280891</v>
      </c>
      <c r="M78" s="55">
        <f t="shared" si="19"/>
        <v>0.78097173377719109</v>
      </c>
      <c r="N78" s="55">
        <f t="shared" si="37"/>
        <v>0.18266794897757765</v>
      </c>
      <c r="O78" s="56">
        <f t="shared" si="21"/>
        <v>4.1993360392836333E-7</v>
      </c>
      <c r="P78" s="56">
        <f t="shared" si="38"/>
        <v>6.5208886821505909E-4</v>
      </c>
      <c r="Q78" s="56">
        <f t="shared" si="39"/>
        <v>3.8298399859245926E-3</v>
      </c>
      <c r="R78" s="9">
        <f t="shared" si="12"/>
        <v>3.9999999999999996E-5</v>
      </c>
      <c r="S78" s="9">
        <f t="shared" si="13"/>
        <v>8.7611306489123562E-6</v>
      </c>
      <c r="T78" s="9">
        <f t="shared" si="9"/>
        <v>1.6783004043502521E-5</v>
      </c>
      <c r="U78" s="9">
        <f t="shared" si="10"/>
        <v>3.123886935108764E-5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3.0863447971892604</v>
      </c>
      <c r="K79" s="55">
        <f t="shared" si="35"/>
        <v>0.40789396867638583</v>
      </c>
      <c r="L79" s="55">
        <f t="shared" si="36"/>
        <v>0.16728476133645531</v>
      </c>
      <c r="M79" s="55">
        <f t="shared" si="19"/>
        <v>0.83271523866354469</v>
      </c>
      <c r="N79" s="55">
        <f t="shared" si="37"/>
        <v>0.11063306090710863</v>
      </c>
      <c r="O79" s="56">
        <f t="shared" si="21"/>
        <v>4.0824249066002299E-7</v>
      </c>
      <c r="P79" s="56">
        <f t="shared" si="38"/>
        <v>4.9803859826269168E-4</v>
      </c>
      <c r="Q79" s="56">
        <f t="shared" si="39"/>
        <v>2.3195471498904567E-3</v>
      </c>
      <c r="R79" s="9">
        <f t="shared" si="12"/>
        <v>3.9999999999999996E-5</v>
      </c>
      <c r="S79" s="9">
        <f t="shared" si="13"/>
        <v>6.6913904534582118E-6</v>
      </c>
      <c r="T79" s="9">
        <f t="shared" si="9"/>
        <v>1.6315758747055432E-5</v>
      </c>
      <c r="U79" s="9">
        <f t="shared" si="10"/>
        <v>3.3308609546541781E-5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3.1630398899948347</v>
      </c>
      <c r="K80" s="55">
        <f t="shared" si="35"/>
        <v>0.36114942795929061</v>
      </c>
      <c r="L80" s="55">
        <f t="shared" si="36"/>
        <v>0.1767222049309041</v>
      </c>
      <c r="M80" s="55">
        <f t="shared" si="19"/>
        <v>0.82327779506909593</v>
      </c>
      <c r="N80" s="55">
        <f t="shared" si="37"/>
        <v>0.11430377559055679</v>
      </c>
      <c r="O80" s="56">
        <f t="shared" si="21"/>
        <v>3.6145800941596241E-7</v>
      </c>
      <c r="P80" s="56">
        <f t="shared" si="38"/>
        <v>5.2613566545166952E-4</v>
      </c>
      <c r="Q80" s="56">
        <f t="shared" si="39"/>
        <v>2.3965078315550648E-3</v>
      </c>
      <c r="R80" s="9">
        <f t="shared" si="12"/>
        <v>3.9999999999999996E-5</v>
      </c>
      <c r="S80" s="9">
        <f t="shared" si="13"/>
        <v>7.0688881972361634E-6</v>
      </c>
      <c r="T80" s="9">
        <f t="shared" si="9"/>
        <v>1.4445977118371623E-5</v>
      </c>
      <c r="U80" s="9">
        <f t="shared" si="10"/>
        <v>3.2931111802763831E-5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4.8333812334786872</v>
      </c>
      <c r="K81" s="55">
        <f t="shared" si="35"/>
        <v>1.8833396423670403E-2</v>
      </c>
      <c r="L81" s="55">
        <f t="shared" si="36"/>
        <v>0.43139408063965029</v>
      </c>
      <c r="M81" s="55">
        <f t="shared" si="19"/>
        <v>0.56860591936034965</v>
      </c>
      <c r="N81" s="55">
        <f t="shared" si="37"/>
        <v>0.39139862222779542</v>
      </c>
      <c r="O81" s="56">
        <f t="shared" si="21"/>
        <v>1.8849488479901345E-8</v>
      </c>
      <c r="P81" s="56">
        <f t="shared" si="38"/>
        <v>1.2843423483653142E-3</v>
      </c>
      <c r="Q81" s="56">
        <f t="shared" si="39"/>
        <v>8.2061144400751192E-3</v>
      </c>
      <c r="R81" s="9">
        <f t="shared" si="12"/>
        <v>3.9999999999999996E-5</v>
      </c>
      <c r="S81" s="9">
        <f t="shared" si="13"/>
        <v>1.725576322558601E-5</v>
      </c>
      <c r="T81" s="9">
        <f t="shared" si="9"/>
        <v>7.5333585694681607E-7</v>
      </c>
      <c r="U81" s="9">
        <f t="shared" si="10"/>
        <v>2.2744236774413984E-5</v>
      </c>
      <c r="V81" s="100">
        <f t="shared" si="14"/>
        <v>3.3122054805298083E-2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4.5239348971579787</v>
      </c>
      <c r="K82" s="55">
        <f t="shared" si="35"/>
        <v>3.4458451045242949E-2</v>
      </c>
      <c r="L82" s="55">
        <f t="shared" si="36"/>
        <v>0.38707484521295543</v>
      </c>
      <c r="M82" s="55">
        <f t="shared" si="19"/>
        <v>0.61292515478704457</v>
      </c>
      <c r="N82" s="55">
        <f t="shared" si="37"/>
        <v>0.33466430704677752</v>
      </c>
      <c r="O82" s="56">
        <f t="shared" si="21"/>
        <v>3.448789381378969E-8</v>
      </c>
      <c r="P82" s="56">
        <f t="shared" si="38"/>
        <v>1.1523955427409141E-3</v>
      </c>
      <c r="Q82" s="56">
        <f t="shared" si="39"/>
        <v>7.0166154060602223E-3</v>
      </c>
      <c r="R82" s="9">
        <f t="shared" si="12"/>
        <v>3.9999999999999996E-5</v>
      </c>
      <c r="S82" s="9">
        <f t="shared" si="13"/>
        <v>1.5482993808518215E-5</v>
      </c>
      <c r="T82" s="9">
        <f t="shared" si="9"/>
        <v>1.3783380418097178E-6</v>
      </c>
      <c r="U82" s="9">
        <f t="shared" si="10"/>
        <v>2.4517006191481782E-5</v>
      </c>
      <c r="V82" s="100">
        <f t="shared" si="14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2.7903744043145644</v>
      </c>
      <c r="K83" s="55">
        <f t="shared" si="35"/>
        <v>0.61897762881157248</v>
      </c>
      <c r="L83" s="55">
        <f t="shared" si="36"/>
        <v>0.12841437947060633</v>
      </c>
      <c r="M83" s="55">
        <f t="shared" si="19"/>
        <v>0.8715856205293937</v>
      </c>
      <c r="N83" s="55">
        <f t="shared" si="37"/>
        <v>9.9108658464437047E-2</v>
      </c>
      <c r="O83" s="56">
        <f t="shared" si="21"/>
        <v>6.1950650966686052E-7</v>
      </c>
      <c r="P83" s="56">
        <f t="shared" si="38"/>
        <v>3.8231406756579906E-4</v>
      </c>
      <c r="Q83" s="56">
        <f t="shared" si="39"/>
        <v>2.0779250287911036E-3</v>
      </c>
      <c r="R83" s="9">
        <f t="shared" si="12"/>
        <v>3.9999999999999996E-5</v>
      </c>
      <c r="S83" s="9">
        <f t="shared" si="13"/>
        <v>5.1365751788242525E-6</v>
      </c>
      <c r="T83" s="9">
        <f t="shared" si="9"/>
        <v>2.4759105152462897E-5</v>
      </c>
      <c r="U83" s="9">
        <f t="shared" si="10"/>
        <v>3.4863424821175743E-5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4.522432495717549</v>
      </c>
      <c r="K84" s="55">
        <f t="shared" si="35"/>
        <v>2.998425598917067E-2</v>
      </c>
      <c r="L84" s="55">
        <f t="shared" si="36"/>
        <v>0.33565264428759073</v>
      </c>
      <c r="M84" s="55">
        <f t="shared" si="19"/>
        <v>0.66434735571240933</v>
      </c>
      <c r="N84" s="55">
        <f t="shared" si="37"/>
        <v>0.26445873827137251</v>
      </c>
      <c r="O84" s="56">
        <f t="shared" si="21"/>
        <v>3.000987581485513E-8</v>
      </c>
      <c r="P84" s="56">
        <f t="shared" si="38"/>
        <v>9.9930185588116538E-4</v>
      </c>
      <c r="Q84" s="56">
        <f t="shared" si="39"/>
        <v>5.5446763163864796E-3</v>
      </c>
      <c r="R84" s="9">
        <f t="shared" si="12"/>
        <v>3.9999999999999996E-5</v>
      </c>
      <c r="S84" s="9">
        <f t="shared" si="13"/>
        <v>1.3426105771503628E-5</v>
      </c>
      <c r="T84" s="9">
        <f t="shared" si="9"/>
        <v>1.1993702395668267E-6</v>
      </c>
      <c r="U84" s="9">
        <f t="shared" si="10"/>
        <v>2.657389422849637E-5</v>
      </c>
      <c r="V84" s="100">
        <f t="shared" si="14"/>
        <v>4.5133401572761911E-2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2.7020905339390611</v>
      </c>
      <c r="K85" s="55">
        <f t="shared" si="35"/>
        <v>0.66174897018829193</v>
      </c>
      <c r="L85" s="55">
        <f t="shared" si="36"/>
        <v>0.11203355274234342</v>
      </c>
      <c r="M85" s="55">
        <f t="shared" si="19"/>
        <v>0.88796644725765661</v>
      </c>
      <c r="N85" s="55">
        <f t="shared" si="37"/>
        <v>8.5305674008879617E-2</v>
      </c>
      <c r="O85" s="56">
        <f t="shared" si="21"/>
        <v>6.6231439669976559E-7</v>
      </c>
      <c r="P85" s="56">
        <f t="shared" si="38"/>
        <v>3.3354522623828828E-4</v>
      </c>
      <c r="Q85" s="56">
        <f t="shared" si="39"/>
        <v>1.788529860734126E-3</v>
      </c>
      <c r="R85" s="9">
        <f t="shared" si="12"/>
        <v>3.9999999999999996E-5</v>
      </c>
      <c r="S85" s="9">
        <f t="shared" si="13"/>
        <v>4.481342109693736E-6</v>
      </c>
      <c r="T85" s="9">
        <f t="shared" si="9"/>
        <v>2.6469958807531675E-5</v>
      </c>
      <c r="U85" s="9">
        <f t="shared" si="10"/>
        <v>3.551865789030626E-5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3.6364018134902829</v>
      </c>
      <c r="K86" s="55">
        <f t="shared" si="35"/>
        <v>0.15097923011559028</v>
      </c>
      <c r="L86" s="55">
        <f t="shared" si="36"/>
        <v>0.21972694635170772</v>
      </c>
      <c r="M86" s="55">
        <f t="shared" si="19"/>
        <v>0.78027305364829225</v>
      </c>
      <c r="N86" s="55">
        <f t="shared" si="37"/>
        <v>0.13157999060598666</v>
      </c>
      <c r="O86" s="56">
        <f t="shared" si="21"/>
        <v>1.5110823320170761E-7</v>
      </c>
      <c r="P86" s="56">
        <f t="shared" si="38"/>
        <v>6.5416897204072005E-4</v>
      </c>
      <c r="Q86" s="56">
        <f t="shared" si="39"/>
        <v>2.7587232034463091E-3</v>
      </c>
      <c r="R86" s="9">
        <f t="shared" si="12"/>
        <v>3.9999999999999996E-5</v>
      </c>
      <c r="S86" s="9">
        <f t="shared" si="13"/>
        <v>8.7890778540683087E-6</v>
      </c>
      <c r="T86" s="9">
        <f t="shared" si="9"/>
        <v>6.0391692046236104E-6</v>
      </c>
      <c r="U86" s="9">
        <f t="shared" si="10"/>
        <v>3.1210922145931684E-5</v>
      </c>
      <c r="V86" s="100">
        <f t="shared" si="14"/>
        <v>0.19349537884162804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2.4059565027875509</v>
      </c>
      <c r="K87" s="55">
        <f t="shared" si="35"/>
        <v>0.77614785138001852</v>
      </c>
      <c r="L87" s="55">
        <f t="shared" si="36"/>
        <v>6.6445452378904479E-2</v>
      </c>
      <c r="M87" s="55">
        <f t="shared" si="19"/>
        <v>0.93355454762109558</v>
      </c>
      <c r="N87" s="55">
        <f t="shared" si="37"/>
        <v>4.5994005881919535E-2</v>
      </c>
      <c r="O87" s="56">
        <f t="shared" si="21"/>
        <v>7.7681102516911975E-7</v>
      </c>
      <c r="P87" s="56">
        <f t="shared" si="38"/>
        <v>1.9782076800864228E-4</v>
      </c>
      <c r="Q87" s="56">
        <f t="shared" si="39"/>
        <v>9.6431631178520865E-4</v>
      </c>
      <c r="R87" s="9">
        <f t="shared" si="12"/>
        <v>3.9999999999999996E-5</v>
      </c>
      <c r="S87" s="9">
        <f t="shared" si="13"/>
        <v>2.6578180951561788E-6</v>
      </c>
      <c r="T87" s="9">
        <f t="shared" si="9"/>
        <v>3.1045914055200736E-5</v>
      </c>
      <c r="U87" s="9">
        <f t="shared" si="10"/>
        <v>3.7342181904843818E-5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1.3723682366191232</v>
      </c>
      <c r="K88" s="55">
        <f t="shared" si="35"/>
        <v>0.95285676528797503</v>
      </c>
      <c r="L88" s="55">
        <f t="shared" si="36"/>
        <v>7.5502296011718383E-3</v>
      </c>
      <c r="M88" s="55">
        <f t="shared" si="19"/>
        <v>0.9924497703988282</v>
      </c>
      <c r="N88" s="55">
        <f t="shared" si="37"/>
        <v>8.0887286479804327E-4</v>
      </c>
      <c r="O88" s="56">
        <f t="shared" si="21"/>
        <v>9.5367092670114292E-7</v>
      </c>
      <c r="P88" s="56">
        <f t="shared" si="38"/>
        <v>2.2478471661660226E-5</v>
      </c>
      <c r="Q88" s="56">
        <f t="shared" si="39"/>
        <v>1.6958933729053816E-5</v>
      </c>
      <c r="R88" s="9">
        <f t="shared" si="12"/>
        <v>3.9999999999999996E-5</v>
      </c>
      <c r="S88" s="9">
        <f t="shared" si="13"/>
        <v>3.0200918404687353E-7</v>
      </c>
      <c r="T88" s="9">
        <f t="shared" si="9"/>
        <v>3.8114270611519E-5</v>
      </c>
      <c r="U88" s="9">
        <f t="shared" si="10"/>
        <v>3.9697990815953124E-5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0.89745442298650768</v>
      </c>
      <c r="K89" s="55">
        <f t="shared" si="35"/>
        <v>0.98799103145402045</v>
      </c>
      <c r="L89" s="55">
        <f t="shared" si="36"/>
        <v>2.6228395600988962E-3</v>
      </c>
      <c r="M89" s="55">
        <f t="shared" si="19"/>
        <v>0.9973771604399011</v>
      </c>
      <c r="N89" s="55">
        <f t="shared" si="37"/>
        <v>9.7057485309341783E-4</v>
      </c>
      <c r="O89" s="56">
        <f t="shared" si="21"/>
        <v>9.8883521308096481E-7</v>
      </c>
      <c r="P89" s="56">
        <f t="shared" si="38"/>
        <v>7.808692958902054E-6</v>
      </c>
      <c r="Q89" s="56">
        <f t="shared" si="39"/>
        <v>2.0349198655349967E-5</v>
      </c>
      <c r="R89" s="9">
        <f t="shared" si="12"/>
        <v>3.9999999999999996E-5</v>
      </c>
      <c r="S89" s="9">
        <f t="shared" si="13"/>
        <v>1.0491358240395584E-7</v>
      </c>
      <c r="T89" s="9">
        <f t="shared" si="9"/>
        <v>3.9519641258160815E-5</v>
      </c>
      <c r="U89" s="9">
        <f t="shared" si="10"/>
        <v>3.9895086417596037E-5</v>
      </c>
      <c r="V89" s="100">
        <f t="shared" si="14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4.4904334412289026E-2</v>
      </c>
      <c r="K90" s="55">
        <f t="shared" si="35"/>
        <v>0.9988127177784295</v>
      </c>
      <c r="L90" s="55">
        <f t="shared" si="36"/>
        <v>3.7235114886683454E-4</v>
      </c>
      <c r="M90" s="55">
        <f t="shared" si="19"/>
        <v>0.9996276488511332</v>
      </c>
      <c r="N90" s="55">
        <f t="shared" si="37"/>
        <v>3.2248749290378557E-5</v>
      </c>
      <c r="O90" s="56">
        <f t="shared" si="21"/>
        <v>9.9966614591518696E-7</v>
      </c>
      <c r="P90" s="56">
        <f t="shared" si="38"/>
        <v>1.1085602942049223E-6</v>
      </c>
      <c r="Q90" s="56">
        <f t="shared" si="39"/>
        <v>6.7613147363640455E-7</v>
      </c>
      <c r="R90" s="9">
        <f t="shared" si="12"/>
        <v>3.9999999999999996E-5</v>
      </c>
      <c r="S90" s="9">
        <f t="shared" si="13"/>
        <v>1.489404595467338E-8</v>
      </c>
      <c r="T90" s="9">
        <f t="shared" si="9"/>
        <v>3.9952508711137179E-5</v>
      </c>
      <c r="U90" s="9">
        <f t="shared" si="10"/>
        <v>3.9985105954045326E-5</v>
      </c>
      <c r="V90" s="100">
        <f t="shared" si="14"/>
        <v>0.99918476537374668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-5.1413201390364628E-2</v>
      </c>
      <c r="K91" s="55">
        <f t="shared" si="35"/>
        <v>0.99923655788927224</v>
      </c>
      <c r="L91" s="55">
        <f t="shared" si="36"/>
        <v>2.9841415077872836E-4</v>
      </c>
      <c r="M91" s="55">
        <f t="shared" si="19"/>
        <v>0.99970158584922131</v>
      </c>
      <c r="N91" s="55">
        <f t="shared" si="37"/>
        <v>1.4653067144759877E-5</v>
      </c>
      <c r="O91" s="56">
        <f t="shared" si="21"/>
        <v>1.0000903481730767E-6</v>
      </c>
      <c r="P91" s="56">
        <f t="shared" si="38"/>
        <v>8.8843576765889897E-7</v>
      </c>
      <c r="Q91" s="56">
        <f t="shared" si="39"/>
        <v>3.0721811232646969E-7</v>
      </c>
      <c r="R91" s="9">
        <f t="shared" si="12"/>
        <v>3.9999999999999996E-5</v>
      </c>
      <c r="S91" s="9">
        <f t="shared" si="13"/>
        <v>1.1936566031149134E-8</v>
      </c>
      <c r="T91" s="9">
        <f t="shared" si="9"/>
        <v>3.9969462315570886E-5</v>
      </c>
      <c r="U91" s="9">
        <f t="shared" si="10"/>
        <v>3.998806343396885E-5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1.0060883213991665</v>
      </c>
      <c r="K92" s="55">
        <f t="shared" si="35"/>
        <v>0.984783324768707</v>
      </c>
      <c r="L92" s="55">
        <f t="shared" si="36"/>
        <v>3.3573244073455263E-3</v>
      </c>
      <c r="M92" s="55">
        <f t="shared" si="19"/>
        <v>0.99664267559265451</v>
      </c>
      <c r="N92" s="55">
        <f t="shared" si="37"/>
        <v>1.3396016795151145E-3</v>
      </c>
      <c r="O92" s="56">
        <f t="shared" si="21"/>
        <v>9.8562476559440715E-7</v>
      </c>
      <c r="P92" s="56">
        <f t="shared" si="38"/>
        <v>9.9953942510309375E-6</v>
      </c>
      <c r="Q92" s="56">
        <f t="shared" si="39"/>
        <v>2.8086263113670186E-5</v>
      </c>
      <c r="R92" s="9">
        <f t="shared" si="12"/>
        <v>3.9999999999999996E-5</v>
      </c>
      <c r="S92" s="9">
        <f t="shared" si="13"/>
        <v>1.3429297629382103E-7</v>
      </c>
      <c r="T92" s="9">
        <f t="shared" ref="T92:T143" si="40">R92*K92</f>
        <v>3.939133299074828E-5</v>
      </c>
      <c r="U92" s="9">
        <f t="shared" ref="U92:U143" si="41">$R92*M92</f>
        <v>3.9865707023706175E-5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-4.7270856045721135E-2</v>
      </c>
      <c r="K93" s="55">
        <f t="shared" si="35"/>
        <v>0.99921987143714508</v>
      </c>
      <c r="L93" s="55">
        <f t="shared" si="36"/>
        <v>3.0126904197602048E-4</v>
      </c>
      <c r="M93" s="55">
        <f t="shared" ref="M93:M127" si="42">IF(D93=0,"",1-L93)</f>
        <v>0.99969873095802397</v>
      </c>
      <c r="N93" s="55">
        <f t="shared" si="37"/>
        <v>1.527031189652833E-5</v>
      </c>
      <c r="O93" s="56">
        <f t="shared" ref="O93:O127" si="43">IF(D93=0,"",F93*K93*$J$7/$J$14)</f>
        <v>1.000073647463334E-6</v>
      </c>
      <c r="P93" s="56">
        <f t="shared" si="38"/>
        <v>8.9693532254203709E-7</v>
      </c>
      <c r="Q93" s="56">
        <f t="shared" si="39"/>
        <v>3.2015934610424142E-7</v>
      </c>
      <c r="R93" s="9">
        <f t="shared" ref="R93:R143" si="44">F93*$C$14</f>
        <v>3.9999999999999996E-5</v>
      </c>
      <c r="S93" s="9">
        <f t="shared" ref="S93:S143" si="45">$R93*L93</f>
        <v>1.2050761679040818E-8</v>
      </c>
      <c r="T93" s="9">
        <f t="shared" si="40"/>
        <v>3.9968794857485801E-5</v>
      </c>
      <c r="U93" s="9">
        <f t="shared" si="41"/>
        <v>3.9987949238320957E-5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-0.1599116898851925</v>
      </c>
      <c r="K94" s="55">
        <f t="shared" si="35"/>
        <v>0.99963266268688244</v>
      </c>
      <c r="L94" s="55">
        <f t="shared" si="36"/>
        <v>2.3253752644051976E-4</v>
      </c>
      <c r="M94" s="55">
        <f t="shared" si="42"/>
        <v>0.99976746247355952</v>
      </c>
      <c r="N94" s="55">
        <f t="shared" si="37"/>
        <v>2.553530884614541E-6</v>
      </c>
      <c r="O94" s="56">
        <f t="shared" si="43"/>
        <v>1.0004867914195005E-6</v>
      </c>
      <c r="P94" s="56">
        <f t="shared" si="38"/>
        <v>6.9230850907560688E-7</v>
      </c>
      <c r="Q94" s="56">
        <f t="shared" si="39"/>
        <v>5.3537660776990526E-8</v>
      </c>
      <c r="R94" s="9">
        <f t="shared" si="44"/>
        <v>3.9999999999999996E-5</v>
      </c>
      <c r="S94" s="9">
        <f t="shared" si="45"/>
        <v>9.3015010576207903E-9</v>
      </c>
      <c r="T94" s="9">
        <f t="shared" si="40"/>
        <v>3.9985306507475295E-5</v>
      </c>
      <c r="U94" s="9">
        <f t="shared" si="41"/>
        <v>3.9990698498942377E-5</v>
      </c>
      <c r="V94" s="100">
        <f t="shared" si="46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4.2457757065517692</v>
      </c>
      <c r="K95" s="55">
        <f t="shared" si="35"/>
        <v>6.7520545158822221E-2</v>
      </c>
      <c r="L95" s="55">
        <f t="shared" si="36"/>
        <v>0.39973847093068604</v>
      </c>
      <c r="M95" s="55">
        <f t="shared" si="42"/>
        <v>0.60026152906931396</v>
      </c>
      <c r="N95" s="55">
        <f t="shared" si="37"/>
        <v>0.35814473183973128</v>
      </c>
      <c r="O95" s="56">
        <f t="shared" si="43"/>
        <v>6.7578237589066718E-8</v>
      </c>
      <c r="P95" s="56">
        <f t="shared" si="38"/>
        <v>1.1900975686217827E-3</v>
      </c>
      <c r="Q95" s="56">
        <f t="shared" si="39"/>
        <v>7.5089090474016922E-3</v>
      </c>
      <c r="R95" s="9">
        <f t="shared" si="44"/>
        <v>3.9999999999999996E-5</v>
      </c>
      <c r="S95" s="9">
        <f t="shared" si="45"/>
        <v>1.598953883722744E-5</v>
      </c>
      <c r="T95" s="9">
        <f t="shared" si="40"/>
        <v>2.7008218063528885E-6</v>
      </c>
      <c r="U95" s="9">
        <f t="shared" si="41"/>
        <v>2.4010461162772556E-5</v>
      </c>
      <c r="V95" s="100">
        <f t="shared" si="46"/>
        <v>0.11248521167683466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-0.20901127412599796</v>
      </c>
      <c r="K96" s="55">
        <f t="shared" si="35"/>
        <v>0.99979228670271469</v>
      </c>
      <c r="L96" s="55">
        <f t="shared" si="36"/>
        <v>2.0771258374997228E-4</v>
      </c>
      <c r="M96" s="55">
        <f t="shared" si="42"/>
        <v>0.99979228741625004</v>
      </c>
      <c r="N96" s="55">
        <f t="shared" si="37"/>
        <v>8.1425873554859446E-14</v>
      </c>
      <c r="O96" s="56">
        <f t="shared" si="43"/>
        <v>1.0006465518248921E-6</v>
      </c>
      <c r="P96" s="56">
        <f t="shared" si="38"/>
        <v>6.1839992612533422E-7</v>
      </c>
      <c r="Q96" s="56">
        <f t="shared" si="39"/>
        <v>1.7071854595987152E-15</v>
      </c>
      <c r="R96" s="9">
        <f t="shared" si="44"/>
        <v>3.9999999999999996E-5</v>
      </c>
      <c r="S96" s="9">
        <f t="shared" si="45"/>
        <v>8.3085033499988898E-9</v>
      </c>
      <c r="T96" s="9">
        <f t="shared" si="40"/>
        <v>3.9991691468108585E-5</v>
      </c>
      <c r="U96" s="9">
        <f t="shared" si="41"/>
        <v>3.9991691496649997E-5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4.0353280242380984</v>
      </c>
      <c r="K98" s="55">
        <f t="shared" si="35"/>
        <v>4.5506824132901358E-2</v>
      </c>
      <c r="L98" s="55">
        <f t="shared" si="36"/>
        <v>0.16594678850806666</v>
      </c>
      <c r="M98" s="55">
        <f t="shared" si="42"/>
        <v>0.83405321149193334</v>
      </c>
      <c r="N98" s="55">
        <f t="shared" si="37"/>
        <v>3.863039708084149E-2</v>
      </c>
      <c r="O98" s="56">
        <f t="shared" si="43"/>
        <v>4.554570710208889E-8</v>
      </c>
      <c r="P98" s="56">
        <f t="shared" si="38"/>
        <v>4.9405519830061147E-4</v>
      </c>
      <c r="Q98" s="56">
        <f t="shared" si="39"/>
        <v>8.0992993155308221E-4</v>
      </c>
      <c r="R98" s="9">
        <f t="shared" si="44"/>
        <v>3.9999999999999996E-5</v>
      </c>
      <c r="S98" s="9">
        <f t="shared" si="45"/>
        <v>6.6378715403226654E-6</v>
      </c>
      <c r="T98" s="9">
        <f t="shared" si="40"/>
        <v>1.8202729653160541E-6</v>
      </c>
      <c r="U98" s="9">
        <f t="shared" si="41"/>
        <v>3.3362128459677334E-5</v>
      </c>
      <c r="V98" s="100">
        <f t="shared" si="46"/>
        <v>5.4561056184292966E-2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2.2845343185523066</v>
      </c>
      <c r="K99" s="55">
        <f t="shared" si="35"/>
        <v>0.71563498525818547</v>
      </c>
      <c r="L99" s="55">
        <f t="shared" si="36"/>
        <v>4.6322307215845383E-2</v>
      </c>
      <c r="M99" s="55">
        <f t="shared" si="42"/>
        <v>0.9536776927841546</v>
      </c>
      <c r="N99" s="55">
        <f t="shared" si="37"/>
        <v>7.1374685624860466E-3</v>
      </c>
      <c r="O99" s="56">
        <f t="shared" si="43"/>
        <v>7.1624645427654744E-7</v>
      </c>
      <c r="P99" s="56">
        <f t="shared" si="38"/>
        <v>1.3791033187818426E-4</v>
      </c>
      <c r="Q99" s="56">
        <f t="shared" si="39"/>
        <v>1.4964509456579151E-4</v>
      </c>
      <c r="R99" s="9">
        <f t="shared" si="44"/>
        <v>3.9999999999999996E-5</v>
      </c>
      <c r="S99" s="9">
        <f t="shared" si="45"/>
        <v>1.8528922886338151E-6</v>
      </c>
      <c r="T99" s="9">
        <f t="shared" si="40"/>
        <v>2.8625399410327418E-5</v>
      </c>
      <c r="U99" s="9">
        <f t="shared" si="41"/>
        <v>3.8147107711366179E-5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3.6308922154546472</v>
      </c>
      <c r="K101" s="55">
        <f t="shared" si="35"/>
        <v>9.8286625777265435E-2</v>
      </c>
      <c r="L101" s="55">
        <f t="shared" si="36"/>
        <v>0.14123779913816886</v>
      </c>
      <c r="M101" s="55">
        <f t="shared" si="42"/>
        <v>0.85876220086183119</v>
      </c>
      <c r="N101" s="55">
        <f t="shared" si="37"/>
        <v>1.5536281100799073E-2</v>
      </c>
      <c r="O101" s="56">
        <f t="shared" si="43"/>
        <v>9.8370606057464358E-8</v>
      </c>
      <c r="P101" s="56">
        <f t="shared" si="38"/>
        <v>4.2049183047225991E-4</v>
      </c>
      <c r="Q101" s="56">
        <f t="shared" si="39"/>
        <v>3.2573569104730354E-4</v>
      </c>
      <c r="R101" s="9">
        <f t="shared" si="44"/>
        <v>3.9999999999999996E-5</v>
      </c>
      <c r="S101" s="9">
        <f t="shared" si="45"/>
        <v>5.6495119655267537E-6</v>
      </c>
      <c r="T101" s="9">
        <f t="shared" si="40"/>
        <v>3.9314650310906167E-6</v>
      </c>
      <c r="U101" s="9">
        <f t="shared" si="41"/>
        <v>3.4350488034473248E-5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2.820617192166893</v>
      </c>
      <c r="K102" s="55">
        <f t="shared" si="35"/>
        <v>0.39290586326974597</v>
      </c>
      <c r="L102" s="55">
        <f t="shared" si="36"/>
        <v>8.7391662680982057E-2</v>
      </c>
      <c r="M102" s="55">
        <f t="shared" si="42"/>
        <v>0.91260833731901791</v>
      </c>
      <c r="N102" s="55">
        <f t="shared" si="37"/>
        <v>2.1519923132395798E-8</v>
      </c>
      <c r="O102" s="56">
        <f t="shared" si="43"/>
        <v>3.932415787776114E-7</v>
      </c>
      <c r="P102" s="56">
        <f t="shared" si="38"/>
        <v>2.6018162583227051E-4</v>
      </c>
      <c r="Q102" s="56">
        <f t="shared" si="39"/>
        <v>4.5118950843746416E-10</v>
      </c>
      <c r="R102" s="9">
        <f t="shared" si="44"/>
        <v>3.9999999999999996E-5</v>
      </c>
      <c r="S102" s="9">
        <f t="shared" si="45"/>
        <v>3.4956665072392821E-6</v>
      </c>
      <c r="T102" s="9">
        <f t="shared" si="40"/>
        <v>1.5716234530789839E-5</v>
      </c>
      <c r="U102" s="9">
        <f t="shared" si="41"/>
        <v>3.6504333492760711E-5</v>
      </c>
      <c r="V102" s="100">
        <f t="shared" si="46"/>
        <v>0.43053065285814823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3.8702475870342981</v>
      </c>
      <c r="K103" s="55">
        <f t="shared" si="35"/>
        <v>5.4541623935049591E-2</v>
      </c>
      <c r="L103" s="55">
        <f t="shared" si="36"/>
        <v>0.13600032676308244</v>
      </c>
      <c r="M103" s="55">
        <f t="shared" si="42"/>
        <v>0.86399967323691751</v>
      </c>
      <c r="N103" s="55">
        <f t="shared" si="37"/>
        <v>4.9817309706404366E-8</v>
      </c>
      <c r="O103" s="56">
        <f t="shared" si="43"/>
        <v>5.4588226622081998E-8</v>
      </c>
      <c r="P103" s="56">
        <f t="shared" si="38"/>
        <v>4.0489887759784194E-4</v>
      </c>
      <c r="Q103" s="56">
        <f t="shared" si="39"/>
        <v>1.0444761972347781E-9</v>
      </c>
      <c r="R103" s="9">
        <f t="shared" si="44"/>
        <v>3.9999999999999996E-5</v>
      </c>
      <c r="S103" s="9">
        <f t="shared" si="45"/>
        <v>5.4400130705232967E-6</v>
      </c>
      <c r="T103" s="9">
        <f t="shared" si="40"/>
        <v>2.1816649574019833E-6</v>
      </c>
      <c r="U103" s="9">
        <f t="shared" si="41"/>
        <v>3.45599869294767E-5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4.6066272802174426</v>
      </c>
      <c r="K104" s="55">
        <f t="shared" si="35"/>
        <v>1.150199902507631E-2</v>
      </c>
      <c r="L104" s="55">
        <f t="shared" si="36"/>
        <v>0.15630213377817614</v>
      </c>
      <c r="M104" s="55">
        <f t="shared" si="42"/>
        <v>0.84369786622182386</v>
      </c>
      <c r="N104" s="55">
        <f t="shared" si="37"/>
        <v>1.9038203778523066E-2</v>
      </c>
      <c r="O104" s="56">
        <f t="shared" si="43"/>
        <v>1.151182682304307E-8</v>
      </c>
      <c r="P104" s="56">
        <f t="shared" si="38"/>
        <v>4.6534122409263592E-4</v>
      </c>
      <c r="Q104" s="56">
        <f t="shared" si="39"/>
        <v>3.9915745755769315E-4</v>
      </c>
      <c r="R104" s="9">
        <f t="shared" si="44"/>
        <v>3.9999999999999996E-5</v>
      </c>
      <c r="S104" s="9">
        <f t="shared" si="45"/>
        <v>6.2520853511270454E-6</v>
      </c>
      <c r="T104" s="9">
        <f t="shared" si="40"/>
        <v>4.6007996100305233E-7</v>
      </c>
      <c r="U104" s="9">
        <f t="shared" si="41"/>
        <v>3.3747914648872951E-5</v>
      </c>
      <c r="V104" s="100">
        <f t="shared" si="46"/>
        <v>1.3632841193001453E-2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4.3950446753285686</v>
      </c>
      <c r="K105" s="55">
        <f t="shared" si="35"/>
        <v>2.5040559433805145E-2</v>
      </c>
      <c r="L105" s="55">
        <f t="shared" si="36"/>
        <v>0.20905136268580504</v>
      </c>
      <c r="M105" s="55">
        <f t="shared" si="42"/>
        <v>0.79094863731419496</v>
      </c>
      <c r="N105" s="55">
        <f t="shared" si="37"/>
        <v>9.2789037938796531E-2</v>
      </c>
      <c r="O105" s="56">
        <f t="shared" si="43"/>
        <v>2.5061955154544958E-8</v>
      </c>
      <c r="P105" s="56">
        <f t="shared" si="38"/>
        <v>6.2238572602282003E-4</v>
      </c>
      <c r="Q105" s="56">
        <f t="shared" si="39"/>
        <v>1.945427042579309E-3</v>
      </c>
      <c r="R105" s="9">
        <f t="shared" si="44"/>
        <v>3.9999999999999996E-5</v>
      </c>
      <c r="S105" s="9">
        <f t="shared" si="45"/>
        <v>8.3620545074322005E-6</v>
      </c>
      <c r="T105" s="9">
        <f t="shared" si="40"/>
        <v>1.0016223773522057E-6</v>
      </c>
      <c r="U105" s="9">
        <f t="shared" si="41"/>
        <v>3.1637945492567793E-5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3.3342066205682497</v>
      </c>
      <c r="K106" s="55">
        <f t="shared" si="35"/>
        <v>0.17110962581643954</v>
      </c>
      <c r="L106" s="55">
        <f t="shared" si="36"/>
        <v>0.12417820058191328</v>
      </c>
      <c r="M106" s="55">
        <f t="shared" si="42"/>
        <v>0.87582179941808669</v>
      </c>
      <c r="N106" s="55">
        <f t="shared" si="37"/>
        <v>6.639373277926814E-3</v>
      </c>
      <c r="O106" s="56">
        <f t="shared" si="43"/>
        <v>1.7125582917022403E-7</v>
      </c>
      <c r="P106" s="56">
        <f t="shared" si="38"/>
        <v>3.6970215612294304E-4</v>
      </c>
      <c r="Q106" s="56">
        <f t="shared" si="39"/>
        <v>1.3920196402054407E-4</v>
      </c>
      <c r="R106" s="9">
        <f t="shared" si="44"/>
        <v>3.9999999999999996E-5</v>
      </c>
      <c r="S106" s="9">
        <f t="shared" si="45"/>
        <v>4.9671280232765308E-6</v>
      </c>
      <c r="T106" s="9">
        <f t="shared" si="40"/>
        <v>6.8443850326575813E-6</v>
      </c>
      <c r="U106" s="9">
        <f t="shared" si="41"/>
        <v>3.5032871976723465E-5</v>
      </c>
      <c r="V106" s="100">
        <f t="shared" si="46"/>
        <v>0.19537036635777752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4.0679360505628344</v>
      </c>
      <c r="K108" s="55">
        <f t="shared" si="35"/>
        <v>3.9986828539570127E-2</v>
      </c>
      <c r="L108" s="55">
        <f t="shared" si="36"/>
        <v>0.15718724827522823</v>
      </c>
      <c r="M108" s="55">
        <f t="shared" si="42"/>
        <v>0.84281275172477177</v>
      </c>
      <c r="N108" s="55">
        <f t="shared" si="37"/>
        <v>2.5749547709304862E-2</v>
      </c>
      <c r="O108" s="56">
        <f t="shared" si="43"/>
        <v>4.0020994989363906E-8</v>
      </c>
      <c r="P108" s="56">
        <f t="shared" si="38"/>
        <v>4.6797637854359745E-4</v>
      </c>
      <c r="Q108" s="56">
        <f t="shared" si="39"/>
        <v>5.3986836765038549E-4</v>
      </c>
      <c r="R108" s="9">
        <f t="shared" si="44"/>
        <v>3.9999999999999996E-5</v>
      </c>
      <c r="S108" s="9">
        <f t="shared" si="45"/>
        <v>6.2874899310091288E-6</v>
      </c>
      <c r="T108" s="9">
        <f t="shared" si="40"/>
        <v>1.599473141582805E-6</v>
      </c>
      <c r="U108" s="9">
        <f t="shared" si="41"/>
        <v>3.3712510068990868E-5</v>
      </c>
      <c r="V108" s="100">
        <f t="shared" si="46"/>
        <v>4.7444498742738754E-2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4.3958183693354318</v>
      </c>
      <c r="K109" s="55">
        <f t="shared" si="35"/>
        <v>2.3319374262140872E-2</v>
      </c>
      <c r="L109" s="55">
        <f t="shared" si="36"/>
        <v>0.19502916537411222</v>
      </c>
      <c r="M109" s="55">
        <f t="shared" si="42"/>
        <v>0.80497083462588781</v>
      </c>
      <c r="N109" s="55">
        <f t="shared" si="37"/>
        <v>7.3547774738900326E-2</v>
      </c>
      <c r="O109" s="56">
        <f t="shared" si="43"/>
        <v>2.3339299328945342E-8</v>
      </c>
      <c r="P109" s="56">
        <f t="shared" si="38"/>
        <v>5.8063897373118473E-4</v>
      </c>
      <c r="Q109" s="56">
        <f t="shared" si="39"/>
        <v>1.5420122147722295E-3</v>
      </c>
      <c r="R109" s="9">
        <f t="shared" si="44"/>
        <v>3.9999999999999996E-5</v>
      </c>
      <c r="S109" s="9">
        <f t="shared" si="45"/>
        <v>7.8011666149644878E-6</v>
      </c>
      <c r="T109" s="9">
        <f t="shared" si="40"/>
        <v>9.3277497048563484E-7</v>
      </c>
      <c r="U109" s="9">
        <f t="shared" si="41"/>
        <v>3.2198833385035507E-5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2.575073327711408</v>
      </c>
      <c r="K110" s="55">
        <f t="shared" si="35"/>
        <v>0.53443342932597115</v>
      </c>
      <c r="L110" s="55">
        <f t="shared" si="36"/>
        <v>6.7535363818225655E-2</v>
      </c>
      <c r="M110" s="55">
        <f t="shared" si="42"/>
        <v>0.93246463618177433</v>
      </c>
      <c r="N110" s="55">
        <f t="shared" si="37"/>
        <v>6.4083505489012562E-4</v>
      </c>
      <c r="O110" s="56">
        <f t="shared" si="43"/>
        <v>5.348900720155287E-7</v>
      </c>
      <c r="P110" s="56">
        <f t="shared" si="38"/>
        <v>2.0106564196568035E-4</v>
      </c>
      <c r="Q110" s="56">
        <f t="shared" si="39"/>
        <v>1.3435831142449885E-5</v>
      </c>
      <c r="R110" s="9">
        <f t="shared" si="44"/>
        <v>3.9999999999999996E-5</v>
      </c>
      <c r="S110" s="9">
        <f t="shared" si="45"/>
        <v>2.7014145527290259E-6</v>
      </c>
      <c r="T110" s="9">
        <f t="shared" si="40"/>
        <v>2.1377337173038844E-5</v>
      </c>
      <c r="U110" s="9">
        <f t="shared" si="41"/>
        <v>3.7298585447270972E-5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2.8332513634530265</v>
      </c>
      <c r="K111" s="55">
        <f t="shared" si="35"/>
        <v>0.58903385226207838</v>
      </c>
      <c r="L111" s="55">
        <f t="shared" si="36"/>
        <v>0.13488259677183606</v>
      </c>
      <c r="M111" s="55">
        <f t="shared" si="42"/>
        <v>0.86511740322816388</v>
      </c>
      <c r="N111" s="55">
        <f t="shared" si="37"/>
        <v>0.10203009989218846</v>
      </c>
      <c r="O111" s="56">
        <f t="shared" si="43"/>
        <v>5.8953714787903967E-7</v>
      </c>
      <c r="P111" s="56">
        <f t="shared" si="38"/>
        <v>4.0157118251295059E-4</v>
      </c>
      <c r="Q111" s="56">
        <f t="shared" si="39"/>
        <v>2.1391763498858204E-3</v>
      </c>
      <c r="R111" s="9">
        <f t="shared" si="44"/>
        <v>3.9999999999999996E-5</v>
      </c>
      <c r="S111" s="9">
        <f t="shared" si="45"/>
        <v>5.3953038708734423E-6</v>
      </c>
      <c r="T111" s="9">
        <f t="shared" si="40"/>
        <v>2.3561354090483134E-5</v>
      </c>
      <c r="U111" s="9">
        <f t="shared" si="41"/>
        <v>3.4604696129126554E-5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5.9198274752242268</v>
      </c>
      <c r="K112" s="55">
        <f t="shared" si="35"/>
        <v>1.6331412231193115E-3</v>
      </c>
      <c r="L112" s="55">
        <f t="shared" si="36"/>
        <v>0.45647344377204163</v>
      </c>
      <c r="M112" s="55">
        <f t="shared" si="42"/>
        <v>0.54352655622795831</v>
      </c>
      <c r="N112" s="55">
        <f t="shared" si="37"/>
        <v>0.42188432136169929</v>
      </c>
      <c r="O112" s="56">
        <f t="shared" si="43"/>
        <v>1.6345366485542306E-9</v>
      </c>
      <c r="P112" s="56">
        <f t="shared" si="38"/>
        <v>1.3590083894319924E-3</v>
      </c>
      <c r="Q112" s="56">
        <f t="shared" si="39"/>
        <v>8.8452815747333373E-3</v>
      </c>
      <c r="R112" s="9">
        <f t="shared" si="44"/>
        <v>3.9999999999999996E-5</v>
      </c>
      <c r="S112" s="9">
        <f t="shared" si="45"/>
        <v>1.8258937750881664E-5</v>
      </c>
      <c r="T112" s="9">
        <f t="shared" si="40"/>
        <v>6.5325648924772459E-8</v>
      </c>
      <c r="U112" s="9">
        <f t="shared" si="41"/>
        <v>2.1741062249118329E-5</v>
      </c>
      <c r="V112" s="100">
        <f t="shared" si="46"/>
        <v>3.0047128413618162E-3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6.2984912087723171</v>
      </c>
      <c r="K113" s="55">
        <f t="shared" si="35"/>
        <v>7.1158058416602226E-4</v>
      </c>
      <c r="L113" s="55">
        <f t="shared" si="36"/>
        <v>0.47564134510712947</v>
      </c>
      <c r="M113" s="55">
        <f t="shared" si="42"/>
        <v>0.52435865489287048</v>
      </c>
      <c r="N113" s="55">
        <f t="shared" si="37"/>
        <v>0.44755223908905067</v>
      </c>
      <c r="O113" s="56">
        <f t="shared" si="43"/>
        <v>7.1218858893136839E-10</v>
      </c>
      <c r="P113" s="56">
        <f t="shared" si="38"/>
        <v>1.4160748827353742E-3</v>
      </c>
      <c r="Q113" s="56">
        <f t="shared" si="39"/>
        <v>9.3834384775608806E-3</v>
      </c>
      <c r="R113" s="9">
        <f t="shared" si="44"/>
        <v>3.9999999999999996E-5</v>
      </c>
      <c r="S113" s="9">
        <f t="shared" si="45"/>
        <v>1.9025653804285178E-5</v>
      </c>
      <c r="T113" s="9">
        <f t="shared" si="40"/>
        <v>2.8463223366640888E-8</v>
      </c>
      <c r="U113" s="9">
        <f t="shared" si="41"/>
        <v>2.0974346195714819E-5</v>
      </c>
      <c r="V113" s="100">
        <f t="shared" si="46"/>
        <v>1.3570493736036499E-3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6.7277753052884339</v>
      </c>
      <c r="K114" s="55">
        <f t="shared" si="35"/>
        <v>2.7397554031902268E-4</v>
      </c>
      <c r="L114" s="55">
        <f t="shared" si="36"/>
        <v>0.49209777070273802</v>
      </c>
      <c r="M114" s="55">
        <f t="shared" si="42"/>
        <v>0.50790222929726192</v>
      </c>
      <c r="N114" s="55">
        <f t="shared" si="37"/>
        <v>0.46965768890674109</v>
      </c>
      <c r="O114" s="56">
        <f t="shared" si="43"/>
        <v>2.7420963669237654E-10</v>
      </c>
      <c r="P114" s="56">
        <f t="shared" si="38"/>
        <v>1.4650687962907581E-3</v>
      </c>
      <c r="Q114" s="56">
        <f t="shared" si="39"/>
        <v>9.846904214667461E-3</v>
      </c>
      <c r="R114" s="9">
        <f t="shared" si="44"/>
        <v>3.9999999999999996E-5</v>
      </c>
      <c r="S114" s="9">
        <f t="shared" si="45"/>
        <v>1.968391082810952E-5</v>
      </c>
      <c r="T114" s="9">
        <f t="shared" si="40"/>
        <v>1.0959021612760906E-8</v>
      </c>
      <c r="U114" s="9">
        <f t="shared" si="41"/>
        <v>2.0316089171890476E-5</v>
      </c>
      <c r="V114" s="100">
        <f t="shared" si="46"/>
        <v>5.3942574872746214E-4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5.3143493213259028</v>
      </c>
      <c r="K115" s="55">
        <f t="shared" si="35"/>
        <v>6.9361689559021954E-3</v>
      </c>
      <c r="L115" s="55">
        <f t="shared" si="36"/>
        <v>0.48087620210976151</v>
      </c>
      <c r="M115" s="55">
        <f t="shared" si="42"/>
        <v>0.51912379789023855</v>
      </c>
      <c r="N115" s="55">
        <f t="shared" si="37"/>
        <v>0.45581681298978444</v>
      </c>
      <c r="O115" s="56">
        <f t="shared" si="43"/>
        <v>6.9420955141477068E-9</v>
      </c>
      <c r="P115" s="56">
        <f t="shared" si="38"/>
        <v>1.4316600491478294E-3</v>
      </c>
      <c r="Q115" s="56">
        <f t="shared" si="39"/>
        <v>9.5567146093005779E-3</v>
      </c>
      <c r="R115" s="9">
        <f t="shared" si="44"/>
        <v>3.9999999999999996E-5</v>
      </c>
      <c r="S115" s="9">
        <f t="shared" si="45"/>
        <v>1.9235048084390458E-5</v>
      </c>
      <c r="T115" s="9">
        <f t="shared" si="40"/>
        <v>2.7744675823608781E-7</v>
      </c>
      <c r="U115" s="9">
        <f t="shared" si="41"/>
        <v>2.0764951915609539E-5</v>
      </c>
      <c r="V115" s="100">
        <f t="shared" si="46"/>
        <v>1.3361300298871583E-2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-8.0530405253931125E-2</v>
      </c>
      <c r="K116" s="55">
        <f t="shared" si="35"/>
        <v>0.99935033571046461</v>
      </c>
      <c r="L116" s="55">
        <f t="shared" si="36"/>
        <v>2.7909474391157581E-4</v>
      </c>
      <c r="M116" s="55">
        <f t="shared" si="42"/>
        <v>0.99972090525608848</v>
      </c>
      <c r="N116" s="55">
        <f t="shared" si="37"/>
        <v>1.0642396930406425E-5</v>
      </c>
      <c r="O116" s="56">
        <f t="shared" si="43"/>
        <v>1.0002042232108866E-6</v>
      </c>
      <c r="P116" s="56">
        <f t="shared" si="38"/>
        <v>8.3091821352836375E-7</v>
      </c>
      <c r="Q116" s="56">
        <f t="shared" si="39"/>
        <v>2.2312987876792096E-7</v>
      </c>
      <c r="R116" s="9">
        <f t="shared" si="44"/>
        <v>3.9999999999999996E-5</v>
      </c>
      <c r="S116" s="9">
        <f t="shared" si="45"/>
        <v>1.1163789756463032E-8</v>
      </c>
      <c r="T116" s="9">
        <f t="shared" si="40"/>
        <v>3.9974013428418581E-5</v>
      </c>
      <c r="U116" s="9">
        <f t="shared" si="41"/>
        <v>3.9988836210243536E-5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1.5278597886488656</v>
      </c>
      <c r="K117" s="55">
        <f t="shared" si="35"/>
        <v>0.95417812159147575</v>
      </c>
      <c r="L117" s="55">
        <f t="shared" si="36"/>
        <v>1.0815672871979959E-2</v>
      </c>
      <c r="M117" s="55">
        <f t="shared" si="42"/>
        <v>0.98918432712802007</v>
      </c>
      <c r="N117" s="55">
        <f t="shared" si="37"/>
        <v>5.4680326483250814E-3</v>
      </c>
      <c r="O117" s="56">
        <f t="shared" si="43"/>
        <v>9.5499341202776086E-7</v>
      </c>
      <c r="P117" s="56">
        <f t="shared" si="38"/>
        <v>3.2200318268050434E-5</v>
      </c>
      <c r="Q117" s="56">
        <f t="shared" si="39"/>
        <v>1.1464348397247904E-4</v>
      </c>
      <c r="R117" s="9">
        <f t="shared" si="44"/>
        <v>3.9999999999999996E-5</v>
      </c>
      <c r="S117" s="9">
        <f t="shared" si="45"/>
        <v>4.3262691487919834E-7</v>
      </c>
      <c r="T117" s="9">
        <f t="shared" si="40"/>
        <v>3.8167124863659026E-5</v>
      </c>
      <c r="U117" s="9">
        <f t="shared" si="41"/>
        <v>3.9567373085120797E-5</v>
      </c>
      <c r="V117" s="100">
        <f t="shared" si="46"/>
        <v>0.96461103903841594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2.8466643436404468</v>
      </c>
      <c r="K118" s="55">
        <f t="shared" si="35"/>
        <v>0.58228053824852066</v>
      </c>
      <c r="L118" s="55">
        <f t="shared" si="36"/>
        <v>0.13751843415583595</v>
      </c>
      <c r="M118" s="55">
        <f t="shared" si="42"/>
        <v>0.86248156584416402</v>
      </c>
      <c r="N118" s="55">
        <f t="shared" si="37"/>
        <v>0.10427612930340996</v>
      </c>
      <c r="O118" s="56">
        <f t="shared" si="43"/>
        <v>5.8277806354628924E-7</v>
      </c>
      <c r="P118" s="56">
        <f t="shared" si="38"/>
        <v>4.0941857246938205E-4</v>
      </c>
      <c r="Q118" s="56">
        <f t="shared" si="39"/>
        <v>2.1862668947614005E-3</v>
      </c>
      <c r="R118" s="9">
        <f t="shared" si="44"/>
        <v>3.9999999999999996E-5</v>
      </c>
      <c r="S118" s="9">
        <f t="shared" si="45"/>
        <v>5.5007373662334371E-6</v>
      </c>
      <c r="T118" s="9">
        <f t="shared" si="40"/>
        <v>2.3291221529940826E-5</v>
      </c>
      <c r="U118" s="9">
        <f t="shared" si="41"/>
        <v>3.4499262633766558E-5</v>
      </c>
      <c r="V118" s="100">
        <f t="shared" si="46"/>
        <v>0.67512229977762683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-0.19083877645329236</v>
      </c>
      <c r="K119" s="55">
        <f t="shared" si="35"/>
        <v>0.99973379527250139</v>
      </c>
      <c r="L119" s="55">
        <f t="shared" si="36"/>
        <v>2.1657578495639561E-4</v>
      </c>
      <c r="M119" s="55">
        <f t="shared" si="42"/>
        <v>0.99978342421504363</v>
      </c>
      <c r="N119" s="55">
        <f t="shared" si="37"/>
        <v>6.2088718074452813E-7</v>
      </c>
      <c r="O119" s="56">
        <f t="shared" si="43"/>
        <v>1.000588010417109E-6</v>
      </c>
      <c r="P119" s="56">
        <f t="shared" si="38"/>
        <v>6.4478736434565791E-7</v>
      </c>
      <c r="Q119" s="56">
        <f t="shared" si="39"/>
        <v>1.3017601417615243E-8</v>
      </c>
      <c r="R119" s="9">
        <f t="shared" si="44"/>
        <v>3.9999999999999996E-5</v>
      </c>
      <c r="S119" s="9">
        <f t="shared" si="45"/>
        <v>8.6630313982558231E-9</v>
      </c>
      <c r="T119" s="9">
        <f t="shared" si="40"/>
        <v>3.9989351810900053E-5</v>
      </c>
      <c r="U119" s="9">
        <f t="shared" si="41"/>
        <v>3.9991336968601741E-5</v>
      </c>
      <c r="V119" s="100">
        <f t="shared" si="46"/>
        <v>0.99995036030670226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-0.20901151514484168</v>
      </c>
      <c r="K120" s="55">
        <f t="shared" si="35"/>
        <v>0.99979228750355753</v>
      </c>
      <c r="L120" s="55">
        <f t="shared" si="36"/>
        <v>2.0771246864287972E-4</v>
      </c>
      <c r="M120" s="55">
        <f t="shared" si="42"/>
        <v>0.99979228753135707</v>
      </c>
      <c r="N120" s="55">
        <f t="shared" si="37"/>
        <v>8.0521605726305983E-16</v>
      </c>
      <c r="O120" s="56">
        <f t="shared" si="43"/>
        <v>1.0006465526264193E-6</v>
      </c>
      <c r="P120" s="56">
        <f t="shared" si="38"/>
        <v>6.1839958342959452E-7</v>
      </c>
      <c r="Q120" s="56">
        <f t="shared" si="39"/>
        <v>1.6882264626473432E-17</v>
      </c>
      <c r="R120" s="9">
        <f t="shared" si="44"/>
        <v>3.9999999999999996E-5</v>
      </c>
      <c r="S120" s="9">
        <f t="shared" si="45"/>
        <v>8.3084987457151879E-9</v>
      </c>
      <c r="T120" s="9">
        <f t="shared" si="40"/>
        <v>3.99916915001423E-5</v>
      </c>
      <c r="U120" s="9">
        <f t="shared" si="41"/>
        <v>3.9991691501254278E-5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0.5332939464998927</v>
      </c>
      <c r="K121" s="55">
        <f t="shared" si="35"/>
        <v>0.99483837051186275</v>
      </c>
      <c r="L121" s="55">
        <f t="shared" si="36"/>
        <v>1.1418545169087026E-3</v>
      </c>
      <c r="M121" s="55">
        <f t="shared" si="42"/>
        <v>0.99885814548309126</v>
      </c>
      <c r="N121" s="55">
        <f t="shared" si="37"/>
        <v>2.9998834783102532E-4</v>
      </c>
      <c r="O121" s="56">
        <f t="shared" si="43"/>
        <v>9.9568840279700349E-7</v>
      </c>
      <c r="P121" s="56">
        <f t="shared" si="38"/>
        <v>3.3995183929356669E-6</v>
      </c>
      <c r="Q121" s="56">
        <f t="shared" si="39"/>
        <v>6.2895947333143993E-6</v>
      </c>
      <c r="R121" s="9">
        <f t="shared" si="44"/>
        <v>3.9999999999999996E-5</v>
      </c>
      <c r="S121" s="9">
        <f t="shared" si="45"/>
        <v>4.5674180676348099E-8</v>
      </c>
      <c r="T121" s="9">
        <f t="shared" si="40"/>
        <v>3.9793534820474504E-5</v>
      </c>
      <c r="U121" s="9">
        <f t="shared" si="41"/>
        <v>3.9954325819323646E-5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5.9733565938903412</v>
      </c>
      <c r="K122" s="55">
        <f t="shared" si="35"/>
        <v>1.6029604706716009E-3</v>
      </c>
      <c r="L122" s="55">
        <f t="shared" si="36"/>
        <v>0.5068082861056995</v>
      </c>
      <c r="M122" s="55">
        <f t="shared" si="42"/>
        <v>0.4931917138943005</v>
      </c>
      <c r="N122" s="55">
        <f t="shared" si="37"/>
        <v>0.48975112224326117</v>
      </c>
      <c r="O122" s="56">
        <f t="shared" si="43"/>
        <v>1.6043301083858903E-9</v>
      </c>
      <c r="P122" s="56">
        <f t="shared" si="38"/>
        <v>1.5088648026483069E-3</v>
      </c>
      <c r="Q122" s="56">
        <f t="shared" si="39"/>
        <v>1.0268185752438277E-2</v>
      </c>
      <c r="R122" s="9">
        <f t="shared" si="44"/>
        <v>3.9999999999999996E-5</v>
      </c>
      <c r="S122" s="9">
        <f t="shared" si="45"/>
        <v>2.0272331444227978E-5</v>
      </c>
      <c r="T122" s="9">
        <f t="shared" si="40"/>
        <v>6.4118418826864034E-8</v>
      </c>
      <c r="U122" s="9">
        <f t="shared" si="41"/>
        <v>1.9727668555772018E-5</v>
      </c>
      <c r="V122" s="100">
        <f t="shared" si="46"/>
        <v>3.2501772140785461E-3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1.3877069023096393</v>
      </c>
      <c r="K123" s="55">
        <f t="shared" ref="K123:K127" si="49">IF(D123=0,"",1/(1+10^D123*$J$15/$J$14+10^E123*$J$16/$J$14+10^J123*$J$19/$J$14))</f>
        <v>0.96817909813263936</v>
      </c>
      <c r="L123" s="55">
        <f t="shared" ref="L123:L127" si="50">IF(D123=0,"",1/(1+10^I123/10^J123*$J$13/$J$19))</f>
        <v>7.9474335433016591E-3</v>
      </c>
      <c r="M123" s="55">
        <f t="shared" si="42"/>
        <v>0.99205256645669837</v>
      </c>
      <c r="N123" s="55">
        <f t="shared" ref="N123:N127" si="51">IF(D123=0,"",1/(1/10^E123*$J$20/$J$22+10^D123/10^E123*$J$21/$J$22+10^I123/10^E123*$J$13/$J$22+1))</f>
        <v>4.3125818133014212E-3</v>
      </c>
      <c r="O123" s="56">
        <f t="shared" si="43"/>
        <v>9.6900635159974064E-7</v>
      </c>
      <c r="P123" s="56">
        <f t="shared" ref="P123:P127" si="52">IF(D123=0,"",O123*10^J123)</f>
        <v>2.3661023455274435E-5</v>
      </c>
      <c r="Q123" s="56">
        <f t="shared" ref="Q123:Q127" si="53">IF(D123=0,"",F123*N123*$J$7/$J$22)</f>
        <v>9.0418151425022885E-5</v>
      </c>
      <c r="R123" s="9">
        <f t="shared" si="44"/>
        <v>3.9999999999999996E-5</v>
      </c>
      <c r="S123" s="9">
        <f t="shared" si="45"/>
        <v>3.1789734173206633E-7</v>
      </c>
      <c r="T123" s="9">
        <f t="shared" si="40"/>
        <v>3.8727163925305571E-5</v>
      </c>
      <c r="U123" s="9">
        <f t="shared" si="41"/>
        <v>3.9682102658267931E-5</v>
      </c>
      <c r="V123" s="100">
        <f t="shared" si="46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1.4994216752369602</v>
      </c>
      <c r="K124" s="55">
        <f t="shared" si="49"/>
        <v>0.9438883143109974</v>
      </c>
      <c r="L124" s="55">
        <f t="shared" si="50"/>
        <v>1.0020896690825063E-2</v>
      </c>
      <c r="M124" s="55">
        <f t="shared" si="42"/>
        <v>0.98997910330917493</v>
      </c>
      <c r="N124" s="55">
        <f t="shared" si="51"/>
        <v>2.4030856717629475E-3</v>
      </c>
      <c r="O124" s="56">
        <f t="shared" si="43"/>
        <v>9.4469481269758315E-7</v>
      </c>
      <c r="P124" s="56">
        <f t="shared" si="52"/>
        <v>2.9834118190813045E-5</v>
      </c>
      <c r="Q124" s="56">
        <f t="shared" si="53"/>
        <v>5.0383406869312976E-5</v>
      </c>
      <c r="R124" s="9">
        <f t="shared" si="44"/>
        <v>3.9999999999999996E-5</v>
      </c>
      <c r="S124" s="9">
        <f t="shared" si="45"/>
        <v>4.0083586763300252E-7</v>
      </c>
      <c r="T124" s="9">
        <f t="shared" si="40"/>
        <v>3.7755532572439891E-5</v>
      </c>
      <c r="U124" s="9">
        <f t="shared" si="41"/>
        <v>3.9599164132366991E-5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0.23502720558428336</v>
      </c>
      <c r="K125" s="55">
        <f t="shared" si="49"/>
        <v>0.99756350167959607</v>
      </c>
      <c r="L125" s="55">
        <f t="shared" si="50"/>
        <v>5.761453443380467E-4</v>
      </c>
      <c r="M125" s="55">
        <f t="shared" si="42"/>
        <v>0.99942385465566197</v>
      </c>
      <c r="N125" s="55">
        <f t="shared" si="51"/>
        <v>6.5062117796783404E-5</v>
      </c>
      <c r="O125" s="56">
        <f t="shared" si="43"/>
        <v>9.9841586243290053E-7</v>
      </c>
      <c r="P125" s="56">
        <f t="shared" si="52"/>
        <v>1.7152944320647157E-6</v>
      </c>
      <c r="Q125" s="56">
        <f t="shared" si="53"/>
        <v>1.3641008272208907E-6</v>
      </c>
      <c r="R125" s="9">
        <f t="shared" si="44"/>
        <v>3.9999999999999996E-5</v>
      </c>
      <c r="S125" s="9">
        <f t="shared" si="45"/>
        <v>2.3045813773521866E-8</v>
      </c>
      <c r="T125" s="9">
        <f t="shared" si="40"/>
        <v>3.9902540067183837E-5</v>
      </c>
      <c r="U125" s="9">
        <f t="shared" si="41"/>
        <v>3.9976954186226476E-5</v>
      </c>
      <c r="V125" s="100">
        <f t="shared" si="46"/>
        <v>0.99813857457234012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4.8687907701634652</v>
      </c>
      <c r="K126" s="55">
        <f t="shared" si="49"/>
        <v>1.8321303541583782E-2</v>
      </c>
      <c r="L126" s="55">
        <f t="shared" si="50"/>
        <v>0.45531445731723919</v>
      </c>
      <c r="M126" s="55">
        <f t="shared" si="42"/>
        <v>0.54468554268276081</v>
      </c>
      <c r="N126" s="55">
        <f t="shared" si="51"/>
        <v>0.42355420445419922</v>
      </c>
      <c r="O126" s="56">
        <f t="shared" si="43"/>
        <v>1.833695804384046E-8</v>
      </c>
      <c r="P126" s="56">
        <f t="shared" si="52"/>
        <v>1.3555578659967199E-3</v>
      </c>
      <c r="Q126" s="56">
        <f t="shared" si="53"/>
        <v>8.8802925609258888E-3</v>
      </c>
      <c r="R126" s="9">
        <f t="shared" si="44"/>
        <v>3.9999999999999996E-5</v>
      </c>
      <c r="S126" s="9">
        <f t="shared" si="45"/>
        <v>1.8212578292689567E-5</v>
      </c>
      <c r="T126" s="9">
        <f t="shared" si="40"/>
        <v>7.3285214166335124E-7</v>
      </c>
      <c r="U126" s="9">
        <f t="shared" si="41"/>
        <v>2.1787421707310429E-5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2.669397404558385</v>
      </c>
      <c r="K127" s="55">
        <f t="shared" si="49"/>
        <v>0.66805206999008093</v>
      </c>
      <c r="L127" s="55">
        <f t="shared" si="50"/>
        <v>0.10489916199961444</v>
      </c>
      <c r="M127" s="55">
        <f t="shared" si="42"/>
        <v>0.89510083800038553</v>
      </c>
      <c r="N127" s="55">
        <f t="shared" si="51"/>
        <v>7.6906481230196014E-2</v>
      </c>
      <c r="O127" s="56">
        <f t="shared" si="43"/>
        <v>6.686228821385453E-7</v>
      </c>
      <c r="P127" s="56">
        <f t="shared" si="52"/>
        <v>3.1230478606561403E-4</v>
      </c>
      <c r="Q127" s="56">
        <f t="shared" si="53"/>
        <v>1.61243129208353E-3</v>
      </c>
      <c r="R127" s="9">
        <f t="shared" si="44"/>
        <v>3.9999999999999996E-5</v>
      </c>
      <c r="S127" s="9">
        <f t="shared" si="45"/>
        <v>4.1959664799845769E-6</v>
      </c>
      <c r="T127" s="9">
        <f t="shared" si="40"/>
        <v>2.6722082799603236E-5</v>
      </c>
      <c r="U127" s="9">
        <f t="shared" si="41"/>
        <v>3.5804033520015415E-5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3.5881322653047101</v>
      </c>
      <c r="K128" s="55">
        <f t="shared" ref="K128:K134" si="56">IF(D128=0,"",1/(1+10^D128*$J$15/$J$14+10^E128*$J$16/$J$14+10^J128*$J$19/$J$14))</f>
        <v>0.20038396698811273</v>
      </c>
      <c r="L128" s="55">
        <f t="shared" ref="L128:L134" si="57">IF(D128=0,"",1/(1+10^I128/10^J128*$J$13/$J$19))</f>
        <v>0.26095134255473212</v>
      </c>
      <c r="M128" s="55">
        <f t="shared" ref="M128:M134" si="58">IF(D128=0,"",1-L128)</f>
        <v>0.73904865744526793</v>
      </c>
      <c r="N128" s="55">
        <f t="shared" ref="N128:N134" si="59">IF(D128=0,"",1/(1/10^E128*$J$20/$J$22+10^D128/10^E128*$J$21/$J$22+10^I128/10^E128*$J$13/$J$22+1))</f>
        <v>0.19673816422900167</v>
      </c>
      <c r="O128" s="56">
        <f t="shared" ref="O128:O134" si="60">IF(D128=0,"",F128*K128*$J$7/$J$14)</f>
        <v>2.0055518358611836E-7</v>
      </c>
      <c r="P128" s="56">
        <f t="shared" ref="P128:P134" si="61">IF(D128=0,"",O128*10^J128)</f>
        <v>7.7690185180306697E-4</v>
      </c>
      <c r="Q128" s="56">
        <f t="shared" ref="Q128:Q134" si="62">IF(D128=0,"",F128*N128*$J$7/$J$22)</f>
        <v>4.1248379496181811E-3</v>
      </c>
      <c r="R128" s="9">
        <f t="shared" si="44"/>
        <v>3.9999999999999996E-5</v>
      </c>
      <c r="S128" s="9">
        <f t="shared" si="45"/>
        <v>1.0438053702189284E-5</v>
      </c>
      <c r="T128" s="9">
        <f t="shared" si="40"/>
        <v>8.0153586795245091E-6</v>
      </c>
      <c r="U128" s="9">
        <f t="shared" si="41"/>
        <v>2.9561946297810714E-5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-0.19937710602079325</v>
      </c>
      <c r="K129" s="55">
        <f t="shared" si="56"/>
        <v>0.99976121128761453</v>
      </c>
      <c r="L129" s="55">
        <f t="shared" si="57"/>
        <v>2.1236526171344064E-4</v>
      </c>
      <c r="M129" s="55">
        <f t="shared" si="58"/>
        <v>0.99978763473828658</v>
      </c>
      <c r="N129" s="55">
        <f t="shared" si="59"/>
        <v>2.541156810597091E-7</v>
      </c>
      <c r="O129" s="56">
        <f t="shared" si="60"/>
        <v>1.0006154498576334E-6</v>
      </c>
      <c r="P129" s="56">
        <f t="shared" si="61"/>
        <v>6.3225183464695354E-7</v>
      </c>
      <c r="Q129" s="56">
        <f t="shared" si="62"/>
        <v>5.3278224331100186E-9</v>
      </c>
      <c r="R129" s="9">
        <f t="shared" si="44"/>
        <v>3.9999999999999996E-5</v>
      </c>
      <c r="S129" s="9">
        <f t="shared" si="45"/>
        <v>8.4946104685376254E-9</v>
      </c>
      <c r="T129" s="9">
        <f t="shared" si="40"/>
        <v>3.9990448451504577E-5</v>
      </c>
      <c r="U129" s="9">
        <f t="shared" si="41"/>
        <v>3.9991505389531457E-5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1.957929354072679</v>
      </c>
      <c r="K130" s="55">
        <f t="shared" si="56"/>
        <v>0.89723028356002177</v>
      </c>
      <c r="L130" s="55">
        <f t="shared" si="57"/>
        <v>2.737773893406089E-2</v>
      </c>
      <c r="M130" s="55">
        <f t="shared" si="58"/>
        <v>0.97262226106593908</v>
      </c>
      <c r="N130" s="55">
        <f t="shared" si="59"/>
        <v>1.6769255736420092E-2</v>
      </c>
      <c r="O130" s="56">
        <f t="shared" si="60"/>
        <v>8.9799691533744273E-7</v>
      </c>
      <c r="P130" s="56">
        <f t="shared" si="61"/>
        <v>8.1508743614115304E-5</v>
      </c>
      <c r="Q130" s="56">
        <f t="shared" si="62"/>
        <v>3.5158639768501706E-4</v>
      </c>
      <c r="R130" s="9">
        <f t="shared" si="44"/>
        <v>3.9999999999999996E-5</v>
      </c>
      <c r="S130" s="9">
        <f t="shared" si="45"/>
        <v>1.0951095573624356E-6</v>
      </c>
      <c r="T130" s="9">
        <f t="shared" si="40"/>
        <v>3.588921134240087E-5</v>
      </c>
      <c r="U130" s="9">
        <f t="shared" si="41"/>
        <v>3.8904890442637558E-5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0.21801564157044259</v>
      </c>
      <c r="K131" s="55">
        <f t="shared" si="56"/>
        <v>0.99781928024654909</v>
      </c>
      <c r="L131" s="55">
        <f t="shared" si="57"/>
        <v>5.5415573619385899E-4</v>
      </c>
      <c r="M131" s="55">
        <f t="shared" si="58"/>
        <v>0.99944584426380612</v>
      </c>
      <c r="N131" s="55">
        <f t="shared" si="59"/>
        <v>8.4958046619787819E-5</v>
      </c>
      <c r="O131" s="56">
        <f t="shared" si="60"/>
        <v>9.9867185954795784E-7</v>
      </c>
      <c r="P131" s="56">
        <f t="shared" si="61"/>
        <v>1.6498271801226796E-6</v>
      </c>
      <c r="Q131" s="56">
        <f t="shared" si="62"/>
        <v>1.7812414596632314E-6</v>
      </c>
      <c r="R131" s="9">
        <f t="shared" si="44"/>
        <v>3.9999999999999996E-5</v>
      </c>
      <c r="S131" s="9">
        <f t="shared" si="45"/>
        <v>2.2166229447754356E-8</v>
      </c>
      <c r="T131" s="9">
        <f t="shared" si="40"/>
        <v>3.9912771209861963E-5</v>
      </c>
      <c r="U131" s="9">
        <f t="shared" si="41"/>
        <v>3.9977833770552241E-5</v>
      </c>
      <c r="V131" s="100">
        <f t="shared" si="46"/>
        <v>0.99837253411318638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0.55608247089775464</v>
      </c>
      <c r="K132" s="55">
        <f t="shared" si="56"/>
        <v>0.99454069519530341</v>
      </c>
      <c r="L132" s="55">
        <f t="shared" si="57"/>
        <v>1.2030102554896713E-3</v>
      </c>
      <c r="M132" s="55">
        <f t="shared" si="58"/>
        <v>0.99879698974451037</v>
      </c>
      <c r="N132" s="55">
        <f t="shared" si="59"/>
        <v>3.2478904404540634E-4</v>
      </c>
      <c r="O132" s="56">
        <f t="shared" si="60"/>
        <v>9.9539047313397254E-7</v>
      </c>
      <c r="P132" s="56">
        <f t="shared" si="61"/>
        <v>3.5815906754033227E-6</v>
      </c>
      <c r="Q132" s="56">
        <f t="shared" si="62"/>
        <v>6.8095693570633323E-6</v>
      </c>
      <c r="R132" s="9">
        <f t="shared" si="44"/>
        <v>3.9999999999999996E-5</v>
      </c>
      <c r="S132" s="9">
        <f t="shared" si="45"/>
        <v>4.8120410219586848E-8</v>
      </c>
      <c r="T132" s="9">
        <f t="shared" si="40"/>
        <v>3.9781627807812136E-5</v>
      </c>
      <c r="U132" s="9">
        <f t="shared" si="41"/>
        <v>3.995187958978041E-5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2.9086838751373172</v>
      </c>
      <c r="K133" s="55">
        <f t="shared" si="56"/>
        <v>0.55066515939337513</v>
      </c>
      <c r="L133" s="55">
        <f t="shared" si="57"/>
        <v>0.15001537600766776</v>
      </c>
      <c r="M133" s="55">
        <f t="shared" si="58"/>
        <v>0.84998462399233221</v>
      </c>
      <c r="N133" s="55">
        <f t="shared" si="59"/>
        <v>0.11500303177911475</v>
      </c>
      <c r="O133" s="56">
        <f t="shared" si="60"/>
        <v>5.5113567116459461E-7</v>
      </c>
      <c r="P133" s="56">
        <f t="shared" si="61"/>
        <v>4.4662434873216192E-4</v>
      </c>
      <c r="Q133" s="56">
        <f t="shared" si="62"/>
        <v>2.4111685277874032E-3</v>
      </c>
      <c r="R133" s="9">
        <f t="shared" si="44"/>
        <v>3.9999999999999996E-5</v>
      </c>
      <c r="S133" s="9">
        <f t="shared" si="45"/>
        <v>6.0006150403067099E-6</v>
      </c>
      <c r="T133" s="9">
        <f t="shared" si="40"/>
        <v>2.2026606375735003E-5</v>
      </c>
      <c r="U133" s="9">
        <f t="shared" si="41"/>
        <v>3.3999384959693284E-5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-0.20599844026673014</v>
      </c>
      <c r="K134" s="55">
        <f t="shared" si="56"/>
        <v>0.99978249148951559</v>
      </c>
      <c r="L134" s="55">
        <f t="shared" si="57"/>
        <v>2.0915651018291274E-4</v>
      </c>
      <c r="M134" s="55">
        <f t="shared" si="58"/>
        <v>0.99979084348981706</v>
      </c>
      <c r="N134" s="55">
        <f t="shared" si="59"/>
        <v>4.9579169907538146E-8</v>
      </c>
      <c r="O134" s="56">
        <f t="shared" si="60"/>
        <v>1.0006367482422456E-6</v>
      </c>
      <c r="P134" s="56">
        <f t="shared" si="61"/>
        <v>6.2269877014980452E-7</v>
      </c>
      <c r="Q134" s="56">
        <f t="shared" si="62"/>
        <v>1.0394833272264228E-9</v>
      </c>
      <c r="R134" s="9">
        <f t="shared" si="44"/>
        <v>3.9999999999999996E-5</v>
      </c>
      <c r="S134" s="9">
        <f t="shared" si="45"/>
        <v>8.366260407316509E-9</v>
      </c>
      <c r="T134" s="9">
        <f t="shared" si="40"/>
        <v>3.9991299659580621E-5</v>
      </c>
      <c r="U134" s="9">
        <f t="shared" si="41"/>
        <v>3.9991633739592681E-5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0.76802960759012895</v>
      </c>
      <c r="K135" s="55">
        <f t="shared" ref="K135:K143" si="65">IF(D135=0,"",1/(1+10^D135*$J$15/$J$14+10^E135*$J$16/$J$14+10^J135*$J$19/$J$14))</f>
        <v>0.99101014775286167</v>
      </c>
      <c r="L135" s="55">
        <f t="shared" ref="L135:L143" si="66">IF(D135=0,"",1/(1+10^I135/10^J135*$J$13/$J$19))</f>
        <v>1.9528640445232079E-3</v>
      </c>
      <c r="M135" s="55">
        <f t="shared" ref="M135:M143" si="67">IF(D135=0,"",1-L135)</f>
        <v>0.99804713595547678</v>
      </c>
      <c r="N135" s="55">
        <f t="shared" ref="N135:N143" si="68">IF(D135=0,"",1/(1/10^E135*$J$20/$J$22+10^D135/10^E135*$J$21/$J$22+10^I135/10^E135*$J$13/$J$22+1))</f>
        <v>6.5200177557469066E-4</v>
      </c>
      <c r="O135" s="56">
        <f t="shared" ref="O135:O143" si="69">IF(D135=0,"",F135*K135*$J$7/$J$14)</f>
        <v>9.9185690904139011E-7</v>
      </c>
      <c r="P135" s="56">
        <f t="shared" ref="P135:P143" si="70">IF(D135=0,"",O135*10^J135)</f>
        <v>5.81404823464931E-6</v>
      </c>
      <c r="Q135" s="56">
        <f t="shared" ref="Q135:Q143" si="71">IF(D135=0,"",F135*N135*$J$7/$J$22)</f>
        <v>1.3669954061269365E-5</v>
      </c>
      <c r="R135" s="9">
        <f t="shared" si="44"/>
        <v>3.9999999999999996E-5</v>
      </c>
      <c r="S135" s="9">
        <f t="shared" si="45"/>
        <v>7.8114561780928316E-8</v>
      </c>
      <c r="T135" s="9">
        <f t="shared" si="40"/>
        <v>3.964040591011446E-5</v>
      </c>
      <c r="U135" s="9">
        <f t="shared" si="41"/>
        <v>3.9921885438219069E-5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-9.1674979358172204E-2</v>
      </c>
      <c r="K136" s="55">
        <f t="shared" si="65"/>
        <v>0.99939232179369697</v>
      </c>
      <c r="L136" s="55">
        <f t="shared" si="66"/>
        <v>2.7203534164757601E-4</v>
      </c>
      <c r="M136" s="55">
        <f t="shared" si="67"/>
        <v>0.99972796465835245</v>
      </c>
      <c r="N136" s="55">
        <f t="shared" si="68"/>
        <v>9.2565199853053268E-6</v>
      </c>
      <c r="O136" s="56">
        <f t="shared" si="69"/>
        <v>1.0002462451688172E-6</v>
      </c>
      <c r="P136" s="56">
        <f t="shared" si="70"/>
        <v>8.099010283403859E-7</v>
      </c>
      <c r="Q136" s="56">
        <f t="shared" si="71"/>
        <v>1.9407340241491432E-7</v>
      </c>
      <c r="R136" s="9">
        <f t="shared" si="44"/>
        <v>3.9999999999999996E-5</v>
      </c>
      <c r="S136" s="9">
        <f t="shared" si="45"/>
        <v>1.0881413665903039E-8</v>
      </c>
      <c r="T136" s="9">
        <f t="shared" si="40"/>
        <v>3.9975692871747873E-5</v>
      </c>
      <c r="U136" s="9">
        <f t="shared" si="41"/>
        <v>3.9989118586334098E-5</v>
      </c>
      <c r="V136" s="100">
        <f t="shared" si="46"/>
        <v>0.99966426580377776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-0.20869004627707885</v>
      </c>
      <c r="K137" s="55">
        <f t="shared" si="65"/>
        <v>0.9997912292649036</v>
      </c>
      <c r="L137" s="55">
        <f t="shared" si="66"/>
        <v>2.0786605626947871E-4</v>
      </c>
      <c r="M137" s="55">
        <f t="shared" si="67"/>
        <v>0.99979213394373057</v>
      </c>
      <c r="N137" s="55">
        <f t="shared" si="68"/>
        <v>2.1081917169262826E-9</v>
      </c>
      <c r="O137" s="56">
        <f t="shared" si="69"/>
        <v>1.0006454934835611E-6</v>
      </c>
      <c r="P137" s="56">
        <f t="shared" si="70"/>
        <v>6.1885684304876576E-7</v>
      </c>
      <c r="Q137" s="56">
        <f t="shared" si="71"/>
        <v>4.4200621842370275E-11</v>
      </c>
      <c r="R137" s="9">
        <f t="shared" si="44"/>
        <v>3.9999999999999996E-5</v>
      </c>
      <c r="S137" s="9">
        <f t="shared" si="45"/>
        <v>8.3146422507791475E-9</v>
      </c>
      <c r="T137" s="9">
        <f t="shared" si="40"/>
        <v>3.9991649170596141E-5</v>
      </c>
      <c r="U137" s="9">
        <f t="shared" si="41"/>
        <v>3.9991685357749221E-5</v>
      </c>
      <c r="V137" s="100">
        <f t="shared" si="46"/>
        <v>0.99999909513308194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-0.10375488815809189</v>
      </c>
      <c r="K138" s="55">
        <f t="shared" si="65"/>
        <v>0.99943690469523372</v>
      </c>
      <c r="L138" s="55">
        <f t="shared" si="66"/>
        <v>2.6458474090247376E-4</v>
      </c>
      <c r="M138" s="55">
        <f t="shared" si="67"/>
        <v>0.99973541525909748</v>
      </c>
      <c r="N138" s="55">
        <f t="shared" si="68"/>
        <v>7.8461753383990385E-6</v>
      </c>
      <c r="O138" s="56">
        <f t="shared" si="69"/>
        <v>1.000290866163884E-6</v>
      </c>
      <c r="P138" s="56">
        <f t="shared" si="70"/>
        <v>7.8771917076016979E-7</v>
      </c>
      <c r="Q138" s="56">
        <f t="shared" si="71"/>
        <v>1.6450393304226911E-7</v>
      </c>
      <c r="R138" s="9">
        <f t="shared" si="44"/>
        <v>3.9999999999999996E-5</v>
      </c>
      <c r="S138" s="9">
        <f t="shared" si="45"/>
        <v>1.0583389636098949E-8</v>
      </c>
      <c r="T138" s="9">
        <f t="shared" si="40"/>
        <v>3.9977476187809345E-5</v>
      </c>
      <c r="U138" s="9">
        <f t="shared" si="41"/>
        <v>3.9989416610363896E-5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0.60777493199684662</v>
      </c>
      <c r="K139" s="55">
        <f t="shared" si="65"/>
        <v>0.99329519714852221</v>
      </c>
      <c r="L139" s="55">
        <f t="shared" si="66"/>
        <v>1.3533731862510044E-3</v>
      </c>
      <c r="M139" s="55">
        <f t="shared" si="67"/>
        <v>0.99864662681374905</v>
      </c>
      <c r="N139" s="55">
        <f t="shared" si="68"/>
        <v>2.8627470785814481E-4</v>
      </c>
      <c r="O139" s="56">
        <f t="shared" si="69"/>
        <v>9.941439108806002E-7</v>
      </c>
      <c r="P139" s="56">
        <f t="shared" si="70"/>
        <v>4.0292497608380506E-6</v>
      </c>
      <c r="Q139" s="56">
        <f t="shared" si="71"/>
        <v>6.0020727733061964E-6</v>
      </c>
      <c r="R139" s="9">
        <f t="shared" si="44"/>
        <v>3.9999999999999996E-5</v>
      </c>
      <c r="S139" s="9">
        <f t="shared" si="45"/>
        <v>5.4134927450040167E-8</v>
      </c>
      <c r="T139" s="9">
        <f t="shared" si="40"/>
        <v>3.9731807885940888E-5</v>
      </c>
      <c r="U139" s="9">
        <f t="shared" si="41"/>
        <v>3.9945865072549962E-5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-0.2065570605287429</v>
      </c>
      <c r="K140" s="55">
        <f t="shared" si="65"/>
        <v>0.99978429622675891</v>
      </c>
      <c r="L140" s="55">
        <f t="shared" si="66"/>
        <v>2.0888802831376381E-4</v>
      </c>
      <c r="M140" s="55">
        <f t="shared" si="67"/>
        <v>0.99979111197168624</v>
      </c>
      <c r="N140" s="55">
        <f t="shared" si="68"/>
        <v>3.7150232488000787E-8</v>
      </c>
      <c r="O140" s="56">
        <f t="shared" si="69"/>
        <v>1.0006385545215331E-6</v>
      </c>
      <c r="P140" s="56">
        <f t="shared" si="70"/>
        <v>6.2189944848594432E-7</v>
      </c>
      <c r="Q140" s="56">
        <f t="shared" si="71"/>
        <v>7.7889660810942253E-10</v>
      </c>
      <c r="R140" s="9">
        <f t="shared" si="44"/>
        <v>3.9999999999999996E-5</v>
      </c>
      <c r="S140" s="9">
        <f t="shared" si="45"/>
        <v>8.3555211325505514E-9</v>
      </c>
      <c r="T140" s="9">
        <f t="shared" si="40"/>
        <v>3.9991371849070352E-5</v>
      </c>
      <c r="U140" s="9">
        <f t="shared" si="41"/>
        <v>3.9991644478867446E-5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-0.2028483440849736</v>
      </c>
      <c r="K141" s="55">
        <f t="shared" si="65"/>
        <v>0.99977235169748202</v>
      </c>
      <c r="L141" s="55">
        <f t="shared" si="66"/>
        <v>2.1067697720810447E-4</v>
      </c>
      <c r="M141" s="55">
        <f t="shared" si="67"/>
        <v>0.99978932302279189</v>
      </c>
      <c r="N141" s="55">
        <f t="shared" si="68"/>
        <v>1.3561849673294541E-7</v>
      </c>
      <c r="O141" s="56">
        <f t="shared" si="69"/>
        <v>1.0006265997863416E-6</v>
      </c>
      <c r="P141" s="56">
        <f t="shared" si="70"/>
        <v>6.2722549009656688E-7</v>
      </c>
      <c r="Q141" s="56">
        <f t="shared" si="71"/>
        <v>2.8433950483703831E-9</v>
      </c>
      <c r="R141" s="9">
        <f t="shared" si="44"/>
        <v>3.9999999999999996E-5</v>
      </c>
      <c r="S141" s="9">
        <f t="shared" si="45"/>
        <v>8.4270790883241789E-9</v>
      </c>
      <c r="T141" s="9">
        <f t="shared" si="40"/>
        <v>3.999089406789928E-5</v>
      </c>
      <c r="U141" s="9">
        <f t="shared" si="41"/>
        <v>3.9991572920911671E-5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2.159334202365554</v>
      </c>
      <c r="K142" s="55">
        <f t="shared" si="65"/>
        <v>0.85215370090763964</v>
      </c>
      <c r="L142" s="55">
        <f t="shared" si="66"/>
        <v>4.1344375566126829E-2</v>
      </c>
      <c r="M142" s="55">
        <f t="shared" si="67"/>
        <v>0.9586556244338732</v>
      </c>
      <c r="N142" s="55">
        <f t="shared" si="68"/>
        <v>2.6870339859798704E-2</v>
      </c>
      <c r="O142" s="56">
        <f t="shared" si="69"/>
        <v>8.5288181733252271E-7</v>
      </c>
      <c r="P142" s="56">
        <f t="shared" si="70"/>
        <v>1.23090081179515E-4</v>
      </c>
      <c r="Q142" s="56">
        <f t="shared" si="71"/>
        <v>5.6336704170840881E-4</v>
      </c>
      <c r="R142" s="9">
        <f t="shared" si="44"/>
        <v>3.9999999999999996E-5</v>
      </c>
      <c r="S142" s="9">
        <f t="shared" si="45"/>
        <v>1.6537750226450729E-6</v>
      </c>
      <c r="T142" s="9">
        <f t="shared" si="40"/>
        <v>3.4086148036305584E-5</v>
      </c>
      <c r="U142" s="9">
        <f t="shared" si="41"/>
        <v>3.8346224977354924E-5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2.8765866563787141</v>
      </c>
      <c r="K143" s="55">
        <f t="shared" si="65"/>
        <v>0.37677616531086988</v>
      </c>
      <c r="L143" s="55">
        <f t="shared" si="66"/>
        <v>9.5331050403404977E-2</v>
      </c>
      <c r="M143" s="55">
        <f t="shared" si="67"/>
        <v>0.90466894959659505</v>
      </c>
      <c r="N143" s="55">
        <f t="shared" si="68"/>
        <v>7.5811667443464112E-3</v>
      </c>
      <c r="O143" s="56">
        <f t="shared" si="69"/>
        <v>3.7709809891765368E-7</v>
      </c>
      <c r="P143" s="56">
        <f t="shared" si="70"/>
        <v>2.8381869534625163E-4</v>
      </c>
      <c r="Q143" s="56">
        <f t="shared" si="71"/>
        <v>1.5894772837802887E-4</v>
      </c>
      <c r="R143" s="9">
        <f t="shared" si="44"/>
        <v>3.9999999999999996E-5</v>
      </c>
      <c r="S143" s="9">
        <f t="shared" si="45"/>
        <v>3.8132420161361988E-6</v>
      </c>
      <c r="T143" s="9">
        <f t="shared" si="40"/>
        <v>1.5071046612434793E-5</v>
      </c>
      <c r="U143" s="9">
        <f t="shared" si="41"/>
        <v>3.6186757983863801E-5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2025-02-02T15:03:48Z</dcterms:modified>
</cp:coreProperties>
</file>