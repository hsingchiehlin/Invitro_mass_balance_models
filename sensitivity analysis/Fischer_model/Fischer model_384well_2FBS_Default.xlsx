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1ED5940D-0241-4EA9-A6FE-2477A162BED6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R143" i="4"/>
  <c r="U143" i="4" s="1"/>
  <c r="V142" i="4"/>
  <c r="R142" i="4"/>
  <c r="U142" i="4" s="1"/>
  <c r="V141" i="4"/>
  <c r="U141" i="4"/>
  <c r="T141" i="4"/>
  <c r="S141" i="4"/>
  <c r="R141" i="4"/>
  <c r="V140" i="4"/>
  <c r="R140" i="4"/>
  <c r="U140" i="4" s="1"/>
  <c r="V139" i="4"/>
  <c r="U139" i="4"/>
  <c r="T139" i="4"/>
  <c r="S139" i="4"/>
  <c r="R139" i="4"/>
  <c r="V138" i="4"/>
  <c r="R138" i="4"/>
  <c r="V137" i="4"/>
  <c r="R137" i="4"/>
  <c r="U137" i="4" s="1"/>
  <c r="V136" i="4"/>
  <c r="R136" i="4"/>
  <c r="U136" i="4" s="1"/>
  <c r="V135" i="4"/>
  <c r="R135" i="4"/>
  <c r="V134" i="4"/>
  <c r="U134" i="4"/>
  <c r="T134" i="4"/>
  <c r="R134" i="4"/>
  <c r="S134" i="4" s="1"/>
  <c r="V133" i="4"/>
  <c r="R133" i="4"/>
  <c r="V132" i="4"/>
  <c r="R132" i="4"/>
  <c r="V131" i="4"/>
  <c r="R131" i="4"/>
  <c r="U131" i="4" s="1"/>
  <c r="V130" i="4"/>
  <c r="R130" i="4"/>
  <c r="U130" i="4" s="1"/>
  <c r="V129" i="4"/>
  <c r="U129" i="4"/>
  <c r="T129" i="4"/>
  <c r="S129" i="4"/>
  <c r="R129" i="4"/>
  <c r="V128" i="4"/>
  <c r="T128" i="4"/>
  <c r="S128" i="4"/>
  <c r="R128" i="4"/>
  <c r="U128" i="4" s="1"/>
  <c r="V127" i="4"/>
  <c r="U127" i="4"/>
  <c r="T127" i="4"/>
  <c r="S127" i="4"/>
  <c r="R127" i="4"/>
  <c r="V126" i="4"/>
  <c r="R126" i="4"/>
  <c r="V125" i="4"/>
  <c r="U125" i="4"/>
  <c r="T125" i="4"/>
  <c r="S125" i="4"/>
  <c r="R125" i="4"/>
  <c r="V124" i="4"/>
  <c r="R124" i="4"/>
  <c r="U124" i="4" s="1"/>
  <c r="V123" i="4"/>
  <c r="R123" i="4"/>
  <c r="U123" i="4" s="1"/>
  <c r="V122" i="4"/>
  <c r="U122" i="4"/>
  <c r="T122" i="4"/>
  <c r="R122" i="4"/>
  <c r="S122" i="4" s="1"/>
  <c r="V121" i="4"/>
  <c r="R121" i="4"/>
  <c r="V120" i="4"/>
  <c r="R120" i="4"/>
  <c r="U120" i="4" s="1"/>
  <c r="V119" i="4"/>
  <c r="R119" i="4"/>
  <c r="U119" i="4" s="1"/>
  <c r="V118" i="4"/>
  <c r="R118" i="4"/>
  <c r="U118" i="4" s="1"/>
  <c r="V117" i="4"/>
  <c r="U117" i="4"/>
  <c r="T117" i="4"/>
  <c r="S117" i="4"/>
  <c r="R117" i="4"/>
  <c r="V116" i="4"/>
  <c r="T116" i="4"/>
  <c r="S116" i="4"/>
  <c r="R116" i="4"/>
  <c r="U116" i="4" s="1"/>
  <c r="V115" i="4"/>
  <c r="U115" i="4"/>
  <c r="T115" i="4"/>
  <c r="S115" i="4"/>
  <c r="R115" i="4"/>
  <c r="V114" i="4"/>
  <c r="R114" i="4"/>
  <c r="V113" i="4"/>
  <c r="U113" i="4"/>
  <c r="T113" i="4"/>
  <c r="S113" i="4"/>
  <c r="R113" i="4"/>
  <c r="V112" i="4"/>
  <c r="R112" i="4"/>
  <c r="U112" i="4" s="1"/>
  <c r="V111" i="4"/>
  <c r="R111" i="4"/>
  <c r="U111" i="4" s="1"/>
  <c r="V110" i="4"/>
  <c r="U110" i="4"/>
  <c r="T110" i="4"/>
  <c r="R110" i="4"/>
  <c r="S110" i="4" s="1"/>
  <c r="V109" i="4"/>
  <c r="R109" i="4"/>
  <c r="V108" i="4"/>
  <c r="R108" i="4"/>
  <c r="U108" i="4" s="1"/>
  <c r="R107" i="4"/>
  <c r="V106" i="4"/>
  <c r="R106" i="4"/>
  <c r="V105" i="4"/>
  <c r="R105" i="4"/>
  <c r="U105" i="4" s="1"/>
  <c r="V104" i="4"/>
  <c r="R104" i="4"/>
  <c r="U104" i="4" s="1"/>
  <c r="V103" i="4"/>
  <c r="R103" i="4"/>
  <c r="S103" i="4" s="1"/>
  <c r="V102" i="4"/>
  <c r="U102" i="4"/>
  <c r="T102" i="4"/>
  <c r="R102" i="4"/>
  <c r="S102" i="4" s="1"/>
  <c r="V101" i="4"/>
  <c r="R101" i="4"/>
  <c r="R100" i="4"/>
  <c r="V99" i="4"/>
  <c r="U99" i="4"/>
  <c r="T99" i="4"/>
  <c r="S99" i="4"/>
  <c r="R99" i="4"/>
  <c r="V98" i="4"/>
  <c r="R98" i="4"/>
  <c r="R97" i="4"/>
  <c r="V96" i="4"/>
  <c r="R96" i="4"/>
  <c r="S96" i="4" s="1"/>
  <c r="V95" i="4"/>
  <c r="R95" i="4"/>
  <c r="U95" i="4" s="1"/>
  <c r="V94" i="4"/>
  <c r="U94" i="4"/>
  <c r="R94" i="4"/>
  <c r="T94" i="4" s="1"/>
  <c r="V93" i="4"/>
  <c r="U93" i="4"/>
  <c r="T93" i="4"/>
  <c r="S93" i="4"/>
  <c r="R93" i="4"/>
  <c r="V92" i="4"/>
  <c r="T92" i="4"/>
  <c r="R92" i="4"/>
  <c r="U92" i="4" s="1"/>
  <c r="V91" i="4"/>
  <c r="U91" i="4"/>
  <c r="T91" i="4"/>
  <c r="S91" i="4"/>
  <c r="R91" i="4"/>
  <c r="V90" i="4"/>
  <c r="R90" i="4"/>
  <c r="V89" i="4"/>
  <c r="T89" i="4"/>
  <c r="S89" i="4"/>
  <c r="R89" i="4"/>
  <c r="U89" i="4" s="1"/>
  <c r="V88" i="4"/>
  <c r="R88" i="4"/>
  <c r="U88" i="4" s="1"/>
  <c r="V87" i="4"/>
  <c r="R87" i="4"/>
  <c r="U87" i="4" s="1"/>
  <c r="V86" i="4"/>
  <c r="U86" i="4"/>
  <c r="T86" i="4"/>
  <c r="R86" i="4"/>
  <c r="S86" i="4" s="1"/>
  <c r="V85" i="4"/>
  <c r="S85" i="4"/>
  <c r="R85" i="4"/>
  <c r="V84" i="4"/>
  <c r="R84" i="4"/>
  <c r="U84" i="4" s="1"/>
  <c r="V83" i="4"/>
  <c r="R83" i="4"/>
  <c r="U83" i="4" s="1"/>
  <c r="V82" i="4"/>
  <c r="U82" i="4"/>
  <c r="T82" i="4"/>
  <c r="S82" i="4"/>
  <c r="R82" i="4"/>
  <c r="V81" i="4"/>
  <c r="U81" i="4"/>
  <c r="T81" i="4"/>
  <c r="S81" i="4"/>
  <c r="R81" i="4"/>
  <c r="V80" i="4"/>
  <c r="R80" i="4"/>
  <c r="V79" i="4"/>
  <c r="U79" i="4"/>
  <c r="T79" i="4"/>
  <c r="S79" i="4"/>
  <c r="R79" i="4"/>
  <c r="V78" i="4"/>
  <c r="R78" i="4"/>
  <c r="V77" i="4"/>
  <c r="R77" i="4"/>
  <c r="V76" i="4"/>
  <c r="R76" i="4"/>
  <c r="U76" i="4" s="1"/>
  <c r="V75" i="4"/>
  <c r="R75" i="4"/>
  <c r="U75" i="4" s="1"/>
  <c r="V74" i="4"/>
  <c r="U74" i="4"/>
  <c r="T74" i="4"/>
  <c r="R74" i="4"/>
  <c r="S74" i="4" s="1"/>
  <c r="V73" i="4"/>
  <c r="S73" i="4"/>
  <c r="R73" i="4"/>
  <c r="V72" i="4"/>
  <c r="R72" i="4"/>
  <c r="T72" i="4" s="1"/>
  <c r="V71" i="4"/>
  <c r="R71" i="4"/>
  <c r="U71" i="4" s="1"/>
  <c r="V70" i="4"/>
  <c r="U70" i="4"/>
  <c r="T70" i="4"/>
  <c r="S70" i="4"/>
  <c r="R70" i="4"/>
  <c r="V69" i="4"/>
  <c r="U69" i="4"/>
  <c r="T69" i="4"/>
  <c r="S69" i="4"/>
  <c r="R69" i="4"/>
  <c r="V68" i="4"/>
  <c r="R68" i="4"/>
  <c r="S68" i="4" s="1"/>
  <c r="V67" i="4"/>
  <c r="U67" i="4"/>
  <c r="T67" i="4"/>
  <c r="S67" i="4"/>
  <c r="R67" i="4"/>
  <c r="V66" i="4"/>
  <c r="R66" i="4"/>
  <c r="V65" i="4"/>
  <c r="R65" i="4"/>
  <c r="V64" i="4"/>
  <c r="R64" i="4"/>
  <c r="U64" i="4" s="1"/>
  <c r="V63" i="4"/>
  <c r="R63" i="4"/>
  <c r="U63" i="4" s="1"/>
  <c r="V62" i="4"/>
  <c r="U62" i="4"/>
  <c r="T62" i="4"/>
  <c r="R62" i="4"/>
  <c r="S62" i="4" s="1"/>
  <c r="V61" i="4"/>
  <c r="R61" i="4"/>
  <c r="V60" i="4"/>
  <c r="R60" i="4"/>
  <c r="T60" i="4" s="1"/>
  <c r="V59" i="4"/>
  <c r="R59" i="4"/>
  <c r="S59" i="4" s="1"/>
  <c r="V58" i="4"/>
  <c r="U58" i="4"/>
  <c r="T58" i="4"/>
  <c r="S58" i="4"/>
  <c r="R58" i="4"/>
  <c r="V57" i="4"/>
  <c r="U57" i="4"/>
  <c r="T57" i="4"/>
  <c r="S57" i="4"/>
  <c r="R57" i="4"/>
  <c r="V56" i="4"/>
  <c r="R56" i="4"/>
  <c r="V55" i="4"/>
  <c r="U55" i="4"/>
  <c r="T55" i="4"/>
  <c r="S55" i="4"/>
  <c r="R55" i="4"/>
  <c r="V54" i="4"/>
  <c r="R54" i="4"/>
  <c r="V53" i="4"/>
  <c r="R53" i="4"/>
  <c r="V52" i="4"/>
  <c r="R52" i="4"/>
  <c r="U52" i="4" s="1"/>
  <c r="V51" i="4"/>
  <c r="R51" i="4"/>
  <c r="U51" i="4" s="1"/>
  <c r="V50" i="4"/>
  <c r="U50" i="4"/>
  <c r="T50" i="4"/>
  <c r="R50" i="4"/>
  <c r="S50" i="4" s="1"/>
  <c r="V49" i="4"/>
  <c r="R49" i="4"/>
  <c r="V48" i="4"/>
  <c r="R48" i="4"/>
  <c r="U48" i="4" s="1"/>
  <c r="V47" i="4"/>
  <c r="R47" i="4"/>
  <c r="U47" i="4" s="1"/>
  <c r="V46" i="4"/>
  <c r="T46" i="4"/>
  <c r="S46" i="4"/>
  <c r="R46" i="4"/>
  <c r="U46" i="4" s="1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R42" i="4"/>
  <c r="V41" i="4"/>
  <c r="R41" i="4"/>
  <c r="U41" i="4" s="1"/>
  <c r="V40" i="4"/>
  <c r="R40" i="4"/>
  <c r="U40" i="4" s="1"/>
  <c r="V39" i="4"/>
  <c r="U39" i="4"/>
  <c r="R39" i="4"/>
  <c r="T39" i="4" s="1"/>
  <c r="V38" i="4"/>
  <c r="U38" i="4"/>
  <c r="T38" i="4"/>
  <c r="R38" i="4"/>
  <c r="S38" i="4" s="1"/>
  <c r="V37" i="4"/>
  <c r="R37" i="4"/>
  <c r="V36" i="4"/>
  <c r="U36" i="4"/>
  <c r="R36" i="4"/>
  <c r="T36" i="4" s="1"/>
  <c r="V35" i="4"/>
  <c r="R35" i="4"/>
  <c r="U35" i="4" s="1"/>
  <c r="V34" i="4"/>
  <c r="S34" i="4"/>
  <c r="R34" i="4"/>
  <c r="V33" i="4"/>
  <c r="U33" i="4"/>
  <c r="T33" i="4"/>
  <c r="S33" i="4"/>
  <c r="R33" i="4"/>
  <c r="V32" i="4"/>
  <c r="R32" i="4"/>
  <c r="U32" i="4" s="1"/>
  <c r="V31" i="4"/>
  <c r="U31" i="4"/>
  <c r="T31" i="4"/>
  <c r="S31" i="4"/>
  <c r="R31" i="4"/>
  <c r="V30" i="4"/>
  <c r="R30" i="4"/>
  <c r="V29" i="4"/>
  <c r="R29" i="4"/>
  <c r="U29" i="4" s="1"/>
  <c r="V28" i="4"/>
  <c r="R28" i="4"/>
  <c r="U28" i="4" s="1"/>
  <c r="I135" i="4"/>
  <c r="N135" i="4" s="1"/>
  <c r="Q135" i="4" s="1"/>
  <c r="J135" i="4"/>
  <c r="K135" i="4"/>
  <c r="O135" i="4" s="1"/>
  <c r="P135" i="4" s="1"/>
  <c r="L135" i="4"/>
  <c r="M135" i="4" s="1"/>
  <c r="I136" i="4"/>
  <c r="J136" i="4"/>
  <c r="K136" i="4"/>
  <c r="L136" i="4"/>
  <c r="M136" i="4"/>
  <c r="N136" i="4"/>
  <c r="Q136" i="4" s="1"/>
  <c r="O136" i="4"/>
  <c r="P136" i="4" s="1"/>
  <c r="I137" i="4"/>
  <c r="J137" i="4"/>
  <c r="K137" i="4"/>
  <c r="L137" i="4"/>
  <c r="M137" i="4"/>
  <c r="N137" i="4"/>
  <c r="O137" i="4"/>
  <c r="P137" i="4"/>
  <c r="Q137" i="4"/>
  <c r="I138" i="4"/>
  <c r="L138" i="4" s="1"/>
  <c r="M138" i="4" s="1"/>
  <c r="J138" i="4"/>
  <c r="K138" i="4"/>
  <c r="O138" i="4"/>
  <c r="P138" i="4"/>
  <c r="I139" i="4"/>
  <c r="N139" i="4" s="1"/>
  <c r="Q139" i="4" s="1"/>
  <c r="J139" i="4"/>
  <c r="K139" i="4"/>
  <c r="O139" i="4" s="1"/>
  <c r="P139" i="4" s="1"/>
  <c r="L139" i="4"/>
  <c r="M139" i="4" s="1"/>
  <c r="I140" i="4"/>
  <c r="J140" i="4"/>
  <c r="K140" i="4"/>
  <c r="L140" i="4"/>
  <c r="M140" i="4"/>
  <c r="N140" i="4"/>
  <c r="Q140" i="4" s="1"/>
  <c r="O140" i="4"/>
  <c r="P140" i="4" s="1"/>
  <c r="I141" i="4"/>
  <c r="J141" i="4"/>
  <c r="K141" i="4"/>
  <c r="L141" i="4"/>
  <c r="M141" i="4"/>
  <c r="N141" i="4"/>
  <c r="O141" i="4"/>
  <c r="P141" i="4"/>
  <c r="Q141" i="4"/>
  <c r="I142" i="4"/>
  <c r="L142" i="4" s="1"/>
  <c r="M142" i="4" s="1"/>
  <c r="J142" i="4"/>
  <c r="K142" i="4"/>
  <c r="O142" i="4"/>
  <c r="P142" i="4"/>
  <c r="I143" i="4"/>
  <c r="N143" i="4" s="1"/>
  <c r="Q143" i="4" s="1"/>
  <c r="J143" i="4"/>
  <c r="K143" i="4"/>
  <c r="O143" i="4" s="1"/>
  <c r="P143" i="4" s="1"/>
  <c r="L143" i="4"/>
  <c r="M143" i="4" s="1"/>
  <c r="U56" i="4" l="1"/>
  <c r="T56" i="4"/>
  <c r="S56" i="4"/>
  <c r="U135" i="4"/>
  <c r="T135" i="4"/>
  <c r="S135" i="4"/>
  <c r="T53" i="4"/>
  <c r="U53" i="4"/>
  <c r="S53" i="4"/>
  <c r="U65" i="4"/>
  <c r="T65" i="4"/>
  <c r="U80" i="4"/>
  <c r="T80" i="4"/>
  <c r="S138" i="4"/>
  <c r="U138" i="4"/>
  <c r="T138" i="4"/>
  <c r="U37" i="4"/>
  <c r="T37" i="4"/>
  <c r="T49" i="4"/>
  <c r="U49" i="4"/>
  <c r="U61" i="4"/>
  <c r="T61" i="4"/>
  <c r="S65" i="4"/>
  <c r="S80" i="4"/>
  <c r="S37" i="4"/>
  <c r="S49" i="4"/>
  <c r="S61" i="4"/>
  <c r="U77" i="4"/>
  <c r="T77" i="4"/>
  <c r="S77" i="4"/>
  <c r="S92" i="4"/>
  <c r="U68" i="4"/>
  <c r="T68" i="4"/>
  <c r="U103" i="4"/>
  <c r="T103" i="4"/>
  <c r="U132" i="4"/>
  <c r="T132" i="4"/>
  <c r="S132" i="4"/>
  <c r="U34" i="4"/>
  <c r="T34" i="4"/>
  <c r="U106" i="4"/>
  <c r="T106" i="4"/>
  <c r="S106" i="4"/>
  <c r="U126" i="4"/>
  <c r="T126" i="4"/>
  <c r="S126" i="4"/>
  <c r="U114" i="4"/>
  <c r="T114" i="4"/>
  <c r="S114" i="4"/>
  <c r="S120" i="4"/>
  <c r="S123" i="4"/>
  <c r="S41" i="4"/>
  <c r="S108" i="4"/>
  <c r="S111" i="4"/>
  <c r="T120" i="4"/>
  <c r="T123" i="4"/>
  <c r="S29" i="4"/>
  <c r="T41" i="4"/>
  <c r="T44" i="4"/>
  <c r="U78" i="4"/>
  <c r="T78" i="4"/>
  <c r="S78" i="4"/>
  <c r="S84" i="4"/>
  <c r="S87" i="4"/>
  <c r="T96" i="4"/>
  <c r="U101" i="4"/>
  <c r="T101" i="4"/>
  <c r="T108" i="4"/>
  <c r="T111" i="4"/>
  <c r="S142" i="4"/>
  <c r="T29" i="4"/>
  <c r="T32" i="4"/>
  <c r="U66" i="4"/>
  <c r="T66" i="4"/>
  <c r="S66" i="4"/>
  <c r="S72" i="4"/>
  <c r="S75" i="4"/>
  <c r="T84" i="4"/>
  <c r="T87" i="4"/>
  <c r="U96" i="4"/>
  <c r="S101" i="4"/>
  <c r="U133" i="4"/>
  <c r="T133" i="4"/>
  <c r="T142" i="4"/>
  <c r="U54" i="4"/>
  <c r="T54" i="4"/>
  <c r="S54" i="4"/>
  <c r="S60" i="4"/>
  <c r="S63" i="4"/>
  <c r="T75" i="4"/>
  <c r="U121" i="4"/>
  <c r="T121" i="4"/>
  <c r="S130" i="4"/>
  <c r="S133" i="4"/>
  <c r="U42" i="4"/>
  <c r="T42" i="4"/>
  <c r="S42" i="4"/>
  <c r="S51" i="4"/>
  <c r="T63" i="4"/>
  <c r="U72" i="4"/>
  <c r="S105" i="4"/>
  <c r="U109" i="4"/>
  <c r="T109" i="4"/>
  <c r="S118" i="4"/>
  <c r="S121" i="4"/>
  <c r="T130" i="4"/>
  <c r="S137" i="4"/>
  <c r="U30" i="4"/>
  <c r="T30" i="4"/>
  <c r="S30" i="4"/>
  <c r="S36" i="4"/>
  <c r="S39" i="4"/>
  <c r="T48" i="4"/>
  <c r="T51" i="4"/>
  <c r="U60" i="4"/>
  <c r="U85" i="4"/>
  <c r="T85" i="4"/>
  <c r="S94" i="4"/>
  <c r="U98" i="4"/>
  <c r="T98" i="4"/>
  <c r="S98" i="4"/>
  <c r="T105" i="4"/>
  <c r="S109" i="4"/>
  <c r="T118" i="4"/>
  <c r="T137" i="4"/>
  <c r="T140" i="4"/>
  <c r="S44" i="4"/>
  <c r="U90" i="4"/>
  <c r="T90" i="4"/>
  <c r="S90" i="4"/>
  <c r="S32" i="4"/>
  <c r="S48" i="4"/>
  <c r="S140" i="4"/>
  <c r="U73" i="4"/>
  <c r="T73" i="4"/>
  <c r="S35" i="4"/>
  <c r="S47" i="4"/>
  <c r="S71" i="4"/>
  <c r="S83" i="4"/>
  <c r="S95" i="4"/>
  <c r="S119" i="4"/>
  <c r="S131" i="4"/>
  <c r="S143" i="4"/>
  <c r="S28" i="4"/>
  <c r="T35" i="4"/>
  <c r="S40" i="4"/>
  <c r="T47" i="4"/>
  <c r="S52" i="4"/>
  <c r="T59" i="4"/>
  <c r="S64" i="4"/>
  <c r="T71" i="4"/>
  <c r="S76" i="4"/>
  <c r="T83" i="4"/>
  <c r="S88" i="4"/>
  <c r="T95" i="4"/>
  <c r="S104" i="4"/>
  <c r="S112" i="4"/>
  <c r="T119" i="4"/>
  <c r="S124" i="4"/>
  <c r="T131" i="4"/>
  <c r="S136" i="4"/>
  <c r="T143" i="4"/>
  <c r="T28" i="4"/>
  <c r="T40" i="4"/>
  <c r="T52" i="4"/>
  <c r="U59" i="4"/>
  <c r="T64" i="4"/>
  <c r="T76" i="4"/>
  <c r="T88" i="4"/>
  <c r="T104" i="4"/>
  <c r="T112" i="4"/>
  <c r="T124" i="4"/>
  <c r="T136" i="4"/>
  <c r="N142" i="4"/>
  <c r="Q142" i="4" s="1"/>
  <c r="N138" i="4"/>
  <c r="Q138" i="4" s="1"/>
  <c r="I128" i="4" l="1"/>
  <c r="J128" i="4"/>
  <c r="K128" i="4" s="1"/>
  <c r="O128" i="4" s="1"/>
  <c r="P128" i="4" s="1"/>
  <c r="I129" i="4"/>
  <c r="N129" i="4" s="1"/>
  <c r="Q129" i="4" s="1"/>
  <c r="J129" i="4"/>
  <c r="K129" i="4"/>
  <c r="O129" i="4" s="1"/>
  <c r="P129" i="4" s="1"/>
  <c r="L129" i="4"/>
  <c r="M129" i="4" s="1"/>
  <c r="I130" i="4"/>
  <c r="L130" i="4" s="1"/>
  <c r="M130" i="4" s="1"/>
  <c r="J130" i="4"/>
  <c r="K130" i="4"/>
  <c r="N130" i="4"/>
  <c r="Q130" i="4" s="1"/>
  <c r="O130" i="4"/>
  <c r="P130" i="4" s="1"/>
  <c r="I131" i="4"/>
  <c r="J131" i="4"/>
  <c r="K131" i="4" s="1"/>
  <c r="L131" i="4"/>
  <c r="M131" i="4"/>
  <c r="N131" i="4"/>
  <c r="Q131" i="4" s="1"/>
  <c r="I132" i="4"/>
  <c r="L132" i="4" s="1"/>
  <c r="M132" i="4" s="1"/>
  <c r="J132" i="4"/>
  <c r="K132" i="4"/>
  <c r="O132" i="4" s="1"/>
  <c r="P132" i="4" s="1"/>
  <c r="I133" i="4"/>
  <c r="L133" i="4" s="1"/>
  <c r="M133" i="4" s="1"/>
  <c r="J133" i="4"/>
  <c r="K133" i="4" s="1"/>
  <c r="O133" i="4" s="1"/>
  <c r="P133" i="4" s="1"/>
  <c r="N133" i="4"/>
  <c r="Q133" i="4" s="1"/>
  <c r="I134" i="4"/>
  <c r="N134" i="4" s="1"/>
  <c r="Q134" i="4" s="1"/>
  <c r="J134" i="4"/>
  <c r="K134" i="4" s="1"/>
  <c r="O134" i="4" s="1"/>
  <c r="P134" i="4" s="1"/>
  <c r="L134" i="4"/>
  <c r="M134" i="4"/>
  <c r="N128" i="4" l="1"/>
  <c r="Q128" i="4" s="1"/>
  <c r="L128" i="4"/>
  <c r="M128" i="4" s="1"/>
  <c r="O131" i="4"/>
  <c r="P131" i="4" s="1"/>
  <c r="N132" i="4"/>
  <c r="Q132" i="4" s="1"/>
  <c r="O15" i="1" l="1"/>
  <c r="L15" i="1"/>
  <c r="N15" i="1"/>
  <c r="M104" i="4"/>
  <c r="J16" i="4"/>
  <c r="J15" i="4"/>
  <c r="J87" i="4"/>
  <c r="K87" i="4" s="1"/>
  <c r="J122" i="4"/>
  <c r="K122" i="4"/>
  <c r="O122" i="4" s="1"/>
  <c r="P122" i="4" s="1"/>
  <c r="J117" i="4"/>
  <c r="K117" i="4"/>
  <c r="O117" i="4" s="1"/>
  <c r="P117" i="4" s="1"/>
  <c r="J120" i="4"/>
  <c r="K120" i="4" s="1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 s="1"/>
  <c r="J72" i="4"/>
  <c r="K72" i="4"/>
  <c r="J103" i="4"/>
  <c r="L103" i="4" s="1"/>
  <c r="M103" i="4" s="1"/>
  <c r="K103" i="4"/>
  <c r="J118" i="4"/>
  <c r="L118" i="4" s="1"/>
  <c r="M118" i="4" s="1"/>
  <c r="J104" i="4"/>
  <c r="K104" i="4"/>
  <c r="O104" i="4" s="1"/>
  <c r="P104" i="4" s="1"/>
  <c r="J90" i="4"/>
  <c r="K90" i="4" s="1"/>
  <c r="J71" i="4"/>
  <c r="K71" i="4" s="1"/>
  <c r="J110" i="4"/>
  <c r="K110" i="4"/>
  <c r="J82" i="4"/>
  <c r="K82" i="4" s="1"/>
  <c r="J113" i="4"/>
  <c r="K113" i="4"/>
  <c r="O113" i="4" s="1"/>
  <c r="P113" i="4" s="1"/>
  <c r="J97" i="4"/>
  <c r="K97" i="4" s="1"/>
  <c r="J81" i="4"/>
  <c r="K81" i="4" s="1"/>
  <c r="J116" i="4"/>
  <c r="K116" i="4"/>
  <c r="J100" i="4"/>
  <c r="K100" i="4" s="1"/>
  <c r="O100" i="4" s="1"/>
  <c r="P100" i="4" s="1"/>
  <c r="J84" i="4"/>
  <c r="K84" i="4"/>
  <c r="J114" i="4"/>
  <c r="K114" i="4"/>
  <c r="J78" i="4"/>
  <c r="L78" i="4" s="1"/>
  <c r="J115" i="4"/>
  <c r="K115" i="4" s="1"/>
  <c r="J99" i="4"/>
  <c r="K99" i="4"/>
  <c r="O99" i="4" s="1"/>
  <c r="P99" i="4" s="1"/>
  <c r="J83" i="4"/>
  <c r="K83" i="4" s="1"/>
  <c r="J102" i="4"/>
  <c r="K102" i="4" s="1"/>
  <c r="O102" i="4" s="1"/>
  <c r="P102" i="4" s="1"/>
  <c r="J74" i="4"/>
  <c r="K74" i="4" s="1"/>
  <c r="J125" i="4"/>
  <c r="K125" i="4"/>
  <c r="O125" i="4" s="1"/>
  <c r="P125" i="4" s="1"/>
  <c r="J109" i="4"/>
  <c r="K109" i="4"/>
  <c r="O109" i="4" s="1"/>
  <c r="P109" i="4" s="1"/>
  <c r="J93" i="4"/>
  <c r="K93" i="4"/>
  <c r="J77" i="4"/>
  <c r="K77" i="4" s="1"/>
  <c r="J112" i="4"/>
  <c r="K112" i="4" s="1"/>
  <c r="O112" i="4" s="1"/>
  <c r="P112" i="4" s="1"/>
  <c r="J96" i="4"/>
  <c r="K96" i="4" s="1"/>
  <c r="J80" i="4"/>
  <c r="K80" i="4" s="1"/>
  <c r="J106" i="4"/>
  <c r="K106" i="4"/>
  <c r="J127" i="4"/>
  <c r="K127" i="4"/>
  <c r="J111" i="4"/>
  <c r="K111" i="4" s="1"/>
  <c r="O111" i="4" s="1"/>
  <c r="P111" i="4" s="1"/>
  <c r="J95" i="4"/>
  <c r="K95" i="4" s="1"/>
  <c r="J79" i="4"/>
  <c r="K79" i="4" s="1"/>
  <c r="J126" i="4"/>
  <c r="K126" i="4" s="1"/>
  <c r="J94" i="4"/>
  <c r="K94" i="4" s="1"/>
  <c r="J121" i="4"/>
  <c r="K121" i="4"/>
  <c r="J105" i="4"/>
  <c r="L105" i="4" s="1"/>
  <c r="M105" i="4" s="1"/>
  <c r="K105" i="4"/>
  <c r="J89" i="4"/>
  <c r="K89" i="4" s="1"/>
  <c r="J73" i="4"/>
  <c r="K73" i="4" s="1"/>
  <c r="J124" i="4"/>
  <c r="K124" i="4"/>
  <c r="J108" i="4"/>
  <c r="L108" i="4" s="1"/>
  <c r="J92" i="4"/>
  <c r="K92" i="4" s="1"/>
  <c r="J76" i="4"/>
  <c r="K76" i="4" s="1"/>
  <c r="J98" i="4"/>
  <c r="K98" i="4"/>
  <c r="J123" i="4"/>
  <c r="K123" i="4"/>
  <c r="J107" i="4"/>
  <c r="L107" i="4" s="1"/>
  <c r="K107" i="4"/>
  <c r="J91" i="4"/>
  <c r="K91" i="4"/>
  <c r="J75" i="4"/>
  <c r="K75" i="4"/>
  <c r="O98" i="4"/>
  <c r="P98" i="4"/>
  <c r="O105" i="4"/>
  <c r="P105" i="4" s="1"/>
  <c r="O84" i="4"/>
  <c r="P84" i="4" s="1"/>
  <c r="O110" i="4"/>
  <c r="P110" i="4"/>
  <c r="O106" i="4"/>
  <c r="P106" i="4" s="1"/>
  <c r="O103" i="4"/>
  <c r="P103" i="4"/>
  <c r="O123" i="4"/>
  <c r="P123" i="4"/>
  <c r="I76" i="4"/>
  <c r="L76" i="4" s="1"/>
  <c r="I77" i="4"/>
  <c r="N77" i="4" s="1"/>
  <c r="Q77" i="4" s="1"/>
  <c r="I81" i="4"/>
  <c r="I89" i="4"/>
  <c r="N89" i="4" s="1"/>
  <c r="Q89" i="4" s="1"/>
  <c r="I90" i="4"/>
  <c r="N90" i="4" s="1"/>
  <c r="Q90" i="4" s="1"/>
  <c r="I96" i="4"/>
  <c r="L96" i="4" s="1"/>
  <c r="I99" i="4"/>
  <c r="I102" i="4"/>
  <c r="I104" i="4"/>
  <c r="I108" i="4"/>
  <c r="N108" i="4" s="1"/>
  <c r="Q108" i="4" s="1"/>
  <c r="I111" i="4"/>
  <c r="L111" i="4" s="1"/>
  <c r="M111" i="4" s="1"/>
  <c r="I113" i="4"/>
  <c r="N113" i="4" s="1"/>
  <c r="Q113" i="4" s="1"/>
  <c r="I115" i="4"/>
  <c r="N115" i="4" s="1"/>
  <c r="Q115" i="4" s="1"/>
  <c r="I119" i="4"/>
  <c r="N119" i="4" s="1"/>
  <c r="Q119" i="4" s="1"/>
  <c r="I120" i="4"/>
  <c r="I123" i="4"/>
  <c r="L123" i="4" s="1"/>
  <c r="M123" i="4" s="1"/>
  <c r="I125" i="4"/>
  <c r="N125" i="4" s="1"/>
  <c r="Q125" i="4" s="1"/>
  <c r="I79" i="4"/>
  <c r="N79" i="4" s="1"/>
  <c r="Q79" i="4" s="1"/>
  <c r="I92" i="4"/>
  <c r="I100" i="4"/>
  <c r="I103" i="4"/>
  <c r="I107" i="4"/>
  <c r="N107" i="4" s="1"/>
  <c r="Q107" i="4" s="1"/>
  <c r="I109" i="4"/>
  <c r="N109" i="4" s="1"/>
  <c r="Q109" i="4" s="1"/>
  <c r="I110" i="4"/>
  <c r="L110" i="4" s="1"/>
  <c r="M110" i="4" s="1"/>
  <c r="I117" i="4"/>
  <c r="N117" i="4" s="1"/>
  <c r="Q117" i="4" s="1"/>
  <c r="I124" i="4"/>
  <c r="N124" i="4" s="1"/>
  <c r="Q124" i="4" s="1"/>
  <c r="I72" i="4"/>
  <c r="I106" i="4"/>
  <c r="L106" i="4" s="1"/>
  <c r="M106" i="4" s="1"/>
  <c r="I71" i="4"/>
  <c r="N71" i="4" s="1"/>
  <c r="Q71" i="4" s="1"/>
  <c r="I75" i="4"/>
  <c r="N75" i="4" s="1"/>
  <c r="Q75" i="4" s="1"/>
  <c r="I80" i="4"/>
  <c r="I83" i="4"/>
  <c r="L83" i="4" s="1"/>
  <c r="I86" i="4"/>
  <c r="I88" i="4"/>
  <c r="L88" i="4" s="1"/>
  <c r="I94" i="4"/>
  <c r="N94" i="4" s="1"/>
  <c r="Q94" i="4" s="1"/>
  <c r="I95" i="4"/>
  <c r="N95" i="4" s="1"/>
  <c r="Q95" i="4" s="1"/>
  <c r="I98" i="4"/>
  <c r="N98" i="4" s="1"/>
  <c r="Q98" i="4" s="1"/>
  <c r="I101" i="4"/>
  <c r="N101" i="4" s="1"/>
  <c r="Q101" i="4" s="1"/>
  <c r="I118" i="4"/>
  <c r="I127" i="4"/>
  <c r="L127" i="4" s="1"/>
  <c r="I73" i="4"/>
  <c r="L73" i="4" s="1"/>
  <c r="I74" i="4"/>
  <c r="N74" i="4" s="1"/>
  <c r="Q74" i="4" s="1"/>
  <c r="I78" i="4"/>
  <c r="N78" i="4" s="1"/>
  <c r="Q78" i="4" s="1"/>
  <c r="I82" i="4"/>
  <c r="I85" i="4"/>
  <c r="L85" i="4" s="1"/>
  <c r="I93" i="4"/>
  <c r="L93" i="4" s="1"/>
  <c r="I112" i="4"/>
  <c r="I114" i="4"/>
  <c r="N114" i="4" s="1"/>
  <c r="Q114" i="4" s="1"/>
  <c r="I121" i="4"/>
  <c r="N121" i="4" s="1"/>
  <c r="Q121" i="4" s="1"/>
  <c r="I122" i="4"/>
  <c r="N122" i="4" s="1"/>
  <c r="Q122" i="4" s="1"/>
  <c r="I84" i="4"/>
  <c r="L84" i="4" s="1"/>
  <c r="I87" i="4"/>
  <c r="I91" i="4"/>
  <c r="N91" i="4" s="1"/>
  <c r="Q91" i="4" s="1"/>
  <c r="I97" i="4"/>
  <c r="N97" i="4" s="1"/>
  <c r="Q97" i="4" s="1"/>
  <c r="I105" i="4"/>
  <c r="I116" i="4"/>
  <c r="I126" i="4"/>
  <c r="N126" i="4" s="1"/>
  <c r="Q126" i="4" s="1"/>
  <c r="N105" i="4"/>
  <c r="Q105" i="4"/>
  <c r="N84" i="4"/>
  <c r="Q84" i="4" s="1"/>
  <c r="N85" i="4"/>
  <c r="Q85" i="4" s="1"/>
  <c r="L101" i="4"/>
  <c r="M101" i="4" s="1"/>
  <c r="N88" i="4"/>
  <c r="Q88" i="4" s="1"/>
  <c r="N86" i="4"/>
  <c r="Q86" i="4" s="1"/>
  <c r="L72" i="4"/>
  <c r="N72" i="4"/>
  <c r="Q72" i="4" s="1"/>
  <c r="L117" i="4"/>
  <c r="M117" i="4" s="1"/>
  <c r="N103" i="4"/>
  <c r="Q103" i="4"/>
  <c r="L104" i="4"/>
  <c r="N104" i="4"/>
  <c r="Q104" i="4" s="1"/>
  <c r="N112" i="4"/>
  <c r="Q112" i="4" s="1"/>
  <c r="L95" i="4"/>
  <c r="N110" i="4"/>
  <c r="Q110" i="4"/>
  <c r="L100" i="4"/>
  <c r="M100" i="4" s="1"/>
  <c r="N100" i="4"/>
  <c r="Q100" i="4"/>
  <c r="L113" i="4"/>
  <c r="M113" i="4" s="1"/>
  <c r="L102" i="4"/>
  <c r="M102" i="4" s="1"/>
  <c r="N102" i="4"/>
  <c r="Q102" i="4" s="1"/>
  <c r="N116" i="4"/>
  <c r="Q116" i="4" s="1"/>
  <c r="N87" i="4"/>
  <c r="Q87" i="4" s="1"/>
  <c r="L87" i="4"/>
  <c r="M87" i="4" s="1"/>
  <c r="N93" i="4"/>
  <c r="Q93" i="4" s="1"/>
  <c r="N118" i="4"/>
  <c r="Q118" i="4"/>
  <c r="L94" i="4"/>
  <c r="L80" i="4"/>
  <c r="N80" i="4"/>
  <c r="Q80" i="4"/>
  <c r="N92" i="4"/>
  <c r="Q92" i="4"/>
  <c r="N120" i="4"/>
  <c r="Q120" i="4" s="1"/>
  <c r="N111" i="4"/>
  <c r="Q111" i="4"/>
  <c r="N99" i="4"/>
  <c r="Q99" i="4"/>
  <c r="L99" i="4"/>
  <c r="M99" i="4" s="1"/>
  <c r="N81" i="4"/>
  <c r="Q81" i="4"/>
  <c r="O120" i="4" l="1"/>
  <c r="P120" i="4" s="1"/>
  <c r="M107" i="4"/>
  <c r="O71" i="4"/>
  <c r="P71" i="4" s="1"/>
  <c r="N76" i="4"/>
  <c r="Q76" i="4" s="1"/>
  <c r="M127" i="4"/>
  <c r="O124" i="4"/>
  <c r="P124" i="4" s="1"/>
  <c r="O115" i="4"/>
  <c r="P115" i="4" s="1"/>
  <c r="L119" i="4"/>
  <c r="L120" i="4"/>
  <c r="L81" i="4"/>
  <c r="K78" i="4"/>
  <c r="O78" i="4" s="1"/>
  <c r="P78" i="4" s="1"/>
  <c r="K118" i="4"/>
  <c r="O118" i="4" s="1"/>
  <c r="P118" i="4" s="1"/>
  <c r="O126" i="4"/>
  <c r="P126" i="4" s="1"/>
  <c r="M108" i="4"/>
  <c r="O127" i="4"/>
  <c r="P127" i="4" s="1"/>
  <c r="O114" i="4"/>
  <c r="P114" i="4" s="1"/>
  <c r="L125" i="4"/>
  <c r="M125" i="4" s="1"/>
  <c r="L98" i="4"/>
  <c r="M98" i="4" s="1"/>
  <c r="O116" i="4"/>
  <c r="P116" i="4" s="1"/>
  <c r="O121" i="4"/>
  <c r="P121" i="4" s="1"/>
  <c r="L109" i="4"/>
  <c r="M109" i="4" s="1"/>
  <c r="L122" i="4"/>
  <c r="M122" i="4" s="1"/>
  <c r="N106" i="4"/>
  <c r="Q106" i="4" s="1"/>
  <c r="O91" i="4"/>
  <c r="P91" i="4" s="1"/>
  <c r="O119" i="4"/>
  <c r="P119" i="4" s="1"/>
  <c r="L97" i="4"/>
  <c r="N123" i="4"/>
  <c r="Q123" i="4" s="1"/>
  <c r="L116" i="4"/>
  <c r="L82" i="4"/>
  <c r="O107" i="4"/>
  <c r="P107" i="4" s="1"/>
  <c r="L112" i="4"/>
  <c r="M112" i="4" s="1"/>
  <c r="L86" i="4"/>
  <c r="L124" i="4"/>
  <c r="L114" i="4"/>
  <c r="L92" i="4"/>
  <c r="M76" i="4"/>
  <c r="M93" i="4"/>
  <c r="M85" i="4"/>
  <c r="M88" i="4"/>
  <c r="O89" i="4"/>
  <c r="P89" i="4" s="1"/>
  <c r="O81" i="4"/>
  <c r="P81" i="4" s="1"/>
  <c r="L91" i="4"/>
  <c r="O97" i="4"/>
  <c r="P97" i="4" s="1"/>
  <c r="M95" i="4"/>
  <c r="L115" i="4"/>
  <c r="M97" i="4"/>
  <c r="L126" i="4"/>
  <c r="M72" i="4"/>
  <c r="O76" i="4"/>
  <c r="P76" i="4" s="1"/>
  <c r="O74" i="4"/>
  <c r="P74" i="4" s="1"/>
  <c r="M80" i="4"/>
  <c r="L71" i="4"/>
  <c r="N73" i="4"/>
  <c r="Q73" i="4" s="1"/>
  <c r="M83" i="4"/>
  <c r="O92" i="4"/>
  <c r="P92" i="4" s="1"/>
  <c r="O94" i="4"/>
  <c r="P94" i="4" s="1"/>
  <c r="O80" i="4"/>
  <c r="P80" i="4" s="1"/>
  <c r="O82" i="4"/>
  <c r="P82" i="4" s="1"/>
  <c r="O72" i="4"/>
  <c r="P72" i="4" s="1"/>
  <c r="N127" i="4"/>
  <c r="Q127" i="4" s="1"/>
  <c r="L77" i="4"/>
  <c r="O75" i="4"/>
  <c r="P75" i="4" s="1"/>
  <c r="O96" i="4"/>
  <c r="P96" i="4" s="1"/>
  <c r="M94" i="4"/>
  <c r="M96" i="4"/>
  <c r="K108" i="4"/>
  <c r="O83" i="4"/>
  <c r="P83" i="4" s="1"/>
  <c r="M73" i="4"/>
  <c r="O87" i="4"/>
  <c r="P87" i="4" s="1"/>
  <c r="L89" i="4"/>
  <c r="M78" i="4"/>
  <c r="L90" i="4"/>
  <c r="L121" i="4"/>
  <c r="O79" i="4"/>
  <c r="P79" i="4" s="1"/>
  <c r="O77" i="4"/>
  <c r="P77" i="4" s="1"/>
  <c r="O88" i="4"/>
  <c r="P88" i="4" s="1"/>
  <c r="M84" i="4"/>
  <c r="O95" i="4"/>
  <c r="P95" i="4" s="1"/>
  <c r="O93" i="4"/>
  <c r="P93" i="4" s="1"/>
  <c r="O90" i="4"/>
  <c r="P90" i="4" s="1"/>
  <c r="O85" i="4"/>
  <c r="P85" i="4" s="1"/>
  <c r="O73" i="4"/>
  <c r="P73" i="4" s="1"/>
  <c r="O86" i="4"/>
  <c r="P86" i="4" s="1"/>
  <c r="N83" i="4"/>
  <c r="Q83" i="4" s="1"/>
  <c r="L74" i="4"/>
  <c r="L79" i="4"/>
  <c r="L75" i="4"/>
  <c r="N82" i="4"/>
  <c r="Q82" i="4" s="1"/>
  <c r="N96" i="4"/>
  <c r="Q96" i="4" s="1"/>
  <c r="J14" i="4"/>
  <c r="J13" i="4" s="1"/>
  <c r="K16" i="4" s="1"/>
  <c r="M92" i="4" l="1"/>
  <c r="M114" i="4"/>
  <c r="M121" i="4"/>
  <c r="M124" i="4"/>
  <c r="M126" i="4"/>
  <c r="M81" i="4"/>
  <c r="M120" i="4"/>
  <c r="M86" i="4"/>
  <c r="M115" i="4"/>
  <c r="M119" i="4"/>
  <c r="M71" i="4"/>
  <c r="M116" i="4"/>
  <c r="O108" i="4"/>
  <c r="P108" i="4" s="1"/>
  <c r="M82" i="4"/>
  <c r="M91" i="4"/>
  <c r="M79" i="4"/>
  <c r="M74" i="4"/>
  <c r="M89" i="4"/>
  <c r="M90" i="4"/>
  <c r="M75" i="4"/>
  <c r="M77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2" i="4" l="1"/>
  <c r="P62" i="4" s="1"/>
  <c r="O60" i="4"/>
  <c r="P60" i="4" s="1"/>
  <c r="O61" i="4"/>
  <c r="P61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1" i="4" l="1"/>
  <c r="M62" i="4"/>
  <c r="M70" i="4"/>
  <c r="M60" i="4"/>
  <c r="M63" i="4"/>
  <c r="M68" i="4"/>
  <c r="O68" i="4"/>
  <c r="P68" i="4" s="1"/>
  <c r="M64" i="4"/>
  <c r="O64" i="4"/>
  <c r="P64" i="4" s="1"/>
  <c r="M69" i="4"/>
  <c r="M58" i="4"/>
  <c r="O69" i="4"/>
  <c r="P69" i="4" s="1"/>
  <c r="M57" i="4"/>
  <c r="O65" i="4"/>
  <c r="P65" i="4" s="1"/>
  <c r="O66" i="4"/>
  <c r="P66" i="4" s="1"/>
  <c r="M65" i="4"/>
  <c r="M66" i="4"/>
  <c r="O67" i="4"/>
  <c r="P67" i="4" s="1"/>
  <c r="M67" i="4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K22" i="4"/>
  <c r="J39" i="4" s="1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K30" i="4" s="1"/>
  <c r="J43" i="4"/>
  <c r="K43" i="4" s="1"/>
  <c r="J31" i="4"/>
  <c r="K31" i="4" s="1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L45" i="4"/>
  <c r="K45" i="4"/>
  <c r="L47" i="4"/>
  <c r="K44" i="4"/>
  <c r="K52" i="4"/>
  <c r="O52" i="4" s="1"/>
  <c r="P52" i="4" s="1"/>
  <c r="L52" i="4"/>
  <c r="M52" i="4" s="1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L30" i="4"/>
  <c r="L43" i="4" l="1"/>
  <c r="O48" i="4"/>
  <c r="P48" i="4" s="1"/>
  <c r="M48" i="4"/>
  <c r="L31" i="4"/>
  <c r="O49" i="4"/>
  <c r="P49" i="4" s="1"/>
  <c r="M49" i="4"/>
  <c r="M47" i="4"/>
  <c r="O45" i="4"/>
  <c r="P45" i="4" s="1"/>
  <c r="M31" i="4"/>
  <c r="O47" i="4"/>
  <c r="P47" i="4" s="1"/>
  <c r="O31" i="4"/>
  <c r="P31" i="4" s="1"/>
  <c r="O33" i="4"/>
  <c r="P33" i="4" s="1"/>
  <c r="M35" i="4"/>
  <c r="O30" i="4"/>
  <c r="P30" i="4" s="1"/>
  <c r="O46" i="4"/>
  <c r="P46" i="4" s="1"/>
  <c r="M44" i="4"/>
  <c r="O43" i="4"/>
  <c r="P43" i="4" s="1"/>
  <c r="O39" i="4"/>
  <c r="P39" i="4" s="1"/>
  <c r="O41" i="4"/>
  <c r="P41" i="4" s="1"/>
  <c r="M45" i="4"/>
  <c r="O28" i="4"/>
  <c r="P28" i="4" s="1"/>
  <c r="M39" i="4"/>
  <c r="O44" i="4"/>
  <c r="P44" i="4" s="1"/>
  <c r="K35" i="4"/>
  <c r="K36" i="4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M43" i="4" l="1"/>
  <c r="O35" i="4"/>
  <c r="P35" i="4" s="1"/>
  <c r="O32" i="4"/>
  <c r="P32" i="4" s="1"/>
  <c r="O38" i="4"/>
  <c r="P38" i="4" s="1"/>
  <c r="O40" i="4"/>
  <c r="P40" i="4" s="1"/>
  <c r="M33" i="4"/>
  <c r="O42" i="4"/>
  <c r="P42" i="4" s="1"/>
  <c r="M41" i="4"/>
  <c r="O37" i="4"/>
  <c r="P37" i="4" s="1"/>
  <c r="M46" i="4"/>
  <c r="O29" i="4"/>
  <c r="P29" i="4" s="1"/>
  <c r="O34" i="4"/>
  <c r="P34" i="4" s="1"/>
  <c r="O36" i="4"/>
  <c r="P36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<sst xmlns="http://schemas.openxmlformats.org/spreadsheetml/2006/main" count="340" uniqueCount="314">
  <si>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</si>
  <si>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</si>
  <si>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</si>
  <si>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</si>
  <si>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</si>
  <si>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</si>
  <si>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</si>
  <si>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</si>
  <si>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</si>
  <si>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</si>
  <si>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</si>
  <si>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</si>
  <si>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</si>
  <si>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</si>
  <si>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</si>
  <si>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</si>
  <si>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</si>
  <si>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</si>
  <si>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</si>
  <si>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</si>
  <si>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</si>
  <si>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</si>
  <si>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</si>
  <si>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</si>
  <si>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</si>
  <si>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</si>
  <si>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</si>
  <si>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</si>
  <si>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</si>
  <si>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</si>
  <si>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</si>
  <si>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</si>
  <si>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</si>
  <si>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</si>
  <si>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</si>
  <si>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</si>
  <si>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</si>
  <si>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</si>
  <si>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</si>
  <si>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</si>
  <si>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</si>
  <si>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</si>
  <si>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</si>
  <si>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</si>
  <si>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</si>
  <si>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</si>
  <si>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</si>
  <si>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</si>
  <si>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</si>
  <si>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</si>
  <si>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</si>
  <si>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</si>
  <si>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</si>
  <si>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</si>
  <si>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</si>
  <si>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</si>
  <si>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</si>
  <si>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</si>
  <si>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</si>
  <si>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</si>
  <si>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</si>
  <si>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</si>
  <si>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</si>
  <si>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</si>
  <si>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</si>
  <si>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</si>
  <si>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</si>
  <si>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</si>
  <si>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</si>
  <si>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</si>
  <si>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</si>
  <si>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</si>
  <si>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</si>
  <si>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</si>
  <si>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</si>
  <si>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</si>
  <si>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</si>
  <si>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</si>
  <si>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</si>
  <si>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</si>
  <si>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</si>
  <si>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</si>
  <si>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</si>
  <si>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</si>
  <si>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</si>
  <si>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</si>
  <si>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</si>
  <si>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</si>
  <si>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</si>
  <si>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</si>
  <si>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</si>
  <si>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</si>
  <si>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</si>
  <si>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</si>
  <si>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</si>
  <si>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</si>
  <si>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</si>
  <si>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</si>
  <si>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</si>
  <si>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</si>
  <si>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</si>
  <si>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</si>
  <si>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</si>
  <si>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</si>
  <si>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</si>
  <si>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</si>
  <si>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</si>
  <si>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</si>
  <si>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</si>
  <si>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</si>
  <si>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</si>
  <si>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Default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</si>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</sst>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0" fillId="0" borderId="0" xfId="0" applyAlignment="1">
      <alignment horizontal="center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L17" sqref="L17:N17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4.3499999999999997E-3</v>
      </c>
      <c r="M17" s="80">
        <v>5.0000000000000001E-4</v>
      </c>
      <c r="N17" s="80">
        <v>1.4999999999999999E-4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34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38"/>
      <c r="H1" s="13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38"/>
      <c r="H2" s="138"/>
      <c r="I2" s="151" t="s">
        <v>19</v>
      </c>
      <c r="J2" s="152"/>
      <c r="K2" s="152"/>
      <c r="L2" s="152"/>
      <c r="M2" s="152"/>
      <c r="N2" s="152"/>
      <c r="O2" s="152"/>
      <c r="P2" s="152"/>
      <c r="Q2" s="153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38"/>
      <c r="H3" s="138"/>
      <c r="I3" s="154"/>
      <c r="J3" s="155"/>
      <c r="K3" s="155"/>
      <c r="L3" s="155"/>
      <c r="M3" s="155"/>
      <c r="N3" s="155"/>
      <c r="O3" s="155"/>
      <c r="P3" s="155"/>
      <c r="Q3" s="156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38"/>
      <c r="H4" s="138"/>
      <c r="I4" s="157"/>
      <c r="J4" s="158"/>
      <c r="K4" s="158"/>
      <c r="L4" s="158"/>
      <c r="M4" s="158"/>
      <c r="N4" s="158"/>
      <c r="O4" s="158"/>
      <c r="P4" s="158"/>
      <c r="Q4" s="159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38"/>
      <c r="H5" s="138"/>
      <c r="I5" s="160" t="s">
        <v>38</v>
      </c>
      <c r="J5" s="161"/>
      <c r="K5" s="161"/>
      <c r="L5" s="161"/>
      <c r="M5" s="161"/>
      <c r="N5" s="161"/>
      <c r="O5" s="161"/>
      <c r="P5" s="161"/>
      <c r="Q5" s="162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38"/>
      <c r="H6" s="138"/>
      <c r="I6" s="49" t="s">
        <v>49</v>
      </c>
      <c r="J6" s="49" t="s">
        <v>50</v>
      </c>
      <c r="K6" s="49" t="s">
        <v>46</v>
      </c>
      <c r="L6" s="130" t="s">
        <v>39</v>
      </c>
      <c r="M6" s="131"/>
      <c r="N6" s="131"/>
      <c r="O6" s="131"/>
      <c r="P6" s="131"/>
      <c r="Q6" s="132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38"/>
      <c r="H7" s="138"/>
      <c r="I7" s="50" t="s">
        <v>20</v>
      </c>
      <c r="J7" s="37">
        <f>SUM(J13,J19)</f>
        <v>40.027999999999999</v>
      </c>
      <c r="K7" s="38">
        <f>J7/J7</f>
        <v>1</v>
      </c>
      <c r="L7" s="113" t="s">
        <v>68</v>
      </c>
      <c r="M7" s="114"/>
      <c r="N7" s="114"/>
      <c r="O7" s="114"/>
      <c r="P7" s="114"/>
      <c r="Q7" s="115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76" t="s">
        <v>3</v>
      </c>
      <c r="C8" s="177"/>
      <c r="D8" s="177"/>
      <c r="E8" s="177"/>
      <c r="F8" s="178"/>
      <c r="G8" s="138"/>
      <c r="H8" s="138"/>
      <c r="I8" s="51" t="s">
        <v>6</v>
      </c>
      <c r="J8" s="37">
        <f>SUM(J14,J20)</f>
        <v>40.003640000000004</v>
      </c>
      <c r="K8" s="39">
        <f>J8/J7</f>
        <v>0.99939142600179887</v>
      </c>
      <c r="L8" s="113" t="s">
        <v>69</v>
      </c>
      <c r="M8" s="114"/>
      <c r="N8" s="114"/>
      <c r="O8" s="114"/>
      <c r="P8" s="114"/>
      <c r="Q8" s="115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79"/>
      <c r="C9" s="180"/>
      <c r="D9" s="180"/>
      <c r="E9" s="180"/>
      <c r="F9" s="181"/>
      <c r="G9" s="138"/>
      <c r="H9" s="138"/>
      <c r="I9" s="50" t="s">
        <v>8</v>
      </c>
      <c r="J9" s="40">
        <f t="shared" ref="J9:J10" si="0">SUM(J15,J21)</f>
        <v>2.1999999999999999E-2</v>
      </c>
      <c r="K9" s="39">
        <f>J9/J7</f>
        <v>5.496152693114819E-4</v>
      </c>
      <c r="L9" s="113" t="s">
        <v>69</v>
      </c>
      <c r="M9" s="114"/>
      <c r="N9" s="114"/>
      <c r="O9" s="114"/>
      <c r="P9" s="114"/>
      <c r="Q9" s="115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82"/>
      <c r="C10" s="183"/>
      <c r="D10" s="183"/>
      <c r="E10" s="183"/>
      <c r="F10" s="184"/>
      <c r="G10" s="138"/>
      <c r="H10" s="138"/>
      <c r="I10" s="51" t="s">
        <v>9</v>
      </c>
      <c r="J10" s="40">
        <f t="shared" si="0"/>
        <v>2.3600000000000001E-3</v>
      </c>
      <c r="K10" s="39">
        <f>J10/J7</f>
        <v>5.8958728889777162E-5</v>
      </c>
      <c r="L10" s="113" t="s">
        <v>69</v>
      </c>
      <c r="M10" s="114"/>
      <c r="N10" s="114"/>
      <c r="O10" s="114"/>
      <c r="P10" s="114"/>
      <c r="Q10" s="115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1" t="s">
        <v>36</v>
      </c>
      <c r="C11" s="142"/>
      <c r="D11" s="142"/>
      <c r="E11" s="142"/>
      <c r="F11" s="143"/>
      <c r="G11" s="138"/>
      <c r="H11" s="138"/>
      <c r="I11" s="129"/>
      <c r="J11" s="129"/>
      <c r="K11" s="129"/>
      <c r="L11" s="129"/>
      <c r="M11" s="129"/>
      <c r="N11" s="129"/>
      <c r="O11" s="129"/>
      <c r="P11" s="129"/>
      <c r="Q11" s="129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44"/>
      <c r="C12" s="145"/>
      <c r="D12" s="145"/>
      <c r="E12" s="145"/>
      <c r="F12" s="146"/>
      <c r="G12" s="138"/>
      <c r="H12" s="138"/>
      <c r="I12" s="49" t="s">
        <v>51</v>
      </c>
      <c r="J12" s="49" t="s">
        <v>50</v>
      </c>
      <c r="K12" s="49" t="s">
        <v>46</v>
      </c>
      <c r="L12" s="130" t="s">
        <v>39</v>
      </c>
      <c r="M12" s="131"/>
      <c r="N12" s="131"/>
      <c r="O12" s="131"/>
      <c r="P12" s="131"/>
      <c r="Q12" s="132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3" t="s">
        <v>4</v>
      </c>
      <c r="C13" s="134"/>
      <c r="D13" s="166" t="s">
        <v>39</v>
      </c>
      <c r="E13" s="166"/>
      <c r="F13" s="166"/>
      <c r="G13" s="138"/>
      <c r="H13" s="138"/>
      <c r="I13" s="50" t="s">
        <v>5</v>
      </c>
      <c r="J13" s="41">
        <f>SUM(J14:J16)</f>
        <v>40</v>
      </c>
      <c r="K13" s="38">
        <f>J13/J13</f>
        <v>1</v>
      </c>
      <c r="L13" s="113" t="s">
        <v>71</v>
      </c>
      <c r="M13" s="114"/>
      <c r="N13" s="114"/>
      <c r="O13" s="114"/>
      <c r="P13" s="114"/>
      <c r="Q13" s="115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67" t="s">
        <v>17</v>
      </c>
      <c r="E14" s="167"/>
      <c r="F14" s="167"/>
      <c r="G14" s="138"/>
      <c r="H14" s="13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35" t="s">
        <v>70</v>
      </c>
      <c r="M14" s="136"/>
      <c r="N14" s="136"/>
      <c r="O14" s="136"/>
      <c r="P14" s="136"/>
      <c r="Q14" s="137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68" t="s">
        <v>60</v>
      </c>
      <c r="E15" s="168"/>
      <c r="F15" s="168"/>
      <c r="G15" s="138"/>
      <c r="H15" s="13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13" t="s">
        <v>69</v>
      </c>
      <c r="M15" s="114"/>
      <c r="N15" s="114"/>
      <c r="O15" s="114"/>
      <c r="P15" s="114"/>
      <c r="Q15" s="115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69" t="s">
        <v>40</v>
      </c>
      <c r="E16" s="170"/>
      <c r="F16" s="171"/>
      <c r="G16" s="138"/>
      <c r="H16" s="13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13" t="s">
        <v>69</v>
      </c>
      <c r="M16" s="114"/>
      <c r="N16" s="114"/>
      <c r="O16" s="114"/>
      <c r="P16" s="114"/>
      <c r="Q16" s="115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72" t="s">
        <v>61</v>
      </c>
      <c r="E17" s="173"/>
      <c r="F17" s="174"/>
      <c r="G17" s="138"/>
      <c r="H17" s="138"/>
      <c r="I17" s="135"/>
      <c r="J17" s="136"/>
      <c r="K17" s="136"/>
      <c r="L17" s="136"/>
      <c r="M17" s="136"/>
      <c r="N17" s="136"/>
      <c r="O17" s="136"/>
      <c r="P17" s="136"/>
      <c r="Q17" s="137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69" t="s">
        <v>41</v>
      </c>
      <c r="E18" s="170"/>
      <c r="F18" s="171"/>
      <c r="G18" s="138"/>
      <c r="H18" s="138"/>
      <c r="I18" s="49" t="s">
        <v>29</v>
      </c>
      <c r="J18" s="49" t="s">
        <v>50</v>
      </c>
      <c r="K18" s="49" t="s">
        <v>46</v>
      </c>
      <c r="L18" s="130" t="s">
        <v>39</v>
      </c>
      <c r="M18" s="131"/>
      <c r="N18" s="131"/>
      <c r="O18" s="131"/>
      <c r="P18" s="131"/>
      <c r="Q18" s="132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68"/>
      <c r="C19" s="168"/>
      <c r="D19" s="168"/>
      <c r="E19" s="168"/>
      <c r="F19" s="168"/>
      <c r="G19" s="138"/>
      <c r="H19" s="138"/>
      <c r="I19" s="50" t="s">
        <v>5</v>
      </c>
      <c r="J19" s="41">
        <f>SUM(J20:J22)</f>
        <v>2.7999999999999997E-2</v>
      </c>
      <c r="K19" s="38">
        <f>J19/J19</f>
        <v>1</v>
      </c>
      <c r="L19" s="113" t="s">
        <v>55</v>
      </c>
      <c r="M19" s="114"/>
      <c r="N19" s="114"/>
      <c r="O19" s="114"/>
      <c r="P19" s="114"/>
      <c r="Q19" s="115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3" t="s">
        <v>7</v>
      </c>
      <c r="C20" s="134"/>
      <c r="D20" s="166" t="s">
        <v>39</v>
      </c>
      <c r="E20" s="166"/>
      <c r="F20" s="166"/>
      <c r="G20" s="138"/>
      <c r="H20" s="13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2.4359999999999996E-2</v>
      </c>
      <c r="K20" s="39">
        <f>J20/J19</f>
        <v>0.87</v>
      </c>
      <c r="L20" s="113" t="s">
        <v>69</v>
      </c>
      <c r="M20" s="114"/>
      <c r="N20" s="114"/>
      <c r="O20" s="114"/>
      <c r="P20" s="114"/>
      <c r="Q20" s="115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72" t="s">
        <v>61</v>
      </c>
      <c r="E21" s="173"/>
      <c r="F21" s="174"/>
      <c r="G21" s="138"/>
      <c r="H21" s="13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2.8E-3</v>
      </c>
      <c r="K21" s="39">
        <f>J21/J19</f>
        <v>0.1</v>
      </c>
      <c r="L21" s="113" t="s">
        <v>69</v>
      </c>
      <c r="M21" s="114"/>
      <c r="N21" s="114"/>
      <c r="O21" s="114"/>
      <c r="P21" s="114"/>
      <c r="Q21" s="115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75" t="s">
        <v>67</v>
      </c>
      <c r="E22" s="175"/>
      <c r="F22" s="175"/>
      <c r="G22" s="138"/>
      <c r="H22" s="13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8.3999999999999993E-4</v>
      </c>
      <c r="K22" s="39">
        <f>J22/J19</f>
        <v>0.03</v>
      </c>
      <c r="L22" s="113" t="s">
        <v>69</v>
      </c>
      <c r="M22" s="114"/>
      <c r="N22" s="114"/>
      <c r="O22" s="114"/>
      <c r="P22" s="114"/>
      <c r="Q22" s="115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63"/>
      <c r="C23" s="164"/>
      <c r="D23" s="164"/>
      <c r="E23" s="164"/>
      <c r="F23" s="165"/>
      <c r="G23" s="138"/>
      <c r="H23" s="138"/>
      <c r="I23" s="124"/>
      <c r="J23" s="125"/>
      <c r="K23" s="125"/>
      <c r="L23" s="125"/>
      <c r="M23" s="125"/>
      <c r="N23" s="125"/>
      <c r="O23" s="125"/>
      <c r="P23" s="125"/>
      <c r="Q23" s="126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1" t="s">
        <v>37</v>
      </c>
      <c r="C24" s="142"/>
      <c r="D24" s="142"/>
      <c r="E24" s="142"/>
      <c r="F24" s="143"/>
      <c r="G24" s="138"/>
      <c r="H24" s="138"/>
      <c r="I24" s="118" t="s">
        <v>42</v>
      </c>
      <c r="J24" s="119"/>
      <c r="K24" s="119"/>
      <c r="L24" s="119"/>
      <c r="M24" s="119"/>
      <c r="N24" s="119"/>
      <c r="O24" s="119"/>
      <c r="P24" s="119"/>
      <c r="Q24" s="120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44"/>
      <c r="C25" s="145"/>
      <c r="D25" s="145"/>
      <c r="E25" s="145"/>
      <c r="F25" s="146"/>
      <c r="G25" s="138"/>
      <c r="H25" s="138"/>
      <c r="I25" s="121"/>
      <c r="J25" s="122"/>
      <c r="K25" s="122"/>
      <c r="L25" s="122"/>
      <c r="M25" s="122"/>
      <c r="N25" s="122"/>
      <c r="O25" s="122"/>
      <c r="P25" s="122"/>
      <c r="Q25" s="123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39" t="s">
        <v>11</v>
      </c>
      <c r="C26" s="139" t="s">
        <v>12</v>
      </c>
      <c r="D26" s="147" t="s">
        <v>47</v>
      </c>
      <c r="E26" s="147" t="s">
        <v>48</v>
      </c>
      <c r="F26" s="149" t="s">
        <v>66</v>
      </c>
      <c r="G26" s="138"/>
      <c r="H26" s="138"/>
      <c r="I26" s="127" t="s">
        <v>53</v>
      </c>
      <c r="J26" s="127" t="s">
        <v>54</v>
      </c>
      <c r="K26" s="116" t="s">
        <v>73</v>
      </c>
      <c r="L26" s="116" t="s">
        <v>52</v>
      </c>
      <c r="M26" s="116" t="s">
        <v>59</v>
      </c>
      <c r="N26" s="116" t="s">
        <v>62</v>
      </c>
      <c r="O26" s="116" t="s">
        <v>72</v>
      </c>
      <c r="P26" s="116" t="s">
        <v>64</v>
      </c>
      <c r="Q26" s="116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40"/>
      <c r="C27" s="140"/>
      <c r="D27" s="148"/>
      <c r="E27" s="148"/>
      <c r="F27" s="150"/>
      <c r="G27" s="138"/>
      <c r="H27" s="138"/>
      <c r="I27" s="128"/>
      <c r="J27" s="128"/>
      <c r="K27" s="117"/>
      <c r="L27" s="117"/>
      <c r="M27" s="117"/>
      <c r="N27" s="117"/>
      <c r="O27" s="117"/>
      <c r="P27" s="117"/>
      <c r="Q27" s="117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38"/>
      <c r="H28" s="13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9.6478749911243222E-3</v>
      </c>
      <c r="K28" s="93">
        <f t="shared" ref="K28:K47" si="3">IF(D28=0,"",1/(1+10^D28*$J$15/$J$14+10^E28*$J$16/$J$14+10^J28*$J$19/$J$14))</f>
        <v>0.9986815985551738</v>
      </c>
      <c r="L28" s="93">
        <f t="shared" ref="L28:L47" si="4">IF(D28=0,"",1/(1+10^I28/10^J28*$J$13/$J$19))</f>
        <v>7.1515138752381612E-4</v>
      </c>
      <c r="M28" s="93">
        <f t="shared" ref="M28:M47" si="5">IF(D28=0,"",1-L28)</f>
        <v>0.99928484861247613</v>
      </c>
      <c r="N28" s="93">
        <f t="shared" ref="N28:N47" si="6">IF(D28=0,"",1/(1/10^E28*$J$20/$J$22+10^D28/10^E28*$J$21/$J$22+10^I28/10^E28*$J$13/$J$22+1))</f>
        <v>2.5356386636682457E-5</v>
      </c>
      <c r="O28" s="40">
        <f t="shared" ref="O28:O47" si="7">IF(D28=0,"",F28*K28*$J$7/$J$14)</f>
        <v>9.9989862316095969E-7</v>
      </c>
      <c r="P28" s="40">
        <f t="shared" ref="P28:P47" si="8">IF(D28=0,"",O28*10^J28)</f>
        <v>1.0223599907072611E-6</v>
      </c>
      <c r="Q28" s="40">
        <f t="shared" ref="Q28:Q47" si="9">IF(D28=0,"",F28*N28*$J$7/$J$22)</f>
        <v>1.2082921955870541E-6</v>
      </c>
      <c r="R28" s="9">
        <f>F28*$C$14</f>
        <v>3.9999999999999996E-5</v>
      </c>
      <c r="S28" s="9">
        <f>$R28*L28</f>
        <v>2.8606055500952642E-8</v>
      </c>
      <c r="T28" s="9">
        <f t="shared" ref="T28:T91" si="10">R28*K28</f>
        <v>3.9947263942206946E-5</v>
      </c>
      <c r="U28" s="9">
        <f t="shared" ref="U28:U91" si="11">$R28*M28</f>
        <v>3.9971393944499039E-5</v>
      </c>
      <c r="V28" s="100">
        <f>K28/M28</f>
        <v>0.99939631821883423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38"/>
      <c r="H29" s="138"/>
      <c r="I29" s="92">
        <f t="shared" si="1"/>
        <v>4.6078470391874224E-2</v>
      </c>
      <c r="J29" s="92">
        <f t="shared" si="2"/>
        <v>1.514455589262484</v>
      </c>
      <c r="K29" s="93">
        <f t="shared" si="3"/>
        <v>0.88074229541493654</v>
      </c>
      <c r="L29" s="93">
        <f t="shared" si="4"/>
        <v>2.0166359494057349E-2</v>
      </c>
      <c r="M29" s="93">
        <f t="shared" si="5"/>
        <v>0.97983364050594268</v>
      </c>
      <c r="N29" s="93">
        <f t="shared" si="6"/>
        <v>7.0354708876834201E-3</v>
      </c>
      <c r="O29" s="40">
        <f t="shared" si="7"/>
        <v>8.8181559550019593E-7</v>
      </c>
      <c r="P29" s="40">
        <f t="shared" si="8"/>
        <v>2.8829251351004552E-5</v>
      </c>
      <c r="Q29" s="40">
        <f t="shared" si="9"/>
        <v>3.3525693891927618E-4</v>
      </c>
      <c r="R29" s="9">
        <f t="shared" ref="R29:R92" si="12">F29*$C$14</f>
        <v>3.9999999999999996E-5</v>
      </c>
      <c r="S29" s="9">
        <f t="shared" ref="S29:S92" si="13">$R29*L29</f>
        <v>8.0665437976229391E-7</v>
      </c>
      <c r="T29" s="9">
        <f t="shared" si="10"/>
        <v>3.5229691816597455E-5</v>
      </c>
      <c r="U29" s="9">
        <f t="shared" si="11"/>
        <v>3.9193345620237707E-5</v>
      </c>
      <c r="V29" s="100">
        <f t="shared" ref="V29:V92" si="14">K29/M29</f>
        <v>0.89886921514570595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38"/>
      <c r="H30" s="138"/>
      <c r="I30" s="92">
        <f t="shared" si="1"/>
        <v>1.116379396238508</v>
      </c>
      <c r="J30" s="92">
        <f t="shared" si="2"/>
        <v>3.4024078837943859</v>
      </c>
      <c r="K30" s="93">
        <f t="shared" si="3"/>
        <v>6.7344998970793393E-2</v>
      </c>
      <c r="L30" s="93">
        <f t="shared" si="4"/>
        <v>0.11913415732293256</v>
      </c>
      <c r="M30" s="93">
        <f t="shared" si="5"/>
        <v>0.88086584267706747</v>
      </c>
      <c r="N30" s="93">
        <f t="shared" si="6"/>
        <v>6.1766027175269708E-4</v>
      </c>
      <c r="O30" s="40">
        <f t="shared" si="7"/>
        <v>6.7427067691136934E-8</v>
      </c>
      <c r="P30" s="40">
        <f t="shared" si="8"/>
        <v>1.7031078747579807E-4</v>
      </c>
      <c r="Q30" s="40">
        <f t="shared" si="9"/>
        <v>2.9432982568710665E-5</v>
      </c>
      <c r="R30" s="9">
        <f t="shared" si="12"/>
        <v>3.9999999999999996E-5</v>
      </c>
      <c r="S30" s="9">
        <f t="shared" si="13"/>
        <v>4.7653662929173022E-6</v>
      </c>
      <c r="T30" s="9">
        <f t="shared" si="10"/>
        <v>2.6937999588317355E-6</v>
      </c>
      <c r="U30" s="9">
        <f t="shared" si="11"/>
        <v>3.5234633707082694E-5</v>
      </c>
      <c r="V30" s="100">
        <f t="shared" si="14"/>
        <v>7.6453184705315688E-2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38"/>
      <c r="H31" s="138"/>
      <c r="I31" s="92">
        <f t="shared" si="1"/>
        <v>-1.9978935919434454E-4</v>
      </c>
      <c r="J31" s="92">
        <f t="shared" si="2"/>
        <v>-5.4306074131011448E-2</v>
      </c>
      <c r="K31" s="93">
        <f t="shared" si="3"/>
        <v>0.99932431239020025</v>
      </c>
      <c r="L31" s="93">
        <f t="shared" si="4"/>
        <v>6.1762297378766028E-4</v>
      </c>
      <c r="M31" s="93">
        <f t="shared" si="5"/>
        <v>0.99938237702621235</v>
      </c>
      <c r="N31" s="93">
        <f t="shared" si="6"/>
        <v>3.41383101035849E-7</v>
      </c>
      <c r="O31" s="40">
        <f t="shared" si="7"/>
        <v>1.0005421202271508E-6</v>
      </c>
      <c r="P31" s="40">
        <f t="shared" si="8"/>
        <v>8.8293615695615961E-7</v>
      </c>
      <c r="Q31" s="40">
        <f t="shared" si="9"/>
        <v>1.6267717581265434E-8</v>
      </c>
      <c r="R31" s="9">
        <f t="shared" si="12"/>
        <v>3.9999999999999996E-5</v>
      </c>
      <c r="S31" s="9">
        <f t="shared" si="13"/>
        <v>2.470491895150641E-8</v>
      </c>
      <c r="T31" s="9">
        <f t="shared" si="10"/>
        <v>3.9972972495608005E-5</v>
      </c>
      <c r="U31" s="9">
        <f t="shared" si="11"/>
        <v>3.9975295081048493E-5</v>
      </c>
      <c r="V31" s="100">
        <f t="shared" si="14"/>
        <v>0.99994189947977186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38"/>
      <c r="H32" s="138"/>
      <c r="I32" s="92">
        <f t="shared" si="1"/>
        <v>5.4311668398331027E-4</v>
      </c>
      <c r="J32" s="92">
        <f t="shared" si="2"/>
        <v>0.1081643537301431</v>
      </c>
      <c r="K32" s="93">
        <f t="shared" si="3"/>
        <v>0.99733839481441955</v>
      </c>
      <c r="L32" s="93">
        <f t="shared" si="4"/>
        <v>8.9604527711248231E-4</v>
      </c>
      <c r="M32" s="93">
        <f t="shared" si="5"/>
        <v>0.99910395472288749</v>
      </c>
      <c r="N32" s="93">
        <f t="shared" si="6"/>
        <v>4.1941932582388331E-5</v>
      </c>
      <c r="O32" s="40">
        <f t="shared" si="7"/>
        <v>9.9855378255015056E-7</v>
      </c>
      <c r="P32" s="40">
        <f t="shared" si="8"/>
        <v>1.2809607268663732E-6</v>
      </c>
      <c r="Q32" s="40">
        <f t="shared" si="9"/>
        <v>1.9986329492950476E-6</v>
      </c>
      <c r="R32" s="9">
        <f t="shared" si="12"/>
        <v>3.9999999999999996E-5</v>
      </c>
      <c r="S32" s="9">
        <f t="shared" si="13"/>
        <v>3.5841811084499292E-8</v>
      </c>
      <c r="T32" s="9">
        <f t="shared" si="10"/>
        <v>3.9893535792576782E-5</v>
      </c>
      <c r="U32" s="9">
        <f t="shared" si="11"/>
        <v>3.9964158188915497E-5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38"/>
      <c r="H33" s="138"/>
      <c r="I33" s="92">
        <f t="shared" si="1"/>
        <v>1.0070969156464394E-2</v>
      </c>
      <c r="J33" s="92">
        <f t="shared" si="2"/>
        <v>0.87367564161458711</v>
      </c>
      <c r="K33" s="93">
        <f t="shared" si="3"/>
        <v>0.97160329942893631</v>
      </c>
      <c r="L33" s="93">
        <f t="shared" si="4"/>
        <v>5.0873039417357671E-3</v>
      </c>
      <c r="M33" s="93">
        <f t="shared" si="5"/>
        <v>0.99491269605826427</v>
      </c>
      <c r="N33" s="93">
        <f t="shared" si="6"/>
        <v>1.4889109057383556E-3</v>
      </c>
      <c r="O33" s="40">
        <f t="shared" si="7"/>
        <v>9.7278732557318349E-7</v>
      </c>
      <c r="P33" s="40">
        <f t="shared" si="8"/>
        <v>7.2726643635642614E-6</v>
      </c>
      <c r="Q33" s="40">
        <f t="shared" si="9"/>
        <v>7.0950149684398682E-5</v>
      </c>
      <c r="R33" s="9">
        <f t="shared" si="12"/>
        <v>3.9999999999999996E-5</v>
      </c>
      <c r="S33" s="9">
        <f t="shared" si="13"/>
        <v>2.0349215766943067E-7</v>
      </c>
      <c r="T33" s="9">
        <f t="shared" si="10"/>
        <v>3.8864131977157446E-5</v>
      </c>
      <c r="U33" s="9">
        <f t="shared" si="11"/>
        <v>3.9796507842330569E-5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38"/>
      <c r="H34" s="138"/>
      <c r="I34" s="92">
        <f t="shared" si="1"/>
        <v>3.1711948665398576E-4</v>
      </c>
      <c r="J34" s="92">
        <f t="shared" si="2"/>
        <v>6.3421506945535652E-2</v>
      </c>
      <c r="K34" s="93">
        <f t="shared" si="3"/>
        <v>0.997944640673463</v>
      </c>
      <c r="L34" s="93">
        <f t="shared" si="4"/>
        <v>8.088183951820918E-4</v>
      </c>
      <c r="M34" s="93">
        <f t="shared" si="5"/>
        <v>0.9991911816048179</v>
      </c>
      <c r="N34" s="93">
        <f t="shared" si="6"/>
        <v>2.5767730984560692E-5</v>
      </c>
      <c r="O34" s="40">
        <f t="shared" si="7"/>
        <v>9.9916076719934347E-7</v>
      </c>
      <c r="P34" s="40">
        <f t="shared" si="8"/>
        <v>1.1562636686553129E-6</v>
      </c>
      <c r="Q34" s="40">
        <f t="shared" si="9"/>
        <v>1.2278937331547565E-6</v>
      </c>
      <c r="R34" s="9">
        <f t="shared" si="12"/>
        <v>3.9999999999999996E-5</v>
      </c>
      <c r="S34" s="9">
        <f t="shared" si="13"/>
        <v>3.2352735807283667E-8</v>
      </c>
      <c r="T34" s="9">
        <f t="shared" si="10"/>
        <v>3.9917785626938515E-5</v>
      </c>
      <c r="U34" s="9">
        <f t="shared" si="11"/>
        <v>3.9967647264192716E-5</v>
      </c>
      <c r="V34" s="100">
        <f t="shared" si="14"/>
        <v>0.9987524500272783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38"/>
      <c r="H35" s="138"/>
      <c r="I35" s="92">
        <f t="shared" si="1"/>
        <v>1.8367979099029661E-4</v>
      </c>
      <c r="J35" s="92">
        <f t="shared" si="2"/>
        <v>3.5152646939541399E-2</v>
      </c>
      <c r="K35" s="93">
        <f t="shared" si="3"/>
        <v>0.99830196377913194</v>
      </c>
      <c r="L35" s="93">
        <f t="shared" si="4"/>
        <v>7.5811944361402076E-4</v>
      </c>
      <c r="M35" s="93">
        <f t="shared" si="5"/>
        <v>0.99924188055638596</v>
      </c>
      <c r="N35" s="93">
        <f t="shared" si="6"/>
        <v>1.7344204219251009E-5</v>
      </c>
      <c r="O35" s="40">
        <f t="shared" si="7"/>
        <v>9.9951852575011574E-7</v>
      </c>
      <c r="P35" s="40">
        <f t="shared" si="8"/>
        <v>1.0837858960350724E-6</v>
      </c>
      <c r="Q35" s="40">
        <f t="shared" si="9"/>
        <v>8.2649262677164213E-7</v>
      </c>
      <c r="R35" s="9">
        <f t="shared" si="12"/>
        <v>3.9999999999999996E-5</v>
      </c>
      <c r="S35" s="9">
        <f t="shared" si="13"/>
        <v>3.0324777744560827E-8</v>
      </c>
      <c r="T35" s="9">
        <f t="shared" si="10"/>
        <v>3.9932078551165277E-5</v>
      </c>
      <c r="U35" s="9">
        <f t="shared" si="11"/>
        <v>3.9969675222255438E-5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38"/>
      <c r="H36" s="138"/>
      <c r="I36" s="92">
        <f t="shared" si="1"/>
        <v>0.45036614920415591</v>
      </c>
      <c r="J36" s="92">
        <f t="shared" si="2"/>
        <v>2.8252916173691829</v>
      </c>
      <c r="K36" s="93">
        <f t="shared" si="3"/>
        <v>0.30389413459764547</v>
      </c>
      <c r="L36" s="93">
        <f t="shared" si="4"/>
        <v>0.14234328954852551</v>
      </c>
      <c r="M36" s="93">
        <f t="shared" si="5"/>
        <v>0.85765671045147451</v>
      </c>
      <c r="N36" s="93">
        <f t="shared" si="6"/>
        <v>8.3412787641693756E-2</v>
      </c>
      <c r="O36" s="40">
        <f t="shared" si="7"/>
        <v>3.0426446948705804E-7</v>
      </c>
      <c r="P36" s="40">
        <f t="shared" si="8"/>
        <v>2.0348989978744209E-4</v>
      </c>
      <c r="Q36" s="40">
        <f t="shared" si="9"/>
        <v>3.9748179330020448E-3</v>
      </c>
      <c r="R36" s="9">
        <f t="shared" si="12"/>
        <v>3.9999999999999996E-5</v>
      </c>
      <c r="S36" s="9">
        <f t="shared" si="13"/>
        <v>5.69373158194102E-6</v>
      </c>
      <c r="T36" s="9">
        <f t="shared" si="10"/>
        <v>1.2155765383905817E-5</v>
      </c>
      <c r="U36" s="9">
        <f t="shared" si="11"/>
        <v>3.4306268418058979E-5</v>
      </c>
      <c r="V36" s="100">
        <f t="shared" si="14"/>
        <v>0.3543307373385724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38"/>
      <c r="H37" s="138"/>
      <c r="I37" s="92">
        <f t="shared" si="1"/>
        <v>2.2002191789801899</v>
      </c>
      <c r="J37" s="92">
        <f t="shared" si="2"/>
        <v>5.0090720863344043</v>
      </c>
      <c r="K37" s="93">
        <f t="shared" si="3"/>
        <v>4.3446869805413369E-3</v>
      </c>
      <c r="L37" s="93">
        <f t="shared" si="4"/>
        <v>0.31070886297893302</v>
      </c>
      <c r="M37" s="93">
        <f t="shared" si="5"/>
        <v>0.68929113702106704</v>
      </c>
      <c r="N37" s="93">
        <f t="shared" si="6"/>
        <v>0.28639452461301385</v>
      </c>
      <c r="O37" s="40">
        <f t="shared" si="7"/>
        <v>4.3499815518715846E-9</v>
      </c>
      <c r="P37" s="40">
        <f t="shared" si="8"/>
        <v>4.4418051311859744E-4</v>
      </c>
      <c r="Q37" s="40">
        <f t="shared" si="9"/>
        <v>1.3647380989535381E-2</v>
      </c>
      <c r="R37" s="9">
        <f t="shared" si="12"/>
        <v>3.9999999999999996E-5</v>
      </c>
      <c r="S37" s="9">
        <f t="shared" si="13"/>
        <v>1.242835451915732E-5</v>
      </c>
      <c r="T37" s="9">
        <f t="shared" si="10"/>
        <v>1.7378747922165347E-7</v>
      </c>
      <c r="U37" s="9">
        <f t="shared" si="11"/>
        <v>2.7571645480842679E-5</v>
      </c>
      <c r="V37" s="100">
        <f t="shared" si="14"/>
        <v>6.3031232337005206E-3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38"/>
      <c r="H38" s="138"/>
      <c r="I38" s="92">
        <f t="shared" si="1"/>
        <v>-1.5970395933982679E-4</v>
      </c>
      <c r="J38" s="92">
        <f t="shared" si="2"/>
        <v>-4.4457083371635821E-2</v>
      </c>
      <c r="K38" s="93">
        <f t="shared" si="3"/>
        <v>0.9992179817447161</v>
      </c>
      <c r="L38" s="93">
        <f t="shared" si="4"/>
        <v>6.3172231816984597E-4</v>
      </c>
      <c r="M38" s="93">
        <f t="shared" si="5"/>
        <v>0.99936827768183012</v>
      </c>
      <c r="N38" s="93">
        <f t="shared" si="6"/>
        <v>1.3109856757416867E-6</v>
      </c>
      <c r="O38" s="40">
        <f t="shared" si="7"/>
        <v>1.0004356600038192E-6</v>
      </c>
      <c r="P38" s="40">
        <f t="shared" si="8"/>
        <v>9.0309217684652121E-7</v>
      </c>
      <c r="Q38" s="40">
        <f t="shared" si="9"/>
        <v>6.2471588843557418E-8</v>
      </c>
      <c r="R38" s="9">
        <f t="shared" si="12"/>
        <v>3.9999999999999996E-5</v>
      </c>
      <c r="S38" s="9">
        <f t="shared" si="13"/>
        <v>2.5268892726793836E-8</v>
      </c>
      <c r="T38" s="9">
        <f t="shared" si="10"/>
        <v>3.9968719269788641E-5</v>
      </c>
      <c r="U38" s="9">
        <f t="shared" si="11"/>
        <v>3.9974731107273199E-5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38"/>
      <c r="H39" s="138"/>
      <c r="I39" s="92">
        <f t="shared" si="1"/>
        <v>4.7752637245013392E-2</v>
      </c>
      <c r="J39" s="92">
        <f t="shared" si="2"/>
        <v>1.5025773317670659</v>
      </c>
      <c r="K39" s="93">
        <f t="shared" si="3"/>
        <v>0.87789758040299715</v>
      </c>
      <c r="L39" s="93">
        <f t="shared" si="4"/>
        <v>1.9558891912158323E-2</v>
      </c>
      <c r="M39" s="93">
        <f t="shared" si="5"/>
        <v>0.98044110808784168</v>
      </c>
      <c r="N39" s="93">
        <f t="shared" si="6"/>
        <v>5.5286636533071901E-3</v>
      </c>
      <c r="O39" s="40">
        <f t="shared" si="7"/>
        <v>8.7896741382964296E-7</v>
      </c>
      <c r="P39" s="40">
        <f t="shared" si="8"/>
        <v>2.7960833052138343E-5</v>
      </c>
      <c r="Q39" s="40">
        <f t="shared" si="9"/>
        <v>2.6345398656497644E-4</v>
      </c>
      <c r="R39" s="9">
        <f t="shared" si="12"/>
        <v>3.9999999999999996E-5</v>
      </c>
      <c r="S39" s="9">
        <f t="shared" si="13"/>
        <v>7.8235567648633282E-7</v>
      </c>
      <c r="T39" s="9">
        <f t="shared" si="10"/>
        <v>3.5115903216119882E-5</v>
      </c>
      <c r="U39" s="9">
        <f t="shared" si="11"/>
        <v>3.9217644323513666E-5</v>
      </c>
      <c r="V39" s="100">
        <f t="shared" si="14"/>
        <v>0.89541082392512528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38"/>
      <c r="H40" s="138"/>
      <c r="I40" s="92">
        <f t="shared" si="1"/>
        <v>5.4923561227077443E-2</v>
      </c>
      <c r="J40" s="92">
        <f t="shared" si="2"/>
        <v>1.6557511053520559</v>
      </c>
      <c r="K40" s="93">
        <f t="shared" si="3"/>
        <v>0.85682439621966344</v>
      </c>
      <c r="L40" s="93">
        <f t="shared" si="4"/>
        <v>2.716226561500816E-2</v>
      </c>
      <c r="M40" s="93">
        <f t="shared" si="5"/>
        <v>0.97283773438499188</v>
      </c>
      <c r="N40" s="93">
        <f t="shared" si="6"/>
        <v>1.3206671057628634E-2</v>
      </c>
      <c r="O40" s="40">
        <f t="shared" si="7"/>
        <v>8.5786854920550557E-7</v>
      </c>
      <c r="P40" s="40">
        <f t="shared" si="8"/>
        <v>3.8830398858483818E-5</v>
      </c>
      <c r="Q40" s="40">
        <f t="shared" si="9"/>
        <v>6.2932932035090355E-4</v>
      </c>
      <c r="R40" s="9">
        <f t="shared" si="12"/>
        <v>3.9999999999999996E-5</v>
      </c>
      <c r="S40" s="9">
        <f t="shared" si="13"/>
        <v>1.0864906246003263E-6</v>
      </c>
      <c r="T40" s="9">
        <f t="shared" si="10"/>
        <v>3.4272975848786536E-5</v>
      </c>
      <c r="U40" s="9">
        <f t="shared" si="11"/>
        <v>3.8913509375399673E-5</v>
      </c>
      <c r="V40" s="100">
        <f t="shared" si="14"/>
        <v>0.88074749358003712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38"/>
      <c r="H41" s="138"/>
      <c r="I41" s="92">
        <f t="shared" si="1"/>
        <v>6.6276677113325539E-3</v>
      </c>
      <c r="J41" s="92">
        <f t="shared" si="2"/>
        <v>0.68923958342305858</v>
      </c>
      <c r="K41" s="93">
        <f t="shared" si="3"/>
        <v>0.98103822333631452</v>
      </c>
      <c r="L41" s="93">
        <f t="shared" si="4"/>
        <v>3.3592983374604833E-3</v>
      </c>
      <c r="M41" s="93">
        <f t="shared" si="5"/>
        <v>0.99664070166253949</v>
      </c>
      <c r="N41" s="93">
        <f t="shared" si="6"/>
        <v>6.6046414578156253E-4</v>
      </c>
      <c r="O41" s="40">
        <f t="shared" si="7"/>
        <v>9.8223374717368581E-7</v>
      </c>
      <c r="P41" s="40">
        <f t="shared" si="8"/>
        <v>4.8023569232810071E-6</v>
      </c>
      <c r="Q41" s="40">
        <f t="shared" si="9"/>
        <v>3.147268908017189E-5</v>
      </c>
      <c r="R41" s="9">
        <f t="shared" si="12"/>
        <v>3.9999999999999996E-5</v>
      </c>
      <c r="S41" s="9">
        <f t="shared" si="13"/>
        <v>1.3437193349841931E-7</v>
      </c>
      <c r="T41" s="9">
        <f t="shared" si="10"/>
        <v>3.9241528933452578E-5</v>
      </c>
      <c r="U41" s="9">
        <f t="shared" si="11"/>
        <v>3.9865628066501576E-5</v>
      </c>
      <c r="V41" s="100">
        <f t="shared" si="14"/>
        <v>0.98434493162862224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38"/>
      <c r="H42" s="138"/>
      <c r="I42" s="92">
        <f t="shared" si="1"/>
        <v>2.8589842167479149E-2</v>
      </c>
      <c r="J42" s="92">
        <f t="shared" si="2"/>
        <v>1.3381242784059832</v>
      </c>
      <c r="K42" s="93">
        <f t="shared" si="3"/>
        <v>0.92263222805665501</v>
      </c>
      <c r="L42" s="93">
        <f t="shared" si="4"/>
        <v>1.4075893165661608E-2</v>
      </c>
      <c r="M42" s="93">
        <f t="shared" si="5"/>
        <v>0.9859241068343384</v>
      </c>
      <c r="N42" s="93">
        <f t="shared" si="6"/>
        <v>5.8193025655836278E-3</v>
      </c>
      <c r="O42" s="40">
        <f t="shared" si="7"/>
        <v>9.2375657652293345E-7</v>
      </c>
      <c r="P42" s="40">
        <f t="shared" si="8"/>
        <v>2.0122494701253677E-5</v>
      </c>
      <c r="Q42" s="40">
        <f t="shared" si="9"/>
        <v>2.7730362273235885E-4</v>
      </c>
      <c r="R42" s="9">
        <f t="shared" si="12"/>
        <v>3.9999999999999996E-5</v>
      </c>
      <c r="S42" s="9">
        <f t="shared" si="13"/>
        <v>5.6303572662646424E-7</v>
      </c>
      <c r="T42" s="9">
        <f t="shared" si="10"/>
        <v>3.6905289122266194E-5</v>
      </c>
      <c r="U42" s="9">
        <f t="shared" si="11"/>
        <v>3.9436964273373531E-5</v>
      </c>
      <c r="V42" s="100">
        <f t="shared" si="14"/>
        <v>0.93580451239710061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38"/>
      <c r="H43" s="138"/>
      <c r="I43" s="92">
        <f t="shared" si="1"/>
        <v>4.5043006346732313E-2</v>
      </c>
      <c r="J43" s="92">
        <f t="shared" si="2"/>
        <v>1.4898227768640917</v>
      </c>
      <c r="K43" s="93">
        <f t="shared" si="3"/>
        <v>0.88378726508495231</v>
      </c>
      <c r="L43" s="93">
        <f t="shared" si="4"/>
        <v>1.9120250553845992E-2</v>
      </c>
      <c r="M43" s="93">
        <f t="shared" si="5"/>
        <v>0.98087974944615397</v>
      </c>
      <c r="N43" s="93">
        <f t="shared" si="6"/>
        <v>6.0078219997700775E-3</v>
      </c>
      <c r="O43" s="40">
        <f t="shared" si="7"/>
        <v>8.8486427586540996E-7</v>
      </c>
      <c r="P43" s="40">
        <f t="shared" si="8"/>
        <v>2.7333763898905256E-5</v>
      </c>
      <c r="Q43" s="40">
        <f t="shared" si="9"/>
        <v>2.8628702262713891E-4</v>
      </c>
      <c r="R43" s="9">
        <f t="shared" si="12"/>
        <v>3.9999999999999996E-5</v>
      </c>
      <c r="S43" s="9">
        <f t="shared" si="13"/>
        <v>7.6481002215383961E-7</v>
      </c>
      <c r="T43" s="9">
        <f t="shared" si="10"/>
        <v>3.535149060339809E-5</v>
      </c>
      <c r="U43" s="9">
        <f t="shared" si="11"/>
        <v>3.9235189977846158E-5</v>
      </c>
      <c r="V43" s="100">
        <f t="shared" si="14"/>
        <v>0.90101489564238213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38"/>
      <c r="H44" s="138"/>
      <c r="I44" s="92">
        <f t="shared" si="1"/>
        <v>2.829962486439805</v>
      </c>
      <c r="J44" s="92">
        <f t="shared" si="2"/>
        <v>5.6026792956514546</v>
      </c>
      <c r="K44" s="93">
        <f t="shared" si="3"/>
        <v>1.0450196244824485E-3</v>
      </c>
      <c r="L44" s="93">
        <f t="shared" si="4"/>
        <v>0.29317491280485902</v>
      </c>
      <c r="M44" s="93">
        <f t="shared" si="5"/>
        <v>0.70682508719514092</v>
      </c>
      <c r="N44" s="93">
        <f t="shared" si="6"/>
        <v>0.25845013522055305</v>
      </c>
      <c r="O44" s="40">
        <f t="shared" si="7"/>
        <v>1.0462931180547385E-9</v>
      </c>
      <c r="P44" s="40">
        <f t="shared" si="8"/>
        <v>4.1911447891974652E-4</v>
      </c>
      <c r="Q44" s="40">
        <f t="shared" si="9"/>
        <v>1.2315764300724162E-2</v>
      </c>
      <c r="R44" s="9">
        <f t="shared" si="12"/>
        <v>3.9999999999999996E-5</v>
      </c>
      <c r="S44" s="9">
        <f t="shared" si="13"/>
        <v>1.1726996512194359E-5</v>
      </c>
      <c r="T44" s="9">
        <f t="shared" si="10"/>
        <v>4.1800784979297938E-8</v>
      </c>
      <c r="U44" s="9">
        <f t="shared" si="11"/>
        <v>2.8273003487805634E-5</v>
      </c>
      <c r="V44" s="100">
        <f t="shared" si="14"/>
        <v>1.4784699120249795E-3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38"/>
      <c r="H45" s="138"/>
      <c r="I45" s="92">
        <f t="shared" si="1"/>
        <v>3.957220636313619E-3</v>
      </c>
      <c r="J45" s="92">
        <f t="shared" si="2"/>
        <v>0.53532069811024507</v>
      </c>
      <c r="K45" s="93">
        <f t="shared" si="3"/>
        <v>0.9880652778679726</v>
      </c>
      <c r="L45" s="93">
        <f t="shared" si="4"/>
        <v>2.3737195066824359E-3</v>
      </c>
      <c r="M45" s="93">
        <f t="shared" si="5"/>
        <v>0.99762628049331759</v>
      </c>
      <c r="N45" s="93">
        <f t="shared" si="6"/>
        <v>5.126440904240744E-4</v>
      </c>
      <c r="O45" s="40">
        <f t="shared" si="7"/>
        <v>9.8926936509359835E-7</v>
      </c>
      <c r="P45" s="40">
        <f t="shared" si="8"/>
        <v>3.3934015861958751E-6</v>
      </c>
      <c r="Q45" s="40">
        <f t="shared" si="9"/>
        <v>2.4428711489874826E-5</v>
      </c>
      <c r="R45" s="9">
        <f t="shared" si="12"/>
        <v>3.9999999999999996E-5</v>
      </c>
      <c r="S45" s="9">
        <f t="shared" si="13"/>
        <v>9.4948780267297428E-8</v>
      </c>
      <c r="T45" s="9">
        <f t="shared" si="10"/>
        <v>3.95226111147189E-5</v>
      </c>
      <c r="U45" s="9">
        <f t="shared" si="11"/>
        <v>3.9905051219732697E-5</v>
      </c>
      <c r="V45" s="100">
        <f t="shared" si="14"/>
        <v>0.99041624823614594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38"/>
      <c r="H46" s="138"/>
      <c r="I46" s="92">
        <f t="shared" si="1"/>
        <v>4.1980440605165602E-3</v>
      </c>
      <c r="J46" s="92">
        <f t="shared" si="2"/>
        <v>0.54673395685959203</v>
      </c>
      <c r="K46" s="93">
        <f t="shared" si="3"/>
        <v>0.9874564499082692</v>
      </c>
      <c r="L46" s="93">
        <f t="shared" si="4"/>
        <v>2.4354261820042048E-3</v>
      </c>
      <c r="M46" s="93">
        <f t="shared" si="5"/>
        <v>0.99756457381799579</v>
      </c>
      <c r="N46" s="93">
        <f t="shared" si="6"/>
        <v>4.8858403120094701E-4</v>
      </c>
      <c r="O46" s="40">
        <f t="shared" si="7"/>
        <v>9.8865979519711697E-7</v>
      </c>
      <c r="P46" s="40">
        <f t="shared" si="8"/>
        <v>3.481615686188011E-6</v>
      </c>
      <c r="Q46" s="40">
        <f t="shared" si="9"/>
        <v>2.3282192382037508E-5</v>
      </c>
      <c r="R46" s="9">
        <f t="shared" si="12"/>
        <v>3.9999999999999996E-5</v>
      </c>
      <c r="S46" s="9">
        <f t="shared" si="13"/>
        <v>9.7417047280168181E-8</v>
      </c>
      <c r="T46" s="9">
        <f t="shared" si="10"/>
        <v>3.9498257996330761E-5</v>
      </c>
      <c r="U46" s="9">
        <f t="shared" si="11"/>
        <v>3.9902582952719827E-5</v>
      </c>
      <c r="V46" s="100">
        <f t="shared" si="14"/>
        <v>0.98986719839995962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38"/>
      <c r="H47" s="138"/>
      <c r="I47" s="92">
        <f t="shared" si="1"/>
        <v>8.655050783580702E-2</v>
      </c>
      <c r="J47" s="92">
        <f t="shared" si="2"/>
        <v>1.8898039424848809</v>
      </c>
      <c r="K47" s="93">
        <f t="shared" si="3"/>
        <v>0.78400058853067756</v>
      </c>
      <c r="L47" s="93">
        <f t="shared" si="4"/>
        <v>4.2603315077214189E-2</v>
      </c>
      <c r="M47" s="93">
        <f t="shared" si="5"/>
        <v>0.95739668492278585</v>
      </c>
      <c r="N47" s="93">
        <f t="shared" si="6"/>
        <v>2.2875188664059062E-2</v>
      </c>
      <c r="O47" s="40">
        <f t="shared" si="7"/>
        <v>7.849559961486539E-7</v>
      </c>
      <c r="P47" s="40">
        <f t="shared" si="8"/>
        <v>6.0904481996811765E-5</v>
      </c>
      <c r="Q47" s="40">
        <f t="shared" si="9"/>
        <v>1.0900572045773288E-3</v>
      </c>
      <c r="R47" s="9">
        <f t="shared" si="12"/>
        <v>3.9999999999999996E-5</v>
      </c>
      <c r="S47" s="9">
        <f t="shared" si="13"/>
        <v>1.7041326030885674E-6</v>
      </c>
      <c r="T47" s="9">
        <f t="shared" si="10"/>
        <v>3.1360023541227098E-5</v>
      </c>
      <c r="U47" s="9">
        <f t="shared" si="11"/>
        <v>3.829586739691143E-5</v>
      </c>
      <c r="V47" s="100">
        <f t="shared" si="14"/>
        <v>0.81888792898202623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38"/>
      <c r="H48" s="13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4.6195916093205912E-2</v>
      </c>
      <c r="K48" s="93">
        <f t="shared" ref="K48:K50" si="17">IF(D48=0,"",1/(1+10^D48*$J$15/$J$14+10^E48*$J$16/$J$14+10^J48*$J$19/$J$14))</f>
        <v>0.99822191657391313</v>
      </c>
      <c r="L48" s="93">
        <f t="shared" ref="L48:L50" si="18">IF(D48=0,"",1/(1+10^I48/10^J48*$J$13/$J$19))</f>
        <v>7.7758178708426653E-4</v>
      </c>
      <c r="M48" s="93">
        <f t="shared" ref="M48:M92" si="19">IF(D48=0,"",1-L48)</f>
        <v>0.99922241821291569</v>
      </c>
      <c r="N48" s="93">
        <f t="shared" ref="N48:N50" si="20">IF(D48=0,"",1/(1/10^E48*$J$20/$J$22+10^D48/10^E48*$J$21/$J$22+10^I48/10^E48*$J$13/$J$22+1))</f>
        <v>3.18472119631593E-5</v>
      </c>
      <c r="O48" s="40">
        <f t="shared" ref="O48:O92" si="21">IF(D48=0,"",F48*K48*$J$7/$J$14)</f>
        <v>9.9943838099687097E-7</v>
      </c>
      <c r="P48" s="40">
        <f t="shared" ref="P48:P50" si="22">IF(D48=0,"",O48*10^J48)</f>
        <v>1.1116087061931791E-6</v>
      </c>
      <c r="Q48" s="40">
        <f t="shared" ref="Q48:Q50" si="23">IF(D48=0,"",F48*N48*$J$7/$J$22)</f>
        <v>1.5175954767396912E-6</v>
      </c>
      <c r="R48" s="9">
        <f t="shared" si="12"/>
        <v>3.9999999999999996E-5</v>
      </c>
      <c r="S48" s="9">
        <f t="shared" si="13"/>
        <v>3.1103271483370662E-8</v>
      </c>
      <c r="T48" s="9">
        <f t="shared" si="10"/>
        <v>3.9928876662956524E-5</v>
      </c>
      <c r="U48" s="9">
        <f t="shared" si="11"/>
        <v>3.9968896728516624E-5</v>
      </c>
      <c r="V48" s="100">
        <f t="shared" si="14"/>
        <v>0.99899871978373755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38"/>
      <c r="H49" s="138"/>
      <c r="I49" s="92">
        <f t="shared" si="15"/>
        <v>9.6186457475178466E-3</v>
      </c>
      <c r="J49" s="92">
        <f t="shared" si="16"/>
        <v>0.86907068032969315</v>
      </c>
      <c r="K49" s="93">
        <f t="shared" si="17"/>
        <v>0.97266285271346509</v>
      </c>
      <c r="L49" s="93">
        <f t="shared" si="18"/>
        <v>5.039135924577688E-3</v>
      </c>
      <c r="M49" s="93">
        <f t="shared" si="19"/>
        <v>0.99496086407542228</v>
      </c>
      <c r="N49" s="93">
        <f t="shared" si="20"/>
        <v>1.6229668434969253E-3</v>
      </c>
      <c r="O49" s="40">
        <f t="shared" si="21"/>
        <v>9.7384817006245675E-7</v>
      </c>
      <c r="P49" s="40">
        <f t="shared" si="22"/>
        <v>7.2038047424641343E-6</v>
      </c>
      <c r="Q49" s="40">
        <f t="shared" si="23"/>
        <v>7.7338234299398727E-5</v>
      </c>
      <c r="R49" s="9">
        <f t="shared" si="12"/>
        <v>3.9999999999999996E-5</v>
      </c>
      <c r="S49" s="9">
        <f t="shared" si="13"/>
        <v>2.0156543698310751E-7</v>
      </c>
      <c r="T49" s="9">
        <f t="shared" si="10"/>
        <v>3.8906514108538601E-5</v>
      </c>
      <c r="U49" s="9">
        <f t="shared" si="11"/>
        <v>3.9798434563016886E-5</v>
      </c>
      <c r="V49" s="100">
        <f t="shared" si="14"/>
        <v>0.97758905684930852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38"/>
      <c r="H50" s="138"/>
      <c r="I50" s="92">
        <f t="shared" si="15"/>
        <v>8.6760595853303396E-2</v>
      </c>
      <c r="J50" s="92">
        <f t="shared" si="16"/>
        <v>1.8284615251176457</v>
      </c>
      <c r="K50" s="93">
        <f t="shared" si="17"/>
        <v>0.7880580226102839</v>
      </c>
      <c r="L50" s="93">
        <f t="shared" si="18"/>
        <v>3.7182859242437312E-2</v>
      </c>
      <c r="M50" s="93">
        <f t="shared" si="19"/>
        <v>0.96281714075756264</v>
      </c>
      <c r="N50" s="93">
        <f t="shared" si="20"/>
        <v>1.5238159397868841E-2</v>
      </c>
      <c r="O50" s="40">
        <f t="shared" si="21"/>
        <v>7.8901837474422849E-7</v>
      </c>
      <c r="P50" s="40">
        <f t="shared" si="22"/>
        <v>5.3155553205581457E-5</v>
      </c>
      <c r="Q50" s="40">
        <f t="shared" si="23"/>
        <v>7.2613457664034997E-4</v>
      </c>
      <c r="R50" s="9">
        <f t="shared" si="12"/>
        <v>3.9999999999999996E-5</v>
      </c>
      <c r="S50" s="9">
        <f t="shared" si="13"/>
        <v>1.4873143696974923E-6</v>
      </c>
      <c r="T50" s="9">
        <f t="shared" si="10"/>
        <v>3.1522320904411355E-5</v>
      </c>
      <c r="U50" s="9">
        <f t="shared" si="11"/>
        <v>3.8512685630302505E-5</v>
      </c>
      <c r="V50" s="100">
        <f t="shared" si="14"/>
        <v>0.81849189139925882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38"/>
      <c r="H51" s="13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4.6407720127189611</v>
      </c>
      <c r="K51" s="93">
        <f t="shared" ref="K51:K70" si="26">IF(D51=0,"",1/(1+10^D51*$J$15/$J$14+10^E51*$J$16/$J$14+10^J51*$J$19/$J$14))</f>
        <v>7.8990713196767474E-3</v>
      </c>
      <c r="L51" s="93">
        <f t="shared" ref="L51:L70" si="27">IF(D51=0,"",1/(1+10^I51/10^J51*$J$13/$J$19))</f>
        <v>0.24191963055422858</v>
      </c>
      <c r="M51" s="93">
        <f t="shared" ref="M51:M70" si="28">IF(D51=0,"",1-L51)</f>
        <v>0.7580803694457714</v>
      </c>
      <c r="N51" s="93">
        <f t="shared" ref="N51:N70" si="29">IF(D51=0,"",1/(1/10^E51*$J$20/$J$22+10^D51/10^E51*$J$21/$J$22+10^I51/10^E51*$J$13/$J$22+1))</f>
        <v>0.18001817418102919</v>
      </c>
      <c r="O51" s="40">
        <f t="shared" ref="O51:O70" si="30">IF(D51=0,"",F51*K51*$J$7/$J$14)</f>
        <v>7.9086973748406873E-9</v>
      </c>
      <c r="P51" s="40">
        <f t="shared" ref="P51:P70" si="31">IF(D51=0,"",O51*10^J51)</f>
        <v>3.458413918508809E-4</v>
      </c>
      <c r="Q51" s="40">
        <f t="shared" ref="Q51:Q70" si="32">IF(D51=0,"",F51*N51*$J$7/$J$22)</f>
        <v>8.5782946144264734E-3</v>
      </c>
      <c r="R51" s="9">
        <f t="shared" si="12"/>
        <v>3.9999999999999996E-5</v>
      </c>
      <c r="S51" s="9">
        <f t="shared" si="13"/>
        <v>9.6767852221691417E-6</v>
      </c>
      <c r="T51" s="9">
        <f t="shared" si="10"/>
        <v>3.1596285278706984E-7</v>
      </c>
      <c r="U51" s="9">
        <f t="shared" si="11"/>
        <v>3.0323214777830853E-5</v>
      </c>
      <c r="V51" s="100">
        <f t="shared" si="14"/>
        <v>1.0419833619292527E-2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38"/>
      <c r="H52" s="138"/>
      <c r="I52" s="92">
        <f t="shared" si="24"/>
        <v>0.12726341031571042</v>
      </c>
      <c r="J52" s="92">
        <f t="shared" si="25"/>
        <v>2.0764178865334513</v>
      </c>
      <c r="K52" s="93">
        <f t="shared" si="26"/>
        <v>0.7019047716996023</v>
      </c>
      <c r="L52" s="93">
        <f t="shared" si="27"/>
        <v>5.861640027610969E-2</v>
      </c>
      <c r="M52" s="93">
        <f t="shared" si="28"/>
        <v>0.9413835997238903</v>
      </c>
      <c r="N52" s="93">
        <f t="shared" si="29"/>
        <v>3.1604906686499734E-2</v>
      </c>
      <c r="O52" s="40">
        <f t="shared" si="30"/>
        <v>7.0276013478961299E-7</v>
      </c>
      <c r="P52" s="40">
        <f t="shared" si="31"/>
        <v>8.3796331080432813E-5</v>
      </c>
      <c r="Q52" s="40">
        <f t="shared" si="32"/>
        <v>1.5060490533895373E-3</v>
      </c>
      <c r="R52" s="9">
        <f t="shared" si="12"/>
        <v>3.9999999999999996E-5</v>
      </c>
      <c r="S52" s="9">
        <f t="shared" si="13"/>
        <v>2.3446560110443875E-6</v>
      </c>
      <c r="T52" s="9">
        <f t="shared" si="10"/>
        <v>2.807619086798409E-5</v>
      </c>
      <c r="U52" s="9">
        <f t="shared" si="11"/>
        <v>3.7655343988955611E-5</v>
      </c>
      <c r="V52" s="100">
        <f t="shared" si="14"/>
        <v>0.74560973008821529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38"/>
      <c r="H53" s="138"/>
      <c r="I53" s="92">
        <f t="shared" si="24"/>
        <v>0.47104615060046062</v>
      </c>
      <c r="J53" s="92">
        <f t="shared" si="25"/>
        <v>2.8909048143104648</v>
      </c>
      <c r="K53" s="93">
        <f t="shared" si="26"/>
        <v>0.28533532307704518</v>
      </c>
      <c r="L53" s="93">
        <f t="shared" si="27"/>
        <v>0.15544738322785101</v>
      </c>
      <c r="M53" s="93">
        <f t="shared" si="28"/>
        <v>0.84455261677214899</v>
      </c>
      <c r="N53" s="93">
        <f t="shared" si="29"/>
        <v>0.10014928568122697</v>
      </c>
      <c r="O53" s="40">
        <f t="shared" si="30"/>
        <v>2.8568304161875759E-7</v>
      </c>
      <c r="P53" s="40">
        <f t="shared" si="31"/>
        <v>2.2222313770872934E-4</v>
      </c>
      <c r="Q53" s="40">
        <f t="shared" si="32"/>
        <v>4.7723519133906593E-3</v>
      </c>
      <c r="R53" s="9">
        <f t="shared" si="12"/>
        <v>3.9999999999999996E-5</v>
      </c>
      <c r="S53" s="9">
        <f t="shared" si="13"/>
        <v>6.21789532911404E-6</v>
      </c>
      <c r="T53" s="9">
        <f t="shared" si="10"/>
        <v>1.1413412923081806E-5</v>
      </c>
      <c r="U53" s="9">
        <f t="shared" si="11"/>
        <v>3.3782104670885955E-5</v>
      </c>
      <c r="V53" s="100">
        <f t="shared" si="14"/>
        <v>0.337853814446265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38"/>
      <c r="H54" s="138"/>
      <c r="I54" s="92">
        <f t="shared" si="24"/>
        <v>0.17835694544431219</v>
      </c>
      <c r="J54" s="92">
        <f t="shared" si="25"/>
        <v>2.2596675735780232</v>
      </c>
      <c r="K54" s="93">
        <f t="shared" si="26"/>
        <v>0.61125632828099974</v>
      </c>
      <c r="L54" s="93">
        <f t="shared" si="27"/>
        <v>7.7842003409736626E-2</v>
      </c>
      <c r="M54" s="93">
        <f t="shared" si="28"/>
        <v>0.92215799659026332</v>
      </c>
      <c r="N54" s="93">
        <f t="shared" si="29"/>
        <v>4.3647933395273564E-2</v>
      </c>
      <c r="O54" s="40">
        <f t="shared" si="30"/>
        <v>6.1200122434500713E-7</v>
      </c>
      <c r="P54" s="40">
        <f t="shared" si="31"/>
        <v>1.1128070401731923E-4</v>
      </c>
      <c r="Q54" s="40">
        <f t="shared" si="32"/>
        <v>2.0799279499357261E-3</v>
      </c>
      <c r="R54" s="9">
        <f t="shared" si="12"/>
        <v>3.9999999999999996E-5</v>
      </c>
      <c r="S54" s="9">
        <f t="shared" si="13"/>
        <v>3.1136801363894648E-6</v>
      </c>
      <c r="T54" s="9">
        <f t="shared" si="10"/>
        <v>2.4450253131239986E-5</v>
      </c>
      <c r="U54" s="9">
        <f t="shared" si="11"/>
        <v>3.6886319863610532E-5</v>
      </c>
      <c r="V54" s="100">
        <f t="shared" si="14"/>
        <v>0.6628542294716937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38"/>
      <c r="H55" s="138"/>
      <c r="I55" s="54">
        <f t="shared" si="24"/>
        <v>5.9812805986470914E-3</v>
      </c>
      <c r="J55" s="54">
        <f t="shared" si="25"/>
        <v>0.6838067096740571</v>
      </c>
      <c r="K55" s="55">
        <f t="shared" si="26"/>
        <v>0.98253562732326372</v>
      </c>
      <c r="L55" s="55">
        <f t="shared" si="27"/>
        <v>3.3226001445152537E-3</v>
      </c>
      <c r="M55" s="55">
        <f t="shared" si="28"/>
        <v>0.99667739985548476</v>
      </c>
      <c r="N55" s="55">
        <f t="shared" si="29"/>
        <v>8.9875563156283284E-4</v>
      </c>
      <c r="O55" s="56">
        <f t="shared" si="30"/>
        <v>9.8373297594392894E-7</v>
      </c>
      <c r="P55" s="56">
        <f t="shared" si="31"/>
        <v>4.7498942351663077E-6</v>
      </c>
      <c r="Q55" s="56">
        <f t="shared" si="32"/>
        <v>4.2827845738329855E-5</v>
      </c>
      <c r="R55" s="9">
        <f t="shared" si="12"/>
        <v>3.9999999999999996E-5</v>
      </c>
      <c r="S55" s="9">
        <f t="shared" si="13"/>
        <v>1.3290400578061013E-7</v>
      </c>
      <c r="T55" s="9">
        <f t="shared" si="10"/>
        <v>3.9301425092930544E-5</v>
      </c>
      <c r="U55" s="9">
        <f t="shared" si="11"/>
        <v>3.9867095994219385E-5</v>
      </c>
      <c r="V55" s="100">
        <f t="shared" si="14"/>
        <v>0.98581108337133805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38"/>
      <c r="H56" s="138"/>
      <c r="I56" s="54">
        <f t="shared" si="24"/>
        <v>0.11910186422699467</v>
      </c>
      <c r="J56" s="54">
        <f t="shared" si="25"/>
        <v>2.0545505923588281</v>
      </c>
      <c r="K56" s="55">
        <f t="shared" si="26"/>
        <v>0.71652491942572638</v>
      </c>
      <c r="L56" s="55">
        <f t="shared" si="27"/>
        <v>5.6899041980835931E-2</v>
      </c>
      <c r="M56" s="55">
        <f t="shared" si="28"/>
        <v>0.94310095801916405</v>
      </c>
      <c r="N56" s="55">
        <f t="shared" si="29"/>
        <v>3.1816002823921358E-2</v>
      </c>
      <c r="O56" s="56">
        <f t="shared" si="30"/>
        <v>7.1739809908465013E-7</v>
      </c>
      <c r="P56" s="56">
        <f t="shared" si="31"/>
        <v>8.1341244728889314E-5</v>
      </c>
      <c r="Q56" s="56">
        <f t="shared" si="32"/>
        <v>1.5161082869475286E-3</v>
      </c>
      <c r="R56" s="9">
        <f t="shared" si="12"/>
        <v>3.9999999999999996E-5</v>
      </c>
      <c r="S56" s="9">
        <f t="shared" si="13"/>
        <v>2.2759616792334371E-6</v>
      </c>
      <c r="T56" s="9">
        <f t="shared" si="10"/>
        <v>2.8660996777029053E-5</v>
      </c>
      <c r="U56" s="9">
        <f t="shared" si="11"/>
        <v>3.7724038320766556E-5</v>
      </c>
      <c r="V56" s="100">
        <f t="shared" si="14"/>
        <v>0.75975420588128217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38"/>
      <c r="H57" s="138"/>
      <c r="I57" s="54">
        <f t="shared" si="24"/>
        <v>3.4503381608646556E-2</v>
      </c>
      <c r="J57" s="54">
        <f t="shared" si="25"/>
        <v>1.4348617200490665</v>
      </c>
      <c r="K57" s="55">
        <f t="shared" si="26"/>
        <v>0.90718418546841628</v>
      </c>
      <c r="L57" s="55">
        <f t="shared" si="27"/>
        <v>1.7293394693264599E-2</v>
      </c>
      <c r="M57" s="55">
        <f t="shared" si="28"/>
        <v>0.98270660530673537</v>
      </c>
      <c r="N57" s="55">
        <f t="shared" si="29"/>
        <v>7.7800034274603516E-3</v>
      </c>
      <c r="O57" s="56">
        <f t="shared" si="30"/>
        <v>9.0828970846723003E-7</v>
      </c>
      <c r="P57" s="56">
        <f t="shared" si="31"/>
        <v>2.4722142956499836E-5</v>
      </c>
      <c r="Q57" s="56">
        <f t="shared" si="32"/>
        <v>3.707356871361702E-4</v>
      </c>
      <c r="R57" s="9">
        <f t="shared" si="12"/>
        <v>3.9999999999999996E-5</v>
      </c>
      <c r="S57" s="9">
        <f t="shared" si="13"/>
        <v>6.9173578773058391E-7</v>
      </c>
      <c r="T57" s="9">
        <f t="shared" si="10"/>
        <v>3.628736741873665E-5</v>
      </c>
      <c r="U57" s="9">
        <f t="shared" si="11"/>
        <v>3.930826421226941E-5</v>
      </c>
      <c r="V57" s="100">
        <f t="shared" si="14"/>
        <v>0.92314855783965544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38"/>
      <c r="H58" s="138"/>
      <c r="I58" s="54">
        <f t="shared" si="24"/>
        <v>2.4527660835054643E-2</v>
      </c>
      <c r="J58" s="54">
        <f t="shared" si="25"/>
        <v>1.2562556297488592</v>
      </c>
      <c r="K58" s="55">
        <f t="shared" si="26"/>
        <v>0.9334577308249602</v>
      </c>
      <c r="L58" s="55">
        <f t="shared" si="27"/>
        <v>1.1794332022276447E-2</v>
      </c>
      <c r="M58" s="55">
        <f t="shared" si="28"/>
        <v>0.98820566797772358</v>
      </c>
      <c r="N58" s="55">
        <f t="shared" si="29"/>
        <v>4.4035301520479663E-3</v>
      </c>
      <c r="O58" s="56">
        <f t="shared" si="30"/>
        <v>9.3459527158721969E-7</v>
      </c>
      <c r="P58" s="56">
        <f t="shared" si="31"/>
        <v>1.6860840078131484E-5</v>
      </c>
      <c r="Q58" s="56">
        <f t="shared" si="32"/>
        <v>2.0983869634068569E-4</v>
      </c>
      <c r="R58" s="9">
        <f t="shared" si="12"/>
        <v>3.9999999999999996E-5</v>
      </c>
      <c r="S58" s="9">
        <f t="shared" si="13"/>
        <v>4.7177328089105784E-7</v>
      </c>
      <c r="T58" s="9">
        <f t="shared" si="10"/>
        <v>3.7338309232998407E-5</v>
      </c>
      <c r="U58" s="9">
        <f t="shared" si="11"/>
        <v>3.9528226719108939E-5</v>
      </c>
      <c r="V58" s="100">
        <f t="shared" si="14"/>
        <v>0.94459864082261313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38"/>
      <c r="H59" s="138"/>
      <c r="I59" s="54">
        <f t="shared" si="24"/>
        <v>6.9959414880738915E-3</v>
      </c>
      <c r="J59" s="54">
        <f t="shared" si="25"/>
        <v>0.77323378498268969</v>
      </c>
      <c r="K59" s="55">
        <f t="shared" si="26"/>
        <v>0.97950796360623804</v>
      </c>
      <c r="L59" s="55">
        <f t="shared" si="27"/>
        <v>4.0697227047257964E-3</v>
      </c>
      <c r="M59" s="55">
        <f t="shared" si="28"/>
        <v>0.99593027729527417</v>
      </c>
      <c r="N59" s="55">
        <f t="shared" si="29"/>
        <v>1.464415404978434E-3</v>
      </c>
      <c r="O59" s="56">
        <f t="shared" si="30"/>
        <v>9.8070162262128019E-7</v>
      </c>
      <c r="P59" s="56">
        <f t="shared" si="31"/>
        <v>5.8179593008844364E-6</v>
      </c>
      <c r="Q59" s="56">
        <f t="shared" si="32"/>
        <v>6.9782880750567561E-5</v>
      </c>
      <c r="R59" s="9">
        <f t="shared" si="12"/>
        <v>3.9999999999999996E-5</v>
      </c>
      <c r="S59" s="9">
        <f t="shared" si="13"/>
        <v>1.6278890818903184E-7</v>
      </c>
      <c r="T59" s="9">
        <f t="shared" si="10"/>
        <v>3.9180318544249518E-5</v>
      </c>
      <c r="U59" s="9">
        <f t="shared" si="11"/>
        <v>3.983721109181096E-5</v>
      </c>
      <c r="V59" s="100">
        <f t="shared" si="14"/>
        <v>0.98351057893968696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38"/>
      <c r="H60" s="138"/>
      <c r="I60" s="54">
        <f t="shared" si="24"/>
        <v>0.12885708410514962</v>
      </c>
      <c r="J60" s="54">
        <f t="shared" si="25"/>
        <v>2.1053345617023167</v>
      </c>
      <c r="K60" s="55">
        <f t="shared" si="26"/>
        <v>0.69668206310771508</v>
      </c>
      <c r="L60" s="55">
        <f t="shared" si="27"/>
        <v>6.2185947204397851E-2</v>
      </c>
      <c r="M60" s="55">
        <f t="shared" si="28"/>
        <v>0.93781405279560215</v>
      </c>
      <c r="N60" s="55">
        <f t="shared" si="29"/>
        <v>3.6130912448415375E-2</v>
      </c>
      <c r="O60" s="56">
        <f t="shared" si="30"/>
        <v>6.9753106164182091E-7</v>
      </c>
      <c r="P60" s="56">
        <f t="shared" si="31"/>
        <v>8.8899253382058462E-5</v>
      </c>
      <c r="Q60" s="56">
        <f t="shared" si="32"/>
        <v>1.7217240041490125E-3</v>
      </c>
      <c r="R60" s="9">
        <f t="shared" si="12"/>
        <v>3.9999999999999996E-5</v>
      </c>
      <c r="S60" s="9">
        <f t="shared" si="13"/>
        <v>2.4874378881759138E-6</v>
      </c>
      <c r="T60" s="9">
        <f t="shared" si="10"/>
        <v>2.7867282524308601E-5</v>
      </c>
      <c r="U60" s="9">
        <f t="shared" si="11"/>
        <v>3.7512562111824084E-5</v>
      </c>
      <c r="V60" s="100">
        <f t="shared" si="14"/>
        <v>0.74287867731446533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38"/>
      <c r="H61" s="138"/>
      <c r="I61" s="54">
        <f t="shared" si="24"/>
        <v>0.54169315053805034</v>
      </c>
      <c r="J61" s="54">
        <f t="shared" si="25"/>
        <v>3.0585769256489788</v>
      </c>
      <c r="K61" s="55">
        <f t="shared" si="26"/>
        <v>0.23341524191330443</v>
      </c>
      <c r="L61" s="55">
        <f t="shared" si="27"/>
        <v>0.18708079223913734</v>
      </c>
      <c r="M61" s="55">
        <f t="shared" si="28"/>
        <v>0.81291920776086268</v>
      </c>
      <c r="N61" s="55">
        <f t="shared" si="29"/>
        <v>0.13914689252681942</v>
      </c>
      <c r="O61" s="56">
        <f t="shared" si="30"/>
        <v>2.3369968902155687E-7</v>
      </c>
      <c r="P61" s="56">
        <f t="shared" si="31"/>
        <v>2.6744535541957826E-4</v>
      </c>
      <c r="Q61" s="56">
        <f t="shared" si="32"/>
        <v>6.6306807310280097E-3</v>
      </c>
      <c r="R61" s="9">
        <f t="shared" si="12"/>
        <v>3.9999999999999996E-5</v>
      </c>
      <c r="S61" s="9">
        <f t="shared" si="13"/>
        <v>7.4832316895654934E-6</v>
      </c>
      <c r="T61" s="9">
        <f t="shared" si="10"/>
        <v>9.3366096765321769E-6</v>
      </c>
      <c r="U61" s="9">
        <f t="shared" si="11"/>
        <v>3.2516768310434505E-5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38"/>
      <c r="H62" s="138"/>
      <c r="I62" s="54">
        <f t="shared" si="24"/>
        <v>1.2755126419323455</v>
      </c>
      <c r="J62" s="54">
        <f t="shared" si="25"/>
        <v>3.9993799920849886</v>
      </c>
      <c r="K62" s="55">
        <f t="shared" si="26"/>
        <v>3.8666546969853464E-2</v>
      </c>
      <c r="L62" s="55">
        <f t="shared" si="27"/>
        <v>0.27041977370631987</v>
      </c>
      <c r="M62" s="55">
        <f t="shared" si="28"/>
        <v>0.72958022629368013</v>
      </c>
      <c r="N62" s="55">
        <f t="shared" si="29"/>
        <v>0.23045158008499314</v>
      </c>
      <c r="O62" s="56">
        <f t="shared" si="30"/>
        <v>3.8713667232358721E-8</v>
      </c>
      <c r="P62" s="56">
        <f t="shared" si="31"/>
        <v>3.8658438221130626E-4</v>
      </c>
      <c r="Q62" s="56">
        <f t="shared" si="32"/>
        <v>1.0981566485288221E-2</v>
      </c>
      <c r="R62" s="9">
        <f t="shared" si="12"/>
        <v>3.9999999999999996E-5</v>
      </c>
      <c r="S62" s="9">
        <f t="shared" si="13"/>
        <v>1.0816790948252794E-5</v>
      </c>
      <c r="T62" s="9">
        <f t="shared" si="10"/>
        <v>1.5466618787941384E-6</v>
      </c>
      <c r="U62" s="9">
        <f t="shared" si="11"/>
        <v>2.9183209051747204E-5</v>
      </c>
      <c r="V62" s="100">
        <f t="shared" si="14"/>
        <v>5.2998348332824609E-2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38"/>
      <c r="H63" s="138"/>
      <c r="I63" s="54">
        <f t="shared" si="24"/>
        <v>2.3278344887119857</v>
      </c>
      <c r="J63" s="54">
        <f t="shared" si="25"/>
        <v>5.1439390371305249</v>
      </c>
      <c r="K63" s="55">
        <f t="shared" si="26"/>
        <v>3.2216402321475338E-3</v>
      </c>
      <c r="L63" s="55">
        <f t="shared" si="27"/>
        <v>0.31429620716941453</v>
      </c>
      <c r="M63" s="55">
        <f t="shared" si="28"/>
        <v>0.68570379283058547</v>
      </c>
      <c r="N63" s="55">
        <f t="shared" si="29"/>
        <v>0.29175703732493247</v>
      </c>
      <c r="O63" s="56">
        <f t="shared" si="30"/>
        <v>3.2255662236138687E-9</v>
      </c>
      <c r="P63" s="56">
        <f t="shared" si="31"/>
        <v>4.4930887787776158E-4</v>
      </c>
      <c r="Q63" s="56">
        <f t="shared" si="32"/>
        <v>1.390291748814571E-2</v>
      </c>
      <c r="R63" s="9">
        <f t="shared" si="12"/>
        <v>3.9999999999999996E-5</v>
      </c>
      <c r="S63" s="9">
        <f t="shared" si="13"/>
        <v>1.2571848286776581E-5</v>
      </c>
      <c r="T63" s="9">
        <f t="shared" si="10"/>
        <v>1.2886560928590136E-7</v>
      </c>
      <c r="U63" s="9">
        <f t="shared" si="11"/>
        <v>2.7428151713223418E-5</v>
      </c>
      <c r="V63" s="100">
        <f t="shared" si="14"/>
        <v>4.6982972324662257E-3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38"/>
      <c r="H64" s="138"/>
      <c r="I64" s="54">
        <f t="shared" si="24"/>
        <v>1.6404345211947193</v>
      </c>
      <c r="J64" s="54">
        <f t="shared" si="25"/>
        <v>4.4070921357231763</v>
      </c>
      <c r="K64" s="55">
        <f t="shared" si="26"/>
        <v>1.6233795589363709E-2</v>
      </c>
      <c r="L64" s="55">
        <f t="shared" si="27"/>
        <v>0.29029213650951352</v>
      </c>
      <c r="M64" s="55">
        <f t="shared" si="28"/>
        <v>0.70970786349048653</v>
      </c>
      <c r="N64" s="55">
        <f t="shared" si="29"/>
        <v>0.25695931938378491</v>
      </c>
      <c r="O64" s="56">
        <f t="shared" si="30"/>
        <v>1.6253578599991056E-8</v>
      </c>
      <c r="P64" s="56">
        <f t="shared" si="31"/>
        <v>4.1499334429295759E-4</v>
      </c>
      <c r="Q64" s="56">
        <f t="shared" si="32"/>
        <v>1.2244723376540647E-2</v>
      </c>
      <c r="R64" s="9">
        <f t="shared" si="12"/>
        <v>3.9999999999999996E-5</v>
      </c>
      <c r="S64" s="9">
        <f t="shared" si="13"/>
        <v>1.161168546038054E-5</v>
      </c>
      <c r="T64" s="9">
        <f t="shared" si="10"/>
        <v>6.4935182357454829E-7</v>
      </c>
      <c r="U64" s="9">
        <f t="shared" si="11"/>
        <v>2.8388314539619458E-5</v>
      </c>
      <c r="V64" s="100">
        <f t="shared" si="14"/>
        <v>2.2873912527222998E-2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38"/>
      <c r="H65" s="138"/>
      <c r="I65" s="54">
        <f t="shared" si="24"/>
        <v>1.3777282566754774</v>
      </c>
      <c r="J65" s="54">
        <f t="shared" si="25"/>
        <v>4.1154371982960454</v>
      </c>
      <c r="K65" s="55">
        <f t="shared" si="26"/>
        <v>3.029235276563429E-2</v>
      </c>
      <c r="L65" s="55">
        <f t="shared" si="27"/>
        <v>0.2767535923315938</v>
      </c>
      <c r="M65" s="55">
        <f t="shared" si="28"/>
        <v>0.7232464076684062</v>
      </c>
      <c r="N65" s="55">
        <f t="shared" si="29"/>
        <v>0.23865871931918445</v>
      </c>
      <c r="O65" s="56">
        <f t="shared" si="30"/>
        <v>3.032926797338044E-8</v>
      </c>
      <c r="P65" s="56">
        <f t="shared" si="31"/>
        <v>3.9563902835175149E-4</v>
      </c>
      <c r="Q65" s="56">
        <f t="shared" si="32"/>
        <v>1.1372656210605136E-2</v>
      </c>
      <c r="R65" s="9">
        <f t="shared" si="12"/>
        <v>3.9999999999999996E-5</v>
      </c>
      <c r="S65" s="9">
        <f t="shared" si="13"/>
        <v>1.1070143693263752E-5</v>
      </c>
      <c r="T65" s="9">
        <f t="shared" si="10"/>
        <v>1.2116941106253714E-6</v>
      </c>
      <c r="U65" s="9">
        <f t="shared" si="11"/>
        <v>2.8929856306736246E-5</v>
      </c>
      <c r="V65" s="100">
        <f t="shared" si="14"/>
        <v>4.1883862048192458E-2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38"/>
      <c r="H66" s="138"/>
      <c r="I66" s="54">
        <f t="shared" si="24"/>
        <v>1.6404345211947193</v>
      </c>
      <c r="J66" s="54">
        <f t="shared" si="25"/>
        <v>4.4070921357231763</v>
      </c>
      <c r="K66" s="55">
        <f t="shared" si="26"/>
        <v>1.6233795589363709E-2</v>
      </c>
      <c r="L66" s="55">
        <f t="shared" si="27"/>
        <v>0.29029213650951352</v>
      </c>
      <c r="M66" s="55">
        <f t="shared" si="28"/>
        <v>0.70970786349048653</v>
      </c>
      <c r="N66" s="55">
        <f t="shared" si="29"/>
        <v>0.25695931938378491</v>
      </c>
      <c r="O66" s="56">
        <f t="shared" si="30"/>
        <v>1.6253578599991056E-8</v>
      </c>
      <c r="P66" s="56">
        <f t="shared" si="31"/>
        <v>4.1499334429295759E-4</v>
      </c>
      <c r="Q66" s="56">
        <f t="shared" si="32"/>
        <v>1.2244723376540647E-2</v>
      </c>
      <c r="R66" s="9">
        <f t="shared" si="12"/>
        <v>3.9999999999999996E-5</v>
      </c>
      <c r="S66" s="9">
        <f t="shared" si="13"/>
        <v>1.161168546038054E-5</v>
      </c>
      <c r="T66" s="9">
        <f t="shared" si="10"/>
        <v>6.4935182357454829E-7</v>
      </c>
      <c r="U66" s="9">
        <f t="shared" si="11"/>
        <v>2.8388314539619458E-5</v>
      </c>
      <c r="V66" s="100">
        <f t="shared" si="14"/>
        <v>2.2873912527222998E-2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38"/>
      <c r="H67" s="138"/>
      <c r="I67" s="54">
        <f t="shared" si="24"/>
        <v>-1.8635683569884906E-4</v>
      </c>
      <c r="J67" s="54">
        <f t="shared" si="25"/>
        <v>-5.1002272670301683E-2</v>
      </c>
      <c r="K67" s="55">
        <f t="shared" si="26"/>
        <v>0.99928871047796608</v>
      </c>
      <c r="L67" s="55">
        <f t="shared" si="27"/>
        <v>6.2231715226106947E-4</v>
      </c>
      <c r="M67" s="55">
        <f t="shared" si="28"/>
        <v>0.99937768284773898</v>
      </c>
      <c r="N67" s="55">
        <f t="shared" si="29"/>
        <v>6.2461946516381533E-7</v>
      </c>
      <c r="O67" s="56">
        <f t="shared" si="30"/>
        <v>1.0005064749293139E-6</v>
      </c>
      <c r="P67" s="56">
        <f t="shared" si="31"/>
        <v>8.8964682038236055E-7</v>
      </c>
      <c r="Q67" s="56">
        <f t="shared" si="32"/>
        <v>2.9764604704258571E-8</v>
      </c>
      <c r="R67" s="9">
        <f t="shared" si="12"/>
        <v>3.9999999999999996E-5</v>
      </c>
      <c r="S67" s="9">
        <f t="shared" si="13"/>
        <v>2.4892686090442776E-8</v>
      </c>
      <c r="T67" s="9">
        <f t="shared" si="10"/>
        <v>3.9971548419118638E-5</v>
      </c>
      <c r="U67" s="9">
        <f t="shared" si="11"/>
        <v>3.9975107313909558E-5</v>
      </c>
      <c r="V67" s="100">
        <f t="shared" si="14"/>
        <v>0.99991097222671677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38"/>
      <c r="H68" s="138"/>
      <c r="I68" s="54">
        <f t="shared" si="24"/>
        <v>1.7268855172909561</v>
      </c>
      <c r="J68" s="54">
        <f t="shared" si="25"/>
        <v>4.415376749895219</v>
      </c>
      <c r="K68" s="55">
        <f t="shared" si="26"/>
        <v>1.3971667011876637E-2</v>
      </c>
      <c r="L68" s="55">
        <f t="shared" si="27"/>
        <v>0.25465255576875856</v>
      </c>
      <c r="M68" s="55">
        <f t="shared" si="28"/>
        <v>0.74534744423124144</v>
      </c>
      <c r="N68" s="55">
        <f t="shared" si="29"/>
        <v>0.20103632844123562</v>
      </c>
      <c r="O68" s="56">
        <f t="shared" si="30"/>
        <v>1.3988693321925708E-8</v>
      </c>
      <c r="P68" s="56">
        <f t="shared" si="31"/>
        <v>3.6404401793970972E-4</v>
      </c>
      <c r="Q68" s="56">
        <f t="shared" si="32"/>
        <v>9.5798597081497364E-3</v>
      </c>
      <c r="R68" s="9">
        <f t="shared" si="12"/>
        <v>3.9999999999999996E-5</v>
      </c>
      <c r="S68" s="9">
        <f t="shared" si="13"/>
        <v>1.0186102230750341E-5</v>
      </c>
      <c r="T68" s="9">
        <f t="shared" si="10"/>
        <v>5.5886668047506542E-7</v>
      </c>
      <c r="U68" s="9">
        <f t="shared" si="11"/>
        <v>2.9813897769249655E-5</v>
      </c>
      <c r="V68" s="100">
        <f t="shared" si="14"/>
        <v>1.8745173301408645E-2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38"/>
      <c r="H69" s="138"/>
      <c r="I69" s="54">
        <f t="shared" si="24"/>
        <v>5.7919228101834593E-2</v>
      </c>
      <c r="J69" s="54">
        <f t="shared" si="25"/>
        <v>1.6825122730351272</v>
      </c>
      <c r="K69" s="55">
        <f t="shared" si="26"/>
        <v>0.84963647676260579</v>
      </c>
      <c r="L69" s="55">
        <f t="shared" si="27"/>
        <v>2.8646296665489644E-2</v>
      </c>
      <c r="M69" s="55">
        <f t="shared" si="28"/>
        <v>0.97135370333451032</v>
      </c>
      <c r="N69" s="55">
        <f t="shared" si="29"/>
        <v>1.4098647408641802E-2</v>
      </c>
      <c r="O69" s="56">
        <f t="shared" si="30"/>
        <v>8.5067187032516778E-7</v>
      </c>
      <c r="P69" s="56">
        <f t="shared" si="31"/>
        <v>4.0951927247364972E-5</v>
      </c>
      <c r="Q69" s="56">
        <f t="shared" si="32"/>
        <v>6.7183411722989772E-4</v>
      </c>
      <c r="R69" s="9">
        <f t="shared" si="12"/>
        <v>3.9999999999999996E-5</v>
      </c>
      <c r="S69" s="9">
        <f t="shared" si="13"/>
        <v>1.1458518666195858E-6</v>
      </c>
      <c r="T69" s="9">
        <f t="shared" si="10"/>
        <v>3.3985459070504227E-5</v>
      </c>
      <c r="U69" s="9">
        <f t="shared" si="11"/>
        <v>3.8854148133380411E-5</v>
      </c>
      <c r="V69" s="100">
        <f t="shared" si="14"/>
        <v>0.87469319759211528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38"/>
      <c r="H70" s="138"/>
      <c r="I70" s="54">
        <f t="shared" si="24"/>
        <v>0.45156382049297444</v>
      </c>
      <c r="J70" s="54">
        <f t="shared" si="25"/>
        <v>2.913138997962994</v>
      </c>
      <c r="K70" s="55">
        <f t="shared" si="26"/>
        <v>0.29382197032421098</v>
      </c>
      <c r="L70" s="55">
        <f t="shared" si="27"/>
        <v>0.16847921391450302</v>
      </c>
      <c r="M70" s="55">
        <f t="shared" si="28"/>
        <v>0.83152078608549695</v>
      </c>
      <c r="N70" s="55">
        <f t="shared" si="29"/>
        <v>0.12210897459398506</v>
      </c>
      <c r="O70" s="56">
        <f t="shared" si="30"/>
        <v>2.9418003095947488E-7</v>
      </c>
      <c r="P70" s="56">
        <f t="shared" si="31"/>
        <v>2.4085307052034737E-4</v>
      </c>
      <c r="Q70" s="56">
        <f t="shared" si="32"/>
        <v>5.8187833750571842E-3</v>
      </c>
      <c r="R70" s="9">
        <f t="shared" si="12"/>
        <v>3.9999999999999996E-5</v>
      </c>
      <c r="S70" s="9">
        <f t="shared" si="13"/>
        <v>6.7391685565801198E-6</v>
      </c>
      <c r="T70" s="9">
        <f t="shared" si="10"/>
        <v>1.1752878812968439E-5</v>
      </c>
      <c r="U70" s="9">
        <f t="shared" si="11"/>
        <v>3.3260831443419874E-5</v>
      </c>
      <c r="V70" s="100">
        <f t="shared" si="14"/>
        <v>0.35335493139915353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38"/>
      <c r="H71" s="13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5.6147977266030304</v>
      </c>
      <c r="K71" s="55">
        <f t="shared" ref="K71:K122" si="35">IF(D71=0,"",1/(1+10^D71*$J$15/$J$14+10^E71*$J$16/$J$14+10^J71*$J$19/$J$14))</f>
        <v>9.0546351732983458E-4</v>
      </c>
      <c r="L71" s="55">
        <f t="shared" ref="L71:L122" si="36">IF(D71=0,"",1/(1+10^I71/10^J71*$J$13/$J$19))</f>
        <v>0.26121117092307411</v>
      </c>
      <c r="M71" s="55">
        <f t="shared" si="19"/>
        <v>0.73878882907692589</v>
      </c>
      <c r="N71" s="55">
        <f t="shared" ref="N71:N122" si="37">IF(D71=0,"",1/(1/10^E71*$J$20/$J$22+10^D71/10^E71*$J$21/$J$22+10^I71/10^E71*$J$13/$J$22+1))</f>
        <v>0.20866772159895389</v>
      </c>
      <c r="O71" s="56">
        <f t="shared" si="21"/>
        <v>9.0656694346868214E-10</v>
      </c>
      <c r="P71" s="56">
        <f t="shared" ref="P71:P122" si="38">IF(D71=0,"",O71*10^J71)</f>
        <v>3.7342002677531505E-4</v>
      </c>
      <c r="Q71" s="56">
        <f t="shared" ref="Q71:Q122" si="39">IF(D71=0,"",F71*N71*$J$7/$J$22)</f>
        <v>9.943513762098722E-3</v>
      </c>
      <c r="R71" s="9">
        <f t="shared" si="12"/>
        <v>3.9999999999999996E-5</v>
      </c>
      <c r="S71" s="9">
        <f t="shared" si="13"/>
        <v>1.0448446836922964E-5</v>
      </c>
      <c r="T71" s="9">
        <f t="shared" si="10"/>
        <v>3.6218540693193381E-8</v>
      </c>
      <c r="U71" s="9">
        <f t="shared" si="11"/>
        <v>2.9551553163077032E-5</v>
      </c>
      <c r="V71" s="100">
        <f t="shared" si="14"/>
        <v>1.2256053173694561E-3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38"/>
      <c r="H72" s="138"/>
      <c r="I72" s="54">
        <f t="shared" si="33"/>
        <v>2.4659786116205753</v>
      </c>
      <c r="J72" s="54">
        <f t="shared" si="34"/>
        <v>5.1323855239773488</v>
      </c>
      <c r="K72" s="55">
        <f t="shared" si="35"/>
        <v>2.5803182494589655E-3</v>
      </c>
      <c r="L72" s="55">
        <f t="shared" si="36"/>
        <v>0.24512175692194652</v>
      </c>
      <c r="M72" s="55">
        <f t="shared" si="19"/>
        <v>0.75487824307805351</v>
      </c>
      <c r="N72" s="55">
        <f t="shared" si="37"/>
        <v>0.18395330353297112</v>
      </c>
      <c r="O72" s="56">
        <f t="shared" si="21"/>
        <v>2.5834627059152506E-9</v>
      </c>
      <c r="P72" s="56">
        <f t="shared" si="38"/>
        <v>3.5041906021684581E-4</v>
      </c>
      <c r="Q72" s="56">
        <f t="shared" si="39"/>
        <v>8.7658128974021053E-3</v>
      </c>
      <c r="R72" s="9">
        <f t="shared" si="12"/>
        <v>3.9999999999999996E-5</v>
      </c>
      <c r="S72" s="9">
        <f t="shared" si="13"/>
        <v>9.80487027687786E-6</v>
      </c>
      <c r="T72" s="9">
        <f t="shared" si="10"/>
        <v>1.0321272997835861E-7</v>
      </c>
      <c r="U72" s="9">
        <f t="shared" si="11"/>
        <v>3.0195129723122138E-5</v>
      </c>
      <c r="V72" s="100">
        <f t="shared" si="14"/>
        <v>3.4181913084918034E-3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38"/>
      <c r="H73" s="138"/>
      <c r="I73" s="54">
        <f t="shared" si="33"/>
        <v>2.4593424067669152</v>
      </c>
      <c r="J73" s="54">
        <f t="shared" si="34"/>
        <v>5.1505570683328576</v>
      </c>
      <c r="K73" s="55">
        <f t="shared" si="35"/>
        <v>2.5828321664098418E-3</v>
      </c>
      <c r="L73" s="55">
        <f t="shared" si="36"/>
        <v>0.25584463692134912</v>
      </c>
      <c r="M73" s="55">
        <f t="shared" si="19"/>
        <v>0.74415536307865082</v>
      </c>
      <c r="N73" s="55">
        <f t="shared" si="37"/>
        <v>0.20064507496299608</v>
      </c>
      <c r="O73" s="56">
        <f t="shared" si="21"/>
        <v>2.5859796864038855E-9</v>
      </c>
      <c r="P73" s="56">
        <f t="shared" si="38"/>
        <v>3.6574818309599154E-4</v>
      </c>
      <c r="Q73" s="56">
        <f t="shared" si="39"/>
        <v>9.5612155483557216E-3</v>
      </c>
      <c r="R73" s="9">
        <f t="shared" si="12"/>
        <v>3.9999999999999996E-5</v>
      </c>
      <c r="S73" s="9">
        <f t="shared" si="13"/>
        <v>1.0233785476853965E-5</v>
      </c>
      <c r="T73" s="9">
        <f t="shared" si="10"/>
        <v>1.0331328665639366E-7</v>
      </c>
      <c r="U73" s="9">
        <f t="shared" si="11"/>
        <v>2.9766214523146032E-5</v>
      </c>
      <c r="V73" s="100">
        <f t="shared" si="14"/>
        <v>3.4708238286752205E-3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38"/>
      <c r="H74" s="138"/>
      <c r="I74" s="54">
        <f t="shared" si="33"/>
        <v>0.12015758400049081</v>
      </c>
      <c r="J74" s="54">
        <f t="shared" si="34"/>
        <v>2.0279953279061091</v>
      </c>
      <c r="K74" s="55">
        <f t="shared" si="35"/>
        <v>0.7172992760204816</v>
      </c>
      <c r="L74" s="55">
        <f t="shared" si="36"/>
        <v>5.3581983122998202E-2</v>
      </c>
      <c r="M74" s="55">
        <f t="shared" si="19"/>
        <v>0.94641801687700178</v>
      </c>
      <c r="N74" s="55">
        <f t="shared" si="37"/>
        <v>2.6805425784073581E-2</v>
      </c>
      <c r="O74" s="56">
        <f t="shared" si="21"/>
        <v>7.1817339933455115E-7</v>
      </c>
      <c r="P74" s="56">
        <f t="shared" si="38"/>
        <v>7.6599272158834711E-5</v>
      </c>
      <c r="Q74" s="56">
        <f t="shared" si="39"/>
        <v>1.2773423610534492E-3</v>
      </c>
      <c r="R74" s="9">
        <f t="shared" si="12"/>
        <v>3.9999999999999996E-5</v>
      </c>
      <c r="S74" s="9">
        <f t="shared" si="13"/>
        <v>2.143279324919928E-6</v>
      </c>
      <c r="T74" s="9">
        <f t="shared" si="10"/>
        <v>2.8691971040819263E-5</v>
      </c>
      <c r="U74" s="9">
        <f t="shared" si="11"/>
        <v>3.7856720675080069E-5</v>
      </c>
      <c r="V74" s="100">
        <f t="shared" si="14"/>
        <v>0.757909574024628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38"/>
      <c r="H75" s="138"/>
      <c r="I75" s="54">
        <f t="shared" si="33"/>
        <v>1.0613094291357716</v>
      </c>
      <c r="J75" s="54">
        <f t="shared" si="34"/>
        <v>3.7492517444009614</v>
      </c>
      <c r="K75" s="55">
        <f t="shared" si="35"/>
        <v>6.4708902206966665E-2</v>
      </c>
      <c r="L75" s="55">
        <f t="shared" si="36"/>
        <v>0.25441273061500547</v>
      </c>
      <c r="M75" s="55">
        <f t="shared" si="19"/>
        <v>0.74558726938499453</v>
      </c>
      <c r="N75" s="55">
        <f t="shared" si="37"/>
        <v>0.21067273438594358</v>
      </c>
      <c r="O75" s="56">
        <f t="shared" si="21"/>
        <v>6.4787758497413196E-8</v>
      </c>
      <c r="P75" s="56">
        <f t="shared" si="38"/>
        <v>3.6370117075205157E-4</v>
      </c>
      <c r="Q75" s="56">
        <f t="shared" si="39"/>
        <v>1.003905739523875E-2</v>
      </c>
      <c r="R75" s="9">
        <f t="shared" si="12"/>
        <v>3.9999999999999996E-5</v>
      </c>
      <c r="S75" s="9">
        <f t="shared" si="13"/>
        <v>1.0176509224600218E-5</v>
      </c>
      <c r="T75" s="9">
        <f t="shared" si="10"/>
        <v>2.5883560882786662E-6</v>
      </c>
      <c r="U75" s="9">
        <f t="shared" si="11"/>
        <v>2.982349077539978E-5</v>
      </c>
      <c r="V75" s="100">
        <f t="shared" si="14"/>
        <v>8.6789172594567615E-2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38"/>
      <c r="H76" s="138"/>
      <c r="I76" s="54">
        <f t="shared" si="33"/>
        <v>1.080392983851221</v>
      </c>
      <c r="J76" s="54">
        <f t="shared" si="34"/>
        <v>3.7118118425949667</v>
      </c>
      <c r="K76" s="55">
        <f t="shared" si="35"/>
        <v>6.3911356165466005E-2</v>
      </c>
      <c r="L76" s="55">
        <f t="shared" si="36"/>
        <v>0.23052229710634445</v>
      </c>
      <c r="M76" s="55">
        <f t="shared" si="19"/>
        <v>0.76947770289365558</v>
      </c>
      <c r="N76" s="55">
        <f t="shared" si="37"/>
        <v>0.17332745119769447</v>
      </c>
      <c r="O76" s="56">
        <f t="shared" si="21"/>
        <v>6.3989240541382248E-8</v>
      </c>
      <c r="P76" s="56">
        <f t="shared" si="38"/>
        <v>3.2954808959188419E-4</v>
      </c>
      <c r="Q76" s="56">
        <f t="shared" si="39"/>
        <v>8.2594657339777559E-3</v>
      </c>
      <c r="R76" s="9">
        <f t="shared" si="12"/>
        <v>3.9999999999999996E-5</v>
      </c>
      <c r="S76" s="9">
        <f t="shared" si="13"/>
        <v>9.2208918842537777E-6</v>
      </c>
      <c r="T76" s="9">
        <f t="shared" si="10"/>
        <v>2.5564542466186401E-6</v>
      </c>
      <c r="U76" s="9">
        <f t="shared" si="11"/>
        <v>3.0779108115746219E-5</v>
      </c>
      <c r="V76" s="100">
        <f t="shared" si="14"/>
        <v>8.305810022190957E-2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38"/>
      <c r="H77" s="138"/>
      <c r="I77" s="54">
        <f t="shared" si="33"/>
        <v>0.16668848098518507</v>
      </c>
      <c r="J77" s="54">
        <f t="shared" si="34"/>
        <v>2.2606800266912841</v>
      </c>
      <c r="K77" s="55">
        <f t="shared" si="35"/>
        <v>0.626457085441261</v>
      </c>
      <c r="L77" s="55">
        <f t="shared" si="36"/>
        <v>7.9963982445988929E-2</v>
      </c>
      <c r="M77" s="55">
        <f t="shared" si="19"/>
        <v>0.9200360175540111</v>
      </c>
      <c r="N77" s="55">
        <f t="shared" si="37"/>
        <v>4.994990230915751E-2</v>
      </c>
      <c r="O77" s="56">
        <f t="shared" si="21"/>
        <v>6.2722050562298252E-7</v>
      </c>
      <c r="P77" s="56">
        <f t="shared" si="38"/>
        <v>1.1431422461957301E-4</v>
      </c>
      <c r="Q77" s="56">
        <f t="shared" si="39"/>
        <v>2.3802317733701865E-3</v>
      </c>
      <c r="R77" s="9">
        <f t="shared" si="12"/>
        <v>3.9999999999999996E-5</v>
      </c>
      <c r="S77" s="9">
        <f t="shared" si="13"/>
        <v>3.1985592978395568E-6</v>
      </c>
      <c r="T77" s="9">
        <f t="shared" si="10"/>
        <v>2.5058283417650439E-5</v>
      </c>
      <c r="U77" s="9">
        <f t="shared" si="11"/>
        <v>3.6801440702160443E-5</v>
      </c>
      <c r="V77" s="100">
        <f t="shared" si="14"/>
        <v>0.68090495751106239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2.5816370248013158</v>
      </c>
      <c r="K78" s="55">
        <f t="shared" si="35"/>
        <v>0.46978890086474212</v>
      </c>
      <c r="L78" s="55">
        <f t="shared" si="36"/>
        <v>0.12556333427171062</v>
      </c>
      <c r="M78" s="55">
        <f t="shared" si="19"/>
        <v>0.87443666572828938</v>
      </c>
      <c r="N78" s="55">
        <f t="shared" si="37"/>
        <v>9.0021670883043678E-2</v>
      </c>
      <c r="O78" s="56">
        <f t="shared" si="21"/>
        <v>4.7036140030070314E-7</v>
      </c>
      <c r="P78" s="56">
        <f t="shared" si="38"/>
        <v>1.7950175515100118E-4</v>
      </c>
      <c r="Q78" s="56">
        <f t="shared" si="39"/>
        <v>4.2897469548886574E-3</v>
      </c>
      <c r="R78" s="9">
        <f t="shared" si="12"/>
        <v>3.9999999999999996E-5</v>
      </c>
      <c r="S78" s="9">
        <f t="shared" si="13"/>
        <v>5.0225333708684242E-6</v>
      </c>
      <c r="T78" s="9">
        <f t="shared" si="10"/>
        <v>1.8791556034589682E-5</v>
      </c>
      <c r="U78" s="9">
        <f t="shared" si="11"/>
        <v>3.4977466629131569E-5</v>
      </c>
      <c r="V78" s="100">
        <f t="shared" si="14"/>
        <v>0.53724748661296184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2.5355592122209871</v>
      </c>
      <c r="K79" s="55">
        <f t="shared" si="35"/>
        <v>0.43823698662422744</v>
      </c>
      <c r="L79" s="55">
        <f t="shared" si="36"/>
        <v>0.10533951239295962</v>
      </c>
      <c r="M79" s="55">
        <f t="shared" si="19"/>
        <v>0.89466048760704042</v>
      </c>
      <c r="N79" s="55">
        <f t="shared" si="37"/>
        <v>5.2316459577980041E-2</v>
      </c>
      <c r="O79" s="56">
        <f t="shared" si="21"/>
        <v>4.3877103591146643E-7</v>
      </c>
      <c r="P79" s="56">
        <f t="shared" si="38"/>
        <v>1.5059035721662095E-4</v>
      </c>
      <c r="Q79" s="56">
        <f t="shared" si="39"/>
        <v>2.4930038618897437E-3</v>
      </c>
      <c r="R79" s="9">
        <f t="shared" si="12"/>
        <v>3.9999999999999996E-5</v>
      </c>
      <c r="S79" s="9">
        <f t="shared" si="13"/>
        <v>4.2135804957183846E-6</v>
      </c>
      <c r="T79" s="9">
        <f t="shared" si="10"/>
        <v>1.7529479464969095E-5</v>
      </c>
      <c r="U79" s="9">
        <f t="shared" si="11"/>
        <v>3.5786419504281613E-5</v>
      </c>
      <c r="V79" s="100">
        <f t="shared" si="14"/>
        <v>0.48983608049617278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2.6167182318767161</v>
      </c>
      <c r="K80" s="55">
        <f t="shared" si="35"/>
        <v>0.38920103710017973</v>
      </c>
      <c r="L80" s="55">
        <f t="shared" si="36"/>
        <v>0.11277563563368086</v>
      </c>
      <c r="M80" s="55">
        <f t="shared" si="19"/>
        <v>0.88722436436631913</v>
      </c>
      <c r="N80" s="55">
        <f t="shared" si="37"/>
        <v>5.421747731412032E-2</v>
      </c>
      <c r="O80" s="56">
        <f t="shared" si="21"/>
        <v>3.8967532964690694E-7</v>
      </c>
      <c r="P80" s="56">
        <f t="shared" si="38"/>
        <v>1.612208265408921E-4</v>
      </c>
      <c r="Q80" s="56">
        <f t="shared" si="39"/>
        <v>2.5835918832495335E-3</v>
      </c>
      <c r="R80" s="9">
        <f t="shared" si="12"/>
        <v>3.9999999999999996E-5</v>
      </c>
      <c r="S80" s="9">
        <f t="shared" si="13"/>
        <v>4.5110254253472343E-6</v>
      </c>
      <c r="T80" s="9">
        <f t="shared" si="10"/>
        <v>1.5568041484007189E-5</v>
      </c>
      <c r="U80" s="9">
        <f t="shared" si="11"/>
        <v>3.548897457465276E-5</v>
      </c>
      <c r="V80" s="100">
        <f t="shared" si="14"/>
        <v>0.43867262073912744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4.195712087091966</v>
      </c>
      <c r="K81" s="55">
        <f t="shared" si="35"/>
        <v>2.4282269814007166E-2</v>
      </c>
      <c r="L81" s="55">
        <f t="shared" si="36"/>
        <v>0.26688516286969433</v>
      </c>
      <c r="M81" s="55">
        <f t="shared" si="19"/>
        <v>0.73311483713030567</v>
      </c>
      <c r="N81" s="55">
        <f t="shared" si="37"/>
        <v>0.22211178281159627</v>
      </c>
      <c r="O81" s="56">
        <f t="shared" si="21"/>
        <v>2.4311860946847433E-8</v>
      </c>
      <c r="P81" s="56">
        <f t="shared" si="38"/>
        <v>3.8153140354814748E-4</v>
      </c>
      <c r="Q81" s="56">
        <f t="shared" si="39"/>
        <v>1.0584155288550685E-2</v>
      </c>
      <c r="R81" s="9">
        <f t="shared" si="12"/>
        <v>3.9999999999999996E-5</v>
      </c>
      <c r="S81" s="9">
        <f t="shared" si="13"/>
        <v>1.0675406514787773E-5</v>
      </c>
      <c r="T81" s="9">
        <f t="shared" si="10"/>
        <v>9.7129079256028664E-7</v>
      </c>
      <c r="U81" s="9">
        <f t="shared" si="11"/>
        <v>2.9324593485212224E-5</v>
      </c>
      <c r="V81" s="100">
        <f t="shared" si="14"/>
        <v>3.312205480529809E-2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3.9025095498636322</v>
      </c>
      <c r="K82" s="55">
        <f t="shared" si="35"/>
        <v>4.2766501429505062E-2</v>
      </c>
      <c r="L82" s="55">
        <f t="shared" si="36"/>
        <v>0.2392964943791791</v>
      </c>
      <c r="M82" s="55">
        <f t="shared" si="19"/>
        <v>0.7607035056208209</v>
      </c>
      <c r="N82" s="55">
        <f t="shared" si="37"/>
        <v>0.18281382743145508</v>
      </c>
      <c r="O82" s="56">
        <f t="shared" si="21"/>
        <v>4.2818618024642477E-8</v>
      </c>
      <c r="P82" s="56">
        <f t="shared" si="38"/>
        <v>3.4209143132177803E-4</v>
      </c>
      <c r="Q82" s="56">
        <f t="shared" si="39"/>
        <v>8.7115141481265285E-3</v>
      </c>
      <c r="R82" s="9">
        <f t="shared" si="12"/>
        <v>3.9999999999999996E-5</v>
      </c>
      <c r="S82" s="9">
        <f t="shared" si="13"/>
        <v>9.5718597751671637E-6</v>
      </c>
      <c r="T82" s="9">
        <f t="shared" si="10"/>
        <v>1.7106600571802023E-6</v>
      </c>
      <c r="U82" s="9">
        <f t="shared" si="11"/>
        <v>3.0428140224832834E-5</v>
      </c>
      <c r="V82" s="100">
        <f t="shared" si="14"/>
        <v>5.6219671808404134E-2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2.2038999237977572</v>
      </c>
      <c r="K83" s="55">
        <f t="shared" si="35"/>
        <v>0.65784865084320632</v>
      </c>
      <c r="L83" s="55">
        <f t="shared" si="36"/>
        <v>7.3679891047977453E-2</v>
      </c>
      <c r="M83" s="55">
        <f t="shared" si="19"/>
        <v>0.92632010895202255</v>
      </c>
      <c r="N83" s="55">
        <f t="shared" si="37"/>
        <v>4.6361161283691318E-2</v>
      </c>
      <c r="O83" s="56">
        <f t="shared" si="21"/>
        <v>6.5865032576754415E-7</v>
      </c>
      <c r="P83" s="56">
        <f t="shared" si="38"/>
        <v>1.0533066710244435E-4</v>
      </c>
      <c r="Q83" s="56">
        <f t="shared" si="39"/>
        <v>2.2092197188852336E-3</v>
      </c>
      <c r="R83" s="9">
        <f t="shared" si="12"/>
        <v>3.9999999999999996E-5</v>
      </c>
      <c r="S83" s="9">
        <f t="shared" si="13"/>
        <v>2.9471956419190978E-6</v>
      </c>
      <c r="T83" s="9">
        <f t="shared" si="10"/>
        <v>2.631394603372825E-5</v>
      </c>
      <c r="U83" s="9">
        <f t="shared" si="11"/>
        <v>3.7052804358080898E-5</v>
      </c>
      <c r="V83" s="100">
        <f t="shared" si="14"/>
        <v>0.71017420920231655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3.9287211418950596</v>
      </c>
      <c r="K84" s="55">
        <f t="shared" si="35"/>
        <v>3.5587104855398628E-2</v>
      </c>
      <c r="L84" s="55">
        <f t="shared" si="36"/>
        <v>0.21151290141455906</v>
      </c>
      <c r="M84" s="55">
        <f t="shared" si="19"/>
        <v>0.78848709858544097</v>
      </c>
      <c r="N84" s="55">
        <f t="shared" si="37"/>
        <v>0.13814939123756387</v>
      </c>
      <c r="O84" s="56">
        <f t="shared" si="21"/>
        <v>3.5630472413507602E-8</v>
      </c>
      <c r="P84" s="56">
        <f t="shared" si="38"/>
        <v>3.0237280063649907E-4</v>
      </c>
      <c r="Q84" s="56">
        <f t="shared" si="39"/>
        <v>6.5831474195919126E-3</v>
      </c>
      <c r="R84" s="9">
        <f t="shared" si="12"/>
        <v>3.9999999999999996E-5</v>
      </c>
      <c r="S84" s="9">
        <f t="shared" si="13"/>
        <v>8.4605160565823618E-6</v>
      </c>
      <c r="T84" s="9">
        <f t="shared" si="10"/>
        <v>1.423484194215945E-6</v>
      </c>
      <c r="U84" s="9">
        <f t="shared" si="11"/>
        <v>3.1539483943417638E-5</v>
      </c>
      <c r="V84" s="100">
        <f t="shared" si="14"/>
        <v>4.5133401572761925E-2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2.1195388952426257</v>
      </c>
      <c r="K85" s="55">
        <f t="shared" si="35"/>
        <v>0.69731326148630979</v>
      </c>
      <c r="L85" s="55">
        <f t="shared" si="36"/>
        <v>6.4311684154997231E-2</v>
      </c>
      <c r="M85" s="55">
        <f t="shared" si="19"/>
        <v>0.93568831584500278</v>
      </c>
      <c r="N85" s="55">
        <f t="shared" si="37"/>
        <v>3.9564368868588697E-2</v>
      </c>
      <c r="O85" s="56">
        <f t="shared" si="21"/>
        <v>6.9816302921848535E-7</v>
      </c>
      <c r="P85" s="56">
        <f t="shared" si="38"/>
        <v>9.193814619129392E-5</v>
      </c>
      <c r="Q85" s="56">
        <f t="shared" si="39"/>
        <v>1.8853363774665099E-3</v>
      </c>
      <c r="R85" s="9">
        <f t="shared" si="12"/>
        <v>3.9999999999999996E-5</v>
      </c>
      <c r="S85" s="9">
        <f t="shared" si="13"/>
        <v>2.5724673661998891E-6</v>
      </c>
      <c r="T85" s="9">
        <f t="shared" si="10"/>
        <v>2.7892530459452388E-5</v>
      </c>
      <c r="U85" s="9">
        <f t="shared" si="11"/>
        <v>3.7427532633800109E-5</v>
      </c>
      <c r="V85" s="100">
        <f t="shared" si="14"/>
        <v>0.74524096291250475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3.1044657046165054</v>
      </c>
      <c r="K86" s="55">
        <f t="shared" si="35"/>
        <v>0.16504647048491777</v>
      </c>
      <c r="L86" s="55">
        <f t="shared" si="36"/>
        <v>0.14702629348060611</v>
      </c>
      <c r="M86" s="55">
        <f t="shared" si="19"/>
        <v>0.85297370651939386</v>
      </c>
      <c r="N86" s="55">
        <f t="shared" si="37"/>
        <v>6.3309744224847184E-2</v>
      </c>
      <c r="O86" s="56">
        <f t="shared" si="21"/>
        <v>1.6524760127171595E-7</v>
      </c>
      <c r="P86" s="56">
        <f t="shared" si="38"/>
        <v>2.1018458840863218E-4</v>
      </c>
      <c r="Q86" s="56">
        <f t="shared" si="39"/>
        <v>3.0168600498002183E-3</v>
      </c>
      <c r="R86" s="9">
        <f t="shared" si="12"/>
        <v>3.9999999999999996E-5</v>
      </c>
      <c r="S86" s="9">
        <f t="shared" si="13"/>
        <v>5.8810517392242442E-6</v>
      </c>
      <c r="T86" s="9">
        <f t="shared" si="10"/>
        <v>6.6018588193967105E-6</v>
      </c>
      <c r="U86" s="9">
        <f t="shared" si="11"/>
        <v>3.411894826077575E-5</v>
      </c>
      <c r="V86" s="100">
        <f t="shared" si="14"/>
        <v>0.19349537884162804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1.8482687840458425</v>
      </c>
      <c r="K87" s="55">
        <f t="shared" si="35"/>
        <v>0.79860105852023255</v>
      </c>
      <c r="L87" s="55">
        <f t="shared" si="36"/>
        <v>3.9438621660819864E-2</v>
      </c>
      <c r="M87" s="55">
        <f t="shared" si="19"/>
        <v>0.96056137833918009</v>
      </c>
      <c r="N87" s="55">
        <f t="shared" si="37"/>
        <v>2.0829475359030625E-2</v>
      </c>
      <c r="O87" s="56">
        <f t="shared" si="21"/>
        <v>7.9957425872721722E-7</v>
      </c>
      <c r="P87" s="56">
        <f t="shared" si="38"/>
        <v>5.6380326708546337E-5</v>
      </c>
      <c r="Q87" s="56">
        <f t="shared" si="39"/>
        <v>9.9257409484675933E-4</v>
      </c>
      <c r="R87" s="9">
        <f t="shared" si="12"/>
        <v>3.9999999999999996E-5</v>
      </c>
      <c r="S87" s="9">
        <f t="shared" si="13"/>
        <v>1.5775448664327945E-6</v>
      </c>
      <c r="T87" s="9">
        <f t="shared" si="10"/>
        <v>3.1944042340809296E-5</v>
      </c>
      <c r="U87" s="9">
        <f t="shared" si="11"/>
        <v>3.8422455133567199E-5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0.99628677044171088</v>
      </c>
      <c r="K88" s="55">
        <f t="shared" si="35"/>
        <v>0.95374717447289625</v>
      </c>
      <c r="L88" s="55">
        <f t="shared" si="36"/>
        <v>6.6228222264978322E-3</v>
      </c>
      <c r="M88" s="55">
        <f t="shared" si="19"/>
        <v>0.99337717777350221</v>
      </c>
      <c r="N88" s="55">
        <f t="shared" si="37"/>
        <v>3.5635067182507524E-4</v>
      </c>
      <c r="O88" s="56">
        <f t="shared" si="21"/>
        <v>9.5490944058525032E-7</v>
      </c>
      <c r="P88" s="56">
        <f t="shared" si="38"/>
        <v>9.4677974315091201E-6</v>
      </c>
      <c r="Q88" s="56">
        <f t="shared" si="39"/>
        <v>1.6980957966445373E-5</v>
      </c>
      <c r="R88" s="9">
        <f t="shared" si="12"/>
        <v>3.9999999999999996E-5</v>
      </c>
      <c r="S88" s="9">
        <f t="shared" si="13"/>
        <v>2.6491288905991324E-7</v>
      </c>
      <c r="T88" s="9">
        <f t="shared" si="10"/>
        <v>3.8149886978915849E-5</v>
      </c>
      <c r="U88" s="9">
        <f t="shared" si="11"/>
        <v>3.9735087110940082E-5</v>
      </c>
      <c r="V88" s="100">
        <f t="shared" si="14"/>
        <v>0.96010578440162042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0.51886105197848853</v>
      </c>
      <c r="K89" s="55">
        <f t="shared" si="35"/>
        <v>0.98832466186263834</v>
      </c>
      <c r="L89" s="55">
        <f t="shared" si="36"/>
        <v>2.2860395902712695E-3</v>
      </c>
      <c r="M89" s="55">
        <f t="shared" si="19"/>
        <v>0.99771396040972871</v>
      </c>
      <c r="N89" s="55">
        <f t="shared" si="37"/>
        <v>4.2733389186103062E-4</v>
      </c>
      <c r="O89" s="56">
        <f t="shared" si="21"/>
        <v>9.8952906518170624E-7</v>
      </c>
      <c r="P89" s="56">
        <f t="shared" si="38"/>
        <v>3.2680568828349426E-6</v>
      </c>
      <c r="Q89" s="56">
        <f t="shared" si="39"/>
        <v>2.0363477408825398E-5</v>
      </c>
      <c r="R89" s="9">
        <f t="shared" si="12"/>
        <v>3.9999999999999996E-5</v>
      </c>
      <c r="S89" s="9">
        <f t="shared" si="13"/>
        <v>9.1441583610850769E-8</v>
      </c>
      <c r="T89" s="9">
        <f t="shared" si="10"/>
        <v>3.953298647450553E-5</v>
      </c>
      <c r="U89" s="9">
        <f t="shared" si="11"/>
        <v>3.9908558416389143E-5</v>
      </c>
      <c r="V89" s="100">
        <f t="shared" si="14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2.318135879654076E-2</v>
      </c>
      <c r="K90" s="55">
        <f t="shared" si="35"/>
        <v>0.99844775166038757</v>
      </c>
      <c r="L90" s="55">
        <f t="shared" si="36"/>
        <v>7.3761504268252934E-4</v>
      </c>
      <c r="M90" s="55">
        <f t="shared" si="19"/>
        <v>0.99926238495731745</v>
      </c>
      <c r="N90" s="55">
        <f t="shared" si="37"/>
        <v>1.4188805281237253E-5</v>
      </c>
      <c r="O90" s="56">
        <f t="shared" si="21"/>
        <v>9.9966449129303929E-7</v>
      </c>
      <c r="P90" s="56">
        <f t="shared" si="38"/>
        <v>1.0544733903034384E-6</v>
      </c>
      <c r="Q90" s="56">
        <f t="shared" si="39"/>
        <v>6.7613035452067239E-7</v>
      </c>
      <c r="R90" s="9">
        <f t="shared" si="12"/>
        <v>3.9999999999999996E-5</v>
      </c>
      <c r="S90" s="9">
        <f t="shared" si="13"/>
        <v>2.9504601707301171E-8</v>
      </c>
      <c r="T90" s="9">
        <f t="shared" si="10"/>
        <v>3.9937910066415498E-5</v>
      </c>
      <c r="U90" s="9">
        <f t="shared" si="11"/>
        <v>3.9970495398292692E-5</v>
      </c>
      <c r="V90" s="100">
        <f t="shared" si="14"/>
        <v>0.99918476537374645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-1.1579999958037488E-2</v>
      </c>
      <c r="K91" s="55">
        <f t="shared" si="35"/>
        <v>0.99885399644921258</v>
      </c>
      <c r="L91" s="55">
        <f t="shared" si="36"/>
        <v>6.8115362852599513E-4</v>
      </c>
      <c r="M91" s="55">
        <f t="shared" si="19"/>
        <v>0.99931884637147406</v>
      </c>
      <c r="N91" s="55">
        <f t="shared" si="37"/>
        <v>6.4469441740297855E-6</v>
      </c>
      <c r="O91" s="56">
        <f t="shared" si="21"/>
        <v>1.0000712311444597E-6</v>
      </c>
      <c r="P91" s="56">
        <f t="shared" si="38"/>
        <v>9.7375776580851889E-7</v>
      </c>
      <c r="Q91" s="56">
        <f t="shared" si="39"/>
        <v>3.0721223975960033E-7</v>
      </c>
      <c r="R91" s="9">
        <f t="shared" si="12"/>
        <v>3.9999999999999996E-5</v>
      </c>
      <c r="S91" s="9">
        <f t="shared" si="13"/>
        <v>2.7246145141039801E-8</v>
      </c>
      <c r="T91" s="9">
        <f t="shared" si="10"/>
        <v>3.9954159857968501E-5</v>
      </c>
      <c r="U91" s="9">
        <f t="shared" si="11"/>
        <v>3.9972753854858958E-5</v>
      </c>
      <c r="V91" s="100">
        <f t="shared" si="14"/>
        <v>0.99953483322770376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0.60280413004727795</v>
      </c>
      <c r="K92" s="55">
        <f t="shared" si="35"/>
        <v>0.98536840784695134</v>
      </c>
      <c r="L92" s="55">
        <f t="shared" si="36"/>
        <v>2.7651954081240097E-3</v>
      </c>
      <c r="M92" s="55">
        <f t="shared" si="19"/>
        <v>0.99723480459187597</v>
      </c>
      <c r="N92" s="55">
        <f t="shared" si="37"/>
        <v>5.899637185628198E-4</v>
      </c>
      <c r="O92" s="56">
        <f t="shared" si="21"/>
        <v>9.8656920858248985E-7</v>
      </c>
      <c r="P92" s="56">
        <f t="shared" si="38"/>
        <v>3.9530443498709954E-6</v>
      </c>
      <c r="Q92" s="56">
        <f t="shared" si="39"/>
        <v>2.8113175865038756E-5</v>
      </c>
      <c r="R92" s="9">
        <f t="shared" si="12"/>
        <v>3.9999999999999996E-5</v>
      </c>
      <c r="S92" s="9">
        <f t="shared" si="13"/>
        <v>1.1060781632496038E-7</v>
      </c>
      <c r="T92" s="9">
        <f t="shared" ref="T92:T143" si="40">R92*K92</f>
        <v>3.9414736313878053E-5</v>
      </c>
      <c r="U92" s="9">
        <f t="shared" ref="U92:U143" si="41">$R92*M92</f>
        <v>3.9889392183675038E-5</v>
      </c>
      <c r="V92" s="100">
        <f t="shared" si="14"/>
        <v>0.98810069936359568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-1.0168457529068075E-2</v>
      </c>
      <c r="K93" s="55">
        <f t="shared" si="35"/>
        <v>0.99883796335796282</v>
      </c>
      <c r="L93" s="55">
        <f t="shared" si="36"/>
        <v>6.8336014425956994E-4</v>
      </c>
      <c r="M93" s="55">
        <f t="shared" ref="M93:M127" si="42">IF(D93=0,"",1-L93)</f>
        <v>0.99931663985574049</v>
      </c>
      <c r="N93" s="55">
        <f t="shared" si="37"/>
        <v>6.7185191407985637E-6</v>
      </c>
      <c r="O93" s="56">
        <f t="shared" ref="O93:O127" si="43">IF(D93=0,"",F93*K93*$J$7/$J$14)</f>
        <v>1.0000551785147839E-6</v>
      </c>
      <c r="P93" s="56">
        <f t="shared" si="38"/>
        <v>9.7691213765793094E-7</v>
      </c>
      <c r="Q93" s="56">
        <f t="shared" si="39"/>
        <v>3.2015343353319637E-7</v>
      </c>
      <c r="R93" s="9">
        <f t="shared" ref="R93:R143" si="44">F93*$C$14</f>
        <v>3.9999999999999996E-5</v>
      </c>
      <c r="S93" s="9">
        <f t="shared" ref="S93:S143" si="45">$R93*L93</f>
        <v>2.7334405770382794E-8</v>
      </c>
      <c r="T93" s="9">
        <f t="shared" si="40"/>
        <v>3.9953518534318512E-5</v>
      </c>
      <c r="U93" s="9">
        <f t="shared" si="41"/>
        <v>3.9972665594229617E-5</v>
      </c>
      <c r="V93" s="100">
        <f t="shared" ref="V93:V143" si="46">K93/M93</f>
        <v>0.99952099617009604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-4.6114351669366088E-2</v>
      </c>
      <c r="K94" s="55">
        <f t="shared" si="35"/>
        <v>0.99923592615275014</v>
      </c>
      <c r="L94" s="55">
        <f t="shared" si="36"/>
        <v>6.2932756022523236E-4</v>
      </c>
      <c r="M94" s="55">
        <f t="shared" si="42"/>
        <v>0.99937067243977473</v>
      </c>
      <c r="N94" s="55">
        <f t="shared" si="37"/>
        <v>1.1234671801686236E-6</v>
      </c>
      <c r="O94" s="56">
        <f t="shared" si="43"/>
        <v>1.0004536262794697E-6</v>
      </c>
      <c r="P94" s="56">
        <f t="shared" si="38"/>
        <v>8.9966869931055722E-7</v>
      </c>
      <c r="Q94" s="56">
        <f t="shared" si="39"/>
        <v>5.3535886056892457E-8</v>
      </c>
      <c r="R94" s="9">
        <f t="shared" si="44"/>
        <v>3.9999999999999996E-5</v>
      </c>
      <c r="S94" s="9">
        <f t="shared" si="45"/>
        <v>2.5173102409009293E-8</v>
      </c>
      <c r="T94" s="9">
        <f t="shared" si="40"/>
        <v>3.9969437046110005E-5</v>
      </c>
      <c r="U94" s="9">
        <f t="shared" si="41"/>
        <v>3.9974826897590989E-5</v>
      </c>
      <c r="V94" s="100">
        <f t="shared" si="46"/>
        <v>0.99986516886002308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3.6125247697901655</v>
      </c>
      <c r="K95" s="55">
        <f t="shared" si="35"/>
        <v>8.5035225490677963E-2</v>
      </c>
      <c r="L95" s="55">
        <f t="shared" si="36"/>
        <v>0.24403195564070571</v>
      </c>
      <c r="M95" s="55">
        <f t="shared" si="42"/>
        <v>0.75596804435929432</v>
      </c>
      <c r="N95" s="55">
        <f t="shared" si="37"/>
        <v>0.19852406888706575</v>
      </c>
      <c r="O95" s="56">
        <f t="shared" si="43"/>
        <v>8.5138852073895695E-8</v>
      </c>
      <c r="P95" s="56">
        <f t="shared" si="38"/>
        <v>3.4886111144236316E-4</v>
      </c>
      <c r="Q95" s="56">
        <f t="shared" si="39"/>
        <v>9.4601445588231754E-3</v>
      </c>
      <c r="R95" s="9">
        <f t="shared" si="44"/>
        <v>3.9999999999999996E-5</v>
      </c>
      <c r="S95" s="9">
        <f t="shared" si="45"/>
        <v>9.7612782256282275E-6</v>
      </c>
      <c r="T95" s="9">
        <f t="shared" si="40"/>
        <v>3.4014090196271182E-6</v>
      </c>
      <c r="U95" s="9">
        <f t="shared" si="41"/>
        <v>3.0238721774371771E-5</v>
      </c>
      <c r="V95" s="100">
        <f t="shared" si="46"/>
        <v>0.11248521167683467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-6.0480673179556473E-2</v>
      </c>
      <c r="K96" s="55">
        <f t="shared" si="35"/>
        <v>0.99939105459716426</v>
      </c>
      <c r="L96" s="55">
        <f t="shared" si="36"/>
        <v>6.0894468958684004E-4</v>
      </c>
      <c r="M96" s="55">
        <f t="shared" si="42"/>
        <v>0.99939105531041317</v>
      </c>
      <c r="N96" s="55">
        <f t="shared" si="37"/>
        <v>3.5824470111189846E-14</v>
      </c>
      <c r="O96" s="56">
        <f t="shared" si="43"/>
        <v>1.0006089437682542E-6</v>
      </c>
      <c r="P96" s="56">
        <f t="shared" si="38"/>
        <v>8.7052992981364419E-7</v>
      </c>
      <c r="Q96" s="56">
        <f t="shared" si="39"/>
        <v>1.7071212971556038E-15</v>
      </c>
      <c r="R96" s="9">
        <f t="shared" si="44"/>
        <v>3.9999999999999996E-5</v>
      </c>
      <c r="S96" s="9">
        <f t="shared" si="45"/>
        <v>2.43577875834736E-8</v>
      </c>
      <c r="T96" s="9">
        <f t="shared" si="40"/>
        <v>3.9975642183886569E-5</v>
      </c>
      <c r="U96" s="9">
        <f t="shared" si="41"/>
        <v>3.9975642212416523E-5</v>
      </c>
      <c r="V96" s="100">
        <f t="shared" si="46"/>
        <v>0.99999999928631655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3.602246950416589</v>
      </c>
      <c r="K98" s="55">
        <f t="shared" si="35"/>
        <v>4.7324400595066519E-2</v>
      </c>
      <c r="L98" s="55">
        <f t="shared" si="36"/>
        <v>0.13263408180338229</v>
      </c>
      <c r="M98" s="55">
        <f t="shared" si="42"/>
        <v>0.86736591819661768</v>
      </c>
      <c r="N98" s="55">
        <f t="shared" si="37"/>
        <v>1.7681920740778238E-2</v>
      </c>
      <c r="O98" s="56">
        <f t="shared" si="43"/>
        <v>4.7382071588565932E-8</v>
      </c>
      <c r="P98" s="56">
        <f t="shared" si="38"/>
        <v>1.8960989380092095E-4</v>
      </c>
      <c r="Q98" s="56">
        <f t="shared" si="39"/>
        <v>8.425856231093705E-4</v>
      </c>
      <c r="R98" s="9">
        <f t="shared" si="44"/>
        <v>3.9999999999999996E-5</v>
      </c>
      <c r="S98" s="9">
        <f t="shared" si="45"/>
        <v>5.3053632721352913E-6</v>
      </c>
      <c r="T98" s="9">
        <f t="shared" si="40"/>
        <v>1.8929760238026606E-6</v>
      </c>
      <c r="U98" s="9">
        <f t="shared" si="41"/>
        <v>3.4694636727864705E-5</v>
      </c>
      <c r="V98" s="100">
        <f t="shared" si="46"/>
        <v>5.4561056184292973E-2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1.873589036848633</v>
      </c>
      <c r="K99" s="55">
        <f t="shared" si="35"/>
        <v>0.72203161595617393</v>
      </c>
      <c r="L99" s="55">
        <f t="shared" si="36"/>
        <v>3.7797955931581251E-2</v>
      </c>
      <c r="M99" s="55">
        <f t="shared" si="42"/>
        <v>0.96220204406841869</v>
      </c>
      <c r="N99" s="55">
        <f t="shared" si="37"/>
        <v>3.1695713472580794E-3</v>
      </c>
      <c r="O99" s="56">
        <f t="shared" si="43"/>
        <v>7.2291150624757949E-7</v>
      </c>
      <c r="P99" s="56">
        <f t="shared" si="38"/>
        <v>5.403487785819053E-5</v>
      </c>
      <c r="Q99" s="56">
        <f t="shared" si="39"/>
        <v>1.5103762129529334E-4</v>
      </c>
      <c r="R99" s="9">
        <f t="shared" si="44"/>
        <v>3.9999999999999996E-5</v>
      </c>
      <c r="S99" s="9">
        <f t="shared" si="45"/>
        <v>1.5119182372632499E-6</v>
      </c>
      <c r="T99" s="9">
        <f t="shared" si="40"/>
        <v>2.8881264638246955E-5</v>
      </c>
      <c r="U99" s="9">
        <f t="shared" si="41"/>
        <v>3.8488081762736746E-5</v>
      </c>
      <c r="V99" s="100">
        <f t="shared" si="46"/>
        <v>0.75039501361195704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3.2266263303607148</v>
      </c>
      <c r="K101" s="55">
        <f t="shared" si="35"/>
        <v>0.10083177960603788</v>
      </c>
      <c r="L101" s="55">
        <f t="shared" si="36"/>
        <v>0.11899996274645387</v>
      </c>
      <c r="M101" s="55">
        <f t="shared" si="42"/>
        <v>0.88100003725354614</v>
      </c>
      <c r="N101" s="55">
        <f t="shared" si="37"/>
        <v>7.0152273427904494E-3</v>
      </c>
      <c r="O101" s="56">
        <f t="shared" si="43"/>
        <v>1.0095465636375853E-7</v>
      </c>
      <c r="P101" s="56">
        <f t="shared" si="38"/>
        <v>1.7011894674339486E-4</v>
      </c>
      <c r="Q101" s="56">
        <f t="shared" si="39"/>
        <v>3.3429228580620968E-4</v>
      </c>
      <c r="R101" s="9">
        <f t="shared" si="44"/>
        <v>3.9999999999999996E-5</v>
      </c>
      <c r="S101" s="9">
        <f t="shared" si="45"/>
        <v>4.7599985098581542E-6</v>
      </c>
      <c r="T101" s="9">
        <f t="shared" si="40"/>
        <v>4.033271184241515E-6</v>
      </c>
      <c r="U101" s="9">
        <f t="shared" si="41"/>
        <v>3.524000149014184E-5</v>
      </c>
      <c r="V101" s="100">
        <f t="shared" si="46"/>
        <v>0.11445150436130928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2.4413697323088819</v>
      </c>
      <c r="K102" s="55">
        <f t="shared" si="35"/>
        <v>0.39742148858702708</v>
      </c>
      <c r="L102" s="55">
        <f t="shared" si="36"/>
        <v>7.6903152078302853E-2</v>
      </c>
      <c r="M102" s="55">
        <f t="shared" si="42"/>
        <v>0.92309684792169711</v>
      </c>
      <c r="N102" s="55">
        <f t="shared" si="37"/>
        <v>9.5806555110929595E-9</v>
      </c>
      <c r="O102" s="56">
        <f t="shared" si="43"/>
        <v>3.9790579883283329E-7</v>
      </c>
      <c r="P102" s="56">
        <f t="shared" si="38"/>
        <v>1.0993854897822523E-4</v>
      </c>
      <c r="Q102" s="56">
        <f t="shared" si="39"/>
        <v>4.5654104618812977E-10</v>
      </c>
      <c r="R102" s="9">
        <f t="shared" si="44"/>
        <v>3.9999999999999996E-5</v>
      </c>
      <c r="S102" s="9">
        <f t="shared" si="45"/>
        <v>3.0761260831321138E-6</v>
      </c>
      <c r="T102" s="9">
        <f t="shared" si="40"/>
        <v>1.5896859543481081E-5</v>
      </c>
      <c r="U102" s="9">
        <f t="shared" si="41"/>
        <v>3.692387391686788E-5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3.4901223288361956</v>
      </c>
      <c r="K103" s="55">
        <f t="shared" si="35"/>
        <v>5.5536907068747768E-2</v>
      </c>
      <c r="L103" s="55">
        <f t="shared" si="36"/>
        <v>0.12023394064818668</v>
      </c>
      <c r="M103" s="55">
        <f t="shared" si="42"/>
        <v>0.87976605935181329</v>
      </c>
      <c r="N103" s="55">
        <f t="shared" si="37"/>
        <v>2.2326753035862024E-8</v>
      </c>
      <c r="O103" s="56">
        <f t="shared" si="43"/>
        <v>5.5604586079284952E-8</v>
      </c>
      <c r="P103" s="56">
        <f t="shared" si="38"/>
        <v>1.7188300629520064E-4</v>
      </c>
      <c r="Q103" s="56">
        <f t="shared" si="39"/>
        <v>1.0639229410946251E-9</v>
      </c>
      <c r="R103" s="9">
        <f t="shared" si="44"/>
        <v>3.9999999999999996E-5</v>
      </c>
      <c r="S103" s="9">
        <f t="shared" si="45"/>
        <v>4.8093576259274672E-6</v>
      </c>
      <c r="T103" s="9">
        <f t="shared" si="40"/>
        <v>2.2214762827499104E-6</v>
      </c>
      <c r="U103" s="9">
        <f t="shared" si="41"/>
        <v>3.5190642374072528E-5</v>
      </c>
      <c r="V103" s="100">
        <f t="shared" si="46"/>
        <v>6.3126903428924949E-2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4.1995402918091864</v>
      </c>
      <c r="K104" s="55">
        <f t="shared" si="35"/>
        <v>1.1842652834707826E-2</v>
      </c>
      <c r="L104" s="55">
        <f t="shared" si="36"/>
        <v>0.13131439976082449</v>
      </c>
      <c r="M104" s="55">
        <f t="shared" si="42"/>
        <v>0.86868560023917551</v>
      </c>
      <c r="N104" s="55">
        <f t="shared" si="37"/>
        <v>8.6276658352122549E-3</v>
      </c>
      <c r="O104" s="56">
        <f t="shared" si="43"/>
        <v>1.1857084661546802E-8</v>
      </c>
      <c r="P104" s="56">
        <f t="shared" si="38"/>
        <v>1.8772331405808164E-4</v>
      </c>
      <c r="Q104" s="56">
        <f t="shared" si="39"/>
        <v>4.1112881910937633E-4</v>
      </c>
      <c r="R104" s="9">
        <f t="shared" si="44"/>
        <v>3.9999999999999996E-5</v>
      </c>
      <c r="S104" s="9">
        <f t="shared" si="45"/>
        <v>5.2525759904329785E-6</v>
      </c>
      <c r="T104" s="9">
        <f t="shared" si="40"/>
        <v>4.73706113388313E-7</v>
      </c>
      <c r="U104" s="9">
        <f t="shared" si="41"/>
        <v>3.4747424009567018E-5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3.9076268809254704</v>
      </c>
      <c r="K105" s="55">
        <f t="shared" si="35"/>
        <v>2.6846761736225008E-2</v>
      </c>
      <c r="L105" s="55">
        <f t="shared" si="36"/>
        <v>0.15199939251759459</v>
      </c>
      <c r="M105" s="55">
        <f t="shared" si="42"/>
        <v>0.84800060748240536</v>
      </c>
      <c r="N105" s="55">
        <f t="shared" si="37"/>
        <v>4.378609611376743E-2</v>
      </c>
      <c r="O105" s="56">
        <f t="shared" si="43"/>
        <v>2.6879478039064593E-8</v>
      </c>
      <c r="P105" s="56">
        <f t="shared" si="38"/>
        <v>2.1729398870336697E-4</v>
      </c>
      <c r="Q105" s="56">
        <f t="shared" si="39"/>
        <v>2.0865117324308127E-3</v>
      </c>
      <c r="R105" s="9">
        <f t="shared" si="44"/>
        <v>3.9999999999999996E-5</v>
      </c>
      <c r="S105" s="9">
        <f t="shared" si="45"/>
        <v>6.0799757007037833E-6</v>
      </c>
      <c r="T105" s="9">
        <f t="shared" si="40"/>
        <v>1.0738704694490002E-6</v>
      </c>
      <c r="U105" s="9">
        <f t="shared" si="41"/>
        <v>3.3920024299296211E-5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2.9426988771188993</v>
      </c>
      <c r="K106" s="55">
        <f t="shared" si="35"/>
        <v>0.17445076049624653</v>
      </c>
      <c r="L106" s="55">
        <f t="shared" si="36"/>
        <v>0.10707665779374823</v>
      </c>
      <c r="M106" s="55">
        <f t="shared" si="42"/>
        <v>0.8929233422062518</v>
      </c>
      <c r="N106" s="55">
        <f t="shared" si="37"/>
        <v>2.9793202235628654E-3</v>
      </c>
      <c r="O106" s="56">
        <f t="shared" si="43"/>
        <v>1.7466335164474585E-7</v>
      </c>
      <c r="P106" s="56">
        <f t="shared" si="38"/>
        <v>1.5307373064886266E-4</v>
      </c>
      <c r="Q106" s="56">
        <f t="shared" si="39"/>
        <v>1.4197170227235045E-4</v>
      </c>
      <c r="R106" s="9">
        <f t="shared" si="44"/>
        <v>3.9999999999999996E-5</v>
      </c>
      <c r="S106" s="9">
        <f t="shared" si="45"/>
        <v>4.2830663117499282E-6</v>
      </c>
      <c r="T106" s="9">
        <f t="shared" si="40"/>
        <v>6.9780304198498606E-6</v>
      </c>
      <c r="U106" s="9">
        <f t="shared" si="41"/>
        <v>3.5716933688250069E-5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3.651216126776069</v>
      </c>
      <c r="K108" s="55">
        <f t="shared" si="35"/>
        <v>4.1297676302058335E-2</v>
      </c>
      <c r="L108" s="55">
        <f t="shared" si="36"/>
        <v>0.12955817014762278</v>
      </c>
      <c r="M108" s="55">
        <f t="shared" si="42"/>
        <v>0.87044182985237728</v>
      </c>
      <c r="N108" s="55">
        <f t="shared" si="37"/>
        <v>1.1704959987713596E-2</v>
      </c>
      <c r="O108" s="56">
        <f t="shared" si="43"/>
        <v>4.1348002940993208E-8</v>
      </c>
      <c r="P108" s="56">
        <f t="shared" si="38"/>
        <v>1.8521265838103735E-4</v>
      </c>
      <c r="Q108" s="56">
        <f t="shared" si="39"/>
        <v>5.5776921236690461E-4</v>
      </c>
      <c r="R108" s="9">
        <f t="shared" si="44"/>
        <v>3.9999999999999996E-5</v>
      </c>
      <c r="S108" s="9">
        <f t="shared" si="45"/>
        <v>5.1823268059049108E-6</v>
      </c>
      <c r="T108" s="9">
        <f t="shared" si="40"/>
        <v>1.6519070520823333E-6</v>
      </c>
      <c r="U108" s="9">
        <f t="shared" si="41"/>
        <v>3.4817673194095089E-5</v>
      </c>
      <c r="V108" s="100">
        <f t="shared" si="46"/>
        <v>4.7444498742738754E-2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3.926316338483836</v>
      </c>
      <c r="K109" s="55">
        <f t="shared" si="35"/>
        <v>2.4734042425284233E-2</v>
      </c>
      <c r="L109" s="55">
        <f t="shared" si="36"/>
        <v>0.14619566756225294</v>
      </c>
      <c r="M109" s="55">
        <f t="shared" si="42"/>
        <v>0.85380433243774712</v>
      </c>
      <c r="N109" s="55">
        <f t="shared" si="37"/>
        <v>3.4335187150511141E-2</v>
      </c>
      <c r="O109" s="56">
        <f t="shared" si="43"/>
        <v>2.4764184102346946E-8</v>
      </c>
      <c r="P109" s="56">
        <f t="shared" si="38"/>
        <v>2.0899714932792369E-4</v>
      </c>
      <c r="Q109" s="56">
        <f t="shared" si="39"/>
        <v>1.6361534181674523E-3</v>
      </c>
      <c r="R109" s="9">
        <f t="shared" si="44"/>
        <v>3.9999999999999996E-5</v>
      </c>
      <c r="S109" s="9">
        <f t="shared" si="45"/>
        <v>5.8478267024901168E-6</v>
      </c>
      <c r="T109" s="9">
        <f t="shared" si="40"/>
        <v>9.8936169701136917E-7</v>
      </c>
      <c r="U109" s="9">
        <f t="shared" si="41"/>
        <v>3.4152173297509881E-5</v>
      </c>
      <c r="V109" s="100">
        <f t="shared" si="46"/>
        <v>2.8969216348041487E-2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2.1945288490758386</v>
      </c>
      <c r="K110" s="55">
        <f t="shared" si="35"/>
        <v>0.53926300501395064</v>
      </c>
      <c r="L110" s="55">
        <f t="shared" si="36"/>
        <v>5.9108854004863494E-2</v>
      </c>
      <c r="M110" s="55">
        <f t="shared" si="42"/>
        <v>0.94089114599513646</v>
      </c>
      <c r="N110" s="55">
        <f t="shared" si="37"/>
        <v>2.8460658552632384E-4</v>
      </c>
      <c r="O110" s="56">
        <f t="shared" si="43"/>
        <v>5.3992016776436232E-7</v>
      </c>
      <c r="P110" s="56">
        <f t="shared" si="38"/>
        <v>8.4500328860952746E-5</v>
      </c>
      <c r="Q110" s="56">
        <f t="shared" si="39"/>
        <v>1.3562181435056774E-5</v>
      </c>
      <c r="R110" s="9">
        <f t="shared" si="44"/>
        <v>3.9999999999999996E-5</v>
      </c>
      <c r="S110" s="9">
        <f t="shared" si="45"/>
        <v>2.3643541601945397E-6</v>
      </c>
      <c r="T110" s="9">
        <f t="shared" si="40"/>
        <v>2.1570520200558023E-5</v>
      </c>
      <c r="U110" s="9">
        <f t="shared" si="41"/>
        <v>3.7635645839805458E-5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2.2518750175106685</v>
      </c>
      <c r="K111" s="55">
        <f t="shared" si="35"/>
        <v>0.62743575042559718</v>
      </c>
      <c r="L111" s="55">
        <f t="shared" si="36"/>
        <v>7.848150829335207E-2</v>
      </c>
      <c r="M111" s="55">
        <f t="shared" si="42"/>
        <v>0.9215184917066479</v>
      </c>
      <c r="N111" s="55">
        <f t="shared" si="37"/>
        <v>4.7835353818601961E-2</v>
      </c>
      <c r="O111" s="56">
        <f t="shared" si="43"/>
        <v>6.2820036323905283E-7</v>
      </c>
      <c r="P111" s="56">
        <f t="shared" si="38"/>
        <v>1.1219492192736772E-4</v>
      </c>
      <c r="Q111" s="56">
        <f t="shared" si="39"/>
        <v>2.2794685031559516E-3</v>
      </c>
      <c r="R111" s="9">
        <f t="shared" si="44"/>
        <v>3.9999999999999996E-5</v>
      </c>
      <c r="S111" s="9">
        <f t="shared" si="45"/>
        <v>3.1392603317340827E-6</v>
      </c>
      <c r="T111" s="9">
        <f t="shared" si="40"/>
        <v>2.5097430017023885E-5</v>
      </c>
      <c r="U111" s="9">
        <f t="shared" si="41"/>
        <v>3.686073966826591E-5</v>
      </c>
      <c r="V111" s="100">
        <f t="shared" si="46"/>
        <v>0.68087157889104222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5.2755325389810421</v>
      </c>
      <c r="K112" s="55">
        <f t="shared" si="35"/>
        <v>2.1510180529077396E-3</v>
      </c>
      <c r="L112" s="55">
        <f t="shared" si="36"/>
        <v>0.28411859419722774</v>
      </c>
      <c r="M112" s="55">
        <f t="shared" si="42"/>
        <v>0.71588140580277226</v>
      </c>
      <c r="N112" s="55">
        <f t="shared" si="37"/>
        <v>0.24457123290764651</v>
      </c>
      <c r="O112" s="56">
        <f t="shared" si="43"/>
        <v>2.1536393507284519E-9</v>
      </c>
      <c r="P112" s="56">
        <f t="shared" si="38"/>
        <v>4.0616782459023727E-4</v>
      </c>
      <c r="Q112" s="56">
        <f t="shared" si="39"/>
        <v>1.165440156050866E-2</v>
      </c>
      <c r="R112" s="9">
        <f t="shared" si="44"/>
        <v>3.9999999999999996E-5</v>
      </c>
      <c r="S112" s="9">
        <f t="shared" si="45"/>
        <v>1.1364743767889108E-5</v>
      </c>
      <c r="T112" s="9">
        <f t="shared" si="40"/>
        <v>8.6040722116309581E-8</v>
      </c>
      <c r="U112" s="9">
        <f t="shared" si="41"/>
        <v>2.8635256232110886E-5</v>
      </c>
      <c r="V112" s="100">
        <f t="shared" si="46"/>
        <v>3.0047128413618167E-3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5.6475701029544298</v>
      </c>
      <c r="K113" s="55">
        <f t="shared" si="35"/>
        <v>9.5420943497053249E-4</v>
      </c>
      <c r="L113" s="55">
        <f t="shared" si="36"/>
        <v>0.29684987626012044</v>
      </c>
      <c r="M113" s="55">
        <f t="shared" si="42"/>
        <v>0.70315012373987962</v>
      </c>
      <c r="N113" s="55">
        <f t="shared" si="37"/>
        <v>0.2641526816729694</v>
      </c>
      <c r="O113" s="56">
        <f t="shared" si="43"/>
        <v>9.5537226440797509E-10</v>
      </c>
      <c r="P113" s="56">
        <f t="shared" si="38"/>
        <v>4.2436810167643257E-4</v>
      </c>
      <c r="Q113" s="56">
        <f t="shared" si="39"/>
        <v>1.2587504216673356E-2</v>
      </c>
      <c r="R113" s="9">
        <f t="shared" si="44"/>
        <v>3.9999999999999996E-5</v>
      </c>
      <c r="S113" s="9">
        <f t="shared" si="45"/>
        <v>1.1873995050404816E-5</v>
      </c>
      <c r="T113" s="9">
        <f t="shared" si="40"/>
        <v>3.8168377398821293E-8</v>
      </c>
      <c r="U113" s="9">
        <f t="shared" si="41"/>
        <v>2.8126004949595182E-5</v>
      </c>
      <c r="V113" s="100">
        <f t="shared" si="46"/>
        <v>1.3570493736036499E-3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6.0714479293479418</v>
      </c>
      <c r="K114" s="55">
        <f t="shared" si="35"/>
        <v>3.7321429839382389E-4</v>
      </c>
      <c r="L114" s="55">
        <f t="shared" si="36"/>
        <v>0.30812665269639278</v>
      </c>
      <c r="M114" s="55">
        <f t="shared" si="42"/>
        <v>0.69187334730360717</v>
      </c>
      <c r="N114" s="55">
        <f t="shared" si="37"/>
        <v>0.28159153253591762</v>
      </c>
      <c r="O114" s="56">
        <f t="shared" si="43"/>
        <v>3.7366910900116217E-10</v>
      </c>
      <c r="P114" s="56">
        <f t="shared" si="38"/>
        <v>4.4048905907611522E-4</v>
      </c>
      <c r="Q114" s="56">
        <f t="shared" si="39"/>
        <v>1.3418506981366323E-2</v>
      </c>
      <c r="R114" s="9">
        <f t="shared" si="44"/>
        <v>3.9999999999999996E-5</v>
      </c>
      <c r="S114" s="9">
        <f t="shared" si="45"/>
        <v>1.2325066107855711E-5</v>
      </c>
      <c r="T114" s="9">
        <f t="shared" si="40"/>
        <v>1.4928571935752955E-8</v>
      </c>
      <c r="U114" s="9">
        <f t="shared" si="41"/>
        <v>2.7674933892144284E-5</v>
      </c>
      <c r="V114" s="100">
        <f t="shared" si="46"/>
        <v>5.3942574872746236E-4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4.6606520517271175</v>
      </c>
      <c r="K115" s="55">
        <f t="shared" si="35"/>
        <v>9.3541982061857813E-3</v>
      </c>
      <c r="L115" s="55">
        <f t="shared" si="36"/>
        <v>0.29990360242290331</v>
      </c>
      <c r="M115" s="55">
        <f t="shared" si="42"/>
        <v>0.70009639757709663</v>
      </c>
      <c r="N115" s="55">
        <f t="shared" si="37"/>
        <v>0.27056331897352875</v>
      </c>
      <c r="O115" s="56">
        <f t="shared" si="43"/>
        <v>9.3655975244477747E-9</v>
      </c>
      <c r="P115" s="56">
        <f t="shared" si="38"/>
        <v>4.2873362134942779E-4</v>
      </c>
      <c r="Q115" s="56">
        <f t="shared" si="39"/>
        <v>1.2892986347467153E-2</v>
      </c>
      <c r="R115" s="9">
        <f t="shared" si="44"/>
        <v>3.9999999999999996E-5</v>
      </c>
      <c r="S115" s="9">
        <f t="shared" si="45"/>
        <v>1.1996144096916131E-5</v>
      </c>
      <c r="T115" s="9">
        <f t="shared" si="40"/>
        <v>3.7416792824743121E-7</v>
      </c>
      <c r="U115" s="9">
        <f t="shared" si="41"/>
        <v>2.8003855903083863E-5</v>
      </c>
      <c r="V115" s="100">
        <f t="shared" si="46"/>
        <v>1.3361300298871585E-2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-2.1299825578506845E-2</v>
      </c>
      <c r="K116" s="55">
        <f t="shared" si="35"/>
        <v>0.99896342271131366</v>
      </c>
      <c r="L116" s="55">
        <f t="shared" si="36"/>
        <v>6.6615121444492408E-4</v>
      </c>
      <c r="M116" s="55">
        <f t="shared" si="42"/>
        <v>0.99933384878555509</v>
      </c>
      <c r="N116" s="55">
        <f t="shared" si="37"/>
        <v>4.6823400404234644E-6</v>
      </c>
      <c r="O116" s="56">
        <f t="shared" si="43"/>
        <v>1.0001807907568237E-6</v>
      </c>
      <c r="P116" s="56">
        <f t="shared" si="38"/>
        <v>9.5231074327862215E-7</v>
      </c>
      <c r="Q116" s="56">
        <f t="shared" si="39"/>
        <v>2.2312465135484572E-7</v>
      </c>
      <c r="R116" s="9">
        <f t="shared" si="44"/>
        <v>3.9999999999999996E-5</v>
      </c>
      <c r="S116" s="9">
        <f t="shared" si="45"/>
        <v>2.6646048577796962E-8</v>
      </c>
      <c r="T116" s="9">
        <f t="shared" si="40"/>
        <v>3.9958536908452545E-5</v>
      </c>
      <c r="U116" s="9">
        <f t="shared" si="41"/>
        <v>3.99733539514222E-5</v>
      </c>
      <c r="V116" s="100">
        <f t="shared" si="46"/>
        <v>0.99962932700149043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1.0476738921027908</v>
      </c>
      <c r="K117" s="55">
        <f t="shared" si="35"/>
        <v>0.95739266671401113</v>
      </c>
      <c r="L117" s="55">
        <f t="shared" si="36"/>
        <v>7.4831948135285382E-3</v>
      </c>
      <c r="M117" s="55">
        <f t="shared" si="42"/>
        <v>0.99251680518647145</v>
      </c>
      <c r="N117" s="55">
        <f t="shared" si="37"/>
        <v>2.414812493976265E-3</v>
      </c>
      <c r="O117" s="56">
        <f t="shared" si="43"/>
        <v>9.5855937533713556E-7</v>
      </c>
      <c r="P117" s="56">
        <f t="shared" si="38"/>
        <v>1.0697761499854298E-5</v>
      </c>
      <c r="Q117" s="56">
        <f t="shared" si="39"/>
        <v>1.1507156489152612E-4</v>
      </c>
      <c r="R117" s="9">
        <f t="shared" si="44"/>
        <v>3.9999999999999996E-5</v>
      </c>
      <c r="S117" s="9">
        <f t="shared" si="45"/>
        <v>2.9932779254114151E-7</v>
      </c>
      <c r="T117" s="9">
        <f t="shared" si="40"/>
        <v>3.8295706668560445E-5</v>
      </c>
      <c r="U117" s="9">
        <f t="shared" si="41"/>
        <v>3.9700672207458854E-5</v>
      </c>
      <c r="V117" s="100">
        <f t="shared" si="46"/>
        <v>0.96461103903841583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2.2646182783534416</v>
      </c>
      <c r="K118" s="55">
        <f t="shared" si="35"/>
        <v>0.62111004043388907</v>
      </c>
      <c r="L118" s="55">
        <f t="shared" si="36"/>
        <v>8.0003666537941817E-2</v>
      </c>
      <c r="M118" s="55">
        <f t="shared" si="42"/>
        <v>0.91999633346205822</v>
      </c>
      <c r="N118" s="55">
        <f t="shared" si="37"/>
        <v>4.8956780493119405E-2</v>
      </c>
      <c r="O118" s="56">
        <f t="shared" si="43"/>
        <v>6.2186694453946404E-7</v>
      </c>
      <c r="P118" s="56">
        <f t="shared" si="38"/>
        <v>1.1437095586359767E-4</v>
      </c>
      <c r="Q118" s="56">
        <f t="shared" si="39"/>
        <v>2.3329071542602183E-3</v>
      </c>
      <c r="R118" s="9">
        <f t="shared" si="44"/>
        <v>3.9999999999999996E-5</v>
      </c>
      <c r="S118" s="9">
        <f t="shared" si="45"/>
        <v>3.2001466615176725E-6</v>
      </c>
      <c r="T118" s="9">
        <f t="shared" si="40"/>
        <v>2.4844401617355561E-5</v>
      </c>
      <c r="U118" s="9">
        <f t="shared" si="41"/>
        <v>3.6799853338482326E-5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-5.5209452123000199E-2</v>
      </c>
      <c r="K119" s="55">
        <f t="shared" si="35"/>
        <v>0.99933404531047909</v>
      </c>
      <c r="L119" s="55">
        <f t="shared" si="36"/>
        <v>6.1634559142914732E-4</v>
      </c>
      <c r="M119" s="55">
        <f t="shared" si="42"/>
        <v>0.9993836544085708</v>
      </c>
      <c r="N119" s="55">
        <f t="shared" si="37"/>
        <v>2.731685365440573E-7</v>
      </c>
      <c r="O119" s="56">
        <f t="shared" si="43"/>
        <v>1.0005518650082706E-6</v>
      </c>
      <c r="P119" s="56">
        <f t="shared" si="38"/>
        <v>8.8111004763306802E-7</v>
      </c>
      <c r="Q119" s="56">
        <f t="shared" si="39"/>
        <v>1.3017131167601817E-8</v>
      </c>
      <c r="R119" s="9">
        <f t="shared" si="44"/>
        <v>3.9999999999999996E-5</v>
      </c>
      <c r="S119" s="9">
        <f t="shared" si="45"/>
        <v>2.465382365716589E-8</v>
      </c>
      <c r="T119" s="9">
        <f t="shared" si="40"/>
        <v>3.9973361812419162E-5</v>
      </c>
      <c r="U119" s="9">
        <f t="shared" si="41"/>
        <v>3.997534617634283E-5</v>
      </c>
      <c r="V119" s="100">
        <f t="shared" si="46"/>
        <v>0.99995036030670215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-6.0480744491014246E-2</v>
      </c>
      <c r="K120" s="55">
        <f t="shared" si="35"/>
        <v>0.99939105538213557</v>
      </c>
      <c r="L120" s="55">
        <f t="shared" si="36"/>
        <v>6.0894459007599961E-4</v>
      </c>
      <c r="M120" s="55">
        <f t="shared" si="42"/>
        <v>0.99939105540992401</v>
      </c>
      <c r="N120" s="55">
        <f t="shared" si="37"/>
        <v>3.5426624630053164E-16</v>
      </c>
      <c r="O120" s="56">
        <f t="shared" si="43"/>
        <v>1.0006089445541819E-6</v>
      </c>
      <c r="P120" s="56">
        <f t="shared" si="38"/>
        <v>8.7052978755578948E-7</v>
      </c>
      <c r="Q120" s="56">
        <f t="shared" si="39"/>
        <v>1.6881630127282952E-17</v>
      </c>
      <c r="R120" s="9">
        <f t="shared" si="44"/>
        <v>3.9999999999999996E-5</v>
      </c>
      <c r="S120" s="9">
        <f t="shared" si="45"/>
        <v>2.4357783603039981E-8</v>
      </c>
      <c r="T120" s="9">
        <f t="shared" si="40"/>
        <v>3.9975642215285416E-5</v>
      </c>
      <c r="U120" s="9">
        <f t="shared" si="41"/>
        <v>3.9975642216396954E-5</v>
      </c>
      <c r="V120" s="100">
        <f t="shared" si="46"/>
        <v>0.99999999997219458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0.26737328541626304</v>
      </c>
      <c r="K121" s="55">
        <f t="shared" si="35"/>
        <v>0.99469142750742001</v>
      </c>
      <c r="L121" s="55">
        <f t="shared" si="36"/>
        <v>1.2893912638414493E-3</v>
      </c>
      <c r="M121" s="55">
        <f t="shared" si="42"/>
        <v>0.99871060873615858</v>
      </c>
      <c r="N121" s="55">
        <f t="shared" si="37"/>
        <v>1.3201762232861299E-4</v>
      </c>
      <c r="O121" s="56">
        <f t="shared" si="43"/>
        <v>9.9590358956607028E-7</v>
      </c>
      <c r="P121" s="56">
        <f t="shared" si="38"/>
        <v>1.8432769110373402E-6</v>
      </c>
      <c r="Q121" s="56">
        <f t="shared" si="39"/>
        <v>6.2909540316306196E-6</v>
      </c>
      <c r="R121" s="9">
        <f t="shared" si="44"/>
        <v>3.9999999999999996E-5</v>
      </c>
      <c r="S121" s="9">
        <f t="shared" si="45"/>
        <v>5.157565055365797E-8</v>
      </c>
      <c r="T121" s="9">
        <f t="shared" si="40"/>
        <v>3.97876571002968E-5</v>
      </c>
      <c r="U121" s="9">
        <f t="shared" si="41"/>
        <v>3.994842434944634E-5</v>
      </c>
      <c r="V121" s="100">
        <f t="shared" si="46"/>
        <v>0.99597562978346177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5.3121738751270531</v>
      </c>
      <c r="K122" s="55">
        <f t="shared" si="35"/>
        <v>2.2153849387046023E-3</v>
      </c>
      <c r="L122" s="55">
        <f t="shared" si="36"/>
        <v>0.31838026274124781</v>
      </c>
      <c r="M122" s="55">
        <f t="shared" si="42"/>
        <v>0.68161973725875225</v>
      </c>
      <c r="N122" s="55">
        <f t="shared" si="37"/>
        <v>0.29791577410312936</v>
      </c>
      <c r="O122" s="56">
        <f t="shared" si="43"/>
        <v>2.2180846760238752E-9</v>
      </c>
      <c r="P122" s="56">
        <f t="shared" si="38"/>
        <v>4.551473270359525E-4</v>
      </c>
      <c r="Q122" s="56">
        <f t="shared" si="39"/>
        <v>1.4196395959285788E-2</v>
      </c>
      <c r="R122" s="9">
        <f t="shared" si="44"/>
        <v>3.9999999999999996E-5</v>
      </c>
      <c r="S122" s="9">
        <f t="shared" si="45"/>
        <v>1.2735210509649911E-5</v>
      </c>
      <c r="T122" s="9">
        <f t="shared" si="40"/>
        <v>8.861539754818408E-8</v>
      </c>
      <c r="U122" s="9">
        <f t="shared" si="41"/>
        <v>2.7264789490350087E-5</v>
      </c>
      <c r="V122" s="100">
        <f t="shared" si="46"/>
        <v>3.2501772140785465E-3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0.90660680878543065</v>
      </c>
      <c r="K123" s="55">
        <f t="shared" ref="K123:K127" si="49">IF(D123=0,"",1/(1+10^D123*$J$15/$J$14+10^E123*$J$16/$J$14+10^J123*$J$19/$J$14))</f>
        <v>0.97058490146399001</v>
      </c>
      <c r="L123" s="55">
        <f t="shared" ref="L123:L127" si="50">IF(D123=0,"",1/(1+10^I123/10^J123*$J$13/$J$19))</f>
        <v>5.4823076447363169E-3</v>
      </c>
      <c r="M123" s="55">
        <f t="shared" si="42"/>
        <v>0.99451769235526366</v>
      </c>
      <c r="N123" s="55">
        <f t="shared" ref="N123:N127" si="51">IF(D123=0,"",1/(1/10^E123*$J$20/$J$22+10^D123/10^E123*$J$21/$J$22+10^I123/10^E123*$J$13/$J$22+1))</f>
        <v>1.9028600514497845E-3</v>
      </c>
      <c r="O123" s="56">
        <f t="shared" si="43"/>
        <v>9.7176768655665083E-7</v>
      </c>
      <c r="P123" s="56">
        <f t="shared" ref="P123:P127" si="52">IF(D123=0,"",O123*10^J123)</f>
        <v>7.8373503715537607E-6</v>
      </c>
      <c r="Q123" s="56">
        <f t="shared" ref="Q123:Q127" si="53">IF(D123=0,"",F123*N123*$J$7/$J$22)</f>
        <v>9.0675812070752353E-5</v>
      </c>
      <c r="R123" s="9">
        <f t="shared" si="44"/>
        <v>3.9999999999999996E-5</v>
      </c>
      <c r="S123" s="9">
        <f t="shared" si="45"/>
        <v>2.1929230578945265E-7</v>
      </c>
      <c r="T123" s="9">
        <f t="shared" si="40"/>
        <v>3.8823396058559596E-5</v>
      </c>
      <c r="U123" s="9">
        <f t="shared" si="41"/>
        <v>3.9780707694210541E-5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1.0869139815525992</v>
      </c>
      <c r="K124" s="55">
        <f t="shared" si="49"/>
        <v>0.94572833802641487</v>
      </c>
      <c r="L124" s="55">
        <f t="shared" si="50"/>
        <v>8.0910232087209981E-3</v>
      </c>
      <c r="M124" s="55">
        <f t="shared" si="42"/>
        <v>0.99190897679127898</v>
      </c>
      <c r="N124" s="55">
        <f t="shared" si="51"/>
        <v>1.059758040017701E-3</v>
      </c>
      <c r="O124" s="56">
        <f t="shared" si="43"/>
        <v>9.4688083213407877E-7</v>
      </c>
      <c r="P124" s="56">
        <f t="shared" si="52"/>
        <v>1.1566695607095859E-5</v>
      </c>
      <c r="Q124" s="56">
        <f t="shared" si="53"/>
        <v>5.0499993840272061E-5</v>
      </c>
      <c r="R124" s="9">
        <f t="shared" si="44"/>
        <v>3.9999999999999996E-5</v>
      </c>
      <c r="S124" s="9">
        <f t="shared" si="45"/>
        <v>3.2364092834883991E-7</v>
      </c>
      <c r="T124" s="9">
        <f t="shared" si="40"/>
        <v>3.782913352105659E-5</v>
      </c>
      <c r="U124" s="9">
        <f t="shared" si="41"/>
        <v>3.9676359071651154E-5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0.11008125501635208</v>
      </c>
      <c r="K125" s="55">
        <f t="shared" si="49"/>
        <v>0.99724032919442918</v>
      </c>
      <c r="L125" s="55">
        <f t="shared" si="50"/>
        <v>8.9992051283633787E-4</v>
      </c>
      <c r="M125" s="55">
        <f t="shared" si="42"/>
        <v>0.99910007948716362</v>
      </c>
      <c r="N125" s="55">
        <f t="shared" si="51"/>
        <v>2.8627218378013049E-5</v>
      </c>
      <c r="O125" s="56">
        <f t="shared" si="43"/>
        <v>9.9845559742433092E-7</v>
      </c>
      <c r="P125" s="56">
        <f t="shared" si="52"/>
        <v>1.2865006531361762E-6</v>
      </c>
      <c r="Q125" s="56">
        <f t="shared" si="53"/>
        <v>1.3641551157560789E-6</v>
      </c>
      <c r="R125" s="9">
        <f t="shared" si="44"/>
        <v>3.9999999999999996E-5</v>
      </c>
      <c r="S125" s="9">
        <f t="shared" si="45"/>
        <v>3.5996820513453509E-8</v>
      </c>
      <c r="T125" s="9">
        <f t="shared" si="40"/>
        <v>3.9889613167777163E-5</v>
      </c>
      <c r="U125" s="9">
        <f t="shared" si="41"/>
        <v>3.9964003179486539E-5</v>
      </c>
      <c r="V125" s="100">
        <f t="shared" si="46"/>
        <v>0.99813857457234012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4.2221364282428242</v>
      </c>
      <c r="K126" s="55">
        <f t="shared" si="49"/>
        <v>2.4148712039093991E-2</v>
      </c>
      <c r="L126" s="55">
        <f t="shared" si="50"/>
        <v>0.2820677692365452</v>
      </c>
      <c r="M126" s="55">
        <f t="shared" si="42"/>
        <v>0.7179322307634548</v>
      </c>
      <c r="N126" s="55">
        <f t="shared" si="51"/>
        <v>0.24571873616829443</v>
      </c>
      <c r="O126" s="56">
        <f t="shared" si="43"/>
        <v>2.4178140414255937E-8</v>
      </c>
      <c r="P126" s="56">
        <f t="shared" si="52"/>
        <v>4.0323602382144396E-4</v>
      </c>
      <c r="Q126" s="56">
        <f t="shared" si="53"/>
        <v>1.1709082823029153E-2</v>
      </c>
      <c r="R126" s="9">
        <f t="shared" si="44"/>
        <v>3.9999999999999996E-5</v>
      </c>
      <c r="S126" s="9">
        <f t="shared" si="45"/>
        <v>1.1282710769461807E-5</v>
      </c>
      <c r="T126" s="9">
        <f t="shared" si="40"/>
        <v>9.6594848156375965E-7</v>
      </c>
      <c r="U126" s="9">
        <f t="shared" si="41"/>
        <v>2.8717289230538191E-5</v>
      </c>
      <c r="V126" s="100">
        <f t="shared" si="46"/>
        <v>3.3636478492425473E-2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2.0965431011809783</v>
      </c>
      <c r="K127" s="55">
        <f t="shared" si="49"/>
        <v>0.70060475973747993</v>
      </c>
      <c r="L127" s="55">
        <f t="shared" si="50"/>
        <v>6.1282891380924472E-2</v>
      </c>
      <c r="M127" s="55">
        <f t="shared" si="42"/>
        <v>0.93871710861907554</v>
      </c>
      <c r="N127" s="55">
        <f t="shared" si="51"/>
        <v>3.5499103347108554E-2</v>
      </c>
      <c r="O127" s="56">
        <f t="shared" si="43"/>
        <v>7.0145853859228686E-7</v>
      </c>
      <c r="P127" s="56">
        <f t="shared" si="52"/>
        <v>8.760827057841588E-5</v>
      </c>
      <c r="Q127" s="56">
        <f t="shared" si="53"/>
        <v>1.6916167961643586E-3</v>
      </c>
      <c r="R127" s="9">
        <f t="shared" si="44"/>
        <v>3.9999999999999996E-5</v>
      </c>
      <c r="S127" s="9">
        <f t="shared" si="45"/>
        <v>2.4513156552369785E-6</v>
      </c>
      <c r="T127" s="9">
        <f t="shared" si="40"/>
        <v>2.8024190389499195E-5</v>
      </c>
      <c r="U127" s="9">
        <f t="shared" si="41"/>
        <v>3.7548684344763021E-5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3.0063821040542344</v>
      </c>
      <c r="K128" s="55">
        <f t="shared" ref="K128:K134" si="56">IF(D128=0,"",1/(1+10^D128*$J$15/$J$14+10^E128*$J$16/$J$14+10^J128*$J$19/$J$14))</f>
        <v>0.22732989692714034</v>
      </c>
      <c r="L128" s="55">
        <f t="shared" ref="L128:L134" si="57">IF(D128=0,"",1/(1+10^I128/10^J128*$J$13/$J$19))</f>
        <v>0.16157037089129578</v>
      </c>
      <c r="M128" s="55">
        <f t="shared" ref="M128:M134" si="58">IF(D128=0,"",1-L128)</f>
        <v>0.83842962910870422</v>
      </c>
      <c r="N128" s="55">
        <f t="shared" ref="N128:N134" si="59">IF(D128=0,"",1/(1/10^E128*$J$20/$J$22+10^D128/10^E128*$J$21/$J$22+10^I128/10^E128*$J$13/$J$22+1))</f>
        <v>9.8236724318234103E-2</v>
      </c>
      <c r="O128" s="56">
        <f t="shared" ref="O128:O134" si="60">IF(D128=0,"",F128*K128*$J$7/$J$14)</f>
        <v>2.2760692824381958E-7</v>
      </c>
      <c r="P128" s="56">
        <f t="shared" ref="P128:P134" si="61">IF(D128=0,"",O128*10^J128)</f>
        <v>2.3097638592988525E-4</v>
      </c>
      <c r="Q128" s="56">
        <f t="shared" ref="Q128:Q134" si="62">IF(D128=0,"",F128*N128*$J$7/$J$22)</f>
        <v>4.6812138107265172E-3</v>
      </c>
      <c r="R128" s="9">
        <f t="shared" si="44"/>
        <v>3.9999999999999996E-5</v>
      </c>
      <c r="S128" s="9">
        <f t="shared" si="45"/>
        <v>6.4628148356518307E-6</v>
      </c>
      <c r="T128" s="9">
        <f t="shared" si="40"/>
        <v>9.0931958770856128E-6</v>
      </c>
      <c r="U128" s="9">
        <f t="shared" si="41"/>
        <v>3.3537185164348163E-5</v>
      </c>
      <c r="V128" s="100">
        <f t="shared" si="46"/>
        <v>0.27113771870014214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-5.7683865092640584E-2</v>
      </c>
      <c r="K129" s="55">
        <f t="shared" si="56"/>
        <v>0.999360726852762</v>
      </c>
      <c r="L129" s="55">
        <f t="shared" si="57"/>
        <v>6.1286028127410612E-4</v>
      </c>
      <c r="M129" s="55">
        <f t="shared" si="58"/>
        <v>0.99938713971872595</v>
      </c>
      <c r="N129" s="55">
        <f t="shared" si="59"/>
        <v>1.1180188705000464E-7</v>
      </c>
      <c r="O129" s="56">
        <f t="shared" si="60"/>
        <v>1.0005785790655147E-6</v>
      </c>
      <c r="P129" s="56">
        <f t="shared" si="61"/>
        <v>8.7612754781571141E-7</v>
      </c>
      <c r="Q129" s="56">
        <f t="shared" si="62"/>
        <v>5.3276261129018881E-9</v>
      </c>
      <c r="R129" s="9">
        <f t="shared" si="44"/>
        <v>3.9999999999999996E-5</v>
      </c>
      <c r="S129" s="9">
        <f t="shared" si="45"/>
        <v>2.4514411250964244E-8</v>
      </c>
      <c r="T129" s="9">
        <f t="shared" si="40"/>
        <v>3.9974429074110478E-5</v>
      </c>
      <c r="U129" s="9">
        <f t="shared" si="41"/>
        <v>3.9975485588749037E-5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1.4315693395149125</v>
      </c>
      <c r="K130" s="55">
        <f t="shared" si="56"/>
        <v>0.9066625340877712</v>
      </c>
      <c r="L130" s="55">
        <f t="shared" si="57"/>
        <v>1.7152920397130268E-2</v>
      </c>
      <c r="M130" s="55">
        <f t="shared" si="58"/>
        <v>0.98284707960286977</v>
      </c>
      <c r="N130" s="55">
        <f t="shared" si="59"/>
        <v>7.4584263764495813E-3</v>
      </c>
      <c r="O130" s="56">
        <f t="shared" si="60"/>
        <v>9.0776742138591043E-7</v>
      </c>
      <c r="P130" s="56">
        <f t="shared" si="61"/>
        <v>2.4521324916297516E-5</v>
      </c>
      <c r="Q130" s="56">
        <f t="shared" si="62"/>
        <v>3.5541177499586168E-4</v>
      </c>
      <c r="R130" s="9">
        <f t="shared" si="44"/>
        <v>3.9999999999999996E-5</v>
      </c>
      <c r="S130" s="9">
        <f t="shared" si="45"/>
        <v>6.8611681588521062E-7</v>
      </c>
      <c r="T130" s="9">
        <f t="shared" si="40"/>
        <v>3.6266501363510842E-5</v>
      </c>
      <c r="U130" s="9">
        <f t="shared" si="41"/>
        <v>3.9313883184114785E-5</v>
      </c>
      <c r="V130" s="100">
        <f t="shared" si="46"/>
        <v>0.92248586062250726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9.6499928315346095E-2</v>
      </c>
      <c r="K131" s="55">
        <f t="shared" si="56"/>
        <v>0.99750151200453918</v>
      </c>
      <c r="L131" s="55">
        <f t="shared" si="57"/>
        <v>8.7244197820477679E-4</v>
      </c>
      <c r="M131" s="55">
        <f t="shared" si="58"/>
        <v>0.9991275580217952</v>
      </c>
      <c r="N131" s="55">
        <f t="shared" si="59"/>
        <v>3.7381597996997942E-5</v>
      </c>
      <c r="O131" s="56">
        <f t="shared" si="60"/>
        <v>9.9871709851997557E-7</v>
      </c>
      <c r="P131" s="56">
        <f t="shared" si="61"/>
        <v>1.247218125127886E-6</v>
      </c>
      <c r="Q131" s="56">
        <f t="shared" si="62"/>
        <v>1.7813221483617067E-6</v>
      </c>
      <c r="R131" s="9">
        <f t="shared" si="44"/>
        <v>3.9999999999999996E-5</v>
      </c>
      <c r="S131" s="9">
        <f t="shared" si="45"/>
        <v>3.4897679128191071E-8</v>
      </c>
      <c r="T131" s="9">
        <f t="shared" si="40"/>
        <v>3.9900060480181567E-5</v>
      </c>
      <c r="U131" s="9">
        <f t="shared" si="41"/>
        <v>3.9965102320871801E-5</v>
      </c>
      <c r="V131" s="100">
        <f t="shared" si="46"/>
        <v>0.99837253411318627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0.28153514162131194</v>
      </c>
      <c r="K132" s="55">
        <f t="shared" si="56"/>
        <v>0.99441249773573903</v>
      </c>
      <c r="L132" s="55">
        <f t="shared" si="57"/>
        <v>1.3317563564025541E-3</v>
      </c>
      <c r="M132" s="55">
        <f t="shared" si="58"/>
        <v>0.99866824364359741</v>
      </c>
      <c r="N132" s="55">
        <f t="shared" si="59"/>
        <v>1.4293449751651163E-4</v>
      </c>
      <c r="O132" s="56">
        <f t="shared" si="60"/>
        <v>9.9562431988185263E-7</v>
      </c>
      <c r="P132" s="56">
        <f t="shared" si="61"/>
        <v>1.9038408369314796E-6</v>
      </c>
      <c r="Q132" s="56">
        <f t="shared" si="62"/>
        <v>6.8111691268939621E-6</v>
      </c>
      <c r="R132" s="9">
        <f t="shared" si="44"/>
        <v>3.9999999999999996E-5</v>
      </c>
      <c r="S132" s="9">
        <f t="shared" si="45"/>
        <v>5.327025425610216E-8</v>
      </c>
      <c r="T132" s="9">
        <f t="shared" si="40"/>
        <v>3.977649990942956E-5</v>
      </c>
      <c r="U132" s="9">
        <f t="shared" si="41"/>
        <v>3.9946729745743895E-5</v>
      </c>
      <c r="V132" s="100">
        <f t="shared" si="46"/>
        <v>0.99573857891752771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2.3235935260819955</v>
      </c>
      <c r="K133" s="55">
        <f t="shared" si="56"/>
        <v>0.59133033411544145</v>
      </c>
      <c r="L133" s="55">
        <f t="shared" si="57"/>
        <v>8.7246245518650886E-2</v>
      </c>
      <c r="M133" s="55">
        <f t="shared" si="58"/>
        <v>0.9127537544813491</v>
      </c>
      <c r="N133" s="55">
        <f t="shared" si="59"/>
        <v>5.4355503264295557E-2</v>
      </c>
      <c r="O133" s="56">
        <f t="shared" si="60"/>
        <v>5.9205094774025169E-7</v>
      </c>
      <c r="P133" s="56">
        <f t="shared" si="61"/>
        <v>1.2472473984359136E-4</v>
      </c>
      <c r="Q133" s="56">
        <f t="shared" si="62"/>
        <v>2.5901691484085981E-3</v>
      </c>
      <c r="R133" s="9">
        <f t="shared" si="44"/>
        <v>3.9999999999999996E-5</v>
      </c>
      <c r="S133" s="9">
        <f t="shared" si="45"/>
        <v>3.4898498207460352E-6</v>
      </c>
      <c r="T133" s="9">
        <f t="shared" si="40"/>
        <v>2.3653213364617656E-5</v>
      </c>
      <c r="U133" s="9">
        <f t="shared" si="41"/>
        <v>3.6510150179253962E-5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-5.9601857638287271E-2</v>
      </c>
      <c r="K134" s="55">
        <f t="shared" si="56"/>
        <v>0.99938147903033681</v>
      </c>
      <c r="L134" s="55">
        <f t="shared" si="57"/>
        <v>6.101723193465482E-4</v>
      </c>
      <c r="M134" s="55">
        <f t="shared" si="58"/>
        <v>0.99938982768065343</v>
      </c>
      <c r="N134" s="55">
        <f t="shared" si="59"/>
        <v>2.181306501640575E-8</v>
      </c>
      <c r="O134" s="56">
        <f t="shared" si="60"/>
        <v>1.0005993565323416E-6</v>
      </c>
      <c r="P134" s="56">
        <f t="shared" si="61"/>
        <v>8.7228491424298687E-7</v>
      </c>
      <c r="Q134" s="56">
        <f t="shared" si="62"/>
        <v>1.0394444839008206E-9</v>
      </c>
      <c r="R134" s="9">
        <f t="shared" si="44"/>
        <v>3.9999999999999996E-5</v>
      </c>
      <c r="S134" s="9">
        <f t="shared" si="45"/>
        <v>2.4406892773861927E-8</v>
      </c>
      <c r="T134" s="9">
        <f t="shared" si="40"/>
        <v>3.9975259161213468E-5</v>
      </c>
      <c r="U134" s="9">
        <f t="shared" si="41"/>
        <v>3.9975593107226136E-5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0.42372554518401218</v>
      </c>
      <c r="K135" s="55">
        <f t="shared" ref="K135:K143" si="65">IF(D135=0,"",1/(1+10^D135*$J$15/$J$14+10^E135*$J$16/$J$14+10^J135*$J$19/$J$14))</f>
        <v>0.9911207121263983</v>
      </c>
      <c r="L135" s="55">
        <f t="shared" ref="L135:L143" si="66">IF(D135=0,"",1/(1+10^I135/10^J135*$J$13/$J$19))</f>
        <v>1.8415145728782932E-3</v>
      </c>
      <c r="M135" s="55">
        <f t="shared" ref="M135:M143" si="67">IF(D135=0,"",1-L135)</f>
        <v>0.99815848542712171</v>
      </c>
      <c r="N135" s="55">
        <f t="shared" ref="N135:N143" si="68">IF(D135=0,"",1/(1/10^E135*$J$20/$J$22+10^D135/10^E135*$J$21/$J$22+10^I135/10^E135*$J$13/$J$22+1))</f>
        <v>2.8700462926204275E-4</v>
      </c>
      <c r="O135" s="56">
        <f t="shared" ref="O135:O143" si="69">IF(D135=0,"",F135*K135*$J$7/$J$14)</f>
        <v>9.9232852279969686E-7</v>
      </c>
      <c r="P135" s="56">
        <f t="shared" ref="P135:P143" si="70">IF(D135=0,"",O135*10^J135)</f>
        <v>2.6325766186847254E-6</v>
      </c>
      <c r="Q135" s="56">
        <f t="shared" ref="Q135:Q143" si="71">IF(D135=0,"",F135*N135*$J$7/$J$22)</f>
        <v>1.3676453928691723E-5</v>
      </c>
      <c r="R135" s="9">
        <f t="shared" si="44"/>
        <v>3.9999999999999996E-5</v>
      </c>
      <c r="S135" s="9">
        <f t="shared" si="45"/>
        <v>7.3660582915131729E-8</v>
      </c>
      <c r="T135" s="9">
        <f t="shared" si="40"/>
        <v>3.9644828485055931E-5</v>
      </c>
      <c r="U135" s="9">
        <f t="shared" si="41"/>
        <v>3.9926339417084862E-5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-2.4928366809962146E-2</v>
      </c>
      <c r="K136" s="55">
        <f t="shared" si="65"/>
        <v>0.99900385217527976</v>
      </c>
      <c r="L136" s="55">
        <f t="shared" si="66"/>
        <v>6.6063542640178174E-4</v>
      </c>
      <c r="M136" s="55">
        <f t="shared" si="67"/>
        <v>0.99933936457359818</v>
      </c>
      <c r="N136" s="55">
        <f t="shared" si="68"/>
        <v>4.0725888741435491E-6</v>
      </c>
      <c r="O136" s="56">
        <f t="shared" si="69"/>
        <v>1.0002212694893978E-6</v>
      </c>
      <c r="P136" s="56">
        <f t="shared" si="70"/>
        <v>9.444255302860898E-7</v>
      </c>
      <c r="Q136" s="56">
        <f t="shared" si="71"/>
        <v>1.9406855649311666E-7</v>
      </c>
      <c r="R136" s="9">
        <f t="shared" si="44"/>
        <v>3.9999999999999996E-5</v>
      </c>
      <c r="S136" s="9">
        <f t="shared" si="45"/>
        <v>2.6425417056071269E-8</v>
      </c>
      <c r="T136" s="9">
        <f t="shared" si="40"/>
        <v>3.9960154087011187E-5</v>
      </c>
      <c r="U136" s="9">
        <f t="shared" si="41"/>
        <v>3.9973574582943926E-5</v>
      </c>
      <c r="V136" s="100">
        <f t="shared" si="46"/>
        <v>0.99966426580377765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-6.0386215291542894E-2</v>
      </c>
      <c r="K137" s="55">
        <f t="shared" si="65"/>
        <v>0.9993900191674242</v>
      </c>
      <c r="L137" s="55">
        <f t="shared" si="66"/>
        <v>6.0907651679108275E-4</v>
      </c>
      <c r="M137" s="55">
        <f t="shared" si="67"/>
        <v>0.9993909234832089</v>
      </c>
      <c r="N137" s="55">
        <f t="shared" si="68"/>
        <v>9.2752892275574988E-10</v>
      </c>
      <c r="O137" s="56">
        <f t="shared" si="69"/>
        <v>1.0006079070767071E-6</v>
      </c>
      <c r="P137" s="56">
        <f t="shared" si="70"/>
        <v>8.7071838621833807E-7</v>
      </c>
      <c r="Q137" s="56">
        <f t="shared" si="71"/>
        <v>4.4198961571508515E-11</v>
      </c>
      <c r="R137" s="9">
        <f t="shared" si="44"/>
        <v>3.9999999999999996E-5</v>
      </c>
      <c r="S137" s="9">
        <f t="shared" si="45"/>
        <v>2.4363060671643308E-8</v>
      </c>
      <c r="T137" s="9">
        <f t="shared" si="40"/>
        <v>3.9975600766696965E-5</v>
      </c>
      <c r="U137" s="9">
        <f t="shared" si="41"/>
        <v>3.997563693932835E-5</v>
      </c>
      <c r="V137" s="100">
        <f t="shared" si="46"/>
        <v>0.99999909513308216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-2.8805707133247753E-2</v>
      </c>
      <c r="K138" s="55">
        <f t="shared" si="65"/>
        <v>0.9990468142038369</v>
      </c>
      <c r="L138" s="55">
        <f t="shared" si="66"/>
        <v>6.5479174403897296E-4</v>
      </c>
      <c r="M138" s="55">
        <f t="shared" si="67"/>
        <v>0.99934520825596107</v>
      </c>
      <c r="N138" s="55">
        <f t="shared" si="68"/>
        <v>3.452074337833853E-6</v>
      </c>
      <c r="O138" s="56">
        <f t="shared" si="69"/>
        <v>1.0002642838728254E-6</v>
      </c>
      <c r="P138" s="56">
        <f t="shared" si="70"/>
        <v>9.3607156894257161E-7</v>
      </c>
      <c r="Q138" s="56">
        <f t="shared" si="71"/>
        <v>1.6449956142239701E-7</v>
      </c>
      <c r="R138" s="9">
        <f t="shared" si="44"/>
        <v>3.9999999999999996E-5</v>
      </c>
      <c r="S138" s="9">
        <f t="shared" si="45"/>
        <v>2.6191669761558916E-8</v>
      </c>
      <c r="T138" s="9">
        <f t="shared" si="40"/>
        <v>3.9961872568153473E-5</v>
      </c>
      <c r="U138" s="9">
        <f t="shared" si="41"/>
        <v>3.9973808330238443E-5</v>
      </c>
      <c r="V138" s="100">
        <f t="shared" si="46"/>
        <v>0.99970141043389305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0.32738996440137741</v>
      </c>
      <c r="K139" s="55">
        <f t="shared" si="65"/>
        <v>0.99317102613802</v>
      </c>
      <c r="L139" s="55">
        <f t="shared" si="66"/>
        <v>1.4782131745466902E-3</v>
      </c>
      <c r="M139" s="55">
        <f t="shared" si="67"/>
        <v>0.99852178682545334</v>
      </c>
      <c r="N139" s="55">
        <f t="shared" si="68"/>
        <v>1.2598544053426435E-4</v>
      </c>
      <c r="O139" s="56">
        <f t="shared" si="69"/>
        <v>9.9438133538804751E-7</v>
      </c>
      <c r="P139" s="56">
        <f t="shared" si="70"/>
        <v>2.1132113196698193E-6</v>
      </c>
      <c r="Q139" s="56">
        <f t="shared" si="71"/>
        <v>6.003506206792302E-6</v>
      </c>
      <c r="R139" s="9">
        <f t="shared" si="44"/>
        <v>3.9999999999999996E-5</v>
      </c>
      <c r="S139" s="9">
        <f t="shared" si="45"/>
        <v>5.9128526981867603E-8</v>
      </c>
      <c r="T139" s="9">
        <f t="shared" si="40"/>
        <v>3.9726841045520797E-5</v>
      </c>
      <c r="U139" s="9">
        <f t="shared" si="41"/>
        <v>3.9940871473018132E-5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-5.9764150402354006E-2</v>
      </c>
      <c r="K140" s="55">
        <f t="shared" si="65"/>
        <v>0.99938324156855074</v>
      </c>
      <c r="L140" s="55">
        <f t="shared" si="66"/>
        <v>6.0994542059793612E-4</v>
      </c>
      <c r="M140" s="55">
        <f t="shared" si="67"/>
        <v>0.99939005457940211</v>
      </c>
      <c r="N140" s="55">
        <f t="shared" si="68"/>
        <v>1.6344775528030373E-8</v>
      </c>
      <c r="O140" s="56">
        <f t="shared" si="69"/>
        <v>1.0006011212184398E-6</v>
      </c>
      <c r="P140" s="56">
        <f t="shared" si="70"/>
        <v>8.7196054627479263E-7</v>
      </c>
      <c r="Q140" s="56">
        <f t="shared" si="71"/>
        <v>7.7886747004285687E-10</v>
      </c>
      <c r="R140" s="9">
        <f t="shared" si="44"/>
        <v>3.9999999999999996E-5</v>
      </c>
      <c r="S140" s="9">
        <f t="shared" si="45"/>
        <v>2.4397816823917443E-8</v>
      </c>
      <c r="T140" s="9">
        <f t="shared" si="40"/>
        <v>3.9975329662742026E-5</v>
      </c>
      <c r="U140" s="9">
        <f t="shared" si="41"/>
        <v>3.9975602183176082E-5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-5.8688658104306464E-2</v>
      </c>
      <c r="K141" s="55">
        <f t="shared" si="65"/>
        <v>0.99937158484087063</v>
      </c>
      <c r="L141" s="55">
        <f t="shared" si="66"/>
        <v>6.1145063691286949E-4</v>
      </c>
      <c r="M141" s="55">
        <f t="shared" si="67"/>
        <v>0.99938854936308708</v>
      </c>
      <c r="N141" s="55">
        <f t="shared" si="68"/>
        <v>5.96673120415891E-8</v>
      </c>
      <c r="O141" s="56">
        <f t="shared" si="69"/>
        <v>1.0005894502855069E-6</v>
      </c>
      <c r="P141" s="56">
        <f t="shared" si="70"/>
        <v>8.7411236051244061E-7</v>
      </c>
      <c r="Q141" s="56">
        <f t="shared" si="71"/>
        <v>2.8432894838103907E-9</v>
      </c>
      <c r="R141" s="9">
        <f t="shared" si="44"/>
        <v>3.9999999999999996E-5</v>
      </c>
      <c r="S141" s="9">
        <f t="shared" si="45"/>
        <v>2.4458025476514777E-8</v>
      </c>
      <c r="T141" s="9">
        <f t="shared" si="40"/>
        <v>3.9974863393634819E-5</v>
      </c>
      <c r="U141" s="9">
        <f t="shared" si="41"/>
        <v>3.9975541974523477E-5</v>
      </c>
      <c r="V141" s="100">
        <f t="shared" si="46"/>
        <v>0.99998302509846915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1.6178491507428934</v>
      </c>
      <c r="K142" s="55">
        <f t="shared" si="65"/>
        <v>0.86652750677865975</v>
      </c>
      <c r="L142" s="55">
        <f t="shared" si="66"/>
        <v>2.5174135587004209E-2</v>
      </c>
      <c r="M142" s="55">
        <f t="shared" si="67"/>
        <v>0.97482586441299579</v>
      </c>
      <c r="N142" s="55">
        <f t="shared" si="68"/>
        <v>1.2026222964493044E-2</v>
      </c>
      <c r="O142" s="56">
        <f t="shared" si="69"/>
        <v>8.6758348427826078E-7</v>
      </c>
      <c r="P142" s="56">
        <f t="shared" si="70"/>
        <v>3.5988224974164449E-5</v>
      </c>
      <c r="Q142" s="56">
        <f t="shared" si="71"/>
        <v>5.7307815812229475E-4</v>
      </c>
      <c r="R142" s="9">
        <f t="shared" si="44"/>
        <v>3.9999999999999996E-5</v>
      </c>
      <c r="S142" s="9">
        <f t="shared" si="45"/>
        <v>1.0069654234801683E-6</v>
      </c>
      <c r="T142" s="9">
        <f t="shared" si="40"/>
        <v>3.4661100271146386E-5</v>
      </c>
      <c r="U142" s="9">
        <f t="shared" si="41"/>
        <v>3.8993034576519827E-5</v>
      </c>
      <c r="V142" s="100">
        <f t="shared" si="46"/>
        <v>0.88890491975246333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2.4798893228116805</v>
      </c>
      <c r="K143" s="55">
        <f t="shared" si="65"/>
        <v>0.38277068679930004</v>
      </c>
      <c r="L143" s="55">
        <f t="shared" si="66"/>
        <v>8.0937736925632581E-2</v>
      </c>
      <c r="M143" s="55">
        <f t="shared" si="67"/>
        <v>0.91906226307436745</v>
      </c>
      <c r="N143" s="55">
        <f t="shared" si="68"/>
        <v>3.3898694378318443E-3</v>
      </c>
      <c r="O143" s="56">
        <f t="shared" si="69"/>
        <v>3.8323714312019577E-7</v>
      </c>
      <c r="P143" s="56">
        <f t="shared" si="70"/>
        <v>1.1570627620211503E-4</v>
      </c>
      <c r="Q143" s="56">
        <f t="shared" si="71"/>
        <v>1.6153534983039651E-4</v>
      </c>
      <c r="R143" s="9">
        <f t="shared" si="44"/>
        <v>3.9999999999999996E-5</v>
      </c>
      <c r="S143" s="9">
        <f t="shared" si="45"/>
        <v>3.2375094770253029E-6</v>
      </c>
      <c r="T143" s="9">
        <f t="shared" si="40"/>
        <v>1.5310827471971999E-5</v>
      </c>
      <c r="U143" s="9">
        <f t="shared" si="41"/>
        <v>3.6762490522974694E-5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  <mergeCell ref="E26:E27"/>
    <mergeCell ref="F26:F27"/>
    <mergeCell ref="L19:Q19"/>
    <mergeCell ref="L20:Q20"/>
    <mergeCell ref="L21:Q21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2025-02-02T15:03:45Z</dcterms:modified>
</cp:coreProperties>
</file>