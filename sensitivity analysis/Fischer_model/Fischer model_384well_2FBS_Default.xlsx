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3E124771-AA8F-487A-85B7-DCD17941DA64}" xr6:coauthVersionLast="47" xr6:coauthVersionMax="47" xr10:uidLastSave="{00000000-0000-0000-0000-000000000000}"/>
  <bookViews>
    <workbookView minimized="1" xWindow="36000" yWindow="1335" windowWidth="32400" windowHeight="1996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R131" i="4"/>
  <c r="U131" i="4" s="1"/>
  <c r="V130" i="4"/>
  <c r="R130" i="4"/>
  <c r="U130" i="4" s="1"/>
  <c r="V127" i="4"/>
  <c r="U127" i="4"/>
  <c r="R127" i="4"/>
  <c r="T127" i="4" s="1"/>
  <c r="V126" i="4"/>
  <c r="T126" i="4"/>
  <c r="S126" i="4"/>
  <c r="R126" i="4"/>
  <c r="U126" i="4" s="1"/>
  <c r="V124" i="4"/>
  <c r="U124" i="4"/>
  <c r="T124" i="4"/>
  <c r="S124" i="4"/>
  <c r="R124" i="4"/>
  <c r="V121" i="4"/>
  <c r="R121" i="4"/>
  <c r="U121" i="4" s="1"/>
  <c r="V120" i="4"/>
  <c r="U120" i="4"/>
  <c r="T120" i="4"/>
  <c r="S120" i="4"/>
  <c r="R120" i="4"/>
  <c r="V119" i="4"/>
  <c r="R119" i="4"/>
  <c r="U119" i="4" s="1"/>
  <c r="V116" i="4"/>
  <c r="R116" i="4"/>
  <c r="U116" i="4" s="1"/>
  <c r="V115" i="4"/>
  <c r="U115" i="4"/>
  <c r="T115" i="4"/>
  <c r="R115" i="4"/>
  <c r="S115" i="4" s="1"/>
  <c r="V114" i="4"/>
  <c r="R114" i="4"/>
  <c r="V108" i="4"/>
  <c r="R108" i="4"/>
  <c r="U108" i="4" s="1"/>
  <c r="V107" i="4"/>
  <c r="R107" i="4"/>
  <c r="U107" i="4" s="1"/>
  <c r="V93" i="4"/>
  <c r="U93" i="4"/>
  <c r="R93" i="4"/>
  <c r="T93" i="4" s="1"/>
  <c r="V92" i="4"/>
  <c r="U92" i="4"/>
  <c r="R92" i="4"/>
  <c r="T92" i="4" s="1"/>
  <c r="V91" i="4"/>
  <c r="R91" i="4"/>
  <c r="U91" i="4" s="1"/>
  <c r="V90" i="4"/>
  <c r="U90" i="4"/>
  <c r="T90" i="4"/>
  <c r="S90" i="4"/>
  <c r="R90" i="4"/>
  <c r="V89" i="4"/>
  <c r="R89" i="4"/>
  <c r="V88" i="4"/>
  <c r="R88" i="4"/>
  <c r="U88" i="4" s="1"/>
  <c r="V86" i="4"/>
  <c r="R86" i="4"/>
  <c r="U86" i="4" s="1"/>
  <c r="V85" i="4"/>
  <c r="R85" i="4"/>
  <c r="U85" i="4" s="1"/>
  <c r="V84" i="4"/>
  <c r="U84" i="4"/>
  <c r="T84" i="4"/>
  <c r="R84" i="4"/>
  <c r="S84" i="4" s="1"/>
  <c r="V83" i="4"/>
  <c r="R83" i="4"/>
  <c r="V82" i="4"/>
  <c r="R82" i="4"/>
  <c r="U82" i="4" s="1"/>
  <c r="V81" i="4"/>
  <c r="R81" i="4"/>
  <c r="U81" i="4" s="1"/>
  <c r="V80" i="4"/>
  <c r="R80" i="4"/>
  <c r="U80" i="4" s="1"/>
  <c r="V79" i="4"/>
  <c r="U79" i="4"/>
  <c r="R79" i="4"/>
  <c r="T79" i="4" s="1"/>
  <c r="V78" i="4"/>
  <c r="R78" i="4"/>
  <c r="U78" i="4" s="1"/>
  <c r="V77" i="4"/>
  <c r="U77" i="4"/>
  <c r="T77" i="4"/>
  <c r="S77" i="4"/>
  <c r="R77" i="4"/>
  <c r="V76" i="4"/>
  <c r="R76" i="4"/>
  <c r="V75" i="4"/>
  <c r="R75" i="4"/>
  <c r="U75" i="4" s="1"/>
  <c r="V74" i="4"/>
  <c r="R74" i="4"/>
  <c r="U74" i="4" s="1"/>
  <c r="V73" i="4"/>
  <c r="U73" i="4"/>
  <c r="T73" i="4"/>
  <c r="S73" i="4"/>
  <c r="R73" i="4"/>
  <c r="V72" i="4"/>
  <c r="U72" i="4"/>
  <c r="T72" i="4"/>
  <c r="R72" i="4"/>
  <c r="S72" i="4" s="1"/>
  <c r="V71" i="4"/>
  <c r="R71" i="4"/>
  <c r="V70" i="4"/>
  <c r="U70" i="4"/>
  <c r="T70" i="4"/>
  <c r="S70" i="4"/>
  <c r="R70" i="4"/>
  <c r="V69" i="4"/>
  <c r="R69" i="4"/>
  <c r="U69" i="4" s="1"/>
  <c r="V68" i="4"/>
  <c r="R68" i="4"/>
  <c r="U68" i="4" s="1"/>
  <c r="V65" i="4"/>
  <c r="U65" i="4"/>
  <c r="R65" i="4"/>
  <c r="T65" i="4" s="1"/>
  <c r="V64" i="4"/>
  <c r="R64" i="4"/>
  <c r="U64" i="4" s="1"/>
  <c r="V63" i="4"/>
  <c r="U63" i="4"/>
  <c r="T63" i="4"/>
  <c r="S63" i="4"/>
  <c r="R63" i="4"/>
  <c r="V62" i="4"/>
  <c r="R62" i="4"/>
  <c r="V61" i="4"/>
  <c r="R61" i="4"/>
  <c r="U61" i="4" s="1"/>
  <c r="V60" i="4"/>
  <c r="R60" i="4"/>
  <c r="U60" i="4" s="1"/>
  <c r="V58" i="4"/>
  <c r="R58" i="4"/>
  <c r="U58" i="4" s="1"/>
  <c r="V57" i="4"/>
  <c r="U57" i="4"/>
  <c r="T57" i="4"/>
  <c r="R57" i="4"/>
  <c r="S57" i="4" s="1"/>
  <c r="V49" i="4"/>
  <c r="R49" i="4"/>
  <c r="V48" i="4"/>
  <c r="R48" i="4"/>
  <c r="U48" i="4" s="1"/>
  <c r="V47" i="4"/>
  <c r="R47" i="4"/>
  <c r="U47" i="4" s="1"/>
  <c r="V46" i="4"/>
  <c r="R46" i="4"/>
  <c r="U46" i="4" s="1"/>
  <c r="V45" i="4"/>
  <c r="U45" i="4"/>
  <c r="R45" i="4"/>
  <c r="T45" i="4" s="1"/>
  <c r="V44" i="4"/>
  <c r="T44" i="4"/>
  <c r="S44" i="4"/>
  <c r="R44" i="4"/>
  <c r="U44" i="4" s="1"/>
  <c r="V43" i="4"/>
  <c r="U43" i="4"/>
  <c r="T43" i="4"/>
  <c r="S43" i="4"/>
  <c r="R43" i="4"/>
  <c r="V42" i="4"/>
  <c r="R42" i="4"/>
  <c r="V41" i="4"/>
  <c r="U41" i="4"/>
  <c r="T41" i="4"/>
  <c r="S41" i="4"/>
  <c r="R41" i="4"/>
  <c r="V40" i="4"/>
  <c r="R40" i="4"/>
  <c r="U40" i="4" s="1"/>
  <c r="V39" i="4"/>
  <c r="R39" i="4"/>
  <c r="U39" i="4" s="1"/>
  <c r="V38" i="4"/>
  <c r="U38" i="4"/>
  <c r="T38" i="4"/>
  <c r="R38" i="4"/>
  <c r="S38" i="4" s="1"/>
  <c r="V37" i="4"/>
  <c r="R37" i="4"/>
  <c r="V36" i="4"/>
  <c r="R36" i="4"/>
  <c r="U36" i="4" s="1"/>
  <c r="V35" i="4"/>
  <c r="R35" i="4"/>
  <c r="U35" i="4" s="1"/>
  <c r="V34" i="4"/>
  <c r="U34" i="4"/>
  <c r="R34" i="4"/>
  <c r="T34" i="4" s="1"/>
  <c r="V33" i="4"/>
  <c r="U33" i="4"/>
  <c r="R33" i="4"/>
  <c r="T33" i="4" s="1"/>
  <c r="V32" i="4"/>
  <c r="R32" i="4"/>
  <c r="U32" i="4" s="1"/>
  <c r="V31" i="4"/>
  <c r="U31" i="4"/>
  <c r="T31" i="4"/>
  <c r="S31" i="4"/>
  <c r="R31" i="4"/>
  <c r="V30" i="4"/>
  <c r="R30" i="4"/>
  <c r="V29" i="4"/>
  <c r="R29" i="4"/>
  <c r="U29" i="4" s="1"/>
  <c r="V28" i="4"/>
  <c r="R28" i="4"/>
  <c r="U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L130" i="4"/>
  <c r="M130" i="4"/>
  <c r="N130" i="4"/>
  <c r="Q130" i="4" s="1"/>
  <c r="O130" i="4"/>
  <c r="P130" i="4" s="1"/>
  <c r="I131" i="4"/>
  <c r="J131" i="4"/>
  <c r="K131" i="4"/>
  <c r="L131" i="4"/>
  <c r="M131" i="4"/>
  <c r="N131" i="4"/>
  <c r="O131" i="4"/>
  <c r="P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U83" i="4" l="1"/>
  <c r="T83" i="4"/>
  <c r="U62" i="4"/>
  <c r="T62" i="4"/>
  <c r="S62" i="4"/>
  <c r="S80" i="4"/>
  <c r="S83" i="4"/>
  <c r="S48" i="4"/>
  <c r="S58" i="4"/>
  <c r="T80" i="4"/>
  <c r="S29" i="4"/>
  <c r="S32" i="4"/>
  <c r="T48" i="4"/>
  <c r="T58" i="4"/>
  <c r="U71" i="4"/>
  <c r="T71" i="4"/>
  <c r="S88" i="4"/>
  <c r="S91" i="4"/>
  <c r="T29" i="4"/>
  <c r="T32" i="4"/>
  <c r="S68" i="4"/>
  <c r="S71" i="4"/>
  <c r="T88" i="4"/>
  <c r="T91" i="4"/>
  <c r="S36" i="4"/>
  <c r="S39" i="4"/>
  <c r="T68" i="4"/>
  <c r="S108" i="4"/>
  <c r="S116" i="4"/>
  <c r="T36" i="4"/>
  <c r="T39" i="4"/>
  <c r="U49" i="4"/>
  <c r="T49" i="4"/>
  <c r="S75" i="4"/>
  <c r="S78" i="4"/>
  <c r="T108" i="4"/>
  <c r="T116" i="4"/>
  <c r="S130" i="4"/>
  <c r="U30" i="4"/>
  <c r="T30" i="4"/>
  <c r="S30" i="4"/>
  <c r="S46" i="4"/>
  <c r="S49" i="4"/>
  <c r="T75" i="4"/>
  <c r="T78" i="4"/>
  <c r="U89" i="4"/>
  <c r="T89" i="4"/>
  <c r="S89" i="4"/>
  <c r="T130" i="4"/>
  <c r="T46" i="4"/>
  <c r="S82" i="4"/>
  <c r="S85" i="4"/>
  <c r="U37" i="4"/>
  <c r="T37" i="4"/>
  <c r="S61" i="4"/>
  <c r="S64" i="4"/>
  <c r="T82" i="4"/>
  <c r="T85" i="4"/>
  <c r="U114" i="4"/>
  <c r="T114" i="4"/>
  <c r="S34" i="4"/>
  <c r="S37" i="4"/>
  <c r="T61" i="4"/>
  <c r="T64" i="4"/>
  <c r="U76" i="4"/>
  <c r="T76" i="4"/>
  <c r="S76" i="4"/>
  <c r="S93" i="4"/>
  <c r="S114" i="4"/>
  <c r="U42" i="4"/>
  <c r="T42" i="4"/>
  <c r="S42" i="4"/>
  <c r="S127" i="4"/>
  <c r="S121" i="4"/>
  <c r="S35" i="4"/>
  <c r="S47" i="4"/>
  <c r="S69" i="4"/>
  <c r="S81" i="4"/>
  <c r="S107" i="4"/>
  <c r="T121" i="4"/>
  <c r="S131" i="4"/>
  <c r="S28" i="4"/>
  <c r="T35" i="4"/>
  <c r="S40" i="4"/>
  <c r="T47" i="4"/>
  <c r="S60" i="4"/>
  <c r="T69" i="4"/>
  <c r="S74" i="4"/>
  <c r="T81" i="4"/>
  <c r="S86" i="4"/>
  <c r="T107" i="4"/>
  <c r="S119" i="4"/>
  <c r="T131" i="4"/>
  <c r="T28" i="4"/>
  <c r="S33" i="4"/>
  <c r="T40" i="4"/>
  <c r="S45" i="4"/>
  <c r="T60" i="4"/>
  <c r="S65" i="4"/>
  <c r="T74" i="4"/>
  <c r="S79" i="4"/>
  <c r="T86" i="4"/>
  <c r="S92" i="4"/>
  <c r="T119" i="4"/>
  <c r="O15" i="1" l="1"/>
  <c r="L15" i="1"/>
  <c r="N15" i="1"/>
  <c r="M87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4" i="4"/>
  <c r="M117" i="4"/>
  <c r="M118" i="4"/>
  <c r="M122" i="4"/>
  <c r="M123" i="4"/>
  <c r="M125" i="4"/>
  <c r="J16" i="4"/>
  <c r="J15" i="4"/>
  <c r="J87" i="4"/>
  <c r="K87" i="4" s="1"/>
  <c r="J122" i="4"/>
  <c r="K122" i="4"/>
  <c r="J117" i="4"/>
  <c r="K117" i="4"/>
  <c r="J120" i="4"/>
  <c r="K120" i="4"/>
  <c r="O120" i="4" s="1"/>
  <c r="P120" i="4" s="1"/>
  <c r="J101" i="4"/>
  <c r="K101" i="4"/>
  <c r="J86" i="4"/>
  <c r="K86" i="4" s="1"/>
  <c r="J85" i="4"/>
  <c r="K85" i="4" s="1"/>
  <c r="J88" i="4"/>
  <c r="K88" i="4" s="1"/>
  <c r="J119" i="4"/>
  <c r="K119" i="4" s="1"/>
  <c r="O119" i="4" s="1"/>
  <c r="P119" i="4" s="1"/>
  <c r="J72" i="4"/>
  <c r="K72" i="4"/>
  <c r="J103" i="4"/>
  <c r="K103" i="4"/>
  <c r="J118" i="4"/>
  <c r="K118" i="4"/>
  <c r="J104" i="4"/>
  <c r="K104" i="4"/>
  <c r="J90" i="4"/>
  <c r="K90" i="4" s="1"/>
  <c r="J71" i="4"/>
  <c r="K71" i="4"/>
  <c r="O71" i="4" s="1"/>
  <c r="P71" i="4" s="1"/>
  <c r="J110" i="4"/>
  <c r="K110" i="4"/>
  <c r="J82" i="4"/>
  <c r="K82" i="4" s="1"/>
  <c r="J113" i="4"/>
  <c r="K113" i="4"/>
  <c r="J97" i="4"/>
  <c r="L97" i="4" s="1"/>
  <c r="K97" i="4"/>
  <c r="J81" i="4"/>
  <c r="K81" i="4" s="1"/>
  <c r="J116" i="4"/>
  <c r="K116" i="4"/>
  <c r="J100" i="4"/>
  <c r="K100" i="4"/>
  <c r="O100" i="4"/>
  <c r="J84" i="4"/>
  <c r="K84" i="4"/>
  <c r="J114" i="4"/>
  <c r="K114" i="4"/>
  <c r="O114" i="4" s="1"/>
  <c r="P114" i="4" s="1"/>
  <c r="J78" i="4"/>
  <c r="K78" i="4"/>
  <c r="J115" i="4"/>
  <c r="K115" i="4" s="1"/>
  <c r="O115" i="4" s="1"/>
  <c r="P115" i="4" s="1"/>
  <c r="J99" i="4"/>
  <c r="K99" i="4"/>
  <c r="J83" i="4"/>
  <c r="K83" i="4" s="1"/>
  <c r="J102" i="4"/>
  <c r="K102" i="4"/>
  <c r="J74" i="4"/>
  <c r="K74" i="4" s="1"/>
  <c r="J125" i="4"/>
  <c r="K125" i="4"/>
  <c r="J109" i="4"/>
  <c r="K109" i="4"/>
  <c r="J93" i="4"/>
  <c r="K93" i="4"/>
  <c r="J77" i="4"/>
  <c r="K77" i="4" s="1"/>
  <c r="J112" i="4"/>
  <c r="K112" i="4"/>
  <c r="J96" i="4"/>
  <c r="K96" i="4" s="1"/>
  <c r="J80" i="4"/>
  <c r="K80" i="4" s="1"/>
  <c r="J106" i="4"/>
  <c r="K106" i="4"/>
  <c r="J127" i="4"/>
  <c r="K127" i="4"/>
  <c r="O127" i="4" s="1"/>
  <c r="P127" i="4" s="1"/>
  <c r="J111" i="4"/>
  <c r="K111" i="4"/>
  <c r="J95" i="4"/>
  <c r="K95" i="4" s="1"/>
  <c r="J79" i="4"/>
  <c r="K79" i="4" s="1"/>
  <c r="J126" i="4"/>
  <c r="K126" i="4" s="1"/>
  <c r="O126" i="4" s="1"/>
  <c r="P126" i="4" s="1"/>
  <c r="J94" i="4"/>
  <c r="K94" i="4"/>
  <c r="J121" i="4"/>
  <c r="K121" i="4"/>
  <c r="O121" i="4" s="1"/>
  <c r="P121" i="4" s="1"/>
  <c r="J105" i="4"/>
  <c r="K105" i="4"/>
  <c r="J89" i="4"/>
  <c r="K89" i="4" s="1"/>
  <c r="J73" i="4"/>
  <c r="K73" i="4" s="1"/>
  <c r="J124" i="4"/>
  <c r="K124" i="4"/>
  <c r="O124" i="4" s="1"/>
  <c r="P124" i="4" s="1"/>
  <c r="J108" i="4"/>
  <c r="L108" i="4" s="1"/>
  <c r="M108" i="4" s="1"/>
  <c r="J92" i="4"/>
  <c r="K92" i="4"/>
  <c r="J76" i="4"/>
  <c r="K76" i="4" s="1"/>
  <c r="J98" i="4"/>
  <c r="K98" i="4"/>
  <c r="J123" i="4"/>
  <c r="K123" i="4"/>
  <c r="J107" i="4"/>
  <c r="K107" i="4"/>
  <c r="J91" i="4"/>
  <c r="K91" i="4"/>
  <c r="J75" i="4"/>
  <c r="K75" i="4"/>
  <c r="P100" i="4"/>
  <c r="O107" i="4"/>
  <c r="P107" i="4"/>
  <c r="O112" i="4"/>
  <c r="P112" i="4"/>
  <c r="O98" i="4"/>
  <c r="P98" i="4"/>
  <c r="O105" i="4"/>
  <c r="P105" i="4"/>
  <c r="O111" i="4"/>
  <c r="P111" i="4"/>
  <c r="O84" i="4"/>
  <c r="P84" i="4" s="1"/>
  <c r="O104" i="4"/>
  <c r="P104" i="4"/>
  <c r="O91" i="4"/>
  <c r="P91" i="4" s="1"/>
  <c r="O102" i="4"/>
  <c r="P102" i="4"/>
  <c r="O110" i="4"/>
  <c r="P110" i="4"/>
  <c r="O118" i="4"/>
  <c r="P118" i="4"/>
  <c r="O117" i="4"/>
  <c r="P117" i="4"/>
  <c r="O106" i="4"/>
  <c r="P106" i="4"/>
  <c r="O109" i="4"/>
  <c r="P109" i="4"/>
  <c r="O116" i="4"/>
  <c r="P116" i="4" s="1"/>
  <c r="O113" i="4"/>
  <c r="P113" i="4"/>
  <c r="O103" i="4"/>
  <c r="P103" i="4"/>
  <c r="O122" i="4"/>
  <c r="P122" i="4"/>
  <c r="O123" i="4"/>
  <c r="P123" i="4"/>
  <c r="O125" i="4"/>
  <c r="P125" i="4"/>
  <c r="O99" i="4"/>
  <c r="P99" i="4"/>
  <c r="O101" i="4"/>
  <c r="P101" i="4"/>
  <c r="I76" i="4"/>
  <c r="L76" i="4" s="1"/>
  <c r="I77" i="4"/>
  <c r="I81" i="4"/>
  <c r="L81" i="4" s="1"/>
  <c r="I89" i="4"/>
  <c r="N89" i="4" s="1"/>
  <c r="Q89" i="4" s="1"/>
  <c r="I90" i="4"/>
  <c r="N90" i="4" s="1"/>
  <c r="Q90" i="4" s="1"/>
  <c r="I96" i="4"/>
  <c r="L96" i="4" s="1"/>
  <c r="I99" i="4"/>
  <c r="I102" i="4"/>
  <c r="I104" i="4"/>
  <c r="I108" i="4"/>
  <c r="N108" i="4" s="1"/>
  <c r="Q108" i="4" s="1"/>
  <c r="I111" i="4"/>
  <c r="I113" i="4"/>
  <c r="I115" i="4"/>
  <c r="N115" i="4" s="1"/>
  <c r="Q115" i="4" s="1"/>
  <c r="I119" i="4"/>
  <c r="I120" i="4"/>
  <c r="L120" i="4" s="1"/>
  <c r="M120" i="4" s="1"/>
  <c r="I123" i="4"/>
  <c r="I125" i="4"/>
  <c r="I79" i="4"/>
  <c r="N79" i="4" s="1"/>
  <c r="Q79" i="4" s="1"/>
  <c r="I92" i="4"/>
  <c r="L92" i="4" s="1"/>
  <c r="I100" i="4"/>
  <c r="I103" i="4"/>
  <c r="I107" i="4"/>
  <c r="N107" i="4" s="1"/>
  <c r="Q107" i="4" s="1"/>
  <c r="I109" i="4"/>
  <c r="I110" i="4"/>
  <c r="I117" i="4"/>
  <c r="I124" i="4"/>
  <c r="N124" i="4" s="1"/>
  <c r="Q124" i="4" s="1"/>
  <c r="I72" i="4"/>
  <c r="I106" i="4"/>
  <c r="I71" i="4"/>
  <c r="N71" i="4" s="1"/>
  <c r="Q71" i="4" s="1"/>
  <c r="I75" i="4"/>
  <c r="N75" i="4" s="1"/>
  <c r="Q75" i="4" s="1"/>
  <c r="I80" i="4"/>
  <c r="I83" i="4"/>
  <c r="L83" i="4" s="1"/>
  <c r="I86" i="4"/>
  <c r="I88" i="4"/>
  <c r="I94" i="4"/>
  <c r="I95" i="4"/>
  <c r="I98" i="4"/>
  <c r="I101" i="4"/>
  <c r="I118" i="4"/>
  <c r="I127" i="4"/>
  <c r="L127" i="4" s="1"/>
  <c r="M127" i="4" s="1"/>
  <c r="I73" i="4"/>
  <c r="L73" i="4" s="1"/>
  <c r="I74" i="4"/>
  <c r="N74" i="4" s="1"/>
  <c r="Q74" i="4" s="1"/>
  <c r="I78" i="4"/>
  <c r="I82" i="4"/>
  <c r="L82" i="4" s="1"/>
  <c r="I85" i="4"/>
  <c r="L85" i="4" s="1"/>
  <c r="I93" i="4"/>
  <c r="L93" i="4" s="1"/>
  <c r="I112" i="4"/>
  <c r="I114" i="4"/>
  <c r="N114" i="4" s="1"/>
  <c r="Q114" i="4" s="1"/>
  <c r="I121" i="4"/>
  <c r="N121" i="4" s="1"/>
  <c r="Q121" i="4" s="1"/>
  <c r="I122" i="4"/>
  <c r="I84" i="4"/>
  <c r="L84" i="4" s="1"/>
  <c r="I87" i="4"/>
  <c r="I91" i="4"/>
  <c r="N91" i="4" s="1"/>
  <c r="Q91" i="4" s="1"/>
  <c r="I97" i="4"/>
  <c r="I105" i="4"/>
  <c r="I116" i="4"/>
  <c r="L116" i="4" s="1"/>
  <c r="M116" i="4" s="1"/>
  <c r="I126" i="4"/>
  <c r="N126" i="4" s="1"/>
  <c r="Q126" i="4" s="1"/>
  <c r="L105" i="4"/>
  <c r="N105" i="4"/>
  <c r="Q105" i="4"/>
  <c r="N84" i="4"/>
  <c r="Q84" i="4" s="1"/>
  <c r="N85" i="4"/>
  <c r="Q85" i="4" s="1"/>
  <c r="N101" i="4"/>
  <c r="Q101" i="4"/>
  <c r="L101" i="4"/>
  <c r="N88" i="4"/>
  <c r="Q88" i="4" s="1"/>
  <c r="L88" i="4"/>
  <c r="L106" i="4"/>
  <c r="N106" i="4"/>
  <c r="Q106" i="4"/>
  <c r="L124" i="4"/>
  <c r="M124" i="4" s="1"/>
  <c r="L107" i="4"/>
  <c r="M107" i="4" s="1"/>
  <c r="N119" i="4"/>
  <c r="Q119" i="4"/>
  <c r="L119" i="4"/>
  <c r="M119" i="4" s="1"/>
  <c r="N77" i="4"/>
  <c r="Q77" i="4" s="1"/>
  <c r="N97" i="4"/>
  <c r="Q97" i="4"/>
  <c r="L114" i="4"/>
  <c r="N98" i="4"/>
  <c r="Q98" i="4"/>
  <c r="L98" i="4"/>
  <c r="N86" i="4"/>
  <c r="Q86" i="4" s="1"/>
  <c r="L86" i="4"/>
  <c r="L72" i="4"/>
  <c r="N72" i="4"/>
  <c r="Q72" i="4"/>
  <c r="N117" i="4"/>
  <c r="Q117" i="4"/>
  <c r="L117" i="4"/>
  <c r="N103" i="4"/>
  <c r="Q103" i="4"/>
  <c r="L103" i="4"/>
  <c r="L125" i="4"/>
  <c r="N125" i="4"/>
  <c r="Q125" i="4"/>
  <c r="L104" i="4"/>
  <c r="N104" i="4"/>
  <c r="Q104" i="4"/>
  <c r="N76" i="4"/>
  <c r="Q76" i="4" s="1"/>
  <c r="L112" i="4"/>
  <c r="N112" i="4"/>
  <c r="Q112" i="4"/>
  <c r="L78" i="4"/>
  <c r="N78" i="4"/>
  <c r="Q78" i="4" s="1"/>
  <c r="N95" i="4"/>
  <c r="Q95" i="4"/>
  <c r="L95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116" i="4"/>
  <c r="Q116" i="4" s="1"/>
  <c r="N87" i="4"/>
  <c r="Q87" i="4" s="1"/>
  <c r="L87" i="4"/>
  <c r="N122" i="4"/>
  <c r="Q122" i="4"/>
  <c r="L122" i="4"/>
  <c r="N93" i="4"/>
  <c r="Q93" i="4" s="1"/>
  <c r="N118" i="4"/>
  <c r="Q118" i="4"/>
  <c r="L118" i="4"/>
  <c r="L94" i="4"/>
  <c r="N94" i="4"/>
  <c r="Q94" i="4" s="1"/>
  <c r="L80" i="4"/>
  <c r="N80" i="4"/>
  <c r="Q80" i="4"/>
  <c r="N109" i="4"/>
  <c r="Q109" i="4"/>
  <c r="L109" i="4"/>
  <c r="N92" i="4"/>
  <c r="Q92" i="4"/>
  <c r="N120" i="4"/>
  <c r="Q120" i="4" s="1"/>
  <c r="N111" i="4"/>
  <c r="Q111" i="4"/>
  <c r="L111" i="4"/>
  <c r="N99" i="4"/>
  <c r="Q99" i="4"/>
  <c r="L99" i="4"/>
  <c r="N81" i="4"/>
  <c r="Q81" i="4"/>
  <c r="M81" i="4" l="1"/>
  <c r="M76" i="4"/>
  <c r="M93" i="4"/>
  <c r="M85" i="4"/>
  <c r="M92" i="4"/>
  <c r="M88" i="4"/>
  <c r="O89" i="4"/>
  <c r="P89" i="4" s="1"/>
  <c r="O81" i="4"/>
  <c r="P81" i="4" s="1"/>
  <c r="L91" i="4"/>
  <c r="M91" i="4" s="1"/>
  <c r="O97" i="4"/>
  <c r="P97" i="4" s="1"/>
  <c r="M95" i="4"/>
  <c r="L115" i="4"/>
  <c r="M115" i="4" s="1"/>
  <c r="M97" i="4"/>
  <c r="L126" i="4"/>
  <c r="M126" i="4" s="1"/>
  <c r="M72" i="4"/>
  <c r="O76" i="4"/>
  <c r="P76" i="4" s="1"/>
  <c r="O74" i="4"/>
  <c r="P74" i="4" s="1"/>
  <c r="M80" i="4"/>
  <c r="L71" i="4"/>
  <c r="M71" i="4" s="1"/>
  <c r="N73" i="4"/>
  <c r="Q73" i="4" s="1"/>
  <c r="M82" i="4"/>
  <c r="M83" i="4"/>
  <c r="O92" i="4"/>
  <c r="P92" i="4" s="1"/>
  <c r="O94" i="4"/>
  <c r="P94" i="4" s="1"/>
  <c r="O80" i="4"/>
  <c r="P80" i="4" s="1"/>
  <c r="O82" i="4"/>
  <c r="P82" i="4" s="1"/>
  <c r="O72" i="4"/>
  <c r="P72" i="4" s="1"/>
  <c r="N127" i="4"/>
  <c r="Q127" i="4" s="1"/>
  <c r="L77" i="4"/>
  <c r="O75" i="4"/>
  <c r="P75" i="4" s="1"/>
  <c r="O96" i="4"/>
  <c r="P96" i="4" s="1"/>
  <c r="M94" i="4"/>
  <c r="M96" i="4"/>
  <c r="K108" i="4"/>
  <c r="O108" i="4" s="1"/>
  <c r="P108" i="4" s="1"/>
  <c r="O83" i="4"/>
  <c r="P83" i="4" s="1"/>
  <c r="M86" i="4"/>
  <c r="M73" i="4"/>
  <c r="O87" i="4"/>
  <c r="P87" i="4" s="1"/>
  <c r="L89" i="4"/>
  <c r="M78" i="4"/>
  <c r="L90" i="4"/>
  <c r="L121" i="4"/>
  <c r="M121" i="4" s="1"/>
  <c r="O79" i="4"/>
  <c r="P79" i="4" s="1"/>
  <c r="O77" i="4"/>
  <c r="P77" i="4" s="1"/>
  <c r="O88" i="4"/>
  <c r="P88" i="4" s="1"/>
  <c r="M84" i="4"/>
  <c r="O78" i="4"/>
  <c r="P78" i="4" s="1"/>
  <c r="O95" i="4"/>
  <c r="P95" i="4" s="1"/>
  <c r="O93" i="4"/>
  <c r="P93" i="4" s="1"/>
  <c r="O90" i="4"/>
  <c r="P90" i="4" s="1"/>
  <c r="O85" i="4"/>
  <c r="P85" i="4" s="1"/>
  <c r="O73" i="4"/>
  <c r="P73" i="4" s="1"/>
  <c r="O86" i="4"/>
  <c r="P86" i="4" s="1"/>
  <c r="N83" i="4"/>
  <c r="Q83" i="4" s="1"/>
  <c r="L74" i="4"/>
  <c r="L79" i="4"/>
  <c r="L75" i="4"/>
  <c r="N82" i="4"/>
  <c r="Q82" i="4" s="1"/>
  <c r="N96" i="4"/>
  <c r="Q96" i="4" s="1"/>
  <c r="J14" i="4"/>
  <c r="J13" i="4" s="1"/>
  <c r="K16" i="4" s="1"/>
  <c r="M79" i="4" l="1"/>
  <c r="M74" i="4"/>
  <c r="M89" i="4"/>
  <c r="M90" i="4"/>
  <c r="M75" i="4"/>
  <c r="M77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68" i="4" l="1"/>
  <c r="O68" i="4"/>
  <c r="P68" i="4" s="1"/>
  <c r="M64" i="4"/>
  <c r="O64" i="4"/>
  <c r="P64" i="4" s="1"/>
  <c r="M69" i="4"/>
  <c r="M58" i="4"/>
  <c r="O69" i="4"/>
  <c r="P69" i="4" s="1"/>
  <c r="M57" i="4"/>
  <c r="O65" i="4"/>
  <c r="P65" i="4" s="1"/>
  <c r="O66" i="4"/>
  <c r="P66" i="4" s="1"/>
  <c r="M65" i="4"/>
  <c r="M66" i="4"/>
  <c r="O67" i="4"/>
  <c r="P67" i="4" s="1"/>
  <c r="M67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J39" i="4" s="1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45" i="4" l="1"/>
  <c r="J30" i="4"/>
  <c r="K30" i="4" s="1"/>
  <c r="J43" i="4"/>
  <c r="K43" i="4" s="1"/>
  <c r="J31" i="4"/>
  <c r="K31" i="4" s="1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L45" i="4"/>
  <c r="K45" i="4"/>
  <c r="L47" i="4"/>
  <c r="K44" i="4"/>
  <c r="K52" i="4"/>
  <c r="O52" i="4" s="1"/>
  <c r="P52" i="4" s="1"/>
  <c r="L52" i="4"/>
  <c r="M52" i="4" s="1"/>
  <c r="L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L30" i="4"/>
  <c r="O48" i="4" l="1"/>
  <c r="P48" i="4" s="1"/>
  <c r="M48" i="4"/>
  <c r="L31" i="4"/>
  <c r="O49" i="4"/>
  <c r="P49" i="4" s="1"/>
  <c r="M49" i="4"/>
  <c r="M47" i="4"/>
  <c r="O45" i="4"/>
  <c r="P45" i="4" s="1"/>
  <c r="M31" i="4"/>
  <c r="O47" i="4"/>
  <c r="P47" i="4" s="1"/>
  <c r="O31" i="4"/>
  <c r="P31" i="4" s="1"/>
  <c r="O33" i="4"/>
  <c r="P33" i="4" s="1"/>
  <c r="M35" i="4"/>
  <c r="O30" i="4"/>
  <c r="P30" i="4" s="1"/>
  <c r="O46" i="4"/>
  <c r="P46" i="4" s="1"/>
  <c r="M44" i="4"/>
  <c r="M43" i="4"/>
  <c r="O43" i="4"/>
  <c r="P43" i="4" s="1"/>
  <c r="O39" i="4"/>
  <c r="P39" i="4" s="1"/>
  <c r="O41" i="4"/>
  <c r="P41" i="4" s="1"/>
  <c r="M45" i="4"/>
  <c r="O28" i="4"/>
  <c r="P28" i="4" s="1"/>
  <c r="M39" i="4"/>
  <c r="O44" i="4"/>
  <c r="P44" i="4" s="1"/>
  <c r="K35" i="4"/>
  <c r="K36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35" i="4" l="1"/>
  <c r="P35" i="4" s="1"/>
  <c r="O32" i="4"/>
  <c r="P32" i="4" s="1"/>
  <c r="O38" i="4"/>
  <c r="P38" i="4" s="1"/>
  <c r="O40" i="4"/>
  <c r="P40" i="4" s="1"/>
  <c r="M33" i="4"/>
  <c r="O42" i="4"/>
  <c r="P42" i="4" s="1"/>
  <c r="M41" i="4"/>
  <c r="O37" i="4"/>
  <c r="P37" i="4" s="1"/>
  <c r="M46" i="4"/>
  <c r="O29" i="4"/>
  <c r="P29" i="4" s="1"/>
  <c r="O34" i="4"/>
  <c r="P34" i="4" s="1"/>
  <c r="O36" i="4"/>
  <c r="P36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<sst xmlns="http://schemas.openxmlformats.org/spreadsheetml/2006/main" count="318" uniqueCount="294">
  <si>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</si>
  <si>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</si>
  <si>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</si>
  <si>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</si>
  <si>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</si>
  <si>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</si>
  <si>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</si>
  <si>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</si>
  <si>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</si>
  <si>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</si>
  <si>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</si>
  <si>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</si>
  <si>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</si>
  <si>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</si>
  <si>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</si>
  <si>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</si>
  <si>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</si>
  <si>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</si>
  <si>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</si>
  <si>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</si>
  <si>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</si>
  <si>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</si>
  <si>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</si>
  <si>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</si>
  <si>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</si>
  <si>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</si>
  <si>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</si>
  <si>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</si>
  <si>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</si>
  <si>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</si>
  <si>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</si>
  <si>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</si>
  <si>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</si>
  <si>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</si>
  <si>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</si>
  <si>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</si>
  <si>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</si>
  <si>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</si>
  <si>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</si>
  <si>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</si>
  <si>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</si>
  <si>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</si>
  <si>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</si>
  <si>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</si>
  <si>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</si>
  <si>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</si>
  <si>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</si>
  <si>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</si>
  <si>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</si>
  <si>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</si>
  <si>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</si>
  <si>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</si>
  <si>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</si>
  <si>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</si>
  <si>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</si>
  <si>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</si>
  <si>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</si>
  <si>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</si>
  <si>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</si>
  <si>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</si>
  <si>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</si>
  <si>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</si>
  <si>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</si>
  <si>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</si>
  <si>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</si>
  <si>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</si>
  <si>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</si>
  <si>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</si>
  <si>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</si>
  <si>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</si>
  <si>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</si>
  <si>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</si>
  <si>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</si>
  <si>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</si>
  <si>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</si>
  <si>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</si>
  <si>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</si>
  <si>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</si>
  <si>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</si>
  <si>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</si>
  <si>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</si>
  <si>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</si>
  <si>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</si>
  <si>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</si>
  <si>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</si>
  <si>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</si>
  <si>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</si>
  <si>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</si>
  <si>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</si>
  <si>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</si>
  <si>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</si>
  <si>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</si>
  <si>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</si>
  <si>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</si>
  <si>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</si>
  <si>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</si>
  <si>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</si>
  <si>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</si>
  <si>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</si>
  <si>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</si>
  <si>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</si>
  <si>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</si>
  <si>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</si>
  <si>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</si>
  <si>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</si>
  <si>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</si>
  <si>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</si>
  <si>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</si>
  <si>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</si>
  <si>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</si>
  <si>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</si>
  <si>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Default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</si>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</sst>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111</v>
      </c>
      <c r="K17" s="31" t="s">
        <v>79</v>
      </c>
      <c r="L17" s="81">
        <v>4.3499999999999997E-3</v>
      </c>
      <c r="M17" s="81">
        <v>5.0000000000000001E-4</v>
      </c>
      <c r="N17" s="81">
        <v>1.4999999999999999E-4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3" zoomScale="70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40.027999999999999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40.003640000000004</v>
      </c>
      <c r="K8" s="39">
        <f>J8/J7</f>
        <v>0.99939142600179887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2.1999999999999999E-2</v>
      </c>
      <c r="K9" s="39">
        <f>J9/J7</f>
        <v>5.496152693114819E-4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2.3600000000000001E-3</v>
      </c>
      <c r="K10" s="39">
        <f>J10/J7</f>
        <v>5.8958728889777162E-5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39.979280000000003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1.9199999999999998E-2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1.5200000000000001E-3</v>
      </c>
      <c r="K16" s="39">
        <f>J16/J13</f>
        <v>3.8000000000000002E-5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2.7999999999999997E-2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2.4359999999999996E-2</v>
      </c>
      <c r="K20" s="39">
        <f>J20/J19</f>
        <v>0.87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2.8E-3</v>
      </c>
      <c r="K21" s="39">
        <f>J21/J19</f>
        <v>0.1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8.3999999999999993E-4</v>
      </c>
      <c r="K22" s="39">
        <f>J22/J19</f>
        <v>0.03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0.88474709081801395</v>
      </c>
      <c r="K28" s="95">
        <f t="shared" ref="K28:K47" si="3">IF(D28=0,"",1/(1+10^D28*$J$15/$J$14+10^E28*$J$16/$J$14+10^J28*$J$19/$J$14))</f>
        <v>0.97129606073534414</v>
      </c>
      <c r="L28" s="95">
        <f t="shared" ref="L28:L47" si="4">IF(D28=0,"",1/(1+10^I28/10^J28*$J$13/$J$19))</f>
        <v>5.217011343713834E-3</v>
      </c>
      <c r="M28" s="95">
        <f t="shared" ref="M28:M47" si="5">IF(D28=0,"",1-L28)</f>
        <v>0.99478298865628612</v>
      </c>
      <c r="N28" s="95">
        <f t="shared" ref="N28:N47" si="6">IF(D28=0,"",1/(1/10^E28*$J$20/$J$22+10^D28/10^E28*$J$21/$J$22+10^I28/10^E28*$J$13/$J$22+1))</f>
        <v>1.6302002107330892E-3</v>
      </c>
      <c r="O28" s="40">
        <f t="shared" ref="O28:O47" si="7">IF(D28=0,"",F28*K28*$J$7/$J$14)</f>
        <v>9.7247971246891754E-7</v>
      </c>
      <c r="P28" s="40">
        <f t="shared" ref="P28:P47" si="8">IF(D28=0,"",O28*10^J28)</f>
        <v>7.4580903595063327E-6</v>
      </c>
      <c r="Q28" s="40">
        <f t="shared" ref="Q28:Q47" si="9">IF(D28=0,"",F28*N28*$J$7/$J$22)</f>
        <v>7.7682921470504873E-5</v>
      </c>
      <c r="R28" s="9">
        <f>F28*$C$14</f>
        <v>3.9999999999999996E-5</v>
      </c>
      <c r="S28" s="9">
        <f>$R28*L28</f>
        <v>2.0868045374855334E-7</v>
      </c>
      <c r="T28" s="9">
        <f>R28*K28</f>
        <v>3.8851842429413762E-5</v>
      </c>
      <c r="U28" s="9">
        <f>$R28*M28</f>
        <v>3.9791319546251444E-5</v>
      </c>
      <c r="V28" s="102">
        <f>K28/M28</f>
        <v>0.97638989790862107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4.415376749895219</v>
      </c>
      <c r="K29" s="95">
        <f t="shared" si="3"/>
        <v>1.3971667011876637E-2</v>
      </c>
      <c r="L29" s="95">
        <f t="shared" si="4"/>
        <v>0.25465255576875856</v>
      </c>
      <c r="M29" s="95">
        <f t="shared" si="5"/>
        <v>0.74534744423124144</v>
      </c>
      <c r="N29" s="95">
        <f t="shared" si="6"/>
        <v>0.20103632844123562</v>
      </c>
      <c r="O29" s="40">
        <f t="shared" si="7"/>
        <v>1.3988693321925708E-8</v>
      </c>
      <c r="P29" s="40">
        <f t="shared" si="8"/>
        <v>3.6404401793970972E-4</v>
      </c>
      <c r="Q29" s="40">
        <f t="shared" si="9"/>
        <v>9.5798597081497364E-3</v>
      </c>
      <c r="R29" s="9">
        <f>F29*$C$14</f>
        <v>3.9999999999999996E-5</v>
      </c>
      <c r="S29" s="9">
        <f t="shared" ref="S29:S49" si="10">$R29*L29</f>
        <v>1.0186102230750341E-5</v>
      </c>
      <c r="T29" s="9">
        <f t="shared" ref="T29:T50" si="11">R29*K29</f>
        <v>5.5886668047506542E-7</v>
      </c>
      <c r="U29" s="9">
        <f t="shared" ref="U29:U50" si="12">$R29*M29</f>
        <v>2.9813897769249655E-5</v>
      </c>
      <c r="V29" s="102">
        <f t="shared" ref="V29:V49" si="13">K29/M29</f>
        <v>1.8745173301408645E-2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7.7870173585309752</v>
      </c>
      <c r="K30" s="95">
        <f t="shared" si="3"/>
        <v>7.973791670352654E-6</v>
      </c>
      <c r="L30" s="95">
        <f t="shared" si="4"/>
        <v>0.34198362077559824</v>
      </c>
      <c r="M30" s="95">
        <f t="shared" si="5"/>
        <v>0.65801637922440182</v>
      </c>
      <c r="N30" s="95">
        <f t="shared" si="6"/>
        <v>0.33422136016949688</v>
      </c>
      <c r="O30" s="40">
        <f t="shared" si="7"/>
        <v>7.9835087820710128E-12</v>
      </c>
      <c r="P30" s="40">
        <f t="shared" si="8"/>
        <v>4.8889001330020237E-4</v>
      </c>
      <c r="Q30" s="40">
        <f t="shared" si="9"/>
        <v>1.5926443577219788E-2</v>
      </c>
      <c r="R30" s="9">
        <f t="shared" ref="R30:R49" si="14">F30*$C$14</f>
        <v>3.9999999999999996E-5</v>
      </c>
      <c r="S30" s="9">
        <f t="shared" si="10"/>
        <v>1.3679344831023928E-5</v>
      </c>
      <c r="T30" s="9">
        <f t="shared" si="11"/>
        <v>3.1895166681410613E-10</v>
      </c>
      <c r="U30" s="9">
        <f t="shared" si="12"/>
        <v>2.632065516897607E-5</v>
      </c>
      <c r="V30" s="102">
        <f t="shared" si="13"/>
        <v>1.2117922778383256E-5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2.913138997962994</v>
      </c>
      <c r="K31" s="95">
        <f t="shared" si="3"/>
        <v>0.29382197032421098</v>
      </c>
      <c r="L31" s="95">
        <f t="shared" si="4"/>
        <v>0.16847921391450302</v>
      </c>
      <c r="M31" s="95">
        <f t="shared" si="5"/>
        <v>0.83152078608549695</v>
      </c>
      <c r="N31" s="95">
        <f t="shared" si="6"/>
        <v>0.12210897459398506</v>
      </c>
      <c r="O31" s="40">
        <f t="shared" si="7"/>
        <v>2.9418003095947488E-7</v>
      </c>
      <c r="P31" s="40">
        <f t="shared" si="8"/>
        <v>2.4085307052034737E-4</v>
      </c>
      <c r="Q31" s="40">
        <f t="shared" si="9"/>
        <v>5.8187833750571842E-3</v>
      </c>
      <c r="R31" s="9">
        <f t="shared" si="14"/>
        <v>3.9999999999999996E-5</v>
      </c>
      <c r="S31" s="9">
        <f t="shared" si="10"/>
        <v>6.7391685565801198E-6</v>
      </c>
      <c r="T31" s="9">
        <f t="shared" si="11"/>
        <v>1.1752878812968439E-5</v>
      </c>
      <c r="U31" s="9">
        <f t="shared" si="12"/>
        <v>3.3260831443419874E-5</v>
      </c>
      <c r="V31" s="102">
        <f t="shared" si="13"/>
        <v>0.35335493139915353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2.9114243406645763</v>
      </c>
      <c r="J32" s="94">
        <f t="shared" si="2"/>
        <v>5.6147977266030304</v>
      </c>
      <c r="K32" s="95">
        <f t="shared" si="3"/>
        <v>9.0546351732983458E-4</v>
      </c>
      <c r="L32" s="95">
        <f t="shared" si="4"/>
        <v>0.26121117092307411</v>
      </c>
      <c r="M32" s="95">
        <f t="shared" si="5"/>
        <v>0.73878882907692589</v>
      </c>
      <c r="N32" s="95">
        <f t="shared" si="6"/>
        <v>0.20866772159895389</v>
      </c>
      <c r="O32" s="40">
        <f t="shared" si="7"/>
        <v>9.0656694346868214E-10</v>
      </c>
      <c r="P32" s="40">
        <f t="shared" si="8"/>
        <v>3.7342002677531505E-4</v>
      </c>
      <c r="Q32" s="40">
        <f t="shared" si="9"/>
        <v>9.943513762098722E-3</v>
      </c>
      <c r="R32" s="9">
        <f t="shared" si="14"/>
        <v>3.9999999999999996E-5</v>
      </c>
      <c r="S32" s="9">
        <f t="shared" si="10"/>
        <v>1.0448446836922964E-5</v>
      </c>
      <c r="T32" s="9">
        <f t="shared" si="11"/>
        <v>3.6218540693193381E-8</v>
      </c>
      <c r="U32" s="9">
        <f t="shared" si="12"/>
        <v>2.9551553163077032E-5</v>
      </c>
      <c r="V32" s="102">
        <f t="shared" si="13"/>
        <v>1.2256053173694561E-3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5.1323855239773488</v>
      </c>
      <c r="K33" s="95">
        <f t="shared" si="3"/>
        <v>2.5803182494589655E-3</v>
      </c>
      <c r="L33" s="95">
        <f t="shared" si="4"/>
        <v>0.24512175692194652</v>
      </c>
      <c r="M33" s="95">
        <f t="shared" si="5"/>
        <v>0.75487824307805351</v>
      </c>
      <c r="N33" s="95">
        <f t="shared" si="6"/>
        <v>0.18395330353297112</v>
      </c>
      <c r="O33" s="40">
        <f t="shared" si="7"/>
        <v>2.5834627059152506E-9</v>
      </c>
      <c r="P33" s="40">
        <f t="shared" si="8"/>
        <v>3.5041906021684581E-4</v>
      </c>
      <c r="Q33" s="40">
        <f t="shared" si="9"/>
        <v>8.7658128974021053E-3</v>
      </c>
      <c r="R33" s="9">
        <f t="shared" si="14"/>
        <v>3.9999999999999996E-5</v>
      </c>
      <c r="S33" s="9">
        <f t="shared" si="10"/>
        <v>9.80487027687786E-6</v>
      </c>
      <c r="T33" s="9">
        <f t="shared" si="11"/>
        <v>1.0321272997835861E-7</v>
      </c>
      <c r="U33" s="9">
        <f t="shared" si="12"/>
        <v>3.0195129723122138E-5</v>
      </c>
      <c r="V33" s="102">
        <f t="shared" si="13"/>
        <v>3.4181913084918034E-3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5.1505570683328576</v>
      </c>
      <c r="K34" s="95">
        <f t="shared" si="3"/>
        <v>2.5828321664098418E-3</v>
      </c>
      <c r="L34" s="95">
        <f t="shared" si="4"/>
        <v>0.25584463692134912</v>
      </c>
      <c r="M34" s="95">
        <f t="shared" si="5"/>
        <v>0.74415536307865082</v>
      </c>
      <c r="N34" s="95">
        <f t="shared" si="6"/>
        <v>0.20064507496299608</v>
      </c>
      <c r="O34" s="40">
        <f t="shared" si="7"/>
        <v>2.5859796864038855E-9</v>
      </c>
      <c r="P34" s="40">
        <f t="shared" si="8"/>
        <v>3.6574818309599154E-4</v>
      </c>
      <c r="Q34" s="40">
        <f t="shared" si="9"/>
        <v>9.5612155483557216E-3</v>
      </c>
      <c r="R34" s="9">
        <f t="shared" si="14"/>
        <v>3.9999999999999996E-5</v>
      </c>
      <c r="S34" s="9">
        <f t="shared" si="10"/>
        <v>1.0233785476853965E-5</v>
      </c>
      <c r="T34" s="9">
        <f t="shared" si="11"/>
        <v>1.0331328665639366E-7</v>
      </c>
      <c r="U34" s="9">
        <f t="shared" si="12"/>
        <v>2.9766214523146032E-5</v>
      </c>
      <c r="V34" s="102">
        <f t="shared" si="13"/>
        <v>3.4708238286752205E-3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2.0279953279061091</v>
      </c>
      <c r="K35" s="95">
        <f t="shared" si="3"/>
        <v>0.7172992760204816</v>
      </c>
      <c r="L35" s="95">
        <f t="shared" si="4"/>
        <v>5.3581983122998202E-2</v>
      </c>
      <c r="M35" s="95">
        <f t="shared" si="5"/>
        <v>0.94641801687700178</v>
      </c>
      <c r="N35" s="95">
        <f t="shared" si="6"/>
        <v>2.6805425784073581E-2</v>
      </c>
      <c r="O35" s="40">
        <f t="shared" si="7"/>
        <v>7.1817339933455115E-7</v>
      </c>
      <c r="P35" s="40">
        <f t="shared" si="8"/>
        <v>7.6599272158834711E-5</v>
      </c>
      <c r="Q35" s="40">
        <f t="shared" si="9"/>
        <v>1.2773423610534492E-3</v>
      </c>
      <c r="R35" s="9">
        <f t="shared" si="14"/>
        <v>3.9999999999999996E-5</v>
      </c>
      <c r="S35" s="9">
        <f t="shared" si="10"/>
        <v>2.143279324919928E-6</v>
      </c>
      <c r="T35" s="9">
        <f t="shared" si="11"/>
        <v>2.8691971040819263E-5</v>
      </c>
      <c r="U35" s="9">
        <f t="shared" si="12"/>
        <v>3.7856720675080069E-5</v>
      </c>
      <c r="V35" s="102">
        <f t="shared" si="13"/>
        <v>0.757909574024628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8.2323333278785089</v>
      </c>
      <c r="K36" s="95">
        <f t="shared" si="3"/>
        <v>2.8682658033285999E-6</v>
      </c>
      <c r="L36" s="95">
        <f t="shared" si="4"/>
        <v>0.34298552018277023</v>
      </c>
      <c r="M36" s="95">
        <f t="shared" si="5"/>
        <v>0.65701447981722971</v>
      </c>
      <c r="N36" s="95">
        <f t="shared" si="6"/>
        <v>0.33577991332144391</v>
      </c>
      <c r="O36" s="40">
        <f t="shared" si="7"/>
        <v>2.8717611616726757E-12</v>
      </c>
      <c r="P36" s="40">
        <f t="shared" si="8"/>
        <v>4.9032230006699801E-4</v>
      </c>
      <c r="Q36" s="40">
        <f t="shared" si="9"/>
        <v>1.60007123457509E-2</v>
      </c>
      <c r="R36" s="9">
        <f t="shared" si="14"/>
        <v>3.9999999999999996E-5</v>
      </c>
      <c r="S36" s="9">
        <f t="shared" si="10"/>
        <v>1.3719420807310808E-5</v>
      </c>
      <c r="T36" s="9">
        <f t="shared" si="11"/>
        <v>1.1473063213314399E-10</v>
      </c>
      <c r="U36" s="9">
        <f t="shared" si="12"/>
        <v>2.6280579192689187E-5</v>
      </c>
      <c r="V36" s="102">
        <f t="shared" si="13"/>
        <v>4.365605160066644E-6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3.7118118425949667</v>
      </c>
      <c r="K37" s="95">
        <f t="shared" si="3"/>
        <v>6.3911356165466005E-2</v>
      </c>
      <c r="L37" s="95">
        <f t="shared" si="4"/>
        <v>0.23052229710634445</v>
      </c>
      <c r="M37" s="95">
        <f t="shared" si="5"/>
        <v>0.76947770289365558</v>
      </c>
      <c r="N37" s="95">
        <f t="shared" si="6"/>
        <v>0.17332745119769447</v>
      </c>
      <c r="O37" s="40">
        <f t="shared" si="7"/>
        <v>6.3989240541382248E-8</v>
      </c>
      <c r="P37" s="40">
        <f t="shared" si="8"/>
        <v>3.2954808959188419E-4</v>
      </c>
      <c r="Q37" s="40">
        <f t="shared" si="9"/>
        <v>8.2594657339777559E-3</v>
      </c>
      <c r="R37" s="9">
        <f t="shared" si="14"/>
        <v>3.9999999999999996E-5</v>
      </c>
      <c r="S37" s="9">
        <f t="shared" si="10"/>
        <v>9.2208918842537777E-6</v>
      </c>
      <c r="T37" s="9">
        <f t="shared" si="11"/>
        <v>2.5564542466186401E-6</v>
      </c>
      <c r="U37" s="9">
        <f t="shared" si="12"/>
        <v>3.0779108115746219E-5</v>
      </c>
      <c r="V37" s="102">
        <f t="shared" si="13"/>
        <v>8.305810022190957E-2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2.2606800266912841</v>
      </c>
      <c r="K38" s="95">
        <f t="shared" si="3"/>
        <v>0.626457085441261</v>
      </c>
      <c r="L38" s="95">
        <f t="shared" si="4"/>
        <v>7.9963982445988929E-2</v>
      </c>
      <c r="M38" s="95">
        <f t="shared" si="5"/>
        <v>0.9200360175540111</v>
      </c>
      <c r="N38" s="95">
        <f t="shared" si="6"/>
        <v>4.994990230915751E-2</v>
      </c>
      <c r="O38" s="40">
        <f t="shared" si="7"/>
        <v>6.2722050562298252E-7</v>
      </c>
      <c r="P38" s="40">
        <f t="shared" si="8"/>
        <v>1.1431422461957301E-4</v>
      </c>
      <c r="Q38" s="40">
        <f t="shared" si="9"/>
        <v>2.3802317733701865E-3</v>
      </c>
      <c r="R38" s="9">
        <f t="shared" si="14"/>
        <v>3.9999999999999996E-5</v>
      </c>
      <c r="S38" s="9">
        <f t="shared" si="10"/>
        <v>3.1985592978395568E-6</v>
      </c>
      <c r="T38" s="9">
        <f t="shared" si="11"/>
        <v>2.5058283417650439E-5</v>
      </c>
      <c r="U38" s="9">
        <f t="shared" si="12"/>
        <v>3.6801440702160443E-5</v>
      </c>
      <c r="V38" s="102">
        <f t="shared" si="13"/>
        <v>0.68090495751106239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-1.2814749346534773E-2</v>
      </c>
      <c r="K39" s="95">
        <f t="shared" si="3"/>
        <v>0.9988417946115894</v>
      </c>
      <c r="L39" s="95">
        <f t="shared" si="4"/>
        <v>6.7921148320393171E-4</v>
      </c>
      <c r="M39" s="95">
        <f t="shared" si="5"/>
        <v>0.99932078851679607</v>
      </c>
      <c r="N39" s="95">
        <f t="shared" si="6"/>
        <v>1.0165483126933732E-6</v>
      </c>
      <c r="O39" s="40">
        <f t="shared" si="7"/>
        <v>1.0000590144372959E-6</v>
      </c>
      <c r="P39" s="40">
        <f t="shared" si="8"/>
        <v>9.7098133034596376E-7</v>
      </c>
      <c r="Q39" s="40">
        <f t="shared" si="9"/>
        <v>4.8440947452964689E-8</v>
      </c>
      <c r="R39" s="9">
        <f t="shared" si="14"/>
        <v>3.9999999999999996E-5</v>
      </c>
      <c r="S39" s="9">
        <f t="shared" si="10"/>
        <v>2.7168459328157266E-8</v>
      </c>
      <c r="T39" s="9">
        <f t="shared" si="11"/>
        <v>3.9953671784463569E-5</v>
      </c>
      <c r="U39" s="9">
        <f t="shared" si="12"/>
        <v>3.9972831540671839E-5</v>
      </c>
      <c r="V39" s="102">
        <f t="shared" si="13"/>
        <v>0.99952068053550891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2.5355592122209871</v>
      </c>
      <c r="K40" s="95">
        <f t="shared" si="3"/>
        <v>0.43823698662422744</v>
      </c>
      <c r="L40" s="95">
        <f t="shared" si="4"/>
        <v>0.10533951239295962</v>
      </c>
      <c r="M40" s="95">
        <f t="shared" si="5"/>
        <v>0.89466048760704042</v>
      </c>
      <c r="N40" s="95">
        <f t="shared" si="6"/>
        <v>5.2316459577980041E-2</v>
      </c>
      <c r="O40" s="40">
        <f t="shared" si="7"/>
        <v>4.3877103591146643E-7</v>
      </c>
      <c r="P40" s="40">
        <f t="shared" si="8"/>
        <v>1.5059035721662095E-4</v>
      </c>
      <c r="Q40" s="40">
        <f t="shared" si="9"/>
        <v>2.4930038618897437E-3</v>
      </c>
      <c r="R40" s="9">
        <f t="shared" si="14"/>
        <v>3.9999999999999996E-5</v>
      </c>
      <c r="S40" s="9">
        <f t="shared" si="10"/>
        <v>4.2135804957183846E-6</v>
      </c>
      <c r="T40" s="9">
        <f t="shared" si="11"/>
        <v>1.7529479464969095E-5</v>
      </c>
      <c r="U40" s="9">
        <f t="shared" si="12"/>
        <v>3.5786419504281613E-5</v>
      </c>
      <c r="V40" s="102">
        <f t="shared" si="13"/>
        <v>0.48983608049617278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2.6167182318767161</v>
      </c>
      <c r="K41" s="95">
        <f t="shared" si="3"/>
        <v>0.38920103710017973</v>
      </c>
      <c r="L41" s="95">
        <f t="shared" si="4"/>
        <v>0.11277563563368086</v>
      </c>
      <c r="M41" s="95">
        <f t="shared" si="5"/>
        <v>0.88722436436631913</v>
      </c>
      <c r="N41" s="95">
        <f t="shared" si="6"/>
        <v>5.421747731412032E-2</v>
      </c>
      <c r="O41" s="40">
        <f t="shared" si="7"/>
        <v>3.8967532964690694E-7</v>
      </c>
      <c r="P41" s="40">
        <f t="shared" si="8"/>
        <v>1.612208265408921E-4</v>
      </c>
      <c r="Q41" s="40">
        <f t="shared" si="9"/>
        <v>2.5835918832495335E-3</v>
      </c>
      <c r="R41" s="9">
        <f t="shared" si="14"/>
        <v>3.9999999999999996E-5</v>
      </c>
      <c r="S41" s="9">
        <f t="shared" si="10"/>
        <v>4.5110254253472343E-6</v>
      </c>
      <c r="T41" s="9">
        <f t="shared" si="11"/>
        <v>1.5568041484007189E-5</v>
      </c>
      <c r="U41" s="9">
        <f t="shared" si="12"/>
        <v>3.548897457465276E-5</v>
      </c>
      <c r="V41" s="102">
        <f t="shared" si="13"/>
        <v>0.43867262073912744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1.4796577057346774</v>
      </c>
      <c r="J42" s="94">
        <f t="shared" si="2"/>
        <v>4.195712087091966</v>
      </c>
      <c r="K42" s="95">
        <f t="shared" si="3"/>
        <v>2.4282269814007166E-2</v>
      </c>
      <c r="L42" s="95">
        <f t="shared" si="4"/>
        <v>0.26688516286969433</v>
      </c>
      <c r="M42" s="95">
        <f t="shared" si="5"/>
        <v>0.73311483713030567</v>
      </c>
      <c r="N42" s="95">
        <f t="shared" si="6"/>
        <v>0.22211178281159627</v>
      </c>
      <c r="O42" s="40">
        <f t="shared" si="7"/>
        <v>2.4311860946847433E-8</v>
      </c>
      <c r="P42" s="40">
        <f t="shared" si="8"/>
        <v>3.8153140354814748E-4</v>
      </c>
      <c r="Q42" s="40">
        <f t="shared" si="9"/>
        <v>1.0584155288550685E-2</v>
      </c>
      <c r="R42" s="9">
        <f t="shared" si="14"/>
        <v>3.9999999999999996E-5</v>
      </c>
      <c r="S42" s="9">
        <f t="shared" si="10"/>
        <v>1.0675406514787773E-5</v>
      </c>
      <c r="T42" s="9">
        <f t="shared" si="11"/>
        <v>9.7129079256028664E-7</v>
      </c>
      <c r="U42" s="9">
        <f t="shared" si="12"/>
        <v>2.9324593485212224E-5</v>
      </c>
      <c r="V42" s="102">
        <f t="shared" si="13"/>
        <v>3.312205480529809E-2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3.9025095498636322</v>
      </c>
      <c r="K43" s="95">
        <f t="shared" si="3"/>
        <v>4.2766501429505062E-2</v>
      </c>
      <c r="L43" s="95">
        <f t="shared" si="4"/>
        <v>0.2392964943791791</v>
      </c>
      <c r="M43" s="95">
        <f t="shared" si="5"/>
        <v>0.7607035056208209</v>
      </c>
      <c r="N43" s="95">
        <f t="shared" si="6"/>
        <v>0.18281382743145508</v>
      </c>
      <c r="O43" s="40">
        <f t="shared" si="7"/>
        <v>4.2818618024642477E-8</v>
      </c>
      <c r="P43" s="40">
        <f t="shared" si="8"/>
        <v>3.4209143132177803E-4</v>
      </c>
      <c r="Q43" s="40">
        <f t="shared" si="9"/>
        <v>8.7115141481265285E-3</v>
      </c>
      <c r="R43" s="9">
        <f t="shared" si="14"/>
        <v>3.9999999999999996E-5</v>
      </c>
      <c r="S43" s="9">
        <f t="shared" si="10"/>
        <v>9.5718597751671637E-6</v>
      </c>
      <c r="T43" s="9">
        <f t="shared" si="11"/>
        <v>1.7106600571802023E-6</v>
      </c>
      <c r="U43" s="9">
        <f t="shared" si="12"/>
        <v>3.0428140224832834E-5</v>
      </c>
      <c r="V43" s="102">
        <f t="shared" si="13"/>
        <v>5.6219671808404134E-2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0.14841008082679896</v>
      </c>
      <c r="J44" s="94">
        <f t="shared" si="2"/>
        <v>2.2038999237977572</v>
      </c>
      <c r="K44" s="95">
        <f t="shared" si="3"/>
        <v>0.65784865084320632</v>
      </c>
      <c r="L44" s="95">
        <f t="shared" si="4"/>
        <v>7.3679891047977453E-2</v>
      </c>
      <c r="M44" s="95">
        <f t="shared" si="5"/>
        <v>0.92632010895202255</v>
      </c>
      <c r="N44" s="95">
        <f t="shared" si="6"/>
        <v>4.6361161283691318E-2</v>
      </c>
      <c r="O44" s="40">
        <f t="shared" si="7"/>
        <v>6.5865032576754415E-7</v>
      </c>
      <c r="P44" s="40">
        <f t="shared" si="8"/>
        <v>1.0533066710244435E-4</v>
      </c>
      <c r="Q44" s="40">
        <f t="shared" si="9"/>
        <v>2.2092197188852336E-3</v>
      </c>
      <c r="R44" s="9">
        <f t="shared" si="14"/>
        <v>3.9999999999999996E-5</v>
      </c>
      <c r="S44" s="9">
        <f t="shared" si="10"/>
        <v>2.9471956419190978E-6</v>
      </c>
      <c r="T44" s="9">
        <f t="shared" si="11"/>
        <v>2.631394603372825E-5</v>
      </c>
      <c r="U44" s="9">
        <f t="shared" si="12"/>
        <v>3.7052804358080898E-5</v>
      </c>
      <c r="V44" s="102">
        <f t="shared" si="13"/>
        <v>0.71017420920231655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3.9287211418950596</v>
      </c>
      <c r="K45" s="95">
        <f t="shared" si="3"/>
        <v>3.5587104855398628E-2</v>
      </c>
      <c r="L45" s="95">
        <f t="shared" si="4"/>
        <v>0.21151290141455906</v>
      </c>
      <c r="M45" s="95">
        <f t="shared" si="5"/>
        <v>0.78848709858544097</v>
      </c>
      <c r="N45" s="95">
        <f t="shared" si="6"/>
        <v>0.13814939123756387</v>
      </c>
      <c r="O45" s="40">
        <f t="shared" si="7"/>
        <v>3.5630472413507602E-8</v>
      </c>
      <c r="P45" s="40">
        <f t="shared" si="8"/>
        <v>3.0237280063649907E-4</v>
      </c>
      <c r="Q45" s="40">
        <f t="shared" si="9"/>
        <v>6.5831474195919126E-3</v>
      </c>
      <c r="R45" s="9">
        <f t="shared" si="14"/>
        <v>3.9999999999999996E-5</v>
      </c>
      <c r="S45" s="9">
        <f t="shared" si="10"/>
        <v>8.4605160565823618E-6</v>
      </c>
      <c r="T45" s="9">
        <f t="shared" si="11"/>
        <v>1.423484194215945E-6</v>
      </c>
      <c r="U45" s="9">
        <f t="shared" si="12"/>
        <v>3.1539483943417638E-5</v>
      </c>
      <c r="V45" s="102">
        <f t="shared" si="13"/>
        <v>4.5133401572761925E-2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0.12747825886296771</v>
      </c>
      <c r="J46" s="94">
        <f t="shared" si="2"/>
        <v>2.1195388952426257</v>
      </c>
      <c r="K46" s="95">
        <f t="shared" si="3"/>
        <v>0.69731326148630979</v>
      </c>
      <c r="L46" s="95">
        <f t="shared" si="4"/>
        <v>6.4311684154997231E-2</v>
      </c>
      <c r="M46" s="95">
        <f t="shared" si="5"/>
        <v>0.93568831584500278</v>
      </c>
      <c r="N46" s="95">
        <f t="shared" si="6"/>
        <v>3.9564368868588697E-2</v>
      </c>
      <c r="O46" s="40">
        <f t="shared" si="7"/>
        <v>6.9816302921848535E-7</v>
      </c>
      <c r="P46" s="40">
        <f t="shared" si="8"/>
        <v>9.193814619129392E-5</v>
      </c>
      <c r="Q46" s="40">
        <f t="shared" si="9"/>
        <v>1.8853363774665099E-3</v>
      </c>
      <c r="R46" s="9">
        <f t="shared" si="14"/>
        <v>3.9999999999999996E-5</v>
      </c>
      <c r="S46" s="9">
        <f t="shared" si="10"/>
        <v>2.5724673661998891E-6</v>
      </c>
      <c r="T46" s="9">
        <f t="shared" si="11"/>
        <v>2.7892530459452388E-5</v>
      </c>
      <c r="U46" s="9">
        <f t="shared" si="12"/>
        <v>3.7427532633800109E-5</v>
      </c>
      <c r="V46" s="102">
        <f t="shared" si="13"/>
        <v>0.74524096291250475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3.1044657046165054</v>
      </c>
      <c r="K47" s="95">
        <f t="shared" si="3"/>
        <v>0.16504647048491777</v>
      </c>
      <c r="L47" s="95">
        <f t="shared" si="4"/>
        <v>0.14702629348060611</v>
      </c>
      <c r="M47" s="95">
        <f t="shared" si="5"/>
        <v>0.85297370651939386</v>
      </c>
      <c r="N47" s="95">
        <f t="shared" si="6"/>
        <v>6.3309744224847184E-2</v>
      </c>
      <c r="O47" s="40">
        <f t="shared" si="7"/>
        <v>1.6524760127171595E-7</v>
      </c>
      <c r="P47" s="40">
        <f t="shared" si="8"/>
        <v>2.1018458840863218E-4</v>
      </c>
      <c r="Q47" s="40">
        <f t="shared" si="9"/>
        <v>3.0168600498002183E-3</v>
      </c>
      <c r="R47" s="9">
        <f t="shared" si="14"/>
        <v>3.9999999999999996E-5</v>
      </c>
      <c r="S47" s="9">
        <f t="shared" si="10"/>
        <v>5.8810517392242442E-6</v>
      </c>
      <c r="T47" s="9">
        <f t="shared" si="11"/>
        <v>6.6018588193967105E-6</v>
      </c>
      <c r="U47" s="9">
        <f t="shared" si="12"/>
        <v>3.411894826077575E-5</v>
      </c>
      <c r="V47" s="102">
        <f t="shared" si="13"/>
        <v>0.19349537884162804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1.2562556297488592</v>
      </c>
      <c r="K48" s="95">
        <f t="shared" ref="K48:K50" si="17">IF(D48=0,"",1/(1+10^D48*$J$15/$J$14+10^E48*$J$16/$J$14+10^J48*$J$19/$J$14))</f>
        <v>0.9334577308249602</v>
      </c>
      <c r="L48" s="95">
        <f t="shared" ref="L48:L50" si="18">IF(D48=0,"",1/(1+10^I48/10^J48*$J$13/$J$19))</f>
        <v>1.1794332022276447E-2</v>
      </c>
      <c r="M48" s="95">
        <f t="shared" ref="M48:M92" si="19">IF(D48=0,"",1-L48)</f>
        <v>0.98820566797772358</v>
      </c>
      <c r="N48" s="95">
        <f t="shared" ref="N48:N50" si="20">IF(D48=0,"",1/(1/10^E48*$J$20/$J$22+10^D48/10^E48*$J$21/$J$22+10^I48/10^E48*$J$13/$J$22+1))</f>
        <v>4.4035301520479663E-3</v>
      </c>
      <c r="O48" s="40">
        <f t="shared" ref="O48:O92" si="21">IF(D48=0,"",F48*K48*$J$7/$J$14)</f>
        <v>9.3459527158721969E-7</v>
      </c>
      <c r="P48" s="40">
        <f t="shared" ref="P48:P50" si="22">IF(D48=0,"",O48*10^J48)</f>
        <v>1.6860840078131484E-5</v>
      </c>
      <c r="Q48" s="40">
        <f t="shared" ref="Q48:Q50" si="23">IF(D48=0,"",F48*N48*$J$7/$J$22)</f>
        <v>2.0983869634068569E-4</v>
      </c>
      <c r="R48" s="9">
        <f t="shared" si="14"/>
        <v>3.9999999999999996E-5</v>
      </c>
      <c r="S48" s="9">
        <f t="shared" si="10"/>
        <v>4.7177328089105784E-7</v>
      </c>
      <c r="T48" s="9">
        <f t="shared" si="11"/>
        <v>3.7338309232998407E-5</v>
      </c>
      <c r="U48" s="9">
        <f t="shared" si="12"/>
        <v>3.9528226719108939E-5</v>
      </c>
      <c r="V48" s="102">
        <f t="shared" si="13"/>
        <v>0.94459864082261313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0.77323378498268969</v>
      </c>
      <c r="K49" s="95">
        <f t="shared" si="17"/>
        <v>0.97950796360623804</v>
      </c>
      <c r="L49" s="95">
        <f t="shared" si="18"/>
        <v>4.0697227047257964E-3</v>
      </c>
      <c r="M49" s="95">
        <f t="shared" si="19"/>
        <v>0.99593027729527417</v>
      </c>
      <c r="N49" s="95">
        <f t="shared" si="20"/>
        <v>1.464415404978434E-3</v>
      </c>
      <c r="O49" s="40">
        <f t="shared" si="21"/>
        <v>9.8070162262128019E-7</v>
      </c>
      <c r="P49" s="40">
        <f t="shared" si="22"/>
        <v>5.8179593008844364E-6</v>
      </c>
      <c r="Q49" s="40">
        <f t="shared" si="23"/>
        <v>6.9782880750567561E-5</v>
      </c>
      <c r="R49" s="9">
        <f t="shared" si="14"/>
        <v>3.9999999999999996E-5</v>
      </c>
      <c r="S49" s="9">
        <f t="shared" si="10"/>
        <v>1.6278890818903184E-7</v>
      </c>
      <c r="T49" s="9">
        <f t="shared" si="11"/>
        <v>3.9180318544249518E-5</v>
      </c>
      <c r="U49" s="9">
        <f t="shared" si="12"/>
        <v>3.983721109181096E-5</v>
      </c>
      <c r="V49" s="102">
        <f t="shared" si="13"/>
        <v>0.98351057893968696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9.6478749911243222E-3</v>
      </c>
      <c r="K57" s="55">
        <f t="shared" si="26"/>
        <v>0.9986815985551738</v>
      </c>
      <c r="L57" s="55">
        <f t="shared" si="27"/>
        <v>7.1515138752381612E-4</v>
      </c>
      <c r="M57" s="55">
        <f t="shared" si="28"/>
        <v>0.99928484861247613</v>
      </c>
      <c r="N57" s="55">
        <f t="shared" si="29"/>
        <v>2.5356386636682457E-5</v>
      </c>
      <c r="O57" s="56">
        <f t="shared" si="30"/>
        <v>9.9989862316095969E-7</v>
      </c>
      <c r="P57" s="56">
        <f t="shared" si="31"/>
        <v>1.0223599907072611E-6</v>
      </c>
      <c r="Q57" s="56">
        <f t="shared" si="32"/>
        <v>1.2082921955870541E-6</v>
      </c>
      <c r="R57" s="9">
        <f t="shared" ref="R57:R58" si="33">F57*$C$14</f>
        <v>3.9999999999999996E-5</v>
      </c>
      <c r="S57" s="9">
        <f t="shared" ref="S57:S58" si="34">$R57*L57</f>
        <v>2.8606055500952642E-8</v>
      </c>
      <c r="T57" s="9">
        <f t="shared" ref="T57:T58" si="35">R57*K57</f>
        <v>3.9947263942206946E-5</v>
      </c>
      <c r="U57" s="9">
        <f t="shared" ref="U57:U58" si="36">$R57*M57</f>
        <v>3.9971393944499039E-5</v>
      </c>
      <c r="V57" s="102">
        <f t="shared" ref="V57:V58" si="37">K57/M57</f>
        <v>0.99939631821883423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1.4426793422998627</v>
      </c>
      <c r="K58" s="55">
        <f t="shared" si="26"/>
        <v>0.90315894095592242</v>
      </c>
      <c r="L58" s="55">
        <f t="shared" si="27"/>
        <v>1.75293814154363E-2</v>
      </c>
      <c r="M58" s="55">
        <f t="shared" si="28"/>
        <v>0.98247061858456375</v>
      </c>
      <c r="N58" s="55">
        <f t="shared" si="29"/>
        <v>7.3532190424261531E-3</v>
      </c>
      <c r="O58" s="56">
        <f t="shared" si="30"/>
        <v>9.042595586659803E-7</v>
      </c>
      <c r="P58" s="56">
        <f t="shared" si="31"/>
        <v>2.5059502832038721E-5</v>
      </c>
      <c r="Q58" s="56">
        <f t="shared" si="32"/>
        <v>3.5039839503599288E-4</v>
      </c>
      <c r="R58" s="9">
        <f t="shared" si="33"/>
        <v>3.9999999999999996E-5</v>
      </c>
      <c r="S58" s="9">
        <f t="shared" si="34"/>
        <v>7.0117525661745195E-7</v>
      </c>
      <c r="T58" s="9">
        <f t="shared" si="35"/>
        <v>3.6126357638236896E-5</v>
      </c>
      <c r="U58" s="9">
        <f t="shared" si="36"/>
        <v>3.9298824743382545E-5</v>
      </c>
      <c r="V58" s="102">
        <f t="shared" si="37"/>
        <v>0.9192732320658048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1.5441639506710698</v>
      </c>
      <c r="K60" s="55">
        <f t="shared" si="26"/>
        <v>0.8700979332447607</v>
      </c>
      <c r="L60" s="55">
        <f t="shared" si="27"/>
        <v>2.1333158034029288E-2</v>
      </c>
      <c r="M60" s="55">
        <f t="shared" si="28"/>
        <v>0.97866684196597076</v>
      </c>
      <c r="N60" s="55">
        <f t="shared" si="29"/>
        <v>6.7517360319624123E-3</v>
      </c>
      <c r="O60" s="56">
        <f t="shared" si="30"/>
        <v>8.711582617776328E-7</v>
      </c>
      <c r="P60" s="56">
        <f t="shared" si="31"/>
        <v>3.0497273206647304E-5</v>
      </c>
      <c r="Q60" s="56">
        <f t="shared" si="32"/>
        <v>3.217362974849898E-4</v>
      </c>
      <c r="R60" s="9">
        <f t="shared" ref="R60:R65" si="38">F60*$C$14</f>
        <v>3.9999999999999996E-5</v>
      </c>
      <c r="S60" s="9">
        <f t="shared" ref="S60:S93" si="39">$R60*L60</f>
        <v>8.5332632136117138E-7</v>
      </c>
      <c r="T60" s="9">
        <f t="shared" ref="T60:T93" si="40">R60*K60</f>
        <v>3.4803917329790422E-5</v>
      </c>
      <c r="U60" s="9">
        <f t="shared" ref="U60:U93" si="41">$R60*M60</f>
        <v>3.9146673678638828E-5</v>
      </c>
      <c r="V60" s="102">
        <f t="shared" ref="V60:V93" si="42">K60/M60</f>
        <v>0.88906448643635039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2.4948597555667229</v>
      </c>
      <c r="K61" s="55">
        <f t="shared" si="26"/>
        <v>0.44093708865175213</v>
      </c>
      <c r="L61" s="55">
        <f t="shared" si="27"/>
        <v>9.6507140721203158E-2</v>
      </c>
      <c r="M61" s="55">
        <f t="shared" si="28"/>
        <v>0.90349285927879686</v>
      </c>
      <c r="N61" s="55">
        <f t="shared" si="29"/>
        <v>3.9100647369215563E-2</v>
      </c>
      <c r="O61" s="56">
        <f t="shared" si="30"/>
        <v>4.4147442836770274E-7</v>
      </c>
      <c r="P61" s="56">
        <f t="shared" si="31"/>
        <v>1.3796385102815429E-4</v>
      </c>
      <c r="Q61" s="56">
        <f t="shared" si="32"/>
        <v>1.8632389439225724E-3</v>
      </c>
      <c r="R61" s="9">
        <f t="shared" si="38"/>
        <v>3.9999999999999996E-5</v>
      </c>
      <c r="S61" s="9">
        <f t="shared" si="39"/>
        <v>3.8602856288481257E-6</v>
      </c>
      <c r="T61" s="9">
        <f t="shared" si="40"/>
        <v>1.7637483546070085E-5</v>
      </c>
      <c r="U61" s="9">
        <f t="shared" si="41"/>
        <v>3.6139714371151874E-5</v>
      </c>
      <c r="V61" s="102">
        <f t="shared" si="42"/>
        <v>0.48803605266313366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2.201821660398279</v>
      </c>
      <c r="K62" s="55">
        <f t="shared" si="26"/>
        <v>0.62543974675243719</v>
      </c>
      <c r="L62" s="55">
        <f t="shared" si="27"/>
        <v>6.9715637089150281E-2</v>
      </c>
      <c r="M62" s="55">
        <f t="shared" si="28"/>
        <v>0.9302843629108497</v>
      </c>
      <c r="N62" s="55">
        <f t="shared" si="29"/>
        <v>3.3796583124516881E-2</v>
      </c>
      <c r="O62" s="56">
        <f t="shared" si="30"/>
        <v>6.2620192717343967E-7</v>
      </c>
      <c r="P62" s="56">
        <f t="shared" si="31"/>
        <v>9.9663482907303864E-5</v>
      </c>
      <c r="Q62" s="56">
        <f t="shared" si="32"/>
        <v>1.6104876539382877E-3</v>
      </c>
      <c r="R62" s="9">
        <f t="shared" si="38"/>
        <v>3.9999999999999996E-5</v>
      </c>
      <c r="S62" s="9">
        <f t="shared" si="39"/>
        <v>2.7886254835660112E-6</v>
      </c>
      <c r="T62" s="9">
        <f t="shared" si="40"/>
        <v>2.5017589870097484E-5</v>
      </c>
      <c r="U62" s="9">
        <f t="shared" si="41"/>
        <v>3.7211374516433985E-5</v>
      </c>
      <c r="V62" s="102">
        <f t="shared" si="42"/>
        <v>0.67231028671216508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2.1362952925392569</v>
      </c>
      <c r="K63" s="55">
        <f t="shared" si="26"/>
        <v>0.65668848750480058</v>
      </c>
      <c r="L63" s="55">
        <f t="shared" si="27"/>
        <v>6.2947394417827804E-2</v>
      </c>
      <c r="M63" s="55">
        <f t="shared" si="28"/>
        <v>0.93705260558217218</v>
      </c>
      <c r="N63" s="55">
        <f t="shared" si="29"/>
        <v>2.9426033173619848E-2</v>
      </c>
      <c r="O63" s="56">
        <f t="shared" si="30"/>
        <v>6.5748874861783791E-7</v>
      </c>
      <c r="P63" s="56">
        <f t="shared" si="31"/>
        <v>8.9987796562743247E-5</v>
      </c>
      <c r="Q63" s="56">
        <f t="shared" si="32"/>
        <v>1.4022205427067324E-3</v>
      </c>
      <c r="R63" s="9">
        <f t="shared" si="38"/>
        <v>3.9999999999999996E-5</v>
      </c>
      <c r="S63" s="9">
        <f t="shared" si="39"/>
        <v>2.5178957767131119E-6</v>
      </c>
      <c r="T63" s="9">
        <f t="shared" si="40"/>
        <v>2.6267539500192019E-5</v>
      </c>
      <c r="U63" s="9">
        <f t="shared" si="41"/>
        <v>3.7482104223286886E-5</v>
      </c>
      <c r="V63" s="102">
        <f t="shared" si="42"/>
        <v>0.70080215730984818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1.3833712193731031</v>
      </c>
      <c r="K64" s="55">
        <f t="shared" si="26"/>
        <v>0.91843442144834075</v>
      </c>
      <c r="L64" s="55">
        <f t="shared" si="27"/>
        <v>1.5550431131759157E-2</v>
      </c>
      <c r="M64" s="55">
        <f t="shared" si="28"/>
        <v>0.98444956886824087</v>
      </c>
      <c r="N64" s="55">
        <f t="shared" si="29"/>
        <v>7.2864077285122262E-3</v>
      </c>
      <c r="O64" s="56">
        <f t="shared" si="30"/>
        <v>9.1955365433630074E-7</v>
      </c>
      <c r="P64" s="56">
        <f t="shared" si="31"/>
        <v>2.2230452047930561E-5</v>
      </c>
      <c r="Q64" s="56">
        <f t="shared" si="32"/>
        <v>3.4721467685343733E-4</v>
      </c>
      <c r="R64" s="9">
        <f t="shared" si="38"/>
        <v>3.9999999999999996E-5</v>
      </c>
      <c r="S64" s="9">
        <f t="shared" si="39"/>
        <v>6.2201724527036627E-7</v>
      </c>
      <c r="T64" s="9">
        <f t="shared" si="40"/>
        <v>3.6737376857933624E-5</v>
      </c>
      <c r="U64" s="9">
        <f t="shared" si="41"/>
        <v>3.9377982754729631E-5</v>
      </c>
      <c r="V64" s="102">
        <f t="shared" si="42"/>
        <v>0.93294207290293851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2.8252916173691829</v>
      </c>
      <c r="K65" s="55">
        <f t="shared" si="26"/>
        <v>0.30389413459764547</v>
      </c>
      <c r="L65" s="55">
        <f t="shared" si="27"/>
        <v>0.14234328954852551</v>
      </c>
      <c r="M65" s="55">
        <f t="shared" si="28"/>
        <v>0.85765671045147451</v>
      </c>
      <c r="N65" s="55">
        <f t="shared" si="29"/>
        <v>8.3412787641693756E-2</v>
      </c>
      <c r="O65" s="56">
        <f t="shared" si="30"/>
        <v>3.0426446948705804E-7</v>
      </c>
      <c r="P65" s="56">
        <f t="shared" si="31"/>
        <v>2.0348989978744209E-4</v>
      </c>
      <c r="Q65" s="56">
        <f t="shared" si="32"/>
        <v>3.9748179330020448E-3</v>
      </c>
      <c r="R65" s="9">
        <f t="shared" si="38"/>
        <v>3.9999999999999996E-5</v>
      </c>
      <c r="S65" s="9">
        <f t="shared" si="39"/>
        <v>5.69373158194102E-6</v>
      </c>
      <c r="T65" s="9">
        <f t="shared" si="40"/>
        <v>1.2155765383905817E-5</v>
      </c>
      <c r="U65" s="9">
        <f t="shared" si="41"/>
        <v>3.4306268418058979E-5</v>
      </c>
      <c r="V65" s="102">
        <f t="shared" si="42"/>
        <v>0.3543307373385724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1.5025773317670659</v>
      </c>
      <c r="K68" s="55">
        <f t="shared" si="26"/>
        <v>0.87789758040299715</v>
      </c>
      <c r="L68" s="55">
        <f t="shared" si="27"/>
        <v>1.9558891912158323E-2</v>
      </c>
      <c r="M68" s="55">
        <f t="shared" si="28"/>
        <v>0.98044110808784168</v>
      </c>
      <c r="N68" s="55">
        <f t="shared" si="29"/>
        <v>5.5286636533071901E-3</v>
      </c>
      <c r="O68" s="56">
        <f t="shared" si="30"/>
        <v>8.7896741382964296E-7</v>
      </c>
      <c r="P68" s="56">
        <f t="shared" si="31"/>
        <v>2.7960833052138343E-5</v>
      </c>
      <c r="Q68" s="56">
        <f t="shared" si="32"/>
        <v>2.6345398656497644E-4</v>
      </c>
      <c r="R68" s="9">
        <f>F68*$C$14</f>
        <v>3.9999999999999996E-5</v>
      </c>
      <c r="S68" s="9">
        <f t="shared" si="39"/>
        <v>7.8235567648633282E-7</v>
      </c>
      <c r="T68" s="9">
        <f t="shared" si="40"/>
        <v>3.5115903216119882E-5</v>
      </c>
      <c r="U68" s="9">
        <f t="shared" si="41"/>
        <v>3.9217644323513666E-5</v>
      </c>
      <c r="V68" s="102">
        <f t="shared" si="42"/>
        <v>0.89541082392512528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3.755700239680543</v>
      </c>
      <c r="K69" s="55">
        <f t="shared" si="26"/>
        <v>5.0574418707311788E-2</v>
      </c>
      <c r="L69" s="55">
        <f t="shared" si="27"/>
        <v>0.20181535318935925</v>
      </c>
      <c r="M69" s="55">
        <f t="shared" si="28"/>
        <v>0.79818464681064072</v>
      </c>
      <c r="N69" s="55">
        <f t="shared" si="29"/>
        <v>0.12601093015343356</v>
      </c>
      <c r="O69" s="56">
        <f t="shared" si="30"/>
        <v>5.0636050274449065E-8</v>
      </c>
      <c r="P69" s="56">
        <f t="shared" si="31"/>
        <v>2.8850946276655988E-4</v>
      </c>
      <c r="Q69" s="56">
        <f t="shared" si="32"/>
        <v>6.0047208478352836E-3</v>
      </c>
      <c r="R69" s="9">
        <f>F69*$C$14</f>
        <v>3.9999999999999996E-5</v>
      </c>
      <c r="S69" s="9">
        <f t="shared" si="39"/>
        <v>8.0726141275743693E-6</v>
      </c>
      <c r="T69" s="9">
        <f t="shared" si="40"/>
        <v>2.0229767482924715E-6</v>
      </c>
      <c r="U69" s="9">
        <f t="shared" si="41"/>
        <v>3.1927385872425627E-5</v>
      </c>
      <c r="V69" s="102">
        <f t="shared" si="42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0.68923958342305858</v>
      </c>
      <c r="K70" s="55">
        <f t="shared" si="26"/>
        <v>0.98103822333631452</v>
      </c>
      <c r="L70" s="55">
        <f t="shared" si="27"/>
        <v>3.3592983374604833E-3</v>
      </c>
      <c r="M70" s="55">
        <f t="shared" si="28"/>
        <v>0.99664070166253949</v>
      </c>
      <c r="N70" s="55">
        <f t="shared" si="29"/>
        <v>6.6046414578156253E-4</v>
      </c>
      <c r="O70" s="56">
        <f t="shared" si="30"/>
        <v>9.8223374717368581E-7</v>
      </c>
      <c r="P70" s="56">
        <f t="shared" si="31"/>
        <v>4.8023569232810071E-6</v>
      </c>
      <c r="Q70" s="56">
        <f t="shared" si="32"/>
        <v>3.147268908017189E-5</v>
      </c>
      <c r="R70" s="9">
        <f t="shared" ref="R70:R86" si="43">F70*$C$14</f>
        <v>3.9999999999999996E-5</v>
      </c>
      <c r="S70" s="9">
        <f t="shared" si="39"/>
        <v>1.3437193349841931E-7</v>
      </c>
      <c r="T70" s="9">
        <f t="shared" si="40"/>
        <v>3.9241528933452578E-5</v>
      </c>
      <c r="U70" s="9">
        <f t="shared" si="41"/>
        <v>3.9865628066501576E-5</v>
      </c>
      <c r="V70" s="102">
        <f t="shared" si="42"/>
        <v>0.98434493162862224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2.8589842167479149E-2</v>
      </c>
      <c r="J71" s="54">
        <f t="shared" ref="J71:J122" si="45">IF(D71=0,"",LOG($K$21*10^D71+$K$22*10^E71+$K$20))</f>
        <v>1.3381242784059832</v>
      </c>
      <c r="K71" s="55">
        <f t="shared" ref="K71:K122" si="46">IF(D71=0,"",1/(1+10^D71*$J$15/$J$14+10^E71*$J$16/$J$14+10^J71*$J$19/$J$14))</f>
        <v>0.92263222805665501</v>
      </c>
      <c r="L71" s="55">
        <f t="shared" ref="L71:L122" si="47">IF(D71=0,"",1/(1+10^I71/10^J71*$J$13/$J$19))</f>
        <v>1.4075893165661608E-2</v>
      </c>
      <c r="M71" s="55">
        <f t="shared" si="19"/>
        <v>0.9859241068343384</v>
      </c>
      <c r="N71" s="55">
        <f t="shared" ref="N71:N122" si="48">IF(D71=0,"",1/(1/10^E71*$J$20/$J$22+10^D71/10^E71*$J$21/$J$22+10^I71/10^E71*$J$13/$J$22+1))</f>
        <v>5.8193025655836278E-3</v>
      </c>
      <c r="O71" s="56">
        <f t="shared" si="21"/>
        <v>9.2375657652293345E-7</v>
      </c>
      <c r="P71" s="56">
        <f t="shared" ref="P71:P122" si="49">IF(D71=0,"",O71*10^J71)</f>
        <v>2.0122494701253677E-5</v>
      </c>
      <c r="Q71" s="56">
        <f t="shared" ref="Q71:Q122" si="50">IF(D71=0,"",F71*N71*$J$7/$J$22)</f>
        <v>2.7730362273235885E-4</v>
      </c>
      <c r="R71" s="9">
        <f t="shared" si="43"/>
        <v>3.9999999999999996E-5</v>
      </c>
      <c r="S71" s="9">
        <f t="shared" si="39"/>
        <v>5.6303572662646424E-7</v>
      </c>
      <c r="T71" s="9">
        <f t="shared" si="40"/>
        <v>3.6905289122266194E-5</v>
      </c>
      <c r="U71" s="9">
        <f t="shared" si="41"/>
        <v>3.9436964273373531E-5</v>
      </c>
      <c r="V71" s="102">
        <f t="shared" si="42"/>
        <v>0.93580451239710061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4.5043006346732313E-2</v>
      </c>
      <c r="J72" s="54">
        <f t="shared" si="45"/>
        <v>1.4898227768640917</v>
      </c>
      <c r="K72" s="55">
        <f t="shared" si="46"/>
        <v>0.88378726508495231</v>
      </c>
      <c r="L72" s="55">
        <f t="shared" si="47"/>
        <v>1.9120250553845992E-2</v>
      </c>
      <c r="M72" s="55">
        <f t="shared" si="19"/>
        <v>0.98087974944615397</v>
      </c>
      <c r="N72" s="55">
        <f t="shared" si="48"/>
        <v>6.0078219997700775E-3</v>
      </c>
      <c r="O72" s="56">
        <f t="shared" si="21"/>
        <v>8.8486427586540996E-7</v>
      </c>
      <c r="P72" s="56">
        <f t="shared" si="49"/>
        <v>2.7333763898905256E-5</v>
      </c>
      <c r="Q72" s="56">
        <f t="shared" si="50"/>
        <v>2.8628702262713891E-4</v>
      </c>
      <c r="R72" s="9">
        <f t="shared" si="43"/>
        <v>3.9999999999999996E-5</v>
      </c>
      <c r="S72" s="9">
        <f t="shared" si="39"/>
        <v>7.6481002215383961E-7</v>
      </c>
      <c r="T72" s="9">
        <f t="shared" si="40"/>
        <v>3.535149060339809E-5</v>
      </c>
      <c r="U72" s="9">
        <f t="shared" si="41"/>
        <v>3.9235189977846158E-5</v>
      </c>
      <c r="V72" s="102">
        <f t="shared" si="42"/>
        <v>0.90101489564238213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2.829962486439805</v>
      </c>
      <c r="J73" s="54">
        <f t="shared" si="45"/>
        <v>5.6026792956514546</v>
      </c>
      <c r="K73" s="55">
        <f t="shared" si="46"/>
        <v>1.0450196244824485E-3</v>
      </c>
      <c r="L73" s="55">
        <f t="shared" si="47"/>
        <v>0.29317491280485902</v>
      </c>
      <c r="M73" s="55">
        <f t="shared" si="19"/>
        <v>0.70682508719514092</v>
      </c>
      <c r="N73" s="55">
        <f t="shared" si="48"/>
        <v>0.25845013522055305</v>
      </c>
      <c r="O73" s="56">
        <f t="shared" si="21"/>
        <v>1.0462931180547385E-9</v>
      </c>
      <c r="P73" s="56">
        <f t="shared" si="49"/>
        <v>4.1911447891974652E-4</v>
      </c>
      <c r="Q73" s="56">
        <f t="shared" si="50"/>
        <v>1.2315764300724162E-2</v>
      </c>
      <c r="R73" s="9">
        <f t="shared" si="43"/>
        <v>3.9999999999999996E-5</v>
      </c>
      <c r="S73" s="9">
        <f t="shared" si="39"/>
        <v>1.1726996512194359E-5</v>
      </c>
      <c r="T73" s="9">
        <f t="shared" si="40"/>
        <v>4.1800784979297938E-8</v>
      </c>
      <c r="U73" s="9">
        <f t="shared" si="41"/>
        <v>2.8273003487805634E-5</v>
      </c>
      <c r="V73" s="102">
        <f t="shared" si="42"/>
        <v>1.4784699120249795E-3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3.957220636313619E-3</v>
      </c>
      <c r="J74" s="54">
        <f t="shared" si="45"/>
        <v>0.53532069811024507</v>
      </c>
      <c r="K74" s="55">
        <f t="shared" si="46"/>
        <v>0.9880652778679726</v>
      </c>
      <c r="L74" s="55">
        <f t="shared" si="47"/>
        <v>2.3737195066824359E-3</v>
      </c>
      <c r="M74" s="55">
        <f t="shared" si="19"/>
        <v>0.99762628049331759</v>
      </c>
      <c r="N74" s="55">
        <f t="shared" si="48"/>
        <v>5.126440904240744E-4</v>
      </c>
      <c r="O74" s="56">
        <f t="shared" si="21"/>
        <v>9.8926936509359835E-7</v>
      </c>
      <c r="P74" s="56">
        <f t="shared" si="49"/>
        <v>3.3934015861958751E-6</v>
      </c>
      <c r="Q74" s="56">
        <f t="shared" si="50"/>
        <v>2.4428711489874826E-5</v>
      </c>
      <c r="R74" s="9">
        <f t="shared" si="43"/>
        <v>3.9999999999999996E-5</v>
      </c>
      <c r="S74" s="9">
        <f t="shared" si="39"/>
        <v>9.4948780267297428E-8</v>
      </c>
      <c r="T74" s="9">
        <f t="shared" si="40"/>
        <v>3.95226111147189E-5</v>
      </c>
      <c r="U74" s="9">
        <f t="shared" si="41"/>
        <v>3.9905051219732697E-5</v>
      </c>
      <c r="V74" s="102">
        <f t="shared" si="42"/>
        <v>0.99041624823614594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4.1980440605165602E-3</v>
      </c>
      <c r="J75" s="54">
        <f t="shared" si="45"/>
        <v>0.54673395685959203</v>
      </c>
      <c r="K75" s="55">
        <f t="shared" si="46"/>
        <v>0.9874564499082692</v>
      </c>
      <c r="L75" s="55">
        <f t="shared" si="47"/>
        <v>2.4354261820042048E-3</v>
      </c>
      <c r="M75" s="55">
        <f t="shared" si="19"/>
        <v>0.99756457381799579</v>
      </c>
      <c r="N75" s="55">
        <f t="shared" si="48"/>
        <v>4.8858403120094701E-4</v>
      </c>
      <c r="O75" s="56">
        <f t="shared" si="21"/>
        <v>9.8865979519711697E-7</v>
      </c>
      <c r="P75" s="56">
        <f t="shared" si="49"/>
        <v>3.481615686188011E-6</v>
      </c>
      <c r="Q75" s="56">
        <f t="shared" si="50"/>
        <v>2.3282192382037508E-5</v>
      </c>
      <c r="R75" s="9">
        <f t="shared" si="43"/>
        <v>3.9999999999999996E-5</v>
      </c>
      <c r="S75" s="9">
        <f t="shared" si="39"/>
        <v>9.7417047280168181E-8</v>
      </c>
      <c r="T75" s="9">
        <f t="shared" si="40"/>
        <v>3.9498257996330761E-5</v>
      </c>
      <c r="U75" s="9">
        <f t="shared" si="41"/>
        <v>3.9902582952719827E-5</v>
      </c>
      <c r="V75" s="102">
        <f t="shared" si="42"/>
        <v>0.98986719839995962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0.35626551305621779</v>
      </c>
      <c r="J76" s="54">
        <f t="shared" si="45"/>
        <v>2.6329837818619519</v>
      </c>
      <c r="K76" s="55">
        <f t="shared" si="46"/>
        <v>0.38861358926517714</v>
      </c>
      <c r="L76" s="55">
        <f t="shared" si="47"/>
        <v>0.11690277701049745</v>
      </c>
      <c r="M76" s="55">
        <f t="shared" si="19"/>
        <v>0.88309722298950255</v>
      </c>
      <c r="N76" s="55">
        <f t="shared" si="48"/>
        <v>6.0525906240201113E-2</v>
      </c>
      <c r="O76" s="56">
        <f t="shared" si="21"/>
        <v>3.8908716592961425E-7</v>
      </c>
      <c r="P76" s="56">
        <f t="shared" si="49"/>
        <v>1.6712086993486401E-4</v>
      </c>
      <c r="Q76" s="56">
        <f t="shared" si="50"/>
        <v>2.8842035416461551E-3</v>
      </c>
      <c r="R76" s="9">
        <f t="shared" si="43"/>
        <v>3.9999999999999996E-5</v>
      </c>
      <c r="S76" s="9">
        <f t="shared" si="39"/>
        <v>4.6761110804198975E-6</v>
      </c>
      <c r="T76" s="9">
        <f t="shared" si="40"/>
        <v>1.5544543570607083E-5</v>
      </c>
      <c r="U76" s="9">
        <f t="shared" si="41"/>
        <v>3.5323888919580096E-5</v>
      </c>
      <c r="V76" s="102">
        <f t="shared" si="42"/>
        <v>0.44005753743582615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2.1004549420906745E-4</v>
      </c>
      <c r="J77" s="54">
        <f t="shared" si="45"/>
        <v>4.6195916093205912E-2</v>
      </c>
      <c r="K77" s="55">
        <f t="shared" si="46"/>
        <v>0.99822191657391313</v>
      </c>
      <c r="L77" s="55">
        <f t="shared" si="47"/>
        <v>7.7758178708426653E-4</v>
      </c>
      <c r="M77" s="55">
        <f t="shared" si="19"/>
        <v>0.99922241821291569</v>
      </c>
      <c r="N77" s="55">
        <f t="shared" si="48"/>
        <v>3.18472119631593E-5</v>
      </c>
      <c r="O77" s="56">
        <f t="shared" si="21"/>
        <v>9.9943838099687097E-7</v>
      </c>
      <c r="P77" s="56">
        <f t="shared" si="49"/>
        <v>1.1116087061931791E-6</v>
      </c>
      <c r="Q77" s="56">
        <f t="shared" si="50"/>
        <v>1.5175954767396912E-6</v>
      </c>
      <c r="R77" s="9">
        <f t="shared" si="43"/>
        <v>3.9999999999999996E-5</v>
      </c>
      <c r="S77" s="9">
        <f t="shared" si="39"/>
        <v>3.1103271483370662E-8</v>
      </c>
      <c r="T77" s="9">
        <f t="shared" si="40"/>
        <v>3.9928876662956524E-5</v>
      </c>
      <c r="U77" s="9">
        <f t="shared" si="41"/>
        <v>3.9968896728516624E-5</v>
      </c>
      <c r="V77" s="102">
        <f t="shared" si="42"/>
        <v>0.99899871978373755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9.6186457475178466E-3</v>
      </c>
      <c r="J78" s="54">
        <f t="shared" si="45"/>
        <v>0.86907068032969315</v>
      </c>
      <c r="K78" s="55">
        <f t="shared" si="46"/>
        <v>0.97266285271346509</v>
      </c>
      <c r="L78" s="55">
        <f t="shared" si="47"/>
        <v>5.039135924577688E-3</v>
      </c>
      <c r="M78" s="55">
        <f t="shared" si="19"/>
        <v>0.99496086407542228</v>
      </c>
      <c r="N78" s="55">
        <f t="shared" si="48"/>
        <v>1.6229668434969253E-3</v>
      </c>
      <c r="O78" s="56">
        <f t="shared" si="21"/>
        <v>9.7384817006245675E-7</v>
      </c>
      <c r="P78" s="56">
        <f t="shared" si="49"/>
        <v>7.2038047424641343E-6</v>
      </c>
      <c r="Q78" s="56">
        <f t="shared" si="50"/>
        <v>7.7338234299398727E-5</v>
      </c>
      <c r="R78" s="9">
        <f t="shared" si="43"/>
        <v>3.9999999999999996E-5</v>
      </c>
      <c r="S78" s="9">
        <f t="shared" si="39"/>
        <v>2.0156543698310751E-7</v>
      </c>
      <c r="T78" s="9">
        <f t="shared" si="40"/>
        <v>3.8906514108538601E-5</v>
      </c>
      <c r="U78" s="9">
        <f t="shared" si="41"/>
        <v>3.9798434563016886E-5</v>
      </c>
      <c r="V78" s="102">
        <f t="shared" si="42"/>
        <v>0.97758905684930852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8.6760595853303396E-2</v>
      </c>
      <c r="J79" s="54">
        <f t="shared" si="45"/>
        <v>1.8284615251176457</v>
      </c>
      <c r="K79" s="55">
        <f t="shared" si="46"/>
        <v>0.7880580226102839</v>
      </c>
      <c r="L79" s="55">
        <f t="shared" si="47"/>
        <v>3.7182859242437312E-2</v>
      </c>
      <c r="M79" s="55">
        <f t="shared" si="19"/>
        <v>0.96281714075756264</v>
      </c>
      <c r="N79" s="55">
        <f t="shared" si="48"/>
        <v>1.5238159397868841E-2</v>
      </c>
      <c r="O79" s="56">
        <f t="shared" si="21"/>
        <v>7.8901837474422849E-7</v>
      </c>
      <c r="P79" s="56">
        <f t="shared" si="49"/>
        <v>5.3155553205581457E-5</v>
      </c>
      <c r="Q79" s="56">
        <f t="shared" si="50"/>
        <v>7.2613457664034997E-4</v>
      </c>
      <c r="R79" s="9">
        <f t="shared" si="43"/>
        <v>3.9999999999999996E-5</v>
      </c>
      <c r="S79" s="9">
        <f t="shared" si="39"/>
        <v>1.4873143696974923E-6</v>
      </c>
      <c r="T79" s="9">
        <f t="shared" si="40"/>
        <v>3.1522320904411355E-5</v>
      </c>
      <c r="U79" s="9">
        <f t="shared" si="41"/>
        <v>3.8512685630302505E-5</v>
      </c>
      <c r="V79" s="102">
        <f t="shared" si="42"/>
        <v>0.81849189139925882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1.9819141928346475</v>
      </c>
      <c r="J80" s="54">
        <f t="shared" si="45"/>
        <v>4.6407720127189611</v>
      </c>
      <c r="K80" s="55">
        <f t="shared" si="46"/>
        <v>7.8990713196767474E-3</v>
      </c>
      <c r="L80" s="55">
        <f t="shared" si="47"/>
        <v>0.24191963055422858</v>
      </c>
      <c r="M80" s="55">
        <f t="shared" si="19"/>
        <v>0.7580803694457714</v>
      </c>
      <c r="N80" s="55">
        <f t="shared" si="48"/>
        <v>0.18001817418102919</v>
      </c>
      <c r="O80" s="56">
        <f t="shared" si="21"/>
        <v>7.9086973748406873E-9</v>
      </c>
      <c r="P80" s="56">
        <f t="shared" si="49"/>
        <v>3.458413918508809E-4</v>
      </c>
      <c r="Q80" s="56">
        <f t="shared" si="50"/>
        <v>8.5782946144264734E-3</v>
      </c>
      <c r="R80" s="9">
        <f t="shared" si="43"/>
        <v>3.9999999999999996E-5</v>
      </c>
      <c r="S80" s="9">
        <f t="shared" si="39"/>
        <v>9.6767852221691417E-6</v>
      </c>
      <c r="T80" s="9">
        <f t="shared" si="40"/>
        <v>3.1596285278706984E-7</v>
      </c>
      <c r="U80" s="9">
        <f t="shared" si="41"/>
        <v>3.0323214777830853E-5</v>
      </c>
      <c r="V80" s="102">
        <f t="shared" si="42"/>
        <v>1.0419833619292527E-2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0.12726341031571042</v>
      </c>
      <c r="J81" s="54">
        <f t="shared" si="45"/>
        <v>2.0764178865334513</v>
      </c>
      <c r="K81" s="55">
        <f t="shared" si="46"/>
        <v>0.7019047716996023</v>
      </c>
      <c r="L81" s="55">
        <f t="shared" si="47"/>
        <v>5.861640027610969E-2</v>
      </c>
      <c r="M81" s="55">
        <f t="shared" si="19"/>
        <v>0.9413835997238903</v>
      </c>
      <c r="N81" s="55">
        <f t="shared" si="48"/>
        <v>3.1604906686499734E-2</v>
      </c>
      <c r="O81" s="56">
        <f t="shared" si="21"/>
        <v>7.0276013478961299E-7</v>
      </c>
      <c r="P81" s="56">
        <f t="shared" si="49"/>
        <v>8.3796331080432813E-5</v>
      </c>
      <c r="Q81" s="56">
        <f t="shared" si="50"/>
        <v>1.5060490533895373E-3</v>
      </c>
      <c r="R81" s="9">
        <f t="shared" si="43"/>
        <v>3.9999999999999996E-5</v>
      </c>
      <c r="S81" s="9">
        <f t="shared" si="39"/>
        <v>2.3446560110443875E-6</v>
      </c>
      <c r="T81" s="9">
        <f t="shared" si="40"/>
        <v>2.807619086798409E-5</v>
      </c>
      <c r="U81" s="9">
        <f t="shared" si="41"/>
        <v>3.7655343988955611E-5</v>
      </c>
      <c r="V81" s="102">
        <f t="shared" si="42"/>
        <v>0.74560973008821529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0.47104615060046062</v>
      </c>
      <c r="J82" s="54">
        <f t="shared" si="45"/>
        <v>2.8909048143104648</v>
      </c>
      <c r="K82" s="55">
        <f t="shared" si="46"/>
        <v>0.28533532307704518</v>
      </c>
      <c r="L82" s="55">
        <f t="shared" si="47"/>
        <v>0.15544738322785101</v>
      </c>
      <c r="M82" s="55">
        <f t="shared" si="19"/>
        <v>0.84455261677214899</v>
      </c>
      <c r="N82" s="55">
        <f t="shared" si="48"/>
        <v>0.10014928568122697</v>
      </c>
      <c r="O82" s="56">
        <f t="shared" si="21"/>
        <v>2.8568304161875759E-7</v>
      </c>
      <c r="P82" s="56">
        <f t="shared" si="49"/>
        <v>2.2222313770872934E-4</v>
      </c>
      <c r="Q82" s="56">
        <f t="shared" si="50"/>
        <v>4.7723519133906593E-3</v>
      </c>
      <c r="R82" s="9">
        <f t="shared" si="43"/>
        <v>3.9999999999999996E-5</v>
      </c>
      <c r="S82" s="9">
        <f t="shared" si="39"/>
        <v>6.21789532911404E-6</v>
      </c>
      <c r="T82" s="9">
        <f t="shared" si="40"/>
        <v>1.1413412923081806E-5</v>
      </c>
      <c r="U82" s="9">
        <f t="shared" si="41"/>
        <v>3.3782104670885955E-5</v>
      </c>
      <c r="V82" s="102">
        <f t="shared" si="42"/>
        <v>0.337853814446265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0.17835694544431219</v>
      </c>
      <c r="J83" s="54">
        <f t="shared" si="45"/>
        <v>2.2596675735780232</v>
      </c>
      <c r="K83" s="55">
        <f t="shared" si="46"/>
        <v>0.61125632828099974</v>
      </c>
      <c r="L83" s="55">
        <f t="shared" si="47"/>
        <v>7.7842003409736626E-2</v>
      </c>
      <c r="M83" s="55">
        <f t="shared" si="19"/>
        <v>0.92215799659026332</v>
      </c>
      <c r="N83" s="55">
        <f t="shared" si="48"/>
        <v>4.3647933395273564E-2</v>
      </c>
      <c r="O83" s="56">
        <f t="shared" si="21"/>
        <v>6.1200122434500713E-7</v>
      </c>
      <c r="P83" s="56">
        <f t="shared" si="49"/>
        <v>1.1128070401731923E-4</v>
      </c>
      <c r="Q83" s="56">
        <f t="shared" si="50"/>
        <v>2.0799279499357261E-3</v>
      </c>
      <c r="R83" s="9">
        <f t="shared" si="43"/>
        <v>3.9999999999999996E-5</v>
      </c>
      <c r="S83" s="9">
        <f t="shared" si="39"/>
        <v>3.1136801363894648E-6</v>
      </c>
      <c r="T83" s="9">
        <f t="shared" si="40"/>
        <v>2.4450253131239986E-5</v>
      </c>
      <c r="U83" s="9">
        <f t="shared" si="41"/>
        <v>3.6886319863610532E-5</v>
      </c>
      <c r="V83" s="102">
        <f t="shared" si="42"/>
        <v>0.6628542294716937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5.9812805986470914E-3</v>
      </c>
      <c r="J84" s="54">
        <f t="shared" si="45"/>
        <v>0.6838067096740571</v>
      </c>
      <c r="K84" s="55">
        <f t="shared" si="46"/>
        <v>0.98253562732326372</v>
      </c>
      <c r="L84" s="55">
        <f t="shared" si="47"/>
        <v>3.3226001445152537E-3</v>
      </c>
      <c r="M84" s="55">
        <f t="shared" si="19"/>
        <v>0.99667739985548476</v>
      </c>
      <c r="N84" s="55">
        <f t="shared" si="48"/>
        <v>8.9875563156283284E-4</v>
      </c>
      <c r="O84" s="56">
        <f t="shared" si="21"/>
        <v>9.8373297594392894E-7</v>
      </c>
      <c r="P84" s="56">
        <f t="shared" si="49"/>
        <v>4.7498942351663077E-6</v>
      </c>
      <c r="Q84" s="56">
        <f t="shared" si="50"/>
        <v>4.2827845738329855E-5</v>
      </c>
      <c r="R84" s="9">
        <f t="shared" si="43"/>
        <v>3.9999999999999996E-5</v>
      </c>
      <c r="S84" s="9">
        <f t="shared" si="39"/>
        <v>1.3290400578061013E-7</v>
      </c>
      <c r="T84" s="9">
        <f t="shared" si="40"/>
        <v>3.9301425092930544E-5</v>
      </c>
      <c r="U84" s="9">
        <f t="shared" si="41"/>
        <v>3.9867095994219385E-5</v>
      </c>
      <c r="V84" s="102">
        <f t="shared" si="42"/>
        <v>0.98581108337133805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0.11910186422699467</v>
      </c>
      <c r="J85" s="54">
        <f t="shared" si="45"/>
        <v>2.0545505923588281</v>
      </c>
      <c r="K85" s="55">
        <f t="shared" si="46"/>
        <v>0.71652491942572638</v>
      </c>
      <c r="L85" s="55">
        <f t="shared" si="47"/>
        <v>5.6899041980835931E-2</v>
      </c>
      <c r="M85" s="55">
        <f t="shared" si="19"/>
        <v>0.94310095801916405</v>
      </c>
      <c r="N85" s="55">
        <f t="shared" si="48"/>
        <v>3.1816002823921358E-2</v>
      </c>
      <c r="O85" s="56">
        <f t="shared" si="21"/>
        <v>7.1739809908465013E-7</v>
      </c>
      <c r="P85" s="56">
        <f t="shared" si="49"/>
        <v>8.1341244728889314E-5</v>
      </c>
      <c r="Q85" s="56">
        <f t="shared" si="50"/>
        <v>1.5161082869475286E-3</v>
      </c>
      <c r="R85" s="9">
        <f t="shared" si="43"/>
        <v>3.9999999999999996E-5</v>
      </c>
      <c r="S85" s="9">
        <f t="shared" si="39"/>
        <v>2.2759616792334371E-6</v>
      </c>
      <c r="T85" s="9">
        <f t="shared" si="40"/>
        <v>2.8660996777029053E-5</v>
      </c>
      <c r="U85" s="9">
        <f t="shared" si="41"/>
        <v>3.7724038320766556E-5</v>
      </c>
      <c r="V85" s="102">
        <f t="shared" si="42"/>
        <v>0.75975420588128217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3.4503381608646556E-2</v>
      </c>
      <c r="J86" s="54">
        <f t="shared" si="45"/>
        <v>1.4348617200490665</v>
      </c>
      <c r="K86" s="55">
        <f t="shared" si="46"/>
        <v>0.90718418546841628</v>
      </c>
      <c r="L86" s="55">
        <f t="shared" si="47"/>
        <v>1.7293394693264599E-2</v>
      </c>
      <c r="M86" s="55">
        <f t="shared" si="19"/>
        <v>0.98270660530673537</v>
      </c>
      <c r="N86" s="55">
        <f t="shared" si="48"/>
        <v>7.7800034274603516E-3</v>
      </c>
      <c r="O86" s="56">
        <f t="shared" si="21"/>
        <v>9.0828970846723003E-7</v>
      </c>
      <c r="P86" s="56">
        <f t="shared" si="49"/>
        <v>2.4722142956499836E-5</v>
      </c>
      <c r="Q86" s="56">
        <f t="shared" si="50"/>
        <v>3.707356871361702E-4</v>
      </c>
      <c r="R86" s="9">
        <f t="shared" si="43"/>
        <v>3.9999999999999996E-5</v>
      </c>
      <c r="S86" s="9">
        <f t="shared" si="39"/>
        <v>6.9173578773058391E-7</v>
      </c>
      <c r="T86" s="9">
        <f t="shared" si="40"/>
        <v>3.628736741873665E-5</v>
      </c>
      <c r="U86" s="9">
        <f t="shared" si="41"/>
        <v>3.930826421226941E-5</v>
      </c>
      <c r="V86" s="102">
        <f t="shared" si="42"/>
        <v>0.92314855783965544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1.1640116161103842</v>
      </c>
      <c r="J88" s="54">
        <f t="shared" si="45"/>
        <v>3.8273795064858471</v>
      </c>
      <c r="K88" s="55">
        <f t="shared" si="46"/>
        <v>5.1806378564360746E-2</v>
      </c>
      <c r="L88" s="55">
        <f t="shared" si="47"/>
        <v>0.24382925070832279</v>
      </c>
      <c r="M88" s="55">
        <f t="shared" si="19"/>
        <v>0.75617074929167716</v>
      </c>
      <c r="N88" s="55">
        <f t="shared" si="48"/>
        <v>0.19165296933911954</v>
      </c>
      <c r="O88" s="56">
        <f t="shared" si="21"/>
        <v>5.1869511436279785E-8</v>
      </c>
      <c r="P88" s="56">
        <f t="shared" si="49"/>
        <v>3.4857133026259824E-4</v>
      </c>
      <c r="Q88" s="56">
        <f t="shared" si="50"/>
        <v>9.1327203056027102E-3</v>
      </c>
      <c r="R88" s="9">
        <f>F88*$C$14</f>
        <v>3.9999999999999996E-5</v>
      </c>
      <c r="S88" s="9">
        <f t="shared" si="39"/>
        <v>9.7531700283329112E-6</v>
      </c>
      <c r="T88" s="9">
        <f t="shared" si="40"/>
        <v>2.0722551425744295E-6</v>
      </c>
      <c r="U88" s="9">
        <f t="shared" si="41"/>
        <v>3.0246829971667085E-5</v>
      </c>
      <c r="V88" s="102">
        <f t="shared" si="42"/>
        <v>6.8511481848364267E-2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2.5219720041185631</v>
      </c>
      <c r="J89" s="54">
        <f t="shared" si="45"/>
        <v>5.2755325389810421</v>
      </c>
      <c r="K89" s="55">
        <f t="shared" si="46"/>
        <v>2.1510180529077396E-3</v>
      </c>
      <c r="L89" s="55">
        <f t="shared" si="47"/>
        <v>0.28411859419722774</v>
      </c>
      <c r="M89" s="55">
        <f t="shared" si="19"/>
        <v>0.71588140580277226</v>
      </c>
      <c r="N89" s="55">
        <f t="shared" si="48"/>
        <v>0.24457123290764651</v>
      </c>
      <c r="O89" s="56">
        <f t="shared" si="21"/>
        <v>2.1536393507284519E-9</v>
      </c>
      <c r="P89" s="56">
        <f t="shared" si="49"/>
        <v>4.0616782459023727E-4</v>
      </c>
      <c r="Q89" s="56">
        <f t="shared" si="50"/>
        <v>1.165440156050866E-2</v>
      </c>
      <c r="R89" s="9">
        <f>F89*$C$14</f>
        <v>3.9999999999999996E-5</v>
      </c>
      <c r="S89" s="9">
        <f t="shared" si="39"/>
        <v>1.1364743767889108E-5</v>
      </c>
      <c r="T89" s="9">
        <f t="shared" si="40"/>
        <v>8.6040722116309581E-8</v>
      </c>
      <c r="U89" s="9">
        <f t="shared" si="41"/>
        <v>2.8635256232110886E-5</v>
      </c>
      <c r="V89" s="102">
        <f t="shared" si="42"/>
        <v>3.0047128413618167E-3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2.8671793282646911</v>
      </c>
      <c r="J90" s="54">
        <f t="shared" si="45"/>
        <v>5.6475701029544298</v>
      </c>
      <c r="K90" s="55">
        <f t="shared" si="46"/>
        <v>9.5420943497053249E-4</v>
      </c>
      <c r="L90" s="55">
        <f t="shared" si="47"/>
        <v>0.29684987626012044</v>
      </c>
      <c r="M90" s="55">
        <f t="shared" si="19"/>
        <v>0.70315012373987962</v>
      </c>
      <c r="N90" s="55">
        <f t="shared" si="48"/>
        <v>0.2641526816729694</v>
      </c>
      <c r="O90" s="56">
        <f t="shared" si="21"/>
        <v>9.5537226440797509E-10</v>
      </c>
      <c r="P90" s="56">
        <f t="shared" si="49"/>
        <v>4.2436810167643257E-4</v>
      </c>
      <c r="Q90" s="56">
        <f t="shared" si="50"/>
        <v>1.2587504216673356E-2</v>
      </c>
      <c r="R90" s="9">
        <f>F90*$C$14</f>
        <v>3.9999999999999996E-5</v>
      </c>
      <c r="S90" s="9">
        <f t="shared" si="39"/>
        <v>1.1873995050404816E-5</v>
      </c>
      <c r="T90" s="9">
        <f t="shared" si="40"/>
        <v>3.8168377398821293E-8</v>
      </c>
      <c r="U90" s="9">
        <f t="shared" si="41"/>
        <v>2.8126004949595182E-5</v>
      </c>
      <c r="V90" s="102">
        <f t="shared" si="42"/>
        <v>1.3570493736036499E-3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3.2678433041260839</v>
      </c>
      <c r="J91" s="54">
        <f t="shared" si="45"/>
        <v>6.0714479293479418</v>
      </c>
      <c r="K91" s="55">
        <f t="shared" si="46"/>
        <v>3.7321429839382389E-4</v>
      </c>
      <c r="L91" s="55">
        <f t="shared" si="47"/>
        <v>0.30812665269639278</v>
      </c>
      <c r="M91" s="55">
        <f t="shared" si="19"/>
        <v>0.69187334730360717</v>
      </c>
      <c r="N91" s="55">
        <f t="shared" si="48"/>
        <v>0.28159153253591762</v>
      </c>
      <c r="O91" s="56">
        <f t="shared" si="21"/>
        <v>3.7366910900116217E-10</v>
      </c>
      <c r="P91" s="56">
        <f t="shared" si="49"/>
        <v>4.4048905907611522E-4</v>
      </c>
      <c r="Q91" s="56">
        <f t="shared" si="50"/>
        <v>1.3418506981366323E-2</v>
      </c>
      <c r="R91" s="9">
        <f t="shared" ref="R91:R92" si="51">F91*$C$14</f>
        <v>3.9999999999999996E-5</v>
      </c>
      <c r="S91" s="9">
        <f t="shared" si="39"/>
        <v>1.2325066107855711E-5</v>
      </c>
      <c r="T91" s="9">
        <f t="shared" si="40"/>
        <v>1.4928571935752955E-8</v>
      </c>
      <c r="U91" s="9">
        <f t="shared" si="41"/>
        <v>2.7674933892144284E-5</v>
      </c>
      <c r="V91" s="102">
        <f t="shared" si="42"/>
        <v>5.3942574872746236E-4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4.4880081925943038</v>
      </c>
      <c r="J92" s="54">
        <f t="shared" si="45"/>
        <v>7.3264606898122624</v>
      </c>
      <c r="K92" s="55">
        <f t="shared" si="46"/>
        <v>2.19156704270927E-5</v>
      </c>
      <c r="L92" s="55">
        <f t="shared" si="47"/>
        <v>0.3254906468866326</v>
      </c>
      <c r="M92" s="55">
        <f t="shared" si="19"/>
        <v>0.67450935311336746</v>
      </c>
      <c r="N92" s="55">
        <f t="shared" si="48"/>
        <v>0.3085510853062316</v>
      </c>
      <c r="O92" s="56">
        <f t="shared" si="21"/>
        <v>2.1942377547961505E-11</v>
      </c>
      <c r="P92" s="56">
        <f t="shared" si="49"/>
        <v>4.6531212905636223E-4</v>
      </c>
      <c r="Q92" s="56">
        <f t="shared" si="50"/>
        <v>1.4703193860283141E-2</v>
      </c>
      <c r="R92" s="9">
        <f t="shared" si="51"/>
        <v>3.9999999999999996E-5</v>
      </c>
      <c r="S92" s="9">
        <f t="shared" si="39"/>
        <v>1.3019625875465302E-5</v>
      </c>
      <c r="T92" s="9">
        <f t="shared" si="40"/>
        <v>8.7662681708370796E-10</v>
      </c>
      <c r="U92" s="9">
        <f t="shared" si="41"/>
        <v>2.6980374124534696E-5</v>
      </c>
      <c r="V92" s="102">
        <f t="shared" si="42"/>
        <v>3.2491277290574865E-5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3.2311126461878961E-2</v>
      </c>
      <c r="J93" s="54">
        <f t="shared" si="45"/>
        <v>1.3221349530045283</v>
      </c>
      <c r="K93" s="55">
        <f t="shared" si="46"/>
        <v>0.91533203841392496</v>
      </c>
      <c r="L93" s="55">
        <f t="shared" si="47"/>
        <v>1.3459740274943418E-2</v>
      </c>
      <c r="M93" s="55">
        <f t="shared" ref="M93:M127" si="52">IF(D93=0,"",1-L93)</f>
        <v>0.98654025972505655</v>
      </c>
      <c r="N93" s="55">
        <f t="shared" si="48"/>
        <v>3.4199753935007572E-3</v>
      </c>
      <c r="O93" s="56">
        <f t="shared" ref="O93:O127" si="53">IF(D93=0,"",F93*K93*$J$7/$J$14)</f>
        <v>9.164474906409667E-7</v>
      </c>
      <c r="P93" s="56">
        <f t="shared" si="49"/>
        <v>1.9241660133051264E-5</v>
      </c>
      <c r="Q93" s="56">
        <f t="shared" si="50"/>
        <v>1.6296997029886706E-4</v>
      </c>
      <c r="R93" s="9">
        <f>F93*$C$14</f>
        <v>3.9999999999999996E-5</v>
      </c>
      <c r="S93" s="9">
        <f t="shared" si="39"/>
        <v>5.3838961099773663E-7</v>
      </c>
      <c r="T93" s="9">
        <f t="shared" si="40"/>
        <v>3.6613281536556997E-5</v>
      </c>
      <c r="U93" s="9">
        <f t="shared" si="41"/>
        <v>3.9461610389002255E-5</v>
      </c>
      <c r="V93" s="102">
        <f t="shared" si="42"/>
        <v>0.92782025810991542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1.9446765022663539E-3</v>
      </c>
      <c r="J107" s="54">
        <f t="shared" si="45"/>
        <v>0.33664255688928602</v>
      </c>
      <c r="K107" s="55">
        <f t="shared" si="46"/>
        <v>0.99351350442442399</v>
      </c>
      <c r="L107" s="55">
        <f t="shared" si="47"/>
        <v>1.5105649185772388E-3</v>
      </c>
      <c r="M107" s="55">
        <f t="shared" si="52"/>
        <v>0.99848943508142274</v>
      </c>
      <c r="N107" s="55">
        <f t="shared" si="48"/>
        <v>2.4391027296880407E-4</v>
      </c>
      <c r="O107" s="56">
        <f t="shared" si="53"/>
        <v>9.9472423102919415E-7</v>
      </c>
      <c r="P107" s="56">
        <f t="shared" si="49"/>
        <v>2.1594604486003472E-6</v>
      </c>
      <c r="Q107" s="56">
        <f t="shared" si="50"/>
        <v>1.1622905245708678E-5</v>
      </c>
      <c r="R107" s="9">
        <f>F107*$C$14</f>
        <v>3.9999999999999996E-5</v>
      </c>
      <c r="S107" s="9">
        <f t="shared" ref="S107:S108" si="54">$R107*L107</f>
        <v>6.0422596743089552E-8</v>
      </c>
      <c r="T107" s="9">
        <f t="shared" ref="T107:T108" si="55">R107*K107</f>
        <v>3.9740540176976956E-5</v>
      </c>
      <c r="U107" s="9">
        <f t="shared" ref="U107:U108" si="56">$R107*M107</f>
        <v>3.9939577403256906E-5</v>
      </c>
      <c r="V107" s="102">
        <f t="shared" ref="V107:V108" si="57">K107/M107</f>
        <v>0.99501654150542618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1.5422749478710035E-2</v>
      </c>
      <c r="J108" s="54">
        <f t="shared" si="45"/>
        <v>1.0476738921027908</v>
      </c>
      <c r="K108" s="55">
        <f t="shared" si="46"/>
        <v>0.95739266671401113</v>
      </c>
      <c r="L108" s="55">
        <f t="shared" si="47"/>
        <v>7.4831948135285382E-3</v>
      </c>
      <c r="M108" s="55">
        <f t="shared" si="52"/>
        <v>0.99251680518647145</v>
      </c>
      <c r="N108" s="55">
        <f t="shared" si="48"/>
        <v>2.414812493976265E-3</v>
      </c>
      <c r="O108" s="56">
        <f t="shared" si="53"/>
        <v>9.5855937533713556E-7</v>
      </c>
      <c r="P108" s="56">
        <f t="shared" si="49"/>
        <v>1.0697761499854298E-5</v>
      </c>
      <c r="Q108" s="56">
        <f t="shared" si="50"/>
        <v>1.1507156489152612E-4</v>
      </c>
      <c r="R108" s="9">
        <f>F108*$C$14</f>
        <v>3.9999999999999996E-5</v>
      </c>
      <c r="S108" s="9">
        <f t="shared" si="54"/>
        <v>2.9932779254114151E-7</v>
      </c>
      <c r="T108" s="9">
        <f t="shared" si="55"/>
        <v>3.8295706668560445E-5</v>
      </c>
      <c r="U108" s="9">
        <f t="shared" si="56"/>
        <v>3.9700672207458854E-5</v>
      </c>
      <c r="V108" s="102">
        <f t="shared" si="57"/>
        <v>0.96461103903841583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1.0353959656071578E-2</v>
      </c>
      <c r="J114" s="54">
        <f t="shared" si="45"/>
        <v>0.90660680878543065</v>
      </c>
      <c r="K114" s="55">
        <f t="shared" si="46"/>
        <v>0.97058490146399001</v>
      </c>
      <c r="L114" s="55">
        <f t="shared" si="47"/>
        <v>5.4823076447363169E-3</v>
      </c>
      <c r="M114" s="55">
        <f t="shared" si="52"/>
        <v>0.99451769235526366</v>
      </c>
      <c r="N114" s="55">
        <f t="shared" si="48"/>
        <v>1.9028600514497845E-3</v>
      </c>
      <c r="O114" s="56">
        <f t="shared" si="53"/>
        <v>9.7176768655665083E-7</v>
      </c>
      <c r="P114" s="56">
        <f t="shared" si="49"/>
        <v>7.8373503715537607E-6</v>
      </c>
      <c r="Q114" s="56">
        <f t="shared" si="50"/>
        <v>9.0675812070752353E-5</v>
      </c>
      <c r="R114" s="9">
        <f>F114*$C$14</f>
        <v>3.9999999999999996E-5</v>
      </c>
      <c r="S114" s="9">
        <f t="shared" ref="S114:S116" si="58">$R114*L114</f>
        <v>2.1929230578945265E-7</v>
      </c>
      <c r="T114" s="9">
        <f t="shared" ref="T114:T116" si="59">R114*K114</f>
        <v>3.8823396058559596E-5</v>
      </c>
      <c r="U114" s="9">
        <f t="shared" ref="U114:U116" si="60">$R114*M114</f>
        <v>3.9780707694210541E-5</v>
      </c>
      <c r="V114" s="102">
        <f t="shared" ref="V114:V116" si="61">K114/M114</f>
        <v>0.97593527890429488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2.0480395290290027E-2</v>
      </c>
      <c r="J115" s="54">
        <f t="shared" si="45"/>
        <v>1.0869139815525992</v>
      </c>
      <c r="K115" s="55">
        <f t="shared" si="46"/>
        <v>0.94572833802641487</v>
      </c>
      <c r="L115" s="55">
        <f t="shared" si="47"/>
        <v>8.0910232087209981E-3</v>
      </c>
      <c r="M115" s="55">
        <f t="shared" si="52"/>
        <v>0.99190897679127898</v>
      </c>
      <c r="N115" s="55">
        <f t="shared" si="48"/>
        <v>1.059758040017701E-3</v>
      </c>
      <c r="O115" s="56">
        <f t="shared" si="53"/>
        <v>9.4688083213407877E-7</v>
      </c>
      <c r="P115" s="56">
        <f t="shared" si="49"/>
        <v>1.1566695607095859E-5</v>
      </c>
      <c r="Q115" s="56">
        <f t="shared" si="50"/>
        <v>5.0499993840272061E-5</v>
      </c>
      <c r="R115" s="9">
        <f>F115*$C$14</f>
        <v>3.9999999999999996E-5</v>
      </c>
      <c r="S115" s="9">
        <f t="shared" si="58"/>
        <v>3.2364092834883991E-7</v>
      </c>
      <c r="T115" s="9">
        <f t="shared" si="59"/>
        <v>3.782913352105659E-5</v>
      </c>
      <c r="U115" s="9">
        <f t="shared" si="60"/>
        <v>3.9676359071651154E-5</v>
      </c>
      <c r="V115" s="102">
        <f t="shared" si="61"/>
        <v>0.95344266475513351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5.8413729360461944E-4</v>
      </c>
      <c r="J116" s="54">
        <f t="shared" si="45"/>
        <v>0.11008125501635208</v>
      </c>
      <c r="K116" s="55">
        <f t="shared" si="46"/>
        <v>0.99724032919442918</v>
      </c>
      <c r="L116" s="55">
        <f t="shared" si="47"/>
        <v>8.9992051283633787E-4</v>
      </c>
      <c r="M116" s="55">
        <f t="shared" si="52"/>
        <v>0.99910007948716362</v>
      </c>
      <c r="N116" s="55">
        <f t="shared" si="48"/>
        <v>2.8627218378013049E-5</v>
      </c>
      <c r="O116" s="56">
        <f t="shared" si="53"/>
        <v>9.9845559742433092E-7</v>
      </c>
      <c r="P116" s="56">
        <f t="shared" si="49"/>
        <v>1.2865006531361762E-6</v>
      </c>
      <c r="Q116" s="56">
        <f t="shared" si="50"/>
        <v>1.3641551157560789E-6</v>
      </c>
      <c r="R116" s="9">
        <f>F116*$C$14</f>
        <v>3.9999999999999996E-5</v>
      </c>
      <c r="S116" s="9">
        <f t="shared" si="58"/>
        <v>3.5996820513453509E-8</v>
      </c>
      <c r="T116" s="9">
        <f t="shared" si="59"/>
        <v>3.9889613167777163E-5</v>
      </c>
      <c r="U116" s="9">
        <f t="shared" si="60"/>
        <v>3.9964003179486539E-5</v>
      </c>
      <c r="V116" s="102">
        <f t="shared" si="61"/>
        <v>0.99813857457234012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0.56658503951123784</v>
      </c>
      <c r="J119" s="54">
        <f t="shared" si="45"/>
        <v>3.0063821040542344</v>
      </c>
      <c r="K119" s="55">
        <f t="shared" si="46"/>
        <v>0.22732989692714034</v>
      </c>
      <c r="L119" s="55">
        <f t="shared" si="47"/>
        <v>0.16157037089129578</v>
      </c>
      <c r="M119" s="55">
        <f t="shared" si="52"/>
        <v>0.83842962910870422</v>
      </c>
      <c r="N119" s="55">
        <f t="shared" si="48"/>
        <v>9.8236724318234103E-2</v>
      </c>
      <c r="O119" s="56">
        <f t="shared" si="53"/>
        <v>2.2760692824381958E-7</v>
      </c>
      <c r="P119" s="56">
        <f t="shared" si="49"/>
        <v>2.3097638592988525E-4</v>
      </c>
      <c r="Q119" s="56">
        <f t="shared" si="50"/>
        <v>4.6812138107265172E-3</v>
      </c>
      <c r="R119" s="9">
        <f>F119*$C$14</f>
        <v>3.9999999999999996E-5</v>
      </c>
      <c r="S119" s="9">
        <f t="shared" ref="S119:S121" si="62">$R119*L119</f>
        <v>6.4628148356518307E-6</v>
      </c>
      <c r="T119" s="9">
        <f t="shared" ref="T119:T121" si="63">R119*K119</f>
        <v>9.0931958770856128E-6</v>
      </c>
      <c r="U119" s="9">
        <f t="shared" ref="U119:U121" si="64">$R119*M119</f>
        <v>3.3537185164348163E-5</v>
      </c>
      <c r="V119" s="102">
        <f t="shared" ref="V119:V121" si="65">K119/M119</f>
        <v>0.27113771870014214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2.3514137427377815E-2</v>
      </c>
      <c r="J120" s="54">
        <f t="shared" si="45"/>
        <v>1.2095466574573663</v>
      </c>
      <c r="K120" s="55">
        <f t="shared" si="46"/>
        <v>0.93674211150704645</v>
      </c>
      <c r="L120" s="55">
        <f t="shared" si="47"/>
        <v>1.0628935333223531E-2</v>
      </c>
      <c r="M120" s="55">
        <f t="shared" si="52"/>
        <v>0.98937106466677649</v>
      </c>
      <c r="N120" s="55">
        <f t="shared" si="48"/>
        <v>3.2374298153163401E-3</v>
      </c>
      <c r="O120" s="56">
        <f t="shared" si="53"/>
        <v>9.3788365471824534E-7</v>
      </c>
      <c r="P120" s="56">
        <f t="shared" si="49"/>
        <v>1.5194822268509696E-5</v>
      </c>
      <c r="Q120" s="56">
        <f t="shared" si="50"/>
        <v>1.5427123886605054E-4</v>
      </c>
      <c r="R120" s="9">
        <f>F120*$C$14</f>
        <v>3.9999999999999996E-5</v>
      </c>
      <c r="S120" s="9">
        <f t="shared" si="62"/>
        <v>4.2515741332894118E-7</v>
      </c>
      <c r="T120" s="9">
        <f t="shared" si="63"/>
        <v>3.7469684460281852E-5</v>
      </c>
      <c r="U120" s="9">
        <f t="shared" si="64"/>
        <v>3.9574842586671053E-5</v>
      </c>
      <c r="V120" s="102">
        <f t="shared" si="65"/>
        <v>0.94680564750753482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1.0322461970770105</v>
      </c>
      <c r="J121" s="54">
        <f t="shared" si="45"/>
        <v>3.4992504399251074</v>
      </c>
      <c r="K121" s="55">
        <f t="shared" si="46"/>
        <v>7.6998530771737017E-2</v>
      </c>
      <c r="L121" s="55">
        <f t="shared" si="47"/>
        <v>0.17023777762386841</v>
      </c>
      <c r="M121" s="55">
        <f t="shared" si="52"/>
        <v>0.82976222237613162</v>
      </c>
      <c r="N121" s="55">
        <f t="shared" si="48"/>
        <v>8.2070249918882204E-2</v>
      </c>
      <c r="O121" s="56">
        <f t="shared" si="53"/>
        <v>7.7092363587615601E-8</v>
      </c>
      <c r="P121" s="56">
        <f t="shared" si="49"/>
        <v>2.4336706295457875E-4</v>
      </c>
      <c r="Q121" s="56">
        <f t="shared" si="50"/>
        <v>3.9108428139916869E-3</v>
      </c>
      <c r="R121" s="9">
        <f>F121*$C$14</f>
        <v>3.9999999999999996E-5</v>
      </c>
      <c r="S121" s="9">
        <f t="shared" si="62"/>
        <v>6.809511104954736E-6</v>
      </c>
      <c r="T121" s="9">
        <f t="shared" si="63"/>
        <v>3.0799412308694804E-6</v>
      </c>
      <c r="U121" s="9">
        <f t="shared" si="64"/>
        <v>3.3190488895045262E-5</v>
      </c>
      <c r="V121" s="102">
        <f t="shared" si="65"/>
        <v>9.2795898264977347E-2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0.13981203375224771</v>
      </c>
      <c r="J124" s="54">
        <f t="shared" si="67"/>
        <v>2.1544133005355879</v>
      </c>
      <c r="K124" s="55">
        <f t="shared" si="68"/>
        <v>0.67547423554717512</v>
      </c>
      <c r="L124" s="55">
        <f t="shared" si="69"/>
        <v>6.75064316210921E-2</v>
      </c>
      <c r="M124" s="55">
        <f t="shared" si="52"/>
        <v>0.93249356837890796</v>
      </c>
      <c r="N124" s="55">
        <f t="shared" si="70"/>
        <v>4.0228802594889305E-2</v>
      </c>
      <c r="O124" s="56">
        <f t="shared" si="53"/>
        <v>6.7629738955985007E-7</v>
      </c>
      <c r="P124" s="56">
        <f t="shared" si="71"/>
        <v>9.6505265890324107E-5</v>
      </c>
      <c r="Q124" s="56">
        <f t="shared" si="72"/>
        <v>1.9169982265097964E-3</v>
      </c>
      <c r="R124" s="9">
        <f>F124*$C$14</f>
        <v>3.9999999999999996E-5</v>
      </c>
      <c r="S124" s="9">
        <f t="shared" ref="S124:S127" si="73">$R124*L124</f>
        <v>2.7002572648436836E-6</v>
      </c>
      <c r="T124" s="9">
        <f t="shared" ref="T124:T127" si="74">R124*K124</f>
        <v>2.7018969421887001E-5</v>
      </c>
      <c r="U124" s="9">
        <f t="shared" ref="U124:U127" si="75">$R124*M124</f>
        <v>3.7299742735156313E-5</v>
      </c>
      <c r="V124" s="102">
        <f t="shared" ref="V124:V127" si="76">K124/M124</f>
        <v>0.72437414954126955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4.9312922410980113E-2</v>
      </c>
      <c r="J126" s="54">
        <f t="shared" si="67"/>
        <v>1.5517614107472002</v>
      </c>
      <c r="K126" s="55">
        <f t="shared" si="68"/>
        <v>0.87277082822875318</v>
      </c>
      <c r="L126" s="55">
        <f t="shared" si="69"/>
        <v>2.1776330309713227E-2</v>
      </c>
      <c r="M126" s="55">
        <f t="shared" si="52"/>
        <v>0.97822366969028673</v>
      </c>
      <c r="N126" s="55">
        <f t="shared" si="70"/>
        <v>7.9689029797917112E-3</v>
      </c>
      <c r="O126" s="56">
        <f t="shared" si="53"/>
        <v>8.7383441403498321E-7</v>
      </c>
      <c r="P126" s="56">
        <f t="shared" si="71"/>
        <v>3.1130819629900038E-5</v>
      </c>
      <c r="Q126" s="56">
        <f t="shared" si="72"/>
        <v>3.7973720056559831E-4</v>
      </c>
      <c r="R126" s="9">
        <f>F126*$C$14</f>
        <v>3.9999999999999996E-5</v>
      </c>
      <c r="S126" s="9">
        <f t="shared" si="73"/>
        <v>8.7105321238852905E-7</v>
      </c>
      <c r="T126" s="9">
        <f t="shared" si="74"/>
        <v>3.4910833129150124E-5</v>
      </c>
      <c r="U126" s="9">
        <f t="shared" si="75"/>
        <v>3.9128946787611468E-5</v>
      </c>
      <c r="V126" s="102">
        <f t="shared" si="76"/>
        <v>0.89219966278783591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5.4598878066109929E-5</v>
      </c>
      <c r="J127" s="54">
        <f t="shared" si="67"/>
        <v>1.2986163657413483E-2</v>
      </c>
      <c r="K127" s="55">
        <f t="shared" si="68"/>
        <v>0.99863618134751997</v>
      </c>
      <c r="L127" s="55">
        <f t="shared" si="69"/>
        <v>7.206369448774858E-4</v>
      </c>
      <c r="M127" s="55">
        <f t="shared" si="52"/>
        <v>0.99927936305512255</v>
      </c>
      <c r="N127" s="55">
        <f t="shared" si="70"/>
        <v>2.4935071299736058E-5</v>
      </c>
      <c r="O127" s="56">
        <f t="shared" si="53"/>
        <v>9.9985315060647711E-7</v>
      </c>
      <c r="P127" s="56">
        <f t="shared" si="71"/>
        <v>1.0302019867698571E-6</v>
      </c>
      <c r="Q127" s="56">
        <f t="shared" si="72"/>
        <v>1.1882155166498035E-6</v>
      </c>
      <c r="R127" s="9">
        <f>F127*$C$14</f>
        <v>3.9999999999999996E-5</v>
      </c>
      <c r="S127" s="9">
        <f t="shared" si="73"/>
        <v>2.882547779509943E-8</v>
      </c>
      <c r="T127" s="9">
        <f t="shared" si="74"/>
        <v>3.9945447253900796E-5</v>
      </c>
      <c r="U127" s="9">
        <f t="shared" si="75"/>
        <v>3.9971174522204896E-5</v>
      </c>
      <c r="V127" s="102">
        <f t="shared" si="76"/>
        <v>0.99935635445764015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2.1084810301724875E-3</v>
      </c>
      <c r="J130" s="54">
        <f t="shared" si="78"/>
        <v>0.32738996440137741</v>
      </c>
      <c r="K130" s="55">
        <f t="shared" si="79"/>
        <v>0.99317102613802</v>
      </c>
      <c r="L130" s="55">
        <f t="shared" si="80"/>
        <v>1.4782131745466902E-3</v>
      </c>
      <c r="M130" s="55">
        <f t="shared" si="81"/>
        <v>0.99852178682545334</v>
      </c>
      <c r="N130" s="55">
        <f t="shared" si="82"/>
        <v>1.2598544053426435E-4</v>
      </c>
      <c r="O130" s="56">
        <f t="shared" si="83"/>
        <v>9.9438133538804751E-7</v>
      </c>
      <c r="P130" s="56">
        <f t="shared" si="84"/>
        <v>2.1132113196698193E-6</v>
      </c>
      <c r="Q130" s="56">
        <f t="shared" si="85"/>
        <v>6.003506206792302E-6</v>
      </c>
      <c r="R130" s="9">
        <f>F130*$C$14</f>
        <v>3.9999999999999996E-5</v>
      </c>
      <c r="S130" s="9">
        <f t="shared" ref="S130:S131" si="86">$R130*L130</f>
        <v>5.9128526981867603E-8</v>
      </c>
      <c r="T130" s="9">
        <f t="shared" ref="T130:T131" si="87">R130*K130</f>
        <v>3.9726841045520797E-5</v>
      </c>
      <c r="U130" s="9">
        <f t="shared" ref="U130:U131" si="88">$R130*M130</f>
        <v>3.9940871473018132E-5</v>
      </c>
      <c r="V130" s="102">
        <f t="shared" ref="V130:V131" si="89">K130/M130</f>
        <v>0.9946413180382927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-5.830329626681688E-5</v>
      </c>
      <c r="J131" s="54">
        <f t="shared" si="78"/>
        <v>-1.6576123285215592E-2</v>
      </c>
      <c r="K131" s="55">
        <f t="shared" si="79"/>
        <v>0.99894302368063581</v>
      </c>
      <c r="L131" s="55">
        <f t="shared" si="80"/>
        <v>6.7342255445336291E-4</v>
      </c>
      <c r="M131" s="55">
        <f t="shared" si="81"/>
        <v>0.99932657744554665</v>
      </c>
      <c r="N131" s="55">
        <f t="shared" si="82"/>
        <v>1.1976503226142929E-5</v>
      </c>
      <c r="O131" s="56">
        <f t="shared" si="83"/>
        <v>1.0001603668672495E-6</v>
      </c>
      <c r="P131" s="56">
        <f t="shared" si="84"/>
        <v>9.6270564320211492E-7</v>
      </c>
      <c r="Q131" s="56">
        <f t="shared" si="85"/>
        <v>5.7070889420958239E-7</v>
      </c>
      <c r="R131" s="9">
        <f>F131*$C$14</f>
        <v>3.9999999999999996E-5</v>
      </c>
      <c r="S131" s="9">
        <f t="shared" si="86"/>
        <v>2.6936902178134513E-8</v>
      </c>
      <c r="T131" s="9">
        <f t="shared" si="87"/>
        <v>3.9957720947225432E-5</v>
      </c>
      <c r="U131" s="9">
        <f t="shared" si="88"/>
        <v>3.997306309782186E-5</v>
      </c>
      <c r="V131" s="102">
        <f t="shared" si="89"/>
        <v>0.99961618776727501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293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2024-10-28T22:49:15Z</dcterms:modified>
</cp:coreProperties>
</file>