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778BEEA9-C8B4-40F1-A1E0-1A7ABABA59A7}" xr6:coauthVersionLast="47" xr6:coauthVersionMax="47" xr10:uidLastSave="{00000000-0000-0000-0000-000000000000}"/>
  <bookViews>
    <workbookView minimized="1" xWindow="38955" yWindow="555" windowWidth="32400" windowHeight="1996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R127" i="4"/>
  <c r="T127" i="4" s="1"/>
  <c r="V126" i="4"/>
  <c r="R126" i="4"/>
  <c r="V124" i="4"/>
  <c r="U124" i="4"/>
  <c r="T124" i="4"/>
  <c r="S124" i="4"/>
  <c r="R124" i="4"/>
  <c r="V121" i="4"/>
  <c r="R121" i="4"/>
  <c r="U121" i="4" s="1"/>
  <c r="V120" i="4"/>
  <c r="U120" i="4"/>
  <c r="T120" i="4"/>
  <c r="S120" i="4"/>
  <c r="R120" i="4"/>
  <c r="V119" i="4"/>
  <c r="R119" i="4"/>
  <c r="U119" i="4" s="1"/>
  <c r="V116" i="4"/>
  <c r="R116" i="4"/>
  <c r="V115" i="4"/>
  <c r="U115" i="4"/>
  <c r="T115" i="4"/>
  <c r="R115" i="4"/>
  <c r="S115" i="4" s="1"/>
  <c r="V114" i="4"/>
  <c r="R114" i="4"/>
  <c r="T114" i="4" s="1"/>
  <c r="V108" i="4"/>
  <c r="U108" i="4"/>
  <c r="T108" i="4"/>
  <c r="R108" i="4"/>
  <c r="S108" i="4" s="1"/>
  <c r="V107" i="4"/>
  <c r="R107" i="4"/>
  <c r="U107" i="4" s="1"/>
  <c r="V93" i="4"/>
  <c r="R93" i="4"/>
  <c r="U93" i="4" s="1"/>
  <c r="V92" i="4"/>
  <c r="U92" i="4"/>
  <c r="R92" i="4"/>
  <c r="T92" i="4" s="1"/>
  <c r="V91" i="4"/>
  <c r="R91" i="4"/>
  <c r="V90" i="4"/>
  <c r="U90" i="4"/>
  <c r="T90" i="4"/>
  <c r="S90" i="4"/>
  <c r="R90" i="4"/>
  <c r="V89" i="4"/>
  <c r="R89" i="4"/>
  <c r="U89" i="4" s="1"/>
  <c r="V88" i="4"/>
  <c r="U88" i="4"/>
  <c r="T88" i="4"/>
  <c r="S88" i="4"/>
  <c r="R88" i="4"/>
  <c r="V86" i="4"/>
  <c r="R86" i="4"/>
  <c r="U86" i="4" s="1"/>
  <c r="V85" i="4"/>
  <c r="R85" i="4"/>
  <c r="V84" i="4"/>
  <c r="U84" i="4"/>
  <c r="T84" i="4"/>
  <c r="R84" i="4"/>
  <c r="S84" i="4" s="1"/>
  <c r="V83" i="4"/>
  <c r="R83" i="4"/>
  <c r="U83" i="4" s="1"/>
  <c r="V82" i="4"/>
  <c r="U82" i="4"/>
  <c r="T82" i="4"/>
  <c r="R82" i="4"/>
  <c r="S82" i="4" s="1"/>
  <c r="V81" i="4"/>
  <c r="R81" i="4"/>
  <c r="U81" i="4" s="1"/>
  <c r="V80" i="4"/>
  <c r="R80" i="4"/>
  <c r="U80" i="4" s="1"/>
  <c r="V79" i="4"/>
  <c r="U79" i="4"/>
  <c r="R79" i="4"/>
  <c r="T79" i="4" s="1"/>
  <c r="V78" i="4"/>
  <c r="R78" i="4"/>
  <c r="V77" i="4"/>
  <c r="U77" i="4"/>
  <c r="T77" i="4"/>
  <c r="S77" i="4"/>
  <c r="R77" i="4"/>
  <c r="V76" i="4"/>
  <c r="R76" i="4"/>
  <c r="S76" i="4" s="1"/>
  <c r="V75" i="4"/>
  <c r="U75" i="4"/>
  <c r="T75" i="4"/>
  <c r="S75" i="4"/>
  <c r="R75" i="4"/>
  <c r="V74" i="4"/>
  <c r="R74" i="4"/>
  <c r="U74" i="4" s="1"/>
  <c r="V73" i="4"/>
  <c r="R73" i="4"/>
  <c r="V72" i="4"/>
  <c r="U72" i="4"/>
  <c r="T72" i="4"/>
  <c r="R72" i="4"/>
  <c r="S72" i="4" s="1"/>
  <c r="V71" i="4"/>
  <c r="R71" i="4"/>
  <c r="T71" i="4" s="1"/>
  <c r="V70" i="4"/>
  <c r="U70" i="4"/>
  <c r="T70" i="4"/>
  <c r="R70" i="4"/>
  <c r="S70" i="4" s="1"/>
  <c r="V69" i="4"/>
  <c r="R69" i="4"/>
  <c r="U69" i="4" s="1"/>
  <c r="V68" i="4"/>
  <c r="R68" i="4"/>
  <c r="U68" i="4" s="1"/>
  <c r="V65" i="4"/>
  <c r="U65" i="4"/>
  <c r="R65" i="4"/>
  <c r="T65" i="4" s="1"/>
  <c r="V64" i="4"/>
  <c r="R64" i="4"/>
  <c r="V63" i="4"/>
  <c r="U63" i="4"/>
  <c r="T63" i="4"/>
  <c r="S63" i="4"/>
  <c r="R63" i="4"/>
  <c r="V62" i="4"/>
  <c r="R62" i="4"/>
  <c r="U62" i="4" s="1"/>
  <c r="V61" i="4"/>
  <c r="U61" i="4"/>
  <c r="T61" i="4"/>
  <c r="S61" i="4"/>
  <c r="R61" i="4"/>
  <c r="V60" i="4"/>
  <c r="R60" i="4"/>
  <c r="U60" i="4" s="1"/>
  <c r="V58" i="4"/>
  <c r="R58" i="4"/>
  <c r="V57" i="4"/>
  <c r="U57" i="4"/>
  <c r="T57" i="4"/>
  <c r="R57" i="4"/>
  <c r="S57" i="4" s="1"/>
  <c r="V49" i="4"/>
  <c r="R49" i="4"/>
  <c r="U49" i="4" s="1"/>
  <c r="V48" i="4"/>
  <c r="U48" i="4"/>
  <c r="T48" i="4"/>
  <c r="R48" i="4"/>
  <c r="S48" i="4" s="1"/>
  <c r="V47" i="4"/>
  <c r="R47" i="4"/>
  <c r="U47" i="4" s="1"/>
  <c r="V46" i="4"/>
  <c r="R46" i="4"/>
  <c r="U46" i="4" s="1"/>
  <c r="V45" i="4"/>
  <c r="U45" i="4"/>
  <c r="R45" i="4"/>
  <c r="T45" i="4" s="1"/>
  <c r="V44" i="4"/>
  <c r="R44" i="4"/>
  <c r="V43" i="4"/>
  <c r="U43" i="4"/>
  <c r="T43" i="4"/>
  <c r="S43" i="4"/>
  <c r="R43" i="4"/>
  <c r="V42" i="4"/>
  <c r="R42" i="4"/>
  <c r="S42" i="4" s="1"/>
  <c r="V41" i="4"/>
  <c r="U41" i="4"/>
  <c r="T41" i="4"/>
  <c r="S41" i="4"/>
  <c r="R41" i="4"/>
  <c r="V40" i="4"/>
  <c r="R40" i="4"/>
  <c r="U40" i="4" s="1"/>
  <c r="V39" i="4"/>
  <c r="R39" i="4"/>
  <c r="V38" i="4"/>
  <c r="U38" i="4"/>
  <c r="T38" i="4"/>
  <c r="R38" i="4"/>
  <c r="S38" i="4" s="1"/>
  <c r="V37" i="4"/>
  <c r="R37" i="4"/>
  <c r="U37" i="4" s="1"/>
  <c r="V36" i="4"/>
  <c r="U36" i="4"/>
  <c r="T36" i="4"/>
  <c r="R36" i="4"/>
  <c r="S36" i="4" s="1"/>
  <c r="V35" i="4"/>
  <c r="R35" i="4"/>
  <c r="U35" i="4" s="1"/>
  <c r="V34" i="4"/>
  <c r="T34" i="4"/>
  <c r="R34" i="4"/>
  <c r="U34" i="4" s="1"/>
  <c r="V33" i="4"/>
  <c r="U33" i="4"/>
  <c r="R33" i="4"/>
  <c r="T33" i="4" s="1"/>
  <c r="V32" i="4"/>
  <c r="R32" i="4"/>
  <c r="V31" i="4"/>
  <c r="U31" i="4"/>
  <c r="T31" i="4"/>
  <c r="S31" i="4"/>
  <c r="R31" i="4"/>
  <c r="V30" i="4"/>
  <c r="R30" i="4"/>
  <c r="T30" i="4" s="1"/>
  <c r="V29" i="4"/>
  <c r="U29" i="4"/>
  <c r="T29" i="4"/>
  <c r="S29" i="4"/>
  <c r="R29" i="4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/>
  <c r="I131" i="4"/>
  <c r="L131" i="4" s="1"/>
  <c r="M131" i="4" s="1"/>
  <c r="J131" i="4"/>
  <c r="K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39" i="4" l="1"/>
  <c r="U39" i="4"/>
  <c r="T46" i="4"/>
  <c r="U126" i="4"/>
  <c r="T126" i="4"/>
  <c r="S126" i="4"/>
  <c r="S39" i="4"/>
  <c r="S68" i="4"/>
  <c r="U58" i="4"/>
  <c r="T58" i="4"/>
  <c r="T68" i="4"/>
  <c r="U32" i="4"/>
  <c r="S32" i="4"/>
  <c r="T32" i="4"/>
  <c r="S58" i="4"/>
  <c r="S80" i="4"/>
  <c r="U73" i="4"/>
  <c r="T73" i="4"/>
  <c r="T80" i="4"/>
  <c r="T44" i="4"/>
  <c r="U44" i="4"/>
  <c r="S44" i="4"/>
  <c r="S73" i="4"/>
  <c r="S93" i="4"/>
  <c r="U130" i="4"/>
  <c r="T130" i="4"/>
  <c r="T85" i="4"/>
  <c r="U85" i="4"/>
  <c r="T93" i="4"/>
  <c r="S130" i="4"/>
  <c r="S64" i="4"/>
  <c r="U64" i="4"/>
  <c r="T64" i="4"/>
  <c r="S85" i="4"/>
  <c r="U116" i="4"/>
  <c r="T116" i="4"/>
  <c r="S116" i="4"/>
  <c r="S46" i="4"/>
  <c r="U91" i="4"/>
  <c r="T91" i="4"/>
  <c r="S91" i="4"/>
  <c r="S34" i="4"/>
  <c r="U78" i="4"/>
  <c r="T78" i="4"/>
  <c r="S78" i="4"/>
  <c r="S37" i="4"/>
  <c r="S49" i="4"/>
  <c r="S71" i="4"/>
  <c r="S83" i="4"/>
  <c r="S114" i="4"/>
  <c r="S30" i="4"/>
  <c r="T37" i="4"/>
  <c r="T49" i="4"/>
  <c r="S62" i="4"/>
  <c r="T83" i="4"/>
  <c r="S89" i="4"/>
  <c r="S121" i="4"/>
  <c r="S35" i="4"/>
  <c r="T42" i="4"/>
  <c r="S47" i="4"/>
  <c r="T62" i="4"/>
  <c r="S69" i="4"/>
  <c r="U71" i="4"/>
  <c r="T76" i="4"/>
  <c r="S81" i="4"/>
  <c r="T89" i="4"/>
  <c r="S107" i="4"/>
  <c r="U114" i="4"/>
  <c r="T121" i="4"/>
  <c r="S131" i="4"/>
  <c r="S28" i="4"/>
  <c r="U30" i="4"/>
  <c r="T35" i="4"/>
  <c r="S40" i="4"/>
  <c r="U42" i="4"/>
  <c r="T47" i="4"/>
  <c r="T69" i="4"/>
  <c r="S74" i="4"/>
  <c r="U76" i="4"/>
  <c r="T81" i="4"/>
  <c r="S86" i="4"/>
  <c r="T107" i="4"/>
  <c r="S119" i="4"/>
  <c r="T131" i="4"/>
  <c r="T28" i="4"/>
  <c r="S33" i="4"/>
  <c r="T40" i="4"/>
  <c r="S45" i="4"/>
  <c r="T60" i="4"/>
  <c r="S65" i="4"/>
  <c r="T74" i="4"/>
  <c r="S79" i="4"/>
  <c r="T86" i="4"/>
  <c r="S92" i="4"/>
  <c r="T119" i="4"/>
  <c r="S127" i="4"/>
  <c r="S60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0" i="4"/>
  <c r="M122" i="4"/>
  <c r="M123" i="4"/>
  <c r="M125" i="4"/>
  <c r="J16" i="4"/>
  <c r="J15" i="4"/>
  <c r="J87" i="4"/>
  <c r="K87" i="4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/>
  <c r="J88" i="4"/>
  <c r="K88" i="4" s="1"/>
  <c r="J119" i="4"/>
  <c r="K119" i="4" s="1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/>
  <c r="J113" i="4"/>
  <c r="K113" i="4"/>
  <c r="J97" i="4"/>
  <c r="K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 s="1"/>
  <c r="O114" i="4" s="1"/>
  <c r="P114" i="4" s="1"/>
  <c r="J78" i="4"/>
  <c r="K78" i="4" s="1"/>
  <c r="J115" i="4"/>
  <c r="K115" i="4"/>
  <c r="O115" i="4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J93" i="4"/>
  <c r="K93" i="4"/>
  <c r="J77" i="4"/>
  <c r="L77" i="4" s="1"/>
  <c r="J112" i="4"/>
  <c r="K112" i="4"/>
  <c r="J96" i="4"/>
  <c r="K96" i="4"/>
  <c r="J80" i="4"/>
  <c r="K80" i="4" s="1"/>
  <c r="J106" i="4"/>
  <c r="K106" i="4"/>
  <c r="J127" i="4"/>
  <c r="L127" i="4" s="1"/>
  <c r="M127" i="4" s="1"/>
  <c r="K127" i="4"/>
  <c r="O127" i="4" s="1"/>
  <c r="P127" i="4" s="1"/>
  <c r="J111" i="4"/>
  <c r="K111" i="4"/>
  <c r="J95" i="4"/>
  <c r="K95" i="4" s="1"/>
  <c r="J79" i="4"/>
  <c r="K79" i="4"/>
  <c r="J126" i="4"/>
  <c r="K126" i="4" s="1"/>
  <c r="O126" i="4" s="1"/>
  <c r="P126" i="4" s="1"/>
  <c r="J94" i="4"/>
  <c r="K94" i="4" s="1"/>
  <c r="J121" i="4"/>
  <c r="K121" i="4"/>
  <c r="J105" i="4"/>
  <c r="K105" i="4"/>
  <c r="J89" i="4"/>
  <c r="K89" i="4" s="1"/>
  <c r="J73" i="4"/>
  <c r="L73" i="4" s="1"/>
  <c r="J124" i="4"/>
  <c r="K124" i="4"/>
  <c r="J108" i="4"/>
  <c r="K108" i="4" s="1"/>
  <c r="O108" i="4" s="1"/>
  <c r="P108" i="4" s="1"/>
  <c r="J92" i="4"/>
  <c r="K92" i="4"/>
  <c r="J76" i="4"/>
  <c r="L76" i="4" s="1"/>
  <c r="K76" i="4"/>
  <c r="J98" i="4"/>
  <c r="K98" i="4"/>
  <c r="J123" i="4"/>
  <c r="K123" i="4"/>
  <c r="J107" i="4"/>
  <c r="K107" i="4"/>
  <c r="J91" i="4"/>
  <c r="K91" i="4" s="1"/>
  <c r="O91" i="4" s="1"/>
  <c r="P91" i="4" s="1"/>
  <c r="J75" i="4"/>
  <c r="K75" i="4"/>
  <c r="O75" i="4" s="1"/>
  <c r="P75" i="4" s="1"/>
  <c r="P100" i="4"/>
  <c r="P115" i="4"/>
  <c r="O107" i="4"/>
  <c r="P107" i="4"/>
  <c r="O112" i="4"/>
  <c r="P112" i="4"/>
  <c r="O98" i="4"/>
  <c r="P98" i="4"/>
  <c r="O105" i="4"/>
  <c r="P105" i="4"/>
  <c r="O111" i="4"/>
  <c r="P111" i="4"/>
  <c r="O104" i="4"/>
  <c r="P104" i="4"/>
  <c r="O124" i="4"/>
  <c r="P124" i="4"/>
  <c r="O121" i="4"/>
  <c r="P121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3" i="4"/>
  <c r="P113" i="4"/>
  <c r="O103" i="4"/>
  <c r="P103" i="4"/>
  <c r="O122" i="4"/>
  <c r="P122" i="4"/>
  <c r="O123" i="4"/>
  <c r="P123" i="4"/>
  <c r="O125" i="4"/>
  <c r="P125" i="4"/>
  <c r="O99" i="4"/>
  <c r="P99" i="4"/>
  <c r="O101" i="4"/>
  <c r="P101" i="4"/>
  <c r="O87" i="4"/>
  <c r="P87" i="4" s="1"/>
  <c r="I76" i="4"/>
  <c r="N76" i="4" s="1"/>
  <c r="Q76" i="4" s="1"/>
  <c r="I77" i="4"/>
  <c r="I81" i="4"/>
  <c r="L81" i="4" s="1"/>
  <c r="I89" i="4"/>
  <c r="I90" i="4"/>
  <c r="L90" i="4" s="1"/>
  <c r="I96" i="4"/>
  <c r="I99" i="4"/>
  <c r="I102" i="4"/>
  <c r="I104" i="4"/>
  <c r="I108" i="4"/>
  <c r="L108" i="4" s="1"/>
  <c r="M108" i="4" s="1"/>
  <c r="I111" i="4"/>
  <c r="I113" i="4"/>
  <c r="I115" i="4"/>
  <c r="I119" i="4"/>
  <c r="N119" i="4" s="1"/>
  <c r="Q119" i="4" s="1"/>
  <c r="I120" i="4"/>
  <c r="I123" i="4"/>
  <c r="I125" i="4"/>
  <c r="I79" i="4"/>
  <c r="I92" i="4"/>
  <c r="L92" i="4" s="1"/>
  <c r="I100" i="4"/>
  <c r="I103" i="4"/>
  <c r="I107" i="4"/>
  <c r="N107" i="4" s="1"/>
  <c r="Q107" i="4" s="1"/>
  <c r="I109" i="4"/>
  <c r="I110" i="4"/>
  <c r="I117" i="4"/>
  <c r="I124" i="4"/>
  <c r="N124" i="4" s="1"/>
  <c r="Q124" i="4" s="1"/>
  <c r="I72" i="4"/>
  <c r="L72" i="4" s="1"/>
  <c r="I106" i="4"/>
  <c r="I71" i="4"/>
  <c r="I75" i="4"/>
  <c r="I80" i="4"/>
  <c r="N80" i="4" s="1"/>
  <c r="Q80" i="4" s="1"/>
  <c r="I83" i="4"/>
  <c r="I86" i="4"/>
  <c r="L86" i="4" s="1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L74" i="4" s="1"/>
  <c r="I78" i="4"/>
  <c r="L78" i="4" s="1"/>
  <c r="I82" i="4"/>
  <c r="L82" i="4" s="1"/>
  <c r="I85" i="4"/>
  <c r="L85" i="4" s="1"/>
  <c r="I93" i="4"/>
  <c r="N93" i="4" s="1"/>
  <c r="Q93" i="4" s="1"/>
  <c r="I112" i="4"/>
  <c r="I114" i="4"/>
  <c r="I121" i="4"/>
  <c r="L121" i="4" s="1"/>
  <c r="M121" i="4" s="1"/>
  <c r="I122" i="4"/>
  <c r="I84" i="4"/>
  <c r="L84" i="4" s="1"/>
  <c r="I87" i="4"/>
  <c r="I91" i="4"/>
  <c r="L91" i="4" s="1"/>
  <c r="M91" i="4" s="1"/>
  <c r="I97" i="4"/>
  <c r="I105" i="4"/>
  <c r="I116" i="4"/>
  <c r="N116" i="4" s="1"/>
  <c r="Q116" i="4" s="1"/>
  <c r="I126" i="4"/>
  <c r="N126" i="4" s="1"/>
  <c r="Q126" i="4" s="1"/>
  <c r="L105" i="4"/>
  <c r="N105" i="4"/>
  <c r="Q105" i="4"/>
  <c r="N121" i="4"/>
  <c r="Q121" i="4"/>
  <c r="N101" i="4"/>
  <c r="Q101" i="4"/>
  <c r="L101" i="4"/>
  <c r="N75" i="4"/>
  <c r="Q75" i="4"/>
  <c r="L75" i="4"/>
  <c r="L106" i="4"/>
  <c r="N106" i="4"/>
  <c r="Q106" i="4"/>
  <c r="L124" i="4"/>
  <c r="M124" i="4" s="1"/>
  <c r="N79" i="4"/>
  <c r="Q79" i="4"/>
  <c r="L79" i="4"/>
  <c r="L96" i="4"/>
  <c r="N96" i="4"/>
  <c r="Q96" i="4" s="1"/>
  <c r="N77" i="4"/>
  <c r="Q77" i="4"/>
  <c r="L97" i="4"/>
  <c r="N97" i="4"/>
  <c r="Q97" i="4" s="1"/>
  <c r="N114" i="4"/>
  <c r="Q114" i="4"/>
  <c r="L114" i="4"/>
  <c r="M114" i="4" s="1"/>
  <c r="N98" i="4"/>
  <c r="Q98" i="4"/>
  <c r="L98" i="4"/>
  <c r="N71" i="4"/>
  <c r="Q71" i="4"/>
  <c r="L71" i="4"/>
  <c r="M71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126" i="4"/>
  <c r="M126" i="4" s="1"/>
  <c r="N91" i="4"/>
  <c r="Q91" i="4"/>
  <c r="L112" i="4"/>
  <c r="N112" i="4"/>
  <c r="Q112" i="4"/>
  <c r="N127" i="4"/>
  <c r="Q127" i="4"/>
  <c r="N95" i="4"/>
  <c r="Q95" i="4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116" i="4"/>
  <c r="M116" i="4" s="1"/>
  <c r="N87" i="4"/>
  <c r="Q87" i="4" s="1"/>
  <c r="L87" i="4"/>
  <c r="N122" i="4"/>
  <c r="Q122" i="4"/>
  <c r="L122" i="4"/>
  <c r="N74" i="4"/>
  <c r="Q74" i="4" s="1"/>
  <c r="N118" i="4"/>
  <c r="Q118" i="4"/>
  <c r="L118" i="4"/>
  <c r="L94" i="4"/>
  <c r="N94" i="4"/>
  <c r="Q94" i="4" s="1"/>
  <c r="L80" i="4"/>
  <c r="N109" i="4"/>
  <c r="Q109" i="4"/>
  <c r="L109" i="4"/>
  <c r="N120" i="4"/>
  <c r="Q120" i="4"/>
  <c r="L120" i="4"/>
  <c r="N111" i="4"/>
  <c r="Q111" i="4"/>
  <c r="L111" i="4"/>
  <c r="N99" i="4"/>
  <c r="Q99" i="4"/>
  <c r="L99" i="4"/>
  <c r="M77" i="4" l="1"/>
  <c r="M73" i="4"/>
  <c r="M78" i="4"/>
  <c r="M92" i="4"/>
  <c r="M74" i="4"/>
  <c r="O74" i="4"/>
  <c r="P74" i="4" s="1"/>
  <c r="M90" i="4"/>
  <c r="M81" i="4"/>
  <c r="O83" i="4"/>
  <c r="P83" i="4" s="1"/>
  <c r="M80" i="4"/>
  <c r="M87" i="4"/>
  <c r="M97" i="4"/>
  <c r="M75" i="4"/>
  <c r="O93" i="4"/>
  <c r="P93" i="4" s="1"/>
  <c r="O88" i="4"/>
  <c r="P88" i="4" s="1"/>
  <c r="M94" i="4"/>
  <c r="M86" i="4"/>
  <c r="L83" i="4"/>
  <c r="N108" i="4"/>
  <c r="Q108" i="4" s="1"/>
  <c r="M84" i="4"/>
  <c r="M72" i="4"/>
  <c r="O85" i="4"/>
  <c r="P85" i="4" s="1"/>
  <c r="O82" i="4"/>
  <c r="P82" i="4" s="1"/>
  <c r="L119" i="4"/>
  <c r="M119" i="4" s="1"/>
  <c r="O79" i="4"/>
  <c r="P79" i="4" s="1"/>
  <c r="O84" i="4"/>
  <c r="P84" i="4" s="1"/>
  <c r="O72" i="4"/>
  <c r="P72" i="4" s="1"/>
  <c r="N84" i="4"/>
  <c r="Q84" i="4" s="1"/>
  <c r="N83" i="4"/>
  <c r="Q83" i="4" s="1"/>
  <c r="K73" i="4"/>
  <c r="O95" i="4"/>
  <c r="P95" i="4" s="1"/>
  <c r="K77" i="4"/>
  <c r="M95" i="4"/>
  <c r="O89" i="4"/>
  <c r="P89" i="4" s="1"/>
  <c r="M85" i="4"/>
  <c r="O90" i="4"/>
  <c r="P90" i="4" s="1"/>
  <c r="M79" i="4"/>
  <c r="L107" i="4"/>
  <c r="M107" i="4" s="1"/>
  <c r="M82" i="4"/>
  <c r="O76" i="4"/>
  <c r="P76" i="4" s="1"/>
  <c r="O81" i="4"/>
  <c r="P81" i="4" s="1"/>
  <c r="N86" i="4"/>
  <c r="Q86" i="4" s="1"/>
  <c r="M76" i="4"/>
  <c r="O97" i="4"/>
  <c r="P97" i="4" s="1"/>
  <c r="O86" i="4"/>
  <c r="P86" i="4" s="1"/>
  <c r="L89" i="4"/>
  <c r="M96" i="4"/>
  <c r="O92" i="4"/>
  <c r="P92" i="4" s="1"/>
  <c r="N81" i="4"/>
  <c r="Q81" i="4" s="1"/>
  <c r="N92" i="4"/>
  <c r="Q92" i="4" s="1"/>
  <c r="N78" i="4"/>
  <c r="Q78" i="4" s="1"/>
  <c r="O94" i="4"/>
  <c r="P94" i="4" s="1"/>
  <c r="O80" i="4"/>
  <c r="P80" i="4" s="1"/>
  <c r="O78" i="4"/>
  <c r="P78" i="4" s="1"/>
  <c r="O96" i="4"/>
  <c r="P96" i="4" s="1"/>
  <c r="N85" i="4"/>
  <c r="Q85" i="4" s="1"/>
  <c r="L93" i="4"/>
  <c r="L88" i="4"/>
  <c r="N82" i="4"/>
  <c r="Q82" i="4" s="1"/>
  <c r="J14" i="4"/>
  <c r="J13" i="4" s="1"/>
  <c r="K16" i="4" s="1"/>
  <c r="M83" i="4" l="1"/>
  <c r="O73" i="4"/>
  <c r="P73" i="4" s="1"/>
  <c r="M93" i="4"/>
  <c r="M89" i="4"/>
  <c r="O77" i="4"/>
  <c r="P77" i="4" s="1"/>
  <c r="M88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M69" i="4"/>
  <c r="O64" i="4"/>
  <c r="P64" i="4" s="1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M48" i="4"/>
  <c r="O49" i="4"/>
  <c r="P49" i="4" s="1"/>
  <c r="M49" i="4"/>
  <c r="L47" i="4"/>
  <c r="O45" i="4"/>
  <c r="P45" i="4" s="1"/>
  <c r="M45" i="4"/>
  <c r="O47" i="4"/>
  <c r="P47" i="4" s="1"/>
  <c r="O31" i="4"/>
  <c r="P31" i="4" s="1"/>
  <c r="O35" i="4"/>
  <c r="P35" i="4" s="1"/>
  <c r="O28" i="4"/>
  <c r="P28" i="4" s="1"/>
  <c r="O46" i="4"/>
  <c r="P46" i="4" s="1"/>
  <c r="M44" i="4"/>
  <c r="M31" i="4"/>
  <c r="O33" i="4"/>
  <c r="P33" i="4" s="1"/>
  <c r="O43" i="4"/>
  <c r="P43" i="4" s="1"/>
  <c r="O41" i="4"/>
  <c r="P41" i="4" s="1"/>
  <c r="O30" i="4"/>
  <c r="P30" i="4" s="1"/>
  <c r="M43" i="4"/>
  <c r="O39" i="4"/>
  <c r="P39" i="4" s="1"/>
  <c r="M39" i="4"/>
  <c r="L3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46" i="4" l="1"/>
  <c r="O36" i="4"/>
  <c r="P36" i="4" s="1"/>
  <c r="O29" i="4"/>
  <c r="P29" i="4" s="1"/>
  <c r="O38" i="4"/>
  <c r="P38" i="4" s="1"/>
  <c r="O40" i="4"/>
  <c r="P40" i="4" s="1"/>
  <c r="M33" i="4"/>
  <c r="O42" i="4"/>
  <c r="P42" i="4" s="1"/>
  <c r="O44" i="4"/>
  <c r="P44" i="4" s="1"/>
  <c r="M35" i="4"/>
  <c r="O32" i="4"/>
  <c r="P32" i="4" s="1"/>
  <c r="O34" i="4"/>
  <c r="P34" i="4" s="1"/>
  <c r="M41" i="4"/>
  <c r="O37" i="4"/>
  <c r="P37" i="4" s="1"/>
  <c r="M47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<sst xmlns="http://schemas.openxmlformats.org/spreadsheetml/2006/main" count="318" uniqueCount="294">
  <si>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</si>
  <si>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</si>
  <si>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</si>
  <si>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</si>
  <si>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</si>
  <si>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</si>
  <si>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</si>
  <si>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</si>
  <si>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</si>
  <si>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</si>
  <si>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</si>
  <si>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</si>
  <si>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</si>
  <si>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</si>
  <si>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</si>
  <si>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</si>
  <si>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</si>
  <si>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</si>
  <si>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</si>
  <si>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</si>
  <si>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</si>
  <si>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</si>
  <si>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</si>
  <si>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</si>
  <si>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</si>
  <si>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</si>
  <si>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</si>
  <si>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</si>
  <si>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</si>
  <si>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</si>
  <si>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</si>
  <si>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</si>
  <si>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</si>
  <si>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</si>
  <si>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</si>
  <si>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</si>
  <si>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</si>
  <si>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</si>
  <si>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</si>
  <si>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</si>
  <si>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</si>
  <si>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</si>
  <si>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</si>
  <si>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</si>
  <si>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</si>
  <si>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</si>
  <si>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</si>
  <si>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</si>
  <si>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</si>
  <si>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</si>
  <si>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</si>
  <si>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</si>
  <si>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</si>
  <si>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</si>
  <si>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</si>
  <si>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</si>
  <si>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</si>
  <si>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</si>
  <si>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</si>
  <si>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</si>
  <si>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</si>
  <si>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</si>
  <si>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</si>
  <si>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</si>
  <si>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</si>
  <si>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</si>
  <si>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</si>
  <si>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</si>
  <si>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</si>
  <si>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</si>
  <si>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</si>
  <si>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</si>
  <si>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</si>
  <si>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</si>
  <si>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</si>
  <si>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</si>
  <si>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</si>
  <si>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</si>
  <si>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</si>
  <si>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</si>
  <si>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</si>
  <si>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</si>
  <si>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</si>
  <si>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</si>
  <si>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</si>
  <si>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</si>
  <si>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</si>
  <si>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</si>
  <si>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</si>
  <si>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</si>
  <si>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</si>
  <si>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</si>
  <si>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</si>
  <si>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</si>
  <si>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</si>
  <si>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</si>
  <si>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</si>
  <si>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</si>
  <si>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</si>
  <si>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</si>
  <si>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</si>
  <si>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</si>
  <si>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</si>
  <si>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</si>
  <si>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</si>
  <si>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</si>
  <si>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</si>
  <si>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</si>
  <si>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</si>
  <si>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</si>
  <si>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</si>
  <si>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Rtgill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</si>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</sst>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4.6725E-4</v>
      </c>
      <c r="M17" s="81">
        <v>3.15E-5</v>
      </c>
      <c r="N17" s="81">
        <v>2.6250000000000001E-5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70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40.002940000000002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39.981896600000006</v>
      </c>
      <c r="K8" s="39">
        <f>J8/J7</f>
        <v>0.99947395366440572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1.9376399999999998E-2</v>
      </c>
      <c r="K9" s="39">
        <f>J9/J7</f>
        <v>4.8437439848171153E-4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1.6670000000000001E-3</v>
      </c>
      <c r="K10" s="39">
        <f>J10/J7</f>
        <v>4.1671937112622223E-5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39.979280000000003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1.9199999999999998E-2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1.5200000000000001E-3</v>
      </c>
      <c r="K16" s="39">
        <f>J16/J13</f>
        <v>3.8000000000000002E-5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2.9400000000000003E-3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2.6166000000000002E-3</v>
      </c>
      <c r="K20" s="39">
        <f>J20/J19</f>
        <v>0.8899999999999999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1.7639999999999998E-4</v>
      </c>
      <c r="K21" s="39">
        <f>J21/J19</f>
        <v>5.9999999999999984E-2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1.47E-4</v>
      </c>
      <c r="K22" s="39">
        <f>J22/J19</f>
        <v>4.9999999999999996E-2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0.8765462885705384</v>
      </c>
      <c r="K28" s="95">
        <f t="shared" ref="K28:K47" si="3">IF(D28=0,"",1/(1+10^D28*$J$15/$J$14+10^E28*$J$16/$J$14+10^J28*$J$19/$J$14))</f>
        <v>0.97586258233973877</v>
      </c>
      <c r="L28" s="95">
        <f t="shared" ref="L28:L47" si="4">IF(D28=0,"",1/(1+10^I28/10^J28*$J$13/$J$19))</f>
        <v>5.4006659635849217E-4</v>
      </c>
      <c r="M28" s="95">
        <f t="shared" ref="M28:M47" si="5">IF(D28=0,"",1-L28)</f>
        <v>0.99945993340364148</v>
      </c>
      <c r="N28" s="95">
        <f t="shared" ref="N28:N47" si="6">IF(D28=0,"",1/(1/10^E28*$J$20/$J$22+10^D28/10^E28*$J$21/$J$22+10^I28/10^E28*$J$13/$J$22+1))</f>
        <v>2.8662629660020176E-4</v>
      </c>
      <c r="O28" s="40">
        <f t="shared" ref="O28:O47" si="7">IF(D28=0,"",F28*K28*$J$7/$J$14)</f>
        <v>9.7644010421352333E-7</v>
      </c>
      <c r="P28" s="40">
        <f t="shared" ref="P28:P47" si="8">IF(D28=0,"",O28*10^J28)</f>
        <v>7.3483849150112192E-6</v>
      </c>
      <c r="Q28" s="40">
        <f t="shared" ref="Q28:Q47" si="9">IF(D28=0,"",F28*N28*$J$7/$J$22)</f>
        <v>7.7999282621225003E-5</v>
      </c>
      <c r="R28" s="9">
        <f>F28*$C$14</f>
        <v>3.9999999999999996E-5</v>
      </c>
      <c r="S28" s="9">
        <f>$R28*L28</f>
        <v>2.1602663854339685E-8</v>
      </c>
      <c r="T28" s="9">
        <f>R28*K28</f>
        <v>3.903450329358955E-5</v>
      </c>
      <c r="U28" s="9">
        <f>$R28*M28</f>
        <v>3.9978397336145657E-5</v>
      </c>
      <c r="V28" s="102">
        <f>K28/M28</f>
        <v>0.97638989790862107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4.5743714574945749</v>
      </c>
      <c r="K29" s="95">
        <f t="shared" si="3"/>
        <v>1.7823118015127971E-2</v>
      </c>
      <c r="L29" s="95">
        <f t="shared" si="4"/>
        <v>4.9188944346083209E-2</v>
      </c>
      <c r="M29" s="95">
        <f t="shared" si="5"/>
        <v>0.95081105565391677</v>
      </c>
      <c r="N29" s="95">
        <f t="shared" si="6"/>
        <v>4.487950405029064E-2</v>
      </c>
      <c r="O29" s="40">
        <f t="shared" si="7"/>
        <v>1.7833665853214046E-8</v>
      </c>
      <c r="P29" s="40">
        <f t="shared" si="8"/>
        <v>6.6928652698629472E-4</v>
      </c>
      <c r="Q29" s="40">
        <f t="shared" si="9"/>
        <v>1.2213007535738325E-2</v>
      </c>
      <c r="R29" s="9">
        <f>F29*$C$14</f>
        <v>3.9999999999999996E-5</v>
      </c>
      <c r="S29" s="9">
        <f t="shared" ref="S29:S49" si="10">$R29*L29</f>
        <v>1.9675577738433281E-6</v>
      </c>
      <c r="T29" s="9">
        <f t="shared" ref="T29:T50" si="11">R29*K29</f>
        <v>7.1292472060511873E-7</v>
      </c>
      <c r="U29" s="9">
        <f t="shared" ref="U29:U50" si="12">$R29*M29</f>
        <v>3.8032442226156665E-5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8.0025110320676838</v>
      </c>
      <c r="K30" s="95">
        <f t="shared" si="3"/>
        <v>1.112113924891748E-5</v>
      </c>
      <c r="L30" s="95">
        <f t="shared" si="4"/>
        <v>8.2256963317501028E-2</v>
      </c>
      <c r="M30" s="95">
        <f t="shared" si="5"/>
        <v>0.91774303668249901</v>
      </c>
      <c r="N30" s="95">
        <f t="shared" si="6"/>
        <v>8.1574917807271691E-2</v>
      </c>
      <c r="O30" s="40">
        <f t="shared" si="7"/>
        <v>1.112772081203291E-11</v>
      </c>
      <c r="P30" s="40">
        <f t="shared" si="8"/>
        <v>1.119224615024558E-3</v>
      </c>
      <c r="Q30" s="40">
        <f t="shared" si="9"/>
        <v>2.2198888044552525E-2</v>
      </c>
      <c r="R30" s="9">
        <f t="shared" ref="R30:R49" si="14">F30*$C$14</f>
        <v>3.9999999999999996E-5</v>
      </c>
      <c r="S30" s="9">
        <f t="shared" si="10"/>
        <v>3.2902785327000407E-6</v>
      </c>
      <c r="T30" s="9">
        <f t="shared" si="11"/>
        <v>4.4484556995669915E-10</v>
      </c>
      <c r="U30" s="9">
        <f t="shared" si="12"/>
        <v>3.6709721467299955E-5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3.0509801020444232</v>
      </c>
      <c r="K31" s="95">
        <f t="shared" si="3"/>
        <v>0.34332250699850853</v>
      </c>
      <c r="L31" s="95">
        <f t="shared" si="4"/>
        <v>2.8391918462607389E-2</v>
      </c>
      <c r="M31" s="95">
        <f t="shared" si="5"/>
        <v>0.97160808153739264</v>
      </c>
      <c r="N31" s="95">
        <f t="shared" si="6"/>
        <v>2.4969143276501595E-2</v>
      </c>
      <c r="O31" s="40">
        <f t="shared" si="7"/>
        <v>3.4352568750890245E-7</v>
      </c>
      <c r="P31" s="40">
        <f t="shared" si="8"/>
        <v>3.8631299685189642E-4</v>
      </c>
      <c r="Q31" s="40">
        <f t="shared" si="9"/>
        <v>6.7948240839543995E-3</v>
      </c>
      <c r="R31" s="9">
        <f t="shared" si="14"/>
        <v>3.9999999999999996E-5</v>
      </c>
      <c r="S31" s="9">
        <f t="shared" si="10"/>
        <v>1.1356767385042953E-6</v>
      </c>
      <c r="T31" s="9">
        <f t="shared" si="11"/>
        <v>1.3732900279940341E-5</v>
      </c>
      <c r="U31" s="9">
        <f t="shared" si="12"/>
        <v>3.8864323261495703E-5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2.9114243406645763</v>
      </c>
      <c r="J32" s="94">
        <f t="shared" si="2"/>
        <v>5.7767955088211638</v>
      </c>
      <c r="K32" s="95">
        <f t="shared" si="3"/>
        <v>1.1629141766720465E-3</v>
      </c>
      <c r="L32" s="95">
        <f t="shared" si="4"/>
        <v>5.1151165721086363E-2</v>
      </c>
      <c r="M32" s="95">
        <f t="shared" si="5"/>
        <v>0.94884883427891364</v>
      </c>
      <c r="N32" s="95">
        <f t="shared" si="6"/>
        <v>4.6899696374243537E-2</v>
      </c>
      <c r="O32" s="40">
        <f t="shared" si="7"/>
        <v>1.1636023969056289E-9</v>
      </c>
      <c r="P32" s="40">
        <f t="shared" si="8"/>
        <v>6.959853786634954E-4</v>
      </c>
      <c r="Q32" s="40">
        <f t="shared" si="9"/>
        <v>1.2762760136578788E-2</v>
      </c>
      <c r="R32" s="9">
        <f t="shared" si="14"/>
        <v>3.9999999999999996E-5</v>
      </c>
      <c r="S32" s="9">
        <f t="shared" si="10"/>
        <v>2.0460466288434544E-6</v>
      </c>
      <c r="T32" s="9">
        <f t="shared" si="11"/>
        <v>4.6516567066881857E-8</v>
      </c>
      <c r="U32" s="9">
        <f t="shared" si="12"/>
        <v>3.7953953371156543E-5</v>
      </c>
      <c r="V32" s="102">
        <f t="shared" si="13"/>
        <v>1.2256053173694561E-3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5.2786655449069535</v>
      </c>
      <c r="K33" s="95">
        <f t="shared" si="3"/>
        <v>3.2624108679907187E-3</v>
      </c>
      <c r="L33" s="95">
        <f t="shared" si="4"/>
        <v>4.5573938507795328E-2</v>
      </c>
      <c r="M33" s="95">
        <f t="shared" si="5"/>
        <v>0.95442606149220466</v>
      </c>
      <c r="N33" s="95">
        <f t="shared" si="6"/>
        <v>4.0701556846933107E-2</v>
      </c>
      <c r="O33" s="40">
        <f t="shared" si="7"/>
        <v>3.2643415841300949E-9</v>
      </c>
      <c r="P33" s="40">
        <f t="shared" si="8"/>
        <v>6.2009915907858064E-4</v>
      </c>
      <c r="Q33" s="40">
        <f t="shared" si="9"/>
        <v>1.107606759492826E-2</v>
      </c>
      <c r="R33" s="9">
        <f t="shared" si="14"/>
        <v>3.9999999999999996E-5</v>
      </c>
      <c r="S33" s="9">
        <f t="shared" si="10"/>
        <v>1.822957540311813E-6</v>
      </c>
      <c r="T33" s="9">
        <f t="shared" si="11"/>
        <v>1.3049643471962873E-7</v>
      </c>
      <c r="U33" s="9">
        <f t="shared" si="12"/>
        <v>3.8177042459688181E-5</v>
      </c>
      <c r="V33" s="102">
        <f t="shared" si="13"/>
        <v>3.4181913084918047E-3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5.3078721995446587</v>
      </c>
      <c r="K34" s="95">
        <f t="shared" si="3"/>
        <v>3.2997070797396314E-3</v>
      </c>
      <c r="L34" s="95">
        <f t="shared" si="4"/>
        <v>4.930147924013277E-2</v>
      </c>
      <c r="M34" s="95">
        <f t="shared" si="5"/>
        <v>0.95069852075986727</v>
      </c>
      <c r="N34" s="95">
        <f t="shared" si="6"/>
        <v>4.4858604063248007E-2</v>
      </c>
      <c r="O34" s="40">
        <f t="shared" si="7"/>
        <v>3.3016598680216272E-9</v>
      </c>
      <c r="P34" s="40">
        <f t="shared" si="8"/>
        <v>6.7081772651506001E-4</v>
      </c>
      <c r="Q34" s="40">
        <f t="shared" si="9"/>
        <v>1.2207320046434465E-2</v>
      </c>
      <c r="R34" s="9">
        <f t="shared" si="14"/>
        <v>3.9999999999999996E-5</v>
      </c>
      <c r="S34" s="9">
        <f t="shared" si="10"/>
        <v>1.9720591696053106E-6</v>
      </c>
      <c r="T34" s="9">
        <f t="shared" si="11"/>
        <v>1.3198828318958524E-7</v>
      </c>
      <c r="U34" s="9">
        <f t="shared" si="12"/>
        <v>3.8027940830394684E-5</v>
      </c>
      <c r="V34" s="102">
        <f t="shared" si="13"/>
        <v>3.4708238286752209E-3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2.0837828896743456</v>
      </c>
      <c r="K35" s="95">
        <f t="shared" si="3"/>
        <v>0.75282090371217614</v>
      </c>
      <c r="L35" s="95">
        <f t="shared" si="4"/>
        <v>6.714086332793281E-3</v>
      </c>
      <c r="M35" s="95">
        <f t="shared" si="5"/>
        <v>0.99328591366720675</v>
      </c>
      <c r="N35" s="95">
        <f t="shared" si="6"/>
        <v>4.9232516595366718E-3</v>
      </c>
      <c r="O35" s="40">
        <f t="shared" si="7"/>
        <v>7.5326642805833318E-7</v>
      </c>
      <c r="P35" s="40">
        <f t="shared" si="8"/>
        <v>9.1354827457669962E-5</v>
      </c>
      <c r="Q35" s="40">
        <f t="shared" si="9"/>
        <v>1.3397587805533736E-3</v>
      </c>
      <c r="R35" s="9">
        <f t="shared" si="14"/>
        <v>3.9999999999999996E-5</v>
      </c>
      <c r="S35" s="9">
        <f t="shared" si="10"/>
        <v>2.685634533117312E-7</v>
      </c>
      <c r="T35" s="9">
        <f t="shared" si="11"/>
        <v>3.0112836148487043E-5</v>
      </c>
      <c r="U35" s="9">
        <f t="shared" si="12"/>
        <v>3.9731436546688267E-5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8.4483031900032319</v>
      </c>
      <c r="K36" s="95">
        <f t="shared" si="3"/>
        <v>4.004671867805622E-6</v>
      </c>
      <c r="L36" s="95">
        <f t="shared" si="4"/>
        <v>8.2676577250406544E-2</v>
      </c>
      <c r="M36" s="95">
        <f t="shared" si="5"/>
        <v>0.91732342274959344</v>
      </c>
      <c r="N36" s="95">
        <f t="shared" si="6"/>
        <v>8.2042767773166811E-2</v>
      </c>
      <c r="O36" s="40">
        <f t="shared" si="7"/>
        <v>4.0070418588708005E-12</v>
      </c>
      <c r="P36" s="40">
        <f t="shared" si="8"/>
        <v>1.124934067739246E-3</v>
      </c>
      <c r="Q36" s="40">
        <f t="shared" si="9"/>
        <v>2.2326203514720585E-2</v>
      </c>
      <c r="R36" s="9">
        <f t="shared" si="14"/>
        <v>3.9999999999999996E-5</v>
      </c>
      <c r="S36" s="9">
        <f t="shared" si="10"/>
        <v>3.3070630900162616E-6</v>
      </c>
      <c r="T36" s="9">
        <f t="shared" si="11"/>
        <v>1.6018687471222488E-10</v>
      </c>
      <c r="U36" s="9">
        <f t="shared" si="12"/>
        <v>3.6692936909983732E-5</v>
      </c>
      <c r="V36" s="102">
        <f t="shared" si="13"/>
        <v>4.3656051600666457E-6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3.8585870053842997</v>
      </c>
      <c r="K37" s="95">
        <f t="shared" si="3"/>
        <v>7.9549616615921442E-2</v>
      </c>
      <c r="L37" s="95">
        <f t="shared" si="4"/>
        <v>4.224131778374892E-2</v>
      </c>
      <c r="M37" s="95">
        <f t="shared" si="5"/>
        <v>0.95775868221625104</v>
      </c>
      <c r="N37" s="95">
        <f t="shared" si="6"/>
        <v>3.7754216086675743E-2</v>
      </c>
      <c r="O37" s="40">
        <f t="shared" si="7"/>
        <v>7.9596694600545787E-8</v>
      </c>
      <c r="P37" s="40">
        <f t="shared" si="8"/>
        <v>5.747540478994018E-4</v>
      </c>
      <c r="Q37" s="40">
        <f t="shared" si="9"/>
        <v>1.027401116232874E-2</v>
      </c>
      <c r="R37" s="9">
        <f t="shared" si="14"/>
        <v>3.9999999999999996E-5</v>
      </c>
      <c r="S37" s="9">
        <f t="shared" si="10"/>
        <v>1.6896527113499567E-6</v>
      </c>
      <c r="T37" s="9">
        <f t="shared" si="11"/>
        <v>3.1819846646368574E-6</v>
      </c>
      <c r="U37" s="9">
        <f t="shared" si="12"/>
        <v>3.8310347288650038E-5</v>
      </c>
      <c r="V37" s="102">
        <f t="shared" si="13"/>
        <v>8.3058100221909598E-2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2.3639081225718588</v>
      </c>
      <c r="K38" s="95">
        <f t="shared" si="3"/>
        <v>0.6731139154386363</v>
      </c>
      <c r="L38" s="95">
        <f t="shared" si="4"/>
        <v>1.1442187322155807E-2</v>
      </c>
      <c r="M38" s="95">
        <f t="shared" si="5"/>
        <v>0.98855781267784415</v>
      </c>
      <c r="N38" s="95">
        <f t="shared" si="6"/>
        <v>9.3922562974877704E-3</v>
      </c>
      <c r="O38" s="40">
        <f t="shared" si="7"/>
        <v>6.7351226866659028E-7</v>
      </c>
      <c r="P38" s="40">
        <f t="shared" si="8"/>
        <v>1.5568746017583648E-4</v>
      </c>
      <c r="Q38" s="40">
        <f t="shared" si="9"/>
        <v>2.5559038444423498E-3</v>
      </c>
      <c r="R38" s="9">
        <f t="shared" si="14"/>
        <v>3.9999999999999996E-5</v>
      </c>
      <c r="S38" s="9">
        <f t="shared" si="10"/>
        <v>4.5768749288623223E-7</v>
      </c>
      <c r="T38" s="9">
        <f t="shared" si="11"/>
        <v>2.692455661754545E-5</v>
      </c>
      <c r="U38" s="9">
        <f t="shared" si="12"/>
        <v>3.9542312507113762E-5</v>
      </c>
      <c r="V38" s="102">
        <f t="shared" si="13"/>
        <v>0.6809049575110625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-2.1315410513045033E-2</v>
      </c>
      <c r="K39" s="95">
        <f t="shared" si="3"/>
        <v>0.99945073658982986</v>
      </c>
      <c r="L39" s="95">
        <f t="shared" si="4"/>
        <v>6.9977487250764256E-5</v>
      </c>
      <c r="M39" s="95">
        <f t="shared" si="5"/>
        <v>0.99993002251274921</v>
      </c>
      <c r="N39" s="95">
        <f t="shared" si="6"/>
        <v>1.7800440864785141E-7</v>
      </c>
      <c r="O39" s="40">
        <f t="shared" si="7"/>
        <v>1.0000422180879387E-6</v>
      </c>
      <c r="P39" s="40">
        <f t="shared" si="8"/>
        <v>9.5214463396023379E-7</v>
      </c>
      <c r="Q39" s="40">
        <f t="shared" si="9"/>
        <v>4.8440133869901237E-8</v>
      </c>
      <c r="R39" s="9">
        <f t="shared" si="14"/>
        <v>3.9999999999999996E-5</v>
      </c>
      <c r="S39" s="9">
        <f t="shared" si="10"/>
        <v>2.7990994900305701E-9</v>
      </c>
      <c r="T39" s="9">
        <f t="shared" si="11"/>
        <v>3.9978029463593189E-5</v>
      </c>
      <c r="U39" s="9">
        <f t="shared" si="12"/>
        <v>3.9997200900509963E-5</v>
      </c>
      <c r="V39" s="102">
        <f t="shared" si="13"/>
        <v>0.99952068053550891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2.5889557991870298</v>
      </c>
      <c r="K40" s="95">
        <f t="shared" si="3"/>
        <v>0.48308240557365267</v>
      </c>
      <c r="L40" s="95">
        <f t="shared" si="4"/>
        <v>1.3787622413765634E-2</v>
      </c>
      <c r="M40" s="95">
        <f t="shared" si="5"/>
        <v>0.98621237758623437</v>
      </c>
      <c r="N40" s="95">
        <f t="shared" si="6"/>
        <v>1.0092263627207679E-2</v>
      </c>
      <c r="O40" s="40">
        <f t="shared" si="7"/>
        <v>4.833682969082607E-7</v>
      </c>
      <c r="P40" s="40">
        <f t="shared" si="8"/>
        <v>1.8760048712942911E-4</v>
      </c>
      <c r="Q40" s="40">
        <f t="shared" si="9"/>
        <v>2.7463960295467426E-3</v>
      </c>
      <c r="R40" s="9">
        <f t="shared" si="14"/>
        <v>3.9999999999999996E-5</v>
      </c>
      <c r="S40" s="9">
        <f t="shared" si="10"/>
        <v>5.5150489655062532E-7</v>
      </c>
      <c r="T40" s="9">
        <f t="shared" si="11"/>
        <v>1.9323296222946106E-5</v>
      </c>
      <c r="U40" s="9">
        <f t="shared" si="12"/>
        <v>3.9448495103449374E-5</v>
      </c>
      <c r="V40" s="102">
        <f t="shared" si="13"/>
        <v>0.48983608049617283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2.6634845218157044</v>
      </c>
      <c r="K41" s="95">
        <f t="shared" si="3"/>
        <v>0.4322476660398486</v>
      </c>
      <c r="L41" s="95">
        <f t="shared" si="4"/>
        <v>1.464635446920148E-2</v>
      </c>
      <c r="M41" s="95">
        <f t="shared" si="5"/>
        <v>0.98535364553079852</v>
      </c>
      <c r="N41" s="95">
        <f t="shared" si="6"/>
        <v>1.0537462041175973E-2</v>
      </c>
      <c r="O41" s="40">
        <f t="shared" si="7"/>
        <v>4.3250347304233845E-7</v>
      </c>
      <c r="P41" s="40">
        <f t="shared" si="8"/>
        <v>1.9928477518714243E-4</v>
      </c>
      <c r="Q41" s="40">
        <f t="shared" si="9"/>
        <v>2.867547359084626E-3</v>
      </c>
      <c r="R41" s="9">
        <f t="shared" si="14"/>
        <v>3.9999999999999996E-5</v>
      </c>
      <c r="S41" s="9">
        <f t="shared" si="10"/>
        <v>5.8585417876805918E-7</v>
      </c>
      <c r="T41" s="9">
        <f t="shared" si="11"/>
        <v>1.7289906641593944E-5</v>
      </c>
      <c r="U41" s="9">
        <f t="shared" si="12"/>
        <v>3.941414582123194E-5</v>
      </c>
      <c r="V41" s="102">
        <f t="shared" si="13"/>
        <v>0.43867262073912744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1.4796577057346774</v>
      </c>
      <c r="J42" s="94">
        <f t="shared" si="2"/>
        <v>4.3682400663002383</v>
      </c>
      <c r="K42" s="95">
        <f t="shared" si="3"/>
        <v>3.133981504279882E-2</v>
      </c>
      <c r="L42" s="95">
        <f t="shared" si="4"/>
        <v>5.3808248702438388E-2</v>
      </c>
      <c r="M42" s="95">
        <f t="shared" si="5"/>
        <v>0.94619175129756161</v>
      </c>
      <c r="N42" s="95">
        <f t="shared" si="6"/>
        <v>5.0166845725522206E-2</v>
      </c>
      <c r="O42" s="40">
        <f t="shared" si="7"/>
        <v>3.1358362150798577E-8</v>
      </c>
      <c r="P42" s="40">
        <f t="shared" si="8"/>
        <v>7.321388246084087E-4</v>
      </c>
      <c r="Q42" s="40">
        <f t="shared" si="9"/>
        <v>1.3651845711206268E-2</v>
      </c>
      <c r="R42" s="9">
        <f t="shared" si="14"/>
        <v>3.9999999999999996E-5</v>
      </c>
      <c r="S42" s="9">
        <f t="shared" si="10"/>
        <v>2.1523299480975353E-6</v>
      </c>
      <c r="T42" s="9">
        <f t="shared" si="11"/>
        <v>1.2535926017119527E-6</v>
      </c>
      <c r="U42" s="9">
        <f t="shared" si="12"/>
        <v>3.7847670051902464E-5</v>
      </c>
      <c r="V42" s="102">
        <f t="shared" si="13"/>
        <v>3.3122054805298097E-2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4.0532477704684817</v>
      </c>
      <c r="K43" s="95">
        <f t="shared" si="3"/>
        <v>5.3709521534655552E-2</v>
      </c>
      <c r="L43" s="95">
        <f t="shared" si="4"/>
        <v>4.4648967043122267E-2</v>
      </c>
      <c r="M43" s="95">
        <f t="shared" si="5"/>
        <v>0.95535103295687773</v>
      </c>
      <c r="N43" s="95">
        <f t="shared" si="6"/>
        <v>4.0178586107945516E-2</v>
      </c>
      <c r="O43" s="40">
        <f t="shared" si="7"/>
        <v>5.3741307181608423E-8</v>
      </c>
      <c r="P43" s="40">
        <f t="shared" si="8"/>
        <v>6.0751358832925094E-4</v>
      </c>
      <c r="Q43" s="40">
        <f t="shared" si="9"/>
        <v>1.093375217252366E-2</v>
      </c>
      <c r="R43" s="9">
        <f t="shared" si="14"/>
        <v>3.9999999999999996E-5</v>
      </c>
      <c r="S43" s="9">
        <f t="shared" si="10"/>
        <v>1.7859586817248904E-6</v>
      </c>
      <c r="T43" s="9">
        <f t="shared" si="11"/>
        <v>2.148380861386222E-6</v>
      </c>
      <c r="U43" s="9">
        <f t="shared" si="12"/>
        <v>3.8214041318275106E-5</v>
      </c>
      <c r="V43" s="102">
        <f t="shared" si="13"/>
        <v>5.6219671808404141E-2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0.14841008082679896</v>
      </c>
      <c r="J44" s="94">
        <f t="shared" si="2"/>
        <v>2.3088898400463109</v>
      </c>
      <c r="K44" s="95">
        <f t="shared" si="3"/>
        <v>0.70270048015987252</v>
      </c>
      <c r="L44" s="95">
        <f t="shared" si="4"/>
        <v>1.0523796760852147E-2</v>
      </c>
      <c r="M44" s="95">
        <f t="shared" si="5"/>
        <v>0.98947620323914787</v>
      </c>
      <c r="N44" s="95">
        <f t="shared" si="6"/>
        <v>8.6663578230126766E-3</v>
      </c>
      <c r="O44" s="40">
        <f t="shared" si="7"/>
        <v>7.0311634291079195E-7</v>
      </c>
      <c r="P44" s="40">
        <f t="shared" si="8"/>
        <v>1.4319143210767438E-4</v>
      </c>
      <c r="Q44" s="40">
        <f t="shared" si="9"/>
        <v>2.3583659320578691E-3</v>
      </c>
      <c r="R44" s="9">
        <f t="shared" si="14"/>
        <v>3.9999999999999996E-5</v>
      </c>
      <c r="S44" s="9">
        <f t="shared" si="10"/>
        <v>4.2095187043408583E-7</v>
      </c>
      <c r="T44" s="9">
        <f t="shared" si="11"/>
        <v>2.81080192063949E-5</v>
      </c>
      <c r="U44" s="9">
        <f t="shared" si="12"/>
        <v>3.9579048129565913E-5</v>
      </c>
      <c r="V44" s="102">
        <f t="shared" si="13"/>
        <v>0.71017420920231655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4.041572503575793</v>
      </c>
      <c r="K45" s="95">
        <f t="shared" si="3"/>
        <v>4.3543019492397882E-2</v>
      </c>
      <c r="L45" s="95">
        <f t="shared" si="4"/>
        <v>3.5237363569863178E-2</v>
      </c>
      <c r="M45" s="95">
        <f t="shared" si="5"/>
        <v>0.96476263643013682</v>
      </c>
      <c r="N45" s="95">
        <f t="shared" si="6"/>
        <v>2.9581003863435332E-2</v>
      </c>
      <c r="O45" s="40">
        <f t="shared" si="7"/>
        <v>4.3568788536792628E-8</v>
      </c>
      <c r="P45" s="40">
        <f t="shared" si="8"/>
        <v>4.7945514987871539E-4</v>
      </c>
      <c r="Q45" s="40">
        <f t="shared" si="9"/>
        <v>8.0498443720324608E-3</v>
      </c>
      <c r="R45" s="9">
        <f t="shared" si="14"/>
        <v>3.9999999999999996E-5</v>
      </c>
      <c r="S45" s="9">
        <f t="shared" si="10"/>
        <v>1.409494542794527E-6</v>
      </c>
      <c r="T45" s="9">
        <f t="shared" si="11"/>
        <v>1.7417207796959152E-6</v>
      </c>
      <c r="U45" s="9">
        <f t="shared" si="12"/>
        <v>3.8590505457205471E-5</v>
      </c>
      <c r="V45" s="102">
        <f t="shared" si="13"/>
        <v>4.5133401572761932E-2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0.12747825886296771</v>
      </c>
      <c r="J46" s="94">
        <f t="shared" si="2"/>
        <v>2.21956631274778</v>
      </c>
      <c r="K46" s="95">
        <f t="shared" si="3"/>
        <v>0.73853063247841044</v>
      </c>
      <c r="L46" s="95">
        <f t="shared" si="4"/>
        <v>9.004242611503014E-3</v>
      </c>
      <c r="M46" s="95">
        <f t="shared" si="5"/>
        <v>0.99099575738849699</v>
      </c>
      <c r="N46" s="95">
        <f t="shared" si="6"/>
        <v>7.3330201734916802E-3</v>
      </c>
      <c r="O46" s="40">
        <f t="shared" si="7"/>
        <v>7.3896769974836713E-7</v>
      </c>
      <c r="P46" s="40">
        <f t="shared" si="8"/>
        <v>1.2251570643993139E-4</v>
      </c>
      <c r="Q46" s="40">
        <f t="shared" si="9"/>
        <v>1.9955262994488247E-3</v>
      </c>
      <c r="R46" s="9">
        <f t="shared" si="14"/>
        <v>3.9999999999999996E-5</v>
      </c>
      <c r="S46" s="9">
        <f t="shared" si="10"/>
        <v>3.6016970446012054E-7</v>
      </c>
      <c r="T46" s="9">
        <f t="shared" si="11"/>
        <v>2.9541225299136414E-5</v>
      </c>
      <c r="U46" s="9">
        <f t="shared" si="12"/>
        <v>3.9639830295539873E-5</v>
      </c>
      <c r="V46" s="102">
        <f t="shared" si="13"/>
        <v>0.74524096291250475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3.1296066711876311</v>
      </c>
      <c r="K47" s="95">
        <f t="shared" si="3"/>
        <v>0.18985446463862254</v>
      </c>
      <c r="L47" s="95">
        <f t="shared" si="4"/>
        <v>1.8816543448231426E-2</v>
      </c>
      <c r="M47" s="95">
        <f t="shared" si="5"/>
        <v>0.98118345655176853</v>
      </c>
      <c r="N47" s="95">
        <f t="shared" si="6"/>
        <v>1.274451112561114E-2</v>
      </c>
      <c r="O47" s="40">
        <f t="shared" si="7"/>
        <v>1.8996682175544281E-7</v>
      </c>
      <c r="P47" s="40">
        <f t="shared" si="8"/>
        <v>2.5602621039693698E-4</v>
      </c>
      <c r="Q47" s="40">
        <f t="shared" si="9"/>
        <v>3.4681490740622778E-3</v>
      </c>
      <c r="R47" s="9">
        <f t="shared" si="14"/>
        <v>3.9999999999999996E-5</v>
      </c>
      <c r="S47" s="9">
        <f t="shared" si="10"/>
        <v>7.52661737929257E-7</v>
      </c>
      <c r="T47" s="9">
        <f t="shared" si="11"/>
        <v>7.5941785855449012E-6</v>
      </c>
      <c r="U47" s="9">
        <f t="shared" si="12"/>
        <v>3.9247338262070737E-5</v>
      </c>
      <c r="V47" s="102">
        <f t="shared" si="13"/>
        <v>0.19349537884162804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1.2642800792666065</v>
      </c>
      <c r="K48" s="95">
        <f t="shared" ref="K48:K50" si="17">IF(D48=0,"",1/(1+10^D48*$J$15/$J$14+10^E48*$J$16/$J$14+10^J48*$J$19/$J$14))</f>
        <v>0.94339434542584655</v>
      </c>
      <c r="L48" s="95">
        <f t="shared" ref="L48:L50" si="18">IF(D48=0,"",1/(1+10^I48/10^J48*$J$13/$J$19))</f>
        <v>1.2749281490791562E-3</v>
      </c>
      <c r="M48" s="95">
        <f t="shared" ref="M48:M92" si="19">IF(D48=0,"",1-L48)</f>
        <v>0.99872507185092085</v>
      </c>
      <c r="N48" s="95">
        <f t="shared" ref="N48:N50" si="20">IF(D48=0,"",1/(1/10^E48*$J$20/$J$22+10^D48/10^E48*$J$21/$J$22+10^I48/10^E48*$J$13/$J$22+1))</f>
        <v>7.788209673881011E-4</v>
      </c>
      <c r="O48" s="40">
        <f t="shared" ref="O48:O92" si="21">IF(D48=0,"",F48*K48*$J$7/$J$14)</f>
        <v>9.4395265238417027E-7</v>
      </c>
      <c r="P48" s="40">
        <f t="shared" ref="P48:P50" si="22">IF(D48=0,"",O48*10^J48)</f>
        <v>1.7347236140110384E-5</v>
      </c>
      <c r="Q48" s="40">
        <f t="shared" ref="Q48:Q50" si="23">IF(D48=0,"",F48*N48*$J$7/$J$22)</f>
        <v>2.1193964917801475E-4</v>
      </c>
      <c r="R48" s="9">
        <f t="shared" si="14"/>
        <v>3.9999999999999996E-5</v>
      </c>
      <c r="S48" s="9">
        <f t="shared" si="10"/>
        <v>5.099712596316624E-8</v>
      </c>
      <c r="T48" s="9">
        <f t="shared" si="11"/>
        <v>3.7735773817033857E-5</v>
      </c>
      <c r="U48" s="9">
        <f t="shared" si="12"/>
        <v>3.9949002874036831E-5</v>
      </c>
      <c r="V48" s="102">
        <f t="shared" si="13"/>
        <v>0.94459864082261324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0.79270412978539373</v>
      </c>
      <c r="K49" s="95">
        <f t="shared" si="17"/>
        <v>0.98306943560565008</v>
      </c>
      <c r="L49" s="95">
        <f t="shared" si="18"/>
        <v>4.4853949055884205E-4</v>
      </c>
      <c r="M49" s="95">
        <f t="shared" si="19"/>
        <v>0.9995514605094411</v>
      </c>
      <c r="N49" s="95">
        <f t="shared" si="20"/>
        <v>2.5720449843380944E-4</v>
      </c>
      <c r="O49" s="40">
        <f t="shared" si="21"/>
        <v>9.8365122254244401E-7</v>
      </c>
      <c r="P49" s="40">
        <f t="shared" si="22"/>
        <v>6.1030266423319468E-6</v>
      </c>
      <c r="Q49" s="40">
        <f t="shared" si="23"/>
        <v>6.9992762711413426E-5</v>
      </c>
      <c r="R49" s="9">
        <f t="shared" si="14"/>
        <v>3.9999999999999996E-5</v>
      </c>
      <c r="S49" s="9">
        <f t="shared" si="10"/>
        <v>1.794157962235368E-8</v>
      </c>
      <c r="T49" s="9">
        <f t="shared" si="11"/>
        <v>3.9322777424226002E-5</v>
      </c>
      <c r="U49" s="9">
        <f t="shared" si="12"/>
        <v>3.9982058420377644E-5</v>
      </c>
      <c r="V49" s="102">
        <f t="shared" si="13"/>
        <v>0.98351057893968696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8.66295144485788E-3</v>
      </c>
      <c r="K57" s="55">
        <f t="shared" si="26"/>
        <v>0.99932139468657499</v>
      </c>
      <c r="L57" s="55">
        <f t="shared" si="27"/>
        <v>7.496878955166384E-5</v>
      </c>
      <c r="M57" s="55">
        <f t="shared" si="28"/>
        <v>0.99992503121044829</v>
      </c>
      <c r="N57" s="55">
        <f t="shared" si="29"/>
        <v>4.4402104199798037E-6</v>
      </c>
      <c r="O57" s="56">
        <f t="shared" si="30"/>
        <v>9.9991279963929738E-7</v>
      </c>
      <c r="P57" s="56">
        <f t="shared" si="31"/>
        <v>1.0200585001047058E-6</v>
      </c>
      <c r="Q57" s="56">
        <f t="shared" si="32"/>
        <v>1.2083093266518836E-6</v>
      </c>
      <c r="R57" s="9">
        <f t="shared" ref="R57:R58" si="33">F57*$C$14</f>
        <v>3.9999999999999996E-5</v>
      </c>
      <c r="S57" s="9">
        <f t="shared" ref="S57:S58" si="34">$R57*L57</f>
        <v>2.9987515820665534E-9</v>
      </c>
      <c r="T57" s="9">
        <f t="shared" ref="T57:T58" si="35">R57*K57</f>
        <v>3.9972855787462999E-5</v>
      </c>
      <c r="U57" s="9">
        <f t="shared" ref="U57:U58" si="36">$R57*M57</f>
        <v>3.9997001248417931E-5</v>
      </c>
      <c r="V57" s="102">
        <f t="shared" ref="V57:V58" si="37">K57/M57</f>
        <v>0.99939631821883435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1.4682817666499361</v>
      </c>
      <c r="K58" s="55">
        <f t="shared" si="26"/>
        <v>0.91745008715665299</v>
      </c>
      <c r="L58" s="55">
        <f t="shared" si="27"/>
        <v>1.9832459442494835E-3</v>
      </c>
      <c r="M58" s="55">
        <f t="shared" si="28"/>
        <v>0.99801675405575052</v>
      </c>
      <c r="N58" s="55">
        <f t="shared" si="29"/>
        <v>1.3071752384333519E-3</v>
      </c>
      <c r="O58" s="56">
        <f t="shared" si="30"/>
        <v>9.1799304013284769E-7</v>
      </c>
      <c r="P58" s="56">
        <f t="shared" si="31"/>
        <v>2.6984921262944022E-5</v>
      </c>
      <c r="Q58" s="56">
        <f t="shared" si="32"/>
        <v>3.5572008593561275E-4</v>
      </c>
      <c r="R58" s="9">
        <f t="shared" si="33"/>
        <v>3.9999999999999996E-5</v>
      </c>
      <c r="S58" s="9">
        <f t="shared" si="34"/>
        <v>7.932983776997934E-8</v>
      </c>
      <c r="T58" s="9">
        <f t="shared" si="35"/>
        <v>3.6698003486266119E-5</v>
      </c>
      <c r="U58" s="9">
        <f t="shared" si="36"/>
        <v>3.9920670162230015E-5</v>
      </c>
      <c r="V58" s="102">
        <f t="shared" si="37"/>
        <v>0.91927323206580458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1.5210188025338833</v>
      </c>
      <c r="K60" s="55">
        <f t="shared" si="26"/>
        <v>0.88713937319223457</v>
      </c>
      <c r="L60" s="55">
        <f t="shared" si="27"/>
        <v>2.1653246457211013E-3</v>
      </c>
      <c r="M60" s="55">
        <f t="shared" si="28"/>
        <v>0.99783467535427894</v>
      </c>
      <c r="N60" s="55">
        <f t="shared" si="29"/>
        <v>1.2046953135241912E-3</v>
      </c>
      <c r="O60" s="56">
        <f t="shared" si="30"/>
        <v>8.8766438808919435E-7</v>
      </c>
      <c r="P60" s="56">
        <f t="shared" si="31"/>
        <v>2.9462364586157299E-5</v>
      </c>
      <c r="Q60" s="56">
        <f t="shared" si="32"/>
        <v>3.2783234248428173E-4</v>
      </c>
      <c r="R60" s="9">
        <f t="shared" ref="R60:R65" si="38">F60*$C$14</f>
        <v>3.9999999999999996E-5</v>
      </c>
      <c r="S60" s="9">
        <f t="shared" ref="S60:S93" si="39">$R60*L60</f>
        <v>8.6612985828844048E-8</v>
      </c>
      <c r="T60" s="9">
        <f t="shared" ref="T60:T93" si="40">R60*K60</f>
        <v>3.5485574927689383E-5</v>
      </c>
      <c r="U60" s="9">
        <f t="shared" ref="U60:U93" si="41">$R60*M60</f>
        <v>3.9913387014171153E-5</v>
      </c>
      <c r="V60" s="102">
        <f t="shared" ref="V60:V93" si="42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2.5091055968760121</v>
      </c>
      <c r="K61" s="55">
        <f t="shared" si="26"/>
        <v>0.48244469339515178</v>
      </c>
      <c r="L61" s="55">
        <f t="shared" si="27"/>
        <v>1.1456857003638771E-2</v>
      </c>
      <c r="M61" s="55">
        <f t="shared" si="28"/>
        <v>0.98854314299636126</v>
      </c>
      <c r="N61" s="55">
        <f t="shared" si="29"/>
        <v>7.4867425659809802E-3</v>
      </c>
      <c r="O61" s="56">
        <f t="shared" si="30"/>
        <v>4.827302073275119E-7</v>
      </c>
      <c r="P61" s="56">
        <f t="shared" si="31"/>
        <v>1.5588706234868758E-4</v>
      </c>
      <c r="Q61" s="56">
        <f t="shared" si="32"/>
        <v>2.0373585963427429E-3</v>
      </c>
      <c r="R61" s="9">
        <f t="shared" si="38"/>
        <v>3.9999999999999996E-5</v>
      </c>
      <c r="S61" s="9">
        <f t="shared" si="39"/>
        <v>4.5827428014555081E-7</v>
      </c>
      <c r="T61" s="9">
        <f t="shared" si="40"/>
        <v>1.9297787735806071E-5</v>
      </c>
      <c r="U61" s="9">
        <f t="shared" si="41"/>
        <v>3.954172571985445E-5</v>
      </c>
      <c r="V61" s="102">
        <f t="shared" si="42"/>
        <v>0.4880360526631336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2.2508102103882899</v>
      </c>
      <c r="K62" s="55">
        <f t="shared" si="26"/>
        <v>0.66644007944093642</v>
      </c>
      <c r="L62" s="55">
        <f t="shared" si="27"/>
        <v>8.7313958855752896E-3</v>
      </c>
      <c r="M62" s="55">
        <f t="shared" si="28"/>
        <v>0.99126860411442475</v>
      </c>
      <c r="N62" s="55">
        <f t="shared" si="29"/>
        <v>6.3021171749560023E-3</v>
      </c>
      <c r="O62" s="56">
        <f t="shared" si="30"/>
        <v>6.6683448304899456E-7</v>
      </c>
      <c r="P62" s="56">
        <f t="shared" si="31"/>
        <v>1.1880323324044731E-4</v>
      </c>
      <c r="Q62" s="56">
        <f t="shared" si="32"/>
        <v>1.7149878586580577E-3</v>
      </c>
      <c r="R62" s="9">
        <f t="shared" si="38"/>
        <v>3.9999999999999996E-5</v>
      </c>
      <c r="S62" s="9">
        <f t="shared" si="39"/>
        <v>3.4925583542301156E-7</v>
      </c>
      <c r="T62" s="9">
        <f t="shared" si="40"/>
        <v>2.6657603177637454E-5</v>
      </c>
      <c r="U62" s="9">
        <f t="shared" si="41"/>
        <v>3.9650744164576987E-5</v>
      </c>
      <c r="V62" s="102">
        <f t="shared" si="42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2.1782102693561018</v>
      </c>
      <c r="K63" s="55">
        <f t="shared" si="26"/>
        <v>0.69540017871106696</v>
      </c>
      <c r="L63" s="55">
        <f t="shared" si="27"/>
        <v>7.7082790662598094E-3</v>
      </c>
      <c r="M63" s="55">
        <f t="shared" si="28"/>
        <v>0.99229172093374018</v>
      </c>
      <c r="N63" s="55">
        <f t="shared" si="29"/>
        <v>5.4531213741128692E-3</v>
      </c>
      <c r="O63" s="56">
        <f t="shared" si="30"/>
        <v>6.9581172109572979E-7</v>
      </c>
      <c r="P63" s="56">
        <f t="shared" si="31"/>
        <v>1.0488225339824733E-4</v>
      </c>
      <c r="Q63" s="56">
        <f t="shared" si="32"/>
        <v>1.4839516132064943E-3</v>
      </c>
      <c r="R63" s="9">
        <f t="shared" si="38"/>
        <v>3.9999999999999996E-5</v>
      </c>
      <c r="S63" s="9">
        <f t="shared" si="39"/>
        <v>3.0833116265039233E-7</v>
      </c>
      <c r="T63" s="9">
        <f t="shared" si="40"/>
        <v>2.7816007148442675E-5</v>
      </c>
      <c r="U63" s="9">
        <f t="shared" si="41"/>
        <v>3.9691668837349603E-5</v>
      </c>
      <c r="V63" s="102">
        <f t="shared" si="42"/>
        <v>0.70080215730984818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1.4306562944149119</v>
      </c>
      <c r="K64" s="55">
        <f t="shared" si="26"/>
        <v>0.93121990462400817</v>
      </c>
      <c r="L64" s="55">
        <f t="shared" si="27"/>
        <v>1.8459541368647065E-3</v>
      </c>
      <c r="M64" s="55">
        <f t="shared" si="28"/>
        <v>0.99815404586313528</v>
      </c>
      <c r="N64" s="55">
        <f t="shared" si="29"/>
        <v>1.2928722579636325E-3</v>
      </c>
      <c r="O64" s="56">
        <f t="shared" si="30"/>
        <v>9.3177100666845223E-7</v>
      </c>
      <c r="P64" s="56">
        <f t="shared" si="31"/>
        <v>2.5116868224404983E-5</v>
      </c>
      <c r="Q64" s="56">
        <f t="shared" si="32"/>
        <v>3.5182783240124974E-4</v>
      </c>
      <c r="R64" s="9">
        <f t="shared" si="38"/>
        <v>3.9999999999999996E-5</v>
      </c>
      <c r="S64" s="9">
        <f t="shared" si="39"/>
        <v>7.3838165474588251E-8</v>
      </c>
      <c r="T64" s="9">
        <f t="shared" si="40"/>
        <v>3.7248796184960321E-5</v>
      </c>
      <c r="U64" s="9">
        <f t="shared" si="41"/>
        <v>3.9926161834525405E-5</v>
      </c>
      <c r="V64" s="102">
        <f t="shared" si="42"/>
        <v>0.93294207290293851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2.9136453532291715</v>
      </c>
      <c r="K65" s="55">
        <f t="shared" si="26"/>
        <v>0.34692109489307049</v>
      </c>
      <c r="L65" s="55">
        <f t="shared" si="27"/>
        <v>2.091165587596731E-2</v>
      </c>
      <c r="M65" s="55">
        <f t="shared" si="28"/>
        <v>0.97908834412403267</v>
      </c>
      <c r="N65" s="55">
        <f t="shared" si="29"/>
        <v>1.6663993004123807E-2</v>
      </c>
      <c r="O65" s="56">
        <f t="shared" si="30"/>
        <v>3.471264050713721E-7</v>
      </c>
      <c r="P65" s="56">
        <f t="shared" si="31"/>
        <v>2.8453323649896864E-4</v>
      </c>
      <c r="Q65" s="56">
        <f t="shared" si="32"/>
        <v>4.5347531449277849E-3</v>
      </c>
      <c r="R65" s="9">
        <f t="shared" si="38"/>
        <v>3.9999999999999996E-5</v>
      </c>
      <c r="S65" s="9">
        <f t="shared" si="39"/>
        <v>8.3646623503869233E-7</v>
      </c>
      <c r="T65" s="9">
        <f t="shared" si="40"/>
        <v>1.3876843795722819E-5</v>
      </c>
      <c r="U65" s="9">
        <f t="shared" si="41"/>
        <v>3.9163533764961305E-5</v>
      </c>
      <c r="V65" s="102">
        <f t="shared" si="42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1.4630863314519809</v>
      </c>
      <c r="K68" s="55">
        <f t="shared" si="26"/>
        <v>0.89370154262704482</v>
      </c>
      <c r="L68" s="55">
        <f t="shared" si="27"/>
        <v>1.9089352645836712E-3</v>
      </c>
      <c r="M68" s="55">
        <f t="shared" si="28"/>
        <v>0.99809106473541631</v>
      </c>
      <c r="N68" s="55">
        <f t="shared" si="29"/>
        <v>9.8493341995287034E-4</v>
      </c>
      <c r="O68" s="56">
        <f t="shared" si="30"/>
        <v>8.9423044105889647E-7</v>
      </c>
      <c r="P68" s="56">
        <f t="shared" si="31"/>
        <v>2.5973817296947192E-5</v>
      </c>
      <c r="Q68" s="56">
        <f t="shared" si="32"/>
        <v>2.6802879253312568E-4</v>
      </c>
      <c r="R68" s="9">
        <f>F68*$C$14</f>
        <v>3.9999999999999996E-5</v>
      </c>
      <c r="S68" s="9">
        <f t="shared" si="39"/>
        <v>7.6357410583346845E-8</v>
      </c>
      <c r="T68" s="9">
        <f t="shared" si="40"/>
        <v>3.574806170508179E-5</v>
      </c>
      <c r="U68" s="9">
        <f t="shared" si="41"/>
        <v>3.9923642589416652E-5</v>
      </c>
      <c r="V68" s="102">
        <f t="shared" si="42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3.8581605774828254</v>
      </c>
      <c r="K69" s="55">
        <f t="shared" si="26"/>
        <v>6.130131465139161E-2</v>
      </c>
      <c r="L69" s="55">
        <f t="shared" si="27"/>
        <v>3.251941525578133E-2</v>
      </c>
      <c r="M69" s="55">
        <f t="shared" si="28"/>
        <v>0.96748058474421872</v>
      </c>
      <c r="N69" s="55">
        <f t="shared" si="29"/>
        <v>2.6729150395619683E-2</v>
      </c>
      <c r="O69" s="56">
        <f t="shared" si="30"/>
        <v>6.1337593171281201E-8</v>
      </c>
      <c r="P69" s="56">
        <f t="shared" si="31"/>
        <v>4.4247354330343732E-4</v>
      </c>
      <c r="Q69" s="56">
        <f t="shared" si="32"/>
        <v>7.2737727858976217E-3</v>
      </c>
      <c r="R69" s="9">
        <f>F69*$C$14</f>
        <v>3.9999999999999996E-5</v>
      </c>
      <c r="S69" s="9">
        <f t="shared" si="39"/>
        <v>1.3007766102312531E-6</v>
      </c>
      <c r="T69" s="9">
        <f t="shared" si="40"/>
        <v>2.452052586055664E-6</v>
      </c>
      <c r="U69" s="9">
        <f t="shared" si="41"/>
        <v>3.8699223389768743E-5</v>
      </c>
      <c r="V69" s="102">
        <f t="shared" si="42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0.63617430590334967</v>
      </c>
      <c r="K70" s="55">
        <f t="shared" si="26"/>
        <v>0.98403672265219111</v>
      </c>
      <c r="L70" s="55">
        <f t="shared" si="27"/>
        <v>3.1311074657667761E-4</v>
      </c>
      <c r="M70" s="55">
        <f t="shared" si="28"/>
        <v>0.99968688925342331</v>
      </c>
      <c r="N70" s="55">
        <f t="shared" si="29"/>
        <v>1.1593449434206081E-4</v>
      </c>
      <c r="O70" s="56">
        <f t="shared" si="30"/>
        <v>9.8461908203580053E-7</v>
      </c>
      <c r="P70" s="56">
        <f t="shared" si="31"/>
        <v>4.2603232682523944E-6</v>
      </c>
      <c r="Q70" s="56">
        <f t="shared" si="32"/>
        <v>3.1549119871399982E-5</v>
      </c>
      <c r="R70" s="9">
        <f t="shared" ref="R70:R86" si="43">F70*$C$14</f>
        <v>3.9999999999999996E-5</v>
      </c>
      <c r="S70" s="9">
        <f t="shared" si="39"/>
        <v>1.2524429863067104E-8</v>
      </c>
      <c r="T70" s="9">
        <f t="shared" si="40"/>
        <v>3.9361468906087642E-5</v>
      </c>
      <c r="U70" s="9">
        <f t="shared" si="41"/>
        <v>3.9987475570136929E-5</v>
      </c>
      <c r="V70" s="102">
        <f t="shared" si="42"/>
        <v>0.98434493162862235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2.8589842167479149E-2</v>
      </c>
      <c r="J71" s="54">
        <f t="shared" ref="J71:J122" si="45">IF(D71=0,"",LOG($K$21*10^D71+$K$22*10^E71+$K$20))</f>
        <v>1.3625600825731246</v>
      </c>
      <c r="K71" s="55">
        <f t="shared" ref="K71:K122" si="46">IF(D71=0,"",1/(1+10^D71*$J$15/$J$14+10^E71*$J$16/$J$14+10^J71*$J$19/$J$14))</f>
        <v>0.93432283197896671</v>
      </c>
      <c r="L71" s="55">
        <f t="shared" ref="L71:L122" si="47">IF(D71=0,"",1/(1+10^I71/10^J71*$J$13/$J$19))</f>
        <v>1.5833225834083887E-3</v>
      </c>
      <c r="M71" s="55">
        <f t="shared" si="19"/>
        <v>0.99841667741659157</v>
      </c>
      <c r="N71" s="55">
        <f t="shared" ref="N71:N122" si="48">IF(D71=0,"",1/(1/10^E71*$J$20/$J$22+10^D71/10^E71*$J$21/$J$22+10^I71/10^E71*$J$13/$J$22+1))</f>
        <v>1.0312817397647E-3</v>
      </c>
      <c r="O71" s="56">
        <f t="shared" si="21"/>
        <v>9.3487577035616171E-7</v>
      </c>
      <c r="P71" s="56">
        <f t="shared" ref="P71:P122" si="49">IF(D71=0,"",O71*10^J71)</f>
        <v>2.1543387178479853E-5</v>
      </c>
      <c r="Q71" s="56">
        <f t="shared" ref="Q71:Q122" si="50">IF(D71=0,"",F71*N71*$J$7/$J$22)</f>
        <v>2.8064150720342112E-4</v>
      </c>
      <c r="R71" s="9">
        <f t="shared" si="43"/>
        <v>3.9999999999999996E-5</v>
      </c>
      <c r="S71" s="9">
        <f t="shared" si="39"/>
        <v>6.3332903336335549E-8</v>
      </c>
      <c r="T71" s="9">
        <f t="shared" si="40"/>
        <v>3.7372913279158666E-5</v>
      </c>
      <c r="U71" s="9">
        <f t="shared" si="41"/>
        <v>3.9936667096663661E-5</v>
      </c>
      <c r="V71" s="102">
        <f t="shared" si="42"/>
        <v>0.9358045123971005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4.5043006346732313E-2</v>
      </c>
      <c r="J72" s="54">
        <f t="shared" si="45"/>
        <v>1.4662062884307066</v>
      </c>
      <c r="K72" s="55">
        <f t="shared" si="46"/>
        <v>0.89927171836385389</v>
      </c>
      <c r="L72" s="55">
        <f t="shared" si="47"/>
        <v>1.9346819758017512E-3</v>
      </c>
      <c r="M72" s="55">
        <f t="shared" si="19"/>
        <v>0.99806531802419829</v>
      </c>
      <c r="N72" s="55">
        <f t="shared" si="48"/>
        <v>1.0697894274892775E-3</v>
      </c>
      <c r="O72" s="56">
        <f t="shared" si="21"/>
        <v>8.9980391326222346E-7</v>
      </c>
      <c r="P72" s="56">
        <f t="shared" si="49"/>
        <v>2.6324138434380574E-5</v>
      </c>
      <c r="Q72" s="56">
        <f t="shared" si="50"/>
        <v>2.911205597312104E-4</v>
      </c>
      <c r="R72" s="9">
        <f t="shared" si="43"/>
        <v>3.9999999999999996E-5</v>
      </c>
      <c r="S72" s="9">
        <f t="shared" si="39"/>
        <v>7.738727903207004E-8</v>
      </c>
      <c r="T72" s="9">
        <f t="shared" si="40"/>
        <v>3.5970868734554152E-5</v>
      </c>
      <c r="U72" s="9">
        <f t="shared" si="41"/>
        <v>3.9922612720967925E-5</v>
      </c>
      <c r="V72" s="102">
        <f t="shared" si="42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2.829962486439805</v>
      </c>
      <c r="J73" s="54">
        <f t="shared" si="45"/>
        <v>5.7902923462368587</v>
      </c>
      <c r="K73" s="55">
        <f t="shared" si="46"/>
        <v>1.3855238077332664E-3</v>
      </c>
      <c r="L73" s="55">
        <f t="shared" si="47"/>
        <v>6.2866415836904069E-2</v>
      </c>
      <c r="M73" s="55">
        <f t="shared" si="19"/>
        <v>0.93713358416309589</v>
      </c>
      <c r="N73" s="55">
        <f t="shared" si="48"/>
        <v>5.9965900388261238E-2</v>
      </c>
      <c r="O73" s="56">
        <f t="shared" si="21"/>
        <v>1.3863437698058942E-9</v>
      </c>
      <c r="P73" s="56">
        <f t="shared" si="49"/>
        <v>8.5538825195194716E-4</v>
      </c>
      <c r="Q73" s="56">
        <f t="shared" si="50"/>
        <v>1.6318451124337354E-2</v>
      </c>
      <c r="R73" s="9">
        <f t="shared" si="43"/>
        <v>3.9999999999999996E-5</v>
      </c>
      <c r="S73" s="9">
        <f t="shared" si="39"/>
        <v>2.5146566334761625E-6</v>
      </c>
      <c r="T73" s="9">
        <f t="shared" si="40"/>
        <v>5.542095230933065E-8</v>
      </c>
      <c r="U73" s="9">
        <f t="shared" si="41"/>
        <v>3.7485343366523831E-5</v>
      </c>
      <c r="V73" s="102">
        <f t="shared" si="42"/>
        <v>1.4784699120249799E-3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3.957220636313619E-3</v>
      </c>
      <c r="J74" s="54">
        <f t="shared" si="45"/>
        <v>0.50735979747220017</v>
      </c>
      <c r="K74" s="55">
        <f t="shared" si="46"/>
        <v>0.99018429205584124</v>
      </c>
      <c r="L74" s="55">
        <f t="shared" si="47"/>
        <v>2.342007016926635E-4</v>
      </c>
      <c r="M74" s="55">
        <f t="shared" si="19"/>
        <v>0.99976579929830733</v>
      </c>
      <c r="N74" s="55">
        <f t="shared" si="48"/>
        <v>8.9905114567415424E-5</v>
      </c>
      <c r="O74" s="56">
        <f t="shared" si="21"/>
        <v>9.9077028961132593E-7</v>
      </c>
      <c r="P74" s="56">
        <f t="shared" si="49"/>
        <v>3.1866383053637808E-6</v>
      </c>
      <c r="Q74" s="56">
        <f t="shared" si="50"/>
        <v>2.4465774855329561E-5</v>
      </c>
      <c r="R74" s="9">
        <f t="shared" si="43"/>
        <v>3.9999999999999996E-5</v>
      </c>
      <c r="S74" s="9">
        <f t="shared" si="39"/>
        <v>9.3680280677065386E-9</v>
      </c>
      <c r="T74" s="9">
        <f t="shared" si="40"/>
        <v>3.9607371682233645E-5</v>
      </c>
      <c r="U74" s="9">
        <f t="shared" si="41"/>
        <v>3.9990631971932293E-5</v>
      </c>
      <c r="V74" s="102">
        <f t="shared" si="42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4.1980440605165602E-3</v>
      </c>
      <c r="J75" s="54">
        <f t="shared" si="45"/>
        <v>0.50980800632319268</v>
      </c>
      <c r="K75" s="55">
        <f t="shared" si="46"/>
        <v>0.98963418977758499</v>
      </c>
      <c r="L75" s="55">
        <f t="shared" si="47"/>
        <v>2.3539382126356686E-4</v>
      </c>
      <c r="M75" s="55">
        <f t="shared" si="19"/>
        <v>0.99976460617873641</v>
      </c>
      <c r="N75" s="55">
        <f t="shared" si="48"/>
        <v>8.5690772319759687E-5</v>
      </c>
      <c r="O75" s="56">
        <f t="shared" si="21"/>
        <v>9.9021986177893511E-7</v>
      </c>
      <c r="P75" s="56">
        <f t="shared" si="49"/>
        <v>3.2028724178153701E-6</v>
      </c>
      <c r="Q75" s="56">
        <f t="shared" si="50"/>
        <v>2.3318930773204133E-5</v>
      </c>
      <c r="R75" s="9">
        <f t="shared" si="43"/>
        <v>3.9999999999999996E-5</v>
      </c>
      <c r="S75" s="9">
        <f t="shared" si="39"/>
        <v>9.415752850542673E-9</v>
      </c>
      <c r="T75" s="9">
        <f t="shared" si="40"/>
        <v>3.9585367591103398E-5</v>
      </c>
      <c r="U75" s="9">
        <f t="shared" si="41"/>
        <v>3.9990584247149454E-5</v>
      </c>
      <c r="V75" s="102">
        <f t="shared" si="42"/>
        <v>0.98986719839995985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0.35626551305621779</v>
      </c>
      <c r="J76" s="54">
        <f t="shared" si="45"/>
        <v>2.6948578399819088</v>
      </c>
      <c r="K76" s="55">
        <f t="shared" si="46"/>
        <v>0.43311555599352525</v>
      </c>
      <c r="L76" s="55">
        <f t="shared" si="47"/>
        <v>1.5775167680915483E-2</v>
      </c>
      <c r="M76" s="55">
        <f t="shared" si="19"/>
        <v>0.98422483231908453</v>
      </c>
      <c r="N76" s="55">
        <f t="shared" si="48"/>
        <v>1.1804977090458899E-2</v>
      </c>
      <c r="O76" s="56">
        <f t="shared" si="21"/>
        <v>4.3337187661897938E-7</v>
      </c>
      <c r="P76" s="56">
        <f t="shared" si="49"/>
        <v>2.1464390688081679E-4</v>
      </c>
      <c r="Q76" s="56">
        <f t="shared" si="50"/>
        <v>3.2124747636122579E-3</v>
      </c>
      <c r="R76" s="9">
        <f t="shared" si="43"/>
        <v>3.9999999999999996E-5</v>
      </c>
      <c r="S76" s="9">
        <f t="shared" si="39"/>
        <v>6.3100670723661924E-7</v>
      </c>
      <c r="T76" s="9">
        <f t="shared" si="40"/>
        <v>1.7324622239741007E-5</v>
      </c>
      <c r="U76" s="9">
        <f t="shared" si="41"/>
        <v>3.9368993292763375E-5</v>
      </c>
      <c r="V76" s="102">
        <f t="shared" si="42"/>
        <v>0.44005753743582615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2.1004549420906745E-4</v>
      </c>
      <c r="J77" s="54">
        <f t="shared" si="45"/>
        <v>3.5001380315970977E-2</v>
      </c>
      <c r="K77" s="55">
        <f t="shared" si="46"/>
        <v>0.9989191754911384</v>
      </c>
      <c r="L77" s="55">
        <f t="shared" si="47"/>
        <v>7.9624018553371034E-5</v>
      </c>
      <c r="M77" s="55">
        <f t="shared" si="19"/>
        <v>0.99992037598144667</v>
      </c>
      <c r="N77" s="55">
        <f t="shared" si="48"/>
        <v>5.5771550221975436E-6</v>
      </c>
      <c r="O77" s="56">
        <f t="shared" si="21"/>
        <v>9.9951034240790413E-7</v>
      </c>
      <c r="P77" s="56">
        <f t="shared" si="49"/>
        <v>1.0833996043365261E-6</v>
      </c>
      <c r="Q77" s="56">
        <f t="shared" si="50"/>
        <v>1.5177047464195036E-6</v>
      </c>
      <c r="R77" s="9">
        <f t="shared" si="43"/>
        <v>3.9999999999999996E-5</v>
      </c>
      <c r="S77" s="9">
        <f t="shared" si="39"/>
        <v>3.1849607421348412E-9</v>
      </c>
      <c r="T77" s="9">
        <f t="shared" si="40"/>
        <v>3.9956767019645533E-5</v>
      </c>
      <c r="U77" s="9">
        <f t="shared" si="41"/>
        <v>3.999681503925786E-5</v>
      </c>
      <c r="V77" s="102">
        <f t="shared" si="42"/>
        <v>0.99899871978373722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9.6186457475178466E-3</v>
      </c>
      <c r="J78" s="54">
        <f t="shared" si="45"/>
        <v>0.86614766954915134</v>
      </c>
      <c r="K78" s="55">
        <f t="shared" si="46"/>
        <v>0.97707294556926538</v>
      </c>
      <c r="L78" s="55">
        <f t="shared" si="47"/>
        <v>5.2794298015818996E-4</v>
      </c>
      <c r="M78" s="55">
        <f t="shared" si="19"/>
        <v>0.99947205701984176</v>
      </c>
      <c r="N78" s="55">
        <f t="shared" si="48"/>
        <v>2.8530695218262776E-4</v>
      </c>
      <c r="O78" s="56">
        <f t="shared" si="21"/>
        <v>9.7765118374394398E-7</v>
      </c>
      <c r="P78" s="56">
        <f t="shared" si="49"/>
        <v>7.1834256322072329E-6</v>
      </c>
      <c r="Q78" s="56">
        <f t="shared" si="50"/>
        <v>7.7640250950643047E-5</v>
      </c>
      <c r="R78" s="9">
        <f t="shared" si="43"/>
        <v>3.9999999999999996E-5</v>
      </c>
      <c r="S78" s="9">
        <f t="shared" si="39"/>
        <v>2.1117719206327595E-8</v>
      </c>
      <c r="T78" s="9">
        <f t="shared" si="40"/>
        <v>3.9082917822770615E-5</v>
      </c>
      <c r="U78" s="9">
        <f t="shared" si="41"/>
        <v>3.9978882280793667E-5</v>
      </c>
      <c r="V78" s="102">
        <f t="shared" si="42"/>
        <v>0.97758905684930852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8.6760595853303396E-2</v>
      </c>
      <c r="J79" s="54">
        <f t="shared" si="45"/>
        <v>1.8465793817928891</v>
      </c>
      <c r="K79" s="55">
        <f t="shared" si="46"/>
        <v>0.81504610540398736</v>
      </c>
      <c r="L79" s="55">
        <f t="shared" si="47"/>
        <v>4.2099207475113799E-3</v>
      </c>
      <c r="M79" s="55">
        <f t="shared" si="19"/>
        <v>0.99579007925248864</v>
      </c>
      <c r="N79" s="55">
        <f t="shared" si="48"/>
        <v>2.7580017841624294E-3</v>
      </c>
      <c r="O79" s="56">
        <f t="shared" si="21"/>
        <v>8.1552845503244142E-7</v>
      </c>
      <c r="P79" s="56">
        <f t="shared" si="49"/>
        <v>5.7282043220222091E-5</v>
      </c>
      <c r="Q79" s="56">
        <f t="shared" si="50"/>
        <v>7.5053183599824917E-4</v>
      </c>
      <c r="R79" s="9">
        <f t="shared" si="43"/>
        <v>3.9999999999999996E-5</v>
      </c>
      <c r="S79" s="9">
        <f t="shared" si="39"/>
        <v>1.6839682990045517E-7</v>
      </c>
      <c r="T79" s="9">
        <f t="shared" si="40"/>
        <v>3.2601844216159492E-5</v>
      </c>
      <c r="U79" s="9">
        <f t="shared" si="41"/>
        <v>3.9831603170099545E-5</v>
      </c>
      <c r="V79" s="102">
        <f t="shared" si="42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1.9819141928346475</v>
      </c>
      <c r="J80" s="54">
        <f t="shared" si="45"/>
        <v>4.7849539498028779</v>
      </c>
      <c r="K80" s="55">
        <f t="shared" si="46"/>
        <v>9.9549275665316173E-3</v>
      </c>
      <c r="L80" s="55">
        <f t="shared" si="47"/>
        <v>4.4617416145697975E-2</v>
      </c>
      <c r="M80" s="55">
        <f t="shared" si="19"/>
        <v>0.95538258385430197</v>
      </c>
      <c r="N80" s="55">
        <f t="shared" si="48"/>
        <v>3.9702373496652003E-2</v>
      </c>
      <c r="O80" s="56">
        <f t="shared" si="21"/>
        <v>9.9608189579279637E-9</v>
      </c>
      <c r="P80" s="56">
        <f t="shared" si="49"/>
        <v>6.0708429286781911E-4</v>
      </c>
      <c r="Q80" s="56">
        <f t="shared" si="50"/>
        <v>1.0804160985334424E-2</v>
      </c>
      <c r="R80" s="9">
        <f t="shared" si="43"/>
        <v>3.9999999999999996E-5</v>
      </c>
      <c r="S80" s="9">
        <f t="shared" si="39"/>
        <v>1.7846966458279188E-6</v>
      </c>
      <c r="T80" s="9">
        <f t="shared" si="40"/>
        <v>3.9819710266126467E-7</v>
      </c>
      <c r="U80" s="9">
        <f t="shared" si="41"/>
        <v>3.8215303354172076E-5</v>
      </c>
      <c r="V80" s="102">
        <f t="shared" si="42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0.12726341031571042</v>
      </c>
      <c r="J81" s="54">
        <f t="shared" si="45"/>
        <v>2.1476419495508856</v>
      </c>
      <c r="K81" s="55">
        <f t="shared" si="46"/>
        <v>0.73991012391771194</v>
      </c>
      <c r="L81" s="55">
        <f t="shared" si="47"/>
        <v>7.644221823431642E-3</v>
      </c>
      <c r="M81" s="55">
        <f t="shared" si="19"/>
        <v>0.99235577817656839</v>
      </c>
      <c r="N81" s="55">
        <f t="shared" si="48"/>
        <v>5.8303326733105234E-3</v>
      </c>
      <c r="O81" s="56">
        <f t="shared" si="21"/>
        <v>7.403480075797462E-7</v>
      </c>
      <c r="P81" s="56">
        <f t="shared" si="49"/>
        <v>1.0401066222769613E-4</v>
      </c>
      <c r="Q81" s="56">
        <f t="shared" si="50"/>
        <v>1.5866016878263976E-3</v>
      </c>
      <c r="R81" s="9">
        <f t="shared" si="43"/>
        <v>3.9999999999999996E-5</v>
      </c>
      <c r="S81" s="9">
        <f t="shared" si="39"/>
        <v>3.0576887293726568E-7</v>
      </c>
      <c r="T81" s="9">
        <f t="shared" si="40"/>
        <v>2.9596404956708475E-5</v>
      </c>
      <c r="U81" s="9">
        <f t="shared" si="41"/>
        <v>3.969423112706273E-5</v>
      </c>
      <c r="V81" s="102">
        <f t="shared" si="42"/>
        <v>0.74560973008821518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0.47104615060046062</v>
      </c>
      <c r="J82" s="54">
        <f t="shared" si="45"/>
        <v>3.0007157776870899</v>
      </c>
      <c r="K82" s="55">
        <f t="shared" si="46"/>
        <v>0.32965010658180194</v>
      </c>
      <c r="L82" s="55">
        <f t="shared" si="47"/>
        <v>2.4281826972735805E-2</v>
      </c>
      <c r="M82" s="55">
        <f t="shared" si="19"/>
        <v>0.97571817302726416</v>
      </c>
      <c r="N82" s="55">
        <f t="shared" si="48"/>
        <v>2.024806781720765E-2</v>
      </c>
      <c r="O82" s="56">
        <f t="shared" si="21"/>
        <v>3.2984519567599586E-7</v>
      </c>
      <c r="P82" s="56">
        <f t="shared" si="49"/>
        <v>3.3038927465331013E-4</v>
      </c>
      <c r="Q82" s="56">
        <f t="shared" si="50"/>
        <v>5.5100832789638683E-3</v>
      </c>
      <c r="R82" s="9">
        <f t="shared" si="43"/>
        <v>3.9999999999999996E-5</v>
      </c>
      <c r="S82" s="9">
        <f t="shared" si="39"/>
        <v>9.7127307890943205E-7</v>
      </c>
      <c r="T82" s="9">
        <f t="shared" si="40"/>
        <v>1.3186004263272077E-5</v>
      </c>
      <c r="U82" s="9">
        <f t="shared" si="41"/>
        <v>3.9028726921090561E-5</v>
      </c>
      <c r="V82" s="102">
        <f t="shared" si="42"/>
        <v>0.33785381444626494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0.17835694544431219</v>
      </c>
      <c r="J83" s="54">
        <f t="shared" si="45"/>
        <v>2.3388959370141773</v>
      </c>
      <c r="K83" s="55">
        <f t="shared" si="46"/>
        <v>0.6558775448238372</v>
      </c>
      <c r="L83" s="55">
        <f t="shared" si="47"/>
        <v>1.052521706532228E-2</v>
      </c>
      <c r="M83" s="55">
        <f t="shared" si="19"/>
        <v>0.98947478293467772</v>
      </c>
      <c r="N83" s="55">
        <f t="shared" si="48"/>
        <v>8.195984502403466E-3</v>
      </c>
      <c r="O83" s="56">
        <f t="shared" si="21"/>
        <v>6.562656974546633E-7</v>
      </c>
      <c r="P83" s="56">
        <f t="shared" si="49"/>
        <v>1.4321075739832085E-4</v>
      </c>
      <c r="Q83" s="56">
        <f t="shared" si="50"/>
        <v>2.2303637842896306E-3</v>
      </c>
      <c r="R83" s="9">
        <f t="shared" si="43"/>
        <v>3.9999999999999996E-5</v>
      </c>
      <c r="S83" s="9">
        <f t="shared" si="39"/>
        <v>4.210086826128912E-7</v>
      </c>
      <c r="T83" s="9">
        <f t="shared" si="40"/>
        <v>2.6235101792953487E-5</v>
      </c>
      <c r="U83" s="9">
        <f t="shared" si="41"/>
        <v>3.9578991317387105E-5</v>
      </c>
      <c r="V83" s="102">
        <f t="shared" si="42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5.9812805986470914E-3</v>
      </c>
      <c r="J84" s="54">
        <f t="shared" si="45"/>
        <v>0.66821968451796943</v>
      </c>
      <c r="K84" s="55">
        <f t="shared" si="46"/>
        <v>0.9854782914271526</v>
      </c>
      <c r="L84" s="55">
        <f t="shared" si="47"/>
        <v>3.3758186512523414E-4</v>
      </c>
      <c r="M84" s="55">
        <f t="shared" si="19"/>
        <v>0.99966241813487478</v>
      </c>
      <c r="N84" s="55">
        <f t="shared" si="48"/>
        <v>1.5775329100055287E-4</v>
      </c>
      <c r="O84" s="56">
        <f t="shared" si="21"/>
        <v>9.8606150394061376E-7</v>
      </c>
      <c r="P84" s="56">
        <f t="shared" si="49"/>
        <v>4.593288127786678E-6</v>
      </c>
      <c r="Q84" s="56">
        <f t="shared" si="50"/>
        <v>4.2929220644201743E-5</v>
      </c>
      <c r="R84" s="9">
        <f t="shared" si="43"/>
        <v>3.9999999999999996E-5</v>
      </c>
      <c r="S84" s="9">
        <f t="shared" si="39"/>
        <v>1.3503274605009364E-8</v>
      </c>
      <c r="T84" s="9">
        <f t="shared" si="40"/>
        <v>3.9419131657086102E-5</v>
      </c>
      <c r="U84" s="9">
        <f t="shared" si="41"/>
        <v>3.9986496725394987E-5</v>
      </c>
      <c r="V84" s="102">
        <f t="shared" si="42"/>
        <v>0.98581108337133816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0.11910186422699467</v>
      </c>
      <c r="J85" s="54">
        <f t="shared" si="45"/>
        <v>2.1336193491516409</v>
      </c>
      <c r="K85" s="55">
        <f t="shared" si="46"/>
        <v>0.75402374114605963</v>
      </c>
      <c r="L85" s="55">
        <f t="shared" si="47"/>
        <v>7.5425245307794934E-3</v>
      </c>
      <c r="M85" s="55">
        <f t="shared" si="19"/>
        <v>0.99245747546922047</v>
      </c>
      <c r="N85" s="55">
        <f t="shared" si="48"/>
        <v>5.8591873705466698E-3</v>
      </c>
      <c r="O85" s="56">
        <f t="shared" si="21"/>
        <v>7.5446997733929564E-7</v>
      </c>
      <c r="P85" s="56">
        <f t="shared" si="49"/>
        <v>1.0262692389568034E-4</v>
      </c>
      <c r="Q85" s="56">
        <f t="shared" si="50"/>
        <v>1.5944538832158924E-3</v>
      </c>
      <c r="R85" s="9">
        <f t="shared" si="43"/>
        <v>3.9999999999999996E-5</v>
      </c>
      <c r="S85" s="9">
        <f t="shared" si="39"/>
        <v>3.0170098123117972E-7</v>
      </c>
      <c r="T85" s="9">
        <f t="shared" si="40"/>
        <v>3.0160949645842384E-5</v>
      </c>
      <c r="U85" s="9">
        <f t="shared" si="41"/>
        <v>3.9698299018768817E-5</v>
      </c>
      <c r="V85" s="102">
        <f t="shared" si="42"/>
        <v>0.75975420588128217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3.4503381608646556E-2</v>
      </c>
      <c r="J86" s="54">
        <f t="shared" si="45"/>
        <v>1.473638978374388</v>
      </c>
      <c r="K86" s="55">
        <f t="shared" si="46"/>
        <v>0.92128725089756069</v>
      </c>
      <c r="L86" s="55">
        <f t="shared" si="47"/>
        <v>2.0162593834849112E-3</v>
      </c>
      <c r="M86" s="55">
        <f t="shared" si="19"/>
        <v>0.99798374061651507</v>
      </c>
      <c r="N86" s="55">
        <f t="shared" si="48"/>
        <v>1.3826664582370146E-3</v>
      </c>
      <c r="O86" s="56">
        <f t="shared" si="21"/>
        <v>9.2183247473241305E-7</v>
      </c>
      <c r="P86" s="56">
        <f t="shared" si="49"/>
        <v>2.7434116714960506E-5</v>
      </c>
      <c r="Q86" s="56">
        <f t="shared" si="50"/>
        <v>3.7626342427801224E-4</v>
      </c>
      <c r="R86" s="9">
        <f t="shared" si="43"/>
        <v>3.9999999999999996E-5</v>
      </c>
      <c r="S86" s="9">
        <f t="shared" si="39"/>
        <v>8.0650375339396435E-8</v>
      </c>
      <c r="T86" s="9">
        <f t="shared" si="40"/>
        <v>3.6851490035902424E-5</v>
      </c>
      <c r="U86" s="9">
        <f t="shared" si="41"/>
        <v>3.9919349624660598E-5</v>
      </c>
      <c r="V86" s="102">
        <f t="shared" si="42"/>
        <v>0.92314855783965544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1.1640116161103842</v>
      </c>
      <c r="J88" s="54">
        <f t="shared" si="45"/>
        <v>3.9852799121672526</v>
      </c>
      <c r="K88" s="55">
        <f t="shared" si="46"/>
        <v>6.5329728649100985E-2</v>
      </c>
      <c r="L88" s="55">
        <f t="shared" si="47"/>
        <v>4.6441167428043939E-2</v>
      </c>
      <c r="M88" s="55">
        <f t="shared" si="19"/>
        <v>0.95355883257195606</v>
      </c>
      <c r="N88" s="55">
        <f t="shared" si="48"/>
        <v>4.2294239532276179E-2</v>
      </c>
      <c r="O88" s="56">
        <f t="shared" si="21"/>
        <v>6.5368391210803891E-8</v>
      </c>
      <c r="P88" s="56">
        <f t="shared" si="49"/>
        <v>6.3189905923605335E-4</v>
      </c>
      <c r="Q88" s="56">
        <f t="shared" si="50"/>
        <v>1.1509482492212734E-2</v>
      </c>
      <c r="R88" s="9">
        <f>F88*$C$14</f>
        <v>3.9999999999999996E-5</v>
      </c>
      <c r="S88" s="9">
        <f t="shared" si="39"/>
        <v>1.8576466971217575E-6</v>
      </c>
      <c r="T88" s="9">
        <f t="shared" si="40"/>
        <v>2.6131891459640393E-6</v>
      </c>
      <c r="U88" s="9">
        <f t="shared" si="41"/>
        <v>3.814235330287824E-5</v>
      </c>
      <c r="V88" s="102">
        <f t="shared" si="42"/>
        <v>6.8511481848364267E-2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2.5219720041185631</v>
      </c>
      <c r="J89" s="54">
        <f t="shared" si="45"/>
        <v>5.4568603611336437</v>
      </c>
      <c r="K89" s="55">
        <f t="shared" si="46"/>
        <v>2.8259256401040912E-3</v>
      </c>
      <c r="L89" s="55">
        <f t="shared" si="47"/>
        <v>5.9502258850364968E-2</v>
      </c>
      <c r="M89" s="55">
        <f t="shared" si="19"/>
        <v>0.94049774114963502</v>
      </c>
      <c r="N89" s="55">
        <f t="shared" si="48"/>
        <v>5.6228965847115321E-2</v>
      </c>
      <c r="O89" s="56">
        <f t="shared" si="21"/>
        <v>2.8275980414240965E-9</v>
      </c>
      <c r="P89" s="56">
        <f t="shared" si="49"/>
        <v>8.0961404444068773E-4</v>
      </c>
      <c r="Q89" s="56">
        <f t="shared" si="50"/>
        <v>1.5301523449280298E-2</v>
      </c>
      <c r="R89" s="9">
        <f>F89*$C$14</f>
        <v>3.9999999999999996E-5</v>
      </c>
      <c r="S89" s="9">
        <f t="shared" si="39"/>
        <v>2.3800903540145984E-6</v>
      </c>
      <c r="T89" s="9">
        <f t="shared" si="40"/>
        <v>1.1303702560416363E-7</v>
      </c>
      <c r="U89" s="9">
        <f t="shared" si="41"/>
        <v>3.7619909645985395E-5</v>
      </c>
      <c r="V89" s="102">
        <f t="shared" si="42"/>
        <v>3.0047128413618176E-3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2.8671793282646911</v>
      </c>
      <c r="J90" s="54">
        <f t="shared" si="45"/>
        <v>5.8376711731613922</v>
      </c>
      <c r="K90" s="55">
        <f t="shared" si="46"/>
        <v>1.269846572571296E-3</v>
      </c>
      <c r="L90" s="55">
        <f t="shared" si="47"/>
        <v>6.425912183341341E-2</v>
      </c>
      <c r="M90" s="55">
        <f t="shared" si="19"/>
        <v>0.93574087816658658</v>
      </c>
      <c r="N90" s="55">
        <f t="shared" si="48"/>
        <v>6.1517774718871536E-2</v>
      </c>
      <c r="O90" s="56">
        <f t="shared" si="21"/>
        <v>1.2705980760977985E-9</v>
      </c>
      <c r="P90" s="56">
        <f t="shared" si="49"/>
        <v>8.743380255628331E-4</v>
      </c>
      <c r="Q90" s="56">
        <f t="shared" si="50"/>
        <v>1.6740760891241737E-2</v>
      </c>
      <c r="R90" s="9">
        <f>F90*$C$14</f>
        <v>3.9999999999999996E-5</v>
      </c>
      <c r="S90" s="9">
        <f t="shared" si="39"/>
        <v>2.5703648733365363E-6</v>
      </c>
      <c r="T90" s="9">
        <f t="shared" si="40"/>
        <v>5.0793862902851837E-8</v>
      </c>
      <c r="U90" s="9">
        <f t="shared" si="41"/>
        <v>3.7429635126663458E-5</v>
      </c>
      <c r="V90" s="102">
        <f t="shared" si="42"/>
        <v>1.3570493736036503E-3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3.2678433041260839</v>
      </c>
      <c r="J91" s="54">
        <f t="shared" si="45"/>
        <v>6.2686756056738835</v>
      </c>
      <c r="K91" s="55">
        <f t="shared" si="46"/>
        <v>5.0242655771682405E-4</v>
      </c>
      <c r="L91" s="55">
        <f t="shared" si="47"/>
        <v>6.8589960894380297E-2</v>
      </c>
      <c r="M91" s="55">
        <f t="shared" si="19"/>
        <v>0.9314100391056197</v>
      </c>
      <c r="N91" s="55">
        <f t="shared" si="48"/>
        <v>6.6339463337933224E-2</v>
      </c>
      <c r="O91" s="56">
        <f t="shared" si="21"/>
        <v>5.0272389704748685E-10</v>
      </c>
      <c r="P91" s="56">
        <f t="shared" si="49"/>
        <v>9.3326533682321262E-4</v>
      </c>
      <c r="Q91" s="56">
        <f t="shared" si="50"/>
        <v>1.8052881439044509E-2</v>
      </c>
      <c r="R91" s="9">
        <f t="shared" ref="R91:R92" si="51">F91*$C$14</f>
        <v>3.9999999999999996E-5</v>
      </c>
      <c r="S91" s="9">
        <f t="shared" si="39"/>
        <v>2.7435984357752116E-6</v>
      </c>
      <c r="T91" s="9">
        <f t="shared" si="40"/>
        <v>2.0097062308672959E-8</v>
      </c>
      <c r="U91" s="9">
        <f t="shared" si="41"/>
        <v>3.7256401564224788E-5</v>
      </c>
      <c r="V91" s="102">
        <f t="shared" si="42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4.4880081925943038</v>
      </c>
      <c r="J92" s="54">
        <f t="shared" si="45"/>
        <v>7.5335977384937181</v>
      </c>
      <c r="K92" s="55">
        <f t="shared" si="46"/>
        <v>3.0039037693555686E-5</v>
      </c>
      <c r="L92" s="55">
        <f t="shared" si="47"/>
        <v>7.547378255057216E-2</v>
      </c>
      <c r="M92" s="55">
        <f t="shared" si="19"/>
        <v>0.92452621744942787</v>
      </c>
      <c r="N92" s="55">
        <f t="shared" si="48"/>
        <v>7.4011018724190428E-2</v>
      </c>
      <c r="O92" s="56">
        <f t="shared" si="21"/>
        <v>3.0056814992992534E-11</v>
      </c>
      <c r="P92" s="56">
        <f t="shared" si="49"/>
        <v>1.0269296581440781E-3</v>
      </c>
      <c r="Q92" s="56">
        <f t="shared" si="50"/>
        <v>2.0140532934439903E-2</v>
      </c>
      <c r="R92" s="9">
        <f t="shared" si="51"/>
        <v>3.9999999999999996E-5</v>
      </c>
      <c r="S92" s="9">
        <f t="shared" si="39"/>
        <v>3.018951302022886E-6</v>
      </c>
      <c r="T92" s="9">
        <f t="shared" si="40"/>
        <v>1.2015615077422273E-9</v>
      </c>
      <c r="U92" s="9">
        <f t="shared" si="41"/>
        <v>3.6981048697977112E-5</v>
      </c>
      <c r="V92" s="102">
        <f t="shared" si="42"/>
        <v>3.2491277290574878E-5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3.2311126461878961E-2</v>
      </c>
      <c r="J93" s="54">
        <f t="shared" si="45"/>
        <v>1.270819636021709</v>
      </c>
      <c r="K93" s="55">
        <f t="shared" si="46"/>
        <v>0.92664073287828863</v>
      </c>
      <c r="L93" s="55">
        <f t="shared" si="47"/>
        <v>1.2712863524122497E-3</v>
      </c>
      <c r="M93" s="55">
        <f t="shared" ref="M93:M127" si="52">IF(D93=0,"",1-L93)</f>
        <v>0.99872871364758775</v>
      </c>
      <c r="N93" s="55">
        <f t="shared" si="48"/>
        <v>6.0588995589661281E-4</v>
      </c>
      <c r="O93" s="56">
        <f t="shared" ref="O93:O127" si="53">IF(D93=0,"",F93*K93*$J$7/$J$14)</f>
        <v>9.2718912493887337E-7</v>
      </c>
      <c r="P93" s="56">
        <f t="shared" si="49"/>
        <v>1.7297684244342203E-5</v>
      </c>
      <c r="Q93" s="56">
        <f t="shared" si="50"/>
        <v>1.6488013300908059E-4</v>
      </c>
      <c r="R93" s="9">
        <f>F93*$C$14</f>
        <v>3.9999999999999996E-5</v>
      </c>
      <c r="S93" s="9">
        <f t="shared" si="39"/>
        <v>5.0851454096489985E-8</v>
      </c>
      <c r="T93" s="9">
        <f t="shared" si="40"/>
        <v>3.7065629315131539E-5</v>
      </c>
      <c r="U93" s="9">
        <f t="shared" si="41"/>
        <v>3.9949148545903503E-5</v>
      </c>
      <c r="V93" s="102">
        <f t="shared" si="42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1.9446765022663539E-3</v>
      </c>
      <c r="J107" s="54">
        <f t="shared" si="45"/>
        <v>0.31057730519789178</v>
      </c>
      <c r="K107" s="55">
        <f t="shared" si="46"/>
        <v>0.99486771327959667</v>
      </c>
      <c r="L107" s="55">
        <f t="shared" si="47"/>
        <v>1.495736197554617E-4</v>
      </c>
      <c r="M107" s="55">
        <f t="shared" si="52"/>
        <v>0.99985042638024457</v>
      </c>
      <c r="N107" s="55">
        <f t="shared" si="48"/>
        <v>4.2742478613342953E-5</v>
      </c>
      <c r="O107" s="56">
        <f t="shared" si="53"/>
        <v>9.9545648251446509E-7</v>
      </c>
      <c r="P107" s="56">
        <f t="shared" si="49"/>
        <v>2.0351648083879418E-6</v>
      </c>
      <c r="Q107" s="56">
        <f t="shared" si="50"/>
        <v>1.163146127497171E-5</v>
      </c>
      <c r="R107" s="9">
        <f>F107*$C$14</f>
        <v>3.9999999999999996E-5</v>
      </c>
      <c r="S107" s="9">
        <f t="shared" ref="S107:S108" si="54">$R107*L107</f>
        <v>5.9829447902184671E-9</v>
      </c>
      <c r="T107" s="9">
        <f t="shared" ref="T107:T108" si="55">R107*K107</f>
        <v>3.9794708531183864E-5</v>
      </c>
      <c r="U107" s="9">
        <f t="shared" ref="U107:U108" si="56">$R107*M107</f>
        <v>3.999401705520978E-5</v>
      </c>
      <c r="V107" s="102">
        <f t="shared" ref="V107:V108" si="57">K107/M107</f>
        <v>0.99501654150542618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1.5422749478710035E-2</v>
      </c>
      <c r="J108" s="54">
        <f t="shared" si="45"/>
        <v>1.0376508814998808</v>
      </c>
      <c r="K108" s="55">
        <f t="shared" si="46"/>
        <v>0.96386539446894537</v>
      </c>
      <c r="L108" s="55">
        <f t="shared" si="47"/>
        <v>7.7300024496278165E-4</v>
      </c>
      <c r="M108" s="55">
        <f t="shared" si="52"/>
        <v>0.99922699975503726</v>
      </c>
      <c r="N108" s="55">
        <f t="shared" si="48"/>
        <v>4.2544924214443937E-4</v>
      </c>
      <c r="O108" s="56">
        <f t="shared" si="53"/>
        <v>9.6443581632829699E-7</v>
      </c>
      <c r="P108" s="56">
        <f t="shared" si="49"/>
        <v>1.0517783135793012E-5</v>
      </c>
      <c r="Q108" s="56">
        <f t="shared" si="50"/>
        <v>1.1577701024863594E-4</v>
      </c>
      <c r="R108" s="9">
        <f>F108*$C$14</f>
        <v>3.9999999999999996E-5</v>
      </c>
      <c r="S108" s="9">
        <f t="shared" si="54"/>
        <v>3.0920009798511262E-8</v>
      </c>
      <c r="T108" s="9">
        <f t="shared" si="55"/>
        <v>3.8554615778757809E-5</v>
      </c>
      <c r="U108" s="9">
        <f t="shared" si="56"/>
        <v>3.9969079990201484E-5</v>
      </c>
      <c r="V108" s="102">
        <f t="shared" si="57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1.0353959656071578E-2</v>
      </c>
      <c r="J114" s="54">
        <f t="shared" si="45"/>
        <v>0.9134404490197624</v>
      </c>
      <c r="K114" s="55">
        <f t="shared" si="46"/>
        <v>0.97536177080187925</v>
      </c>
      <c r="L114" s="55">
        <f t="shared" si="47"/>
        <v>5.8764972925211289E-4</v>
      </c>
      <c r="M114" s="55">
        <f t="shared" si="52"/>
        <v>0.99941235027074793</v>
      </c>
      <c r="N114" s="55">
        <f t="shared" si="48"/>
        <v>3.3463941758199531E-4</v>
      </c>
      <c r="O114" s="56">
        <f t="shared" si="53"/>
        <v>9.7593899629211228E-7</v>
      </c>
      <c r="P114" s="56">
        <f t="shared" si="49"/>
        <v>7.9958220613226247E-6</v>
      </c>
      <c r="Q114" s="56">
        <f t="shared" si="50"/>
        <v>9.1065037708622476E-5</v>
      </c>
      <c r="R114" s="9">
        <f>F114*$C$14</f>
        <v>3.9999999999999996E-5</v>
      </c>
      <c r="S114" s="9">
        <f t="shared" ref="S114:S116" si="58">$R114*L114</f>
        <v>2.3505989170084512E-8</v>
      </c>
      <c r="T114" s="9">
        <f t="shared" ref="T114:T116" si="59">R114*K114</f>
        <v>3.9014470832075167E-5</v>
      </c>
      <c r="U114" s="9">
        <f t="shared" ref="U114:U116" si="60">$R114*M114</f>
        <v>3.9976494010829915E-5</v>
      </c>
      <c r="V114" s="102">
        <f t="shared" ref="V114:V116" si="61">K114/M114</f>
        <v>0.97593527890429488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2.0480395290290027E-2</v>
      </c>
      <c r="J115" s="54">
        <f t="shared" si="45"/>
        <v>0.97331271643662465</v>
      </c>
      <c r="K115" s="55">
        <f t="shared" si="46"/>
        <v>0.95281442128687321</v>
      </c>
      <c r="L115" s="55">
        <f t="shared" si="47"/>
        <v>6.5892107777839855E-4</v>
      </c>
      <c r="M115" s="55">
        <f t="shared" si="52"/>
        <v>0.99934107892222157</v>
      </c>
      <c r="N115" s="55">
        <f t="shared" si="48"/>
        <v>1.8684724040244458E-4</v>
      </c>
      <c r="O115" s="56">
        <f t="shared" si="53"/>
        <v>9.5337830310784764E-7</v>
      </c>
      <c r="P115" s="56">
        <f t="shared" si="49"/>
        <v>8.965571543913132E-6</v>
      </c>
      <c r="Q115" s="56">
        <f t="shared" si="50"/>
        <v>5.0846523448874612E-5</v>
      </c>
      <c r="R115" s="9">
        <f>F115*$C$14</f>
        <v>3.9999999999999996E-5</v>
      </c>
      <c r="S115" s="9">
        <f t="shared" si="58"/>
        <v>2.6356843111135939E-8</v>
      </c>
      <c r="T115" s="9">
        <f t="shared" si="59"/>
        <v>3.8112576851474923E-5</v>
      </c>
      <c r="U115" s="9">
        <f t="shared" si="60"/>
        <v>3.9973643156888863E-5</v>
      </c>
      <c r="V115" s="102">
        <f t="shared" si="61"/>
        <v>0.95344266475513362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5.8413729360461944E-4</v>
      </c>
      <c r="J116" s="54">
        <f t="shared" si="45"/>
        <v>7.3650487553540506E-2</v>
      </c>
      <c r="K116" s="55">
        <f t="shared" si="46"/>
        <v>0.99805177716324911</v>
      </c>
      <c r="L116" s="55">
        <f t="shared" si="47"/>
        <v>8.6959277300649991E-5</v>
      </c>
      <c r="M116" s="55">
        <f t="shared" si="52"/>
        <v>0.99991304072269938</v>
      </c>
      <c r="N116" s="55">
        <f t="shared" si="48"/>
        <v>5.0138396278927719E-6</v>
      </c>
      <c r="O116" s="56">
        <f t="shared" si="53"/>
        <v>9.9864243074799788E-7</v>
      </c>
      <c r="P116" s="56">
        <f t="shared" si="49"/>
        <v>1.1832063783337628E-6</v>
      </c>
      <c r="Q116" s="56">
        <f t="shared" si="50"/>
        <v>1.3644103796205231E-6</v>
      </c>
      <c r="R116" s="9">
        <f>F116*$C$14</f>
        <v>3.9999999999999996E-5</v>
      </c>
      <c r="S116" s="9">
        <f t="shared" si="58"/>
        <v>3.4783710920259994E-9</v>
      </c>
      <c r="T116" s="9">
        <f t="shared" si="59"/>
        <v>3.9922071086529961E-5</v>
      </c>
      <c r="U116" s="9">
        <f t="shared" si="60"/>
        <v>3.999652162890797E-5</v>
      </c>
      <c r="V116" s="102">
        <f t="shared" si="61"/>
        <v>0.99813857457233979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0.56658503951123784</v>
      </c>
      <c r="J119" s="54">
        <f t="shared" si="45"/>
        <v>3.1029128175372134</v>
      </c>
      <c r="K119" s="55">
        <f t="shared" si="46"/>
        <v>0.26445479409562034</v>
      </c>
      <c r="L119" s="55">
        <f t="shared" si="47"/>
        <v>2.4647712743768212E-2</v>
      </c>
      <c r="M119" s="55">
        <f t="shared" si="52"/>
        <v>0.9753522872562318</v>
      </c>
      <c r="N119" s="55">
        <f t="shared" si="48"/>
        <v>1.9998932319682129E-2</v>
      </c>
      <c r="O119" s="56">
        <f t="shared" si="53"/>
        <v>2.6461130017647777E-7</v>
      </c>
      <c r="P119" s="56">
        <f t="shared" si="49"/>
        <v>3.3536767824020227E-4</v>
      </c>
      <c r="Q119" s="56">
        <f t="shared" si="50"/>
        <v>5.4422863241381297E-3</v>
      </c>
      <c r="R119" s="9">
        <f>F119*$C$14</f>
        <v>3.9999999999999996E-5</v>
      </c>
      <c r="S119" s="9">
        <f t="shared" ref="S119:S121" si="62">$R119*L119</f>
        <v>9.8590850975072849E-7</v>
      </c>
      <c r="T119" s="9">
        <f t="shared" ref="T119:T121" si="63">R119*K119</f>
        <v>1.0578191763824813E-5</v>
      </c>
      <c r="U119" s="9">
        <f t="shared" ref="U119:U121" si="64">$R119*M119</f>
        <v>3.9014091490249272E-5</v>
      </c>
      <c r="V119" s="102">
        <f t="shared" ref="V119:V121" si="65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2.3514137427377815E-2</v>
      </c>
      <c r="J120" s="54">
        <f t="shared" si="45"/>
        <v>1.1861747440639347</v>
      </c>
      <c r="K120" s="55">
        <f t="shared" si="46"/>
        <v>0.9457946622924196</v>
      </c>
      <c r="L120" s="55">
        <f t="shared" si="47"/>
        <v>1.067785366275265E-3</v>
      </c>
      <c r="M120" s="55">
        <f t="shared" si="52"/>
        <v>0.99893221463372472</v>
      </c>
      <c r="N120" s="55">
        <f t="shared" si="48"/>
        <v>5.7202528339483298E-4</v>
      </c>
      <c r="O120" s="56">
        <f t="shared" si="53"/>
        <v>9.4635438977400101E-7</v>
      </c>
      <c r="P120" s="56">
        <f t="shared" si="49"/>
        <v>1.4528759843533144E-5</v>
      </c>
      <c r="Q120" s="56">
        <f t="shared" si="50"/>
        <v>1.5566457884439797E-4</v>
      </c>
      <c r="R120" s="9">
        <f>F120*$C$14</f>
        <v>3.9999999999999996E-5</v>
      </c>
      <c r="S120" s="9">
        <f t="shared" si="62"/>
        <v>4.2711414651010595E-8</v>
      </c>
      <c r="T120" s="9">
        <f t="shared" si="63"/>
        <v>3.7831786491696779E-5</v>
      </c>
      <c r="U120" s="9">
        <f t="shared" si="64"/>
        <v>3.9957288585348988E-5</v>
      </c>
      <c r="V120" s="102">
        <f t="shared" si="65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1.0322461970770105</v>
      </c>
      <c r="J121" s="54">
        <f t="shared" si="45"/>
        <v>3.5462712425453593</v>
      </c>
      <c r="K121" s="55">
        <f t="shared" si="46"/>
        <v>9.0620499702539742E-2</v>
      </c>
      <c r="L121" s="55">
        <f t="shared" si="47"/>
        <v>2.3442831020674917E-2</v>
      </c>
      <c r="M121" s="55">
        <f t="shared" si="52"/>
        <v>0.9765571689793251</v>
      </c>
      <c r="N121" s="55">
        <f t="shared" si="48"/>
        <v>1.6903156750764699E-2</v>
      </c>
      <c r="O121" s="56">
        <f t="shared" si="53"/>
        <v>9.0674129508353202E-8</v>
      </c>
      <c r="P121" s="56">
        <f t="shared" si="49"/>
        <v>3.1897352474496516E-4</v>
      </c>
      <c r="Q121" s="56">
        <f t="shared" si="50"/>
        <v>4.5998364987172467E-3</v>
      </c>
      <c r="R121" s="9">
        <f>F121*$C$14</f>
        <v>3.9999999999999996E-5</v>
      </c>
      <c r="S121" s="9">
        <f t="shared" si="62"/>
        <v>9.3771324082699659E-7</v>
      </c>
      <c r="T121" s="9">
        <f t="shared" si="63"/>
        <v>3.6248199881015894E-6</v>
      </c>
      <c r="U121" s="9">
        <f t="shared" si="64"/>
        <v>3.9062286759173E-5</v>
      </c>
      <c r="V121" s="102">
        <f t="shared" si="65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0.13981203375224771</v>
      </c>
      <c r="J124" s="54">
        <f t="shared" si="67"/>
        <v>2.2472155850103039</v>
      </c>
      <c r="K124" s="55">
        <f t="shared" si="68"/>
        <v>0.71761977270722987</v>
      </c>
      <c r="L124" s="55">
        <f t="shared" si="69"/>
        <v>9.324431080702085E-3</v>
      </c>
      <c r="M124" s="55">
        <f t="shared" si="52"/>
        <v>0.99067556891929787</v>
      </c>
      <c r="N124" s="55">
        <f t="shared" si="70"/>
        <v>7.4792967143039865E-3</v>
      </c>
      <c r="O124" s="56">
        <f t="shared" si="53"/>
        <v>7.1804446479328668E-7</v>
      </c>
      <c r="P124" s="56">
        <f t="shared" si="71"/>
        <v>1.2687233233178935E-4</v>
      </c>
      <c r="Q124" s="56">
        <f t="shared" si="72"/>
        <v>2.0353323653367313E-3</v>
      </c>
      <c r="R124" s="9">
        <f>F124*$C$14</f>
        <v>3.9999999999999996E-5</v>
      </c>
      <c r="S124" s="9">
        <f t="shared" ref="S124:S127" si="73">$R124*L124</f>
        <v>3.7297724322808337E-7</v>
      </c>
      <c r="T124" s="9">
        <f t="shared" ref="T124:T127" si="74">R124*K124</f>
        <v>2.8704790908289194E-5</v>
      </c>
      <c r="U124" s="9">
        <f t="shared" ref="U124:U127" si="75">$R124*M124</f>
        <v>3.9627022756771909E-5</v>
      </c>
      <c r="V124" s="102">
        <f t="shared" ref="V124:V127" si="76">K124/M124</f>
        <v>0.72437414954126966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4.9312922410980113E-2</v>
      </c>
      <c r="J126" s="54">
        <f t="shared" si="67"/>
        <v>1.5520519557651957</v>
      </c>
      <c r="K126" s="55">
        <f t="shared" si="68"/>
        <v>0.89011769595060986</v>
      </c>
      <c r="L126" s="55">
        <f t="shared" si="69"/>
        <v>2.3335212106228328E-3</v>
      </c>
      <c r="M126" s="55">
        <f t="shared" si="52"/>
        <v>0.9976664787893772</v>
      </c>
      <c r="N126" s="55">
        <f t="shared" si="70"/>
        <v>1.4222757369810096E-3</v>
      </c>
      <c r="O126" s="56">
        <f t="shared" si="53"/>
        <v>8.9064447343850331E-7</v>
      </c>
      <c r="P126" s="56">
        <f t="shared" si="71"/>
        <v>3.1750921420840993E-5</v>
      </c>
      <c r="Q126" s="56">
        <f t="shared" si="72"/>
        <v>3.8704225149596672E-4</v>
      </c>
      <c r="R126" s="9">
        <f>F126*$C$14</f>
        <v>3.9999999999999996E-5</v>
      </c>
      <c r="S126" s="9">
        <f t="shared" si="73"/>
        <v>9.3340848424913303E-8</v>
      </c>
      <c r="T126" s="9">
        <f t="shared" si="74"/>
        <v>3.5604707838024393E-5</v>
      </c>
      <c r="U126" s="9">
        <f t="shared" si="75"/>
        <v>3.9906659151575085E-5</v>
      </c>
      <c r="V126" s="102">
        <f t="shared" si="76"/>
        <v>0.8921996627878358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5.4598878066109929E-5</v>
      </c>
      <c r="J127" s="54">
        <f t="shared" si="67"/>
        <v>1.0401926303760755E-2</v>
      </c>
      <c r="K127" s="55">
        <f t="shared" si="68"/>
        <v>0.9992811363582067</v>
      </c>
      <c r="L127" s="55">
        <f t="shared" si="69"/>
        <v>7.5266544409387722E-5</v>
      </c>
      <c r="M127" s="55">
        <f t="shared" si="52"/>
        <v>0.99992473345559063</v>
      </c>
      <c r="N127" s="55">
        <f t="shared" si="70"/>
        <v>4.3664556708143857E-6</v>
      </c>
      <c r="O127" s="56">
        <f t="shared" si="53"/>
        <v>9.9987251748578662E-7</v>
      </c>
      <c r="P127" s="56">
        <f t="shared" si="71"/>
        <v>1.0241098843592082E-6</v>
      </c>
      <c r="Q127" s="56">
        <f t="shared" si="72"/>
        <v>1.1882385320561065E-6</v>
      </c>
      <c r="R127" s="9">
        <f>F127*$C$14</f>
        <v>3.9999999999999996E-5</v>
      </c>
      <c r="S127" s="9">
        <f t="shared" si="73"/>
        <v>3.0106617763755085E-9</v>
      </c>
      <c r="T127" s="9">
        <f t="shared" si="74"/>
        <v>3.9971245454328264E-5</v>
      </c>
      <c r="U127" s="9">
        <f t="shared" si="75"/>
        <v>3.9996989338223624E-5</v>
      </c>
      <c r="V127" s="102">
        <f t="shared" si="76"/>
        <v>0.99935635445764026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2.1084810301724875E-3</v>
      </c>
      <c r="J130" s="54">
        <f t="shared" si="78"/>
        <v>0.26394098838273794</v>
      </c>
      <c r="K130" s="55">
        <f t="shared" si="79"/>
        <v>0.99450774216725635</v>
      </c>
      <c r="L130" s="55">
        <f t="shared" si="80"/>
        <v>1.342955180062752E-4</v>
      </c>
      <c r="M130" s="55">
        <f t="shared" si="81"/>
        <v>0.99986570448199374</v>
      </c>
      <c r="N130" s="55">
        <f t="shared" si="82"/>
        <v>2.2077125917884594E-5</v>
      </c>
      <c r="O130" s="56">
        <f t="shared" si="83"/>
        <v>9.9509629836886054E-7</v>
      </c>
      <c r="P130" s="56">
        <f t="shared" si="84"/>
        <v>1.8272842003652878E-6</v>
      </c>
      <c r="Q130" s="56">
        <f t="shared" si="85"/>
        <v>6.0078227446638255E-6</v>
      </c>
      <c r="R130" s="9">
        <f>F130*$C$14</f>
        <v>3.9999999999999996E-5</v>
      </c>
      <c r="S130" s="9">
        <f t="shared" ref="S130:S131" si="86">$R130*L130</f>
        <v>5.3718207202510076E-9</v>
      </c>
      <c r="T130" s="9">
        <f t="shared" ref="T130:T131" si="87">R130*K130</f>
        <v>3.9780309686690248E-5</v>
      </c>
      <c r="U130" s="9">
        <f t="shared" ref="U130:U131" si="88">$R130*M130</f>
        <v>3.9994628179279749E-5</v>
      </c>
      <c r="V130" s="102">
        <f t="shared" ref="V130:V131" si="89">K130/M130</f>
        <v>0.9946413180382927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-5.830329626681688E-5</v>
      </c>
      <c r="J131" s="54">
        <f t="shared" si="78"/>
        <v>-1.6017347337335803E-2</v>
      </c>
      <c r="K131" s="55">
        <f t="shared" si="79"/>
        <v>0.99954537186259818</v>
      </c>
      <c r="L131" s="55">
        <f t="shared" si="80"/>
        <v>7.0843095123329175E-5</v>
      </c>
      <c r="M131" s="55">
        <f t="shared" si="81"/>
        <v>0.99992915690487671</v>
      </c>
      <c r="N131" s="55">
        <f t="shared" si="82"/>
        <v>2.0971518547365795E-6</v>
      </c>
      <c r="O131" s="56">
        <f t="shared" si="83"/>
        <v>1.0001369093664818E-6</v>
      </c>
      <c r="P131" s="56">
        <f t="shared" si="84"/>
        <v>9.6392247742613222E-7</v>
      </c>
      <c r="Q131" s="56">
        <f t="shared" si="85"/>
        <v>5.7069550895181019E-7</v>
      </c>
      <c r="R131" s="9">
        <f>F131*$C$14</f>
        <v>3.9999999999999996E-5</v>
      </c>
      <c r="S131" s="9">
        <f t="shared" si="86"/>
        <v>2.8337238049331666E-9</v>
      </c>
      <c r="T131" s="9">
        <f t="shared" si="87"/>
        <v>3.9981814874503922E-5</v>
      </c>
      <c r="U131" s="9">
        <f t="shared" si="88"/>
        <v>3.9997166276195066E-5</v>
      </c>
      <c r="V131" s="102">
        <f t="shared" si="89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2024-10-28T22:49:25Z</dcterms:modified>
</cp:coreProperties>
</file>