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Sensitivity analysis\Fischer model\384well_1um\"/>
    </mc:Choice>
  </mc:AlternateContent>
  <xr:revisionPtr revIDLastSave="0" documentId="13_ncr:1_{4915BDE8-2C7C-4FAA-90B0-C37487DF6170}" xr6:coauthVersionLast="47" xr6:coauthVersionMax="47" xr10:uidLastSave="{00000000-0000-0000-0000-000000000000}"/>
  <bookViews>
    <workbookView xWindow="43080" yWindow="-120" windowWidth="29040" windowHeight="1572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1" i="4" l="1"/>
  <c r="R131" i="4"/>
  <c r="U131" i="4" s="1"/>
  <c r="V130" i="4"/>
  <c r="R130" i="4"/>
  <c r="V127" i="4"/>
  <c r="U127" i="4"/>
  <c r="R127" i="4"/>
  <c r="T127" i="4" s="1"/>
  <c r="V126" i="4"/>
  <c r="R126" i="4"/>
  <c r="V124" i="4"/>
  <c r="U124" i="4"/>
  <c r="T124" i="4"/>
  <c r="S124" i="4"/>
  <c r="R124" i="4"/>
  <c r="V121" i="4"/>
  <c r="R121" i="4"/>
  <c r="T121" i="4" s="1"/>
  <c r="V120" i="4"/>
  <c r="R120" i="4"/>
  <c r="U120" i="4" s="1"/>
  <c r="V119" i="4"/>
  <c r="R119" i="4"/>
  <c r="U119" i="4" s="1"/>
  <c r="V116" i="4"/>
  <c r="R116" i="4"/>
  <c r="V115" i="4"/>
  <c r="U115" i="4"/>
  <c r="T115" i="4"/>
  <c r="R115" i="4"/>
  <c r="S115" i="4" s="1"/>
  <c r="V114" i="4"/>
  <c r="R114" i="4"/>
  <c r="U114" i="4" s="1"/>
  <c r="V108" i="4"/>
  <c r="R108" i="4"/>
  <c r="U108" i="4" s="1"/>
  <c r="V107" i="4"/>
  <c r="R107" i="4"/>
  <c r="U107" i="4" s="1"/>
  <c r="V93" i="4"/>
  <c r="R93" i="4"/>
  <c r="V92" i="4"/>
  <c r="U92" i="4"/>
  <c r="R92" i="4"/>
  <c r="T92" i="4" s="1"/>
  <c r="V91" i="4"/>
  <c r="R91" i="4"/>
  <c r="U91" i="4" s="1"/>
  <c r="V90" i="4"/>
  <c r="U90" i="4"/>
  <c r="T90" i="4"/>
  <c r="S90" i="4"/>
  <c r="R90" i="4"/>
  <c r="V89" i="4"/>
  <c r="R89" i="4"/>
  <c r="U89" i="4" s="1"/>
  <c r="V88" i="4"/>
  <c r="R88" i="4"/>
  <c r="U88" i="4" s="1"/>
  <c r="V86" i="4"/>
  <c r="R86" i="4"/>
  <c r="U86" i="4" s="1"/>
  <c r="V85" i="4"/>
  <c r="R85" i="4"/>
  <c r="V84" i="4"/>
  <c r="U84" i="4"/>
  <c r="T84" i="4"/>
  <c r="R84" i="4"/>
  <c r="S84" i="4" s="1"/>
  <c r="V83" i="4"/>
  <c r="R83" i="4"/>
  <c r="U83" i="4" s="1"/>
  <c r="V82" i="4"/>
  <c r="R82" i="4"/>
  <c r="U82" i="4" s="1"/>
  <c r="V81" i="4"/>
  <c r="R81" i="4"/>
  <c r="U81" i="4" s="1"/>
  <c r="V80" i="4"/>
  <c r="R80" i="4"/>
  <c r="U80" i="4" s="1"/>
  <c r="V79" i="4"/>
  <c r="U79" i="4"/>
  <c r="T79" i="4"/>
  <c r="S79" i="4"/>
  <c r="R79" i="4"/>
  <c r="V78" i="4"/>
  <c r="R78" i="4"/>
  <c r="V77" i="4"/>
  <c r="U77" i="4"/>
  <c r="T77" i="4"/>
  <c r="S77" i="4"/>
  <c r="R77" i="4"/>
  <c r="V76" i="4"/>
  <c r="R76" i="4"/>
  <c r="U76" i="4" s="1"/>
  <c r="V75" i="4"/>
  <c r="U75" i="4"/>
  <c r="T75" i="4"/>
  <c r="S75" i="4"/>
  <c r="R75" i="4"/>
  <c r="V74" i="4"/>
  <c r="R74" i="4"/>
  <c r="U74" i="4" s="1"/>
  <c r="V73" i="4"/>
  <c r="R73" i="4"/>
  <c r="V72" i="4"/>
  <c r="U72" i="4"/>
  <c r="T72" i="4"/>
  <c r="R72" i="4"/>
  <c r="S72" i="4" s="1"/>
  <c r="V71" i="4"/>
  <c r="R71" i="4"/>
  <c r="U71" i="4" s="1"/>
  <c r="V70" i="4"/>
  <c r="R70" i="4"/>
  <c r="U70" i="4" s="1"/>
  <c r="V69" i="4"/>
  <c r="R69" i="4"/>
  <c r="U69" i="4" s="1"/>
  <c r="V68" i="4"/>
  <c r="R68" i="4"/>
  <c r="U68" i="4" s="1"/>
  <c r="V65" i="4"/>
  <c r="U65" i="4"/>
  <c r="T65" i="4"/>
  <c r="S65" i="4"/>
  <c r="R65" i="4"/>
  <c r="V64" i="4"/>
  <c r="R64" i="4"/>
  <c r="V63" i="4"/>
  <c r="U63" i="4"/>
  <c r="T63" i="4"/>
  <c r="S63" i="4"/>
  <c r="R63" i="4"/>
  <c r="V62" i="4"/>
  <c r="R62" i="4"/>
  <c r="U62" i="4" s="1"/>
  <c r="V61" i="4"/>
  <c r="R61" i="4"/>
  <c r="U61" i="4" s="1"/>
  <c r="V60" i="4"/>
  <c r="R60" i="4"/>
  <c r="U60" i="4" s="1"/>
  <c r="V58" i="4"/>
  <c r="R58" i="4"/>
  <c r="V57" i="4"/>
  <c r="U57" i="4"/>
  <c r="T57" i="4"/>
  <c r="R57" i="4"/>
  <c r="S57" i="4" s="1"/>
  <c r="V49" i="4"/>
  <c r="R49" i="4"/>
  <c r="U49" i="4" s="1"/>
  <c r="V48" i="4"/>
  <c r="R48" i="4"/>
  <c r="U48" i="4" s="1"/>
  <c r="V47" i="4"/>
  <c r="R47" i="4"/>
  <c r="U47" i="4" s="1"/>
  <c r="V46" i="4"/>
  <c r="R46" i="4"/>
  <c r="U46" i="4" s="1"/>
  <c r="V45" i="4"/>
  <c r="U45" i="4"/>
  <c r="T45" i="4"/>
  <c r="S45" i="4"/>
  <c r="R45" i="4"/>
  <c r="V44" i="4"/>
  <c r="R44" i="4"/>
  <c r="V43" i="4"/>
  <c r="U43" i="4"/>
  <c r="T43" i="4"/>
  <c r="S43" i="4"/>
  <c r="R43" i="4"/>
  <c r="V42" i="4"/>
  <c r="R42" i="4"/>
  <c r="U42" i="4" s="1"/>
  <c r="V41" i="4"/>
  <c r="R41" i="4"/>
  <c r="U41" i="4" s="1"/>
  <c r="V40" i="4"/>
  <c r="R40" i="4"/>
  <c r="U40" i="4" s="1"/>
  <c r="V39" i="4"/>
  <c r="R39" i="4"/>
  <c r="V38" i="4"/>
  <c r="U38" i="4"/>
  <c r="T38" i="4"/>
  <c r="R38" i="4"/>
  <c r="S38" i="4" s="1"/>
  <c r="V37" i="4"/>
  <c r="R37" i="4"/>
  <c r="U37" i="4" s="1"/>
  <c r="V36" i="4"/>
  <c r="U36" i="4"/>
  <c r="T36" i="4"/>
  <c r="R36" i="4"/>
  <c r="S36" i="4" s="1"/>
  <c r="V35" i="4"/>
  <c r="R35" i="4"/>
  <c r="U35" i="4" s="1"/>
  <c r="V34" i="4"/>
  <c r="R34" i="4"/>
  <c r="U34" i="4" s="1"/>
  <c r="V33" i="4"/>
  <c r="U33" i="4"/>
  <c r="T33" i="4"/>
  <c r="S33" i="4"/>
  <c r="R33" i="4"/>
  <c r="V32" i="4"/>
  <c r="R32" i="4"/>
  <c r="V31" i="4"/>
  <c r="U31" i="4"/>
  <c r="T31" i="4"/>
  <c r="S31" i="4"/>
  <c r="R31" i="4"/>
  <c r="V30" i="4"/>
  <c r="R30" i="4"/>
  <c r="U30" i="4" s="1"/>
  <c r="V29" i="4"/>
  <c r="R29" i="4"/>
  <c r="U29" i="4" s="1"/>
  <c r="V28" i="4"/>
  <c r="R28" i="4"/>
  <c r="U28" i="4" s="1"/>
  <c r="I128" i="4"/>
  <c r="J128" i="4"/>
  <c r="K128" i="4"/>
  <c r="L128" i="4"/>
  <c r="M128" i="4"/>
  <c r="N128" i="4"/>
  <c r="O128" i="4"/>
  <c r="P128" i="4"/>
  <c r="Q128" i="4"/>
  <c r="I129" i="4"/>
  <c r="J129" i="4"/>
  <c r="K129" i="4"/>
  <c r="L129" i="4"/>
  <c r="M129" i="4"/>
  <c r="N129" i="4"/>
  <c r="O129" i="4"/>
  <c r="P129" i="4"/>
  <c r="Q129" i="4"/>
  <c r="I130" i="4"/>
  <c r="J130" i="4"/>
  <c r="K130" i="4"/>
  <c r="O130" i="4" s="1"/>
  <c r="P130" i="4" s="1"/>
  <c r="L130" i="4"/>
  <c r="M130" i="4"/>
  <c r="N130" i="4"/>
  <c r="Q130" i="4" s="1"/>
  <c r="I131" i="4"/>
  <c r="J131" i="4"/>
  <c r="K131" i="4"/>
  <c r="L131" i="4"/>
  <c r="M131" i="4"/>
  <c r="N131" i="4"/>
  <c r="O131" i="4"/>
  <c r="P131" i="4"/>
  <c r="Q131" i="4"/>
  <c r="I132" i="4"/>
  <c r="J132" i="4"/>
  <c r="K132" i="4"/>
  <c r="L132" i="4"/>
  <c r="M132" i="4"/>
  <c r="N132" i="4"/>
  <c r="O132" i="4"/>
  <c r="P132" i="4"/>
  <c r="Q132" i="4"/>
  <c r="I133" i="4"/>
  <c r="J133" i="4"/>
  <c r="K133" i="4"/>
  <c r="L133" i="4"/>
  <c r="M133" i="4"/>
  <c r="N133" i="4"/>
  <c r="O133" i="4"/>
  <c r="P133" i="4"/>
  <c r="Q133" i="4"/>
  <c r="I134" i="4"/>
  <c r="J134" i="4"/>
  <c r="K134" i="4"/>
  <c r="L134" i="4"/>
  <c r="M134" i="4"/>
  <c r="N134" i="4"/>
  <c r="O134" i="4"/>
  <c r="P134" i="4"/>
  <c r="Q134" i="4"/>
  <c r="U44" i="4" l="1"/>
  <c r="T44" i="4"/>
  <c r="S44" i="4"/>
  <c r="U58" i="4"/>
  <c r="T58" i="4"/>
  <c r="S82" i="4"/>
  <c r="S108" i="4"/>
  <c r="S41" i="4"/>
  <c r="S58" i="4"/>
  <c r="S68" i="4"/>
  <c r="T82" i="4"/>
  <c r="T108" i="4"/>
  <c r="U126" i="4"/>
  <c r="T126" i="4"/>
  <c r="S126" i="4"/>
  <c r="T41" i="4"/>
  <c r="S48" i="4"/>
  <c r="T68" i="4"/>
  <c r="T48" i="4"/>
  <c r="S88" i="4"/>
  <c r="S120" i="4"/>
  <c r="T34" i="4"/>
  <c r="T88" i="4"/>
  <c r="S64" i="4"/>
  <c r="U64" i="4"/>
  <c r="T64" i="4"/>
  <c r="U73" i="4"/>
  <c r="T73" i="4"/>
  <c r="S61" i="4"/>
  <c r="S73" i="4"/>
  <c r="S80" i="4"/>
  <c r="U93" i="4"/>
  <c r="T93" i="4"/>
  <c r="U130" i="4"/>
  <c r="T130" i="4"/>
  <c r="U32" i="4"/>
  <c r="T32" i="4"/>
  <c r="S32" i="4"/>
  <c r="U39" i="4"/>
  <c r="T39" i="4"/>
  <c r="T61" i="4"/>
  <c r="S70" i="4"/>
  <c r="T80" i="4"/>
  <c r="S93" i="4"/>
  <c r="S29" i="4"/>
  <c r="S39" i="4"/>
  <c r="S46" i="4"/>
  <c r="T70" i="4"/>
  <c r="S34" i="4"/>
  <c r="T120" i="4"/>
  <c r="S130" i="4"/>
  <c r="T29" i="4"/>
  <c r="T46" i="4"/>
  <c r="U78" i="4"/>
  <c r="T78" i="4"/>
  <c r="S78" i="4"/>
  <c r="U85" i="4"/>
  <c r="T85" i="4"/>
  <c r="S85" i="4"/>
  <c r="U116" i="4"/>
  <c r="T116" i="4"/>
  <c r="S116" i="4"/>
  <c r="S91" i="4"/>
  <c r="S37" i="4"/>
  <c r="S49" i="4"/>
  <c r="S71" i="4"/>
  <c r="S83" i="4"/>
  <c r="T91" i="4"/>
  <c r="S114" i="4"/>
  <c r="S30" i="4"/>
  <c r="T37" i="4"/>
  <c r="S42" i="4"/>
  <c r="T49" i="4"/>
  <c r="S62" i="4"/>
  <c r="T71" i="4"/>
  <c r="S76" i="4"/>
  <c r="T83" i="4"/>
  <c r="S89" i="4"/>
  <c r="T114" i="4"/>
  <c r="T30" i="4"/>
  <c r="S35" i="4"/>
  <c r="T42" i="4"/>
  <c r="S47" i="4"/>
  <c r="T62" i="4"/>
  <c r="S69" i="4"/>
  <c r="T76" i="4"/>
  <c r="S81" i="4"/>
  <c r="T89" i="4"/>
  <c r="S107" i="4"/>
  <c r="S131" i="4"/>
  <c r="S28" i="4"/>
  <c r="T35" i="4"/>
  <c r="S40" i="4"/>
  <c r="T47" i="4"/>
  <c r="S60" i="4"/>
  <c r="T69" i="4"/>
  <c r="S74" i="4"/>
  <c r="T81" i="4"/>
  <c r="S86" i="4"/>
  <c r="T107" i="4"/>
  <c r="S119" i="4"/>
  <c r="U121" i="4"/>
  <c r="T131" i="4"/>
  <c r="S121" i="4"/>
  <c r="T28" i="4"/>
  <c r="T40" i="4"/>
  <c r="T60" i="4"/>
  <c r="T74" i="4"/>
  <c r="T86" i="4"/>
  <c r="S92" i="4"/>
  <c r="T119" i="4"/>
  <c r="S127" i="4"/>
  <c r="O15" i="1" l="1"/>
  <c r="L15" i="1"/>
  <c r="N15" i="1"/>
  <c r="M98" i="4"/>
  <c r="M99" i="4"/>
  <c r="M100" i="4"/>
  <c r="M101" i="4"/>
  <c r="M102" i="4"/>
  <c r="M103" i="4"/>
  <c r="M104" i="4"/>
  <c r="M105" i="4"/>
  <c r="M106" i="4"/>
  <c r="M109" i="4"/>
  <c r="M110" i="4"/>
  <c r="M111" i="4"/>
  <c r="M112" i="4"/>
  <c r="M113" i="4"/>
  <c r="M117" i="4"/>
  <c r="M118" i="4"/>
  <c r="M122" i="4"/>
  <c r="M123" i="4"/>
  <c r="M125" i="4"/>
  <c r="J16" i="4"/>
  <c r="J15" i="4"/>
  <c r="J87" i="4"/>
  <c r="K87" i="4" s="1"/>
  <c r="J122" i="4"/>
  <c r="K122" i="4"/>
  <c r="J117" i="4"/>
  <c r="K117" i="4"/>
  <c r="J120" i="4"/>
  <c r="K120" i="4"/>
  <c r="O120" i="4" s="1"/>
  <c r="P120" i="4" s="1"/>
  <c r="J101" i="4"/>
  <c r="K101" i="4"/>
  <c r="J86" i="4"/>
  <c r="K86" i="4" s="1"/>
  <c r="J85" i="4"/>
  <c r="K85" i="4" s="1"/>
  <c r="J88" i="4"/>
  <c r="K88" i="4" s="1"/>
  <c r="J119" i="4"/>
  <c r="L119" i="4" s="1"/>
  <c r="M119" i="4" s="1"/>
  <c r="K119" i="4"/>
  <c r="J72" i="4"/>
  <c r="L72" i="4" s="1"/>
  <c r="K72" i="4"/>
  <c r="J103" i="4"/>
  <c r="K103" i="4"/>
  <c r="J118" i="4"/>
  <c r="K118" i="4"/>
  <c r="J104" i="4"/>
  <c r="K104" i="4"/>
  <c r="J90" i="4"/>
  <c r="K90" i="4" s="1"/>
  <c r="J71" i="4"/>
  <c r="K71" i="4"/>
  <c r="J110" i="4"/>
  <c r="K110" i="4"/>
  <c r="J82" i="4"/>
  <c r="K82" i="4"/>
  <c r="J113" i="4"/>
  <c r="K113" i="4"/>
  <c r="J97" i="4"/>
  <c r="K97" i="4" s="1"/>
  <c r="J81" i="4"/>
  <c r="K81" i="4" s="1"/>
  <c r="J116" i="4"/>
  <c r="K116" i="4" s="1"/>
  <c r="O116" i="4" s="1"/>
  <c r="P116" i="4" s="1"/>
  <c r="J100" i="4"/>
  <c r="K100" i="4"/>
  <c r="O100" i="4"/>
  <c r="J84" i="4"/>
  <c r="K84" i="4" s="1"/>
  <c r="J114" i="4"/>
  <c r="K114" i="4"/>
  <c r="O114" i="4" s="1"/>
  <c r="P114" i="4" s="1"/>
  <c r="J78" i="4"/>
  <c r="K78" i="4"/>
  <c r="J115" i="4"/>
  <c r="L115" i="4" s="1"/>
  <c r="M115" i="4" s="1"/>
  <c r="K115" i="4"/>
  <c r="O115" i="4" s="1"/>
  <c r="P115" i="4" s="1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 s="1"/>
  <c r="J106" i="4"/>
  <c r="K106" i="4"/>
  <c r="J127" i="4"/>
  <c r="K127" i="4" s="1"/>
  <c r="O127" i="4" s="1"/>
  <c r="P127" i="4" s="1"/>
  <c r="J111" i="4"/>
  <c r="K111" i="4"/>
  <c r="J95" i="4"/>
  <c r="K95" i="4" s="1"/>
  <c r="J79" i="4"/>
  <c r="K79" i="4"/>
  <c r="J126" i="4"/>
  <c r="K126" i="4"/>
  <c r="O126" i="4" s="1"/>
  <c r="P126" i="4" s="1"/>
  <c r="J94" i="4"/>
  <c r="K94" i="4"/>
  <c r="J121" i="4"/>
  <c r="K121" i="4" s="1"/>
  <c r="O121" i="4" s="1"/>
  <c r="P121" i="4" s="1"/>
  <c r="J105" i="4"/>
  <c r="K105" i="4"/>
  <c r="J89" i="4"/>
  <c r="K89" i="4" s="1"/>
  <c r="J73" i="4"/>
  <c r="K73" i="4"/>
  <c r="J124" i="4"/>
  <c r="L124" i="4" s="1"/>
  <c r="M124" i="4" s="1"/>
  <c r="K124" i="4"/>
  <c r="O124" i="4" s="1"/>
  <c r="P124" i="4" s="1"/>
  <c r="J108" i="4"/>
  <c r="K108" i="4"/>
  <c r="J92" i="4"/>
  <c r="L92" i="4" s="1"/>
  <c r="K92" i="4"/>
  <c r="J76" i="4"/>
  <c r="K76" i="4" s="1"/>
  <c r="J98" i="4"/>
  <c r="K98" i="4"/>
  <c r="J123" i="4"/>
  <c r="K123" i="4"/>
  <c r="J107" i="4"/>
  <c r="K107" i="4"/>
  <c r="O107" i="4" s="1"/>
  <c r="P107" i="4" s="1"/>
  <c r="J91" i="4"/>
  <c r="K91" i="4"/>
  <c r="O91" i="4" s="1"/>
  <c r="P91" i="4" s="1"/>
  <c r="J75" i="4"/>
  <c r="K75" i="4"/>
  <c r="P100" i="4"/>
  <c r="O112" i="4"/>
  <c r="P112" i="4"/>
  <c r="O83" i="4"/>
  <c r="P83" i="4"/>
  <c r="O98" i="4"/>
  <c r="P98" i="4"/>
  <c r="O108" i="4"/>
  <c r="P108" i="4"/>
  <c r="O105" i="4"/>
  <c r="P105" i="4"/>
  <c r="O111" i="4"/>
  <c r="P111" i="4"/>
  <c r="O82" i="4"/>
  <c r="P82" i="4"/>
  <c r="O104" i="4"/>
  <c r="P104" i="4"/>
  <c r="O102" i="4"/>
  <c r="P102" i="4"/>
  <c r="O110" i="4"/>
  <c r="P110" i="4"/>
  <c r="O118" i="4"/>
  <c r="P118" i="4"/>
  <c r="O117" i="4"/>
  <c r="P117" i="4"/>
  <c r="O106" i="4"/>
  <c r="P106" i="4"/>
  <c r="O109" i="4"/>
  <c r="P109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94" i="4"/>
  <c r="P94" i="4"/>
  <c r="O125" i="4"/>
  <c r="P125" i="4"/>
  <c r="O99" i="4"/>
  <c r="P99" i="4"/>
  <c r="O101" i="4"/>
  <c r="P101" i="4"/>
  <c r="I76" i="4"/>
  <c r="I77" i="4"/>
  <c r="I81" i="4"/>
  <c r="I89" i="4"/>
  <c r="L89" i="4" s="1"/>
  <c r="I90" i="4"/>
  <c r="N90" i="4" s="1"/>
  <c r="Q90" i="4" s="1"/>
  <c r="I96" i="4"/>
  <c r="L96" i="4" s="1"/>
  <c r="I99" i="4"/>
  <c r="I102" i="4"/>
  <c r="I104" i="4"/>
  <c r="I108" i="4"/>
  <c r="N108" i="4" s="1"/>
  <c r="Q108" i="4" s="1"/>
  <c r="I111" i="4"/>
  <c r="I113" i="4"/>
  <c r="I115" i="4"/>
  <c r="I119" i="4"/>
  <c r="I120" i="4"/>
  <c r="I123" i="4"/>
  <c r="I125" i="4"/>
  <c r="I79" i="4"/>
  <c r="L79" i="4" s="1"/>
  <c r="I92" i="4"/>
  <c r="N92" i="4" s="1"/>
  <c r="Q92" i="4" s="1"/>
  <c r="I100" i="4"/>
  <c r="I103" i="4"/>
  <c r="I107" i="4"/>
  <c r="N107" i="4" s="1"/>
  <c r="Q107" i="4" s="1"/>
  <c r="I109" i="4"/>
  <c r="I110" i="4"/>
  <c r="I117" i="4"/>
  <c r="I124" i="4"/>
  <c r="I72" i="4"/>
  <c r="I106" i="4"/>
  <c r="I71" i="4"/>
  <c r="I75" i="4"/>
  <c r="I80" i="4"/>
  <c r="N80" i="4" s="1"/>
  <c r="Q80" i="4" s="1"/>
  <c r="I83" i="4"/>
  <c r="L83" i="4" s="1"/>
  <c r="I86" i="4"/>
  <c r="N86" i="4" s="1"/>
  <c r="Q86" i="4" s="1"/>
  <c r="I88" i="4"/>
  <c r="L88" i="4" s="1"/>
  <c r="I94" i="4"/>
  <c r="I95" i="4"/>
  <c r="I98" i="4"/>
  <c r="I101" i="4"/>
  <c r="I118" i="4"/>
  <c r="I127" i="4"/>
  <c r="L127" i="4" s="1"/>
  <c r="M127" i="4" s="1"/>
  <c r="I73" i="4"/>
  <c r="N73" i="4" s="1"/>
  <c r="Q73" i="4" s="1"/>
  <c r="I74" i="4"/>
  <c r="I78" i="4"/>
  <c r="N78" i="4" s="1"/>
  <c r="Q78" i="4" s="1"/>
  <c r="I82" i="4"/>
  <c r="L82" i="4" s="1"/>
  <c r="I85" i="4"/>
  <c r="N85" i="4" s="1"/>
  <c r="Q85" i="4" s="1"/>
  <c r="I93" i="4"/>
  <c r="N93" i="4" s="1"/>
  <c r="Q93" i="4" s="1"/>
  <c r="I112" i="4"/>
  <c r="I114" i="4"/>
  <c r="N114" i="4" s="1"/>
  <c r="Q114" i="4" s="1"/>
  <c r="I121" i="4"/>
  <c r="N121" i="4" s="1"/>
  <c r="Q121" i="4" s="1"/>
  <c r="I122" i="4"/>
  <c r="I84" i="4"/>
  <c r="I87" i="4"/>
  <c r="I91" i="4"/>
  <c r="I97" i="4"/>
  <c r="L97" i="4" s="1"/>
  <c r="I105" i="4"/>
  <c r="I116" i="4"/>
  <c r="N116" i="4" s="1"/>
  <c r="Q116" i="4" s="1"/>
  <c r="I126" i="4"/>
  <c r="N126" i="4" s="1"/>
  <c r="Q126" i="4" s="1"/>
  <c r="L105" i="4"/>
  <c r="N105" i="4"/>
  <c r="Q105" i="4"/>
  <c r="N84" i="4"/>
  <c r="Q84" i="4" s="1"/>
  <c r="L73" i="4"/>
  <c r="N101" i="4"/>
  <c r="Q101" i="4"/>
  <c r="L101" i="4"/>
  <c r="N75" i="4"/>
  <c r="Q75" i="4" s="1"/>
  <c r="L106" i="4"/>
  <c r="N106" i="4"/>
  <c r="Q106" i="4"/>
  <c r="N124" i="4"/>
  <c r="Q124" i="4"/>
  <c r="L107" i="4"/>
  <c r="M107" i="4" s="1"/>
  <c r="N79" i="4"/>
  <c r="Q79" i="4"/>
  <c r="N119" i="4"/>
  <c r="Q119" i="4" s="1"/>
  <c r="N77" i="4"/>
  <c r="Q77" i="4"/>
  <c r="N98" i="4"/>
  <c r="Q98" i="4"/>
  <c r="L98" i="4"/>
  <c r="N71" i="4"/>
  <c r="Q71" i="4"/>
  <c r="L71" i="4"/>
  <c r="M71" i="4" s="1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04" i="4"/>
  <c r="N104" i="4"/>
  <c r="Q104" i="4"/>
  <c r="N76" i="4"/>
  <c r="Q76" i="4"/>
  <c r="L76" i="4"/>
  <c r="N91" i="4"/>
  <c r="Q91" i="4"/>
  <c r="L91" i="4"/>
  <c r="M91" i="4" s="1"/>
  <c r="L112" i="4"/>
  <c r="N112" i="4"/>
  <c r="Q112" i="4"/>
  <c r="N127" i="4"/>
  <c r="Q127" i="4"/>
  <c r="N95" i="4"/>
  <c r="Q95" i="4"/>
  <c r="L95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 s="1"/>
  <c r="N87" i="4"/>
  <c r="Q87" i="4" s="1"/>
  <c r="L87" i="4"/>
  <c r="N122" i="4"/>
  <c r="Q122" i="4"/>
  <c r="L122" i="4"/>
  <c r="N74" i="4"/>
  <c r="Q74" i="4"/>
  <c r="N118" i="4"/>
  <c r="Q118" i="4"/>
  <c r="L118" i="4"/>
  <c r="L94" i="4"/>
  <c r="N94" i="4"/>
  <c r="Q94" i="4" s="1"/>
  <c r="N109" i="4"/>
  <c r="Q109" i="4"/>
  <c r="L109" i="4"/>
  <c r="N120" i="4"/>
  <c r="Q120" i="4"/>
  <c r="L120" i="4"/>
  <c r="M120" i="4" s="1"/>
  <c r="N111" i="4"/>
  <c r="Q111" i="4"/>
  <c r="L111" i="4"/>
  <c r="N99" i="4"/>
  <c r="Q99" i="4"/>
  <c r="L99" i="4"/>
  <c r="N81" i="4"/>
  <c r="Q81" i="4"/>
  <c r="M89" i="4" l="1"/>
  <c r="O76" i="4"/>
  <c r="P76" i="4" s="1"/>
  <c r="M92" i="4"/>
  <c r="O75" i="4"/>
  <c r="P75" i="4" s="1"/>
  <c r="O81" i="4"/>
  <c r="P81" i="4" s="1"/>
  <c r="L114" i="4"/>
  <c r="M114" i="4" s="1"/>
  <c r="M83" i="4"/>
  <c r="O72" i="4"/>
  <c r="P72" i="4" s="1"/>
  <c r="L108" i="4"/>
  <c r="M108" i="4" s="1"/>
  <c r="L75" i="4"/>
  <c r="O73" i="4"/>
  <c r="P73" i="4" s="1"/>
  <c r="O77" i="4"/>
  <c r="P77" i="4" s="1"/>
  <c r="L116" i="4"/>
  <c r="M116" i="4" s="1"/>
  <c r="L86" i="4"/>
  <c r="O89" i="4"/>
  <c r="P89" i="4" s="1"/>
  <c r="O87" i="4"/>
  <c r="P87" i="4" s="1"/>
  <c r="L84" i="4"/>
  <c r="O93" i="4"/>
  <c r="P93" i="4" s="1"/>
  <c r="O88" i="4"/>
  <c r="P88" i="4" s="1"/>
  <c r="L90" i="4"/>
  <c r="L77" i="4"/>
  <c r="O90" i="4"/>
  <c r="P90" i="4" s="1"/>
  <c r="O85" i="4"/>
  <c r="P85" i="4" s="1"/>
  <c r="O92" i="4"/>
  <c r="P92" i="4" s="1"/>
  <c r="O97" i="4"/>
  <c r="P97" i="4" s="1"/>
  <c r="M88" i="4"/>
  <c r="O80" i="4"/>
  <c r="P80" i="4" s="1"/>
  <c r="O96" i="4"/>
  <c r="P96" i="4" s="1"/>
  <c r="M95" i="4"/>
  <c r="L126" i="4"/>
  <c r="M126" i="4" s="1"/>
  <c r="M73" i="4"/>
  <c r="M82" i="4"/>
  <c r="L85" i="4"/>
  <c r="O74" i="4"/>
  <c r="P74" i="4" s="1"/>
  <c r="O79" i="4"/>
  <c r="P79" i="4" s="1"/>
  <c r="L81" i="4"/>
  <c r="M87" i="4"/>
  <c r="M97" i="4"/>
  <c r="L74" i="4"/>
  <c r="M79" i="4"/>
  <c r="M96" i="4"/>
  <c r="O84" i="4"/>
  <c r="P84" i="4" s="1"/>
  <c r="M72" i="4"/>
  <c r="O95" i="4"/>
  <c r="P95" i="4" s="1"/>
  <c r="M76" i="4"/>
  <c r="L121" i="4"/>
  <c r="M121" i="4" s="1"/>
  <c r="M94" i="4"/>
  <c r="O78" i="4"/>
  <c r="P78" i="4" s="1"/>
  <c r="O86" i="4"/>
  <c r="P86" i="4" s="1"/>
  <c r="N97" i="4"/>
  <c r="Q97" i="4" s="1"/>
  <c r="N83" i="4"/>
  <c r="Q83" i="4" s="1"/>
  <c r="N82" i="4"/>
  <c r="Q82" i="4" s="1"/>
  <c r="N96" i="4"/>
  <c r="Q96" i="4" s="1"/>
  <c r="N88" i="4"/>
  <c r="Q88" i="4" s="1"/>
  <c r="L80" i="4"/>
  <c r="L93" i="4"/>
  <c r="L78" i="4"/>
  <c r="J14" i="4"/>
  <c r="J13" i="4" s="1"/>
  <c r="K16" i="4" s="1"/>
  <c r="M93" i="4" l="1"/>
  <c r="M80" i="4"/>
  <c r="M85" i="4"/>
  <c r="M74" i="4"/>
  <c r="M78" i="4"/>
  <c r="M75" i="4"/>
  <c r="M77" i="4"/>
  <c r="M90" i="4"/>
  <c r="M86" i="4"/>
  <c r="M84" i="4"/>
  <c r="M81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O61" i="4" s="1"/>
  <c r="P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7" i="4" l="1"/>
  <c r="P57" i="4" s="1"/>
  <c r="O58" i="4"/>
  <c r="P58" i="4" s="1"/>
  <c r="L66" i="4"/>
  <c r="K66" i="4"/>
  <c r="K70" i="4"/>
  <c r="L70" i="4"/>
  <c r="M70" i="4" s="1"/>
  <c r="K64" i="4"/>
  <c r="L64" i="4"/>
  <c r="O63" i="4"/>
  <c r="P63" i="4" s="1"/>
  <c r="L63" i="4"/>
  <c r="M63" i="4" s="1"/>
  <c r="K68" i="4"/>
  <c r="L68" i="4"/>
  <c r="L67" i="4"/>
  <c r="K67" i="4"/>
  <c r="L65" i="4"/>
  <c r="K65" i="4"/>
  <c r="K69" i="4"/>
  <c r="L69" i="4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M61" i="4" s="1"/>
  <c r="L60" i="4"/>
  <c r="M60" i="4" s="1"/>
  <c r="N60" i="4"/>
  <c r="Q60" i="4" s="1"/>
  <c r="M64" i="4" l="1"/>
  <c r="O64" i="4"/>
  <c r="P64" i="4" s="1"/>
  <c r="M69" i="4"/>
  <c r="M58" i="4"/>
  <c r="O69" i="4"/>
  <c r="P69" i="4" s="1"/>
  <c r="M57" i="4"/>
  <c r="O65" i="4"/>
  <c r="P65" i="4" s="1"/>
  <c r="O66" i="4"/>
  <c r="P66" i="4" s="1"/>
  <c r="M65" i="4"/>
  <c r="M66" i="4"/>
  <c r="O67" i="4"/>
  <c r="P67" i="4" s="1"/>
  <c r="M67" i="4"/>
  <c r="M68" i="4"/>
  <c r="O68" i="4"/>
  <c r="P68" i="4" s="1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39" i="4" l="1"/>
  <c r="J45" i="4"/>
  <c r="L45" i="4" s="1"/>
  <c r="J30" i="4"/>
  <c r="K30" i="4" s="1"/>
  <c r="J43" i="4"/>
  <c r="L43" i="4" s="1"/>
  <c r="J31" i="4"/>
  <c r="J44" i="4"/>
  <c r="L44" i="4" s="1"/>
  <c r="J36" i="4"/>
  <c r="L36" i="4" s="1"/>
  <c r="J46" i="4"/>
  <c r="K46" i="4" s="1"/>
  <c r="J35" i="4"/>
  <c r="L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L47" i="4"/>
  <c r="K47" i="4"/>
  <c r="K52" i="4"/>
  <c r="O52" i="4" s="1"/>
  <c r="P52" i="4" s="1"/>
  <c r="L52" i="4"/>
  <c r="M52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L30" i="4"/>
  <c r="O48" i="4" l="1"/>
  <c r="P48" i="4" s="1"/>
  <c r="O49" i="4"/>
  <c r="P49" i="4" s="1"/>
  <c r="M48" i="4"/>
  <c r="M49" i="4"/>
  <c r="K43" i="4"/>
  <c r="M43" i="4"/>
  <c r="M31" i="4"/>
  <c r="O31" i="4"/>
  <c r="P31" i="4" s="1"/>
  <c r="O28" i="4"/>
  <c r="P28" i="4" s="1"/>
  <c r="M44" i="4"/>
  <c r="O47" i="4"/>
  <c r="P47" i="4" s="1"/>
  <c r="O33" i="4"/>
  <c r="P33" i="4" s="1"/>
  <c r="O46" i="4"/>
  <c r="P46" i="4" s="1"/>
  <c r="O30" i="4"/>
  <c r="P30" i="4" s="1"/>
  <c r="M47" i="4"/>
  <c r="M35" i="4"/>
  <c r="O41" i="4"/>
  <c r="P41" i="4" s="1"/>
  <c r="O39" i="4"/>
  <c r="P39" i="4" s="1"/>
  <c r="M45" i="4"/>
  <c r="M39" i="4"/>
  <c r="K35" i="4"/>
  <c r="K44" i="4"/>
  <c r="K45" i="4"/>
  <c r="K36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0" i="4"/>
  <c r="M36" i="4"/>
  <c r="K40" i="4"/>
  <c r="K32" i="4"/>
  <c r="L28" i="4"/>
  <c r="O43" i="4" l="1"/>
  <c r="P43" i="4" s="1"/>
  <c r="M41" i="4"/>
  <c r="M46" i="4"/>
  <c r="O36" i="4"/>
  <c r="P36" i="4" s="1"/>
  <c r="O45" i="4"/>
  <c r="P45" i="4" s="1"/>
  <c r="O44" i="4"/>
  <c r="P44" i="4" s="1"/>
  <c r="O29" i="4"/>
  <c r="P29" i="4" s="1"/>
  <c r="O32" i="4"/>
  <c r="P32" i="4" s="1"/>
  <c r="O38" i="4"/>
  <c r="P38" i="4" s="1"/>
  <c r="O40" i="4"/>
  <c r="P40" i="4" s="1"/>
  <c r="M33" i="4"/>
  <c r="O34" i="4"/>
  <c r="P34" i="4" s="1"/>
  <c r="O37" i="4"/>
  <c r="P37" i="4" s="1"/>
  <c r="O35" i="4"/>
  <c r="P35" i="4" s="1"/>
  <c r="O42" i="4"/>
  <c r="P42" i="4" s="1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<sst xmlns="http://schemas.openxmlformats.org/spreadsheetml/2006/main" count="318" uniqueCount="294">
  <si>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</si>
  <si>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</si>
  <si>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</si>
  <si>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</si>
  <si>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</si>
  <si>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</si>
  <si>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</si>
  <si>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</si>
  <si>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</si>
  <si>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</si>
  <si>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</si>
  <si>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</si>
  <si>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</si>
  <si>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</si>
  <si>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</si>
  <si>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</si>
  <si>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</si>
  <si>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</si>
  <si>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</si>
  <si>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</si>
  <si>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</si>
  <si>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</si>
  <si>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</si>
  <si>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</si>
  <si>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</si>
  <si>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</si>
  <si>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</si>
  <si>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</si>
  <si>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</si>
  <si>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</si>
  <si>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</si>
  <si>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</si>
  <si>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</si>
  <si>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</si>
  <si>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</si>
  <si>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</si>
  <si>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</si>
  <si>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</si>
  <si>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</si>
  <si>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</si>
  <si>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</si>
  <si>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</si>
  <si>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</si>
  <si>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</si>
  <si>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</si>
  <si>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</si>
  <si>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</si>
  <si>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</si>
  <si>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</si>
  <si>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</si>
  <si>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</si>
  <si>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</si>
  <si>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</si>
  <si>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</si>
  <si>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</si>
  <si>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</si>
  <si>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</si>
  <si>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</si>
  <si>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</si>
  <si>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</si>
  <si>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</si>
  <si>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</si>
  <si>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</si>
  <si>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</si>
  <si>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</si>
  <si>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</si>
  <si>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</si>
  <si>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</si>
  <si>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</si>
  <si>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</si>
  <si>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</si>
  <si>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</si>
  <si>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</si>
  <si>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</si>
  <si>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</si>
  <si>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</si>
  <si>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</si>
  <si>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</si>
  <si>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</si>
  <si>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</si>
  <si>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</si>
  <si>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</si>
  <si>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</si>
  <si>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</si>
  <si>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</si>
  <si>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</si>
  <si>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</si>
  <si>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</si>
  <si>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</si>
  <si>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</si>
  <si>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</si>
  <si>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</si>
  <si>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</si>
  <si>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</si>
  <si>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</si>
  <si>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</si>
  <si>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</si>
  <si>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</si>
  <si>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</si>
  <si>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</si>
  <si>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</si>
  <si>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</si>
  <si>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</si>
  <si>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</si>
  <si>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</si>
  <si>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</si>
  <si>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</si>
  <si>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</si>
  <si>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</si>
  <si>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</si>
  <si>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</si>
  <si>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Fish Rtgut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</si>
  <si>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</si>
  <si>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</si>
  <si>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</si>
  <si>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</si>
  <si>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</si>
  <si>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</si>
  <si>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</si>
  <si>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</si>
  <si>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</si>
  <si>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</si>
  <si>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</si>
  <si>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</si>
  <si>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</si>
  <si>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</si>
  <si>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</si>
  <si>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</si>
  <si>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</si>
  <si>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</si>
  <si>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</si>
  <si>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</si>
  <si>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</si>
  <si>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</si>
  <si>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</si>
  <si>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</si>
  <si>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</si>
  <si>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</si>
  <si>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</si>
  <si>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</si>
  <si>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</si>
  <si>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</si>
  <si>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</si>
  <si>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</si>
  <si>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</si>
  <si>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</si>
  <si>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</si>
  <si>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</si>
  <si>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</si>
  <si>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</si>
  <si>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</si>
  <si>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</si>
  <si>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</si>
  <si>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</si>
  <si>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</si>
  <si>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</si>
  <si>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</si>
  <si>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</si>
  <si>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</si>
  <si>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</si>
  <si>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</si>
  <si>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</si>
  <si>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</si>
  <si>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</si>
  <si>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</si>
  <si>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</si>
  <si>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</si>
  <si>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</si>
  <si>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</si>
  <si>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</si>
  <si>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</si>
  <si>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</si>
  <si>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</si>
  <si>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</si>
  <si>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</si>
  <si>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</si>
  <si>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</si>
  <si>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</si>
  <si>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</si>
  <si>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</si>
  <si>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</si>
  <si>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</si>
  <si>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</si>
  <si>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</si>
  <si>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</si>
  <si>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</si>
  <si>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</si>
  <si>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</si>
  <si>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</si>
  <si>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</si>
  <si>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</si>
  <si>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</si>
  <si>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</si>
  <si>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</si>
  <si>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</si>
  <si>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</si>
  <si>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</si>
  <si>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</si>
  <si>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</si>
  <si>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</si>
  <si>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</si>
  <si>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</si>
  <si>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</si>
  <si>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</si>
  <si>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</si>
  <si>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</si>
  <si>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</si>
  <si>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</si>
  <si>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</si>
  <si>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</si>
  <si>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</si>
  <si>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PFBS</t>
  </si>
  <si>
    <t>375-73-5</t>
  </si>
  <si>
    <t>4:2 FTS</t>
  </si>
  <si>
    <t>757124-72-4</t>
  </si>
  <si>
    <t>PFNA</t>
  </si>
  <si>
    <t>375-95-1</t>
  </si>
  <si>
    <t>PFHxA</t>
  </si>
  <si>
    <t>307-24-4</t>
  </si>
  <si>
    <t>PFBA</t>
  </si>
  <si>
    <t>375-22-4</t>
  </si>
  <si>
    <t>PFOA</t>
  </si>
  <si>
    <t>335-67-1</t>
  </si>
  <si>
    <t>6:2 FTS</t>
  </si>
  <si>
    <t>27619-97-2</t>
  </si>
  <si>
    <t>8:2 FTS</t>
  </si>
  <si>
    <t>39108-34-4</t>
  </si>
  <si>
    <t>PFUnDA</t>
  </si>
  <si>
    <t>2058-94-8</t>
  </si>
  <si>
    <t>PFOS</t>
  </si>
  <si>
    <t>1763-23-1</t>
  </si>
  <si>
    <t>PFHpA</t>
  </si>
  <si>
    <t>375-85-9</t>
  </si>
  <si>
    <t>PFPeA</t>
  </si>
  <si>
    <t>2706-90-3</t>
  </si>
  <si>
    <t>PFHxS</t>
  </si>
  <si>
    <t>355-46-4</t>
  </si>
  <si>
    <t>PFDA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</si>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</sst>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7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11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2" t="s">
        <v>57</v>
      </c>
      <c r="C2" s="113"/>
      <c r="D2" s="113"/>
      <c r="E2" s="113"/>
      <c r="F2" s="113"/>
      <c r="G2" s="113"/>
      <c r="H2" s="114"/>
      <c r="I2" s="7"/>
      <c r="J2" s="103" t="s">
        <v>56</v>
      </c>
      <c r="K2" s="104"/>
      <c r="L2" s="104"/>
      <c r="M2" s="104"/>
      <c r="N2" s="104"/>
      <c r="O2" s="105"/>
      <c r="P2" s="7"/>
      <c r="Q2" s="103" t="s">
        <v>58</v>
      </c>
      <c r="R2" s="104"/>
      <c r="S2" s="104"/>
      <c r="T2" s="104"/>
      <c r="U2" s="104"/>
      <c r="V2" s="105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6"/>
      <c r="K3" s="107"/>
      <c r="L3" s="107"/>
      <c r="M3" s="107"/>
      <c r="N3" s="107"/>
      <c r="O3" s="108"/>
      <c r="P3" s="7"/>
      <c r="Q3" s="106"/>
      <c r="R3" s="107"/>
      <c r="S3" s="107"/>
      <c r="T3" s="107"/>
      <c r="U3" s="107"/>
      <c r="V3" s="108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9"/>
      <c r="K4" s="110"/>
      <c r="L4" s="110"/>
      <c r="M4" s="110"/>
      <c r="N4" s="110"/>
      <c r="O4" s="111"/>
      <c r="P4" s="7"/>
      <c r="Q4" s="109"/>
      <c r="R4" s="110"/>
      <c r="S4" s="110"/>
      <c r="T4" s="110"/>
      <c r="U4" s="110"/>
      <c r="V4" s="111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9"/>
      <c r="R5" s="60"/>
      <c r="S5" s="60"/>
      <c r="T5" s="60"/>
      <c r="U5" s="60"/>
      <c r="V5" s="61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9"/>
      <c r="S6" s="80"/>
      <c r="T6" s="80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2" t="s">
        <v>74</v>
      </c>
      <c r="L7" s="83">
        <v>0</v>
      </c>
      <c r="M7" s="84">
        <v>0</v>
      </c>
      <c r="N7" s="13"/>
      <c r="O7" s="14"/>
      <c r="P7" s="7"/>
      <c r="Q7" s="11"/>
      <c r="R7" s="13"/>
      <c r="S7" s="62"/>
      <c r="T7" s="63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8"/>
      <c r="T8" s="79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5"/>
      <c r="R9" s="1"/>
      <c r="S9" s="76"/>
      <c r="T9" s="77"/>
      <c r="U9" s="1"/>
      <c r="V9" s="6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2" t="s">
        <v>16</v>
      </c>
      <c r="L10" s="83">
        <v>24</v>
      </c>
      <c r="M10" s="83">
        <v>1.9</v>
      </c>
      <c r="N10" s="13"/>
      <c r="O10" s="14"/>
      <c r="P10" s="7"/>
      <c r="Q10" s="12"/>
      <c r="R10" s="3"/>
      <c r="S10" s="78"/>
      <c r="T10" s="69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5"/>
      <c r="R11" s="1"/>
      <c r="S11" s="76"/>
      <c r="T11" s="76"/>
      <c r="U11" s="1"/>
      <c r="V11" s="6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2"/>
      <c r="T12" s="62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2"/>
      <c r="R14" s="73"/>
      <c r="S14" s="74"/>
      <c r="T14" s="74"/>
      <c r="U14" s="74"/>
      <c r="V14" s="75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8">
        <f>M15/0.029*(0.018)</f>
        <v>4.619905956112852E-5</v>
      </c>
      <c r="M15" s="58">
        <v>7.4431818181818174E-5</v>
      </c>
      <c r="N15" s="58">
        <f>M15/0.029*(0.953)</f>
        <v>2.4459835423197487E-3</v>
      </c>
      <c r="O15" s="100">
        <f>SUM(L15:N15)</f>
        <v>2.5666144200626952E-3</v>
      </c>
      <c r="P15" s="9"/>
      <c r="Q15" s="65"/>
      <c r="R15" s="1"/>
      <c r="S15" s="70"/>
      <c r="T15" s="70"/>
      <c r="U15" s="70"/>
      <c r="V15" s="6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8">
        <v>2.5484800000000001E-3</v>
      </c>
      <c r="M16" s="58">
        <v>2.2915000000000001E-4</v>
      </c>
      <c r="N16" s="58">
        <v>9.6669999999999994E-5</v>
      </c>
      <c r="O16" s="100"/>
      <c r="P16" s="9"/>
      <c r="Q16" s="12"/>
      <c r="R16" s="3"/>
      <c r="S16" s="71"/>
      <c r="T16" s="71"/>
      <c r="U16" s="71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101" t="s">
        <v>111</v>
      </c>
      <c r="K17" s="31" t="s">
        <v>79</v>
      </c>
      <c r="L17" s="81">
        <v>8.9000000000000006E-4</v>
      </c>
      <c r="M17" s="81">
        <v>6.0000000000000002E-5</v>
      </c>
      <c r="N17" s="81">
        <v>5.0000000000000002E-5</v>
      </c>
      <c r="O17" s="100"/>
      <c r="P17" s="9"/>
      <c r="Q17" s="65"/>
      <c r="R17" s="1"/>
      <c r="S17" s="70"/>
      <c r="T17" s="70"/>
      <c r="U17" s="70"/>
      <c r="V17" s="6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8">
        <v>2.2457100000000002E-3</v>
      </c>
      <c r="M18" s="58">
        <v>3.0027E-4</v>
      </c>
      <c r="N18" s="58">
        <v>6.6229999999999994E-5</v>
      </c>
      <c r="O18" s="100"/>
      <c r="P18" s="9"/>
      <c r="Q18" s="11"/>
      <c r="R18" s="13"/>
      <c r="S18" s="64"/>
      <c r="T18" s="64"/>
      <c r="U18" s="64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8">
        <v>3.2730300000000001E-3</v>
      </c>
      <c r="M19" s="58">
        <v>3.9889999999999999E-4</v>
      </c>
      <c r="N19" s="58">
        <v>1.0728E-4</v>
      </c>
      <c r="O19" s="100"/>
      <c r="P19" s="9"/>
      <c r="Q19" s="12"/>
      <c r="R19" s="3"/>
      <c r="S19" s="71"/>
      <c r="T19" s="71"/>
      <c r="U19" s="71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5"/>
      <c r="R20" s="1"/>
      <c r="S20" s="1"/>
      <c r="T20" s="1"/>
      <c r="U20" s="1"/>
      <c r="V20" s="6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5"/>
      <c r="P23" s="7"/>
      <c r="Q23" s="65"/>
      <c r="R23" s="66"/>
      <c r="S23" s="66"/>
      <c r="T23" s="66"/>
      <c r="U23" s="66"/>
      <c r="V23" s="6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6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9"/>
      <c r="M25" s="7"/>
      <c r="N25" s="7"/>
      <c r="O25" s="87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5"/>
      <c r="R26" s="66"/>
      <c r="S26" s="66"/>
      <c r="T26" s="66"/>
      <c r="U26" s="66"/>
      <c r="V26" s="6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5"/>
      <c r="R28" s="68"/>
      <c r="S28" s="66"/>
      <c r="T28" s="66"/>
      <c r="U28" s="66"/>
      <c r="V28" s="6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5"/>
      <c r="R32" s="66"/>
      <c r="S32" s="68"/>
      <c r="T32" s="66"/>
      <c r="U32" s="66"/>
      <c r="V32" s="6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9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5"/>
      <c r="R36" s="66"/>
      <c r="S36" s="66"/>
      <c r="T36" s="66"/>
      <c r="U36" s="66"/>
      <c r="V36" s="6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5"/>
      <c r="R40" s="66"/>
      <c r="S40" s="66"/>
      <c r="T40" s="66"/>
      <c r="U40" s="66"/>
      <c r="V40" s="6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5"/>
      <c r="R43" s="66"/>
      <c r="S43" s="66"/>
      <c r="T43" s="66"/>
      <c r="U43" s="66"/>
      <c r="V43" s="6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6" zoomScale="70" zoomScaleNormal="70" workbookViewId="0">
      <selection activeCell="R27" sqref="R27:V134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0"/>
      <c r="H1" s="17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0"/>
      <c r="H2" s="170"/>
      <c r="I2" s="115" t="s">
        <v>19</v>
      </c>
      <c r="J2" s="116"/>
      <c r="K2" s="116"/>
      <c r="L2" s="116"/>
      <c r="M2" s="116"/>
      <c r="N2" s="116"/>
      <c r="O2" s="116"/>
      <c r="P2" s="116"/>
      <c r="Q2" s="11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0"/>
      <c r="H3" s="170"/>
      <c r="I3" s="118"/>
      <c r="J3" s="119"/>
      <c r="K3" s="119"/>
      <c r="L3" s="119"/>
      <c r="M3" s="119"/>
      <c r="N3" s="119"/>
      <c r="O3" s="119"/>
      <c r="P3" s="119"/>
      <c r="Q3" s="120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0"/>
      <c r="H4" s="170"/>
      <c r="I4" s="121"/>
      <c r="J4" s="122"/>
      <c r="K4" s="122"/>
      <c r="L4" s="122"/>
      <c r="M4" s="122"/>
      <c r="N4" s="122"/>
      <c r="O4" s="122"/>
      <c r="P4" s="122"/>
      <c r="Q4" s="123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0"/>
      <c r="H5" s="170"/>
      <c r="I5" s="124" t="s">
        <v>38</v>
      </c>
      <c r="J5" s="125"/>
      <c r="K5" s="125"/>
      <c r="L5" s="125"/>
      <c r="M5" s="125"/>
      <c r="N5" s="125"/>
      <c r="O5" s="125"/>
      <c r="P5" s="125"/>
      <c r="Q5" s="126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0"/>
      <c r="H6" s="170"/>
      <c r="I6" s="49" t="s">
        <v>49</v>
      </c>
      <c r="J6" s="49" t="s">
        <v>50</v>
      </c>
      <c r="K6" s="49" t="s">
        <v>46</v>
      </c>
      <c r="L6" s="167" t="s">
        <v>39</v>
      </c>
      <c r="M6" s="168"/>
      <c r="N6" s="168"/>
      <c r="O6" s="168"/>
      <c r="P6" s="168"/>
      <c r="Q6" s="169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0"/>
      <c r="H7" s="170"/>
      <c r="I7" s="50" t="s">
        <v>20</v>
      </c>
      <c r="J7" s="37">
        <f>SUM(J13,J19)</f>
        <v>40.005600000000001</v>
      </c>
      <c r="K7" s="38">
        <f>J7/J7</f>
        <v>1</v>
      </c>
      <c r="L7" s="161" t="s">
        <v>68</v>
      </c>
      <c r="M7" s="162"/>
      <c r="N7" s="162"/>
      <c r="O7" s="162"/>
      <c r="P7" s="162"/>
      <c r="Q7" s="163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2" t="s">
        <v>3</v>
      </c>
      <c r="C8" s="143"/>
      <c r="D8" s="143"/>
      <c r="E8" s="143"/>
      <c r="F8" s="144"/>
      <c r="G8" s="170"/>
      <c r="H8" s="170"/>
      <c r="I8" s="51" t="s">
        <v>6</v>
      </c>
      <c r="J8" s="37">
        <f>SUM(J14,J20)</f>
        <v>39.984264000000003</v>
      </c>
      <c r="K8" s="39">
        <f>J8/J7</f>
        <v>0.99946667466554684</v>
      </c>
      <c r="L8" s="161" t="s">
        <v>69</v>
      </c>
      <c r="M8" s="162"/>
      <c r="N8" s="162"/>
      <c r="O8" s="162"/>
      <c r="P8" s="162"/>
      <c r="Q8" s="163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5"/>
      <c r="C9" s="146"/>
      <c r="D9" s="146"/>
      <c r="E9" s="146"/>
      <c r="F9" s="147"/>
      <c r="G9" s="170"/>
      <c r="H9" s="170"/>
      <c r="I9" s="50" t="s">
        <v>8</v>
      </c>
      <c r="J9" s="40">
        <f t="shared" ref="J9:J10" si="0">SUM(J15,J21)</f>
        <v>1.9535999999999998E-2</v>
      </c>
      <c r="K9" s="39">
        <f>J9/J7</f>
        <v>4.8833163357129997E-4</v>
      </c>
      <c r="L9" s="161" t="s">
        <v>69</v>
      </c>
      <c r="M9" s="162"/>
      <c r="N9" s="162"/>
      <c r="O9" s="162"/>
      <c r="P9" s="162"/>
      <c r="Q9" s="163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8"/>
      <c r="C10" s="149"/>
      <c r="D10" s="149"/>
      <c r="E10" s="149"/>
      <c r="F10" s="150"/>
      <c r="G10" s="170"/>
      <c r="H10" s="170"/>
      <c r="I10" s="51" t="s">
        <v>9</v>
      </c>
      <c r="J10" s="40">
        <f t="shared" si="0"/>
        <v>1.8000000000000002E-3</v>
      </c>
      <c r="K10" s="39">
        <f>J10/J7</f>
        <v>4.4993700881876538E-5</v>
      </c>
      <c r="L10" s="161" t="s">
        <v>69</v>
      </c>
      <c r="M10" s="162"/>
      <c r="N10" s="162"/>
      <c r="O10" s="162"/>
      <c r="P10" s="162"/>
      <c r="Q10" s="16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1" t="s">
        <v>36</v>
      </c>
      <c r="C11" s="152"/>
      <c r="D11" s="152"/>
      <c r="E11" s="152"/>
      <c r="F11" s="153"/>
      <c r="G11" s="170"/>
      <c r="H11" s="170"/>
      <c r="I11" s="186"/>
      <c r="J11" s="186"/>
      <c r="K11" s="186"/>
      <c r="L11" s="186"/>
      <c r="M11" s="186"/>
      <c r="N11" s="186"/>
      <c r="O11" s="186"/>
      <c r="P11" s="186"/>
      <c r="Q11" s="186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4"/>
      <c r="C12" s="155"/>
      <c r="D12" s="155"/>
      <c r="E12" s="155"/>
      <c r="F12" s="156"/>
      <c r="G12" s="170"/>
      <c r="H12" s="170"/>
      <c r="I12" s="49" t="s">
        <v>51</v>
      </c>
      <c r="J12" s="49" t="s">
        <v>50</v>
      </c>
      <c r="K12" s="49" t="s">
        <v>46</v>
      </c>
      <c r="L12" s="167" t="s">
        <v>39</v>
      </c>
      <c r="M12" s="168"/>
      <c r="N12" s="168"/>
      <c r="O12" s="168"/>
      <c r="P12" s="168"/>
      <c r="Q12" s="169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0" t="s">
        <v>4</v>
      </c>
      <c r="C13" s="141"/>
      <c r="D13" s="130" t="s">
        <v>39</v>
      </c>
      <c r="E13" s="130"/>
      <c r="F13" s="130"/>
      <c r="G13" s="170"/>
      <c r="H13" s="170"/>
      <c r="I13" s="50" t="s">
        <v>5</v>
      </c>
      <c r="J13" s="41">
        <f>SUM(J14:J16)</f>
        <v>40</v>
      </c>
      <c r="K13" s="38">
        <f>J13/J13</f>
        <v>1</v>
      </c>
      <c r="L13" s="161" t="s">
        <v>71</v>
      </c>
      <c r="M13" s="162"/>
      <c r="N13" s="162"/>
      <c r="O13" s="162"/>
      <c r="P13" s="162"/>
      <c r="Q13" s="163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40</v>
      </c>
      <c r="D14" s="131" t="s">
        <v>17</v>
      </c>
      <c r="E14" s="131"/>
      <c r="F14" s="131"/>
      <c r="G14" s="170"/>
      <c r="H14" s="170"/>
      <c r="I14" s="51" t="s">
        <v>43</v>
      </c>
      <c r="J14" s="41">
        <f>C14-SUM(J15:J16)</f>
        <v>39.979280000000003</v>
      </c>
      <c r="K14" s="39">
        <f>J14/J13</f>
        <v>0.99948200000000009</v>
      </c>
      <c r="L14" s="164" t="s">
        <v>70</v>
      </c>
      <c r="M14" s="165"/>
      <c r="N14" s="165"/>
      <c r="O14" s="165"/>
      <c r="P14" s="165"/>
      <c r="Q14" s="166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2" t="s">
        <v>60</v>
      </c>
      <c r="E15" s="132"/>
      <c r="F15" s="132"/>
      <c r="G15" s="170"/>
      <c r="H15" s="170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1.9199999999999998E-2</v>
      </c>
      <c r="K15" s="39">
        <f>J15/J13</f>
        <v>4.7999999999999996E-4</v>
      </c>
      <c r="L15" s="161" t="s">
        <v>69</v>
      </c>
      <c r="M15" s="162"/>
      <c r="N15" s="162"/>
      <c r="O15" s="162"/>
      <c r="P15" s="162"/>
      <c r="Q15" s="163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0.98</v>
      </c>
      <c r="D16" s="133" t="s">
        <v>40</v>
      </c>
      <c r="E16" s="134"/>
      <c r="F16" s="135"/>
      <c r="G16" s="170"/>
      <c r="H16" s="170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1.5200000000000001E-3</v>
      </c>
      <c r="K16" s="39">
        <f>J16/J13</f>
        <v>3.8000000000000002E-5</v>
      </c>
      <c r="L16" s="161" t="s">
        <v>69</v>
      </c>
      <c r="M16" s="162"/>
      <c r="N16" s="162"/>
      <c r="O16" s="162"/>
      <c r="P16" s="162"/>
      <c r="Q16" s="163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16</v>
      </c>
      <c r="D17" s="136" t="s">
        <v>61</v>
      </c>
      <c r="E17" s="137"/>
      <c r="F17" s="138"/>
      <c r="G17" s="170"/>
      <c r="H17" s="170"/>
      <c r="I17" s="164"/>
      <c r="J17" s="165"/>
      <c r="K17" s="165"/>
      <c r="L17" s="165"/>
      <c r="M17" s="165"/>
      <c r="N17" s="165"/>
      <c r="O17" s="165"/>
      <c r="P17" s="165"/>
      <c r="Q17" s="166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0.02</v>
      </c>
      <c r="D18" s="133" t="s">
        <v>41</v>
      </c>
      <c r="E18" s="134"/>
      <c r="F18" s="135"/>
      <c r="G18" s="170"/>
      <c r="H18" s="170"/>
      <c r="I18" s="49" t="s">
        <v>29</v>
      </c>
      <c r="J18" s="49" t="s">
        <v>50</v>
      </c>
      <c r="K18" s="49" t="s">
        <v>46</v>
      </c>
      <c r="L18" s="167" t="s">
        <v>39</v>
      </c>
      <c r="M18" s="168"/>
      <c r="N18" s="168"/>
      <c r="O18" s="168"/>
      <c r="P18" s="168"/>
      <c r="Q18" s="169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2"/>
      <c r="C19" s="132"/>
      <c r="D19" s="132"/>
      <c r="E19" s="132"/>
      <c r="F19" s="132"/>
      <c r="G19" s="170"/>
      <c r="H19" s="170"/>
      <c r="I19" s="50" t="s">
        <v>5</v>
      </c>
      <c r="J19" s="41">
        <f>SUM(J20:J22)</f>
        <v>5.5999999999999999E-3</v>
      </c>
      <c r="K19" s="38">
        <f>J19/J19</f>
        <v>1</v>
      </c>
      <c r="L19" s="161" t="s">
        <v>55</v>
      </c>
      <c r="M19" s="162"/>
      <c r="N19" s="162"/>
      <c r="O19" s="162"/>
      <c r="P19" s="162"/>
      <c r="Q19" s="163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0" t="s">
        <v>7</v>
      </c>
      <c r="C20" s="141"/>
      <c r="D20" s="130" t="s">
        <v>39</v>
      </c>
      <c r="E20" s="130"/>
      <c r="F20" s="130"/>
      <c r="G20" s="170"/>
      <c r="H20" s="170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4.9839999999999997E-3</v>
      </c>
      <c r="K20" s="39">
        <f>J20/J19</f>
        <v>0.89</v>
      </c>
      <c r="L20" s="161" t="s">
        <v>69</v>
      </c>
      <c r="M20" s="162"/>
      <c r="N20" s="162"/>
      <c r="O20" s="162"/>
      <c r="P20" s="162"/>
      <c r="Q20" s="163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79</v>
      </c>
      <c r="D21" s="136" t="s">
        <v>61</v>
      </c>
      <c r="E21" s="137"/>
      <c r="F21" s="138"/>
      <c r="G21" s="170"/>
      <c r="H21" s="170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3.3599999999999998E-4</v>
      </c>
      <c r="K21" s="39">
        <f>J21/J19</f>
        <v>0.06</v>
      </c>
      <c r="L21" s="161" t="s">
        <v>69</v>
      </c>
      <c r="M21" s="162"/>
      <c r="N21" s="162"/>
      <c r="O21" s="162"/>
      <c r="P21" s="162"/>
      <c r="Q21" s="16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5600</v>
      </c>
      <c r="D22" s="139" t="s">
        <v>67</v>
      </c>
      <c r="E22" s="139"/>
      <c r="F22" s="139"/>
      <c r="G22" s="170"/>
      <c r="H22" s="170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2.8000000000000003E-4</v>
      </c>
      <c r="K22" s="39">
        <f>J22/J19</f>
        <v>0.05</v>
      </c>
      <c r="L22" s="161" t="s">
        <v>69</v>
      </c>
      <c r="M22" s="162"/>
      <c r="N22" s="162"/>
      <c r="O22" s="162"/>
      <c r="P22" s="162"/>
      <c r="Q22" s="163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7"/>
      <c r="C23" s="128"/>
      <c r="D23" s="128"/>
      <c r="E23" s="128"/>
      <c r="F23" s="129"/>
      <c r="G23" s="170"/>
      <c r="H23" s="170"/>
      <c r="I23" s="181"/>
      <c r="J23" s="182"/>
      <c r="K23" s="182"/>
      <c r="L23" s="182"/>
      <c r="M23" s="182"/>
      <c r="N23" s="182"/>
      <c r="O23" s="182"/>
      <c r="P23" s="182"/>
      <c r="Q23" s="183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1" t="s">
        <v>37</v>
      </c>
      <c r="C24" s="152"/>
      <c r="D24" s="152"/>
      <c r="E24" s="152"/>
      <c r="F24" s="153"/>
      <c r="G24" s="170"/>
      <c r="H24" s="170"/>
      <c r="I24" s="175" t="s">
        <v>42</v>
      </c>
      <c r="J24" s="176"/>
      <c r="K24" s="176"/>
      <c r="L24" s="176"/>
      <c r="M24" s="176"/>
      <c r="N24" s="176"/>
      <c r="O24" s="176"/>
      <c r="P24" s="176"/>
      <c r="Q24" s="17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4"/>
      <c r="C25" s="155"/>
      <c r="D25" s="155"/>
      <c r="E25" s="155"/>
      <c r="F25" s="156"/>
      <c r="G25" s="170"/>
      <c r="H25" s="170"/>
      <c r="I25" s="178"/>
      <c r="J25" s="179"/>
      <c r="K25" s="179"/>
      <c r="L25" s="179"/>
      <c r="M25" s="179"/>
      <c r="N25" s="179"/>
      <c r="O25" s="179"/>
      <c r="P25" s="179"/>
      <c r="Q25" s="180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3" t="s">
        <v>11</v>
      </c>
      <c r="C26" s="173" t="s">
        <v>12</v>
      </c>
      <c r="D26" s="157" t="s">
        <v>47</v>
      </c>
      <c r="E26" s="157" t="s">
        <v>48</v>
      </c>
      <c r="F26" s="159" t="s">
        <v>66</v>
      </c>
      <c r="G26" s="170"/>
      <c r="H26" s="170"/>
      <c r="I26" s="184" t="s">
        <v>53</v>
      </c>
      <c r="J26" s="184" t="s">
        <v>54</v>
      </c>
      <c r="K26" s="171" t="s">
        <v>73</v>
      </c>
      <c r="L26" s="171" t="s">
        <v>52</v>
      </c>
      <c r="M26" s="171" t="s">
        <v>59</v>
      </c>
      <c r="N26" s="171" t="s">
        <v>62</v>
      </c>
      <c r="O26" s="171" t="s">
        <v>72</v>
      </c>
      <c r="P26" s="171" t="s">
        <v>64</v>
      </c>
      <c r="Q26" s="171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4"/>
      <c r="C27" s="174"/>
      <c r="D27" s="158"/>
      <c r="E27" s="158"/>
      <c r="F27" s="160"/>
      <c r="G27" s="170"/>
      <c r="H27" s="170"/>
      <c r="I27" s="185"/>
      <c r="J27" s="185"/>
      <c r="K27" s="172"/>
      <c r="L27" s="172"/>
      <c r="M27" s="172"/>
      <c r="N27" s="172"/>
      <c r="O27" s="172"/>
      <c r="P27" s="172"/>
      <c r="Q27" s="172"/>
      <c r="R27" s="7" t="s">
        <v>78</v>
      </c>
      <c r="S27" s="7" t="s">
        <v>77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9"/>
      <c r="B28" s="46" t="s">
        <v>114</v>
      </c>
      <c r="C28" s="46" t="s">
        <v>115</v>
      </c>
      <c r="D28" s="47">
        <v>1.6437199999999998</v>
      </c>
      <c r="E28" s="47">
        <v>1.9024449999999995</v>
      </c>
      <c r="F28" s="98">
        <v>9.9999999999999995E-7</v>
      </c>
      <c r="G28" s="170"/>
      <c r="H28" s="170"/>
      <c r="I28" s="94">
        <f t="shared" ref="I28:I47" si="1">IF(D28=0,"",LOG($K$15*10^D28+$K$16*10^E28+$K$14))</f>
        <v>1.0151699775534529E-2</v>
      </c>
      <c r="J28" s="94">
        <f t="shared" ref="J28:J47" si="2">IF(D28=0,"",LOG($K$21*10^D28+$K$22*10^E28+$K$20))</f>
        <v>0.87654628857053851</v>
      </c>
      <c r="K28" s="95">
        <f t="shared" ref="K28:K47" si="3">IF(D28=0,"",1/(1+10^D28*$J$15/$J$14+10^E28*$J$16/$J$14+10^J28*$J$19/$J$14))</f>
        <v>0.97538597784837422</v>
      </c>
      <c r="L28" s="95">
        <f t="shared" ref="L28:L47" si="4">IF(D28=0,"",1/(1+10^I28/10^J28*$J$13/$J$19))</f>
        <v>1.0281958697004119E-3</v>
      </c>
      <c r="M28" s="95">
        <f t="shared" ref="M28:M47" si="5">IF(D28=0,"",1-L28)</f>
        <v>0.99897180413029962</v>
      </c>
      <c r="N28" s="95">
        <f t="shared" ref="N28:N47" si="6">IF(D28=0,"",1/(1/10^E28*$J$20/$J$22+10^D28/10^E28*$J$21/$J$22+10^I28/10^E28*$J$13/$J$22+1))</f>
        <v>5.4568821011886405E-4</v>
      </c>
      <c r="O28" s="40">
        <f t="shared" ref="O28:O47" si="7">IF(D28=0,"",F28*K28*$J$7/$J$14)</f>
        <v>9.7602811444855707E-7</v>
      </c>
      <c r="P28" s="40">
        <f t="shared" ref="P28:P47" si="8">IF(D28=0,"",O28*10^J28)</f>
        <v>7.3452844080155007E-6</v>
      </c>
      <c r="Q28" s="40">
        <f t="shared" ref="Q28:Q47" si="9">IF(D28=0,"",F28*N28*$J$7/$J$22)</f>
        <v>7.7966372352611504E-5</v>
      </c>
      <c r="R28" s="9">
        <f>F28*$C$14</f>
        <v>3.9999999999999996E-5</v>
      </c>
      <c r="S28" s="9">
        <f>$R28*L28</f>
        <v>4.1127834788016472E-8</v>
      </c>
      <c r="T28" s="9">
        <f>R28*K28</f>
        <v>3.9015439113934963E-5</v>
      </c>
      <c r="U28" s="9">
        <f>$R28*M28</f>
        <v>3.9958872165211979E-5</v>
      </c>
      <c r="V28" s="102">
        <f>K28/M28</f>
        <v>0.97638989790862107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9"/>
      <c r="B29" s="46" t="s">
        <v>116</v>
      </c>
      <c r="C29" s="46" t="s">
        <v>117</v>
      </c>
      <c r="D29" s="47">
        <v>4.7386560000000006</v>
      </c>
      <c r="E29" s="47">
        <v>5.8355820000000005</v>
      </c>
      <c r="F29" s="98">
        <v>9.9999999999999995E-7</v>
      </c>
      <c r="G29" s="170"/>
      <c r="H29" s="170"/>
      <c r="I29" s="94">
        <f t="shared" si="1"/>
        <v>1.7268855172909561</v>
      </c>
      <c r="J29" s="94">
        <f t="shared" si="2"/>
        <v>4.5743714574945749</v>
      </c>
      <c r="K29" s="95">
        <f t="shared" si="3"/>
        <v>1.7063709843564936E-2</v>
      </c>
      <c r="L29" s="95">
        <f t="shared" si="4"/>
        <v>8.9701142305115528E-2</v>
      </c>
      <c r="M29" s="95">
        <f t="shared" si="5"/>
        <v>0.9102988576948845</v>
      </c>
      <c r="N29" s="95">
        <f t="shared" si="6"/>
        <v>8.1842430914431483E-2</v>
      </c>
      <c r="O29" s="40">
        <f t="shared" si="7"/>
        <v>1.7074943583719399E-8</v>
      </c>
      <c r="P29" s="40">
        <f t="shared" si="8"/>
        <v>6.408121461788449E-4</v>
      </c>
      <c r="Q29" s="40">
        <f t="shared" si="9"/>
        <v>1.169341269353707E-2</v>
      </c>
      <c r="R29" s="9">
        <f>F29*$C$14</f>
        <v>3.9999999999999996E-5</v>
      </c>
      <c r="S29" s="9">
        <f t="shared" ref="S29:S49" si="10">$R29*L29</f>
        <v>3.5880456922046206E-6</v>
      </c>
      <c r="T29" s="9">
        <f t="shared" ref="T29:T50" si="11">R29*K29</f>
        <v>6.8254839374259741E-7</v>
      </c>
      <c r="U29" s="9">
        <f t="shared" ref="U29:U50" si="12">$R29*M29</f>
        <v>3.6411954307795378E-5</v>
      </c>
      <c r="V29" s="102">
        <f t="shared" ref="V29:V49" si="13">K29/M29</f>
        <v>1.8745173301408645E-2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0"/>
      <c r="B30" s="46" t="s">
        <v>118</v>
      </c>
      <c r="C30" s="46" t="s">
        <v>119</v>
      </c>
      <c r="D30" s="91">
        <v>7.1429999999999998</v>
      </c>
      <c r="E30" s="91">
        <v>9.299925</v>
      </c>
      <c r="F30" s="98">
        <v>9.9999999999999995E-7</v>
      </c>
      <c r="G30" s="170"/>
      <c r="H30" s="170"/>
      <c r="I30" s="94">
        <f t="shared" si="1"/>
        <v>4.916346796550199</v>
      </c>
      <c r="J30" s="94">
        <f t="shared" si="2"/>
        <v>8.0025110320676838</v>
      </c>
      <c r="K30" s="95">
        <f t="shared" si="3"/>
        <v>1.0350801865233238E-5</v>
      </c>
      <c r="L30" s="95">
        <f t="shared" si="4"/>
        <v>0.14582704853527589</v>
      </c>
      <c r="M30" s="95">
        <f t="shared" si="5"/>
        <v>0.85417295146472405</v>
      </c>
      <c r="N30" s="95">
        <f t="shared" si="6"/>
        <v>0.14461790246773179</v>
      </c>
      <c r="O30" s="40">
        <f t="shared" si="7"/>
        <v>1.0357616222697727E-11</v>
      </c>
      <c r="P30" s="40">
        <f t="shared" si="8"/>
        <v>1.0417676023005073E-3</v>
      </c>
      <c r="Q30" s="40">
        <f t="shared" si="9"/>
        <v>2.0662592710582461E-2</v>
      </c>
      <c r="R30" s="9">
        <f t="shared" ref="R30:R49" si="14">F30*$C$14</f>
        <v>3.9999999999999996E-5</v>
      </c>
      <c r="S30" s="9">
        <f t="shared" si="10"/>
        <v>5.8330819414110352E-6</v>
      </c>
      <c r="T30" s="9">
        <f t="shared" si="11"/>
        <v>4.1403207460932948E-10</v>
      </c>
      <c r="U30" s="9">
        <f t="shared" si="12"/>
        <v>3.416691805858896E-5</v>
      </c>
      <c r="V30" s="102">
        <f t="shared" si="13"/>
        <v>1.2117922778383259E-5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0"/>
      <c r="B31" s="46" t="s">
        <v>112</v>
      </c>
      <c r="C31" s="46" t="s">
        <v>113</v>
      </c>
      <c r="D31" s="47">
        <v>3.3511520000000004</v>
      </c>
      <c r="E31" s="47">
        <v>4.2962190000000007</v>
      </c>
      <c r="F31" s="98">
        <v>9.9999999999999995E-7</v>
      </c>
      <c r="G31" s="170"/>
      <c r="H31" s="170"/>
      <c r="I31" s="94">
        <f t="shared" si="1"/>
        <v>0.45156382049297444</v>
      </c>
      <c r="J31" s="94">
        <f t="shared" si="2"/>
        <v>3.0509801020444232</v>
      </c>
      <c r="K31" s="95">
        <f t="shared" si="3"/>
        <v>0.3347241380339373</v>
      </c>
      <c r="L31" s="95">
        <f t="shared" si="4"/>
        <v>5.2725437540790031E-2</v>
      </c>
      <c r="M31" s="95">
        <f t="shared" si="5"/>
        <v>0.94727456245920993</v>
      </c>
      <c r="N31" s="95">
        <f t="shared" si="6"/>
        <v>4.6369145713280553E-2</v>
      </c>
      <c r="O31" s="40">
        <f t="shared" si="7"/>
        <v>3.3494450066460627E-7</v>
      </c>
      <c r="P31" s="40">
        <f t="shared" si="8"/>
        <v>3.7666299358604102E-4</v>
      </c>
      <c r="Q31" s="40">
        <f t="shared" si="9"/>
        <v>6.6250910562400574E-3</v>
      </c>
      <c r="R31" s="9">
        <f t="shared" si="14"/>
        <v>3.9999999999999996E-5</v>
      </c>
      <c r="S31" s="9">
        <f t="shared" si="10"/>
        <v>2.109017501631601E-6</v>
      </c>
      <c r="T31" s="9">
        <f t="shared" si="11"/>
        <v>1.3388965521357491E-5</v>
      </c>
      <c r="U31" s="9">
        <f t="shared" si="12"/>
        <v>3.7890982498368393E-5</v>
      </c>
      <c r="V31" s="102">
        <f t="shared" si="13"/>
        <v>0.35335493139915353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0"/>
      <c r="B32" s="46" t="s">
        <v>120</v>
      </c>
      <c r="C32" s="46" t="s">
        <v>121</v>
      </c>
      <c r="D32" s="47">
        <v>5.9183200000000005</v>
      </c>
      <c r="E32" s="47">
        <v>7.0401399999999992</v>
      </c>
      <c r="F32" s="98">
        <v>9.9999999999999995E-7</v>
      </c>
      <c r="G32" s="170"/>
      <c r="H32" s="170"/>
      <c r="I32" s="94">
        <f t="shared" si="1"/>
        <v>2.9114243406645763</v>
      </c>
      <c r="J32" s="94">
        <f t="shared" si="2"/>
        <v>5.7767955088211638</v>
      </c>
      <c r="K32" s="95">
        <f t="shared" si="3"/>
        <v>1.1114755058119698E-3</v>
      </c>
      <c r="L32" s="95">
        <f t="shared" si="4"/>
        <v>9.3121178522989553E-2</v>
      </c>
      <c r="M32" s="95">
        <f t="shared" si="5"/>
        <v>0.90687882147701049</v>
      </c>
      <c r="N32" s="95">
        <f t="shared" si="6"/>
        <v>8.5381338571127771E-2</v>
      </c>
      <c r="O32" s="40">
        <f t="shared" si="7"/>
        <v>1.1122072357308918E-9</v>
      </c>
      <c r="P32" s="40">
        <f t="shared" si="8"/>
        <v>6.6524439634273462E-4</v>
      </c>
      <c r="Q32" s="40">
        <f t="shared" si="9"/>
        <v>1.2199041708361103E-2</v>
      </c>
      <c r="R32" s="9">
        <f t="shared" si="14"/>
        <v>3.9999999999999996E-5</v>
      </c>
      <c r="S32" s="9">
        <f t="shared" si="10"/>
        <v>3.724847140919582E-6</v>
      </c>
      <c r="T32" s="9">
        <f t="shared" si="11"/>
        <v>4.4459020232478788E-8</v>
      </c>
      <c r="U32" s="9">
        <f t="shared" si="12"/>
        <v>3.6275152859080415E-5</v>
      </c>
      <c r="V32" s="102">
        <f t="shared" si="13"/>
        <v>1.2256053173694561E-3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0"/>
      <c r="B33" s="96" t="s">
        <v>122</v>
      </c>
      <c r="C33" s="96" t="s">
        <v>123</v>
      </c>
      <c r="D33" s="97">
        <v>5.5295200000000007</v>
      </c>
      <c r="E33" s="97">
        <v>6.5305900000000001</v>
      </c>
      <c r="F33" s="98">
        <v>9.9999999999999995E-7</v>
      </c>
      <c r="G33" s="170"/>
      <c r="H33" s="170"/>
      <c r="I33" s="94">
        <f t="shared" si="1"/>
        <v>2.4659786116205753</v>
      </c>
      <c r="J33" s="94">
        <f t="shared" si="2"/>
        <v>5.2786655449069544</v>
      </c>
      <c r="K33" s="95">
        <f t="shared" si="3"/>
        <v>3.1332171595590532E-3</v>
      </c>
      <c r="L33" s="95">
        <f t="shared" si="4"/>
        <v>8.336986529243999E-2</v>
      </c>
      <c r="M33" s="95">
        <f t="shared" si="5"/>
        <v>0.91663013470756005</v>
      </c>
      <c r="N33" s="95">
        <f t="shared" si="6"/>
        <v>7.4456661474210373E-2</v>
      </c>
      <c r="O33" s="40">
        <f t="shared" si="7"/>
        <v>3.135279884941791E-9</v>
      </c>
      <c r="P33" s="40">
        <f t="shared" si="8"/>
        <v>5.9558240766843568E-4</v>
      </c>
      <c r="Q33" s="40">
        <f t="shared" si="9"/>
        <v>1.063815505811668E-2</v>
      </c>
      <c r="R33" s="9">
        <f t="shared" si="14"/>
        <v>3.9999999999999996E-5</v>
      </c>
      <c r="S33" s="9">
        <f t="shared" si="10"/>
        <v>3.3347946116975993E-6</v>
      </c>
      <c r="T33" s="9">
        <f t="shared" si="11"/>
        <v>1.2532868638236213E-7</v>
      </c>
      <c r="U33" s="9">
        <f t="shared" si="12"/>
        <v>3.6665205388302396E-5</v>
      </c>
      <c r="V33" s="102">
        <f t="shared" si="13"/>
        <v>3.4181913084918038E-3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9"/>
      <c r="B34" s="46" t="s">
        <v>124</v>
      </c>
      <c r="C34" s="46" t="s">
        <v>125</v>
      </c>
      <c r="D34" s="91">
        <v>5.4845040000000003</v>
      </c>
      <c r="E34" s="91">
        <v>6.5678879999999999</v>
      </c>
      <c r="F34" s="98">
        <v>9.9999999999999995E-7</v>
      </c>
      <c r="G34" s="170"/>
      <c r="H34" s="170"/>
      <c r="I34" s="94">
        <f t="shared" si="1"/>
        <v>2.4593424067669152</v>
      </c>
      <c r="J34" s="94">
        <f t="shared" si="2"/>
        <v>5.3078721995446587</v>
      </c>
      <c r="K34" s="95">
        <f t="shared" si="3"/>
        <v>3.1588051026151588E-3</v>
      </c>
      <c r="L34" s="95">
        <f t="shared" si="4"/>
        <v>8.9897598225017569E-2</v>
      </c>
      <c r="M34" s="95">
        <f t="shared" si="5"/>
        <v>0.91010240177498247</v>
      </c>
      <c r="N34" s="95">
        <f t="shared" si="6"/>
        <v>8.1796344190222567E-2</v>
      </c>
      <c r="O34" s="40">
        <f t="shared" si="7"/>
        <v>3.1608846735904447E-9</v>
      </c>
      <c r="P34" s="40">
        <f t="shared" si="8"/>
        <v>6.422155992054934E-4</v>
      </c>
      <c r="Q34" s="40">
        <f t="shared" si="9"/>
        <v>1.1686827954058456E-2</v>
      </c>
      <c r="R34" s="9">
        <f t="shared" si="14"/>
        <v>3.9999999999999996E-5</v>
      </c>
      <c r="S34" s="9">
        <f t="shared" si="10"/>
        <v>3.5959039290007025E-6</v>
      </c>
      <c r="T34" s="9">
        <f t="shared" si="11"/>
        <v>1.2635220410460634E-7</v>
      </c>
      <c r="U34" s="9">
        <f t="shared" si="12"/>
        <v>3.6404096070999293E-5</v>
      </c>
      <c r="V34" s="102">
        <f t="shared" si="13"/>
        <v>3.4708238286752209E-3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9"/>
      <c r="B35" s="46" t="s">
        <v>126</v>
      </c>
      <c r="C35" s="46" t="s">
        <v>127</v>
      </c>
      <c r="D35" s="91">
        <v>2.7195840000000011</v>
      </c>
      <c r="E35" s="91">
        <v>3.2500779999999994</v>
      </c>
      <c r="F35" s="98">
        <v>9.9999999999999995E-7</v>
      </c>
      <c r="G35" s="170"/>
      <c r="H35" s="170"/>
      <c r="I35" s="94">
        <f t="shared" si="1"/>
        <v>0.12015758400049081</v>
      </c>
      <c r="J35" s="94">
        <f t="shared" si="2"/>
        <v>2.0837828896743456</v>
      </c>
      <c r="K35" s="95">
        <f t="shared" si="3"/>
        <v>0.74827539294125522</v>
      </c>
      <c r="L35" s="95">
        <f t="shared" si="4"/>
        <v>1.2711517855901393E-2</v>
      </c>
      <c r="M35" s="95">
        <f t="shared" si="5"/>
        <v>0.98728848214409859</v>
      </c>
      <c r="N35" s="95">
        <f t="shared" si="6"/>
        <v>9.3210003978695371E-3</v>
      </c>
      <c r="O35" s="40">
        <f t="shared" si="7"/>
        <v>7.4876801332717033E-7</v>
      </c>
      <c r="P35" s="40">
        <f t="shared" si="8"/>
        <v>9.0809267631437266E-5</v>
      </c>
      <c r="Q35" s="40">
        <f t="shared" si="9"/>
        <v>1.3317579054178911E-3</v>
      </c>
      <c r="R35" s="9">
        <f t="shared" si="14"/>
        <v>3.9999999999999996E-5</v>
      </c>
      <c r="S35" s="9">
        <f t="shared" si="10"/>
        <v>5.0846071423605568E-7</v>
      </c>
      <c r="T35" s="9">
        <f t="shared" si="11"/>
        <v>2.9931015717650206E-5</v>
      </c>
      <c r="U35" s="9">
        <f t="shared" si="12"/>
        <v>3.9491539285763939E-5</v>
      </c>
      <c r="V35" s="102">
        <f t="shared" si="13"/>
        <v>0.75790957402462789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9"/>
      <c r="B36" s="46" t="s">
        <v>80</v>
      </c>
      <c r="C36" s="46" t="s">
        <v>81</v>
      </c>
      <c r="D36" s="47">
        <v>7.5547280000000008</v>
      </c>
      <c r="E36" s="47">
        <v>9.7459910000000001</v>
      </c>
      <c r="F36" s="98">
        <v>9.9999999999999995E-7</v>
      </c>
      <c r="G36" s="170"/>
      <c r="H36" s="170"/>
      <c r="I36" s="94">
        <f t="shared" si="1"/>
        <v>5.3597305230687828</v>
      </c>
      <c r="J36" s="94">
        <f t="shared" si="2"/>
        <v>8.4483031900032319</v>
      </c>
      <c r="K36" s="95">
        <f t="shared" si="3"/>
        <v>3.7259602856892877E-6</v>
      </c>
      <c r="L36" s="95">
        <f t="shared" si="4"/>
        <v>0.14651917682074395</v>
      </c>
      <c r="M36" s="95">
        <f t="shared" si="5"/>
        <v>0.85348082317925611</v>
      </c>
      <c r="N36" s="95">
        <f t="shared" si="6"/>
        <v>0.14539594160764266</v>
      </c>
      <c r="O36" s="40">
        <f t="shared" si="7"/>
        <v>3.7284132381866642E-12</v>
      </c>
      <c r="P36" s="40">
        <f t="shared" si="8"/>
        <v>1.046712067896422E-3</v>
      </c>
      <c r="Q36" s="40">
        <f t="shared" si="9"/>
        <v>2.0773756719923958E-2</v>
      </c>
      <c r="R36" s="9">
        <f t="shared" si="14"/>
        <v>3.9999999999999996E-5</v>
      </c>
      <c r="S36" s="9">
        <f t="shared" si="10"/>
        <v>5.8607670728297576E-6</v>
      </c>
      <c r="T36" s="9">
        <f t="shared" si="11"/>
        <v>1.490384114275715E-10</v>
      </c>
      <c r="U36" s="9">
        <f t="shared" si="12"/>
        <v>3.4139232927170241E-5</v>
      </c>
      <c r="V36" s="102">
        <f t="shared" si="13"/>
        <v>4.365605160066644E-6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9"/>
      <c r="B37" s="96" t="s">
        <v>128</v>
      </c>
      <c r="C37" s="96" t="s">
        <v>129</v>
      </c>
      <c r="D37" s="97">
        <v>4.10616</v>
      </c>
      <c r="E37" s="97">
        <v>5.1108449999999994</v>
      </c>
      <c r="F37" s="98">
        <v>9.9999999999999995E-7</v>
      </c>
      <c r="G37" s="170"/>
      <c r="H37" s="170"/>
      <c r="I37" s="94">
        <f t="shared" si="1"/>
        <v>1.080392983851221</v>
      </c>
      <c r="J37" s="94">
        <f t="shared" si="2"/>
        <v>3.8585870053842997</v>
      </c>
      <c r="K37" s="95">
        <f t="shared" si="3"/>
        <v>7.6621278900234804E-2</v>
      </c>
      <c r="L37" s="95">
        <f t="shared" si="4"/>
        <v>7.7497815438557813E-2</v>
      </c>
      <c r="M37" s="95">
        <f t="shared" si="5"/>
        <v>0.92250218456144217</v>
      </c>
      <c r="N37" s="95">
        <f t="shared" si="6"/>
        <v>6.9265577491956665E-2</v>
      </c>
      <c r="O37" s="40">
        <f t="shared" si="7"/>
        <v>7.6671721831189388E-8</v>
      </c>
      <c r="P37" s="40">
        <f t="shared" si="8"/>
        <v>5.5363332237656608E-4</v>
      </c>
      <c r="Q37" s="40">
        <f t="shared" si="9"/>
        <v>9.8964678104007907E-3</v>
      </c>
      <c r="R37" s="9">
        <f t="shared" si="14"/>
        <v>3.9999999999999996E-5</v>
      </c>
      <c r="S37" s="9">
        <f t="shared" si="10"/>
        <v>3.0999126175423121E-6</v>
      </c>
      <c r="T37" s="9">
        <f t="shared" si="11"/>
        <v>3.0648511560093918E-6</v>
      </c>
      <c r="U37" s="9">
        <f t="shared" si="12"/>
        <v>3.6900087382457684E-5</v>
      </c>
      <c r="V37" s="102">
        <f t="shared" si="13"/>
        <v>8.3058100221909598E-2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9"/>
      <c r="B38" s="46" t="s">
        <v>130</v>
      </c>
      <c r="C38" s="46" t="s">
        <v>131</v>
      </c>
      <c r="D38" s="91">
        <v>2.8295519999999996</v>
      </c>
      <c r="E38" s="91">
        <v>3.5791989999999991</v>
      </c>
      <c r="F38" s="98">
        <v>9.9999999999999995E-7</v>
      </c>
      <c r="G38" s="170"/>
      <c r="H38" s="170"/>
      <c r="I38" s="94">
        <f t="shared" si="1"/>
        <v>0.16668848098518507</v>
      </c>
      <c r="J38" s="94">
        <f t="shared" si="2"/>
        <v>2.3639081225718592</v>
      </c>
      <c r="K38" s="95">
        <f t="shared" si="3"/>
        <v>0.66621693447352526</v>
      </c>
      <c r="L38" s="95">
        <f t="shared" si="4"/>
        <v>2.1571326329047173E-2</v>
      </c>
      <c r="M38" s="95">
        <f t="shared" si="5"/>
        <v>0.97842867367095288</v>
      </c>
      <c r="N38" s="95">
        <f t="shared" si="6"/>
        <v>1.7706704133994614E-2</v>
      </c>
      <c r="O38" s="40">
        <f t="shared" si="7"/>
        <v>6.6665553241013998E-7</v>
      </c>
      <c r="P38" s="40">
        <f t="shared" si="8"/>
        <v>1.5410247367666599E-4</v>
      </c>
      <c r="Q38" s="40">
        <f t="shared" si="9"/>
        <v>2.52988329608191E-3</v>
      </c>
      <c r="R38" s="9">
        <f t="shared" si="14"/>
        <v>3.9999999999999996E-5</v>
      </c>
      <c r="S38" s="9">
        <f t="shared" si="10"/>
        <v>8.6285305316188683E-7</v>
      </c>
      <c r="T38" s="9">
        <f t="shared" si="11"/>
        <v>2.6648677378941007E-5</v>
      </c>
      <c r="U38" s="9">
        <f t="shared" si="12"/>
        <v>3.9137146946838109E-5</v>
      </c>
      <c r="V38" s="102">
        <f t="shared" si="13"/>
        <v>0.68090495751106239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9"/>
      <c r="B39" s="46" t="s">
        <v>82</v>
      </c>
      <c r="C39" s="46" t="s">
        <v>83</v>
      </c>
      <c r="D39" s="91">
        <v>-2.3039999999996397E-3</v>
      </c>
      <c r="E39" s="91">
        <v>-1.314813</v>
      </c>
      <c r="F39" s="98">
        <v>9.9999999999999995E-7</v>
      </c>
      <c r="G39" s="170"/>
      <c r="H39" s="170"/>
      <c r="I39" s="94">
        <f t="shared" si="1"/>
        <v>-1.6807124166640264E-5</v>
      </c>
      <c r="J39" s="94">
        <f t="shared" si="2"/>
        <v>-2.1315410513044985E-2</v>
      </c>
      <c r="K39" s="95">
        <f t="shared" si="3"/>
        <v>0.99938746240674536</v>
      </c>
      <c r="L39" s="95">
        <f t="shared" si="4"/>
        <v>1.3328201342681234E-4</v>
      </c>
      <c r="M39" s="95">
        <f t="shared" si="5"/>
        <v>0.99986671798657323</v>
      </c>
      <c r="N39" s="95">
        <f t="shared" si="6"/>
        <v>3.3903455118954155E-7</v>
      </c>
      <c r="O39" s="40">
        <f t="shared" si="7"/>
        <v>1.0000454001687697E-6</v>
      </c>
      <c r="P39" s="40">
        <f t="shared" si="8"/>
        <v>9.5214766363351506E-7</v>
      </c>
      <c r="Q39" s="40">
        <f t="shared" si="9"/>
        <v>4.8440288003815435E-8</v>
      </c>
      <c r="R39" s="9">
        <f t="shared" si="14"/>
        <v>3.9999999999999996E-5</v>
      </c>
      <c r="S39" s="9">
        <f t="shared" si="10"/>
        <v>5.331280537072493E-9</v>
      </c>
      <c r="T39" s="9">
        <f t="shared" si="11"/>
        <v>3.9975498496269812E-5</v>
      </c>
      <c r="U39" s="9">
        <f t="shared" si="12"/>
        <v>3.9994668719462925E-5</v>
      </c>
      <c r="V39" s="102">
        <f t="shared" si="13"/>
        <v>0.9995206805355088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9"/>
      <c r="B40" s="46" t="s">
        <v>132</v>
      </c>
      <c r="C40" s="46" t="s">
        <v>133</v>
      </c>
      <c r="D40" s="47">
        <v>3.2352399999999997</v>
      </c>
      <c r="E40" s="47">
        <v>3.7544849999999994</v>
      </c>
      <c r="F40" s="98">
        <v>9.9999999999999995E-7</v>
      </c>
      <c r="G40" s="170"/>
      <c r="H40" s="170"/>
      <c r="I40" s="94">
        <f t="shared" si="1"/>
        <v>0.30972420580945559</v>
      </c>
      <c r="J40" s="94">
        <f t="shared" si="2"/>
        <v>2.5889557991870298</v>
      </c>
      <c r="K40" s="95">
        <f t="shared" si="3"/>
        <v>0.47713043456394844</v>
      </c>
      <c r="L40" s="95">
        <f t="shared" si="4"/>
        <v>2.5938566875993219E-2</v>
      </c>
      <c r="M40" s="95">
        <f t="shared" si="5"/>
        <v>0.97406143312400673</v>
      </c>
      <c r="N40" s="95">
        <f t="shared" si="6"/>
        <v>1.8986511754421048E-2</v>
      </c>
      <c r="O40" s="40">
        <f t="shared" si="7"/>
        <v>4.7744454910122182E-7</v>
      </c>
      <c r="P40" s="40">
        <f t="shared" si="8"/>
        <v>1.8530141625254184E-4</v>
      </c>
      <c r="Q40" s="40">
        <f t="shared" si="9"/>
        <v>2.7127385522952379E-3</v>
      </c>
      <c r="R40" s="9">
        <f t="shared" si="14"/>
        <v>3.9999999999999996E-5</v>
      </c>
      <c r="S40" s="9">
        <f t="shared" si="10"/>
        <v>1.0375426750397287E-6</v>
      </c>
      <c r="T40" s="9">
        <f t="shared" si="11"/>
        <v>1.9085217382557936E-5</v>
      </c>
      <c r="U40" s="9">
        <f t="shared" si="12"/>
        <v>3.8962457324960268E-5</v>
      </c>
      <c r="V40" s="102">
        <f t="shared" si="13"/>
        <v>0.48983608049617283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9"/>
      <c r="B41" s="96" t="s">
        <v>134</v>
      </c>
      <c r="C41" s="96" t="s">
        <v>135</v>
      </c>
      <c r="D41" s="97">
        <v>3.3303280000000011</v>
      </c>
      <c r="E41" s="97">
        <v>3.8215209999999997</v>
      </c>
      <c r="F41" s="98">
        <v>9.9999999999999995E-7</v>
      </c>
      <c r="G41" s="170"/>
      <c r="H41" s="170"/>
      <c r="I41" s="94">
        <f t="shared" si="1"/>
        <v>0.35763444792585858</v>
      </c>
      <c r="J41" s="94">
        <f t="shared" si="2"/>
        <v>2.6634845218157044</v>
      </c>
      <c r="K41" s="95">
        <f t="shared" si="3"/>
        <v>0.42659466241284905</v>
      </c>
      <c r="L41" s="95">
        <f t="shared" si="4"/>
        <v>2.753296594149876E-2</v>
      </c>
      <c r="M41" s="95">
        <f t="shared" si="5"/>
        <v>0.97246703405850121</v>
      </c>
      <c r="N41" s="95">
        <f t="shared" si="6"/>
        <v>1.9808859883844659E-2</v>
      </c>
      <c r="O41" s="40">
        <f t="shared" si="7"/>
        <v>4.2687550717830518E-7</v>
      </c>
      <c r="P41" s="40">
        <f t="shared" si="8"/>
        <v>1.9669157540521838E-4</v>
      </c>
      <c r="Q41" s="40">
        <f t="shared" si="9"/>
        <v>2.830233303461199E-3</v>
      </c>
      <c r="R41" s="9">
        <f t="shared" si="14"/>
        <v>3.9999999999999996E-5</v>
      </c>
      <c r="S41" s="9">
        <f t="shared" si="10"/>
        <v>1.1013186376599504E-6</v>
      </c>
      <c r="T41" s="9">
        <f t="shared" si="11"/>
        <v>1.7063786496513962E-5</v>
      </c>
      <c r="U41" s="9">
        <f t="shared" si="12"/>
        <v>3.8898681362340043E-5</v>
      </c>
      <c r="V41" s="102">
        <f t="shared" si="13"/>
        <v>0.43867262073912744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0"/>
      <c r="B42" s="46" t="s">
        <v>136</v>
      </c>
      <c r="C42" s="46" t="s">
        <v>137</v>
      </c>
      <c r="D42" s="91">
        <v>4.4202640000000004</v>
      </c>
      <c r="E42" s="91">
        <v>5.6388380000000007</v>
      </c>
      <c r="F42" s="98">
        <v>9.9999999999999995E-7</v>
      </c>
      <c r="G42" s="170"/>
      <c r="H42" s="170"/>
      <c r="I42" s="94">
        <f t="shared" si="1"/>
        <v>1.4796577057346774</v>
      </c>
      <c r="J42" s="94">
        <f t="shared" si="2"/>
        <v>4.3682400663002383</v>
      </c>
      <c r="K42" s="95">
        <f t="shared" si="3"/>
        <v>2.9884908509419543E-2</v>
      </c>
      <c r="L42" s="95">
        <f t="shared" si="4"/>
        <v>9.7733860864234412E-2</v>
      </c>
      <c r="M42" s="95">
        <f t="shared" si="5"/>
        <v>0.90226613913576559</v>
      </c>
      <c r="N42" s="95">
        <f t="shared" si="6"/>
        <v>9.1119849435157635E-2</v>
      </c>
      <c r="O42" s="40">
        <f t="shared" si="7"/>
        <v>2.9904582970589625E-8</v>
      </c>
      <c r="P42" s="40">
        <f t="shared" si="8"/>
        <v>6.9819674003396759E-4</v>
      </c>
      <c r="Q42" s="40">
        <f t="shared" si="9"/>
        <v>1.3018943744868365E-2</v>
      </c>
      <c r="R42" s="9">
        <f t="shared" si="14"/>
        <v>3.9999999999999996E-5</v>
      </c>
      <c r="S42" s="9">
        <f t="shared" si="10"/>
        <v>3.9093544345693763E-6</v>
      </c>
      <c r="T42" s="9">
        <f t="shared" si="11"/>
        <v>1.1953963403767815E-6</v>
      </c>
      <c r="U42" s="9">
        <f t="shared" si="12"/>
        <v>3.6090645565430623E-5</v>
      </c>
      <c r="V42" s="102">
        <f t="shared" si="13"/>
        <v>3.3122054805298097E-2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0"/>
      <c r="B43" s="46" t="s">
        <v>138</v>
      </c>
      <c r="C43" s="46" t="s">
        <v>139</v>
      </c>
      <c r="D43" s="91">
        <v>4.2752879999999998</v>
      </c>
      <c r="E43" s="91">
        <v>5.3084609999999994</v>
      </c>
      <c r="F43" s="98">
        <v>9.9999999999999995E-7</v>
      </c>
      <c r="G43" s="170"/>
      <c r="H43" s="170"/>
      <c r="I43" s="94">
        <f t="shared" si="1"/>
        <v>1.2498866711591912</v>
      </c>
      <c r="J43" s="94">
        <f t="shared" si="2"/>
        <v>4.0532477704684826</v>
      </c>
      <c r="K43" s="95">
        <f t="shared" si="3"/>
        <v>5.1624079869248031E-2</v>
      </c>
      <c r="L43" s="95">
        <f t="shared" si="4"/>
        <v>8.1743485711154973E-2</v>
      </c>
      <c r="M43" s="95">
        <f t="shared" si="5"/>
        <v>0.91825651428884503</v>
      </c>
      <c r="N43" s="95">
        <f t="shared" si="6"/>
        <v>7.3559096590906911E-2</v>
      </c>
      <c r="O43" s="40">
        <f t="shared" si="7"/>
        <v>5.1658066118679195E-8</v>
      </c>
      <c r="P43" s="40">
        <f t="shared" si="8"/>
        <v>5.8396378427967544E-4</v>
      </c>
      <c r="Q43" s="40">
        <f t="shared" si="9"/>
        <v>1.0509913552061375E-2</v>
      </c>
      <c r="R43" s="9">
        <f t="shared" si="14"/>
        <v>3.9999999999999996E-5</v>
      </c>
      <c r="S43" s="9">
        <f t="shared" si="10"/>
        <v>3.2697394284461984E-6</v>
      </c>
      <c r="T43" s="9">
        <f t="shared" si="11"/>
        <v>2.064963194769921E-6</v>
      </c>
      <c r="U43" s="9">
        <f t="shared" si="12"/>
        <v>3.6730260571553798E-5</v>
      </c>
      <c r="V43" s="102">
        <f t="shared" si="13"/>
        <v>5.6219671808404134E-2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0"/>
      <c r="B44" s="46" t="s">
        <v>84</v>
      </c>
      <c r="C44" s="46" t="s">
        <v>85</v>
      </c>
      <c r="D44" s="91">
        <v>2.7665919999999997</v>
      </c>
      <c r="E44" s="91">
        <v>3.5255839999999989</v>
      </c>
      <c r="F44" s="98">
        <v>9.9999999999999995E-7</v>
      </c>
      <c r="G44" s="170"/>
      <c r="H44" s="170"/>
      <c r="I44" s="94">
        <f t="shared" si="1"/>
        <v>0.14841008082679896</v>
      </c>
      <c r="J44" s="94">
        <f t="shared" si="2"/>
        <v>2.3088898400463114</v>
      </c>
      <c r="K44" s="95">
        <f t="shared" si="3"/>
        <v>0.69607280181491604</v>
      </c>
      <c r="L44" s="95">
        <f t="shared" si="4"/>
        <v>1.9856265131395739E-2</v>
      </c>
      <c r="M44" s="95">
        <f t="shared" si="5"/>
        <v>0.98014373486860429</v>
      </c>
      <c r="N44" s="95">
        <f t="shared" si="6"/>
        <v>1.6351655449810414E-2</v>
      </c>
      <c r="O44" s="40">
        <f t="shared" si="7"/>
        <v>6.9653105509370854E-7</v>
      </c>
      <c r="P44" s="40">
        <f t="shared" si="8"/>
        <v>1.4185032148938666E-4</v>
      </c>
      <c r="Q44" s="40">
        <f t="shared" si="9"/>
        <v>2.3362778116533408E-3</v>
      </c>
      <c r="R44" s="9">
        <f t="shared" si="14"/>
        <v>3.9999999999999996E-5</v>
      </c>
      <c r="S44" s="9">
        <f t="shared" si="10"/>
        <v>7.942506052558295E-7</v>
      </c>
      <c r="T44" s="9">
        <f t="shared" si="11"/>
        <v>2.7842912072596639E-5</v>
      </c>
      <c r="U44" s="9">
        <f t="shared" si="12"/>
        <v>3.9205749394744171E-5</v>
      </c>
      <c r="V44" s="102">
        <f t="shared" si="13"/>
        <v>0.71017420920231655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0"/>
      <c r="B45" s="46" t="s">
        <v>140</v>
      </c>
      <c r="C45" s="46" t="s">
        <v>141</v>
      </c>
      <c r="D45" s="91">
        <v>4.4687359999999998</v>
      </c>
      <c r="E45" s="91">
        <v>5.2666120000000003</v>
      </c>
      <c r="F45" s="98">
        <v>9.9999999999999995E-7</v>
      </c>
      <c r="G45" s="170"/>
      <c r="H45" s="170"/>
      <c r="I45" s="94">
        <f t="shared" si="1"/>
        <v>1.3452769109111</v>
      </c>
      <c r="J45" s="94">
        <f t="shared" si="2"/>
        <v>4.041572503575793</v>
      </c>
      <c r="K45" s="95">
        <f t="shared" si="3"/>
        <v>4.2197696820547713E-2</v>
      </c>
      <c r="L45" s="95">
        <f t="shared" si="4"/>
        <v>6.5045058646452977E-2</v>
      </c>
      <c r="M45" s="95">
        <f t="shared" si="5"/>
        <v>0.93495494135354706</v>
      </c>
      <c r="N45" s="95">
        <f t="shared" si="6"/>
        <v>5.4603918573627133E-2</v>
      </c>
      <c r="O45" s="40">
        <f t="shared" si="7"/>
        <v>4.2225477295341568E-8</v>
      </c>
      <c r="P45" s="40">
        <f t="shared" si="8"/>
        <v>4.6467260681902505E-4</v>
      </c>
      <c r="Q45" s="40">
        <f t="shared" si="9"/>
        <v>7.8016518746039203E-3</v>
      </c>
      <c r="R45" s="9">
        <f t="shared" si="14"/>
        <v>3.9999999999999996E-5</v>
      </c>
      <c r="S45" s="9">
        <f t="shared" si="10"/>
        <v>2.6018023458581191E-6</v>
      </c>
      <c r="T45" s="9">
        <f t="shared" si="11"/>
        <v>1.6879078728219084E-6</v>
      </c>
      <c r="U45" s="9">
        <f t="shared" si="12"/>
        <v>3.7398197654141877E-5</v>
      </c>
      <c r="V45" s="102">
        <f t="shared" si="13"/>
        <v>4.5133401572761925E-2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9"/>
      <c r="B46" s="46" t="s">
        <v>86</v>
      </c>
      <c r="C46" s="46" t="s">
        <v>87</v>
      </c>
      <c r="D46" s="93">
        <v>2.6972559999999999</v>
      </c>
      <c r="E46" s="93">
        <v>3.431432</v>
      </c>
      <c r="F46" s="98">
        <v>9.9999999999999995E-7</v>
      </c>
      <c r="G46" s="170"/>
      <c r="H46" s="170"/>
      <c r="I46" s="94">
        <f t="shared" si="1"/>
        <v>0.12747825886296771</v>
      </c>
      <c r="J46" s="94">
        <f t="shared" si="2"/>
        <v>2.21956631274778</v>
      </c>
      <c r="K46" s="95">
        <f t="shared" si="3"/>
        <v>0.73256266734917752</v>
      </c>
      <c r="L46" s="95">
        <f t="shared" si="4"/>
        <v>1.7012343918641846E-2</v>
      </c>
      <c r="M46" s="95">
        <f t="shared" si="5"/>
        <v>0.98298765608135819</v>
      </c>
      <c r="N46" s="95">
        <f t="shared" si="6"/>
        <v>1.3854786741797407E-2</v>
      </c>
      <c r="O46" s="40">
        <f t="shared" si="7"/>
        <v>7.3304494340328921E-7</v>
      </c>
      <c r="P46" s="40">
        <f t="shared" si="8"/>
        <v>1.2153375461993183E-4</v>
      </c>
      <c r="Q46" s="40">
        <f t="shared" si="9"/>
        <v>1.9795323445630369E-3</v>
      </c>
      <c r="R46" s="9">
        <f t="shared" si="14"/>
        <v>3.9999999999999996E-5</v>
      </c>
      <c r="S46" s="9">
        <f t="shared" si="10"/>
        <v>6.804937567456738E-7</v>
      </c>
      <c r="T46" s="9">
        <f t="shared" si="11"/>
        <v>2.93025066939671E-5</v>
      </c>
      <c r="U46" s="9">
        <f t="shared" si="12"/>
        <v>3.9319506243254322E-5</v>
      </c>
      <c r="V46" s="102">
        <f t="shared" si="13"/>
        <v>0.74524096291250486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9"/>
      <c r="B47" s="46" t="s">
        <v>142</v>
      </c>
      <c r="C47" s="46" t="s">
        <v>143</v>
      </c>
      <c r="D47" s="91">
        <v>3.859360000000001</v>
      </c>
      <c r="E47" s="91">
        <v>4.2614199999999993</v>
      </c>
      <c r="F47" s="98">
        <v>9.9999999999999995E-7</v>
      </c>
      <c r="G47" s="170"/>
      <c r="H47" s="170"/>
      <c r="I47" s="94">
        <f t="shared" si="1"/>
        <v>0.71310437974280194</v>
      </c>
      <c r="J47" s="94">
        <f t="shared" si="2"/>
        <v>3.1296066711876311</v>
      </c>
      <c r="K47" s="95">
        <f t="shared" si="3"/>
        <v>0.1866763939213546</v>
      </c>
      <c r="L47" s="95">
        <f t="shared" si="4"/>
        <v>3.5241073771868282E-2</v>
      </c>
      <c r="M47" s="95">
        <f t="shared" si="5"/>
        <v>0.96475892622813175</v>
      </c>
      <c r="N47" s="95">
        <f t="shared" si="6"/>
        <v>2.386890334028231E-2</v>
      </c>
      <c r="O47" s="40">
        <f t="shared" si="7"/>
        <v>1.867992906490598E-7</v>
      </c>
      <c r="P47" s="40">
        <f t="shared" si="8"/>
        <v>2.5175719658711667E-4</v>
      </c>
      <c r="Q47" s="40">
        <f t="shared" si="9"/>
        <v>3.4103207123928492E-3</v>
      </c>
      <c r="R47" s="9">
        <f t="shared" si="14"/>
        <v>3.9999999999999996E-5</v>
      </c>
      <c r="S47" s="9">
        <f t="shared" si="10"/>
        <v>1.4096429508747311E-6</v>
      </c>
      <c r="T47" s="9">
        <f t="shared" si="11"/>
        <v>7.4670557568541837E-6</v>
      </c>
      <c r="U47" s="9">
        <f t="shared" si="12"/>
        <v>3.8590357049125266E-5</v>
      </c>
      <c r="V47" s="102">
        <f t="shared" si="13"/>
        <v>0.19349537884162801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9"/>
      <c r="B48" s="46" t="s">
        <v>144</v>
      </c>
      <c r="C48" s="46" t="s">
        <v>145</v>
      </c>
      <c r="D48" s="91">
        <v>2.0184960000000003</v>
      </c>
      <c r="E48" s="91">
        <v>2.3512620000000002</v>
      </c>
      <c r="F48" s="98">
        <v>9.9999999999999995E-7</v>
      </c>
      <c r="G48" s="170"/>
      <c r="H48" s="170"/>
      <c r="I48" s="94">
        <f t="shared" ref="I48:I50" si="15">IF(D48=0,"",LOG($K$15*10^D48+$K$16*10^E48+$K$14))</f>
        <v>2.4527660835054643E-2</v>
      </c>
      <c r="J48" s="94">
        <f t="shared" ref="J48:J50" si="16">IF(D48=0,"",LOG($K$21*10^D48+$K$22*10^E48+$K$20))</f>
        <v>1.2642800792666067</v>
      </c>
      <c r="K48" s="95">
        <f t="shared" ref="K48:K50" si="17">IF(D48=0,"",1/(1+10^D48*$J$15/$J$14+10^E48*$J$16/$J$14+10^J48*$J$19/$J$14))</f>
        <v>0.94230738780384038</v>
      </c>
      <c r="L48" s="95">
        <f t="shared" ref="L48:L50" si="18">IF(D48=0,"",1/(1+10^I48/10^J48*$J$13/$J$19))</f>
        <v>2.4256365823028671E-3</v>
      </c>
      <c r="M48" s="95">
        <f t="shared" ref="M48:M92" si="19">IF(D48=0,"",1-L48)</f>
        <v>0.99757436341769712</v>
      </c>
      <c r="N48" s="95">
        <f t="shared" ref="N48:N50" si="20">IF(D48=0,"",1/(1/10^E48*$J$20/$J$22+10^D48/10^E48*$J$21/$J$22+10^I48/10^E48*$J$13/$J$22+1))</f>
        <v>1.4817592904553516E-3</v>
      </c>
      <c r="O48" s="40">
        <f t="shared" ref="O48:O92" si="21">IF(D48=0,"",F48*K48*$J$7/$J$14)</f>
        <v>9.4292774741129196E-7</v>
      </c>
      <c r="P48" s="40">
        <f t="shared" ref="P48:P50" si="22">IF(D48=0,"",O48*10^J48)</f>
        <v>1.7328401224459924E-5</v>
      </c>
      <c r="Q48" s="40">
        <f t="shared" ref="Q48:Q50" si="23">IF(D48=0,"",F48*N48*$J$7/$J$22)</f>
        <v>2.1170953382228789E-4</v>
      </c>
      <c r="R48" s="9">
        <f t="shared" si="14"/>
        <v>3.9999999999999996E-5</v>
      </c>
      <c r="S48" s="9">
        <f t="shared" si="10"/>
        <v>9.7025463292114673E-8</v>
      </c>
      <c r="T48" s="9">
        <f t="shared" si="11"/>
        <v>3.7692295512153611E-5</v>
      </c>
      <c r="U48" s="9">
        <f t="shared" si="12"/>
        <v>3.9902974536707881E-5</v>
      </c>
      <c r="V48" s="102">
        <f t="shared" si="13"/>
        <v>0.94459864082261324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9"/>
      <c r="B49" s="46" t="s">
        <v>146</v>
      </c>
      <c r="C49" s="46" t="s">
        <v>147</v>
      </c>
      <c r="D49" s="91">
        <v>1.4665360000000003</v>
      </c>
      <c r="E49" s="91">
        <v>1.8522119999999997</v>
      </c>
      <c r="F49" s="98">
        <v>9.9999999999999995E-7</v>
      </c>
      <c r="G49" s="170"/>
      <c r="H49" s="170"/>
      <c r="I49" s="94">
        <f t="shared" si="15"/>
        <v>6.9959414880738915E-3</v>
      </c>
      <c r="J49" s="94">
        <f t="shared" si="16"/>
        <v>0.79270412978539373</v>
      </c>
      <c r="K49" s="95">
        <f t="shared" si="17"/>
        <v>0.98267064678495375</v>
      </c>
      <c r="L49" s="95">
        <f t="shared" si="18"/>
        <v>8.5401435705835364E-4</v>
      </c>
      <c r="M49" s="95">
        <f t="shared" si="19"/>
        <v>0.99914598564294166</v>
      </c>
      <c r="N49" s="95">
        <f t="shared" si="20"/>
        <v>4.8971459366664236E-4</v>
      </c>
      <c r="O49" s="40">
        <f t="shared" si="21"/>
        <v>9.8331757918151948E-7</v>
      </c>
      <c r="P49" s="40">
        <f t="shared" si="22"/>
        <v>6.1009565647738706E-6</v>
      </c>
      <c r="Q49" s="40">
        <f t="shared" si="23"/>
        <v>6.9969021958536505E-5</v>
      </c>
      <c r="R49" s="9">
        <f t="shared" si="14"/>
        <v>3.9999999999999996E-5</v>
      </c>
      <c r="S49" s="9">
        <f t="shared" si="10"/>
        <v>3.4160574282334141E-8</v>
      </c>
      <c r="T49" s="9">
        <f t="shared" si="11"/>
        <v>3.9306825871398144E-5</v>
      </c>
      <c r="U49" s="9">
        <f t="shared" si="12"/>
        <v>3.9965839425717664E-5</v>
      </c>
      <c r="V49" s="102">
        <f t="shared" si="13"/>
        <v>0.98351057893968696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9"/>
      <c r="B50" s="46" t="s">
        <v>148</v>
      </c>
      <c r="C50" s="46" t="s">
        <v>149</v>
      </c>
      <c r="D50" s="91"/>
      <c r="E50" s="91"/>
      <c r="F50" s="92"/>
      <c r="G50" s="170"/>
      <c r="H50" s="170"/>
      <c r="I50" s="94" t="str">
        <f t="shared" si="15"/>
        <v/>
      </c>
      <c r="J50" s="94" t="str">
        <f t="shared" si="16"/>
        <v/>
      </c>
      <c r="K50" s="95" t="str">
        <f t="shared" si="17"/>
        <v/>
      </c>
      <c r="L50" s="95" t="str">
        <f t="shared" si="18"/>
        <v/>
      </c>
      <c r="M50" s="95" t="str">
        <f t="shared" si="19"/>
        <v/>
      </c>
      <c r="N50" s="95" t="str">
        <f t="shared" si="20"/>
        <v/>
      </c>
      <c r="O50" s="40" t="str">
        <f t="shared" si="21"/>
        <v/>
      </c>
      <c r="P50" s="40" t="str">
        <f t="shared" si="22"/>
        <v/>
      </c>
      <c r="Q50" s="40" t="str">
        <f t="shared" si="23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9"/>
      <c r="B51" s="46" t="s">
        <v>150</v>
      </c>
      <c r="C51" s="46" t="s">
        <v>151</v>
      </c>
      <c r="D51" s="91"/>
      <c r="E51" s="91"/>
      <c r="F51" s="92"/>
      <c r="G51" s="170"/>
      <c r="H51" s="170"/>
      <c r="I51" s="94" t="str">
        <f t="shared" ref="I51:I70" si="24">IF(D51=0,"",LOG($K$15*10^D51+$K$16*10^E51+$K$14))</f>
        <v/>
      </c>
      <c r="J51" s="94" t="str">
        <f t="shared" ref="J51:J70" si="25">IF(D51=0,"",LOG($K$21*10^D51+$K$22*10^E51+$K$20))</f>
        <v/>
      </c>
      <c r="K51" s="95" t="str">
        <f t="shared" ref="K51:K70" si="26">IF(D51=0,"",1/(1+10^D51*$J$15/$J$14+10^E51*$J$16/$J$14+10^J51*$J$19/$J$14))</f>
        <v/>
      </c>
      <c r="L51" s="95" t="str">
        <f t="shared" ref="L51:L70" si="27">IF(D51=0,"",1/(1+10^I51/10^J51*$J$13/$J$19))</f>
        <v/>
      </c>
      <c r="M51" s="95" t="str">
        <f t="shared" ref="M51:M70" si="28">IF(D51=0,"",1-L51)</f>
        <v/>
      </c>
      <c r="N51" s="95" t="str">
        <f t="shared" ref="N51:N70" si="29">IF(D51=0,"",1/(1/10^E51*$J$20/$J$22+10^D51/10^E51*$J$21/$J$22+10^I51/10^E51*$J$13/$J$22+1))</f>
        <v/>
      </c>
      <c r="O51" s="40" t="str">
        <f t="shared" ref="O51:O70" si="30">IF(D51=0,"",F51*K51*$J$7/$J$14)</f>
        <v/>
      </c>
      <c r="P51" s="40" t="str">
        <f t="shared" ref="P51:P70" si="31">IF(D51=0,"",O51*10^J51)</f>
        <v/>
      </c>
      <c r="Q51" s="40" t="str">
        <f t="shared" ref="Q51:Q70" si="32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152</v>
      </c>
      <c r="C52" s="46" t="s">
        <v>153</v>
      </c>
      <c r="D52" s="47"/>
      <c r="E52" s="47"/>
      <c r="F52" s="92"/>
      <c r="G52" s="170"/>
      <c r="H52" s="170"/>
      <c r="I52" s="94" t="str">
        <f t="shared" si="24"/>
        <v/>
      </c>
      <c r="J52" s="94" t="str">
        <f t="shared" si="25"/>
        <v/>
      </c>
      <c r="K52" s="95" t="str">
        <f t="shared" si="26"/>
        <v/>
      </c>
      <c r="L52" s="95" t="str">
        <f t="shared" si="27"/>
        <v/>
      </c>
      <c r="M52" s="95" t="str">
        <f t="shared" si="28"/>
        <v/>
      </c>
      <c r="N52" s="95" t="str">
        <f t="shared" si="29"/>
        <v/>
      </c>
      <c r="O52" s="40" t="str">
        <f t="shared" si="30"/>
        <v/>
      </c>
      <c r="P52" s="40" t="str">
        <f t="shared" si="31"/>
        <v/>
      </c>
      <c r="Q52" s="40" t="str">
        <f t="shared" si="32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154</v>
      </c>
      <c r="C53" s="46" t="s">
        <v>155</v>
      </c>
      <c r="D53" s="47"/>
      <c r="E53" s="47"/>
      <c r="F53" s="92"/>
      <c r="G53" s="170"/>
      <c r="H53" s="170"/>
      <c r="I53" s="94" t="str">
        <f t="shared" si="24"/>
        <v/>
      </c>
      <c r="J53" s="94" t="str">
        <f t="shared" si="25"/>
        <v/>
      </c>
      <c r="K53" s="95" t="str">
        <f t="shared" si="26"/>
        <v/>
      </c>
      <c r="L53" s="95" t="str">
        <f t="shared" si="27"/>
        <v/>
      </c>
      <c r="M53" s="95" t="str">
        <f t="shared" si="28"/>
        <v/>
      </c>
      <c r="N53" s="95" t="str">
        <f t="shared" si="29"/>
        <v/>
      </c>
      <c r="O53" s="40" t="str">
        <f t="shared" si="30"/>
        <v/>
      </c>
      <c r="P53" s="40" t="str">
        <f t="shared" si="31"/>
        <v/>
      </c>
      <c r="Q53" s="40" t="str">
        <f t="shared" si="32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156</v>
      </c>
      <c r="C54" s="46" t="s">
        <v>157</v>
      </c>
      <c r="D54" s="47"/>
      <c r="E54" s="47"/>
      <c r="F54" s="92"/>
      <c r="G54" s="170"/>
      <c r="H54" s="170"/>
      <c r="I54" s="94" t="str">
        <f t="shared" si="24"/>
        <v/>
      </c>
      <c r="J54" s="94" t="str">
        <f t="shared" si="25"/>
        <v/>
      </c>
      <c r="K54" s="95" t="str">
        <f t="shared" si="26"/>
        <v/>
      </c>
      <c r="L54" s="95" t="str">
        <f t="shared" si="27"/>
        <v/>
      </c>
      <c r="M54" s="95" t="str">
        <f t="shared" si="28"/>
        <v/>
      </c>
      <c r="N54" s="95" t="str">
        <f t="shared" si="29"/>
        <v/>
      </c>
      <c r="O54" s="40" t="str">
        <f t="shared" si="30"/>
        <v/>
      </c>
      <c r="P54" s="40" t="str">
        <f t="shared" si="31"/>
        <v/>
      </c>
      <c r="Q54" s="40" t="str">
        <f t="shared" si="32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158</v>
      </c>
      <c r="C55" s="46" t="s">
        <v>159</v>
      </c>
      <c r="D55" s="47"/>
      <c r="E55" s="47"/>
      <c r="F55" s="57"/>
      <c r="G55" s="170"/>
      <c r="H55" s="170"/>
      <c r="I55" s="54" t="str">
        <f t="shared" si="24"/>
        <v/>
      </c>
      <c r="J55" s="54" t="str">
        <f t="shared" si="25"/>
        <v/>
      </c>
      <c r="K55" s="55" t="str">
        <f t="shared" si="26"/>
        <v/>
      </c>
      <c r="L55" s="55" t="str">
        <f t="shared" si="27"/>
        <v/>
      </c>
      <c r="M55" s="55" t="str">
        <f t="shared" si="28"/>
        <v/>
      </c>
      <c r="N55" s="55" t="str">
        <f t="shared" si="29"/>
        <v/>
      </c>
      <c r="O55" s="56" t="str">
        <f t="shared" si="30"/>
        <v/>
      </c>
      <c r="P55" s="56" t="str">
        <f t="shared" si="31"/>
        <v/>
      </c>
      <c r="Q55" s="56" t="str">
        <f t="shared" si="32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160</v>
      </c>
      <c r="C56" s="46" t="s">
        <v>161</v>
      </c>
      <c r="D56" s="47"/>
      <c r="E56" s="47"/>
      <c r="F56" s="57"/>
      <c r="G56" s="170"/>
      <c r="H56" s="170"/>
      <c r="I56" s="54" t="str">
        <f t="shared" si="24"/>
        <v/>
      </c>
      <c r="J56" s="54" t="str">
        <f t="shared" si="25"/>
        <v/>
      </c>
      <c r="K56" s="55" t="str">
        <f t="shared" si="26"/>
        <v/>
      </c>
      <c r="L56" s="55" t="str">
        <f t="shared" si="27"/>
        <v/>
      </c>
      <c r="M56" s="55" t="str">
        <f t="shared" si="28"/>
        <v/>
      </c>
      <c r="N56" s="55" t="str">
        <f t="shared" si="29"/>
        <v/>
      </c>
      <c r="O56" s="56" t="str">
        <f t="shared" si="30"/>
        <v/>
      </c>
      <c r="P56" s="56" t="str">
        <f t="shared" si="31"/>
        <v/>
      </c>
      <c r="Q56" s="56" t="str">
        <f t="shared" si="32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8" t="s">
        <v>88</v>
      </c>
      <c r="C57" s="88" t="s">
        <v>89</v>
      </c>
      <c r="D57" s="91">
        <v>6.5247999999999973E-2</v>
      </c>
      <c r="E57" s="91">
        <v>8.2216000000000289E-2</v>
      </c>
      <c r="F57" s="98">
        <v>9.9999999999999995E-7</v>
      </c>
      <c r="G57" s="170"/>
      <c r="H57" s="170"/>
      <c r="I57" s="54">
        <f t="shared" si="24"/>
        <v>3.7232006014196545E-5</v>
      </c>
      <c r="J57" s="54">
        <f t="shared" si="25"/>
        <v>8.6629514448579737E-3</v>
      </c>
      <c r="K57" s="55">
        <f t="shared" si="26"/>
        <v>0.99925361640812405</v>
      </c>
      <c r="L57" s="55">
        <f t="shared" si="27"/>
        <v>1.4278800922983234E-4</v>
      </c>
      <c r="M57" s="55">
        <f t="shared" si="28"/>
        <v>0.99985721199077016</v>
      </c>
      <c r="N57" s="55">
        <f t="shared" si="29"/>
        <v>8.4569700300890499E-6</v>
      </c>
      <c r="O57" s="56">
        <f t="shared" si="30"/>
        <v>9.9991146605383703E-7</v>
      </c>
      <c r="P57" s="56">
        <f t="shared" si="31"/>
        <v>1.0200571396508894E-6</v>
      </c>
      <c r="Q57" s="56">
        <f t="shared" si="32"/>
        <v>1.2083077151276088E-6</v>
      </c>
      <c r="R57" s="9">
        <f t="shared" ref="R57:R58" si="33">F57*$C$14</f>
        <v>3.9999999999999996E-5</v>
      </c>
      <c r="S57" s="9">
        <f t="shared" ref="S57:S58" si="34">$R57*L57</f>
        <v>5.7115203691932929E-9</v>
      </c>
      <c r="T57" s="9">
        <f t="shared" ref="T57:T58" si="35">R57*K57</f>
        <v>3.9970144656324955E-5</v>
      </c>
      <c r="U57" s="9">
        <f t="shared" ref="U57:U58" si="36">$R57*M57</f>
        <v>3.9994288479630805E-5</v>
      </c>
      <c r="V57" s="102">
        <f t="shared" ref="V57:V58" si="37">K57/M57</f>
        <v>0.99939631821883412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162</v>
      </c>
      <c r="C58" s="46" t="s">
        <v>163</v>
      </c>
      <c r="D58" s="47">
        <v>2.1823520000000003</v>
      </c>
      <c r="E58" s="47">
        <v>2.5882690000000008</v>
      </c>
      <c r="F58" s="98">
        <v>9.9999999999999995E-7</v>
      </c>
      <c r="G58" s="170"/>
      <c r="H58" s="170"/>
      <c r="I58" s="54">
        <f t="shared" si="24"/>
        <v>3.6330362911661196E-2</v>
      </c>
      <c r="J58" s="54">
        <f t="shared" si="25"/>
        <v>1.4682817666499361</v>
      </c>
      <c r="K58" s="55">
        <f t="shared" si="26"/>
        <v>0.91580679515037866</v>
      </c>
      <c r="L58" s="55">
        <f t="shared" si="27"/>
        <v>3.7708450485785037E-3</v>
      </c>
      <c r="M58" s="55">
        <f t="shared" si="28"/>
        <v>0.9962291549514215</v>
      </c>
      <c r="N58" s="55">
        <f t="shared" si="29"/>
        <v>2.4853978851000062E-3</v>
      </c>
      <c r="O58" s="56">
        <f t="shared" si="30"/>
        <v>9.1640970833061484E-7</v>
      </c>
      <c r="P58" s="56">
        <f t="shared" si="31"/>
        <v>2.6938378334895038E-5</v>
      </c>
      <c r="Q58" s="56">
        <f t="shared" si="32"/>
        <v>3.5510654868627426E-4</v>
      </c>
      <c r="R58" s="9">
        <f t="shared" si="33"/>
        <v>3.9999999999999996E-5</v>
      </c>
      <c r="S58" s="9">
        <f t="shared" si="34"/>
        <v>1.5083380194314014E-7</v>
      </c>
      <c r="T58" s="9">
        <f t="shared" si="35"/>
        <v>3.6632271806015145E-5</v>
      </c>
      <c r="U58" s="9">
        <f t="shared" si="36"/>
        <v>3.9849166198056854E-5</v>
      </c>
      <c r="V58" s="102">
        <f t="shared" si="37"/>
        <v>0.9192732320658048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164</v>
      </c>
      <c r="C59" s="46" t="s">
        <v>165</v>
      </c>
      <c r="D59" s="47"/>
      <c r="E59" s="47"/>
      <c r="F59" s="57"/>
      <c r="G59" s="170"/>
      <c r="H59" s="170"/>
      <c r="I59" s="54" t="str">
        <f t="shared" si="24"/>
        <v/>
      </c>
      <c r="J59" s="54" t="str">
        <f t="shared" si="25"/>
        <v/>
      </c>
      <c r="K59" s="55" t="str">
        <f t="shared" si="26"/>
        <v/>
      </c>
      <c r="L59" s="55" t="str">
        <f t="shared" si="27"/>
        <v/>
      </c>
      <c r="M59" s="55" t="str">
        <f t="shared" si="28"/>
        <v/>
      </c>
      <c r="N59" s="55" t="str">
        <f t="shared" si="29"/>
        <v/>
      </c>
      <c r="O59" s="56" t="str">
        <f t="shared" si="30"/>
        <v/>
      </c>
      <c r="P59" s="56" t="str">
        <f t="shared" si="31"/>
        <v/>
      </c>
      <c r="Q59" s="56" t="str">
        <f t="shared" si="32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90</v>
      </c>
      <c r="C60" s="46" t="s">
        <v>91</v>
      </c>
      <c r="D60" s="47">
        <v>2.3628240000000003</v>
      </c>
      <c r="E60" s="47">
        <v>2.5674030000000005</v>
      </c>
      <c r="F60" s="98">
        <v>9.9999999999999995E-7</v>
      </c>
      <c r="G60" s="170"/>
      <c r="H60" s="170"/>
      <c r="I60" s="54">
        <f t="shared" si="24"/>
        <v>5.084171441621077E-2</v>
      </c>
      <c r="J60" s="54">
        <f t="shared" si="25"/>
        <v>1.5210188025338833</v>
      </c>
      <c r="K60" s="55">
        <f t="shared" si="26"/>
        <v>0.88540477382148686</v>
      </c>
      <c r="L60" s="55">
        <f t="shared" si="27"/>
        <v>4.116363515466623E-3</v>
      </c>
      <c r="M60" s="55">
        <f t="shared" si="28"/>
        <v>0.99588363648453337</v>
      </c>
      <c r="N60" s="55">
        <f t="shared" si="29"/>
        <v>2.2901710584803149E-3</v>
      </c>
      <c r="O60" s="56">
        <f t="shared" si="30"/>
        <v>8.8598767210397174E-7</v>
      </c>
      <c r="P60" s="56">
        <f t="shared" si="31"/>
        <v>2.9406712902562774E-5</v>
      </c>
      <c r="Q60" s="56">
        <f t="shared" si="32"/>
        <v>3.2721309748978602E-4</v>
      </c>
      <c r="R60" s="9">
        <f t="shared" ref="R60:R65" si="38">F60*$C$14</f>
        <v>3.9999999999999996E-5</v>
      </c>
      <c r="S60" s="9">
        <f t="shared" ref="S60:S93" si="39">$R60*L60</f>
        <v>1.6465454061866491E-7</v>
      </c>
      <c r="T60" s="9">
        <f t="shared" ref="T60:T93" si="40">R60*K60</f>
        <v>3.5416190952859469E-5</v>
      </c>
      <c r="U60" s="9">
        <f t="shared" ref="U60:U93" si="41">$R60*M60</f>
        <v>3.983534545938133E-5</v>
      </c>
      <c r="V60" s="102">
        <f t="shared" ref="V60:V93" si="42">K60/M60</f>
        <v>0.8890644864363505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92</v>
      </c>
      <c r="C61" s="46" t="s">
        <v>93</v>
      </c>
      <c r="D61" s="47">
        <v>3.2672240000000001</v>
      </c>
      <c r="E61" s="47">
        <v>3.6253630000000006</v>
      </c>
      <c r="F61" s="98">
        <v>9.9999999999999995E-7</v>
      </c>
      <c r="G61" s="170"/>
      <c r="H61" s="170"/>
      <c r="I61" s="54">
        <f t="shared" si="24"/>
        <v>0.31132307136990117</v>
      </c>
      <c r="J61" s="54">
        <f t="shared" si="25"/>
        <v>2.5091055968760121</v>
      </c>
      <c r="K61" s="55">
        <f t="shared" si="26"/>
        <v>0.47749510908516202</v>
      </c>
      <c r="L61" s="55">
        <f t="shared" si="27"/>
        <v>2.159869853969076E-2</v>
      </c>
      <c r="M61" s="55">
        <f t="shared" si="28"/>
        <v>0.97840130146030924</v>
      </c>
      <c r="N61" s="55">
        <f t="shared" si="29"/>
        <v>1.411415850573468E-2</v>
      </c>
      <c r="O61" s="56">
        <f t="shared" si="30"/>
        <v>4.7780946370263185E-7</v>
      </c>
      <c r="P61" s="56">
        <f t="shared" si="31"/>
        <v>1.5429801683918801E-4</v>
      </c>
      <c r="Q61" s="56">
        <f t="shared" si="32"/>
        <v>2.0165906411322115E-3</v>
      </c>
      <c r="R61" s="9">
        <f t="shared" si="38"/>
        <v>3.9999999999999996E-5</v>
      </c>
      <c r="S61" s="9">
        <f t="shared" si="39"/>
        <v>8.6394794158763032E-7</v>
      </c>
      <c r="T61" s="9">
        <f t="shared" si="40"/>
        <v>1.909980436340648E-5</v>
      </c>
      <c r="U61" s="9">
        <f t="shared" si="41"/>
        <v>3.9136052058412363E-5</v>
      </c>
      <c r="V61" s="102">
        <f t="shared" si="42"/>
        <v>0.48803605266313371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166</v>
      </c>
      <c r="C62" s="46" t="s">
        <v>110</v>
      </c>
      <c r="D62" s="47">
        <v>2.9091840000000002</v>
      </c>
      <c r="E62" s="47">
        <v>3.4102429999999995</v>
      </c>
      <c r="F62" s="98">
        <v>9.9999999999999995E-7</v>
      </c>
      <c r="G62" s="170"/>
      <c r="H62" s="170"/>
      <c r="I62" s="54">
        <f t="shared" si="24"/>
        <v>0.17220522092565899</v>
      </c>
      <c r="J62" s="54">
        <f t="shared" si="25"/>
        <v>2.2508102103882899</v>
      </c>
      <c r="K62" s="55">
        <f t="shared" si="26"/>
        <v>0.66121657799035338</v>
      </c>
      <c r="L62" s="55">
        <f t="shared" si="27"/>
        <v>1.6500876070279592E-2</v>
      </c>
      <c r="M62" s="55">
        <f t="shared" si="28"/>
        <v>0.98349912392972039</v>
      </c>
      <c r="N62" s="55">
        <f t="shared" si="29"/>
        <v>1.1909946112525617E-2</v>
      </c>
      <c r="O62" s="56">
        <f t="shared" si="30"/>
        <v>6.6165188398717741E-7</v>
      </c>
      <c r="P62" s="56">
        <f t="shared" si="31"/>
        <v>1.1787990137806737E-4</v>
      </c>
      <c r="Q62" s="56">
        <f t="shared" si="32"/>
        <v>1.7016590721401954E-3</v>
      </c>
      <c r="R62" s="9">
        <f t="shared" si="38"/>
        <v>3.9999999999999996E-5</v>
      </c>
      <c r="S62" s="9">
        <f t="shared" si="39"/>
        <v>6.6003504281118364E-7</v>
      </c>
      <c r="T62" s="9">
        <f t="shared" si="40"/>
        <v>2.6448663119614132E-5</v>
      </c>
      <c r="U62" s="9">
        <f t="shared" si="41"/>
        <v>3.9339964957188811E-5</v>
      </c>
      <c r="V62" s="102">
        <f t="shared" si="42"/>
        <v>0.67231028671216497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94</v>
      </c>
      <c r="C63" s="46" t="s">
        <v>95</v>
      </c>
      <c r="D63" s="47">
        <v>2.857424</v>
      </c>
      <c r="E63" s="47">
        <v>3.3289280000000003</v>
      </c>
      <c r="F63" s="98">
        <v>9.9999999999999995E-7</v>
      </c>
      <c r="G63" s="170"/>
      <c r="H63" s="170"/>
      <c r="I63" s="54">
        <f t="shared" si="24"/>
        <v>0.15417954710270029</v>
      </c>
      <c r="J63" s="54">
        <f t="shared" si="25"/>
        <v>2.1782102693561023</v>
      </c>
      <c r="K63" s="55">
        <f t="shared" si="26"/>
        <v>0.69058393773468718</v>
      </c>
      <c r="L63" s="55">
        <f t="shared" si="27"/>
        <v>1.4580747888085051E-2</v>
      </c>
      <c r="M63" s="55">
        <f t="shared" si="28"/>
        <v>0.98541925211191495</v>
      </c>
      <c r="N63" s="55">
        <f t="shared" si="29"/>
        <v>1.0314959704442503E-2</v>
      </c>
      <c r="O63" s="56">
        <f t="shared" si="30"/>
        <v>6.9103857746909892E-7</v>
      </c>
      <c r="P63" s="56">
        <f t="shared" si="31"/>
        <v>1.0416277994849557E-4</v>
      </c>
      <c r="Q63" s="56">
        <f t="shared" si="32"/>
        <v>1.4737719712573036E-3</v>
      </c>
      <c r="R63" s="9">
        <f t="shared" si="38"/>
        <v>3.9999999999999996E-5</v>
      </c>
      <c r="S63" s="9">
        <f t="shared" si="39"/>
        <v>5.8322991552340196E-7</v>
      </c>
      <c r="T63" s="9">
        <f t="shared" si="40"/>
        <v>2.7623357509387484E-5</v>
      </c>
      <c r="U63" s="9">
        <f t="shared" si="41"/>
        <v>3.9416770084476591E-5</v>
      </c>
      <c r="V63" s="102">
        <f t="shared" si="42"/>
        <v>0.70080215730984818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96</v>
      </c>
      <c r="C64" s="46" t="s">
        <v>97</v>
      </c>
      <c r="D64" s="47">
        <v>2.0783680000000002</v>
      </c>
      <c r="E64" s="47">
        <v>2.5770209999999998</v>
      </c>
      <c r="F64" s="98">
        <v>9.9999999999999995E-7</v>
      </c>
      <c r="G64" s="170"/>
      <c r="H64" s="170"/>
      <c r="I64" s="54">
        <f t="shared" si="24"/>
        <v>2.9920298270100572E-2</v>
      </c>
      <c r="J64" s="54">
        <f t="shared" si="25"/>
        <v>1.4306562944149122</v>
      </c>
      <c r="K64" s="55">
        <f t="shared" si="26"/>
        <v>0.92966722186077366</v>
      </c>
      <c r="L64" s="55">
        <f t="shared" si="27"/>
        <v>3.5102404932547591E-3</v>
      </c>
      <c r="M64" s="55">
        <f t="shared" si="28"/>
        <v>0.99648975950674523</v>
      </c>
      <c r="N64" s="55">
        <f t="shared" si="29"/>
        <v>2.458507750478458E-3</v>
      </c>
      <c r="O64" s="56">
        <f t="shared" si="30"/>
        <v>9.3027925992847702E-7</v>
      </c>
      <c r="P64" s="56">
        <f t="shared" si="31"/>
        <v>2.5076656620884389E-5</v>
      </c>
      <c r="Q64" s="56">
        <f t="shared" si="32"/>
        <v>3.5126456308050356E-4</v>
      </c>
      <c r="R64" s="9">
        <f t="shared" si="38"/>
        <v>3.9999999999999996E-5</v>
      </c>
      <c r="S64" s="9">
        <f t="shared" si="39"/>
        <v>1.4040961973019036E-7</v>
      </c>
      <c r="T64" s="9">
        <f t="shared" si="40"/>
        <v>3.7186688874430941E-5</v>
      </c>
      <c r="U64" s="9">
        <f t="shared" si="41"/>
        <v>3.9859590380269803E-5</v>
      </c>
      <c r="V64" s="102">
        <f t="shared" si="42"/>
        <v>0.93294207290293862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167</v>
      </c>
      <c r="C65" s="46" t="s">
        <v>168</v>
      </c>
      <c r="D65" s="47">
        <v>3.4409280000000009</v>
      </c>
      <c r="E65" s="47">
        <v>4.1160660000000009</v>
      </c>
      <c r="F65" s="98">
        <v>9.9999999999999995E-7</v>
      </c>
      <c r="G65" s="170"/>
      <c r="H65" s="170"/>
      <c r="I65" s="54">
        <f t="shared" si="24"/>
        <v>0.45036614920415591</v>
      </c>
      <c r="J65" s="54">
        <f t="shared" si="25"/>
        <v>2.9136453532291715</v>
      </c>
      <c r="K65" s="55">
        <f t="shared" si="26"/>
        <v>0.34047920464316583</v>
      </c>
      <c r="L65" s="55">
        <f t="shared" si="27"/>
        <v>3.9092100220961448E-2</v>
      </c>
      <c r="M65" s="55">
        <f t="shared" si="28"/>
        <v>0.96090789977903857</v>
      </c>
      <c r="N65" s="55">
        <f t="shared" si="29"/>
        <v>3.1151549569408521E-2</v>
      </c>
      <c r="O65" s="56">
        <f t="shared" si="30"/>
        <v>3.4070335607026024E-7</v>
      </c>
      <c r="P65" s="56">
        <f t="shared" si="31"/>
        <v>2.7926837939280276E-4</v>
      </c>
      <c r="Q65" s="56">
        <f t="shared" si="32"/>
        <v>4.4508443980497484E-3</v>
      </c>
      <c r="R65" s="9">
        <f t="shared" si="38"/>
        <v>3.9999999999999996E-5</v>
      </c>
      <c r="S65" s="9">
        <f t="shared" si="39"/>
        <v>1.5636840088384578E-6</v>
      </c>
      <c r="T65" s="9">
        <f t="shared" si="40"/>
        <v>1.3619168185726632E-5</v>
      </c>
      <c r="U65" s="9">
        <f t="shared" si="41"/>
        <v>3.8436315991161537E-5</v>
      </c>
      <c r="V65" s="102">
        <f t="shared" si="42"/>
        <v>0.35433073733857245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169</v>
      </c>
      <c r="C66" s="46" t="s">
        <v>170</v>
      </c>
      <c r="D66" s="47"/>
      <c r="E66" s="47"/>
      <c r="F66" s="57"/>
      <c r="G66" s="170"/>
      <c r="H66" s="170"/>
      <c r="I66" s="54" t="str">
        <f t="shared" si="24"/>
        <v/>
      </c>
      <c r="J66" s="54" t="str">
        <f t="shared" si="25"/>
        <v/>
      </c>
      <c r="K66" s="55" t="str">
        <f t="shared" si="26"/>
        <v/>
      </c>
      <c r="L66" s="55" t="str">
        <f t="shared" si="27"/>
        <v/>
      </c>
      <c r="M66" s="55" t="str">
        <f t="shared" si="28"/>
        <v/>
      </c>
      <c r="N66" s="55" t="str">
        <f t="shared" si="29"/>
        <v/>
      </c>
      <c r="O66" s="56" t="str">
        <f t="shared" si="30"/>
        <v/>
      </c>
      <c r="P66" s="56" t="str">
        <f t="shared" si="31"/>
        <v/>
      </c>
      <c r="Q66" s="56" t="str">
        <f t="shared" si="32"/>
        <v/>
      </c>
      <c r="R66" s="9"/>
      <c r="S66" s="9"/>
      <c r="T66" s="9"/>
      <c r="U66" s="9"/>
      <c r="V66" s="102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171</v>
      </c>
      <c r="C67" s="46" t="s">
        <v>172</v>
      </c>
      <c r="D67" s="47"/>
      <c r="E67" s="47"/>
      <c r="F67" s="57"/>
      <c r="G67" s="170"/>
      <c r="H67" s="170"/>
      <c r="I67" s="54" t="str">
        <f t="shared" si="24"/>
        <v/>
      </c>
      <c r="J67" s="54" t="str">
        <f t="shared" si="25"/>
        <v/>
      </c>
      <c r="K67" s="55" t="str">
        <f t="shared" si="26"/>
        <v/>
      </c>
      <c r="L67" s="55" t="str">
        <f t="shared" si="27"/>
        <v/>
      </c>
      <c r="M67" s="55" t="str">
        <f t="shared" si="28"/>
        <v/>
      </c>
      <c r="N67" s="55" t="str">
        <f t="shared" si="29"/>
        <v/>
      </c>
      <c r="O67" s="56" t="str">
        <f t="shared" si="30"/>
        <v/>
      </c>
      <c r="P67" s="56" t="str">
        <f t="shared" si="31"/>
        <v/>
      </c>
      <c r="Q67" s="56" t="str">
        <f t="shared" si="32"/>
        <v/>
      </c>
      <c r="R67" s="9"/>
      <c r="S67" s="9"/>
      <c r="T67" s="9"/>
      <c r="U67" s="9"/>
      <c r="V67" s="102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98</v>
      </c>
      <c r="C68" s="46" t="s">
        <v>99</v>
      </c>
      <c r="D68" s="47">
        <v>2.3414159999999997</v>
      </c>
      <c r="E68" s="47">
        <v>2.4767320000000002</v>
      </c>
      <c r="F68" s="98">
        <v>9.9999999999999995E-7</v>
      </c>
      <c r="G68" s="170"/>
      <c r="H68" s="170"/>
      <c r="I68" s="54">
        <f t="shared" si="24"/>
        <v>4.7752637245013392E-2</v>
      </c>
      <c r="J68" s="54">
        <f t="shared" si="25"/>
        <v>1.4630863314519809</v>
      </c>
      <c r="K68" s="55">
        <f t="shared" si="26"/>
        <v>0.89216066347982426</v>
      </c>
      <c r="L68" s="55">
        <f t="shared" si="27"/>
        <v>3.629798030644314E-3</v>
      </c>
      <c r="M68" s="55">
        <f t="shared" si="28"/>
        <v>0.99637020196935566</v>
      </c>
      <c r="N68" s="55">
        <f t="shared" si="29"/>
        <v>1.8728290342734128E-3</v>
      </c>
      <c r="O68" s="56">
        <f t="shared" si="30"/>
        <v>8.9274800944160214E-7</v>
      </c>
      <c r="P68" s="56">
        <f t="shared" si="31"/>
        <v>2.5930758588347172E-5</v>
      </c>
      <c r="Q68" s="56">
        <f t="shared" si="32"/>
        <v>2.6758446147688727E-4</v>
      </c>
      <c r="R68" s="9">
        <f>F68*$C$14</f>
        <v>3.9999999999999996E-5</v>
      </c>
      <c r="S68" s="9">
        <f t="shared" si="39"/>
        <v>1.4519192122577255E-7</v>
      </c>
      <c r="T68" s="9">
        <f t="shared" si="40"/>
        <v>3.5686426539192967E-5</v>
      </c>
      <c r="U68" s="9">
        <f t="shared" si="41"/>
        <v>3.9854808078774225E-5</v>
      </c>
      <c r="V68" s="102">
        <f t="shared" si="42"/>
        <v>0.89541082392512528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173</v>
      </c>
      <c r="C69" s="46" t="s">
        <v>174</v>
      </c>
      <c r="D69" s="47">
        <v>4.3302640000000006</v>
      </c>
      <c r="E69" s="47">
        <v>5.074033</v>
      </c>
      <c r="F69" s="98">
        <v>9.9999999999999995E-7</v>
      </c>
      <c r="G69" s="170"/>
      <c r="H69" s="170"/>
      <c r="I69" s="54">
        <f t="shared" si="24"/>
        <v>1.1979474472139457</v>
      </c>
      <c r="J69" s="54">
        <f t="shared" si="25"/>
        <v>3.8581605774828258</v>
      </c>
      <c r="K69" s="55">
        <f t="shared" si="26"/>
        <v>5.9549237449722063E-2</v>
      </c>
      <c r="L69" s="55">
        <f t="shared" si="27"/>
        <v>6.0171361796046513E-2</v>
      </c>
      <c r="M69" s="55">
        <f t="shared" si="28"/>
        <v>0.93982863820395346</v>
      </c>
      <c r="N69" s="55">
        <f t="shared" si="29"/>
        <v>4.9457512267839426E-2</v>
      </c>
      <c r="O69" s="56">
        <f t="shared" si="30"/>
        <v>5.958844115548356E-8</v>
      </c>
      <c r="P69" s="56">
        <f t="shared" si="31"/>
        <v>4.2985561276212846E-4</v>
      </c>
      <c r="Q69" s="56">
        <f t="shared" si="32"/>
        <v>7.0663480456509874E-3</v>
      </c>
      <c r="R69" s="9">
        <f>F69*$C$14</f>
        <v>3.9999999999999996E-5</v>
      </c>
      <c r="S69" s="9">
        <f t="shared" si="39"/>
        <v>2.4068544718418604E-6</v>
      </c>
      <c r="T69" s="9">
        <f t="shared" si="40"/>
        <v>2.3819694979888822E-6</v>
      </c>
      <c r="U69" s="9">
        <f t="shared" si="41"/>
        <v>3.7593145528158132E-5</v>
      </c>
      <c r="V69" s="102">
        <f t="shared" si="42"/>
        <v>6.3361803449108356E-2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175</v>
      </c>
      <c r="C70" s="46" t="s">
        <v>176</v>
      </c>
      <c r="D70" s="47">
        <v>1.4854320000000003</v>
      </c>
      <c r="E70" s="47">
        <v>1.5057189999999996</v>
      </c>
      <c r="F70" s="98">
        <v>9.9999999999999995E-7</v>
      </c>
      <c r="G70" s="170"/>
      <c r="H70" s="170"/>
      <c r="I70" s="54">
        <f t="shared" si="24"/>
        <v>6.6276677113325539E-3</v>
      </c>
      <c r="J70" s="54">
        <f t="shared" si="25"/>
        <v>0.63617430590334978</v>
      </c>
      <c r="K70" s="55">
        <f t="shared" si="26"/>
        <v>0.98375803317447008</v>
      </c>
      <c r="L70" s="55">
        <f t="shared" si="27"/>
        <v>5.9623251493891793E-4</v>
      </c>
      <c r="M70" s="55">
        <f t="shared" si="28"/>
        <v>0.9994037674850611</v>
      </c>
      <c r="N70" s="55">
        <f t="shared" si="29"/>
        <v>2.207650675854747E-4</v>
      </c>
      <c r="O70" s="56">
        <f t="shared" si="30"/>
        <v>9.8440568144210145E-7</v>
      </c>
      <c r="P70" s="56">
        <f t="shared" si="31"/>
        <v>4.2593999106500674E-6</v>
      </c>
      <c r="Q70" s="56">
        <f t="shared" si="32"/>
        <v>3.1542282099276668E-5</v>
      </c>
      <c r="R70" s="9">
        <f t="shared" ref="R70:R86" si="43">F70*$C$14</f>
        <v>3.9999999999999996E-5</v>
      </c>
      <c r="S70" s="9">
        <f t="shared" si="39"/>
        <v>2.3849300597556714E-8</v>
      </c>
      <c r="T70" s="9">
        <f t="shared" si="40"/>
        <v>3.93503213269788E-5</v>
      </c>
      <c r="U70" s="9">
        <f t="shared" si="41"/>
        <v>3.9976150699402438E-5</v>
      </c>
      <c r="V70" s="102">
        <f t="shared" si="42"/>
        <v>0.98434493162862235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177</v>
      </c>
      <c r="C71" s="46" t="s">
        <v>178</v>
      </c>
      <c r="D71" s="47">
        <v>2.0758240000000003</v>
      </c>
      <c r="E71" s="47">
        <v>2.477398</v>
      </c>
      <c r="F71" s="98">
        <v>9.9999999999999995E-7</v>
      </c>
      <c r="G71" s="170"/>
      <c r="H71" s="170"/>
      <c r="I71" s="54">
        <f t="shared" ref="I71:I122" si="44">IF(D71=0,"",LOG($K$15*10^D71+$K$16*10^E71+$K$14))</f>
        <v>2.8589842167479149E-2</v>
      </c>
      <c r="J71" s="54">
        <f t="shared" ref="J71:J122" si="45">IF(D71=0,"",LOG($K$21*10^D71+$K$22*10^E71+$K$20))</f>
        <v>1.3625600825731248</v>
      </c>
      <c r="K71" s="55">
        <f t="shared" ref="K71:K122" si="46">IF(D71=0,"",1/(1+10^D71*$J$15/$J$14+10^E71*$J$16/$J$14+10^J71*$J$19/$J$14))</f>
        <v>0.93298630115363745</v>
      </c>
      <c r="L71" s="55">
        <f t="shared" ref="L71:L122" si="47">IF(D71=0,"",1/(1+10^I71/10^J71*$J$13/$J$19))</f>
        <v>3.0115384208227736E-3</v>
      </c>
      <c r="M71" s="55">
        <f t="shared" si="19"/>
        <v>0.9969884615791772</v>
      </c>
      <c r="N71" s="55">
        <f t="shared" ref="N71:N122" si="48">IF(D71=0,"",1/(1/10^E71*$J$20/$J$22+10^D71/10^E71*$J$21/$J$22+10^I71/10^E71*$J$13/$J$22+1))</f>
        <v>1.9615362115966719E-3</v>
      </c>
      <c r="O71" s="56">
        <f t="shared" si="21"/>
        <v>9.3360052430739021E-7</v>
      </c>
      <c r="P71" s="56">
        <f t="shared" ref="P71:P122" si="49">IF(D71=0,"",O71*10^J71)</f>
        <v>2.1514000258583496E-5</v>
      </c>
      <c r="Q71" s="56">
        <f t="shared" ref="Q71:Q122" si="50">IF(D71=0,"",F71*N71*$J$7/$J$22)</f>
        <v>2.8025868952375648E-4</v>
      </c>
      <c r="R71" s="9">
        <f t="shared" si="43"/>
        <v>3.9999999999999996E-5</v>
      </c>
      <c r="S71" s="9">
        <f t="shared" si="39"/>
        <v>1.2046153683291094E-7</v>
      </c>
      <c r="T71" s="9">
        <f t="shared" si="40"/>
        <v>3.7319452046145497E-5</v>
      </c>
      <c r="U71" s="9">
        <f t="shared" si="41"/>
        <v>3.9879538463167083E-5</v>
      </c>
      <c r="V71" s="102">
        <f t="shared" si="42"/>
        <v>0.93580451239710072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179</v>
      </c>
      <c r="C72" s="46" t="s">
        <v>180</v>
      </c>
      <c r="D72" s="47">
        <v>2.3078000000000003</v>
      </c>
      <c r="E72" s="47">
        <v>2.5099249999999995</v>
      </c>
      <c r="F72" s="98">
        <v>9.9999999999999995E-7</v>
      </c>
      <c r="G72" s="170"/>
      <c r="H72" s="170"/>
      <c r="I72" s="54">
        <f t="shared" si="44"/>
        <v>4.5043006346732313E-2</v>
      </c>
      <c r="J72" s="54">
        <f t="shared" si="45"/>
        <v>1.4662062884307066</v>
      </c>
      <c r="K72" s="55">
        <f t="shared" si="46"/>
        <v>0.89770035982049712</v>
      </c>
      <c r="L72" s="55">
        <f t="shared" si="47"/>
        <v>3.6786692849533273E-3</v>
      </c>
      <c r="M72" s="55">
        <f t="shared" si="19"/>
        <v>0.99632133071504669</v>
      </c>
      <c r="N72" s="55">
        <f t="shared" si="48"/>
        <v>2.0341335462339964E-3</v>
      </c>
      <c r="O72" s="56">
        <f t="shared" si="21"/>
        <v>8.9829135279161805E-7</v>
      </c>
      <c r="P72" s="56">
        <f t="shared" si="49"/>
        <v>2.6279887847523007E-5</v>
      </c>
      <c r="Q72" s="56">
        <f t="shared" si="50"/>
        <v>2.9063118927578121E-4</v>
      </c>
      <c r="R72" s="9">
        <f t="shared" si="43"/>
        <v>3.9999999999999996E-5</v>
      </c>
      <c r="S72" s="9">
        <f t="shared" si="39"/>
        <v>1.4714677139813307E-7</v>
      </c>
      <c r="T72" s="9">
        <f t="shared" si="40"/>
        <v>3.5908014392819878E-5</v>
      </c>
      <c r="U72" s="9">
        <f t="shared" si="41"/>
        <v>3.9852853228601864E-5</v>
      </c>
      <c r="V72" s="102">
        <f t="shared" si="42"/>
        <v>0.90101489564238213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181</v>
      </c>
      <c r="C73" s="46" t="s">
        <v>182</v>
      </c>
      <c r="D73" s="47">
        <v>5.676184000000001</v>
      </c>
      <c r="E73" s="47">
        <v>7.0708080000000004</v>
      </c>
      <c r="F73" s="98">
        <v>9.9999999999999995E-7</v>
      </c>
      <c r="G73" s="170"/>
      <c r="H73" s="170"/>
      <c r="I73" s="54">
        <f t="shared" si="44"/>
        <v>2.829962486439805</v>
      </c>
      <c r="J73" s="54">
        <f t="shared" si="45"/>
        <v>5.7902923462368587</v>
      </c>
      <c r="K73" s="55">
        <f t="shared" si="46"/>
        <v>1.3109576655795014E-3</v>
      </c>
      <c r="L73" s="55">
        <f t="shared" si="47"/>
        <v>0.11330108586115611</v>
      </c>
      <c r="M73" s="55">
        <f t="shared" si="19"/>
        <v>0.88669891413884394</v>
      </c>
      <c r="N73" s="55">
        <f t="shared" si="48"/>
        <v>0.10807362783744967</v>
      </c>
      <c r="O73" s="56">
        <f t="shared" si="21"/>
        <v>1.311820722787086E-9</v>
      </c>
      <c r="P73" s="56">
        <f t="shared" si="49"/>
        <v>8.0940677152269093E-4</v>
      </c>
      <c r="Q73" s="56">
        <f t="shared" si="50"/>
        <v>1.5441251163620986E-2</v>
      </c>
      <c r="R73" s="9">
        <f t="shared" si="43"/>
        <v>3.9999999999999996E-5</v>
      </c>
      <c r="S73" s="9">
        <f t="shared" si="39"/>
        <v>4.5320434344462438E-6</v>
      </c>
      <c r="T73" s="9">
        <f t="shared" si="40"/>
        <v>5.2438306623180054E-8</v>
      </c>
      <c r="U73" s="9">
        <f t="shared" si="41"/>
        <v>3.5467956565553754E-5</v>
      </c>
      <c r="V73" s="102">
        <f t="shared" si="42"/>
        <v>1.4784699120249795E-3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183</v>
      </c>
      <c r="C74" s="46" t="s">
        <v>184</v>
      </c>
      <c r="D74" s="47">
        <v>1.2599279999999999</v>
      </c>
      <c r="E74" s="47">
        <v>1.3925860000000003</v>
      </c>
      <c r="F74" s="98">
        <v>9.9999999999999995E-7</v>
      </c>
      <c r="G74" s="170"/>
      <c r="H74" s="170"/>
      <c r="I74" s="54">
        <f t="shared" si="44"/>
        <v>3.957220636313619E-3</v>
      </c>
      <c r="J74" s="54">
        <f t="shared" si="45"/>
        <v>0.50735979747220017</v>
      </c>
      <c r="K74" s="55">
        <f t="shared" si="46"/>
        <v>0.9899745205406032</v>
      </c>
      <c r="L74" s="55">
        <f t="shared" si="47"/>
        <v>4.4600206865501264E-4</v>
      </c>
      <c r="M74" s="55">
        <f t="shared" si="19"/>
        <v>0.99955399793134503</v>
      </c>
      <c r="N74" s="55">
        <f t="shared" si="48"/>
        <v>1.7121155824867157E-4</v>
      </c>
      <c r="O74" s="56">
        <f t="shared" si="21"/>
        <v>9.9062626137687202E-7</v>
      </c>
      <c r="P74" s="56">
        <f t="shared" si="49"/>
        <v>3.1861750638901744E-6</v>
      </c>
      <c r="Q74" s="56">
        <f t="shared" si="50"/>
        <v>2.4462218266689479E-5</v>
      </c>
      <c r="R74" s="9">
        <f t="shared" si="43"/>
        <v>3.9999999999999996E-5</v>
      </c>
      <c r="S74" s="9">
        <f t="shared" si="39"/>
        <v>1.7840082746200503E-8</v>
      </c>
      <c r="T74" s="9">
        <f t="shared" si="40"/>
        <v>3.9598980821624124E-5</v>
      </c>
      <c r="U74" s="9">
        <f t="shared" si="41"/>
        <v>3.9982159917253801E-5</v>
      </c>
      <c r="V74" s="102">
        <f t="shared" si="42"/>
        <v>0.99041624823614605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185</v>
      </c>
      <c r="C75" s="46" t="s">
        <v>186</v>
      </c>
      <c r="D75" s="47">
        <v>1.2889359999999999</v>
      </c>
      <c r="E75" s="47">
        <v>1.371977</v>
      </c>
      <c r="F75" s="98">
        <v>9.9999999999999995E-7</v>
      </c>
      <c r="G75" s="170"/>
      <c r="H75" s="170"/>
      <c r="I75" s="54">
        <f t="shared" si="44"/>
        <v>4.1980440605165602E-3</v>
      </c>
      <c r="J75" s="54">
        <f t="shared" si="45"/>
        <v>0.50980800632319279</v>
      </c>
      <c r="K75" s="55">
        <f t="shared" si="46"/>
        <v>0.98942346695644379</v>
      </c>
      <c r="L75" s="55">
        <f t="shared" si="47"/>
        <v>4.482737121030219E-4</v>
      </c>
      <c r="M75" s="55">
        <f t="shared" si="19"/>
        <v>0.99955172628789701</v>
      </c>
      <c r="N75" s="55">
        <f t="shared" si="48"/>
        <v>1.6318576415709398E-4</v>
      </c>
      <c r="O75" s="56">
        <f t="shared" si="21"/>
        <v>9.9007484501153359E-7</v>
      </c>
      <c r="P75" s="56">
        <f t="shared" si="49"/>
        <v>3.2024033601622588E-6</v>
      </c>
      <c r="Q75" s="56">
        <f t="shared" si="50"/>
        <v>2.3315515737725136E-5</v>
      </c>
      <c r="R75" s="9">
        <f t="shared" si="43"/>
        <v>3.9999999999999996E-5</v>
      </c>
      <c r="S75" s="9">
        <f t="shared" si="39"/>
        <v>1.7930948484120874E-8</v>
      </c>
      <c r="T75" s="9">
        <f t="shared" si="40"/>
        <v>3.9576938678257751E-5</v>
      </c>
      <c r="U75" s="9">
        <f t="shared" si="41"/>
        <v>3.998206905151588E-5</v>
      </c>
      <c r="V75" s="102">
        <f t="shared" si="42"/>
        <v>0.98986719839995951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187</v>
      </c>
      <c r="C76" s="46" t="s">
        <v>188</v>
      </c>
      <c r="D76" s="47">
        <v>3.3144320000000005</v>
      </c>
      <c r="E76" s="47">
        <v>3.8699789999999998</v>
      </c>
      <c r="F76" s="98">
        <v>9.9999999999999995E-7</v>
      </c>
      <c r="G76" s="170"/>
      <c r="H76" s="170"/>
      <c r="I76" s="54">
        <f t="shared" si="44"/>
        <v>0.35626551305621779</v>
      </c>
      <c r="J76" s="54">
        <f t="shared" si="45"/>
        <v>2.6948578399819088</v>
      </c>
      <c r="K76" s="55">
        <f t="shared" si="46"/>
        <v>0.42702078620275796</v>
      </c>
      <c r="L76" s="55">
        <f t="shared" si="47"/>
        <v>2.9625106091880807E-2</v>
      </c>
      <c r="M76" s="55">
        <f t="shared" si="19"/>
        <v>0.97037489390811915</v>
      </c>
      <c r="N76" s="55">
        <f t="shared" si="48"/>
        <v>2.2169253968701511E-2</v>
      </c>
      <c r="O76" s="56">
        <f t="shared" si="21"/>
        <v>4.2730191150298481E-7</v>
      </c>
      <c r="P76" s="56">
        <f t="shared" si="49"/>
        <v>2.116375257623834E-4</v>
      </c>
      <c r="Q76" s="56">
        <f t="shared" si="50"/>
        <v>3.1674796663224468E-3</v>
      </c>
      <c r="R76" s="9">
        <f t="shared" si="43"/>
        <v>3.9999999999999996E-5</v>
      </c>
      <c r="S76" s="9">
        <f t="shared" si="39"/>
        <v>1.1850042436752321E-6</v>
      </c>
      <c r="T76" s="9">
        <f t="shared" si="40"/>
        <v>1.7080831448110318E-5</v>
      </c>
      <c r="U76" s="9">
        <f t="shared" si="41"/>
        <v>3.8814995756324765E-5</v>
      </c>
      <c r="V76" s="102">
        <f t="shared" si="42"/>
        <v>0.44005753743582615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100</v>
      </c>
      <c r="C77" s="46" t="s">
        <v>101</v>
      </c>
      <c r="D77" s="47">
        <v>0.29376000000000013</v>
      </c>
      <c r="E77" s="47">
        <v>0.18140000000000034</v>
      </c>
      <c r="F77" s="98">
        <v>9.9999999999999995E-7</v>
      </c>
      <c r="G77" s="170"/>
      <c r="H77" s="170"/>
      <c r="I77" s="54">
        <f t="shared" si="44"/>
        <v>2.1004549420906745E-4</v>
      </c>
      <c r="J77" s="54">
        <f t="shared" si="45"/>
        <v>3.5001380315971067E-2</v>
      </c>
      <c r="K77" s="55">
        <f t="shared" si="46"/>
        <v>0.99884721775977758</v>
      </c>
      <c r="L77" s="55">
        <f t="shared" si="47"/>
        <v>1.516538719814872E-4</v>
      </c>
      <c r="M77" s="55">
        <f t="shared" si="19"/>
        <v>0.99984834612801854</v>
      </c>
      <c r="N77" s="55">
        <f t="shared" si="48"/>
        <v>1.0622387178189545E-5</v>
      </c>
      <c r="O77" s="56">
        <f t="shared" si="21"/>
        <v>9.9950479985658945E-7</v>
      </c>
      <c r="P77" s="56">
        <f t="shared" si="49"/>
        <v>1.0833935965968896E-6</v>
      </c>
      <c r="Q77" s="56">
        <f t="shared" si="50"/>
        <v>1.5176963303420701E-6</v>
      </c>
      <c r="R77" s="9">
        <f t="shared" si="43"/>
        <v>3.9999999999999996E-5</v>
      </c>
      <c r="S77" s="9">
        <f t="shared" si="39"/>
        <v>6.0661548792594877E-9</v>
      </c>
      <c r="T77" s="9">
        <f t="shared" si="40"/>
        <v>3.9953888710391101E-5</v>
      </c>
      <c r="U77" s="9">
        <f t="shared" si="41"/>
        <v>3.999393384512074E-5</v>
      </c>
      <c r="V77" s="102">
        <f t="shared" si="42"/>
        <v>0.99899871978373733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189</v>
      </c>
      <c r="C78" s="46" t="s">
        <v>190</v>
      </c>
      <c r="D78" s="47">
        <v>1.6175039999999998</v>
      </c>
      <c r="E78" s="47">
        <v>1.8999029999999997</v>
      </c>
      <c r="F78" s="98">
        <v>9.9999999999999995E-7</v>
      </c>
      <c r="G78" s="7"/>
      <c r="H78" s="7"/>
      <c r="I78" s="54">
        <f t="shared" si="44"/>
        <v>9.6186457475178466E-3</v>
      </c>
      <c r="J78" s="54">
        <f t="shared" si="45"/>
        <v>0.86614766954915146</v>
      </c>
      <c r="K78" s="55">
        <f t="shared" si="46"/>
        <v>0.97660645709571214</v>
      </c>
      <c r="L78" s="55">
        <f t="shared" si="47"/>
        <v>1.0051255655040181E-3</v>
      </c>
      <c r="M78" s="55">
        <f t="shared" si="19"/>
        <v>0.99899487443449597</v>
      </c>
      <c r="N78" s="55">
        <f t="shared" si="48"/>
        <v>5.4318235573255574E-4</v>
      </c>
      <c r="O78" s="56">
        <f t="shared" si="21"/>
        <v>9.7724939718744847E-7</v>
      </c>
      <c r="P78" s="56">
        <f t="shared" si="49"/>
        <v>7.1804734505942048E-6</v>
      </c>
      <c r="Q78" s="56">
        <f t="shared" si="50"/>
        <v>7.7608343037479749E-5</v>
      </c>
      <c r="R78" s="9">
        <f t="shared" si="43"/>
        <v>3.9999999999999996E-5</v>
      </c>
      <c r="S78" s="9">
        <f t="shared" si="39"/>
        <v>4.020502262016072E-8</v>
      </c>
      <c r="T78" s="9">
        <f t="shared" si="40"/>
        <v>3.9064258283828486E-5</v>
      </c>
      <c r="U78" s="9">
        <f t="shared" si="41"/>
        <v>3.9959794977379832E-5</v>
      </c>
      <c r="V78" s="102">
        <f t="shared" si="42"/>
        <v>0.9775890568493083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191</v>
      </c>
      <c r="C79" s="46" t="s">
        <v>192</v>
      </c>
      <c r="D79" s="47">
        <v>2.5898400000000001</v>
      </c>
      <c r="E79" s="47">
        <v>2.96393</v>
      </c>
      <c r="F79" s="98">
        <v>9.9999999999999995E-7</v>
      </c>
      <c r="G79" s="7"/>
      <c r="H79" s="7"/>
      <c r="I79" s="54">
        <f t="shared" si="44"/>
        <v>8.6760595853303396E-2</v>
      </c>
      <c r="J79" s="54">
        <f t="shared" si="45"/>
        <v>1.8465793817928891</v>
      </c>
      <c r="K79" s="55">
        <f t="shared" si="46"/>
        <v>0.81195339448078252</v>
      </c>
      <c r="L79" s="55">
        <f t="shared" si="47"/>
        <v>7.9884687767626927E-3</v>
      </c>
      <c r="M79" s="55">
        <f t="shared" si="19"/>
        <v>0.99201153122323726</v>
      </c>
      <c r="N79" s="55">
        <f t="shared" si="48"/>
        <v>5.2334028264216896E-3</v>
      </c>
      <c r="O79" s="56">
        <f t="shared" si="21"/>
        <v>8.1248793670722404E-7</v>
      </c>
      <c r="P79" s="56">
        <f t="shared" si="49"/>
        <v>5.7068479731367427E-5</v>
      </c>
      <c r="Q79" s="56">
        <f t="shared" si="50"/>
        <v>7.4773364325962687E-4</v>
      </c>
      <c r="R79" s="9">
        <f t="shared" si="43"/>
        <v>3.9999999999999996E-5</v>
      </c>
      <c r="S79" s="9">
        <f t="shared" si="39"/>
        <v>3.1953875107050769E-7</v>
      </c>
      <c r="T79" s="9">
        <f t="shared" si="40"/>
        <v>3.24781357792313E-5</v>
      </c>
      <c r="U79" s="9">
        <f t="shared" si="41"/>
        <v>3.9680461248929486E-5</v>
      </c>
      <c r="V79" s="102">
        <f t="shared" si="42"/>
        <v>0.81849189139925893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193</v>
      </c>
      <c r="C80" s="46" t="s">
        <v>194</v>
      </c>
      <c r="D80" s="47">
        <v>5.0487680000000008</v>
      </c>
      <c r="E80" s="47">
        <v>6.0352960000000007</v>
      </c>
      <c r="F80" s="98">
        <v>9.9999999999999995E-7</v>
      </c>
      <c r="G80" s="7"/>
      <c r="H80" s="7"/>
      <c r="I80" s="54">
        <f t="shared" si="44"/>
        <v>1.9819141928346475</v>
      </c>
      <c r="J80" s="54">
        <f t="shared" si="45"/>
        <v>4.7849539498028779</v>
      </c>
      <c r="K80" s="55">
        <f t="shared" si="46"/>
        <v>9.5686586304667819E-3</v>
      </c>
      <c r="L80" s="55">
        <f t="shared" si="47"/>
        <v>8.1687963543849454E-2</v>
      </c>
      <c r="M80" s="55">
        <f t="shared" si="19"/>
        <v>0.91831203645615056</v>
      </c>
      <c r="N80" s="55">
        <f t="shared" si="48"/>
        <v>7.2689239291852517E-2</v>
      </c>
      <c r="O80" s="56">
        <f t="shared" si="21"/>
        <v>9.5749580709558007E-9</v>
      </c>
      <c r="P80" s="56">
        <f t="shared" si="49"/>
        <v>5.8356714184818316E-4</v>
      </c>
      <c r="Q80" s="56">
        <f t="shared" si="50"/>
        <v>1.0385630826479052E-2</v>
      </c>
      <c r="R80" s="9">
        <f t="shared" si="43"/>
        <v>3.9999999999999996E-5</v>
      </c>
      <c r="S80" s="9">
        <f t="shared" si="39"/>
        <v>3.2675185417539778E-6</v>
      </c>
      <c r="T80" s="9">
        <f t="shared" si="40"/>
        <v>3.8274634521867123E-7</v>
      </c>
      <c r="U80" s="9">
        <f t="shared" si="41"/>
        <v>3.673248145824602E-5</v>
      </c>
      <c r="V80" s="102">
        <f t="shared" si="42"/>
        <v>1.0419833619292527E-2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195</v>
      </c>
      <c r="C81" s="46" t="s">
        <v>196</v>
      </c>
      <c r="D81" s="47">
        <v>2.7330160000000001</v>
      </c>
      <c r="E81" s="47">
        <v>3.3310319999999995</v>
      </c>
      <c r="F81" s="98">
        <v>9.9999999999999995E-7</v>
      </c>
      <c r="G81" s="7"/>
      <c r="H81" s="7"/>
      <c r="I81" s="54">
        <f t="shared" si="44"/>
        <v>0.12726341031571042</v>
      </c>
      <c r="J81" s="54">
        <f t="shared" si="45"/>
        <v>2.1476419495508856</v>
      </c>
      <c r="K81" s="55">
        <f t="shared" si="46"/>
        <v>0.73482790663736453</v>
      </c>
      <c r="L81" s="55">
        <f t="shared" si="47"/>
        <v>1.4460411413320811E-2</v>
      </c>
      <c r="M81" s="55">
        <f t="shared" si="19"/>
        <v>0.98553958858667923</v>
      </c>
      <c r="N81" s="55">
        <f t="shared" si="48"/>
        <v>1.1029115988519125E-2</v>
      </c>
      <c r="O81" s="56">
        <f t="shared" si="21"/>
        <v>7.3531167399142122E-7</v>
      </c>
      <c r="P81" s="56">
        <f t="shared" si="49"/>
        <v>1.0330311336370483E-4</v>
      </c>
      <c r="Q81" s="56">
        <f t="shared" si="50"/>
        <v>1.5758085806796451E-3</v>
      </c>
      <c r="R81" s="9">
        <f t="shared" si="43"/>
        <v>3.9999999999999996E-5</v>
      </c>
      <c r="S81" s="9">
        <f t="shared" si="39"/>
        <v>5.7841645653283234E-7</v>
      </c>
      <c r="T81" s="9">
        <f t="shared" si="40"/>
        <v>2.9393116265494578E-5</v>
      </c>
      <c r="U81" s="9">
        <f t="shared" si="41"/>
        <v>3.9421583543467163E-5</v>
      </c>
      <c r="V81" s="102">
        <f t="shared" si="42"/>
        <v>0.74560973008821518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197</v>
      </c>
      <c r="C82" s="46" t="s">
        <v>198</v>
      </c>
      <c r="D82" s="47">
        <v>3.4406639999999999</v>
      </c>
      <c r="E82" s="47">
        <v>4.222847999999999</v>
      </c>
      <c r="F82" s="98">
        <v>9.9999999999999995E-7</v>
      </c>
      <c r="G82" s="7"/>
      <c r="H82" s="7"/>
      <c r="I82" s="54">
        <f t="shared" si="44"/>
        <v>0.47104615060046062</v>
      </c>
      <c r="J82" s="54">
        <f t="shared" si="45"/>
        <v>3.0007157776870899</v>
      </c>
      <c r="K82" s="55">
        <f t="shared" si="46"/>
        <v>0.32256361869791977</v>
      </c>
      <c r="L82" s="55">
        <f t="shared" si="47"/>
        <v>4.5256839184738738E-2</v>
      </c>
      <c r="M82" s="55">
        <f t="shared" si="19"/>
        <v>0.95474316081526123</v>
      </c>
      <c r="N82" s="55">
        <f t="shared" si="48"/>
        <v>3.7738657393200488E-2</v>
      </c>
      <c r="O82" s="56">
        <f t="shared" si="21"/>
        <v>3.227759755598775E-7</v>
      </c>
      <c r="P82" s="56">
        <f t="shared" si="49"/>
        <v>3.2330839387303289E-4</v>
      </c>
      <c r="Q82" s="56">
        <f t="shared" si="50"/>
        <v>5.3919915436050764E-3</v>
      </c>
      <c r="R82" s="9">
        <f t="shared" si="43"/>
        <v>3.9999999999999996E-5</v>
      </c>
      <c r="S82" s="9">
        <f t="shared" si="39"/>
        <v>1.8102735673895494E-6</v>
      </c>
      <c r="T82" s="9">
        <f t="shared" si="40"/>
        <v>1.290254474791679E-5</v>
      </c>
      <c r="U82" s="9">
        <f t="shared" si="41"/>
        <v>3.8189726432610445E-5</v>
      </c>
      <c r="V82" s="102">
        <f t="shared" si="42"/>
        <v>0.33785381444626494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199</v>
      </c>
      <c r="C83" s="46" t="s">
        <v>200</v>
      </c>
      <c r="D83" s="47">
        <v>2.8976480000000002</v>
      </c>
      <c r="E83" s="47">
        <v>3.5312959999999993</v>
      </c>
      <c r="F83" s="98">
        <v>9.9999999999999995E-7</v>
      </c>
      <c r="G83" s="7"/>
      <c r="H83" s="7"/>
      <c r="I83" s="54">
        <f t="shared" si="44"/>
        <v>0.17835694544431219</v>
      </c>
      <c r="J83" s="54">
        <f t="shared" si="45"/>
        <v>2.3388959370141773</v>
      </c>
      <c r="K83" s="55">
        <f t="shared" si="46"/>
        <v>0.64969066057010172</v>
      </c>
      <c r="L83" s="55">
        <f t="shared" si="47"/>
        <v>1.9858919678439144E-2</v>
      </c>
      <c r="M83" s="55">
        <f t="shared" si="19"/>
        <v>0.98014108032156089</v>
      </c>
      <c r="N83" s="55">
        <f t="shared" si="48"/>
        <v>1.5464136930270399E-2</v>
      </c>
      <c r="O83" s="56">
        <f t="shared" si="21"/>
        <v>6.501183785826873E-7</v>
      </c>
      <c r="P83" s="56">
        <f t="shared" si="49"/>
        <v>1.418692851942438E-4</v>
      </c>
      <c r="Q83" s="56">
        <f t="shared" si="50"/>
        <v>2.2094717013486621E-3</v>
      </c>
      <c r="R83" s="9">
        <f t="shared" si="43"/>
        <v>3.9999999999999996E-5</v>
      </c>
      <c r="S83" s="9">
        <f t="shared" si="39"/>
        <v>7.9435678713756569E-7</v>
      </c>
      <c r="T83" s="9">
        <f t="shared" si="40"/>
        <v>2.5987626422804068E-5</v>
      </c>
      <c r="U83" s="9">
        <f t="shared" si="41"/>
        <v>3.9205643212862429E-5</v>
      </c>
      <c r="V83" s="102">
        <f t="shared" si="42"/>
        <v>0.6628542294716937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102</v>
      </c>
      <c r="C84" s="46" t="s">
        <v>103</v>
      </c>
      <c r="D84" s="47">
        <v>1.423632</v>
      </c>
      <c r="E84" s="47">
        <v>1.638849</v>
      </c>
      <c r="F84" s="98">
        <v>9.9999999999999995E-7</v>
      </c>
      <c r="G84" s="7"/>
      <c r="H84" s="7"/>
      <c r="I84" s="54">
        <f t="shared" si="44"/>
        <v>5.9812805986470914E-3</v>
      </c>
      <c r="J84" s="54">
        <f t="shared" si="45"/>
        <v>0.66821968451796954</v>
      </c>
      <c r="K84" s="55">
        <f t="shared" si="46"/>
        <v>0.98517738750433803</v>
      </c>
      <c r="L84" s="55">
        <f t="shared" si="47"/>
        <v>6.4281674013343213E-4</v>
      </c>
      <c r="M84" s="55">
        <f t="shared" si="19"/>
        <v>0.99935718325986655</v>
      </c>
      <c r="N84" s="55">
        <f t="shared" si="48"/>
        <v>3.0039071035014556E-4</v>
      </c>
      <c r="O84" s="56">
        <f t="shared" si="21"/>
        <v>9.8582597019114752E-7</v>
      </c>
      <c r="P84" s="56">
        <f t="shared" si="49"/>
        <v>4.5921909605503631E-6</v>
      </c>
      <c r="Q84" s="56">
        <f t="shared" si="50"/>
        <v>4.2918966435656367E-5</v>
      </c>
      <c r="R84" s="9">
        <f t="shared" si="43"/>
        <v>3.9999999999999996E-5</v>
      </c>
      <c r="S84" s="9">
        <f t="shared" si="39"/>
        <v>2.5712669605337284E-8</v>
      </c>
      <c r="T84" s="9">
        <f t="shared" si="40"/>
        <v>3.9407095500173515E-5</v>
      </c>
      <c r="U84" s="9">
        <f t="shared" si="41"/>
        <v>3.997428733039466E-5</v>
      </c>
      <c r="V84" s="102">
        <f t="shared" si="42"/>
        <v>0.98581108337133816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201</v>
      </c>
      <c r="C85" s="46" t="s">
        <v>202</v>
      </c>
      <c r="D85" s="47">
        <v>2.6912000000000003</v>
      </c>
      <c r="E85" s="47">
        <v>3.3249699999999995</v>
      </c>
      <c r="F85" s="98">
        <v>9.9999999999999995E-7</v>
      </c>
      <c r="G85" s="7"/>
      <c r="H85" s="7"/>
      <c r="I85" s="54">
        <f t="shared" si="44"/>
        <v>0.11910186422699467</v>
      </c>
      <c r="J85" s="54">
        <f t="shared" si="45"/>
        <v>2.1336193491516409</v>
      </c>
      <c r="K85" s="55">
        <f t="shared" si="46"/>
        <v>0.74891301727557391</v>
      </c>
      <c r="L85" s="55">
        <f t="shared" si="47"/>
        <v>1.4269336743102212E-2</v>
      </c>
      <c r="M85" s="55">
        <f t="shared" si="19"/>
        <v>0.98573066325689784</v>
      </c>
      <c r="N85" s="55">
        <f t="shared" si="48"/>
        <v>1.1084712723184422E-2</v>
      </c>
      <c r="O85" s="56">
        <f t="shared" si="21"/>
        <v>7.4940605743574406E-7</v>
      </c>
      <c r="P85" s="56">
        <f t="shared" si="49"/>
        <v>1.0193810321604461E-4</v>
      </c>
      <c r="Q85" s="56">
        <f t="shared" si="50"/>
        <v>1.5837520832808097E-3</v>
      </c>
      <c r="R85" s="9">
        <f t="shared" si="43"/>
        <v>3.9999999999999996E-5</v>
      </c>
      <c r="S85" s="9">
        <f t="shared" si="39"/>
        <v>5.7077346972408845E-7</v>
      </c>
      <c r="T85" s="9">
        <f t="shared" si="40"/>
        <v>2.9956520691022955E-5</v>
      </c>
      <c r="U85" s="9">
        <f t="shared" si="41"/>
        <v>3.9429226530275913E-5</v>
      </c>
      <c r="V85" s="102">
        <f t="shared" si="42"/>
        <v>0.75975420588128206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104</v>
      </c>
      <c r="C86" s="46" t="s">
        <v>105</v>
      </c>
      <c r="D86" s="47">
        <v>2.1493200000000003</v>
      </c>
      <c r="E86" s="47">
        <v>2.6108399999999996</v>
      </c>
      <c r="F86" s="98">
        <v>9.9999999999999995E-7</v>
      </c>
      <c r="G86" s="7"/>
      <c r="H86" s="7"/>
      <c r="I86" s="54">
        <f t="shared" si="44"/>
        <v>3.4503381608646556E-2</v>
      </c>
      <c r="J86" s="54">
        <f t="shared" si="45"/>
        <v>1.4736389783743882</v>
      </c>
      <c r="K86" s="55">
        <f t="shared" si="46"/>
        <v>0.91960966705059166</v>
      </c>
      <c r="L86" s="55">
        <f t="shared" si="47"/>
        <v>3.8335008585676411E-3</v>
      </c>
      <c r="M86" s="55">
        <f t="shared" si="19"/>
        <v>0.9961664991414324</v>
      </c>
      <c r="N86" s="55">
        <f t="shared" si="48"/>
        <v>2.6288547486400032E-3</v>
      </c>
      <c r="O86" s="56">
        <f t="shared" si="21"/>
        <v>9.2021508381739619E-7</v>
      </c>
      <c r="P86" s="56">
        <f t="shared" si="49"/>
        <v>2.7385982490627435E-5</v>
      </c>
      <c r="Q86" s="56">
        <f t="shared" si="50"/>
        <v>3.7560325547211608E-4</v>
      </c>
      <c r="R86" s="9">
        <f t="shared" si="43"/>
        <v>3.9999999999999996E-5</v>
      </c>
      <c r="S86" s="9">
        <f t="shared" si="39"/>
        <v>1.5334003434270563E-7</v>
      </c>
      <c r="T86" s="9">
        <f t="shared" si="40"/>
        <v>3.6784386682023666E-5</v>
      </c>
      <c r="U86" s="9">
        <f t="shared" si="41"/>
        <v>3.9846659965657289E-5</v>
      </c>
      <c r="V86" s="102">
        <f t="shared" si="42"/>
        <v>0.92314855783965544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203</v>
      </c>
      <c r="C87" s="46" t="s">
        <v>204</v>
      </c>
      <c r="D87" s="47"/>
      <c r="E87" s="47"/>
      <c r="F87" s="57"/>
      <c r="G87" s="7"/>
      <c r="H87" s="7"/>
      <c r="I87" s="54" t="str">
        <f t="shared" si="44"/>
        <v/>
      </c>
      <c r="J87" s="54" t="str">
        <f t="shared" si="45"/>
        <v/>
      </c>
      <c r="K87" s="55" t="str">
        <f t="shared" si="46"/>
        <v/>
      </c>
      <c r="L87" s="55" t="str">
        <f t="shared" si="47"/>
        <v/>
      </c>
      <c r="M87" s="55" t="str">
        <f t="shared" si="19"/>
        <v/>
      </c>
      <c r="N87" s="55" t="str">
        <f t="shared" si="48"/>
        <v/>
      </c>
      <c r="O87" s="56" t="str">
        <f t="shared" si="21"/>
        <v/>
      </c>
      <c r="P87" s="56" t="str">
        <f t="shared" si="49"/>
        <v/>
      </c>
      <c r="Q87" s="56" t="str">
        <f t="shared" si="50"/>
        <v/>
      </c>
      <c r="R87" s="9"/>
      <c r="S87" s="9"/>
      <c r="T87" s="9"/>
      <c r="U87" s="9"/>
      <c r="V87" s="102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205</v>
      </c>
      <c r="C88" s="46" t="s">
        <v>206</v>
      </c>
      <c r="D88" s="47">
        <v>4.1575040000000012</v>
      </c>
      <c r="E88" s="47">
        <v>5.2456879999999995</v>
      </c>
      <c r="F88" s="98">
        <v>9.9999999999999995E-7</v>
      </c>
      <c r="G88" s="7"/>
      <c r="H88" s="7"/>
      <c r="I88" s="54">
        <f t="shared" si="44"/>
        <v>1.1640116161103842</v>
      </c>
      <c r="J88" s="54">
        <f t="shared" si="45"/>
        <v>3.9852799121672526</v>
      </c>
      <c r="K88" s="55">
        <f t="shared" si="46"/>
        <v>6.2695381621385105E-2</v>
      </c>
      <c r="L88" s="55">
        <f t="shared" si="47"/>
        <v>8.4892343152814298E-2</v>
      </c>
      <c r="M88" s="55">
        <f t="shared" si="19"/>
        <v>0.91510765684718565</v>
      </c>
      <c r="N88" s="55">
        <f t="shared" si="48"/>
        <v>7.7311947451027735E-2</v>
      </c>
      <c r="O88" s="56">
        <f t="shared" si="21"/>
        <v>6.2736656562911677E-8</v>
      </c>
      <c r="P88" s="56">
        <f t="shared" si="49"/>
        <v>6.0645877200611207E-4</v>
      </c>
      <c r="Q88" s="56">
        <f t="shared" si="50"/>
        <v>1.1046110160524411E-2</v>
      </c>
      <c r="R88" s="9">
        <f>F88*$C$14</f>
        <v>3.9999999999999996E-5</v>
      </c>
      <c r="S88" s="9">
        <f t="shared" si="39"/>
        <v>3.3956937261125718E-6</v>
      </c>
      <c r="T88" s="9">
        <f t="shared" si="40"/>
        <v>2.507815264855404E-6</v>
      </c>
      <c r="U88" s="9">
        <f t="shared" si="41"/>
        <v>3.660430627388742E-5</v>
      </c>
      <c r="V88" s="102">
        <f t="shared" si="42"/>
        <v>6.8511481848364253E-2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207</v>
      </c>
      <c r="C89" s="46" t="s">
        <v>208</v>
      </c>
      <c r="D89" s="47">
        <v>5.4191360000000008</v>
      </c>
      <c r="E89" s="47">
        <v>6.7333169999999996</v>
      </c>
      <c r="F89" s="98">
        <v>9.9999999999999995E-7</v>
      </c>
      <c r="G89" s="7"/>
      <c r="H89" s="7"/>
      <c r="I89" s="54">
        <f t="shared" si="44"/>
        <v>2.5219720041185631</v>
      </c>
      <c r="J89" s="54">
        <f t="shared" si="45"/>
        <v>5.4568603611336437</v>
      </c>
      <c r="K89" s="55">
        <f t="shared" si="46"/>
        <v>2.6815627009989418E-3</v>
      </c>
      <c r="L89" s="55">
        <f t="shared" si="47"/>
        <v>0.10754776160786643</v>
      </c>
      <c r="M89" s="55">
        <f t="shared" si="19"/>
        <v>0.89245223839213361</v>
      </c>
      <c r="N89" s="55">
        <f t="shared" si="48"/>
        <v>0.10163142595292129</v>
      </c>
      <c r="O89" s="56">
        <f t="shared" si="21"/>
        <v>2.6833280837244508E-9</v>
      </c>
      <c r="P89" s="56">
        <f t="shared" si="49"/>
        <v>7.6830584496065477E-4</v>
      </c>
      <c r="Q89" s="56">
        <f t="shared" si="50"/>
        <v>1.4520807764650671E-2</v>
      </c>
      <c r="R89" s="9">
        <f>F89*$C$14</f>
        <v>3.9999999999999996E-5</v>
      </c>
      <c r="S89" s="9">
        <f t="shared" si="39"/>
        <v>4.3019104643146568E-6</v>
      </c>
      <c r="T89" s="9">
        <f t="shared" si="40"/>
        <v>1.0726250803995767E-7</v>
      </c>
      <c r="U89" s="9">
        <f t="shared" si="41"/>
        <v>3.569808953568534E-5</v>
      </c>
      <c r="V89" s="102">
        <f t="shared" si="42"/>
        <v>3.0047128413618176E-3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209</v>
      </c>
      <c r="C90" s="46" t="s">
        <v>210</v>
      </c>
      <c r="D90" s="47">
        <v>5.6895360000000004</v>
      </c>
      <c r="E90" s="47">
        <v>7.1197670000000004</v>
      </c>
      <c r="F90" s="98">
        <v>9.9999999999999995E-7</v>
      </c>
      <c r="G90" s="7"/>
      <c r="H90" s="7"/>
      <c r="I90" s="54">
        <f t="shared" si="44"/>
        <v>2.8671793282646911</v>
      </c>
      <c r="J90" s="54">
        <f t="shared" si="45"/>
        <v>5.8376711731613922</v>
      </c>
      <c r="K90" s="55">
        <f t="shared" si="46"/>
        <v>1.2000751564717508E-3</v>
      </c>
      <c r="L90" s="55">
        <f t="shared" si="47"/>
        <v>0.11567318049383399</v>
      </c>
      <c r="M90" s="55">
        <f t="shared" si="19"/>
        <v>0.88432681950616598</v>
      </c>
      <c r="N90" s="55">
        <f t="shared" si="48"/>
        <v>0.11073846724956173</v>
      </c>
      <c r="O90" s="56">
        <f t="shared" si="21"/>
        <v>1.2008652151751175E-9</v>
      </c>
      <c r="P90" s="56">
        <f t="shared" si="49"/>
        <v>8.2635267670788041E-4</v>
      </c>
      <c r="Q90" s="56">
        <f t="shared" si="50"/>
        <v>1.5821995804996665E-2</v>
      </c>
      <c r="R90" s="9">
        <f>F90*$C$14</f>
        <v>3.9999999999999996E-5</v>
      </c>
      <c r="S90" s="9">
        <f t="shared" si="39"/>
        <v>4.626927219753359E-6</v>
      </c>
      <c r="T90" s="9">
        <f t="shared" si="40"/>
        <v>4.8003006258870029E-8</v>
      </c>
      <c r="U90" s="9">
        <f t="shared" si="41"/>
        <v>3.5373072780246634E-5</v>
      </c>
      <c r="V90" s="102">
        <f t="shared" si="42"/>
        <v>1.3570493736036503E-3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106</v>
      </c>
      <c r="C91" s="46" t="s">
        <v>107</v>
      </c>
      <c r="D91" s="47">
        <v>6.0065360000000005</v>
      </c>
      <c r="E91" s="47">
        <v>7.5552170000000007</v>
      </c>
      <c r="F91" s="98">
        <v>9.9999999999999995E-7</v>
      </c>
      <c r="G91" s="7"/>
      <c r="H91" s="7"/>
      <c r="I91" s="54">
        <f t="shared" si="44"/>
        <v>3.2678433041260839</v>
      </c>
      <c r="J91" s="54">
        <f t="shared" si="45"/>
        <v>6.2686756056738835</v>
      </c>
      <c r="K91" s="55">
        <f t="shared" si="46"/>
        <v>4.7306903640986211E-4</v>
      </c>
      <c r="L91" s="55">
        <f t="shared" si="47"/>
        <v>0.12301361674732753</v>
      </c>
      <c r="M91" s="55">
        <f t="shared" si="19"/>
        <v>0.87698638325267253</v>
      </c>
      <c r="N91" s="55">
        <f t="shared" si="48"/>
        <v>0.11897743068905176</v>
      </c>
      <c r="O91" s="56">
        <f t="shared" si="21"/>
        <v>4.7338047716212937E-10</v>
      </c>
      <c r="P91" s="56">
        <f t="shared" si="49"/>
        <v>8.7879170466908748E-4</v>
      </c>
      <c r="Q91" s="56">
        <f t="shared" si="50"/>
        <v>1.699915536133546E-2</v>
      </c>
      <c r="R91" s="9">
        <f t="shared" ref="R91:R92" si="51">F91*$C$14</f>
        <v>3.9999999999999996E-5</v>
      </c>
      <c r="S91" s="9">
        <f t="shared" si="39"/>
        <v>4.9205446698931004E-6</v>
      </c>
      <c r="T91" s="9">
        <f t="shared" si="40"/>
        <v>1.8922761456394484E-8</v>
      </c>
      <c r="U91" s="9">
        <f t="shared" si="41"/>
        <v>3.5079455330106899E-5</v>
      </c>
      <c r="V91" s="102">
        <f t="shared" si="42"/>
        <v>5.3942574872746236E-4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108</v>
      </c>
      <c r="C92" s="46" t="s">
        <v>109</v>
      </c>
      <c r="D92" s="47">
        <v>7.0428240000000013</v>
      </c>
      <c r="E92" s="47">
        <v>8.8261279999999989</v>
      </c>
      <c r="F92" s="98">
        <v>9.9999999999999995E-7</v>
      </c>
      <c r="G92" s="7"/>
      <c r="H92" s="7"/>
      <c r="I92" s="54">
        <f t="shared" si="44"/>
        <v>4.4880081925943038</v>
      </c>
      <c r="J92" s="54">
        <f t="shared" si="45"/>
        <v>7.5335977384937181</v>
      </c>
      <c r="K92" s="55">
        <f t="shared" si="46"/>
        <v>2.8118914996236826E-5</v>
      </c>
      <c r="L92" s="55">
        <f t="shared" si="47"/>
        <v>0.13457034191777961</v>
      </c>
      <c r="M92" s="55">
        <f t="shared" si="19"/>
        <v>0.86542965808222039</v>
      </c>
      <c r="N92" s="55">
        <f t="shared" si="48"/>
        <v>0.13196222262643167</v>
      </c>
      <c r="O92" s="56">
        <f t="shared" si="21"/>
        <v>2.813742683143498E-11</v>
      </c>
      <c r="P92" s="56">
        <f t="shared" si="49"/>
        <v>9.6135129832605911E-4</v>
      </c>
      <c r="Q92" s="56">
        <f t="shared" si="50"/>
        <v>1.8854385333942767E-2</v>
      </c>
      <c r="R92" s="9">
        <f t="shared" si="51"/>
        <v>3.9999999999999996E-5</v>
      </c>
      <c r="S92" s="9">
        <f t="shared" si="39"/>
        <v>5.3828136767111837E-6</v>
      </c>
      <c r="T92" s="9">
        <f t="shared" si="40"/>
        <v>1.1247565998494729E-9</v>
      </c>
      <c r="U92" s="9">
        <f t="shared" si="41"/>
        <v>3.4617186323288813E-5</v>
      </c>
      <c r="V92" s="102">
        <f t="shared" si="42"/>
        <v>3.2491277290574878E-5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211</v>
      </c>
      <c r="C93" s="46" t="s">
        <v>212</v>
      </c>
      <c r="D93" s="47">
        <v>2.17</v>
      </c>
      <c r="E93" s="47">
        <v>2.25</v>
      </c>
      <c r="F93" s="98">
        <v>9.9999999999999995E-7</v>
      </c>
      <c r="G93" s="7"/>
      <c r="H93" s="7"/>
      <c r="I93" s="54">
        <f t="shared" si="44"/>
        <v>3.2311126461878961E-2</v>
      </c>
      <c r="J93" s="54">
        <f t="shared" si="45"/>
        <v>1.270819636021709</v>
      </c>
      <c r="K93" s="55">
        <f t="shared" si="46"/>
        <v>0.9255761246110793</v>
      </c>
      <c r="L93" s="55">
        <f t="shared" si="47"/>
        <v>2.4187157795063723E-3</v>
      </c>
      <c r="M93" s="55">
        <f t="shared" ref="M93:M127" si="52">IF(D93=0,"",1-L93)</f>
        <v>0.99758128422049364</v>
      </c>
      <c r="N93" s="55">
        <f t="shared" si="48"/>
        <v>1.1527501999772408E-3</v>
      </c>
      <c r="O93" s="56">
        <f t="shared" ref="O93:O127" si="53">IF(D93=0,"",F93*K93*$J$7/$J$14)</f>
        <v>9.2618546934164368E-7</v>
      </c>
      <c r="P93" s="56">
        <f t="shared" si="49"/>
        <v>1.7278959997967882E-5</v>
      </c>
      <c r="Q93" s="56">
        <f t="shared" si="50"/>
        <v>1.6470165500074823E-4</v>
      </c>
      <c r="R93" s="9">
        <f>F93*$C$14</f>
        <v>3.9999999999999996E-5</v>
      </c>
      <c r="S93" s="9">
        <f t="shared" si="39"/>
        <v>9.6748631180254884E-8</v>
      </c>
      <c r="T93" s="9">
        <f t="shared" si="40"/>
        <v>3.7023044984443167E-5</v>
      </c>
      <c r="U93" s="9">
        <f t="shared" si="41"/>
        <v>3.9903251368819742E-5</v>
      </c>
      <c r="V93" s="102">
        <f t="shared" si="42"/>
        <v>0.92782025810991542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213</v>
      </c>
      <c r="C94" s="46" t="s">
        <v>214</v>
      </c>
      <c r="D94" s="47"/>
      <c r="E94" s="47"/>
      <c r="F94" s="57"/>
      <c r="G94" s="7"/>
      <c r="H94" s="7"/>
      <c r="I94" s="54" t="str">
        <f t="shared" si="44"/>
        <v/>
      </c>
      <c r="J94" s="54" t="str">
        <f t="shared" si="45"/>
        <v/>
      </c>
      <c r="K94" s="55" t="str">
        <f t="shared" si="46"/>
        <v/>
      </c>
      <c r="L94" s="55" t="str">
        <f t="shared" si="47"/>
        <v/>
      </c>
      <c r="M94" s="55" t="str">
        <f t="shared" si="52"/>
        <v/>
      </c>
      <c r="N94" s="55" t="str">
        <f t="shared" si="48"/>
        <v/>
      </c>
      <c r="O94" s="56" t="str">
        <f t="shared" si="53"/>
        <v/>
      </c>
      <c r="P94" s="56" t="str">
        <f t="shared" si="49"/>
        <v/>
      </c>
      <c r="Q94" s="56" t="str">
        <f t="shared" si="50"/>
        <v/>
      </c>
      <c r="R94" s="9"/>
      <c r="S94" s="9"/>
      <c r="T94" s="9"/>
      <c r="U94" s="9"/>
      <c r="V94" s="102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215</v>
      </c>
      <c r="C95" s="46" t="s">
        <v>216</v>
      </c>
      <c r="D95" s="47"/>
      <c r="E95" s="47"/>
      <c r="F95" s="57"/>
      <c r="G95" s="7"/>
      <c r="H95" s="7"/>
      <c r="I95" s="54" t="str">
        <f t="shared" si="44"/>
        <v/>
      </c>
      <c r="J95" s="54" t="str">
        <f t="shared" si="45"/>
        <v/>
      </c>
      <c r="K95" s="55" t="str">
        <f t="shared" si="46"/>
        <v/>
      </c>
      <c r="L95" s="55" t="str">
        <f t="shared" si="47"/>
        <v/>
      </c>
      <c r="M95" s="55" t="str">
        <f t="shared" si="52"/>
        <v/>
      </c>
      <c r="N95" s="55" t="str">
        <f t="shared" si="48"/>
        <v/>
      </c>
      <c r="O95" s="56" t="str">
        <f t="shared" si="53"/>
        <v/>
      </c>
      <c r="P95" s="56" t="str">
        <f t="shared" si="49"/>
        <v/>
      </c>
      <c r="Q95" s="56" t="str">
        <f t="shared" si="50"/>
        <v/>
      </c>
      <c r="R95" s="9"/>
      <c r="S95" s="9"/>
      <c r="T95" s="9"/>
      <c r="U95" s="9"/>
      <c r="V95" s="102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217</v>
      </c>
      <c r="C96" s="46" t="s">
        <v>218</v>
      </c>
      <c r="D96" s="47"/>
      <c r="E96" s="47"/>
      <c r="F96" s="57"/>
      <c r="G96" s="7"/>
      <c r="H96" s="7"/>
      <c r="I96" s="54" t="str">
        <f t="shared" si="44"/>
        <v/>
      </c>
      <c r="J96" s="54" t="str">
        <f t="shared" si="45"/>
        <v/>
      </c>
      <c r="K96" s="55" t="str">
        <f t="shared" si="46"/>
        <v/>
      </c>
      <c r="L96" s="55" t="str">
        <f t="shared" si="47"/>
        <v/>
      </c>
      <c r="M96" s="55" t="str">
        <f t="shared" si="52"/>
        <v/>
      </c>
      <c r="N96" s="55" t="str">
        <f t="shared" si="48"/>
        <v/>
      </c>
      <c r="O96" s="56" t="str">
        <f t="shared" si="53"/>
        <v/>
      </c>
      <c r="P96" s="56" t="str">
        <f t="shared" si="49"/>
        <v/>
      </c>
      <c r="Q96" s="56" t="str">
        <f t="shared" si="50"/>
        <v/>
      </c>
      <c r="R96" s="9"/>
      <c r="S96" s="9"/>
      <c r="T96" s="9"/>
      <c r="U96" s="9"/>
      <c r="V96" s="102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219</v>
      </c>
      <c r="C97" s="46" t="s">
        <v>220</v>
      </c>
      <c r="D97" s="47"/>
      <c r="E97" s="47"/>
      <c r="F97" s="57"/>
      <c r="G97" s="7"/>
      <c r="H97" s="7"/>
      <c r="I97" s="54" t="str">
        <f t="shared" si="44"/>
        <v/>
      </c>
      <c r="J97" s="54" t="str">
        <f t="shared" si="45"/>
        <v/>
      </c>
      <c r="K97" s="55" t="str">
        <f t="shared" si="46"/>
        <v/>
      </c>
      <c r="L97" s="55" t="str">
        <f t="shared" si="47"/>
        <v/>
      </c>
      <c r="M97" s="55" t="str">
        <f t="shared" si="52"/>
        <v/>
      </c>
      <c r="N97" s="55" t="str">
        <f t="shared" si="48"/>
        <v/>
      </c>
      <c r="O97" s="56" t="str">
        <f t="shared" si="53"/>
        <v/>
      </c>
      <c r="P97" s="56" t="str">
        <f t="shared" si="49"/>
        <v/>
      </c>
      <c r="Q97" s="56" t="str">
        <f t="shared" si="50"/>
        <v/>
      </c>
      <c r="R97" s="9"/>
      <c r="S97" s="9"/>
      <c r="T97" s="9"/>
      <c r="U97" s="9"/>
      <c r="V97" s="102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221</v>
      </c>
      <c r="C98" s="46" t="s">
        <v>222</v>
      </c>
      <c r="D98" s="47"/>
      <c r="E98" s="47"/>
      <c r="F98" s="57"/>
      <c r="G98" s="7"/>
      <c r="H98" s="7"/>
      <c r="I98" s="54" t="str">
        <f t="shared" si="44"/>
        <v/>
      </c>
      <c r="J98" s="54" t="str">
        <f t="shared" si="45"/>
        <v/>
      </c>
      <c r="K98" s="55" t="str">
        <f t="shared" si="46"/>
        <v/>
      </c>
      <c r="L98" s="55" t="str">
        <f t="shared" si="47"/>
        <v/>
      </c>
      <c r="M98" s="55" t="str">
        <f t="shared" si="52"/>
        <v/>
      </c>
      <c r="N98" s="55" t="str">
        <f t="shared" si="48"/>
        <v/>
      </c>
      <c r="O98" s="56" t="str">
        <f t="shared" si="53"/>
        <v/>
      </c>
      <c r="P98" s="56" t="str">
        <f t="shared" si="49"/>
        <v/>
      </c>
      <c r="Q98" s="56" t="str">
        <f t="shared" si="50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223</v>
      </c>
      <c r="C99" s="46" t="s">
        <v>224</v>
      </c>
      <c r="D99" s="47"/>
      <c r="E99" s="47"/>
      <c r="F99" s="57"/>
      <c r="G99" s="7"/>
      <c r="H99" s="7"/>
      <c r="I99" s="54" t="str">
        <f t="shared" si="44"/>
        <v/>
      </c>
      <c r="J99" s="54" t="str">
        <f t="shared" si="45"/>
        <v/>
      </c>
      <c r="K99" s="55" t="str">
        <f t="shared" si="46"/>
        <v/>
      </c>
      <c r="L99" s="55" t="str">
        <f t="shared" si="47"/>
        <v/>
      </c>
      <c r="M99" s="55" t="str">
        <f t="shared" si="52"/>
        <v/>
      </c>
      <c r="N99" s="55" t="str">
        <f t="shared" si="48"/>
        <v/>
      </c>
      <c r="O99" s="56" t="str">
        <f t="shared" si="53"/>
        <v/>
      </c>
      <c r="P99" s="56" t="str">
        <f t="shared" si="49"/>
        <v/>
      </c>
      <c r="Q99" s="56" t="str">
        <f t="shared" si="50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225</v>
      </c>
      <c r="C100" s="46" t="s">
        <v>226</v>
      </c>
      <c r="D100" s="47"/>
      <c r="E100" s="47"/>
      <c r="F100" s="57"/>
      <c r="G100" s="7"/>
      <c r="H100" s="7"/>
      <c r="I100" s="54" t="str">
        <f t="shared" si="44"/>
        <v/>
      </c>
      <c r="J100" s="54" t="str">
        <f t="shared" si="45"/>
        <v/>
      </c>
      <c r="K100" s="55" t="str">
        <f t="shared" si="46"/>
        <v/>
      </c>
      <c r="L100" s="55" t="str">
        <f t="shared" si="47"/>
        <v/>
      </c>
      <c r="M100" s="55" t="str">
        <f t="shared" si="52"/>
        <v/>
      </c>
      <c r="N100" s="55" t="str">
        <f t="shared" si="48"/>
        <v/>
      </c>
      <c r="O100" s="56" t="str">
        <f t="shared" si="53"/>
        <v/>
      </c>
      <c r="P100" s="56" t="str">
        <f t="shared" si="49"/>
        <v/>
      </c>
      <c r="Q100" s="56" t="str">
        <f t="shared" si="50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227</v>
      </c>
      <c r="C101" s="46" t="s">
        <v>228</v>
      </c>
      <c r="D101" s="47"/>
      <c r="E101" s="47"/>
      <c r="F101" s="57"/>
      <c r="G101" s="7"/>
      <c r="H101" s="7"/>
      <c r="I101" s="54" t="str">
        <f t="shared" si="44"/>
        <v/>
      </c>
      <c r="J101" s="54" t="str">
        <f t="shared" si="45"/>
        <v/>
      </c>
      <c r="K101" s="55" t="str">
        <f t="shared" si="46"/>
        <v/>
      </c>
      <c r="L101" s="55" t="str">
        <f t="shared" si="47"/>
        <v/>
      </c>
      <c r="M101" s="55" t="str">
        <f t="shared" si="52"/>
        <v/>
      </c>
      <c r="N101" s="55" t="str">
        <f t="shared" si="48"/>
        <v/>
      </c>
      <c r="O101" s="56" t="str">
        <f t="shared" si="53"/>
        <v/>
      </c>
      <c r="P101" s="56" t="str">
        <f t="shared" si="49"/>
        <v/>
      </c>
      <c r="Q101" s="56" t="str">
        <f t="shared" si="50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229</v>
      </c>
      <c r="C102" s="46" t="s">
        <v>230</v>
      </c>
      <c r="D102" s="47"/>
      <c r="E102" s="47"/>
      <c r="F102" s="57"/>
      <c r="G102" s="7"/>
      <c r="H102" s="7"/>
      <c r="I102" s="54" t="str">
        <f t="shared" si="44"/>
        <v/>
      </c>
      <c r="J102" s="54" t="str">
        <f t="shared" si="45"/>
        <v/>
      </c>
      <c r="K102" s="55" t="str">
        <f t="shared" si="46"/>
        <v/>
      </c>
      <c r="L102" s="55" t="str">
        <f t="shared" si="47"/>
        <v/>
      </c>
      <c r="M102" s="55" t="str">
        <f t="shared" si="52"/>
        <v/>
      </c>
      <c r="N102" s="55" t="str">
        <f t="shared" si="48"/>
        <v/>
      </c>
      <c r="O102" s="56" t="str">
        <f t="shared" si="53"/>
        <v/>
      </c>
      <c r="P102" s="56" t="str">
        <f t="shared" si="49"/>
        <v/>
      </c>
      <c r="Q102" s="56" t="str">
        <f t="shared" si="50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231</v>
      </c>
      <c r="C103" s="46" t="s">
        <v>232</v>
      </c>
      <c r="D103" s="47"/>
      <c r="E103" s="47"/>
      <c r="F103" s="57"/>
      <c r="G103" s="7"/>
      <c r="H103" s="7"/>
      <c r="I103" s="54" t="str">
        <f t="shared" si="44"/>
        <v/>
      </c>
      <c r="J103" s="54" t="str">
        <f t="shared" si="45"/>
        <v/>
      </c>
      <c r="K103" s="55" t="str">
        <f t="shared" si="46"/>
        <v/>
      </c>
      <c r="L103" s="55" t="str">
        <f t="shared" si="47"/>
        <v/>
      </c>
      <c r="M103" s="55" t="str">
        <f t="shared" si="52"/>
        <v/>
      </c>
      <c r="N103" s="55" t="str">
        <f t="shared" si="48"/>
        <v/>
      </c>
      <c r="O103" s="56" t="str">
        <f t="shared" si="53"/>
        <v/>
      </c>
      <c r="P103" s="56" t="str">
        <f t="shared" si="49"/>
        <v/>
      </c>
      <c r="Q103" s="56" t="str">
        <f t="shared" si="50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233</v>
      </c>
      <c r="C104" s="46" t="s">
        <v>234</v>
      </c>
      <c r="D104" s="47"/>
      <c r="E104" s="47"/>
      <c r="F104" s="57"/>
      <c r="G104" s="7"/>
      <c r="H104" s="7"/>
      <c r="I104" s="54" t="str">
        <f t="shared" si="44"/>
        <v/>
      </c>
      <c r="J104" s="54" t="str">
        <f t="shared" si="45"/>
        <v/>
      </c>
      <c r="K104" s="55" t="str">
        <f t="shared" si="46"/>
        <v/>
      </c>
      <c r="L104" s="55" t="str">
        <f t="shared" si="47"/>
        <v/>
      </c>
      <c r="M104" s="55" t="str">
        <f t="shared" si="52"/>
        <v/>
      </c>
      <c r="N104" s="55" t="str">
        <f t="shared" si="48"/>
        <v/>
      </c>
      <c r="O104" s="56" t="str">
        <f t="shared" si="53"/>
        <v/>
      </c>
      <c r="P104" s="56" t="str">
        <f t="shared" si="49"/>
        <v/>
      </c>
      <c r="Q104" s="56" t="str">
        <f t="shared" si="50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235</v>
      </c>
      <c r="C105" s="46" t="s">
        <v>236</v>
      </c>
      <c r="D105" s="47"/>
      <c r="E105" s="47"/>
      <c r="F105" s="57"/>
      <c r="G105" s="7"/>
      <c r="H105" s="7"/>
      <c r="I105" s="54" t="str">
        <f t="shared" si="44"/>
        <v/>
      </c>
      <c r="J105" s="54" t="str">
        <f t="shared" si="45"/>
        <v/>
      </c>
      <c r="K105" s="55" t="str">
        <f t="shared" si="46"/>
        <v/>
      </c>
      <c r="L105" s="55" t="str">
        <f t="shared" si="47"/>
        <v/>
      </c>
      <c r="M105" s="55" t="str">
        <f t="shared" si="52"/>
        <v/>
      </c>
      <c r="N105" s="55" t="str">
        <f t="shared" si="48"/>
        <v/>
      </c>
      <c r="O105" s="56" t="str">
        <f t="shared" si="53"/>
        <v/>
      </c>
      <c r="P105" s="56" t="str">
        <f t="shared" si="49"/>
        <v/>
      </c>
      <c r="Q105" s="56" t="str">
        <f t="shared" si="50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237</v>
      </c>
      <c r="C106" s="46" t="s">
        <v>238</v>
      </c>
      <c r="D106" s="47"/>
      <c r="E106" s="47"/>
      <c r="F106" s="57"/>
      <c r="G106" s="7"/>
      <c r="H106" s="7"/>
      <c r="I106" s="54" t="str">
        <f t="shared" si="44"/>
        <v/>
      </c>
      <c r="J106" s="54" t="str">
        <f t="shared" si="45"/>
        <v/>
      </c>
      <c r="K106" s="55" t="str">
        <f t="shared" si="46"/>
        <v/>
      </c>
      <c r="L106" s="55" t="str">
        <f t="shared" si="47"/>
        <v/>
      </c>
      <c r="M106" s="55" t="str">
        <f t="shared" si="52"/>
        <v/>
      </c>
      <c r="N106" s="55" t="str">
        <f t="shared" si="48"/>
        <v/>
      </c>
      <c r="O106" s="56" t="str">
        <f t="shared" si="53"/>
        <v/>
      </c>
      <c r="P106" s="56" t="str">
        <f t="shared" si="49"/>
        <v/>
      </c>
      <c r="Q106" s="56" t="str">
        <f t="shared" si="50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239</v>
      </c>
      <c r="C107" s="46" t="s">
        <v>240</v>
      </c>
      <c r="D107" s="47">
        <v>0.97789599999999988</v>
      </c>
      <c r="E107" s="47">
        <v>1.067612</v>
      </c>
      <c r="F107" s="98">
        <v>9.9999999999999995E-7</v>
      </c>
      <c r="G107" s="7"/>
      <c r="H107" s="7"/>
      <c r="I107" s="54">
        <f t="shared" si="44"/>
        <v>1.9446765022663539E-3</v>
      </c>
      <c r="J107" s="54">
        <f t="shared" si="45"/>
        <v>0.3105773051978919</v>
      </c>
      <c r="K107" s="55">
        <f t="shared" si="46"/>
        <v>0.99473309752856487</v>
      </c>
      <c r="L107" s="55">
        <f t="shared" si="47"/>
        <v>2.848635827024592E-4</v>
      </c>
      <c r="M107" s="55">
        <f t="shared" si="52"/>
        <v>0.99971513641729759</v>
      </c>
      <c r="N107" s="55">
        <f t="shared" si="48"/>
        <v>8.1403228799880104E-5</v>
      </c>
      <c r="O107" s="56">
        <f t="shared" si="53"/>
        <v>9.9538797113126461E-7</v>
      </c>
      <c r="P107" s="56">
        <f t="shared" si="49"/>
        <v>2.0350247400288397E-6</v>
      </c>
      <c r="Q107" s="56">
        <f t="shared" si="50"/>
        <v>1.1630660750273154E-5</v>
      </c>
      <c r="R107" s="9">
        <f>F107*$C$14</f>
        <v>3.9999999999999996E-5</v>
      </c>
      <c r="S107" s="9">
        <f t="shared" ref="S107:S108" si="54">$R107*L107</f>
        <v>1.1394543308098367E-8</v>
      </c>
      <c r="T107" s="9">
        <f t="shared" ref="T107:T108" si="55">R107*K107</f>
        <v>3.9789323901142589E-5</v>
      </c>
      <c r="U107" s="9">
        <f t="shared" ref="U107:U108" si="56">$R107*M107</f>
        <v>3.99886054566919E-5</v>
      </c>
      <c r="V107" s="102">
        <f t="shared" ref="V107:V108" si="57">K107/M107</f>
        <v>0.99501654150542629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241</v>
      </c>
      <c r="C108" s="46" t="s">
        <v>242</v>
      </c>
      <c r="D108" s="47">
        <v>1.8253520000000001</v>
      </c>
      <c r="E108" s="47">
        <v>2.0793489999999997</v>
      </c>
      <c r="F108" s="98">
        <v>9.9999999999999995E-7</v>
      </c>
      <c r="G108" s="7"/>
      <c r="H108" s="7"/>
      <c r="I108" s="54">
        <f t="shared" si="44"/>
        <v>1.5422749478710035E-2</v>
      </c>
      <c r="J108" s="54">
        <f t="shared" si="45"/>
        <v>1.0376508814998808</v>
      </c>
      <c r="K108" s="55">
        <f t="shared" si="46"/>
        <v>0.96319175628763243</v>
      </c>
      <c r="L108" s="55">
        <f t="shared" si="47"/>
        <v>1.471352382819842E-3</v>
      </c>
      <c r="M108" s="55">
        <f t="shared" si="52"/>
        <v>0.99852864761718019</v>
      </c>
      <c r="N108" s="55">
        <f t="shared" si="48"/>
        <v>8.0981314078141945E-4</v>
      </c>
      <c r="O108" s="56">
        <f t="shared" si="53"/>
        <v>9.6382586493154714E-7</v>
      </c>
      <c r="P108" s="56">
        <f t="shared" si="49"/>
        <v>1.0511131229667405E-5</v>
      </c>
      <c r="Q108" s="56">
        <f t="shared" si="50"/>
        <v>1.1570378780301838E-4</v>
      </c>
      <c r="R108" s="9">
        <f>F108*$C$14</f>
        <v>3.9999999999999996E-5</v>
      </c>
      <c r="S108" s="9">
        <f t="shared" si="54"/>
        <v>5.8854095312793676E-8</v>
      </c>
      <c r="T108" s="9">
        <f t="shared" si="55"/>
        <v>3.8527670251505297E-5</v>
      </c>
      <c r="U108" s="9">
        <f t="shared" si="56"/>
        <v>3.9941145904687206E-5</v>
      </c>
      <c r="V108" s="102">
        <f t="shared" si="57"/>
        <v>0.96461103903841594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243</v>
      </c>
      <c r="C109" s="46" t="s">
        <v>244</v>
      </c>
      <c r="D109" s="47"/>
      <c r="E109" s="47"/>
      <c r="F109" s="98"/>
      <c r="G109" s="7"/>
      <c r="H109" s="7"/>
      <c r="I109" s="54" t="str">
        <f t="shared" si="44"/>
        <v/>
      </c>
      <c r="J109" s="54" t="str">
        <f t="shared" si="45"/>
        <v/>
      </c>
      <c r="K109" s="55" t="str">
        <f t="shared" si="46"/>
        <v/>
      </c>
      <c r="L109" s="55" t="str">
        <f t="shared" si="47"/>
        <v/>
      </c>
      <c r="M109" s="55" t="str">
        <f t="shared" si="52"/>
        <v/>
      </c>
      <c r="N109" s="55" t="str">
        <f t="shared" si="48"/>
        <v/>
      </c>
      <c r="O109" s="56" t="str">
        <f t="shared" si="53"/>
        <v/>
      </c>
      <c r="P109" s="56" t="str">
        <f t="shared" si="49"/>
        <v/>
      </c>
      <c r="Q109" s="56" t="str">
        <f t="shared" si="50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245</v>
      </c>
      <c r="C110" s="46" t="s">
        <v>246</v>
      </c>
      <c r="D110" s="47"/>
      <c r="E110" s="47"/>
      <c r="F110" s="98"/>
      <c r="G110" s="7"/>
      <c r="H110" s="7"/>
      <c r="I110" s="54" t="str">
        <f t="shared" si="44"/>
        <v/>
      </c>
      <c r="J110" s="54" t="str">
        <f t="shared" si="45"/>
        <v/>
      </c>
      <c r="K110" s="55" t="str">
        <f t="shared" si="46"/>
        <v/>
      </c>
      <c r="L110" s="55" t="str">
        <f t="shared" si="47"/>
        <v/>
      </c>
      <c r="M110" s="55" t="str">
        <f t="shared" si="52"/>
        <v/>
      </c>
      <c r="N110" s="55" t="str">
        <f t="shared" si="48"/>
        <v/>
      </c>
      <c r="O110" s="56" t="str">
        <f t="shared" si="53"/>
        <v/>
      </c>
      <c r="P110" s="56" t="str">
        <f t="shared" si="49"/>
        <v/>
      </c>
      <c r="Q110" s="56" t="str">
        <f t="shared" si="50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247</v>
      </c>
      <c r="C111" s="46" t="s">
        <v>248</v>
      </c>
      <c r="D111" s="47"/>
      <c r="E111" s="47"/>
      <c r="F111" s="98"/>
      <c r="G111" s="7"/>
      <c r="H111" s="7"/>
      <c r="I111" s="54" t="str">
        <f t="shared" si="44"/>
        <v/>
      </c>
      <c r="J111" s="54" t="str">
        <f t="shared" si="45"/>
        <v/>
      </c>
      <c r="K111" s="55" t="str">
        <f t="shared" si="46"/>
        <v/>
      </c>
      <c r="L111" s="55" t="str">
        <f t="shared" si="47"/>
        <v/>
      </c>
      <c r="M111" s="55" t="str">
        <f t="shared" si="52"/>
        <v/>
      </c>
      <c r="N111" s="55" t="str">
        <f t="shared" si="48"/>
        <v/>
      </c>
      <c r="O111" s="56" t="str">
        <f t="shared" si="53"/>
        <v/>
      </c>
      <c r="P111" s="56" t="str">
        <f t="shared" si="49"/>
        <v/>
      </c>
      <c r="Q111" s="56" t="str">
        <f t="shared" si="50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249</v>
      </c>
      <c r="C112" s="46" t="s">
        <v>250</v>
      </c>
      <c r="D112" s="47"/>
      <c r="E112" s="47"/>
      <c r="F112" s="98"/>
      <c r="G112" s="7"/>
      <c r="H112" s="7"/>
      <c r="I112" s="54" t="str">
        <f t="shared" si="44"/>
        <v/>
      </c>
      <c r="J112" s="54" t="str">
        <f t="shared" si="45"/>
        <v/>
      </c>
      <c r="K112" s="55" t="str">
        <f t="shared" si="46"/>
        <v/>
      </c>
      <c r="L112" s="55" t="str">
        <f t="shared" si="47"/>
        <v/>
      </c>
      <c r="M112" s="55" t="str">
        <f t="shared" si="52"/>
        <v/>
      </c>
      <c r="N112" s="55" t="str">
        <f t="shared" si="48"/>
        <v/>
      </c>
      <c r="O112" s="56" t="str">
        <f t="shared" si="53"/>
        <v/>
      </c>
      <c r="P112" s="56" t="str">
        <f t="shared" si="49"/>
        <v/>
      </c>
      <c r="Q112" s="56" t="str">
        <f t="shared" si="50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251</v>
      </c>
      <c r="C113" s="46" t="s">
        <v>252</v>
      </c>
      <c r="D113" s="47"/>
      <c r="E113" s="47"/>
      <c r="F113" s="57"/>
      <c r="G113" s="7"/>
      <c r="H113" s="7"/>
      <c r="I113" s="54" t="str">
        <f t="shared" si="44"/>
        <v/>
      </c>
      <c r="J113" s="54" t="str">
        <f t="shared" si="45"/>
        <v/>
      </c>
      <c r="K113" s="55" t="str">
        <f t="shared" si="46"/>
        <v/>
      </c>
      <c r="L113" s="55" t="str">
        <f t="shared" si="47"/>
        <v/>
      </c>
      <c r="M113" s="55" t="str">
        <f t="shared" si="52"/>
        <v/>
      </c>
      <c r="N113" s="55" t="str">
        <f t="shared" si="48"/>
        <v/>
      </c>
      <c r="O113" s="56" t="str">
        <f t="shared" si="53"/>
        <v/>
      </c>
      <c r="P113" s="56" t="str">
        <f t="shared" si="49"/>
        <v/>
      </c>
      <c r="Q113" s="56" t="str">
        <f t="shared" si="50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253</v>
      </c>
      <c r="C114" s="46" t="s">
        <v>254</v>
      </c>
      <c r="D114" s="47">
        <v>1.6430320000000003</v>
      </c>
      <c r="E114" s="47">
        <v>1.9699289999999996</v>
      </c>
      <c r="F114" s="98">
        <v>9.9999999999999995E-7</v>
      </c>
      <c r="G114" s="7"/>
      <c r="H114" s="7"/>
      <c r="I114" s="54">
        <f t="shared" si="44"/>
        <v>1.0353959656071578E-2</v>
      </c>
      <c r="J114" s="54">
        <f t="shared" si="45"/>
        <v>0.9134404490197624</v>
      </c>
      <c r="K114" s="55">
        <f t="shared" si="46"/>
        <v>0.974843463018783</v>
      </c>
      <c r="L114" s="55">
        <f t="shared" si="47"/>
        <v>1.1187380035462687E-3</v>
      </c>
      <c r="M114" s="55">
        <f t="shared" si="52"/>
        <v>0.99888126199645377</v>
      </c>
      <c r="N114" s="55">
        <f t="shared" si="48"/>
        <v>6.3706969525881318E-4</v>
      </c>
      <c r="O114" s="56">
        <f t="shared" si="53"/>
        <v>9.7548524245919949E-7</v>
      </c>
      <c r="P114" s="56">
        <f t="shared" si="49"/>
        <v>7.9921044776197513E-6</v>
      </c>
      <c r="Q114" s="56">
        <f t="shared" si="50"/>
        <v>9.1022697859449912E-5</v>
      </c>
      <c r="R114" s="9">
        <f>F114*$C$14</f>
        <v>3.9999999999999996E-5</v>
      </c>
      <c r="S114" s="9">
        <f t="shared" ref="S114:S116" si="58">$R114*L114</f>
        <v>4.4749520141850748E-8</v>
      </c>
      <c r="T114" s="9">
        <f t="shared" ref="T114:T116" si="59">R114*K114</f>
        <v>3.8993738520751319E-5</v>
      </c>
      <c r="U114" s="9">
        <f t="shared" ref="U114:U116" si="60">$R114*M114</f>
        <v>3.9955250479858147E-5</v>
      </c>
      <c r="V114" s="102">
        <f t="shared" ref="V114:V116" si="61">K114/M114</f>
        <v>0.97593527890429477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255</v>
      </c>
      <c r="C115" s="46" t="s">
        <v>256</v>
      </c>
      <c r="D115" s="47">
        <v>1.9888079999999992</v>
      </c>
      <c r="E115" s="47">
        <v>1.7269960000000002</v>
      </c>
      <c r="F115" s="98">
        <v>9.9999999999999995E-7</v>
      </c>
      <c r="G115" s="7"/>
      <c r="H115" s="7"/>
      <c r="I115" s="54">
        <f t="shared" si="44"/>
        <v>2.0480395290290027E-2</v>
      </c>
      <c r="J115" s="54">
        <f t="shared" si="45"/>
        <v>0.97331271643662465</v>
      </c>
      <c r="K115" s="55">
        <f t="shared" si="46"/>
        <v>0.95224672351020845</v>
      </c>
      <c r="L115" s="55">
        <f t="shared" si="47"/>
        <v>1.2543399714887414E-3</v>
      </c>
      <c r="M115" s="55">
        <f t="shared" si="52"/>
        <v>0.99874566002851128</v>
      </c>
      <c r="N115" s="55">
        <f t="shared" si="48"/>
        <v>3.5568745651504765E-4</v>
      </c>
      <c r="O115" s="56">
        <f t="shared" si="53"/>
        <v>9.528736265900736E-7</v>
      </c>
      <c r="P115" s="56">
        <f t="shared" si="49"/>
        <v>8.9608255648910725E-6</v>
      </c>
      <c r="Q115" s="56">
        <f t="shared" si="50"/>
        <v>5.0819607536994246E-5</v>
      </c>
      <c r="R115" s="9">
        <f>F115*$C$14</f>
        <v>3.9999999999999996E-5</v>
      </c>
      <c r="S115" s="9">
        <f t="shared" si="58"/>
        <v>5.0173598859549653E-8</v>
      </c>
      <c r="T115" s="9">
        <f t="shared" si="59"/>
        <v>3.8089868940408337E-5</v>
      </c>
      <c r="U115" s="9">
        <f t="shared" si="60"/>
        <v>3.9949826401140451E-5</v>
      </c>
      <c r="V115" s="102">
        <f t="shared" si="61"/>
        <v>0.95344266475513351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257</v>
      </c>
      <c r="C116" s="46" t="s">
        <v>258</v>
      </c>
      <c r="D116" s="47">
        <v>0.57692000000000121</v>
      </c>
      <c r="E116" s="47">
        <v>0.1355349999999973</v>
      </c>
      <c r="F116" s="98">
        <v>9.9999999999999995E-7</v>
      </c>
      <c r="G116" s="7"/>
      <c r="H116" s="7"/>
      <c r="I116" s="54">
        <f t="shared" si="44"/>
        <v>5.8413729360461944E-4</v>
      </c>
      <c r="J116" s="54">
        <f t="shared" si="45"/>
        <v>7.3650487553540506E-2</v>
      </c>
      <c r="K116" s="55">
        <f t="shared" si="46"/>
        <v>0.99797325918066393</v>
      </c>
      <c r="L116" s="55">
        <f t="shared" si="47"/>
        <v>1.6562368781991726E-4</v>
      </c>
      <c r="M116" s="55">
        <f t="shared" si="52"/>
        <v>0.99983437631218008</v>
      </c>
      <c r="N116" s="55">
        <f t="shared" si="48"/>
        <v>9.5494193959111438E-6</v>
      </c>
      <c r="O116" s="56">
        <f t="shared" si="53"/>
        <v>9.9863026591469314E-7</v>
      </c>
      <c r="P116" s="56">
        <f t="shared" si="49"/>
        <v>1.1831919652586577E-6</v>
      </c>
      <c r="Q116" s="56">
        <f t="shared" si="50"/>
        <v>1.3643937592323673E-6</v>
      </c>
      <c r="R116" s="9">
        <f>F116*$C$14</f>
        <v>3.9999999999999996E-5</v>
      </c>
      <c r="S116" s="9">
        <f t="shared" si="58"/>
        <v>6.6249475127966896E-9</v>
      </c>
      <c r="T116" s="9">
        <f t="shared" si="59"/>
        <v>3.991893036722655E-5</v>
      </c>
      <c r="U116" s="9">
        <f t="shared" si="60"/>
        <v>3.9993375052487197E-5</v>
      </c>
      <c r="V116" s="102">
        <f t="shared" si="61"/>
        <v>0.9981385745723399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259</v>
      </c>
      <c r="C117" s="46" t="s">
        <v>260</v>
      </c>
      <c r="D117" s="47"/>
      <c r="E117" s="47"/>
      <c r="F117" s="98"/>
      <c r="G117" s="7"/>
      <c r="H117" s="7"/>
      <c r="I117" s="54" t="str">
        <f t="shared" si="44"/>
        <v/>
      </c>
      <c r="J117" s="54" t="str">
        <f t="shared" si="45"/>
        <v/>
      </c>
      <c r="K117" s="55" t="str">
        <f t="shared" si="46"/>
        <v/>
      </c>
      <c r="L117" s="55" t="str">
        <f t="shared" si="47"/>
        <v/>
      </c>
      <c r="M117" s="55" t="str">
        <f t="shared" si="52"/>
        <v/>
      </c>
      <c r="N117" s="55" t="str">
        <f t="shared" si="48"/>
        <v/>
      </c>
      <c r="O117" s="56" t="str">
        <f t="shared" si="53"/>
        <v/>
      </c>
      <c r="P117" s="56" t="str">
        <f t="shared" si="49"/>
        <v/>
      </c>
      <c r="Q117" s="56" t="str">
        <f t="shared" si="50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261</v>
      </c>
      <c r="C118" s="46" t="s">
        <v>262</v>
      </c>
      <c r="D118" s="47"/>
      <c r="E118" s="47"/>
      <c r="F118" s="57"/>
      <c r="G118" s="7"/>
      <c r="H118" s="7"/>
      <c r="I118" s="54" t="str">
        <f t="shared" si="44"/>
        <v/>
      </c>
      <c r="J118" s="54" t="str">
        <f t="shared" si="45"/>
        <v/>
      </c>
      <c r="K118" s="55" t="str">
        <f t="shared" si="46"/>
        <v/>
      </c>
      <c r="L118" s="55" t="str">
        <f t="shared" si="47"/>
        <v/>
      </c>
      <c r="M118" s="55" t="str">
        <f t="shared" si="52"/>
        <v/>
      </c>
      <c r="N118" s="55" t="str">
        <f t="shared" si="48"/>
        <v/>
      </c>
      <c r="O118" s="56" t="str">
        <f t="shared" si="53"/>
        <v/>
      </c>
      <c r="P118" s="56" t="str">
        <f t="shared" si="49"/>
        <v/>
      </c>
      <c r="Q118" s="56" t="str">
        <f t="shared" si="50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263</v>
      </c>
      <c r="C119" s="46" t="s">
        <v>264</v>
      </c>
      <c r="D119" s="47">
        <v>3.598704000000001</v>
      </c>
      <c r="E119" s="47">
        <v>4.3131730000000008</v>
      </c>
      <c r="F119" s="98">
        <v>9.9999999999999995E-7</v>
      </c>
      <c r="G119" s="7"/>
      <c r="H119" s="7"/>
      <c r="I119" s="54">
        <f t="shared" si="44"/>
        <v>0.56658503951123784</v>
      </c>
      <c r="J119" s="54">
        <f t="shared" si="45"/>
        <v>3.1029128175372134</v>
      </c>
      <c r="K119" s="55">
        <f t="shared" si="46"/>
        <v>0.25868601536451763</v>
      </c>
      <c r="L119" s="55">
        <f t="shared" si="47"/>
        <v>4.5923906844532937E-2</v>
      </c>
      <c r="M119" s="55">
        <f t="shared" si="52"/>
        <v>0.95407609315546704</v>
      </c>
      <c r="N119" s="55">
        <f t="shared" si="48"/>
        <v>3.7262244752159064E-2</v>
      </c>
      <c r="O119" s="56">
        <f t="shared" si="53"/>
        <v>2.5885631897990019E-7</v>
      </c>
      <c r="P119" s="56">
        <f t="shared" si="49"/>
        <v>3.2807382993922256E-4</v>
      </c>
      <c r="Q119" s="56">
        <f t="shared" si="50"/>
        <v>5.3239230666320509E-3</v>
      </c>
      <c r="R119" s="9">
        <f>F119*$C$14</f>
        <v>3.9999999999999996E-5</v>
      </c>
      <c r="S119" s="9">
        <f t="shared" ref="S119:S121" si="62">$R119*L119</f>
        <v>1.8369562737813174E-6</v>
      </c>
      <c r="T119" s="9">
        <f t="shared" ref="T119:T121" si="63">R119*K119</f>
        <v>1.0347440614580704E-5</v>
      </c>
      <c r="U119" s="9">
        <f t="shared" ref="U119:U121" si="64">$R119*M119</f>
        <v>3.8163043726218678E-5</v>
      </c>
      <c r="V119" s="102">
        <f t="shared" ref="V119:V121" si="65">K119/M119</f>
        <v>0.27113771870014214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265</v>
      </c>
      <c r="C120" s="46" t="s">
        <v>266</v>
      </c>
      <c r="D120" s="47">
        <v>2.0168880000000002</v>
      </c>
      <c r="E120" s="47">
        <v>2.2161360000000005</v>
      </c>
      <c r="F120" s="98">
        <v>9.9999999999999995E-7</v>
      </c>
      <c r="G120" s="7"/>
      <c r="H120" s="7"/>
      <c r="I120" s="54">
        <f t="shared" si="44"/>
        <v>2.3514137427377815E-2</v>
      </c>
      <c r="J120" s="54">
        <f t="shared" si="45"/>
        <v>1.1861747440639347</v>
      </c>
      <c r="K120" s="55">
        <f t="shared" si="46"/>
        <v>0.94488181997697263</v>
      </c>
      <c r="L120" s="55">
        <f t="shared" si="47"/>
        <v>2.031913873377126E-3</v>
      </c>
      <c r="M120" s="55">
        <f t="shared" si="52"/>
        <v>0.99796808612662291</v>
      </c>
      <c r="N120" s="55">
        <f t="shared" si="48"/>
        <v>1.088520358081787E-3</v>
      </c>
      <c r="O120" s="56">
        <f t="shared" si="53"/>
        <v>9.4550387443872862E-7</v>
      </c>
      <c r="P120" s="56">
        <f t="shared" si="49"/>
        <v>1.4515702437995705E-5</v>
      </c>
      <c r="Q120" s="56">
        <f t="shared" si="50"/>
        <v>1.5552467870455977E-4</v>
      </c>
      <c r="R120" s="9">
        <f>F120*$C$14</f>
        <v>3.9999999999999996E-5</v>
      </c>
      <c r="S120" s="9">
        <f t="shared" si="62"/>
        <v>8.127655493508503E-8</v>
      </c>
      <c r="T120" s="9">
        <f t="shared" si="63"/>
        <v>3.7795272799078899E-5</v>
      </c>
      <c r="U120" s="9">
        <f t="shared" si="64"/>
        <v>3.9918723445064915E-5</v>
      </c>
      <c r="V120" s="102">
        <f t="shared" si="65"/>
        <v>0.94680564750753493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267</v>
      </c>
      <c r="C121" s="46" t="s">
        <v>268</v>
      </c>
      <c r="D121" s="47">
        <v>4.2132720000000008</v>
      </c>
      <c r="E121" s="47">
        <v>4.705258999999999</v>
      </c>
      <c r="F121" s="98">
        <v>9.9999999999999995E-7</v>
      </c>
      <c r="G121" s="7"/>
      <c r="H121" s="7"/>
      <c r="I121" s="54">
        <f t="shared" si="44"/>
        <v>1.0322461970770105</v>
      </c>
      <c r="J121" s="54">
        <f t="shared" si="45"/>
        <v>3.5462712425453593</v>
      </c>
      <c r="K121" s="55">
        <f t="shared" si="46"/>
        <v>8.8738343425884283E-2</v>
      </c>
      <c r="L121" s="55">
        <f t="shared" si="47"/>
        <v>4.3725583942371936E-2</v>
      </c>
      <c r="M121" s="55">
        <f t="shared" si="52"/>
        <v>0.95627441605762808</v>
      </c>
      <c r="N121" s="55">
        <f t="shared" si="48"/>
        <v>3.1527779163907241E-2</v>
      </c>
      <c r="O121" s="56">
        <f t="shared" si="53"/>
        <v>8.8796763517465952E-8</v>
      </c>
      <c r="P121" s="56">
        <f t="shared" si="49"/>
        <v>3.1236932517231345E-4</v>
      </c>
      <c r="Q121" s="56">
        <f t="shared" si="50"/>
        <v>4.504599007570026E-3</v>
      </c>
      <c r="R121" s="9">
        <f>F121*$C$14</f>
        <v>3.9999999999999996E-5</v>
      </c>
      <c r="S121" s="9">
        <f t="shared" si="62"/>
        <v>1.7490233576948773E-6</v>
      </c>
      <c r="T121" s="9">
        <f t="shared" si="63"/>
        <v>3.5495337370353712E-6</v>
      </c>
      <c r="U121" s="9">
        <f t="shared" si="64"/>
        <v>3.8250976642305122E-5</v>
      </c>
      <c r="V121" s="102">
        <f t="shared" si="65"/>
        <v>9.2795898264977361E-2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269</v>
      </c>
      <c r="C122" s="46" t="s">
        <v>270</v>
      </c>
      <c r="D122" s="47"/>
      <c r="E122" s="47"/>
      <c r="F122" s="57"/>
      <c r="G122" s="7"/>
      <c r="H122" s="7"/>
      <c r="I122" s="54" t="str">
        <f t="shared" si="44"/>
        <v/>
      </c>
      <c r="J122" s="54" t="str">
        <f t="shared" si="45"/>
        <v/>
      </c>
      <c r="K122" s="55" t="str">
        <f t="shared" si="46"/>
        <v/>
      </c>
      <c r="L122" s="55" t="str">
        <f t="shared" si="47"/>
        <v/>
      </c>
      <c r="M122" s="55" t="str">
        <f t="shared" si="52"/>
        <v/>
      </c>
      <c r="N122" s="55" t="str">
        <f t="shared" si="48"/>
        <v/>
      </c>
      <c r="O122" s="56" t="str">
        <f t="shared" si="53"/>
        <v/>
      </c>
      <c r="P122" s="56" t="str">
        <f t="shared" si="49"/>
        <v/>
      </c>
      <c r="Q122" s="56" t="str">
        <f t="shared" si="50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271</v>
      </c>
      <c r="C123" s="46" t="s">
        <v>272</v>
      </c>
      <c r="D123" s="46"/>
      <c r="E123" s="46"/>
      <c r="F123" s="46"/>
      <c r="G123" s="7"/>
      <c r="H123" s="7"/>
      <c r="I123" s="54" t="str">
        <f t="shared" ref="I123:I127" si="66">IF(D123=0,"",LOG($K$15*10^D123+$K$16*10^E123+$K$14))</f>
        <v/>
      </c>
      <c r="J123" s="54" t="str">
        <f t="shared" ref="J123:J127" si="67">IF(D123=0,"",LOG($K$21*10^D123+$K$22*10^E123+$K$20))</f>
        <v/>
      </c>
      <c r="K123" s="55" t="str">
        <f t="shared" ref="K123:K127" si="68">IF(D123=0,"",1/(1+10^D123*$J$15/$J$14+10^E123*$J$16/$J$14+10^J123*$J$19/$J$14))</f>
        <v/>
      </c>
      <c r="L123" s="55" t="str">
        <f t="shared" ref="L123:L127" si="69">IF(D123=0,"",1/(1+10^I123/10^J123*$J$13/$J$19))</f>
        <v/>
      </c>
      <c r="M123" s="55" t="str">
        <f t="shared" si="52"/>
        <v/>
      </c>
      <c r="N123" s="55" t="str">
        <f t="shared" ref="N123:N127" si="70">IF(D123=0,"",1/(1/10^E123*$J$20/$J$22+10^D123/10^E123*$J$21/$J$22+10^I123/10^E123*$J$13/$J$22+1))</f>
        <v/>
      </c>
      <c r="O123" s="56" t="str">
        <f t="shared" si="53"/>
        <v/>
      </c>
      <c r="P123" s="56" t="str">
        <f t="shared" ref="P123:P127" si="71">IF(D123=0,"",O123*10^J123)</f>
        <v/>
      </c>
      <c r="Q123" s="56" t="str">
        <f t="shared" ref="Q123:Q127" si="72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273</v>
      </c>
      <c r="C124" s="46" t="s">
        <v>274</v>
      </c>
      <c r="D124" s="46">
        <v>2.7542720000000003</v>
      </c>
      <c r="E124" s="46">
        <v>3.4524839999999992</v>
      </c>
      <c r="F124" s="98">
        <v>9.9999999999999995E-7</v>
      </c>
      <c r="G124" s="7"/>
      <c r="H124" s="7"/>
      <c r="I124" s="54">
        <f t="shared" si="66"/>
        <v>0.13981203375224771</v>
      </c>
      <c r="J124" s="54">
        <f t="shared" si="67"/>
        <v>2.2472155850103039</v>
      </c>
      <c r="K124" s="55">
        <f t="shared" si="68"/>
        <v>0.71161630005156473</v>
      </c>
      <c r="L124" s="55">
        <f t="shared" si="69"/>
        <v>1.7612237402154743E-2</v>
      </c>
      <c r="M124" s="55">
        <f t="shared" si="52"/>
        <v>0.98238776259784522</v>
      </c>
      <c r="N124" s="55">
        <f t="shared" si="70"/>
        <v>1.4127097749277305E-2</v>
      </c>
      <c r="O124" s="56">
        <f t="shared" si="53"/>
        <v>7.1208478625285088E-7</v>
      </c>
      <c r="P124" s="56">
        <f t="shared" si="71"/>
        <v>1.2581930796707889E-4</v>
      </c>
      <c r="Q124" s="56">
        <f t="shared" si="72"/>
        <v>2.0184393632803146E-3</v>
      </c>
      <c r="R124" s="9">
        <f>F124*$C$14</f>
        <v>3.9999999999999996E-5</v>
      </c>
      <c r="S124" s="9">
        <f t="shared" ref="S124:S127" si="73">$R124*L124</f>
        <v>7.0448949608618963E-7</v>
      </c>
      <c r="T124" s="9">
        <f t="shared" ref="T124:T127" si="74">R124*K124</f>
        <v>2.8464652002062587E-5</v>
      </c>
      <c r="U124" s="9">
        <f t="shared" ref="U124:U127" si="75">$R124*M124</f>
        <v>3.9295510503913803E-5</v>
      </c>
      <c r="V124" s="102">
        <f t="shared" ref="V124:V127" si="76">K124/M124</f>
        <v>0.72437414954126955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275</v>
      </c>
      <c r="C125" s="46" t="s">
        <v>276</v>
      </c>
      <c r="D125" s="46"/>
      <c r="E125" s="46"/>
      <c r="F125" s="46"/>
      <c r="G125" s="7"/>
      <c r="H125" s="7"/>
      <c r="I125" s="54" t="str">
        <f t="shared" si="66"/>
        <v/>
      </c>
      <c r="J125" s="54" t="str">
        <f t="shared" si="67"/>
        <v/>
      </c>
      <c r="K125" s="55" t="str">
        <f t="shared" si="68"/>
        <v/>
      </c>
      <c r="L125" s="55" t="str">
        <f t="shared" si="69"/>
        <v/>
      </c>
      <c r="M125" s="55" t="str">
        <f t="shared" si="52"/>
        <v/>
      </c>
      <c r="N125" s="55" t="str">
        <f t="shared" si="70"/>
        <v/>
      </c>
      <c r="O125" s="56" t="str">
        <f t="shared" si="53"/>
        <v/>
      </c>
      <c r="P125" s="56" t="str">
        <f t="shared" si="71"/>
        <v/>
      </c>
      <c r="Q125" s="56" t="str">
        <f t="shared" si="72"/>
        <v/>
      </c>
      <c r="R125" s="9"/>
      <c r="S125" s="9"/>
      <c r="T125" s="9"/>
      <c r="U125" s="9"/>
      <c r="V125" s="102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277</v>
      </c>
      <c r="C126" s="46" t="s">
        <v>278</v>
      </c>
      <c r="D126" s="46">
        <v>2.3368320000000007</v>
      </c>
      <c r="E126" s="46">
        <v>2.6380540000000012</v>
      </c>
      <c r="F126" s="98">
        <v>9.9999999999999995E-7</v>
      </c>
      <c r="G126" s="7"/>
      <c r="H126" s="7"/>
      <c r="I126" s="54">
        <f t="shared" si="66"/>
        <v>4.9312922410980113E-2</v>
      </c>
      <c r="J126" s="54">
        <f t="shared" si="67"/>
        <v>1.5520519557651959</v>
      </c>
      <c r="K126" s="55">
        <f t="shared" si="68"/>
        <v>0.88824236663386869</v>
      </c>
      <c r="L126" s="55">
        <f t="shared" si="69"/>
        <v>4.4354378498663409E-3</v>
      </c>
      <c r="M126" s="55">
        <f t="shared" si="52"/>
        <v>0.99556456215013367</v>
      </c>
      <c r="N126" s="55">
        <f t="shared" si="70"/>
        <v>2.7033890277210521E-3</v>
      </c>
      <c r="O126" s="56">
        <f t="shared" si="53"/>
        <v>8.8882713302010171E-7</v>
      </c>
      <c r="P126" s="56">
        <f t="shared" si="71"/>
        <v>3.1686134365466576E-5</v>
      </c>
      <c r="Q126" s="56">
        <f t="shared" si="72"/>
        <v>3.8625250031213321E-4</v>
      </c>
      <c r="R126" s="9">
        <f>F126*$C$14</f>
        <v>3.9999999999999996E-5</v>
      </c>
      <c r="S126" s="9">
        <f t="shared" si="73"/>
        <v>1.7741751399465363E-7</v>
      </c>
      <c r="T126" s="9">
        <f t="shared" si="74"/>
        <v>3.5529694665354744E-5</v>
      </c>
      <c r="U126" s="9">
        <f t="shared" si="75"/>
        <v>3.9822582486005345E-5</v>
      </c>
      <c r="V126" s="102">
        <f t="shared" si="76"/>
        <v>0.8921996627878358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279</v>
      </c>
      <c r="C127" s="46" t="s">
        <v>280</v>
      </c>
      <c r="D127" s="46">
        <v>9.5872000000000845E-2</v>
      </c>
      <c r="E127" s="46">
        <v>7.4959000000001108E-2</v>
      </c>
      <c r="F127" s="98">
        <v>9.9999999999999995E-7</v>
      </c>
      <c r="G127" s="7"/>
      <c r="H127" s="7"/>
      <c r="I127" s="54">
        <f t="shared" si="66"/>
        <v>5.4598878066109929E-5</v>
      </c>
      <c r="J127" s="54">
        <f t="shared" si="67"/>
        <v>1.0401926303760755E-2</v>
      </c>
      <c r="K127" s="55">
        <f t="shared" si="68"/>
        <v>0.99921309164324501</v>
      </c>
      <c r="L127" s="55">
        <f t="shared" si="69"/>
        <v>1.4335508425623877E-4</v>
      </c>
      <c r="M127" s="55">
        <f t="shared" si="52"/>
        <v>0.99985664491574378</v>
      </c>
      <c r="N127" s="55">
        <f t="shared" si="70"/>
        <v>8.3164920816087722E-6</v>
      </c>
      <c r="O127" s="56">
        <f t="shared" si="53"/>
        <v>9.9987091460984286E-7</v>
      </c>
      <c r="P127" s="56">
        <f t="shared" si="71"/>
        <v>1.0241082426288189E-6</v>
      </c>
      <c r="Q127" s="56">
        <f t="shared" si="72"/>
        <v>1.1882366272143136E-6</v>
      </c>
      <c r="R127" s="9">
        <f>F127*$C$14</f>
        <v>3.9999999999999996E-5</v>
      </c>
      <c r="S127" s="9">
        <f t="shared" si="73"/>
        <v>5.7342033702495507E-9</v>
      </c>
      <c r="T127" s="9">
        <f t="shared" si="74"/>
        <v>3.9968523665729799E-5</v>
      </c>
      <c r="U127" s="9">
        <f t="shared" si="75"/>
        <v>3.9994265796629745E-5</v>
      </c>
      <c r="V127" s="102">
        <f t="shared" si="76"/>
        <v>0.99935635445764026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281</v>
      </c>
      <c r="C128" s="46" t="s">
        <v>282</v>
      </c>
      <c r="D128" s="46"/>
      <c r="E128" s="46"/>
      <c r="F128" s="46"/>
      <c r="G128" s="7"/>
      <c r="H128" s="7"/>
      <c r="I128" s="54" t="str">
        <f t="shared" ref="I128:I134" si="77">IF(D128=0,"",LOG($K$15*10^D128+$K$16*10^E128+$K$14))</f>
        <v/>
      </c>
      <c r="J128" s="54" t="str">
        <f t="shared" ref="J128:J134" si="78">IF(D128=0,"",LOG($K$21*10^D128+$K$22*10^E128+$K$20))</f>
        <v/>
      </c>
      <c r="K128" s="55" t="str">
        <f t="shared" ref="K128:K134" si="79">IF(D128=0,"",1/(1+10^D128*$J$15/$J$14+10^E128*$J$16/$J$14+10^J128*$J$19/$J$14))</f>
        <v/>
      </c>
      <c r="L128" s="55" t="str">
        <f t="shared" ref="L128:L134" si="80">IF(D128=0,"",1/(1+10^I128/10^J128*$J$13/$J$19))</f>
        <v/>
      </c>
      <c r="M128" s="55" t="str">
        <f t="shared" ref="M128:M134" si="81">IF(D128=0,"",1-L128)</f>
        <v/>
      </c>
      <c r="N128" s="55" t="str">
        <f t="shared" ref="N128:N134" si="82">IF(D128=0,"",1/(1/10^E128*$J$20/$J$22+10^D128/10^E128*$J$21/$J$22+10^I128/10^E128*$J$13/$J$22+1))</f>
        <v/>
      </c>
      <c r="O128" s="56" t="str">
        <f t="shared" ref="O128:O134" si="83">IF(D128=0,"",F128*K128*$J$7/$J$14)</f>
        <v/>
      </c>
      <c r="P128" s="56" t="str">
        <f t="shared" ref="P128:P134" si="84">IF(D128=0,"",O128*10^J128)</f>
        <v/>
      </c>
      <c r="Q128" s="56" t="str">
        <f t="shared" ref="Q128:Q134" si="85">IF(D128=0,"",F128*N128*$J$7/$J$22)</f>
        <v/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283</v>
      </c>
      <c r="C129" s="46" t="s">
        <v>284</v>
      </c>
      <c r="D129" s="46"/>
      <c r="E129" s="46"/>
      <c r="F129" s="46"/>
      <c r="G129" s="7"/>
      <c r="H129" s="7"/>
      <c r="I129" s="54" t="str">
        <f t="shared" si="77"/>
        <v/>
      </c>
      <c r="J129" s="54" t="str">
        <f t="shared" si="78"/>
        <v/>
      </c>
      <c r="K129" s="55" t="str">
        <f t="shared" si="79"/>
        <v/>
      </c>
      <c r="L129" s="55" t="str">
        <f t="shared" si="80"/>
        <v/>
      </c>
      <c r="M129" s="55" t="str">
        <f t="shared" si="81"/>
        <v/>
      </c>
      <c r="N129" s="55" t="str">
        <f t="shared" si="82"/>
        <v/>
      </c>
      <c r="O129" s="56" t="str">
        <f t="shared" si="83"/>
        <v/>
      </c>
      <c r="P129" s="56" t="str">
        <f t="shared" si="84"/>
        <v/>
      </c>
      <c r="Q129" s="56" t="str">
        <f t="shared" si="85"/>
        <v/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285</v>
      </c>
      <c r="C130" s="46" t="s">
        <v>286</v>
      </c>
      <c r="D130" s="46">
        <v>1.0310160000000004</v>
      </c>
      <c r="E130" s="46">
        <v>0.78085199999999966</v>
      </c>
      <c r="F130" s="98">
        <v>9.9999999999999995E-7</v>
      </c>
      <c r="G130" s="7"/>
      <c r="H130" s="7"/>
      <c r="I130" s="54">
        <f t="shared" si="77"/>
        <v>2.1084810301724875E-3</v>
      </c>
      <c r="J130" s="54">
        <f t="shared" si="78"/>
        <v>0.263940988382738</v>
      </c>
      <c r="K130" s="55">
        <f t="shared" si="79"/>
        <v>0.99438691871865559</v>
      </c>
      <c r="L130" s="55">
        <f t="shared" si="80"/>
        <v>2.5576990923592541E-4</v>
      </c>
      <c r="M130" s="55">
        <f t="shared" si="81"/>
        <v>0.99974423009076407</v>
      </c>
      <c r="N130" s="55">
        <f t="shared" si="82"/>
        <v>4.2046559528096758E-5</v>
      </c>
      <c r="O130" s="56">
        <f t="shared" si="83"/>
        <v>9.9504156441764442E-7</v>
      </c>
      <c r="P130" s="56">
        <f t="shared" si="84"/>
        <v>1.8271836930229892E-6</v>
      </c>
      <c r="Q130" s="56">
        <f t="shared" si="85"/>
        <v>6.0074922923472404E-6</v>
      </c>
      <c r="R130" s="9">
        <f>F130*$C$14</f>
        <v>3.9999999999999996E-5</v>
      </c>
      <c r="S130" s="9">
        <f t="shared" ref="S130:S131" si="86">$R130*L130</f>
        <v>1.0230796369437015E-8</v>
      </c>
      <c r="T130" s="9">
        <f t="shared" ref="T130:T131" si="87">R130*K130</f>
        <v>3.9775476748746219E-5</v>
      </c>
      <c r="U130" s="9">
        <f t="shared" ref="U130:U131" si="88">$R130*M130</f>
        <v>3.9989769203630559E-5</v>
      </c>
      <c r="V130" s="102">
        <f t="shared" ref="V130:V131" si="89">K130/M130</f>
        <v>0.99464131803829259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287</v>
      </c>
      <c r="C131" s="46" t="s">
        <v>288</v>
      </c>
      <c r="D131" s="46">
        <v>-0.1224400000000001</v>
      </c>
      <c r="E131" s="46">
        <v>-0.24365499999999995</v>
      </c>
      <c r="F131" s="98">
        <v>9.9999999999999995E-7</v>
      </c>
      <c r="G131" s="7"/>
      <c r="H131" s="7"/>
      <c r="I131" s="54">
        <f t="shared" si="77"/>
        <v>-5.830329626681688E-5</v>
      </c>
      <c r="J131" s="54">
        <f t="shared" si="78"/>
        <v>-1.6017347337335754E-2</v>
      </c>
      <c r="K131" s="55">
        <f t="shared" si="79"/>
        <v>0.99948130897500442</v>
      </c>
      <c r="L131" s="55">
        <f t="shared" si="80"/>
        <v>1.3493058027782984E-4</v>
      </c>
      <c r="M131" s="55">
        <f t="shared" si="81"/>
        <v>0.9998650694197222</v>
      </c>
      <c r="N131" s="55">
        <f t="shared" si="82"/>
        <v>3.9943189410021938E-6</v>
      </c>
      <c r="O131" s="56">
        <f t="shared" si="83"/>
        <v>1.0001393085200742E-6</v>
      </c>
      <c r="P131" s="56">
        <f t="shared" si="84"/>
        <v>9.639247897076338E-7</v>
      </c>
      <c r="Q131" s="56">
        <f t="shared" si="85"/>
        <v>5.7069687795056197E-7</v>
      </c>
      <c r="R131" s="9">
        <f>F131*$C$14</f>
        <v>3.9999999999999996E-5</v>
      </c>
      <c r="S131" s="9">
        <f t="shared" si="86"/>
        <v>5.3972232111131933E-9</v>
      </c>
      <c r="T131" s="9">
        <f t="shared" si="87"/>
        <v>3.997925235900017E-5</v>
      </c>
      <c r="U131" s="9">
        <f t="shared" si="88"/>
        <v>3.9994602776788881E-5</v>
      </c>
      <c r="V131" s="102">
        <f t="shared" si="89"/>
        <v>0.9996161877672749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289</v>
      </c>
      <c r="C132" s="46" t="s">
        <v>290</v>
      </c>
      <c r="D132" s="46"/>
      <c r="E132" s="46"/>
      <c r="F132" s="46"/>
      <c r="G132" s="7"/>
      <c r="H132" s="7"/>
      <c r="I132" s="54" t="str">
        <f t="shared" si="77"/>
        <v/>
      </c>
      <c r="J132" s="54" t="str">
        <f t="shared" si="78"/>
        <v/>
      </c>
      <c r="K132" s="55" t="str">
        <f t="shared" si="79"/>
        <v/>
      </c>
      <c r="L132" s="55" t="str">
        <f t="shared" si="80"/>
        <v/>
      </c>
      <c r="M132" s="55" t="str">
        <f t="shared" si="81"/>
        <v/>
      </c>
      <c r="N132" s="55" t="str">
        <f t="shared" si="82"/>
        <v/>
      </c>
      <c r="O132" s="56" t="str">
        <f t="shared" si="83"/>
        <v/>
      </c>
      <c r="P132" s="56" t="str">
        <f t="shared" si="84"/>
        <v/>
      </c>
      <c r="Q132" s="56" t="str">
        <f t="shared" si="85"/>
        <v/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291</v>
      </c>
      <c r="C133" s="46" t="s">
        <v>292</v>
      </c>
      <c r="D133" s="46"/>
      <c r="E133" s="46"/>
      <c r="F133" s="46"/>
      <c r="G133" s="7"/>
      <c r="H133" s="7"/>
      <c r="I133" s="54" t="str">
        <f t="shared" si="77"/>
        <v/>
      </c>
      <c r="J133" s="54" t="str">
        <f t="shared" si="78"/>
        <v/>
      </c>
      <c r="K133" s="55" t="str">
        <f t="shared" si="79"/>
        <v/>
      </c>
      <c r="L133" s="55" t="str">
        <f t="shared" si="80"/>
        <v/>
      </c>
      <c r="M133" s="55" t="str">
        <f t="shared" si="81"/>
        <v/>
      </c>
      <c r="N133" s="55" t="str">
        <f t="shared" si="82"/>
        <v/>
      </c>
      <c r="O133" s="56" t="str">
        <f t="shared" si="83"/>
        <v/>
      </c>
      <c r="P133" s="56" t="str">
        <f t="shared" si="84"/>
        <v/>
      </c>
      <c r="Q133" s="56" t="str">
        <f t="shared" si="85"/>
        <v/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96</v>
      </c>
      <c r="C134" s="46" t="s">
        <v>293</v>
      </c>
      <c r="D134" s="46"/>
      <c r="E134" s="46"/>
      <c r="F134" s="46"/>
      <c r="G134" s="7"/>
      <c r="H134" s="7"/>
      <c r="I134" s="54" t="str">
        <f t="shared" si="77"/>
        <v/>
      </c>
      <c r="J134" s="54" t="str">
        <f t="shared" si="78"/>
        <v/>
      </c>
      <c r="K134" s="55" t="str">
        <f t="shared" si="79"/>
        <v/>
      </c>
      <c r="L134" s="55" t="str">
        <f t="shared" si="80"/>
        <v/>
      </c>
      <c r="M134" s="55" t="str">
        <f t="shared" si="81"/>
        <v/>
      </c>
      <c r="N134" s="55" t="str">
        <f t="shared" si="82"/>
        <v/>
      </c>
      <c r="O134" s="56" t="str">
        <f t="shared" si="83"/>
        <v/>
      </c>
      <c r="P134" s="56" t="str">
        <f t="shared" si="84"/>
        <v/>
      </c>
      <c r="Q134" s="56" t="str">
        <f t="shared" si="85"/>
        <v/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8"/>
      <c r="C135" s="48"/>
      <c r="D135" s="48"/>
      <c r="E135" s="48"/>
      <c r="F135" s="4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8"/>
      <c r="C136" s="48"/>
      <c r="D136" s="48"/>
      <c r="E136" s="48"/>
      <c r="F136" s="4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8"/>
      <c r="C137" s="48"/>
      <c r="D137" s="48"/>
      <c r="E137" s="48"/>
      <c r="F137" s="4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8"/>
      <c r="C138" s="48"/>
      <c r="D138" s="48"/>
      <c r="E138" s="48"/>
      <c r="F138" s="4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8"/>
      <c r="C139" s="48"/>
      <c r="D139" s="48"/>
      <c r="E139" s="48"/>
      <c r="F139" s="4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8"/>
      <c r="C140" s="48"/>
      <c r="D140" s="48"/>
      <c r="E140" s="48"/>
      <c r="F140" s="4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8"/>
      <c r="C141" s="48"/>
      <c r="D141" s="48"/>
      <c r="E141" s="48"/>
      <c r="F141" s="4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8"/>
      <c r="C142" s="48"/>
      <c r="D142" s="48"/>
      <c r="E142" s="48"/>
      <c r="F142" s="4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8"/>
      <c r="C143" s="48"/>
      <c r="D143" s="48"/>
      <c r="E143" s="48"/>
      <c r="F143" s="4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2024-10-28T22:49:50Z</dcterms:modified>
</cp:coreProperties>
</file>