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DB98217A-19D7-441B-8C25-6AC5B206501D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R143" i="4"/>
  <c r="U143" i="4" s="1"/>
  <c r="V142" i="4"/>
  <c r="R142" i="4"/>
  <c r="T142" i="4" s="1"/>
  <c r="V141" i="4"/>
  <c r="U141" i="4"/>
  <c r="T141" i="4"/>
  <c r="S141" i="4"/>
  <c r="R141" i="4"/>
  <c r="V140" i="4"/>
  <c r="T140" i="4"/>
  <c r="R140" i="4"/>
  <c r="U140" i="4" s="1"/>
  <c r="V139" i="4"/>
  <c r="U139" i="4"/>
  <c r="T139" i="4"/>
  <c r="S139" i="4"/>
  <c r="R139" i="4"/>
  <c r="V138" i="4"/>
  <c r="R138" i="4"/>
  <c r="V137" i="4"/>
  <c r="U137" i="4"/>
  <c r="T137" i="4"/>
  <c r="R137" i="4"/>
  <c r="S137" i="4" s="1"/>
  <c r="V136" i="4"/>
  <c r="U136" i="4"/>
  <c r="T136" i="4"/>
  <c r="R136" i="4"/>
  <c r="S136" i="4" s="1"/>
  <c r="V135" i="4"/>
  <c r="S135" i="4"/>
  <c r="R135" i="4"/>
  <c r="U135" i="4" s="1"/>
  <c r="V134" i="4"/>
  <c r="U134" i="4"/>
  <c r="T134" i="4"/>
  <c r="R134" i="4"/>
  <c r="S134" i="4" s="1"/>
  <c r="V133" i="4"/>
  <c r="R133" i="4"/>
  <c r="V132" i="4"/>
  <c r="S132" i="4"/>
  <c r="R132" i="4"/>
  <c r="U132" i="4" s="1"/>
  <c r="V131" i="4"/>
  <c r="R131" i="4"/>
  <c r="U131" i="4" s="1"/>
  <c r="V130" i="4"/>
  <c r="R130" i="4"/>
  <c r="U130" i="4" s="1"/>
  <c r="V129" i="4"/>
  <c r="U129" i="4"/>
  <c r="T129" i="4"/>
  <c r="S129" i="4"/>
  <c r="R129" i="4"/>
  <c r="V128" i="4"/>
  <c r="R128" i="4"/>
  <c r="U128" i="4" s="1"/>
  <c r="V127" i="4"/>
  <c r="U127" i="4"/>
  <c r="T127" i="4"/>
  <c r="S127" i="4"/>
  <c r="R127" i="4"/>
  <c r="V126" i="4"/>
  <c r="R126" i="4"/>
  <c r="V125" i="4"/>
  <c r="U125" i="4"/>
  <c r="R125" i="4"/>
  <c r="T125" i="4" s="1"/>
  <c r="V124" i="4"/>
  <c r="U124" i="4"/>
  <c r="T124" i="4"/>
  <c r="R124" i="4"/>
  <c r="S124" i="4" s="1"/>
  <c r="V123" i="4"/>
  <c r="R123" i="4"/>
  <c r="S123" i="4" s="1"/>
  <c r="V122" i="4"/>
  <c r="U122" i="4"/>
  <c r="T122" i="4"/>
  <c r="R122" i="4"/>
  <c r="S122" i="4" s="1"/>
  <c r="V121" i="4"/>
  <c r="R121" i="4"/>
  <c r="V120" i="4"/>
  <c r="R120" i="4"/>
  <c r="S120" i="4" s="1"/>
  <c r="V119" i="4"/>
  <c r="R119" i="4"/>
  <c r="U119" i="4" s="1"/>
  <c r="V118" i="4"/>
  <c r="R118" i="4"/>
  <c r="U118" i="4" s="1"/>
  <c r="V117" i="4"/>
  <c r="U117" i="4"/>
  <c r="T117" i="4"/>
  <c r="S117" i="4"/>
  <c r="R117" i="4"/>
  <c r="V116" i="4"/>
  <c r="R116" i="4"/>
  <c r="U116" i="4" s="1"/>
  <c r="V115" i="4"/>
  <c r="U115" i="4"/>
  <c r="T115" i="4"/>
  <c r="S115" i="4"/>
  <c r="R115" i="4"/>
  <c r="V114" i="4"/>
  <c r="R114" i="4"/>
  <c r="V113" i="4"/>
  <c r="R113" i="4"/>
  <c r="U113" i="4" s="1"/>
  <c r="V112" i="4"/>
  <c r="U112" i="4"/>
  <c r="T112" i="4"/>
  <c r="R112" i="4"/>
  <c r="S112" i="4" s="1"/>
  <c r="V111" i="4"/>
  <c r="U111" i="4"/>
  <c r="T111" i="4"/>
  <c r="S111" i="4"/>
  <c r="R111" i="4"/>
  <c r="V110" i="4"/>
  <c r="U110" i="4"/>
  <c r="T110" i="4"/>
  <c r="R110" i="4"/>
  <c r="S110" i="4" s="1"/>
  <c r="V109" i="4"/>
  <c r="R109" i="4"/>
  <c r="V108" i="4"/>
  <c r="U108" i="4"/>
  <c r="T108" i="4"/>
  <c r="S108" i="4"/>
  <c r="R108" i="4"/>
  <c r="R107" i="4"/>
  <c r="V106" i="4"/>
  <c r="R106" i="4"/>
  <c r="V105" i="4"/>
  <c r="R105" i="4"/>
  <c r="U105" i="4" s="1"/>
  <c r="V104" i="4"/>
  <c r="U104" i="4"/>
  <c r="T104" i="4"/>
  <c r="R104" i="4"/>
  <c r="S104" i="4" s="1"/>
  <c r="V103" i="4"/>
  <c r="R103" i="4"/>
  <c r="U103" i="4" s="1"/>
  <c r="V102" i="4"/>
  <c r="U102" i="4"/>
  <c r="T102" i="4"/>
  <c r="R102" i="4"/>
  <c r="S102" i="4" s="1"/>
  <c r="V101" i="4"/>
  <c r="S101" i="4"/>
  <c r="R101" i="4"/>
  <c r="R100" i="4"/>
  <c r="V99" i="4"/>
  <c r="U99" i="4"/>
  <c r="T99" i="4"/>
  <c r="S99" i="4"/>
  <c r="R99" i="4"/>
  <c r="V98" i="4"/>
  <c r="R98" i="4"/>
  <c r="R97" i="4"/>
  <c r="V96" i="4"/>
  <c r="U96" i="4"/>
  <c r="R96" i="4"/>
  <c r="T96" i="4" s="1"/>
  <c r="V95" i="4"/>
  <c r="R95" i="4"/>
  <c r="U95" i="4" s="1"/>
  <c r="V94" i="4"/>
  <c r="R94" i="4"/>
  <c r="U94" i="4" s="1"/>
  <c r="V93" i="4"/>
  <c r="U93" i="4"/>
  <c r="T93" i="4"/>
  <c r="S93" i="4"/>
  <c r="R93" i="4"/>
  <c r="V92" i="4"/>
  <c r="R92" i="4"/>
  <c r="U92" i="4" s="1"/>
  <c r="V91" i="4"/>
  <c r="U91" i="4"/>
  <c r="T91" i="4"/>
  <c r="S91" i="4"/>
  <c r="R91" i="4"/>
  <c r="V90" i="4"/>
  <c r="R90" i="4"/>
  <c r="V89" i="4"/>
  <c r="R89" i="4"/>
  <c r="U89" i="4" s="1"/>
  <c r="V88" i="4"/>
  <c r="U88" i="4"/>
  <c r="T88" i="4"/>
  <c r="R88" i="4"/>
  <c r="S88" i="4" s="1"/>
  <c r="V87" i="4"/>
  <c r="R87" i="4"/>
  <c r="U87" i="4" s="1"/>
  <c r="V86" i="4"/>
  <c r="U86" i="4"/>
  <c r="T86" i="4"/>
  <c r="R86" i="4"/>
  <c r="S86" i="4" s="1"/>
  <c r="V85" i="4"/>
  <c r="R85" i="4"/>
  <c r="S85" i="4" s="1"/>
  <c r="V84" i="4"/>
  <c r="R84" i="4"/>
  <c r="U84" i="4" s="1"/>
  <c r="V83" i="4"/>
  <c r="R83" i="4"/>
  <c r="U83" i="4" s="1"/>
  <c r="V82" i="4"/>
  <c r="R82" i="4"/>
  <c r="U82" i="4" s="1"/>
  <c r="V81" i="4"/>
  <c r="U81" i="4"/>
  <c r="T81" i="4"/>
  <c r="S81" i="4"/>
  <c r="R81" i="4"/>
  <c r="V80" i="4"/>
  <c r="R80" i="4"/>
  <c r="U80" i="4" s="1"/>
  <c r="V79" i="4"/>
  <c r="U79" i="4"/>
  <c r="T79" i="4"/>
  <c r="S79" i="4"/>
  <c r="R79" i="4"/>
  <c r="V78" i="4"/>
  <c r="R78" i="4"/>
  <c r="V77" i="4"/>
  <c r="R77" i="4"/>
  <c r="U77" i="4" s="1"/>
  <c r="V76" i="4"/>
  <c r="U76" i="4"/>
  <c r="T76" i="4"/>
  <c r="R76" i="4"/>
  <c r="S76" i="4" s="1"/>
  <c r="V75" i="4"/>
  <c r="R75" i="4"/>
  <c r="T75" i="4" s="1"/>
  <c r="V74" i="4"/>
  <c r="U74" i="4"/>
  <c r="T74" i="4"/>
  <c r="R74" i="4"/>
  <c r="S74" i="4" s="1"/>
  <c r="V73" i="4"/>
  <c r="R73" i="4"/>
  <c r="V72" i="4"/>
  <c r="R72" i="4"/>
  <c r="T72" i="4" s="1"/>
  <c r="V71" i="4"/>
  <c r="R71" i="4"/>
  <c r="U71" i="4" s="1"/>
  <c r="V70" i="4"/>
  <c r="R70" i="4"/>
  <c r="S70" i="4" s="1"/>
  <c r="V69" i="4"/>
  <c r="U69" i="4"/>
  <c r="T69" i="4"/>
  <c r="S69" i="4"/>
  <c r="R69" i="4"/>
  <c r="V68" i="4"/>
  <c r="R68" i="4"/>
  <c r="U68" i="4" s="1"/>
  <c r="V67" i="4"/>
  <c r="U67" i="4"/>
  <c r="T67" i="4"/>
  <c r="S67" i="4"/>
  <c r="R67" i="4"/>
  <c r="V66" i="4"/>
  <c r="R66" i="4"/>
  <c r="V65" i="4"/>
  <c r="R65" i="4"/>
  <c r="U65" i="4" s="1"/>
  <c r="V64" i="4"/>
  <c r="U64" i="4"/>
  <c r="T64" i="4"/>
  <c r="R64" i="4"/>
  <c r="S64" i="4" s="1"/>
  <c r="V63" i="4"/>
  <c r="R63" i="4"/>
  <c r="U63" i="4" s="1"/>
  <c r="V62" i="4"/>
  <c r="U62" i="4"/>
  <c r="T62" i="4"/>
  <c r="R62" i="4"/>
  <c r="S62" i="4" s="1"/>
  <c r="V61" i="4"/>
  <c r="S61" i="4"/>
  <c r="R61" i="4"/>
  <c r="V60" i="4"/>
  <c r="R60" i="4"/>
  <c r="U60" i="4" s="1"/>
  <c r="V59" i="4"/>
  <c r="R59" i="4"/>
  <c r="U59" i="4" s="1"/>
  <c r="V58" i="4"/>
  <c r="U58" i="4"/>
  <c r="T58" i="4"/>
  <c r="S58" i="4"/>
  <c r="R58" i="4"/>
  <c r="V57" i="4"/>
  <c r="U57" i="4"/>
  <c r="T57" i="4"/>
  <c r="S57" i="4"/>
  <c r="R57" i="4"/>
  <c r="V56" i="4"/>
  <c r="R56" i="4"/>
  <c r="U56" i="4" s="1"/>
  <c r="V55" i="4"/>
  <c r="U55" i="4"/>
  <c r="T55" i="4"/>
  <c r="S55" i="4"/>
  <c r="R55" i="4"/>
  <c r="V54" i="4"/>
  <c r="R54" i="4"/>
  <c r="V53" i="4"/>
  <c r="R53" i="4"/>
  <c r="U53" i="4" s="1"/>
  <c r="V52" i="4"/>
  <c r="U52" i="4"/>
  <c r="T52" i="4"/>
  <c r="R52" i="4"/>
  <c r="S52" i="4" s="1"/>
  <c r="V51" i="4"/>
  <c r="R51" i="4"/>
  <c r="U51" i="4" s="1"/>
  <c r="V50" i="4"/>
  <c r="U50" i="4"/>
  <c r="T50" i="4"/>
  <c r="R50" i="4"/>
  <c r="S50" i="4" s="1"/>
  <c r="V49" i="4"/>
  <c r="R49" i="4"/>
  <c r="V48" i="4"/>
  <c r="R48" i="4"/>
  <c r="U48" i="4" s="1"/>
  <c r="V47" i="4"/>
  <c r="R47" i="4"/>
  <c r="U47" i="4" s="1"/>
  <c r="V46" i="4"/>
  <c r="U46" i="4"/>
  <c r="T46" i="4"/>
  <c r="R46" i="4"/>
  <c r="S46" i="4" s="1"/>
  <c r="V45" i="4"/>
  <c r="U45" i="4"/>
  <c r="T45" i="4"/>
  <c r="S45" i="4"/>
  <c r="R45" i="4"/>
  <c r="V44" i="4"/>
  <c r="R44" i="4"/>
  <c r="U44" i="4" s="1"/>
  <c r="V43" i="4"/>
  <c r="U43" i="4"/>
  <c r="T43" i="4"/>
  <c r="S43" i="4"/>
  <c r="R43" i="4"/>
  <c r="V42" i="4"/>
  <c r="R42" i="4"/>
  <c r="V41" i="4"/>
  <c r="R41" i="4"/>
  <c r="U41" i="4" s="1"/>
  <c r="V40" i="4"/>
  <c r="U40" i="4"/>
  <c r="T40" i="4"/>
  <c r="R40" i="4"/>
  <c r="S40" i="4" s="1"/>
  <c r="V39" i="4"/>
  <c r="R39" i="4"/>
  <c r="U39" i="4" s="1"/>
  <c r="V38" i="4"/>
  <c r="U38" i="4"/>
  <c r="T38" i="4"/>
  <c r="S38" i="4"/>
  <c r="R38" i="4"/>
  <c r="V37" i="4"/>
  <c r="R37" i="4"/>
  <c r="U37" i="4" s="1"/>
  <c r="V36" i="4"/>
  <c r="R36" i="4"/>
  <c r="U36" i="4" s="1"/>
  <c r="V35" i="4"/>
  <c r="R35" i="4"/>
  <c r="V34" i="4"/>
  <c r="R34" i="4"/>
  <c r="S34" i="4" s="1"/>
  <c r="V33" i="4"/>
  <c r="U33" i="4"/>
  <c r="T33" i="4"/>
  <c r="S33" i="4"/>
  <c r="R33" i="4"/>
  <c r="V32" i="4"/>
  <c r="U32" i="4"/>
  <c r="R32" i="4"/>
  <c r="T32" i="4" s="1"/>
  <c r="V31" i="4"/>
  <c r="U31" i="4"/>
  <c r="T31" i="4"/>
  <c r="S31" i="4"/>
  <c r="R31" i="4"/>
  <c r="V30" i="4"/>
  <c r="R30" i="4"/>
  <c r="S30" i="4" s="1"/>
  <c r="V29" i="4"/>
  <c r="R29" i="4"/>
  <c r="U29" i="4" s="1"/>
  <c r="V28" i="4"/>
  <c r="U28" i="4"/>
  <c r="T28" i="4"/>
  <c r="R28" i="4"/>
  <c r="S28" i="4" s="1"/>
  <c r="I135" i="4"/>
  <c r="L135" i="4" s="1"/>
  <c r="M135" i="4" s="1"/>
  <c r="J135" i="4"/>
  <c r="K135" i="4" s="1"/>
  <c r="O135" i="4" s="1"/>
  <c r="P135" i="4" s="1"/>
  <c r="N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Q138" i="4" s="1"/>
  <c r="O138" i="4"/>
  <c r="P138" i="4"/>
  <c r="I139" i="4"/>
  <c r="L139" i="4" s="1"/>
  <c r="M139" i="4" s="1"/>
  <c r="J139" i="4"/>
  <c r="K139" i="4"/>
  <c r="N139" i="4"/>
  <c r="O139" i="4"/>
  <c r="P139" i="4"/>
  <c r="Q139" i="4"/>
  <c r="I140" i="4"/>
  <c r="L140" i="4" s="1"/>
  <c r="M140" i="4" s="1"/>
  <c r="J140" i="4"/>
  <c r="K140" i="4"/>
  <c r="O140" i="4" s="1"/>
  <c r="P140" i="4" s="1"/>
  <c r="I141" i="4"/>
  <c r="J141" i="4"/>
  <c r="K141" i="4" s="1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L143" i="4" s="1"/>
  <c r="M143" i="4" s="1"/>
  <c r="J143" i="4"/>
  <c r="K143" i="4"/>
  <c r="N143" i="4"/>
  <c r="O143" i="4"/>
  <c r="P143" i="4"/>
  <c r="Q143" i="4"/>
  <c r="U35" i="4" l="1"/>
  <c r="T35" i="4"/>
  <c r="S35" i="4"/>
  <c r="U73" i="4"/>
  <c r="T73" i="4"/>
  <c r="S41" i="4"/>
  <c r="S44" i="4"/>
  <c r="T70" i="4"/>
  <c r="S82" i="4"/>
  <c r="T120" i="4"/>
  <c r="T123" i="4"/>
  <c r="U126" i="4"/>
  <c r="T126" i="4"/>
  <c r="S126" i="4"/>
  <c r="S36" i="4"/>
  <c r="T41" i="4"/>
  <c r="T44" i="4"/>
  <c r="S53" i="4"/>
  <c r="S56" i="4"/>
  <c r="U70" i="4"/>
  <c r="T82" i="4"/>
  <c r="S94" i="4"/>
  <c r="U98" i="4"/>
  <c r="T98" i="4"/>
  <c r="S98" i="4"/>
  <c r="U120" i="4"/>
  <c r="U123" i="4"/>
  <c r="T132" i="4"/>
  <c r="T135" i="4"/>
  <c r="U138" i="4"/>
  <c r="T138" i="4"/>
  <c r="S138" i="4"/>
  <c r="T36" i="4"/>
  <c r="T53" i="4"/>
  <c r="T56" i="4"/>
  <c r="S65" i="4"/>
  <c r="S68" i="4"/>
  <c r="T94" i="4"/>
  <c r="S105" i="4"/>
  <c r="U109" i="4"/>
  <c r="T109" i="4"/>
  <c r="S39" i="4"/>
  <c r="T65" i="4"/>
  <c r="T68" i="4"/>
  <c r="S77" i="4"/>
  <c r="S80" i="4"/>
  <c r="T105" i="4"/>
  <c r="S109" i="4"/>
  <c r="U121" i="4"/>
  <c r="T121" i="4"/>
  <c r="T39" i="4"/>
  <c r="U42" i="4"/>
  <c r="T42" i="4"/>
  <c r="S42" i="4"/>
  <c r="S48" i="4"/>
  <c r="S51" i="4"/>
  <c r="T77" i="4"/>
  <c r="T80" i="4"/>
  <c r="S89" i="4"/>
  <c r="S92" i="4"/>
  <c r="S118" i="4"/>
  <c r="S121" i="4"/>
  <c r="U133" i="4"/>
  <c r="T133" i="4"/>
  <c r="T48" i="4"/>
  <c r="T51" i="4"/>
  <c r="U54" i="4"/>
  <c r="T54" i="4"/>
  <c r="S54" i="4"/>
  <c r="S63" i="4"/>
  <c r="T89" i="4"/>
  <c r="T92" i="4"/>
  <c r="S103" i="4"/>
  <c r="T118" i="4"/>
  <c r="S130" i="4"/>
  <c r="S133" i="4"/>
  <c r="T63" i="4"/>
  <c r="S75" i="4"/>
  <c r="T34" i="4"/>
  <c r="T29" i="4"/>
  <c r="S32" i="4"/>
  <c r="U34" i="4"/>
  <c r="U49" i="4"/>
  <c r="T49" i="4"/>
  <c r="U72" i="4"/>
  <c r="U75" i="4"/>
  <c r="T84" i="4"/>
  <c r="T87" i="4"/>
  <c r="U90" i="4"/>
  <c r="T90" i="4"/>
  <c r="S90" i="4"/>
  <c r="S96" i="4"/>
  <c r="T113" i="4"/>
  <c r="T116" i="4"/>
  <c r="S125" i="4"/>
  <c r="S128" i="4"/>
  <c r="U142" i="4"/>
  <c r="S60" i="4"/>
  <c r="S37" i="4"/>
  <c r="T60" i="4"/>
  <c r="U66" i="4"/>
  <c r="T66" i="4"/>
  <c r="S66" i="4"/>
  <c r="S72" i="4"/>
  <c r="T103" i="4"/>
  <c r="U106" i="4"/>
  <c r="T106" i="4"/>
  <c r="S106" i="4"/>
  <c r="T130" i="4"/>
  <c r="S142" i="4"/>
  <c r="S29" i="4"/>
  <c r="T37" i="4"/>
  <c r="U78" i="4"/>
  <c r="T78" i="4"/>
  <c r="S78" i="4"/>
  <c r="S84" i="4"/>
  <c r="S87" i="4"/>
  <c r="S113" i="4"/>
  <c r="S116" i="4"/>
  <c r="S49" i="4"/>
  <c r="U61" i="4"/>
  <c r="T61" i="4"/>
  <c r="U101" i="4"/>
  <c r="T101" i="4"/>
  <c r="T128" i="4"/>
  <c r="S140" i="4"/>
  <c r="U30" i="4"/>
  <c r="T30" i="4"/>
  <c r="S73" i="4"/>
  <c r="U85" i="4"/>
  <c r="T85" i="4"/>
  <c r="U114" i="4"/>
  <c r="T114" i="4"/>
  <c r="S114" i="4"/>
  <c r="S47" i="4"/>
  <c r="S59" i="4"/>
  <c r="S71" i="4"/>
  <c r="S83" i="4"/>
  <c r="S95" i="4"/>
  <c r="S119" i="4"/>
  <c r="S131" i="4"/>
  <c r="S143" i="4"/>
  <c r="T47" i="4"/>
  <c r="T59" i="4"/>
  <c r="T71" i="4"/>
  <c r="T83" i="4"/>
  <c r="T95" i="4"/>
  <c r="T119" i="4"/>
  <c r="T131" i="4"/>
  <c r="T143" i="4"/>
  <c r="N136" i="4"/>
  <c r="Q136" i="4" s="1"/>
  <c r="N140" i="4"/>
  <c r="Q140" i="4" s="1"/>
  <c r="I128" i="4" l="1"/>
  <c r="N128" i="4" s="1"/>
  <c r="Q128" i="4" s="1"/>
  <c r="J128" i="4"/>
  <c r="K128" i="4" s="1"/>
  <c r="O128" i="4" s="1"/>
  <c r="P128" i="4" s="1"/>
  <c r="L128" i="4"/>
  <c r="M128" i="4" s="1"/>
  <c r="I129" i="4"/>
  <c r="J129" i="4"/>
  <c r="K129" i="4"/>
  <c r="L129" i="4"/>
  <c r="M129" i="4"/>
  <c r="N129" i="4"/>
  <c r="Q129" i="4" s="1"/>
  <c r="O129" i="4"/>
  <c r="P129" i="4" s="1"/>
  <c r="I130" i="4"/>
  <c r="J130" i="4"/>
  <c r="K130" i="4" s="1"/>
  <c r="L130" i="4"/>
  <c r="M130" i="4" s="1"/>
  <c r="N130" i="4"/>
  <c r="Q130" i="4" s="1"/>
  <c r="I131" i="4"/>
  <c r="N131" i="4" s="1"/>
  <c r="Q131" i="4" s="1"/>
  <c r="J131" i="4"/>
  <c r="K131" i="4"/>
  <c r="O131" i="4" s="1"/>
  <c r="P131" i="4" s="1"/>
  <c r="L131" i="4"/>
  <c r="M131" i="4" s="1"/>
  <c r="I132" i="4"/>
  <c r="J132" i="4"/>
  <c r="K132" i="4"/>
  <c r="L132" i="4"/>
  <c r="M132" i="4"/>
  <c r="N132" i="4"/>
  <c r="Q132" i="4" s="1"/>
  <c r="O132" i="4"/>
  <c r="P132" i="4" s="1"/>
  <c r="I133" i="4"/>
  <c r="J133" i="4"/>
  <c r="K133" i="4" s="1"/>
  <c r="O133" i="4" s="1"/>
  <c r="P133" i="4" s="1"/>
  <c r="L133" i="4"/>
  <c r="M133" i="4" s="1"/>
  <c r="N133" i="4"/>
  <c r="Q133" i="4"/>
  <c r="I134" i="4"/>
  <c r="L134" i="4" s="1"/>
  <c r="M134" i="4" s="1"/>
  <c r="J134" i="4"/>
  <c r="K134" i="4"/>
  <c r="O134" i="4" s="1"/>
  <c r="P134" i="4" s="1"/>
  <c r="O130" i="4" l="1"/>
  <c r="P130" i="4" s="1"/>
  <c r="N134" i="4"/>
  <c r="Q134" i="4" s="1"/>
  <c r="O15" i="1" l="1"/>
  <c r="L15" i="1"/>
  <c r="N15" i="1"/>
  <c r="M122" i="4"/>
  <c r="J16" i="4"/>
  <c r="J15" i="4"/>
  <c r="J87" i="4"/>
  <c r="K87" i="4" s="1"/>
  <c r="J122" i="4"/>
  <c r="K122" i="4" s="1"/>
  <c r="O122" i="4" s="1"/>
  <c r="P122" i="4" s="1"/>
  <c r="J117" i="4"/>
  <c r="K117" i="4" s="1"/>
  <c r="O117" i="4" s="1"/>
  <c r="P117" i="4" s="1"/>
  <c r="J120" i="4"/>
  <c r="K120" i="4"/>
  <c r="J101" i="4"/>
  <c r="K101" i="4"/>
  <c r="O101" i="4" s="1"/>
  <c r="P101" i="4" s="1"/>
  <c r="J86" i="4"/>
  <c r="K86" i="4" s="1"/>
  <c r="J85" i="4"/>
  <c r="K85" i="4" s="1"/>
  <c r="J88" i="4"/>
  <c r="K88" i="4" s="1"/>
  <c r="J119" i="4"/>
  <c r="K119" i="4" s="1"/>
  <c r="J72" i="4"/>
  <c r="K72" i="4"/>
  <c r="J103" i="4"/>
  <c r="K103" i="4" s="1"/>
  <c r="O103" i="4" s="1"/>
  <c r="P103" i="4" s="1"/>
  <c r="J118" i="4"/>
  <c r="K118" i="4"/>
  <c r="O118" i="4" s="1"/>
  <c r="P118" i="4" s="1"/>
  <c r="J104" i="4"/>
  <c r="L104" i="4" s="1"/>
  <c r="M104" i="4" s="1"/>
  <c r="K104" i="4"/>
  <c r="O104" i="4" s="1"/>
  <c r="P104" i="4" s="1"/>
  <c r="J90" i="4"/>
  <c r="K90" i="4" s="1"/>
  <c r="J71" i="4"/>
  <c r="K71" i="4" s="1"/>
  <c r="J110" i="4"/>
  <c r="K110" i="4" s="1"/>
  <c r="O110" i="4" s="1"/>
  <c r="P110" i="4" s="1"/>
  <c r="J82" i="4"/>
  <c r="K82" i="4"/>
  <c r="O82" i="4" s="1"/>
  <c r="P82" i="4" s="1"/>
  <c r="J113" i="4"/>
  <c r="K113" i="4"/>
  <c r="J97" i="4"/>
  <c r="K97" i="4" s="1"/>
  <c r="J81" i="4"/>
  <c r="K81" i="4" s="1"/>
  <c r="J116" i="4"/>
  <c r="K116" i="4" s="1"/>
  <c r="J100" i="4"/>
  <c r="K100" i="4"/>
  <c r="O100" i="4" s="1"/>
  <c r="P100" i="4" s="1"/>
  <c r="J84" i="4"/>
  <c r="K84" i="4" s="1"/>
  <c r="J114" i="4"/>
  <c r="K114" i="4"/>
  <c r="J78" i="4"/>
  <c r="K78" i="4" s="1"/>
  <c r="J115" i="4"/>
  <c r="L115" i="4" s="1"/>
  <c r="K115" i="4"/>
  <c r="J99" i="4"/>
  <c r="K99" i="4"/>
  <c r="O99" i="4" s="1"/>
  <c r="P99" i="4" s="1"/>
  <c r="J83" i="4"/>
  <c r="K83" i="4"/>
  <c r="J102" i="4"/>
  <c r="K102" i="4" s="1"/>
  <c r="O102" i="4" s="1"/>
  <c r="P102" i="4" s="1"/>
  <c r="J74" i="4"/>
  <c r="K74" i="4"/>
  <c r="J125" i="4"/>
  <c r="K125" i="4" s="1"/>
  <c r="O125" i="4" s="1"/>
  <c r="P125" i="4" s="1"/>
  <c r="J109" i="4"/>
  <c r="K109" i="4"/>
  <c r="J93" i="4"/>
  <c r="K93" i="4"/>
  <c r="J77" i="4"/>
  <c r="K77" i="4"/>
  <c r="J112" i="4"/>
  <c r="K112" i="4" s="1"/>
  <c r="O112" i="4" s="1"/>
  <c r="P112" i="4" s="1"/>
  <c r="J96" i="4"/>
  <c r="K96" i="4"/>
  <c r="J80" i="4"/>
  <c r="K80" i="4" s="1"/>
  <c r="J106" i="4"/>
  <c r="K106" i="4"/>
  <c r="O106" i="4" s="1"/>
  <c r="P106" i="4" s="1"/>
  <c r="J127" i="4"/>
  <c r="K127" i="4" s="1"/>
  <c r="J111" i="4"/>
  <c r="K111" i="4"/>
  <c r="O111" i="4" s="1"/>
  <c r="P111" i="4" s="1"/>
  <c r="J95" i="4"/>
  <c r="K95" i="4" s="1"/>
  <c r="J79" i="4"/>
  <c r="K79" i="4" s="1"/>
  <c r="J126" i="4"/>
  <c r="K126" i="4" s="1"/>
  <c r="J94" i="4"/>
  <c r="K94" i="4"/>
  <c r="J121" i="4"/>
  <c r="K121" i="4" s="1"/>
  <c r="J105" i="4"/>
  <c r="K105" i="4"/>
  <c r="O105" i="4" s="1"/>
  <c r="P105" i="4" s="1"/>
  <c r="J89" i="4"/>
  <c r="K89" i="4" s="1"/>
  <c r="J73" i="4"/>
  <c r="K73" i="4"/>
  <c r="J124" i="4"/>
  <c r="L124" i="4" s="1"/>
  <c r="J108" i="4"/>
  <c r="K108" i="4" s="1"/>
  <c r="J92" i="4"/>
  <c r="K92" i="4"/>
  <c r="J76" i="4"/>
  <c r="K76" i="4" s="1"/>
  <c r="J98" i="4"/>
  <c r="K98" i="4"/>
  <c r="J123" i="4"/>
  <c r="K123" i="4"/>
  <c r="O123" i="4" s="1"/>
  <c r="P123" i="4" s="1"/>
  <c r="J107" i="4"/>
  <c r="K107" i="4"/>
  <c r="J91" i="4"/>
  <c r="K91" i="4" s="1"/>
  <c r="J75" i="4"/>
  <c r="K75" i="4"/>
  <c r="O98" i="4"/>
  <c r="P98" i="4"/>
  <c r="O109" i="4"/>
  <c r="P109" i="4"/>
  <c r="O113" i="4"/>
  <c r="P113" i="4"/>
  <c r="O94" i="4"/>
  <c r="P94" i="4"/>
  <c r="I76" i="4"/>
  <c r="I77" i="4"/>
  <c r="I81" i="4"/>
  <c r="I89" i="4"/>
  <c r="L89" i="4" s="1"/>
  <c r="I90" i="4"/>
  <c r="N90" i="4" s="1"/>
  <c r="Q90" i="4" s="1"/>
  <c r="I96" i="4"/>
  <c r="L96" i="4" s="1"/>
  <c r="I99" i="4"/>
  <c r="L99" i="4" s="1"/>
  <c r="M99" i="4" s="1"/>
  <c r="I102" i="4"/>
  <c r="I104" i="4"/>
  <c r="I108" i="4"/>
  <c r="N108" i="4" s="1"/>
  <c r="Q108" i="4" s="1"/>
  <c r="I111" i="4"/>
  <c r="I113" i="4"/>
  <c r="I115" i="4"/>
  <c r="I119" i="4"/>
  <c r="I120" i="4"/>
  <c r="N120" i="4" s="1"/>
  <c r="Q120" i="4" s="1"/>
  <c r="I123" i="4"/>
  <c r="L123" i="4" s="1"/>
  <c r="M123" i="4" s="1"/>
  <c r="I125" i="4"/>
  <c r="L125" i="4" s="1"/>
  <c r="M125" i="4" s="1"/>
  <c r="I79" i="4"/>
  <c r="N79" i="4" s="1"/>
  <c r="Q79" i="4" s="1"/>
  <c r="I92" i="4"/>
  <c r="N92" i="4" s="1"/>
  <c r="Q92" i="4" s="1"/>
  <c r="I100" i="4"/>
  <c r="L100" i="4" s="1"/>
  <c r="M100" i="4" s="1"/>
  <c r="I103" i="4"/>
  <c r="I107" i="4"/>
  <c r="N107" i="4" s="1"/>
  <c r="Q107" i="4" s="1"/>
  <c r="I109" i="4"/>
  <c r="I110" i="4"/>
  <c r="I117" i="4"/>
  <c r="I124" i="4"/>
  <c r="I72" i="4"/>
  <c r="N72" i="4" s="1"/>
  <c r="Q72" i="4" s="1"/>
  <c r="I106" i="4"/>
  <c r="N106" i="4" s="1"/>
  <c r="Q106" i="4" s="1"/>
  <c r="I71" i="4"/>
  <c r="N71" i="4" s="1"/>
  <c r="Q71" i="4" s="1"/>
  <c r="I75" i="4"/>
  <c r="I80" i="4"/>
  <c r="N80" i="4" s="1"/>
  <c r="Q80" i="4" s="1"/>
  <c r="I83" i="4"/>
  <c r="I86" i="4"/>
  <c r="N86" i="4" s="1"/>
  <c r="Q86" i="4" s="1"/>
  <c r="I88" i="4"/>
  <c r="I94" i="4"/>
  <c r="I95" i="4"/>
  <c r="I98" i="4"/>
  <c r="I101" i="4"/>
  <c r="I118" i="4"/>
  <c r="I127" i="4"/>
  <c r="L127" i="4" s="1"/>
  <c r="I73" i="4"/>
  <c r="N73" i="4" s="1"/>
  <c r="Q73" i="4" s="1"/>
  <c r="I74" i="4"/>
  <c r="N74" i="4" s="1"/>
  <c r="Q74" i="4" s="1"/>
  <c r="I78" i="4"/>
  <c r="N78" i="4" s="1"/>
  <c r="Q78" i="4" s="1"/>
  <c r="I82" i="4"/>
  <c r="L82" i="4" s="1"/>
  <c r="I85" i="4"/>
  <c r="N85" i="4" s="1"/>
  <c r="Q85" i="4" s="1"/>
  <c r="I93" i="4"/>
  <c r="N93" i="4" s="1"/>
  <c r="Q93" i="4" s="1"/>
  <c r="I112" i="4"/>
  <c r="I114" i="4"/>
  <c r="N114" i="4" s="1"/>
  <c r="Q114" i="4" s="1"/>
  <c r="I121" i="4"/>
  <c r="N121" i="4" s="1"/>
  <c r="Q121" i="4" s="1"/>
  <c r="I122" i="4"/>
  <c r="I84" i="4"/>
  <c r="N84" i="4" s="1"/>
  <c r="Q84" i="4" s="1"/>
  <c r="I87" i="4"/>
  <c r="L87" i="4" s="1"/>
  <c r="I91" i="4"/>
  <c r="L91" i="4" s="1"/>
  <c r="I97" i="4"/>
  <c r="L97" i="4" s="1"/>
  <c r="I105" i="4"/>
  <c r="L105" i="4" s="1"/>
  <c r="M105" i="4" s="1"/>
  <c r="I116" i="4"/>
  <c r="N116" i="4" s="1"/>
  <c r="Q116" i="4" s="1"/>
  <c r="I126" i="4"/>
  <c r="N126" i="4" s="1"/>
  <c r="Q126" i="4" s="1"/>
  <c r="N101" i="4"/>
  <c r="Q101" i="4"/>
  <c r="L101" i="4"/>
  <c r="M101" i="4" s="1"/>
  <c r="N75" i="4"/>
  <c r="Q75" i="4" s="1"/>
  <c r="L106" i="4"/>
  <c r="M106" i="4" s="1"/>
  <c r="N124" i="4"/>
  <c r="Q124" i="4" s="1"/>
  <c r="N119" i="4"/>
  <c r="Q119" i="4" s="1"/>
  <c r="N77" i="4"/>
  <c r="Q77" i="4"/>
  <c r="N98" i="4"/>
  <c r="Q98" i="4"/>
  <c r="L98" i="4"/>
  <c r="M98" i="4" s="1"/>
  <c r="N117" i="4"/>
  <c r="Q117" i="4"/>
  <c r="L117" i="4"/>
  <c r="M117" i="4" s="1"/>
  <c r="N103" i="4"/>
  <c r="Q103" i="4"/>
  <c r="L103" i="4"/>
  <c r="M103" i="4" s="1"/>
  <c r="N115" i="4"/>
  <c r="Q115" i="4"/>
  <c r="N104" i="4"/>
  <c r="Q104" i="4"/>
  <c r="N76" i="4"/>
  <c r="Q76" i="4"/>
  <c r="L76" i="4"/>
  <c r="N91" i="4"/>
  <c r="Q91" i="4" s="1"/>
  <c r="L112" i="4"/>
  <c r="M112" i="4" s="1"/>
  <c r="N112" i="4"/>
  <c r="Q112" i="4"/>
  <c r="N95" i="4"/>
  <c r="Q95" i="4"/>
  <c r="N110" i="4"/>
  <c r="Q110" i="4"/>
  <c r="L110" i="4"/>
  <c r="M110" i="4" s="1"/>
  <c r="N100" i="4"/>
  <c r="Q100" i="4" s="1"/>
  <c r="N113" i="4"/>
  <c r="Q113" i="4"/>
  <c r="L113" i="4"/>
  <c r="M113" i="4" s="1"/>
  <c r="L102" i="4"/>
  <c r="M102" i="4" s="1"/>
  <c r="N102" i="4"/>
  <c r="Q102" i="4" s="1"/>
  <c r="N87" i="4"/>
  <c r="Q87" i="4" s="1"/>
  <c r="N122" i="4"/>
  <c r="Q122" i="4" s="1"/>
  <c r="L122" i="4"/>
  <c r="N118" i="4"/>
  <c r="Q118" i="4"/>
  <c r="L118" i="4"/>
  <c r="M118" i="4" s="1"/>
  <c r="L94" i="4"/>
  <c r="N94" i="4"/>
  <c r="Q94" i="4" s="1"/>
  <c r="N109" i="4"/>
  <c r="Q109" i="4" s="1"/>
  <c r="L109" i="4"/>
  <c r="M109" i="4" s="1"/>
  <c r="L120" i="4"/>
  <c r="N111" i="4"/>
  <c r="Q111" i="4"/>
  <c r="L111" i="4"/>
  <c r="M111" i="4" s="1"/>
  <c r="N99" i="4"/>
  <c r="Q99" i="4" s="1"/>
  <c r="N81" i="4"/>
  <c r="Q81" i="4" s="1"/>
  <c r="O126" i="4" l="1"/>
  <c r="P126" i="4" s="1"/>
  <c r="M91" i="4"/>
  <c r="O119" i="4"/>
  <c r="P119" i="4" s="1"/>
  <c r="O91" i="4"/>
  <c r="P91" i="4" s="1"/>
  <c r="O108" i="4"/>
  <c r="P108" i="4" s="1"/>
  <c r="O71" i="4"/>
  <c r="P71" i="4" s="1"/>
  <c r="O107" i="4"/>
  <c r="P107" i="4" s="1"/>
  <c r="M120" i="4"/>
  <c r="O83" i="4"/>
  <c r="P83" i="4" s="1"/>
  <c r="O115" i="4"/>
  <c r="P115" i="4" s="1"/>
  <c r="L73" i="4"/>
  <c r="M115" i="4"/>
  <c r="O120" i="4"/>
  <c r="P120" i="4" s="1"/>
  <c r="N123" i="4"/>
  <c r="Q123" i="4" s="1"/>
  <c r="N127" i="4"/>
  <c r="Q127" i="4" s="1"/>
  <c r="O121" i="4"/>
  <c r="P121" i="4" s="1"/>
  <c r="L95" i="4"/>
  <c r="O116" i="4"/>
  <c r="P116" i="4" s="1"/>
  <c r="M127" i="4"/>
  <c r="O127" i="4"/>
  <c r="P127" i="4" s="1"/>
  <c r="L107" i="4"/>
  <c r="M124" i="4"/>
  <c r="L71" i="4"/>
  <c r="N105" i="4"/>
  <c r="Q105" i="4" s="1"/>
  <c r="L92" i="4"/>
  <c r="O114" i="4"/>
  <c r="P114" i="4" s="1"/>
  <c r="L79" i="4"/>
  <c r="L72" i="4"/>
  <c r="L88" i="4"/>
  <c r="N89" i="4"/>
  <c r="Q89" i="4" s="1"/>
  <c r="N125" i="4"/>
  <c r="Q125" i="4" s="1"/>
  <c r="L83" i="4"/>
  <c r="K124" i="4"/>
  <c r="L119" i="4"/>
  <c r="M89" i="4"/>
  <c r="O76" i="4"/>
  <c r="P76" i="4" s="1"/>
  <c r="M92" i="4"/>
  <c r="O75" i="4"/>
  <c r="P75" i="4" s="1"/>
  <c r="O81" i="4"/>
  <c r="P81" i="4" s="1"/>
  <c r="L114" i="4"/>
  <c r="M83" i="4"/>
  <c r="O72" i="4"/>
  <c r="P72" i="4" s="1"/>
  <c r="L108" i="4"/>
  <c r="L75" i="4"/>
  <c r="O73" i="4"/>
  <c r="P73" i="4" s="1"/>
  <c r="O77" i="4"/>
  <c r="P77" i="4" s="1"/>
  <c r="L116" i="4"/>
  <c r="L86" i="4"/>
  <c r="O89" i="4"/>
  <c r="P89" i="4" s="1"/>
  <c r="O87" i="4"/>
  <c r="P87" i="4" s="1"/>
  <c r="L84" i="4"/>
  <c r="O93" i="4"/>
  <c r="P93" i="4" s="1"/>
  <c r="O88" i="4"/>
  <c r="P88" i="4" s="1"/>
  <c r="L90" i="4"/>
  <c r="L77" i="4"/>
  <c r="O90" i="4"/>
  <c r="P90" i="4" s="1"/>
  <c r="O85" i="4"/>
  <c r="P85" i="4" s="1"/>
  <c r="O92" i="4"/>
  <c r="P92" i="4" s="1"/>
  <c r="O97" i="4"/>
  <c r="P97" i="4" s="1"/>
  <c r="M88" i="4"/>
  <c r="O80" i="4"/>
  <c r="P80" i="4" s="1"/>
  <c r="O96" i="4"/>
  <c r="P96" i="4" s="1"/>
  <c r="M95" i="4"/>
  <c r="L126" i="4"/>
  <c r="M73" i="4"/>
  <c r="M82" i="4"/>
  <c r="L85" i="4"/>
  <c r="O74" i="4"/>
  <c r="P74" i="4" s="1"/>
  <c r="O79" i="4"/>
  <c r="P79" i="4" s="1"/>
  <c r="L81" i="4"/>
  <c r="M87" i="4"/>
  <c r="M97" i="4"/>
  <c r="L74" i="4"/>
  <c r="M79" i="4"/>
  <c r="M96" i="4"/>
  <c r="O84" i="4"/>
  <c r="P84" i="4" s="1"/>
  <c r="M72" i="4"/>
  <c r="O95" i="4"/>
  <c r="P95" i="4" s="1"/>
  <c r="M76" i="4"/>
  <c r="L121" i="4"/>
  <c r="M94" i="4"/>
  <c r="O78" i="4"/>
  <c r="P78" i="4" s="1"/>
  <c r="O86" i="4"/>
  <c r="P86" i="4" s="1"/>
  <c r="N97" i="4"/>
  <c r="Q97" i="4" s="1"/>
  <c r="N83" i="4"/>
  <c r="Q83" i="4" s="1"/>
  <c r="N82" i="4"/>
  <c r="Q82" i="4" s="1"/>
  <c r="N96" i="4"/>
  <c r="Q96" i="4" s="1"/>
  <c r="N88" i="4"/>
  <c r="Q88" i="4" s="1"/>
  <c r="L80" i="4"/>
  <c r="L93" i="4"/>
  <c r="L78" i="4"/>
  <c r="J14" i="4"/>
  <c r="J13" i="4" s="1"/>
  <c r="K16" i="4" s="1"/>
  <c r="M119" i="4" l="1"/>
  <c r="O124" i="4"/>
  <c r="P124" i="4" s="1"/>
  <c r="M121" i="4"/>
  <c r="M108" i="4"/>
  <c r="M116" i="4"/>
  <c r="M71" i="4"/>
  <c r="M126" i="4"/>
  <c r="M114" i="4"/>
  <c r="M107" i="4"/>
  <c r="M93" i="4"/>
  <c r="M80" i="4"/>
  <c r="M85" i="4"/>
  <c r="M74" i="4"/>
  <c r="M78" i="4"/>
  <c r="M75" i="4"/>
  <c r="M77" i="4"/>
  <c r="M90" i="4"/>
  <c r="M86" i="4"/>
  <c r="M84" i="4"/>
  <c r="M81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1" i="4" l="1"/>
  <c r="P61" i="4" s="1"/>
  <c r="O62" i="4"/>
  <c r="P62" i="4" s="1"/>
  <c r="O60" i="4"/>
  <c r="P60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2" i="4" l="1"/>
  <c r="M70" i="4"/>
  <c r="M60" i="4"/>
  <c r="M61" i="4"/>
  <c r="M63" i="4"/>
  <c r="M64" i="4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45" i="4"/>
  <c r="L45" i="4" s="1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7" i="4"/>
  <c r="K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8" i="4" l="1"/>
  <c r="P48" i="4" s="1"/>
  <c r="O49" i="4"/>
  <c r="P49" i="4" s="1"/>
  <c r="M48" i="4"/>
  <c r="M49" i="4"/>
  <c r="K43" i="4"/>
  <c r="M43" i="4"/>
  <c r="M31" i="4"/>
  <c r="O31" i="4"/>
  <c r="P31" i="4" s="1"/>
  <c r="O28" i="4"/>
  <c r="P28" i="4" s="1"/>
  <c r="M44" i="4"/>
  <c r="O47" i="4"/>
  <c r="P47" i="4" s="1"/>
  <c r="O33" i="4"/>
  <c r="P33" i="4" s="1"/>
  <c r="O46" i="4"/>
  <c r="P46" i="4" s="1"/>
  <c r="O30" i="4"/>
  <c r="P30" i="4" s="1"/>
  <c r="M47" i="4"/>
  <c r="M35" i="4"/>
  <c r="O41" i="4"/>
  <c r="P41" i="4" s="1"/>
  <c r="O39" i="4"/>
  <c r="P39" i="4" s="1"/>
  <c r="M45" i="4"/>
  <c r="M39" i="4"/>
  <c r="K35" i="4"/>
  <c r="K44" i="4"/>
  <c r="K4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3" i="4" l="1"/>
  <c r="P43" i="4" s="1"/>
  <c r="M41" i="4"/>
  <c r="M46" i="4"/>
  <c r="O36" i="4"/>
  <c r="P36" i="4" s="1"/>
  <c r="O45" i="4"/>
  <c r="P45" i="4" s="1"/>
  <c r="O44" i="4"/>
  <c r="P44" i="4" s="1"/>
  <c r="O29" i="4"/>
  <c r="P29" i="4" s="1"/>
  <c r="O32" i="4"/>
  <c r="P32" i="4" s="1"/>
  <c r="O38" i="4"/>
  <c r="P38" i="4" s="1"/>
  <c r="O40" i="4"/>
  <c r="P40" i="4" s="1"/>
  <c r="M33" i="4"/>
  <c r="O34" i="4"/>
  <c r="P34" i="4" s="1"/>
  <c r="O37" i="4"/>
  <c r="P37" i="4" s="1"/>
  <c r="O35" i="4"/>
  <c r="P35" i="4" s="1"/>
  <c r="O42" i="4"/>
  <c r="P42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<sst xmlns="http://schemas.openxmlformats.org/spreadsheetml/2006/main" count="340" uniqueCount="314">
  <si>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</si>
  <si>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</si>
  <si>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</si>
  <si>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</si>
  <si>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</si>
  <si>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</si>
  <si>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</si>
  <si>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</si>
  <si>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</si>
  <si>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</si>
  <si>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</si>
  <si>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</si>
  <si>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</si>
  <si>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</si>
  <si>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</si>
  <si>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</si>
  <si>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</si>
  <si>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</si>
  <si>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</si>
  <si>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</si>
  <si>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</si>
  <si>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</si>
  <si>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</si>
  <si>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</si>
  <si>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</si>
  <si>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</si>
  <si>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</si>
  <si>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</si>
  <si>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</si>
  <si>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</si>
  <si>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</si>
  <si>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</si>
  <si>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</si>
  <si>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</si>
  <si>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</si>
  <si>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</si>
  <si>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</si>
  <si>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</si>
  <si>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</si>
  <si>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</si>
  <si>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</si>
  <si>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</si>
  <si>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</si>
  <si>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</si>
  <si>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</si>
  <si>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</si>
  <si>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</si>
  <si>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</si>
  <si>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</si>
  <si>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</si>
  <si>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</si>
  <si>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</si>
  <si>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</si>
  <si>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</si>
  <si>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</si>
  <si>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</si>
  <si>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</si>
  <si>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</si>
  <si>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</si>
  <si>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</si>
  <si>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</si>
  <si>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</si>
  <si>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</si>
  <si>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</si>
  <si>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</si>
  <si>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</si>
  <si>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</si>
  <si>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</si>
  <si>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</si>
  <si>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</si>
  <si>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</si>
  <si>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</si>
  <si>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</si>
  <si>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</si>
  <si>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</si>
  <si>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</si>
  <si>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</si>
  <si>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</si>
  <si>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</si>
  <si>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</si>
  <si>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</si>
  <si>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</si>
  <si>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</si>
  <si>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</si>
  <si>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</si>
  <si>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</si>
  <si>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</si>
  <si>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</si>
  <si>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</si>
  <si>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</si>
  <si>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</si>
  <si>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</si>
  <si>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</si>
  <si>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</si>
  <si>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</si>
  <si>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</si>
  <si>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</si>
  <si>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</si>
  <si>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</si>
  <si>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</si>
  <si>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</si>
  <si>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</si>
  <si>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</si>
  <si>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</si>
  <si>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</si>
  <si>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</si>
  <si>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</si>
  <si>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</si>
  <si>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</si>
  <si>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</si>
  <si>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</si>
  <si>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Rtgut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</si>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</sst>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8.9000000000000006E-4</v>
      </c>
      <c r="M17" s="80">
        <v>6.0000000000000002E-5</v>
      </c>
      <c r="N17" s="80">
        <v>5.0000000000000002E-5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9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40.005600000000001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39.984264000000003</v>
      </c>
      <c r="K8" s="39">
        <f>J8/J7</f>
        <v>0.99946667466554684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1.9535999999999998E-2</v>
      </c>
      <c r="K9" s="39">
        <f>J9/J7</f>
        <v>4.8833163357129997E-4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1.8000000000000002E-3</v>
      </c>
      <c r="K10" s="39">
        <f>J10/J7</f>
        <v>4.4993700881876538E-5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5.5999999999999999E-3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4.9839999999999997E-3</v>
      </c>
      <c r="K20" s="39">
        <f>J20/J19</f>
        <v>0.89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3.3599999999999998E-4</v>
      </c>
      <c r="K21" s="39">
        <f>J21/J19</f>
        <v>0.06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2.8000000000000003E-4</v>
      </c>
      <c r="K22" s="39">
        <f>J22/J19</f>
        <v>0.05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8.6629514448579737E-3</v>
      </c>
      <c r="K28" s="93">
        <f t="shared" ref="K28:K47" si="3">IF(D28=0,"",1/(1+10^D28*$J$15/$J$14+10^E28*$J$16/$J$14+10^J28*$J$19/$J$14))</f>
        <v>0.99925361640812405</v>
      </c>
      <c r="L28" s="93">
        <f t="shared" ref="L28:L47" si="4">IF(D28=0,"",1/(1+10^I28/10^J28*$J$13/$J$19))</f>
        <v>1.4278800922983234E-4</v>
      </c>
      <c r="M28" s="93">
        <f t="shared" ref="M28:M47" si="5">IF(D28=0,"",1-L28)</f>
        <v>0.99985721199077016</v>
      </c>
      <c r="N28" s="93">
        <f t="shared" ref="N28:N47" si="6">IF(D28=0,"",1/(1/10^E28*$J$20/$J$22+10^D28/10^E28*$J$21/$J$22+10^I28/10^E28*$J$13/$J$22+1))</f>
        <v>8.4569700300890499E-6</v>
      </c>
      <c r="O28" s="40">
        <f t="shared" ref="O28:O47" si="7">IF(D28=0,"",F28*K28*$J$7/$J$14)</f>
        <v>9.9991146605383703E-7</v>
      </c>
      <c r="P28" s="40">
        <f t="shared" ref="P28:P47" si="8">IF(D28=0,"",O28*10^J28)</f>
        <v>1.0200571396508894E-6</v>
      </c>
      <c r="Q28" s="40">
        <f t="shared" ref="Q28:Q47" si="9">IF(D28=0,"",F28*N28*$J$7/$J$22)</f>
        <v>1.2083077151276088E-6</v>
      </c>
      <c r="R28" s="9">
        <f>F28*$C$14</f>
        <v>3.9999999999999996E-5</v>
      </c>
      <c r="S28" s="9">
        <f>$R28*L28</f>
        <v>5.7115203691932929E-9</v>
      </c>
      <c r="T28" s="9">
        <f t="shared" ref="T28:T91" si="10">R28*K28</f>
        <v>3.9970144656324955E-5</v>
      </c>
      <c r="U28" s="9">
        <f t="shared" ref="U28:U91" si="11">$R28*M28</f>
        <v>3.9994288479630805E-5</v>
      </c>
      <c r="V28" s="100">
        <f>K28/M28</f>
        <v>0.99939631821883412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1.5071795924333535</v>
      </c>
      <c r="K29" s="93">
        <f t="shared" si="3"/>
        <v>0.89524535661806448</v>
      </c>
      <c r="L29" s="93">
        <f t="shared" si="4"/>
        <v>4.0315748571433663E-3</v>
      </c>
      <c r="M29" s="93">
        <f t="shared" si="5"/>
        <v>0.99596842514285666</v>
      </c>
      <c r="N29" s="93">
        <f t="shared" si="6"/>
        <v>2.3837743369463931E-3</v>
      </c>
      <c r="O29" s="40">
        <f t="shared" si="7"/>
        <v>8.9583473335987122E-7</v>
      </c>
      <c r="P29" s="40">
        <f t="shared" si="8"/>
        <v>2.8800994840166899E-5</v>
      </c>
      <c r="Q29" s="40">
        <f t="shared" si="9"/>
        <v>3.4058686647908074E-4</v>
      </c>
      <c r="R29" s="9">
        <f t="shared" ref="R29:R92" si="12">F29*$C$14</f>
        <v>3.9999999999999996E-5</v>
      </c>
      <c r="S29" s="9">
        <f t="shared" ref="S29:S92" si="13">$R29*L29</f>
        <v>1.6126299428573464E-7</v>
      </c>
      <c r="T29" s="9">
        <f t="shared" si="10"/>
        <v>3.5809814264722579E-5</v>
      </c>
      <c r="U29" s="9">
        <f t="shared" si="11"/>
        <v>3.9838737005714264E-5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3.1846481838673779</v>
      </c>
      <c r="K30" s="93">
        <f t="shared" si="3"/>
        <v>7.5220832186369255E-2</v>
      </c>
      <c r="L30" s="93">
        <f t="shared" si="4"/>
        <v>1.6119047541269457E-2</v>
      </c>
      <c r="M30" s="93">
        <f t="shared" si="5"/>
        <v>0.98388095245873053</v>
      </c>
      <c r="N30" s="93">
        <f t="shared" si="6"/>
        <v>2.2996471086564435E-4</v>
      </c>
      <c r="O30" s="40">
        <f t="shared" si="7"/>
        <v>7.5270353145804872E-8</v>
      </c>
      <c r="P30" s="40">
        <f t="shared" si="8"/>
        <v>1.1515217291375173E-4</v>
      </c>
      <c r="Q30" s="40">
        <f t="shared" si="9"/>
        <v>3.2856700846452215E-5</v>
      </c>
      <c r="R30" s="9">
        <f t="shared" si="12"/>
        <v>3.9999999999999996E-5</v>
      </c>
      <c r="S30" s="9">
        <f t="shared" si="13"/>
        <v>6.4476190165077819E-7</v>
      </c>
      <c r="T30" s="9">
        <f t="shared" si="10"/>
        <v>3.0088332874547699E-6</v>
      </c>
      <c r="U30" s="9">
        <f t="shared" si="11"/>
        <v>3.9355238098349215E-5</v>
      </c>
      <c r="V30" s="100">
        <f t="shared" si="14"/>
        <v>7.6453184705315688E-2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-4.6726110400890343E-2</v>
      </c>
      <c r="K31" s="93">
        <f t="shared" si="3"/>
        <v>0.99981614546464503</v>
      </c>
      <c r="L31" s="93">
        <f t="shared" si="4"/>
        <v>1.2576132192506357E-4</v>
      </c>
      <c r="M31" s="93">
        <f t="shared" si="5"/>
        <v>0.9998742386780749</v>
      </c>
      <c r="N31" s="93">
        <f t="shared" si="6"/>
        <v>1.1385037268767285E-7</v>
      </c>
      <c r="O31" s="40">
        <f t="shared" si="7"/>
        <v>1.0004743654463113E-6</v>
      </c>
      <c r="P31" s="40">
        <f t="shared" si="8"/>
        <v>8.9842091792952232E-7</v>
      </c>
      <c r="Q31" s="40">
        <f t="shared" si="9"/>
        <v>1.6266615962835585E-8</v>
      </c>
      <c r="R31" s="9">
        <f t="shared" si="12"/>
        <v>3.9999999999999996E-5</v>
      </c>
      <c r="S31" s="9">
        <f t="shared" si="13"/>
        <v>5.0304528770025425E-9</v>
      </c>
      <c r="T31" s="9">
        <f t="shared" si="10"/>
        <v>3.9992645818585797E-5</v>
      </c>
      <c r="U31" s="9">
        <f t="shared" si="11"/>
        <v>3.999496954712299E-5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7.9809959531048844E-2</v>
      </c>
      <c r="K32" s="93">
        <f t="shared" si="3"/>
        <v>0.99806514865513807</v>
      </c>
      <c r="L32" s="93">
        <f t="shared" si="4"/>
        <v>1.6800488465678758E-4</v>
      </c>
      <c r="M32" s="93">
        <f t="shared" si="5"/>
        <v>0.99983199511534326</v>
      </c>
      <c r="N32" s="93">
        <f t="shared" si="6"/>
        <v>1.3990831796368196E-5</v>
      </c>
      <c r="O32" s="40">
        <f t="shared" si="7"/>
        <v>9.9872221588377753E-7</v>
      </c>
      <c r="P32" s="40">
        <f t="shared" si="8"/>
        <v>1.2002028952902826E-6</v>
      </c>
      <c r="Q32" s="40">
        <f t="shared" si="9"/>
        <v>1.9989700732599553E-6</v>
      </c>
      <c r="R32" s="9">
        <f t="shared" si="12"/>
        <v>3.9999999999999996E-5</v>
      </c>
      <c r="S32" s="9">
        <f t="shared" si="13"/>
        <v>6.7201953862715028E-9</v>
      </c>
      <c r="T32" s="9">
        <f t="shared" si="10"/>
        <v>3.992260594620552E-5</v>
      </c>
      <c r="U32" s="9">
        <f t="shared" si="11"/>
        <v>3.9993279804613725E-5</v>
      </c>
      <c r="V32" s="100">
        <f t="shared" si="14"/>
        <v>0.9982328566510803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0.85658284176588462</v>
      </c>
      <c r="K33" s="93">
        <f t="shared" si="3"/>
        <v>0.97561219745804129</v>
      </c>
      <c r="L33" s="93">
        <f t="shared" si="4"/>
        <v>9.8222983514949626E-4</v>
      </c>
      <c r="M33" s="93">
        <f t="shared" si="5"/>
        <v>0.99901777016485049</v>
      </c>
      <c r="N33" s="93">
        <f t="shared" si="6"/>
        <v>4.983514161319444E-4</v>
      </c>
      <c r="O33" s="40">
        <f t="shared" si="7"/>
        <v>9.7625448298787306E-7</v>
      </c>
      <c r="P33" s="40">
        <f t="shared" si="8"/>
        <v>7.0169096237601244E-6</v>
      </c>
      <c r="Q33" s="40">
        <f t="shared" si="9"/>
        <v>7.1203026475743258E-5</v>
      </c>
      <c r="R33" s="9">
        <f t="shared" si="12"/>
        <v>3.9999999999999996E-5</v>
      </c>
      <c r="S33" s="9">
        <f t="shared" si="13"/>
        <v>3.9289193405979848E-8</v>
      </c>
      <c r="T33" s="9">
        <f t="shared" si="10"/>
        <v>3.9024487898321649E-5</v>
      </c>
      <c r="U33" s="9">
        <f t="shared" si="11"/>
        <v>3.9960710806594015E-5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4.2050150361398808E-2</v>
      </c>
      <c r="K34" s="93">
        <f t="shared" si="3"/>
        <v>0.99859854528725878</v>
      </c>
      <c r="L34" s="93">
        <f t="shared" si="4"/>
        <v>1.5409698370740478E-4</v>
      </c>
      <c r="M34" s="93">
        <f t="shared" si="5"/>
        <v>0.99984590301629261</v>
      </c>
      <c r="N34" s="93">
        <f t="shared" si="6"/>
        <v>8.5948717753758186E-6</v>
      </c>
      <c r="O34" s="40">
        <f t="shared" si="7"/>
        <v>9.9925596367278147E-7</v>
      </c>
      <c r="P34" s="40">
        <f t="shared" si="8"/>
        <v>1.1008468377508842E-6</v>
      </c>
      <c r="Q34" s="40">
        <f t="shared" si="9"/>
        <v>1.2280107224891957E-6</v>
      </c>
      <c r="R34" s="9">
        <f t="shared" si="12"/>
        <v>3.9999999999999996E-5</v>
      </c>
      <c r="S34" s="9">
        <f t="shared" si="13"/>
        <v>6.163879348296191E-9</v>
      </c>
      <c r="T34" s="9">
        <f t="shared" si="10"/>
        <v>3.9943941811490348E-5</v>
      </c>
      <c r="U34" s="9">
        <f t="shared" si="11"/>
        <v>3.99938361206517E-5</v>
      </c>
      <c r="V34" s="100">
        <f t="shared" si="14"/>
        <v>0.9987524500272783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1.913510872444386E-2</v>
      </c>
      <c r="K35" s="93">
        <f t="shared" si="3"/>
        <v>0.99891328456512796</v>
      </c>
      <c r="L35" s="93">
        <f t="shared" si="4"/>
        <v>1.4622308961971227E-4</v>
      </c>
      <c r="M35" s="93">
        <f t="shared" si="5"/>
        <v>0.99985377691038024</v>
      </c>
      <c r="N35" s="93">
        <f t="shared" si="6"/>
        <v>5.7849417088306644E-6</v>
      </c>
      <c r="O35" s="40">
        <f t="shared" si="7"/>
        <v>9.99570910156428E-7</v>
      </c>
      <c r="P35" s="40">
        <f t="shared" si="8"/>
        <v>1.0445968632304218E-6</v>
      </c>
      <c r="Q35" s="40">
        <f t="shared" si="9"/>
        <v>8.2653594295284281E-7</v>
      </c>
      <c r="R35" s="9">
        <f t="shared" si="12"/>
        <v>3.9999999999999996E-5</v>
      </c>
      <c r="S35" s="9">
        <f t="shared" si="13"/>
        <v>5.8489235847884906E-9</v>
      </c>
      <c r="T35" s="9">
        <f t="shared" si="10"/>
        <v>3.9956531382605115E-5</v>
      </c>
      <c r="U35" s="9">
        <f t="shared" si="11"/>
        <v>3.9994151076415209E-5</v>
      </c>
      <c r="V35" s="100">
        <f t="shared" si="14"/>
        <v>0.99905937011293944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2.9136453532291715</v>
      </c>
      <c r="K36" s="93">
        <f t="shared" si="3"/>
        <v>0.34047920464316583</v>
      </c>
      <c r="L36" s="93">
        <f t="shared" si="4"/>
        <v>3.9092100220961448E-2</v>
      </c>
      <c r="M36" s="93">
        <f t="shared" si="5"/>
        <v>0.96090789977903857</v>
      </c>
      <c r="N36" s="93">
        <f t="shared" si="6"/>
        <v>3.1151549569408521E-2</v>
      </c>
      <c r="O36" s="40">
        <f t="shared" si="7"/>
        <v>3.4070335607026024E-7</v>
      </c>
      <c r="P36" s="40">
        <f t="shared" si="8"/>
        <v>2.7926837939280276E-4</v>
      </c>
      <c r="Q36" s="40">
        <f t="shared" si="9"/>
        <v>4.4508443980497484E-3</v>
      </c>
      <c r="R36" s="9">
        <f t="shared" si="12"/>
        <v>3.9999999999999996E-5</v>
      </c>
      <c r="S36" s="9">
        <f t="shared" si="13"/>
        <v>1.5636840088384578E-6</v>
      </c>
      <c r="T36" s="9">
        <f t="shared" si="10"/>
        <v>1.3619168185726632E-5</v>
      </c>
      <c r="U36" s="9">
        <f t="shared" si="11"/>
        <v>3.8436315991161537E-5</v>
      </c>
      <c r="V36" s="100">
        <f t="shared" si="14"/>
        <v>0.35433073733857245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5.2086075661318931</v>
      </c>
      <c r="K37" s="93">
        <f t="shared" si="3"/>
        <v>5.5158446319370762E-3</v>
      </c>
      <c r="L37" s="93">
        <f t="shared" si="4"/>
        <v>0.12490293661944467</v>
      </c>
      <c r="M37" s="93">
        <f t="shared" si="5"/>
        <v>0.87509706338055537</v>
      </c>
      <c r="N37" s="93">
        <f t="shared" si="6"/>
        <v>0.12119842835459654</v>
      </c>
      <c r="O37" s="40">
        <f t="shared" si="7"/>
        <v>5.5194759387218051E-9</v>
      </c>
      <c r="P37" s="40">
        <f t="shared" si="8"/>
        <v>8.9228873593265269E-4</v>
      </c>
      <c r="Q37" s="40">
        <f t="shared" si="9"/>
        <v>1.7316485162080883E-2</v>
      </c>
      <c r="R37" s="9">
        <f t="shared" si="12"/>
        <v>3.9999999999999996E-5</v>
      </c>
      <c r="S37" s="9">
        <f t="shared" si="13"/>
        <v>4.9961174647777865E-6</v>
      </c>
      <c r="T37" s="9">
        <f t="shared" si="10"/>
        <v>2.2063378527748302E-7</v>
      </c>
      <c r="U37" s="9">
        <f t="shared" si="11"/>
        <v>3.5003882535222213E-5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-4.0187315675825341E-2</v>
      </c>
      <c r="K38" s="93">
        <f t="shared" si="3"/>
        <v>0.99972197115446859</v>
      </c>
      <c r="L38" s="93">
        <f t="shared" si="4"/>
        <v>1.2765710157444538E-4</v>
      </c>
      <c r="M38" s="93">
        <f t="shared" si="5"/>
        <v>0.99987234289842553</v>
      </c>
      <c r="N38" s="93">
        <f t="shared" si="6"/>
        <v>4.3721563858011603E-7</v>
      </c>
      <c r="O38" s="40">
        <f t="shared" si="7"/>
        <v>1.0003801291373233E-6</v>
      </c>
      <c r="P38" s="40">
        <f t="shared" si="8"/>
        <v>9.1196409691904123E-7</v>
      </c>
      <c r="Q38" s="40">
        <f t="shared" si="9"/>
        <v>6.2468121252788171E-8</v>
      </c>
      <c r="R38" s="9">
        <f t="shared" si="12"/>
        <v>3.9999999999999996E-5</v>
      </c>
      <c r="S38" s="9">
        <f t="shared" si="13"/>
        <v>5.1062840629778144E-9</v>
      </c>
      <c r="T38" s="9">
        <f t="shared" si="10"/>
        <v>3.9988878846178737E-5</v>
      </c>
      <c r="U38" s="9">
        <f t="shared" si="11"/>
        <v>3.9994893715937021E-5</v>
      </c>
      <c r="V38" s="100">
        <f t="shared" si="14"/>
        <v>0.99984960905757125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1.4630863314519809</v>
      </c>
      <c r="K39" s="93">
        <f t="shared" si="3"/>
        <v>0.89216066347982426</v>
      </c>
      <c r="L39" s="93">
        <f t="shared" si="4"/>
        <v>3.629798030644314E-3</v>
      </c>
      <c r="M39" s="93">
        <f t="shared" si="5"/>
        <v>0.99637020196935566</v>
      </c>
      <c r="N39" s="93">
        <f t="shared" si="6"/>
        <v>1.8728290342734128E-3</v>
      </c>
      <c r="O39" s="40">
        <f t="shared" si="7"/>
        <v>8.9274800944160214E-7</v>
      </c>
      <c r="P39" s="40">
        <f t="shared" si="8"/>
        <v>2.5930758588347172E-5</v>
      </c>
      <c r="Q39" s="40">
        <f t="shared" si="9"/>
        <v>2.6758446147688727E-4</v>
      </c>
      <c r="R39" s="9">
        <f t="shared" si="12"/>
        <v>3.9999999999999996E-5</v>
      </c>
      <c r="S39" s="9">
        <f t="shared" si="13"/>
        <v>1.4519192122577255E-7</v>
      </c>
      <c r="T39" s="9">
        <f t="shared" si="10"/>
        <v>3.5686426539192967E-5</v>
      </c>
      <c r="U39" s="9">
        <f t="shared" si="11"/>
        <v>3.9854808078774225E-5</v>
      </c>
      <c r="V39" s="100">
        <f t="shared" si="14"/>
        <v>0.89541082392512528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1.7075818611730444</v>
      </c>
      <c r="K40" s="93">
        <f t="shared" si="3"/>
        <v>0.87524051044628559</v>
      </c>
      <c r="L40" s="93">
        <f t="shared" si="4"/>
        <v>6.2526242468961216E-3</v>
      </c>
      <c r="M40" s="93">
        <f t="shared" si="5"/>
        <v>0.9937473757531039</v>
      </c>
      <c r="N40" s="93">
        <f t="shared" si="6"/>
        <v>4.496842670358831E-3</v>
      </c>
      <c r="O40" s="40">
        <f t="shared" si="7"/>
        <v>8.7581671717724579E-7</v>
      </c>
      <c r="P40" s="40">
        <f t="shared" si="8"/>
        <v>4.4667854387790623E-5</v>
      </c>
      <c r="Q40" s="40">
        <f t="shared" si="9"/>
        <v>6.4249603261895441E-4</v>
      </c>
      <c r="R40" s="9">
        <f t="shared" si="12"/>
        <v>3.9999999999999996E-5</v>
      </c>
      <c r="S40" s="9">
        <f t="shared" si="13"/>
        <v>2.5010496987584485E-7</v>
      </c>
      <c r="T40" s="9">
        <f t="shared" si="10"/>
        <v>3.5009620417851421E-5</v>
      </c>
      <c r="U40" s="9">
        <f t="shared" si="11"/>
        <v>3.9749895030124154E-5</v>
      </c>
      <c r="V40" s="100">
        <f t="shared" si="14"/>
        <v>0.88074749358003712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0.63617430590334978</v>
      </c>
      <c r="K41" s="93">
        <f t="shared" si="3"/>
        <v>0.98375803317447008</v>
      </c>
      <c r="L41" s="93">
        <f t="shared" si="4"/>
        <v>5.9623251493891793E-4</v>
      </c>
      <c r="M41" s="93">
        <f t="shared" si="5"/>
        <v>0.9994037674850611</v>
      </c>
      <c r="N41" s="93">
        <f t="shared" si="6"/>
        <v>2.207650675854747E-4</v>
      </c>
      <c r="O41" s="40">
        <f t="shared" si="7"/>
        <v>9.8440568144210145E-7</v>
      </c>
      <c r="P41" s="40">
        <f t="shared" si="8"/>
        <v>4.2593999106500674E-6</v>
      </c>
      <c r="Q41" s="40">
        <f t="shared" si="9"/>
        <v>3.1542282099276668E-5</v>
      </c>
      <c r="R41" s="9">
        <f t="shared" si="12"/>
        <v>3.9999999999999996E-5</v>
      </c>
      <c r="S41" s="9">
        <f t="shared" si="13"/>
        <v>2.3849300597556714E-8</v>
      </c>
      <c r="T41" s="9">
        <f t="shared" si="10"/>
        <v>3.93503213269788E-5</v>
      </c>
      <c r="U41" s="9">
        <f t="shared" si="11"/>
        <v>3.9976150699402438E-5</v>
      </c>
      <c r="V41" s="100">
        <f t="shared" si="14"/>
        <v>0.98434493162862235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1.3625600825731248</v>
      </c>
      <c r="K42" s="93">
        <f t="shared" si="3"/>
        <v>0.93298630115363745</v>
      </c>
      <c r="L42" s="93">
        <f t="shared" si="4"/>
        <v>3.0115384208227736E-3</v>
      </c>
      <c r="M42" s="93">
        <f t="shared" si="5"/>
        <v>0.9969884615791772</v>
      </c>
      <c r="N42" s="93">
        <f t="shared" si="6"/>
        <v>1.9615362115966719E-3</v>
      </c>
      <c r="O42" s="40">
        <f t="shared" si="7"/>
        <v>9.3360052430739021E-7</v>
      </c>
      <c r="P42" s="40">
        <f t="shared" si="8"/>
        <v>2.1514000258583496E-5</v>
      </c>
      <c r="Q42" s="40">
        <f t="shared" si="9"/>
        <v>2.8025868952375648E-4</v>
      </c>
      <c r="R42" s="9">
        <f t="shared" si="12"/>
        <v>3.9999999999999996E-5</v>
      </c>
      <c r="S42" s="9">
        <f t="shared" si="13"/>
        <v>1.2046153683291094E-7</v>
      </c>
      <c r="T42" s="9">
        <f t="shared" si="10"/>
        <v>3.7319452046145497E-5</v>
      </c>
      <c r="U42" s="9">
        <f t="shared" si="11"/>
        <v>3.9879538463167083E-5</v>
      </c>
      <c r="V42" s="100">
        <f t="shared" si="14"/>
        <v>0.93580451239710072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1.4662062884307066</v>
      </c>
      <c r="K43" s="93">
        <f t="shared" si="3"/>
        <v>0.89770035982049712</v>
      </c>
      <c r="L43" s="93">
        <f t="shared" si="4"/>
        <v>3.6786692849533273E-3</v>
      </c>
      <c r="M43" s="93">
        <f t="shared" si="5"/>
        <v>0.99632133071504669</v>
      </c>
      <c r="N43" s="93">
        <f t="shared" si="6"/>
        <v>2.0341335462339964E-3</v>
      </c>
      <c r="O43" s="40">
        <f t="shared" si="7"/>
        <v>8.9829135279161805E-7</v>
      </c>
      <c r="P43" s="40">
        <f t="shared" si="8"/>
        <v>2.6279887847523007E-5</v>
      </c>
      <c r="Q43" s="40">
        <f t="shared" si="9"/>
        <v>2.9063118927578121E-4</v>
      </c>
      <c r="R43" s="9">
        <f t="shared" si="12"/>
        <v>3.9999999999999996E-5</v>
      </c>
      <c r="S43" s="9">
        <f t="shared" si="13"/>
        <v>1.4714677139813307E-7</v>
      </c>
      <c r="T43" s="9">
        <f t="shared" si="10"/>
        <v>3.5908014392819878E-5</v>
      </c>
      <c r="U43" s="9">
        <f t="shared" si="11"/>
        <v>3.9852853228601864E-5</v>
      </c>
      <c r="V43" s="100">
        <f t="shared" si="14"/>
        <v>0.90101489564238213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5.7902923462368587</v>
      </c>
      <c r="K44" s="93">
        <f t="shared" si="3"/>
        <v>1.3109576655795014E-3</v>
      </c>
      <c r="L44" s="93">
        <f t="shared" si="4"/>
        <v>0.11330108586115611</v>
      </c>
      <c r="M44" s="93">
        <f t="shared" si="5"/>
        <v>0.88669891413884394</v>
      </c>
      <c r="N44" s="93">
        <f t="shared" si="6"/>
        <v>0.10807362783744967</v>
      </c>
      <c r="O44" s="40">
        <f t="shared" si="7"/>
        <v>1.311820722787086E-9</v>
      </c>
      <c r="P44" s="40">
        <f t="shared" si="8"/>
        <v>8.0940677152269093E-4</v>
      </c>
      <c r="Q44" s="40">
        <f t="shared" si="9"/>
        <v>1.5441251163620986E-2</v>
      </c>
      <c r="R44" s="9">
        <f t="shared" si="12"/>
        <v>3.9999999999999996E-5</v>
      </c>
      <c r="S44" s="9">
        <f t="shared" si="13"/>
        <v>4.5320434344462438E-6</v>
      </c>
      <c r="T44" s="9">
        <f t="shared" si="10"/>
        <v>5.2438306623180054E-8</v>
      </c>
      <c r="U44" s="9">
        <f t="shared" si="11"/>
        <v>3.5467956565553754E-5</v>
      </c>
      <c r="V44" s="100">
        <f t="shared" si="14"/>
        <v>1.4784699120249795E-3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0.50735979747220017</v>
      </c>
      <c r="K45" s="93">
        <f t="shared" si="3"/>
        <v>0.9899745205406032</v>
      </c>
      <c r="L45" s="93">
        <f t="shared" si="4"/>
        <v>4.4600206865501264E-4</v>
      </c>
      <c r="M45" s="93">
        <f t="shared" si="5"/>
        <v>0.99955399793134503</v>
      </c>
      <c r="N45" s="93">
        <f t="shared" si="6"/>
        <v>1.7121155824867157E-4</v>
      </c>
      <c r="O45" s="40">
        <f t="shared" si="7"/>
        <v>9.9062626137687202E-7</v>
      </c>
      <c r="P45" s="40">
        <f t="shared" si="8"/>
        <v>3.1861750638901744E-6</v>
      </c>
      <c r="Q45" s="40">
        <f t="shared" si="9"/>
        <v>2.4462218266689479E-5</v>
      </c>
      <c r="R45" s="9">
        <f t="shared" si="12"/>
        <v>3.9999999999999996E-5</v>
      </c>
      <c r="S45" s="9">
        <f t="shared" si="13"/>
        <v>1.7840082746200503E-8</v>
      </c>
      <c r="T45" s="9">
        <f t="shared" si="10"/>
        <v>3.9598980821624124E-5</v>
      </c>
      <c r="U45" s="9">
        <f t="shared" si="11"/>
        <v>3.9982159917253801E-5</v>
      </c>
      <c r="V45" s="100">
        <f t="shared" si="14"/>
        <v>0.99041624823614605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0.50980800632319279</v>
      </c>
      <c r="K46" s="93">
        <f t="shared" si="3"/>
        <v>0.98942346695644379</v>
      </c>
      <c r="L46" s="93">
        <f t="shared" si="4"/>
        <v>4.482737121030219E-4</v>
      </c>
      <c r="M46" s="93">
        <f t="shared" si="5"/>
        <v>0.99955172628789701</v>
      </c>
      <c r="N46" s="93">
        <f t="shared" si="6"/>
        <v>1.6318576415709398E-4</v>
      </c>
      <c r="O46" s="40">
        <f t="shared" si="7"/>
        <v>9.9007484501153359E-7</v>
      </c>
      <c r="P46" s="40">
        <f t="shared" si="8"/>
        <v>3.2024033601622588E-6</v>
      </c>
      <c r="Q46" s="40">
        <f t="shared" si="9"/>
        <v>2.3315515737725136E-5</v>
      </c>
      <c r="R46" s="9">
        <f t="shared" si="12"/>
        <v>3.9999999999999996E-5</v>
      </c>
      <c r="S46" s="9">
        <f t="shared" si="13"/>
        <v>1.7930948484120874E-8</v>
      </c>
      <c r="T46" s="9">
        <f t="shared" si="10"/>
        <v>3.9576938678257751E-5</v>
      </c>
      <c r="U46" s="9">
        <f t="shared" si="11"/>
        <v>3.998206905151588E-5</v>
      </c>
      <c r="V46" s="100">
        <f t="shared" si="14"/>
        <v>0.98986719839995951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1.9607549023758677</v>
      </c>
      <c r="K47" s="93">
        <f t="shared" si="3"/>
        <v>0.81039554785209456</v>
      </c>
      <c r="L47" s="93">
        <f t="shared" si="4"/>
        <v>1.0370626833501677E-2</v>
      </c>
      <c r="M47" s="93">
        <f t="shared" si="5"/>
        <v>0.98962937316649835</v>
      </c>
      <c r="N47" s="93">
        <f t="shared" si="6"/>
        <v>7.8817759921893174E-3</v>
      </c>
      <c r="O47" s="40">
        <f t="shared" si="7"/>
        <v>8.1092906448419666E-7</v>
      </c>
      <c r="P47" s="40">
        <f t="shared" si="8"/>
        <v>7.4086276580416903E-5</v>
      </c>
      <c r="Q47" s="40">
        <f t="shared" si="9"/>
        <v>1.1261256344040319E-3</v>
      </c>
      <c r="R47" s="9">
        <f t="shared" si="12"/>
        <v>3.9999999999999996E-5</v>
      </c>
      <c r="S47" s="9">
        <f t="shared" si="13"/>
        <v>4.1482507334006704E-7</v>
      </c>
      <c r="T47" s="9">
        <f t="shared" si="10"/>
        <v>3.2415821914083777E-5</v>
      </c>
      <c r="U47" s="9">
        <f t="shared" si="11"/>
        <v>3.958517492665993E-5</v>
      </c>
      <c r="V47" s="100">
        <f t="shared" si="14"/>
        <v>0.81888792898202611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3.5001380315971067E-2</v>
      </c>
      <c r="K48" s="93">
        <f t="shared" ref="K48:K50" si="17">IF(D48=0,"",1/(1+10^D48*$J$15/$J$14+10^E48*$J$16/$J$14+10^J48*$J$19/$J$14))</f>
        <v>0.99884721775977758</v>
      </c>
      <c r="L48" s="93">
        <f t="shared" ref="L48:L50" si="18">IF(D48=0,"",1/(1+10^I48/10^J48*$J$13/$J$19))</f>
        <v>1.516538719814872E-4</v>
      </c>
      <c r="M48" s="93">
        <f t="shared" ref="M48:M92" si="19">IF(D48=0,"",1-L48)</f>
        <v>0.99984834612801854</v>
      </c>
      <c r="N48" s="93">
        <f t="shared" ref="N48:N50" si="20">IF(D48=0,"",1/(1/10^E48*$J$20/$J$22+10^D48/10^E48*$J$21/$J$22+10^I48/10^E48*$J$13/$J$22+1))</f>
        <v>1.0622387178189545E-5</v>
      </c>
      <c r="O48" s="40">
        <f t="shared" ref="O48:O92" si="21">IF(D48=0,"",F48*K48*$J$7/$J$14)</f>
        <v>9.9950479985658945E-7</v>
      </c>
      <c r="P48" s="40">
        <f t="shared" ref="P48:P50" si="22">IF(D48=0,"",O48*10^J48)</f>
        <v>1.0833935965968896E-6</v>
      </c>
      <c r="Q48" s="40">
        <f t="shared" ref="Q48:Q50" si="23">IF(D48=0,"",F48*N48*$J$7/$J$22)</f>
        <v>1.5176963303420701E-6</v>
      </c>
      <c r="R48" s="9">
        <f t="shared" si="12"/>
        <v>3.9999999999999996E-5</v>
      </c>
      <c r="S48" s="9">
        <f t="shared" si="13"/>
        <v>6.0661548792594877E-9</v>
      </c>
      <c r="T48" s="9">
        <f t="shared" si="10"/>
        <v>3.9953888710391101E-5</v>
      </c>
      <c r="U48" s="9">
        <f t="shared" si="11"/>
        <v>3.999393384512074E-5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0.86614766954915146</v>
      </c>
      <c r="K49" s="93">
        <f t="shared" si="17"/>
        <v>0.97660645709571214</v>
      </c>
      <c r="L49" s="93">
        <f t="shared" si="18"/>
        <v>1.0051255655040181E-3</v>
      </c>
      <c r="M49" s="93">
        <f t="shared" si="19"/>
        <v>0.99899487443449597</v>
      </c>
      <c r="N49" s="93">
        <f t="shared" si="20"/>
        <v>5.4318235573255574E-4</v>
      </c>
      <c r="O49" s="40">
        <f t="shared" si="21"/>
        <v>9.7724939718744847E-7</v>
      </c>
      <c r="P49" s="40">
        <f t="shared" si="22"/>
        <v>7.1804734505942048E-6</v>
      </c>
      <c r="Q49" s="40">
        <f t="shared" si="23"/>
        <v>7.7608343037479749E-5</v>
      </c>
      <c r="R49" s="9">
        <f t="shared" si="12"/>
        <v>3.9999999999999996E-5</v>
      </c>
      <c r="S49" s="9">
        <f t="shared" si="13"/>
        <v>4.020502262016072E-8</v>
      </c>
      <c r="T49" s="9">
        <f t="shared" si="10"/>
        <v>3.9064258283828486E-5</v>
      </c>
      <c r="U49" s="9">
        <f t="shared" si="11"/>
        <v>3.9959794977379832E-5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1.8465793817928891</v>
      </c>
      <c r="K50" s="93">
        <f t="shared" si="17"/>
        <v>0.81195339448078252</v>
      </c>
      <c r="L50" s="93">
        <f t="shared" si="18"/>
        <v>7.9884687767626927E-3</v>
      </c>
      <c r="M50" s="93">
        <f t="shared" si="19"/>
        <v>0.99201153122323726</v>
      </c>
      <c r="N50" s="93">
        <f t="shared" si="20"/>
        <v>5.2334028264216896E-3</v>
      </c>
      <c r="O50" s="40">
        <f t="shared" si="21"/>
        <v>8.1248793670722404E-7</v>
      </c>
      <c r="P50" s="40">
        <f t="shared" si="22"/>
        <v>5.7068479731367427E-5</v>
      </c>
      <c r="Q50" s="40">
        <f t="shared" si="23"/>
        <v>7.4773364325962687E-4</v>
      </c>
      <c r="R50" s="9">
        <f t="shared" si="12"/>
        <v>3.9999999999999996E-5</v>
      </c>
      <c r="S50" s="9">
        <f t="shared" si="13"/>
        <v>3.1953875107050769E-7</v>
      </c>
      <c r="T50" s="9">
        <f t="shared" si="10"/>
        <v>3.24781357792313E-5</v>
      </c>
      <c r="U50" s="9">
        <f t="shared" si="11"/>
        <v>3.9680461248929486E-5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4.7849539498028779</v>
      </c>
      <c r="K51" s="93">
        <f t="shared" ref="K51:K70" si="26">IF(D51=0,"",1/(1+10^D51*$J$15/$J$14+10^E51*$J$16/$J$14+10^J51*$J$19/$J$14))</f>
        <v>9.5686586304667819E-3</v>
      </c>
      <c r="L51" s="93">
        <f t="shared" ref="L51:L70" si="27">IF(D51=0,"",1/(1+10^I51/10^J51*$J$13/$J$19))</f>
        <v>8.1687963543849454E-2</v>
      </c>
      <c r="M51" s="93">
        <f t="shared" ref="M51:M70" si="28">IF(D51=0,"",1-L51)</f>
        <v>0.91831203645615056</v>
      </c>
      <c r="N51" s="93">
        <f t="shared" ref="N51:N70" si="29">IF(D51=0,"",1/(1/10^E51*$J$20/$J$22+10^D51/10^E51*$J$21/$J$22+10^I51/10^E51*$J$13/$J$22+1))</f>
        <v>7.2689239291852517E-2</v>
      </c>
      <c r="O51" s="40">
        <f t="shared" ref="O51:O70" si="30">IF(D51=0,"",F51*K51*$J$7/$J$14)</f>
        <v>9.5749580709558007E-9</v>
      </c>
      <c r="P51" s="40">
        <f t="shared" ref="P51:P70" si="31">IF(D51=0,"",O51*10^J51)</f>
        <v>5.8356714184818316E-4</v>
      </c>
      <c r="Q51" s="40">
        <f t="shared" ref="Q51:Q70" si="32">IF(D51=0,"",F51*N51*$J$7/$J$22)</f>
        <v>1.0385630826479052E-2</v>
      </c>
      <c r="R51" s="9">
        <f t="shared" si="12"/>
        <v>3.9999999999999996E-5</v>
      </c>
      <c r="S51" s="9">
        <f t="shared" si="13"/>
        <v>3.2675185417539778E-6</v>
      </c>
      <c r="T51" s="9">
        <f t="shared" si="10"/>
        <v>3.8274634521867123E-7</v>
      </c>
      <c r="U51" s="9">
        <f t="shared" si="11"/>
        <v>3.673248145824602E-5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2.1476419495508856</v>
      </c>
      <c r="K52" s="93">
        <f t="shared" si="26"/>
        <v>0.73482790663736453</v>
      </c>
      <c r="L52" s="93">
        <f t="shared" si="27"/>
        <v>1.4460411413320811E-2</v>
      </c>
      <c r="M52" s="93">
        <f t="shared" si="28"/>
        <v>0.98553958858667923</v>
      </c>
      <c r="N52" s="93">
        <f t="shared" si="29"/>
        <v>1.1029115988519125E-2</v>
      </c>
      <c r="O52" s="40">
        <f t="shared" si="30"/>
        <v>7.3531167399142122E-7</v>
      </c>
      <c r="P52" s="40">
        <f t="shared" si="31"/>
        <v>1.0330311336370483E-4</v>
      </c>
      <c r="Q52" s="40">
        <f t="shared" si="32"/>
        <v>1.5758085806796451E-3</v>
      </c>
      <c r="R52" s="9">
        <f t="shared" si="12"/>
        <v>3.9999999999999996E-5</v>
      </c>
      <c r="S52" s="9">
        <f t="shared" si="13"/>
        <v>5.7841645653283234E-7</v>
      </c>
      <c r="T52" s="9">
        <f t="shared" si="10"/>
        <v>2.9393116265494578E-5</v>
      </c>
      <c r="U52" s="9">
        <f t="shared" si="11"/>
        <v>3.9421583543467163E-5</v>
      </c>
      <c r="V52" s="100">
        <f t="shared" si="14"/>
        <v>0.74560973008821518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3.0007157776870899</v>
      </c>
      <c r="K53" s="93">
        <f t="shared" si="26"/>
        <v>0.32256361869791977</v>
      </c>
      <c r="L53" s="93">
        <f t="shared" si="27"/>
        <v>4.5256839184738738E-2</v>
      </c>
      <c r="M53" s="93">
        <f t="shared" si="28"/>
        <v>0.95474316081526123</v>
      </c>
      <c r="N53" s="93">
        <f t="shared" si="29"/>
        <v>3.7738657393200488E-2</v>
      </c>
      <c r="O53" s="40">
        <f t="shared" si="30"/>
        <v>3.227759755598775E-7</v>
      </c>
      <c r="P53" s="40">
        <f t="shared" si="31"/>
        <v>3.2330839387303289E-4</v>
      </c>
      <c r="Q53" s="40">
        <f t="shared" si="32"/>
        <v>5.3919915436050764E-3</v>
      </c>
      <c r="R53" s="9">
        <f t="shared" si="12"/>
        <v>3.9999999999999996E-5</v>
      </c>
      <c r="S53" s="9">
        <f t="shared" si="13"/>
        <v>1.8102735673895494E-6</v>
      </c>
      <c r="T53" s="9">
        <f t="shared" si="10"/>
        <v>1.290254474791679E-5</v>
      </c>
      <c r="U53" s="9">
        <f t="shared" si="11"/>
        <v>3.8189726432610445E-5</v>
      </c>
      <c r="V53" s="100">
        <f t="shared" si="14"/>
        <v>0.33785381444626494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2.3388959370141773</v>
      </c>
      <c r="K54" s="93">
        <f t="shared" si="26"/>
        <v>0.64969066057010172</v>
      </c>
      <c r="L54" s="93">
        <f t="shared" si="27"/>
        <v>1.9858919678439144E-2</v>
      </c>
      <c r="M54" s="93">
        <f t="shared" si="28"/>
        <v>0.98014108032156089</v>
      </c>
      <c r="N54" s="93">
        <f t="shared" si="29"/>
        <v>1.5464136930270399E-2</v>
      </c>
      <c r="O54" s="40">
        <f t="shared" si="30"/>
        <v>6.501183785826873E-7</v>
      </c>
      <c r="P54" s="40">
        <f t="shared" si="31"/>
        <v>1.418692851942438E-4</v>
      </c>
      <c r="Q54" s="40">
        <f t="shared" si="32"/>
        <v>2.2094717013486621E-3</v>
      </c>
      <c r="R54" s="9">
        <f t="shared" si="12"/>
        <v>3.9999999999999996E-5</v>
      </c>
      <c r="S54" s="9">
        <f t="shared" si="13"/>
        <v>7.9435678713756569E-7</v>
      </c>
      <c r="T54" s="9">
        <f t="shared" si="10"/>
        <v>2.5987626422804068E-5</v>
      </c>
      <c r="U54" s="9">
        <f t="shared" si="11"/>
        <v>3.9205643212862429E-5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0.66821968451796954</v>
      </c>
      <c r="K55" s="55">
        <f t="shared" si="26"/>
        <v>0.98517738750433803</v>
      </c>
      <c r="L55" s="55">
        <f t="shared" si="27"/>
        <v>6.4281674013343213E-4</v>
      </c>
      <c r="M55" s="55">
        <f t="shared" si="28"/>
        <v>0.99935718325986655</v>
      </c>
      <c r="N55" s="55">
        <f t="shared" si="29"/>
        <v>3.0039071035014556E-4</v>
      </c>
      <c r="O55" s="56">
        <f t="shared" si="30"/>
        <v>9.8582597019114752E-7</v>
      </c>
      <c r="P55" s="56">
        <f t="shared" si="31"/>
        <v>4.5921909605503631E-6</v>
      </c>
      <c r="Q55" s="56">
        <f t="shared" si="32"/>
        <v>4.2918966435656367E-5</v>
      </c>
      <c r="R55" s="9">
        <f t="shared" si="12"/>
        <v>3.9999999999999996E-5</v>
      </c>
      <c r="S55" s="9">
        <f t="shared" si="13"/>
        <v>2.5712669605337284E-8</v>
      </c>
      <c r="T55" s="9">
        <f t="shared" si="10"/>
        <v>3.9407095500173515E-5</v>
      </c>
      <c r="U55" s="9">
        <f t="shared" si="11"/>
        <v>3.997428733039466E-5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2.1336193491516409</v>
      </c>
      <c r="K56" s="55">
        <f t="shared" si="26"/>
        <v>0.74891301727557391</v>
      </c>
      <c r="L56" s="55">
        <f t="shared" si="27"/>
        <v>1.4269336743102212E-2</v>
      </c>
      <c r="M56" s="55">
        <f t="shared" si="28"/>
        <v>0.98573066325689784</v>
      </c>
      <c r="N56" s="55">
        <f t="shared" si="29"/>
        <v>1.1084712723184422E-2</v>
      </c>
      <c r="O56" s="56">
        <f t="shared" si="30"/>
        <v>7.4940605743574406E-7</v>
      </c>
      <c r="P56" s="56">
        <f t="shared" si="31"/>
        <v>1.0193810321604461E-4</v>
      </c>
      <c r="Q56" s="56">
        <f t="shared" si="32"/>
        <v>1.5837520832808097E-3</v>
      </c>
      <c r="R56" s="9">
        <f t="shared" si="12"/>
        <v>3.9999999999999996E-5</v>
      </c>
      <c r="S56" s="9">
        <f t="shared" si="13"/>
        <v>5.7077346972408845E-7</v>
      </c>
      <c r="T56" s="9">
        <f t="shared" si="10"/>
        <v>2.9956520691022955E-5</v>
      </c>
      <c r="U56" s="9">
        <f t="shared" si="11"/>
        <v>3.9429226530275913E-5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1.4736389783743882</v>
      </c>
      <c r="K57" s="55">
        <f t="shared" si="26"/>
        <v>0.91960966705059166</v>
      </c>
      <c r="L57" s="55">
        <f t="shared" si="27"/>
        <v>3.8335008585676411E-3</v>
      </c>
      <c r="M57" s="55">
        <f t="shared" si="28"/>
        <v>0.9961664991414324</v>
      </c>
      <c r="N57" s="55">
        <f t="shared" si="29"/>
        <v>2.6288547486400032E-3</v>
      </c>
      <c r="O57" s="56">
        <f t="shared" si="30"/>
        <v>9.2021508381739619E-7</v>
      </c>
      <c r="P57" s="56">
        <f t="shared" si="31"/>
        <v>2.7385982490627435E-5</v>
      </c>
      <c r="Q57" s="56">
        <f t="shared" si="32"/>
        <v>3.7560325547211608E-4</v>
      </c>
      <c r="R57" s="9">
        <f t="shared" si="12"/>
        <v>3.9999999999999996E-5</v>
      </c>
      <c r="S57" s="9">
        <f t="shared" si="13"/>
        <v>1.5334003434270563E-7</v>
      </c>
      <c r="T57" s="9">
        <f t="shared" si="10"/>
        <v>3.6784386682023666E-5</v>
      </c>
      <c r="U57" s="9">
        <f t="shared" si="11"/>
        <v>3.9846659965657289E-5</v>
      </c>
      <c r="V57" s="100">
        <f t="shared" si="14"/>
        <v>0.92314855783965544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1.2642800792666067</v>
      </c>
      <c r="K58" s="55">
        <f t="shared" si="26"/>
        <v>0.94230738780384038</v>
      </c>
      <c r="L58" s="55">
        <f t="shared" si="27"/>
        <v>2.4256365823028671E-3</v>
      </c>
      <c r="M58" s="55">
        <f t="shared" si="28"/>
        <v>0.99757436341769712</v>
      </c>
      <c r="N58" s="55">
        <f t="shared" si="29"/>
        <v>1.4817592904553516E-3</v>
      </c>
      <c r="O58" s="56">
        <f t="shared" si="30"/>
        <v>9.4292774741129196E-7</v>
      </c>
      <c r="P58" s="56">
        <f t="shared" si="31"/>
        <v>1.7328401224459924E-5</v>
      </c>
      <c r="Q58" s="56">
        <f t="shared" si="32"/>
        <v>2.1170953382228789E-4</v>
      </c>
      <c r="R58" s="9">
        <f t="shared" si="12"/>
        <v>3.9999999999999996E-5</v>
      </c>
      <c r="S58" s="9">
        <f t="shared" si="13"/>
        <v>9.7025463292114673E-8</v>
      </c>
      <c r="T58" s="9">
        <f t="shared" si="10"/>
        <v>3.7692295512153611E-5</v>
      </c>
      <c r="U58" s="9">
        <f t="shared" si="11"/>
        <v>3.9902974536707881E-5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0.79270412978539373</v>
      </c>
      <c r="K59" s="55">
        <f t="shared" si="26"/>
        <v>0.98267064678495375</v>
      </c>
      <c r="L59" s="55">
        <f t="shared" si="27"/>
        <v>8.5401435705835364E-4</v>
      </c>
      <c r="M59" s="55">
        <f t="shared" si="28"/>
        <v>0.99914598564294166</v>
      </c>
      <c r="N59" s="55">
        <f t="shared" si="29"/>
        <v>4.8971459366664236E-4</v>
      </c>
      <c r="O59" s="56">
        <f t="shared" si="30"/>
        <v>9.8331757918151948E-7</v>
      </c>
      <c r="P59" s="56">
        <f t="shared" si="31"/>
        <v>6.1009565647738706E-6</v>
      </c>
      <c r="Q59" s="56">
        <f t="shared" si="32"/>
        <v>6.9969021958536505E-5</v>
      </c>
      <c r="R59" s="9">
        <f t="shared" si="12"/>
        <v>3.9999999999999996E-5</v>
      </c>
      <c r="S59" s="9">
        <f t="shared" si="13"/>
        <v>3.4160574282334141E-8</v>
      </c>
      <c r="T59" s="9">
        <f t="shared" si="10"/>
        <v>3.9306825871398144E-5</v>
      </c>
      <c r="U59" s="9">
        <f t="shared" si="11"/>
        <v>3.9965839425717664E-5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2.1926316771695706</v>
      </c>
      <c r="K60" s="55">
        <f t="shared" si="26"/>
        <v>0.73102548995313021</v>
      </c>
      <c r="L60" s="55">
        <f t="shared" si="27"/>
        <v>1.595575121927701E-2</v>
      </c>
      <c r="M60" s="55">
        <f t="shared" si="28"/>
        <v>0.98404424878072294</v>
      </c>
      <c r="N60" s="55">
        <f t="shared" si="29"/>
        <v>1.2637336968906962E-2</v>
      </c>
      <c r="O60" s="56">
        <f t="shared" si="30"/>
        <v>7.3150675402030607E-7</v>
      </c>
      <c r="P60" s="56">
        <f t="shared" si="31"/>
        <v>1.1398560731748362E-4</v>
      </c>
      <c r="Q60" s="56">
        <f t="shared" si="32"/>
        <v>1.8055865994403726E-3</v>
      </c>
      <c r="R60" s="9">
        <f t="shared" si="12"/>
        <v>3.9999999999999996E-5</v>
      </c>
      <c r="S60" s="9">
        <f t="shared" si="13"/>
        <v>6.3823004877108038E-7</v>
      </c>
      <c r="T60" s="9">
        <f t="shared" si="10"/>
        <v>2.9241019598125206E-5</v>
      </c>
      <c r="U60" s="9">
        <f t="shared" si="11"/>
        <v>3.9361769951228911E-5</v>
      </c>
      <c r="V60" s="100">
        <f t="shared" si="14"/>
        <v>0.74287867731446544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3.2027420384680658</v>
      </c>
      <c r="K61" s="55">
        <f t="shared" si="26"/>
        <v>0.26982374580438401</v>
      </c>
      <c r="L61" s="55">
        <f t="shared" si="27"/>
        <v>6.028028042899701E-2</v>
      </c>
      <c r="M61" s="55">
        <f t="shared" si="28"/>
        <v>0.93971971957100298</v>
      </c>
      <c r="N61" s="55">
        <f t="shared" si="29"/>
        <v>5.3617086657622187E-2</v>
      </c>
      <c r="O61" s="56">
        <f t="shared" si="30"/>
        <v>2.7000138184459205E-7</v>
      </c>
      <c r="P61" s="56">
        <f t="shared" si="31"/>
        <v>4.3063371191612196E-4</v>
      </c>
      <c r="Q61" s="56">
        <f t="shared" si="32"/>
        <v>7.6606561499648921E-3</v>
      </c>
      <c r="R61" s="9">
        <f t="shared" si="12"/>
        <v>3.9999999999999996E-5</v>
      </c>
      <c r="S61" s="9">
        <f t="shared" si="13"/>
        <v>2.4112112171598802E-6</v>
      </c>
      <c r="T61" s="9">
        <f t="shared" si="10"/>
        <v>1.0792949832175359E-5</v>
      </c>
      <c r="U61" s="9">
        <f t="shared" si="11"/>
        <v>3.7588788782840117E-5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4.1780835037756168</v>
      </c>
      <c r="K62" s="55">
        <f t="shared" si="26"/>
        <v>4.766612042697093E-2</v>
      </c>
      <c r="L62" s="55">
        <f t="shared" si="27"/>
        <v>0.10061120909594741</v>
      </c>
      <c r="M62" s="55">
        <f t="shared" si="28"/>
        <v>0.89938879090405255</v>
      </c>
      <c r="N62" s="55">
        <f t="shared" si="29"/>
        <v>9.4696265288280582E-2</v>
      </c>
      <c r="O62" s="56">
        <f t="shared" si="30"/>
        <v>4.7697500989343185E-8</v>
      </c>
      <c r="P62" s="56">
        <f t="shared" si="31"/>
        <v>7.1875210475157766E-4</v>
      </c>
      <c r="Q62" s="56">
        <f t="shared" si="32"/>
        <v>1.3529931823631563E-2</v>
      </c>
      <c r="R62" s="9">
        <f t="shared" si="12"/>
        <v>3.9999999999999996E-5</v>
      </c>
      <c r="S62" s="9">
        <f t="shared" si="13"/>
        <v>4.0244483638378962E-6</v>
      </c>
      <c r="T62" s="9">
        <f t="shared" si="10"/>
        <v>1.9066448170788371E-6</v>
      </c>
      <c r="U62" s="9">
        <f t="shared" si="11"/>
        <v>3.5975551636162097E-5</v>
      </c>
      <c r="V62" s="100">
        <f t="shared" si="14"/>
        <v>5.2998348332824602E-2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5.3453840366218301</v>
      </c>
      <c r="K63" s="55">
        <f t="shared" si="26"/>
        <v>4.1005474516773487E-3</v>
      </c>
      <c r="L63" s="55">
        <f t="shared" si="27"/>
        <v>0.12722689757861652</v>
      </c>
      <c r="M63" s="55">
        <f t="shared" si="28"/>
        <v>0.87277310242138351</v>
      </c>
      <c r="N63" s="55">
        <f t="shared" si="29"/>
        <v>0.12378410682169734</v>
      </c>
      <c r="O63" s="56">
        <f t="shared" si="30"/>
        <v>4.1032470102719046E-9</v>
      </c>
      <c r="P63" s="56">
        <f t="shared" si="31"/>
        <v>9.0889078103055401E-4</v>
      </c>
      <c r="Q63" s="56">
        <f t="shared" si="32"/>
        <v>1.7685919513807477E-2</v>
      </c>
      <c r="R63" s="9">
        <f t="shared" si="12"/>
        <v>3.9999999999999996E-5</v>
      </c>
      <c r="S63" s="9">
        <f t="shared" si="13"/>
        <v>5.0890759031446602E-6</v>
      </c>
      <c r="T63" s="9">
        <f t="shared" si="10"/>
        <v>1.6402189806709394E-7</v>
      </c>
      <c r="U63" s="9">
        <f t="shared" si="11"/>
        <v>3.4910924096855335E-5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4.5957959641970998</v>
      </c>
      <c r="K64" s="55">
        <f t="shared" si="26"/>
        <v>2.0308446951404706E-2</v>
      </c>
      <c r="L64" s="55">
        <f t="shared" si="27"/>
        <v>0.11215683249488026</v>
      </c>
      <c r="M64" s="55">
        <f t="shared" si="28"/>
        <v>0.88784316750511971</v>
      </c>
      <c r="N64" s="55">
        <f t="shared" si="29"/>
        <v>0.10715187087431668</v>
      </c>
      <c r="O64" s="56">
        <f t="shared" si="30"/>
        <v>2.0321816835098484E-8</v>
      </c>
      <c r="P64" s="56">
        <f t="shared" si="31"/>
        <v>8.0123238893878312E-4</v>
      </c>
      <c r="Q64" s="56">
        <f t="shared" si="32"/>
        <v>1.5309553162319869E-2</v>
      </c>
      <c r="R64" s="9">
        <f t="shared" si="12"/>
        <v>3.9999999999999996E-5</v>
      </c>
      <c r="S64" s="9">
        <f t="shared" si="13"/>
        <v>4.4862732997952102E-6</v>
      </c>
      <c r="T64" s="9">
        <f t="shared" si="10"/>
        <v>8.1233787805618815E-7</v>
      </c>
      <c r="U64" s="9">
        <f t="shared" si="11"/>
        <v>3.5513726700204783E-5</v>
      </c>
      <c r="V64" s="100">
        <f t="shared" si="14"/>
        <v>2.2873912527223001E-2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4.297243414913436</v>
      </c>
      <c r="K65" s="55">
        <f t="shared" si="26"/>
        <v>3.7519684851272446E-2</v>
      </c>
      <c r="L65" s="55">
        <f t="shared" si="27"/>
        <v>0.10419710560354975</v>
      </c>
      <c r="M65" s="55">
        <f t="shared" si="28"/>
        <v>0.89580289439645022</v>
      </c>
      <c r="N65" s="55">
        <f t="shared" si="29"/>
        <v>9.8533118299332714E-2</v>
      </c>
      <c r="O65" s="56">
        <f t="shared" si="30"/>
        <v>3.7544385598891848E-8</v>
      </c>
      <c r="P65" s="56">
        <f t="shared" si="31"/>
        <v>7.4436923713095933E-4</v>
      </c>
      <c r="Q65" s="56">
        <f t="shared" si="32"/>
        <v>1.4078130419413516E-2</v>
      </c>
      <c r="R65" s="9">
        <f t="shared" si="12"/>
        <v>3.9999999999999996E-5</v>
      </c>
      <c r="S65" s="9">
        <f t="shared" si="13"/>
        <v>4.1678842241419897E-6</v>
      </c>
      <c r="T65" s="9">
        <f t="shared" si="10"/>
        <v>1.5007873940508977E-6</v>
      </c>
      <c r="U65" s="9">
        <f t="shared" si="11"/>
        <v>3.5832115775858008E-5</v>
      </c>
      <c r="V65" s="100">
        <f t="shared" si="14"/>
        <v>4.1883862048192465E-2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4.5957959641970998</v>
      </c>
      <c r="K66" s="55">
        <f t="shared" si="26"/>
        <v>2.0308446951404706E-2</v>
      </c>
      <c r="L66" s="55">
        <f t="shared" si="27"/>
        <v>0.11215683249488026</v>
      </c>
      <c r="M66" s="55">
        <f t="shared" si="28"/>
        <v>0.88784316750511971</v>
      </c>
      <c r="N66" s="55">
        <f t="shared" si="29"/>
        <v>0.10715187087431668</v>
      </c>
      <c r="O66" s="56">
        <f t="shared" si="30"/>
        <v>2.0321816835098484E-8</v>
      </c>
      <c r="P66" s="56">
        <f t="shared" si="31"/>
        <v>8.0123238893878312E-4</v>
      </c>
      <c r="Q66" s="56">
        <f t="shared" si="32"/>
        <v>1.5309553162319869E-2</v>
      </c>
      <c r="R66" s="9">
        <f t="shared" si="12"/>
        <v>3.9999999999999996E-5</v>
      </c>
      <c r="S66" s="9">
        <f t="shared" si="13"/>
        <v>4.4862732997952102E-6</v>
      </c>
      <c r="T66" s="9">
        <f t="shared" si="10"/>
        <v>8.1233787805618815E-7</v>
      </c>
      <c r="U66" s="9">
        <f t="shared" si="11"/>
        <v>3.5513726700204783E-5</v>
      </c>
      <c r="V66" s="100">
        <f t="shared" si="14"/>
        <v>2.2873912527223001E-2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-4.4567291494222658E-2</v>
      </c>
      <c r="K67" s="55">
        <f t="shared" si="26"/>
        <v>0.99978459944546882</v>
      </c>
      <c r="L67" s="55">
        <f t="shared" si="27"/>
        <v>1.2638403293685125E-4</v>
      </c>
      <c r="M67" s="55">
        <f t="shared" si="28"/>
        <v>0.99987361596706315</v>
      </c>
      <c r="N67" s="55">
        <f t="shared" si="29"/>
        <v>2.0830980917948905E-7</v>
      </c>
      <c r="O67" s="56">
        <f t="shared" si="30"/>
        <v>1.0004427986590965E-6</v>
      </c>
      <c r="P67" s="56">
        <f t="shared" si="31"/>
        <v>9.0286947643901727E-7</v>
      </c>
      <c r="Q67" s="56">
        <f t="shared" si="32"/>
        <v>2.9762710364682019E-8</v>
      </c>
      <c r="R67" s="9">
        <f t="shared" si="12"/>
        <v>3.9999999999999996E-5</v>
      </c>
      <c r="S67" s="9">
        <f t="shared" si="13"/>
        <v>5.0553613174740496E-9</v>
      </c>
      <c r="T67" s="9">
        <f t="shared" si="10"/>
        <v>3.9991383977818749E-5</v>
      </c>
      <c r="U67" s="9">
        <f t="shared" si="11"/>
        <v>3.999494463868252E-5</v>
      </c>
      <c r="V67" s="100">
        <f t="shared" si="14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4.5743714574945749</v>
      </c>
      <c r="K68" s="55">
        <f t="shared" si="26"/>
        <v>1.7063709843564936E-2</v>
      </c>
      <c r="L68" s="55">
        <f t="shared" si="27"/>
        <v>8.9701142305115528E-2</v>
      </c>
      <c r="M68" s="55">
        <f t="shared" si="28"/>
        <v>0.9102988576948845</v>
      </c>
      <c r="N68" s="55">
        <f t="shared" si="29"/>
        <v>8.1842430914431483E-2</v>
      </c>
      <c r="O68" s="56">
        <f t="shared" si="30"/>
        <v>1.7074943583719399E-8</v>
      </c>
      <c r="P68" s="56">
        <f t="shared" si="31"/>
        <v>6.408121461788449E-4</v>
      </c>
      <c r="Q68" s="56">
        <f t="shared" si="32"/>
        <v>1.169341269353707E-2</v>
      </c>
      <c r="R68" s="9">
        <f t="shared" si="12"/>
        <v>3.9999999999999996E-5</v>
      </c>
      <c r="S68" s="9">
        <f t="shared" si="13"/>
        <v>3.5880456922046206E-6</v>
      </c>
      <c r="T68" s="9">
        <f t="shared" si="10"/>
        <v>6.8254839374259741E-7</v>
      </c>
      <c r="U68" s="9">
        <f t="shared" si="11"/>
        <v>3.6411954307795378E-5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1.7365957830383385</v>
      </c>
      <c r="K69" s="55">
        <f t="shared" si="26"/>
        <v>0.86888864550636291</v>
      </c>
      <c r="L69" s="55">
        <f t="shared" si="27"/>
        <v>6.6361006370363462E-3</v>
      </c>
      <c r="M69" s="55">
        <f t="shared" si="28"/>
        <v>0.99336389936296365</v>
      </c>
      <c r="N69" s="55">
        <f t="shared" si="29"/>
        <v>4.8060376350772529E-3</v>
      </c>
      <c r="O69" s="56">
        <f t="shared" si="30"/>
        <v>8.6946067054407557E-7</v>
      </c>
      <c r="P69" s="56">
        <f t="shared" si="31"/>
        <v>4.7407354936610934E-5</v>
      </c>
      <c r="Q69" s="56">
        <f t="shared" si="32"/>
        <v>6.8667292576373763E-4</v>
      </c>
      <c r="R69" s="9">
        <f t="shared" si="12"/>
        <v>3.9999999999999996E-5</v>
      </c>
      <c r="S69" s="9">
        <f t="shared" si="13"/>
        <v>2.6544402548145381E-7</v>
      </c>
      <c r="T69" s="9">
        <f t="shared" si="10"/>
        <v>3.4755545820254515E-5</v>
      </c>
      <c r="U69" s="9">
        <f t="shared" si="11"/>
        <v>3.9734555974518542E-5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3.0509801020444232</v>
      </c>
      <c r="K70" s="55">
        <f t="shared" si="26"/>
        <v>0.3347241380339373</v>
      </c>
      <c r="L70" s="55">
        <f t="shared" si="27"/>
        <v>5.2725437540790031E-2</v>
      </c>
      <c r="M70" s="55">
        <f t="shared" si="28"/>
        <v>0.94727456245920993</v>
      </c>
      <c r="N70" s="55">
        <f t="shared" si="29"/>
        <v>4.6369145713280553E-2</v>
      </c>
      <c r="O70" s="56">
        <f t="shared" si="30"/>
        <v>3.3494450066460627E-7</v>
      </c>
      <c r="P70" s="56">
        <f t="shared" si="31"/>
        <v>3.7666299358604102E-4</v>
      </c>
      <c r="Q70" s="56">
        <f t="shared" si="32"/>
        <v>6.6250910562400574E-3</v>
      </c>
      <c r="R70" s="9">
        <f t="shared" si="12"/>
        <v>3.9999999999999996E-5</v>
      </c>
      <c r="S70" s="9">
        <f t="shared" si="13"/>
        <v>2.109017501631601E-6</v>
      </c>
      <c r="T70" s="9">
        <f t="shared" si="10"/>
        <v>1.3388965521357491E-5</v>
      </c>
      <c r="U70" s="9">
        <f t="shared" si="11"/>
        <v>3.7890982498368393E-5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5.7767955088211638</v>
      </c>
      <c r="K71" s="55">
        <f t="shared" ref="K71:K122" si="35">IF(D71=0,"",1/(1+10^D71*$J$15/$J$14+10^E71*$J$16/$J$14+10^J71*$J$19/$J$14))</f>
        <v>1.1114755058119698E-3</v>
      </c>
      <c r="L71" s="55">
        <f t="shared" ref="L71:L122" si="36">IF(D71=0,"",1/(1+10^I71/10^J71*$J$13/$J$19))</f>
        <v>9.3121178522989553E-2</v>
      </c>
      <c r="M71" s="55">
        <f t="shared" si="19"/>
        <v>0.90687882147701049</v>
      </c>
      <c r="N71" s="55">
        <f t="shared" ref="N71:N122" si="37">IF(D71=0,"",1/(1/10^E71*$J$20/$J$22+10^D71/10^E71*$J$21/$J$22+10^I71/10^E71*$J$13/$J$22+1))</f>
        <v>8.5381338571127771E-2</v>
      </c>
      <c r="O71" s="56">
        <f t="shared" si="21"/>
        <v>1.1122072357308918E-9</v>
      </c>
      <c r="P71" s="56">
        <f t="shared" ref="P71:P122" si="38">IF(D71=0,"",O71*10^J71)</f>
        <v>6.6524439634273462E-4</v>
      </c>
      <c r="Q71" s="56">
        <f t="shared" ref="Q71:Q122" si="39">IF(D71=0,"",F71*N71*$J$7/$J$22)</f>
        <v>1.2199041708361103E-2</v>
      </c>
      <c r="R71" s="9">
        <f t="shared" si="12"/>
        <v>3.9999999999999996E-5</v>
      </c>
      <c r="S71" s="9">
        <f t="shared" si="13"/>
        <v>3.724847140919582E-6</v>
      </c>
      <c r="T71" s="9">
        <f t="shared" si="10"/>
        <v>4.4459020232478788E-8</v>
      </c>
      <c r="U71" s="9">
        <f t="shared" si="11"/>
        <v>3.6275152859080415E-5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5.2786655449069544</v>
      </c>
      <c r="K72" s="55">
        <f t="shared" si="35"/>
        <v>3.1332171595590532E-3</v>
      </c>
      <c r="L72" s="55">
        <f t="shared" si="36"/>
        <v>8.336986529243999E-2</v>
      </c>
      <c r="M72" s="55">
        <f t="shared" si="19"/>
        <v>0.91663013470756005</v>
      </c>
      <c r="N72" s="55">
        <f t="shared" si="37"/>
        <v>7.4456661474210373E-2</v>
      </c>
      <c r="O72" s="56">
        <f t="shared" si="21"/>
        <v>3.135279884941791E-9</v>
      </c>
      <c r="P72" s="56">
        <f t="shared" si="38"/>
        <v>5.9558240766843568E-4</v>
      </c>
      <c r="Q72" s="56">
        <f t="shared" si="39"/>
        <v>1.063815505811668E-2</v>
      </c>
      <c r="R72" s="9">
        <f t="shared" si="12"/>
        <v>3.9999999999999996E-5</v>
      </c>
      <c r="S72" s="9">
        <f t="shared" si="13"/>
        <v>3.3347946116975993E-6</v>
      </c>
      <c r="T72" s="9">
        <f t="shared" si="10"/>
        <v>1.2532868638236213E-7</v>
      </c>
      <c r="U72" s="9">
        <f t="shared" si="11"/>
        <v>3.6665205388302396E-5</v>
      </c>
      <c r="V72" s="100">
        <f t="shared" si="14"/>
        <v>3.4181913084918038E-3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5.3078721995446587</v>
      </c>
      <c r="K73" s="55">
        <f t="shared" si="35"/>
        <v>3.1588051026151588E-3</v>
      </c>
      <c r="L73" s="55">
        <f t="shared" si="36"/>
        <v>8.9897598225017569E-2</v>
      </c>
      <c r="M73" s="55">
        <f t="shared" si="19"/>
        <v>0.91010240177498247</v>
      </c>
      <c r="N73" s="55">
        <f t="shared" si="37"/>
        <v>8.1796344190222567E-2</v>
      </c>
      <c r="O73" s="56">
        <f t="shared" si="21"/>
        <v>3.1608846735904447E-9</v>
      </c>
      <c r="P73" s="56">
        <f t="shared" si="38"/>
        <v>6.422155992054934E-4</v>
      </c>
      <c r="Q73" s="56">
        <f t="shared" si="39"/>
        <v>1.1686827954058456E-2</v>
      </c>
      <c r="R73" s="9">
        <f t="shared" si="12"/>
        <v>3.9999999999999996E-5</v>
      </c>
      <c r="S73" s="9">
        <f t="shared" si="13"/>
        <v>3.5959039290007025E-6</v>
      </c>
      <c r="T73" s="9">
        <f t="shared" si="10"/>
        <v>1.2635220410460634E-7</v>
      </c>
      <c r="U73" s="9">
        <f t="shared" si="11"/>
        <v>3.6404096070999293E-5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2.0837828896743456</v>
      </c>
      <c r="K74" s="55">
        <f t="shared" si="35"/>
        <v>0.74827539294125522</v>
      </c>
      <c r="L74" s="55">
        <f t="shared" si="36"/>
        <v>1.2711517855901393E-2</v>
      </c>
      <c r="M74" s="55">
        <f t="shared" si="19"/>
        <v>0.98728848214409859</v>
      </c>
      <c r="N74" s="55">
        <f t="shared" si="37"/>
        <v>9.3210003978695371E-3</v>
      </c>
      <c r="O74" s="56">
        <f t="shared" si="21"/>
        <v>7.4876801332717033E-7</v>
      </c>
      <c r="P74" s="56">
        <f t="shared" si="38"/>
        <v>9.0809267631437266E-5</v>
      </c>
      <c r="Q74" s="56">
        <f t="shared" si="39"/>
        <v>1.3317579054178911E-3</v>
      </c>
      <c r="R74" s="9">
        <f t="shared" si="12"/>
        <v>3.9999999999999996E-5</v>
      </c>
      <c r="S74" s="9">
        <f t="shared" si="13"/>
        <v>5.0846071423605568E-7</v>
      </c>
      <c r="T74" s="9">
        <f t="shared" si="10"/>
        <v>2.9931015717650206E-5</v>
      </c>
      <c r="U74" s="9">
        <f t="shared" si="11"/>
        <v>3.9491539285763939E-5</v>
      </c>
      <c r="V74" s="100">
        <f t="shared" si="14"/>
        <v>0.75790957402462789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3.9204939710794475</v>
      </c>
      <c r="K75" s="55">
        <f t="shared" si="35"/>
        <v>7.8811066919629608E-2</v>
      </c>
      <c r="L75" s="55">
        <f t="shared" si="36"/>
        <v>9.1925126561667278E-2</v>
      </c>
      <c r="M75" s="55">
        <f t="shared" si="19"/>
        <v>0.90807487343833271</v>
      </c>
      <c r="N75" s="55">
        <f t="shared" si="37"/>
        <v>8.552838121472775E-2</v>
      </c>
      <c r="O75" s="56">
        <f t="shared" si="21"/>
        <v>7.8862951477863871E-8</v>
      </c>
      <c r="P75" s="56">
        <f t="shared" si="38"/>
        <v>6.5669997199561394E-4</v>
      </c>
      <c r="Q75" s="56">
        <f t="shared" si="39"/>
        <v>1.222005074115683E-2</v>
      </c>
      <c r="R75" s="9">
        <f t="shared" si="12"/>
        <v>3.9999999999999996E-5</v>
      </c>
      <c r="S75" s="9">
        <f t="shared" si="13"/>
        <v>3.6770050624666906E-6</v>
      </c>
      <c r="T75" s="9">
        <f t="shared" si="10"/>
        <v>3.1524426767851842E-6</v>
      </c>
      <c r="U75" s="9">
        <f t="shared" si="11"/>
        <v>3.6322994937533303E-5</v>
      </c>
      <c r="V75" s="100">
        <f t="shared" si="14"/>
        <v>8.6789172594567629E-2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3.8585870053842997</v>
      </c>
      <c r="K76" s="55">
        <f t="shared" si="35"/>
        <v>7.6621278900234804E-2</v>
      </c>
      <c r="L76" s="55">
        <f t="shared" si="36"/>
        <v>7.7497815438557813E-2</v>
      </c>
      <c r="M76" s="55">
        <f t="shared" si="19"/>
        <v>0.92250218456144217</v>
      </c>
      <c r="N76" s="55">
        <f t="shared" si="37"/>
        <v>6.9265577491956665E-2</v>
      </c>
      <c r="O76" s="56">
        <f t="shared" si="21"/>
        <v>7.6671721831189388E-8</v>
      </c>
      <c r="P76" s="56">
        <f t="shared" si="38"/>
        <v>5.5363332237656608E-4</v>
      </c>
      <c r="Q76" s="56">
        <f t="shared" si="39"/>
        <v>9.8964678104007907E-3</v>
      </c>
      <c r="R76" s="9">
        <f t="shared" si="12"/>
        <v>3.9999999999999996E-5</v>
      </c>
      <c r="S76" s="9">
        <f t="shared" si="13"/>
        <v>3.0999126175423121E-6</v>
      </c>
      <c r="T76" s="9">
        <f t="shared" si="10"/>
        <v>3.0648511560093918E-6</v>
      </c>
      <c r="U76" s="9">
        <f t="shared" si="11"/>
        <v>3.6900087382457684E-5</v>
      </c>
      <c r="V76" s="100">
        <f t="shared" si="14"/>
        <v>8.3058100221909598E-2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2.3639081225718592</v>
      </c>
      <c r="K77" s="55">
        <f t="shared" si="35"/>
        <v>0.66621693447352526</v>
      </c>
      <c r="L77" s="55">
        <f t="shared" si="36"/>
        <v>2.1571326329047173E-2</v>
      </c>
      <c r="M77" s="55">
        <f t="shared" si="19"/>
        <v>0.97842867367095288</v>
      </c>
      <c r="N77" s="55">
        <f t="shared" si="37"/>
        <v>1.7706704133994614E-2</v>
      </c>
      <c r="O77" s="56">
        <f t="shared" si="21"/>
        <v>6.6665553241013998E-7</v>
      </c>
      <c r="P77" s="56">
        <f t="shared" si="38"/>
        <v>1.5410247367666599E-4</v>
      </c>
      <c r="Q77" s="56">
        <f t="shared" si="39"/>
        <v>2.52988329608191E-3</v>
      </c>
      <c r="R77" s="9">
        <f t="shared" si="12"/>
        <v>3.9999999999999996E-5</v>
      </c>
      <c r="S77" s="9">
        <f t="shared" si="13"/>
        <v>8.6285305316188683E-7</v>
      </c>
      <c r="T77" s="9">
        <f t="shared" si="10"/>
        <v>2.6648677378941007E-5</v>
      </c>
      <c r="U77" s="9">
        <f t="shared" si="11"/>
        <v>3.9137146946838109E-5</v>
      </c>
      <c r="V77" s="100">
        <f t="shared" si="14"/>
        <v>0.68090495751106239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2.7169932228905553</v>
      </c>
      <c r="K78" s="55">
        <f t="shared" si="35"/>
        <v>0.51697126280974182</v>
      </c>
      <c r="L78" s="55">
        <f t="shared" si="36"/>
        <v>3.7740937479391362E-2</v>
      </c>
      <c r="M78" s="55">
        <f t="shared" si="19"/>
        <v>0.96225906252060867</v>
      </c>
      <c r="N78" s="55">
        <f t="shared" si="37"/>
        <v>3.3020942520485458E-2</v>
      </c>
      <c r="O78" s="56">
        <f t="shared" si="21"/>
        <v>5.1731160619854608E-7</v>
      </c>
      <c r="P78" s="56">
        <f t="shared" si="38"/>
        <v>2.6961586579027488E-4</v>
      </c>
      <c r="Q78" s="56">
        <f t="shared" si="39"/>
        <v>4.7179379217769032E-3</v>
      </c>
      <c r="R78" s="9">
        <f t="shared" si="12"/>
        <v>3.9999999999999996E-5</v>
      </c>
      <c r="S78" s="9">
        <f t="shared" si="13"/>
        <v>1.5096374991756544E-6</v>
      </c>
      <c r="T78" s="9">
        <f t="shared" si="10"/>
        <v>2.067885051238967E-5</v>
      </c>
      <c r="U78" s="9">
        <f t="shared" si="11"/>
        <v>3.849036250082434E-5</v>
      </c>
      <c r="V78" s="100">
        <f t="shared" si="14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2.5889557991870298</v>
      </c>
      <c r="K79" s="55">
        <f t="shared" si="35"/>
        <v>0.47713043456394844</v>
      </c>
      <c r="L79" s="55">
        <f t="shared" si="36"/>
        <v>2.5938566875993219E-2</v>
      </c>
      <c r="M79" s="55">
        <f t="shared" si="19"/>
        <v>0.97406143312400673</v>
      </c>
      <c r="N79" s="55">
        <f t="shared" si="37"/>
        <v>1.8986511754421048E-2</v>
      </c>
      <c r="O79" s="56">
        <f t="shared" si="21"/>
        <v>4.7744454910122182E-7</v>
      </c>
      <c r="P79" s="56">
        <f t="shared" si="38"/>
        <v>1.8530141625254184E-4</v>
      </c>
      <c r="Q79" s="56">
        <f t="shared" si="39"/>
        <v>2.7127385522952379E-3</v>
      </c>
      <c r="R79" s="9">
        <f t="shared" si="12"/>
        <v>3.9999999999999996E-5</v>
      </c>
      <c r="S79" s="9">
        <f t="shared" si="13"/>
        <v>1.0375426750397287E-6</v>
      </c>
      <c r="T79" s="9">
        <f t="shared" si="10"/>
        <v>1.9085217382557936E-5</v>
      </c>
      <c r="U79" s="9">
        <f t="shared" si="11"/>
        <v>3.8962457324960268E-5</v>
      </c>
      <c r="V79" s="100">
        <f t="shared" si="14"/>
        <v>0.48983608049617283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2.6634845218157044</v>
      </c>
      <c r="K80" s="55">
        <f t="shared" si="35"/>
        <v>0.42659466241284905</v>
      </c>
      <c r="L80" s="55">
        <f t="shared" si="36"/>
        <v>2.753296594149876E-2</v>
      </c>
      <c r="M80" s="55">
        <f t="shared" si="19"/>
        <v>0.97246703405850121</v>
      </c>
      <c r="N80" s="55">
        <f t="shared" si="37"/>
        <v>1.9808859883844659E-2</v>
      </c>
      <c r="O80" s="56">
        <f t="shared" si="21"/>
        <v>4.2687550717830518E-7</v>
      </c>
      <c r="P80" s="56">
        <f t="shared" si="38"/>
        <v>1.9669157540521838E-4</v>
      </c>
      <c r="Q80" s="56">
        <f t="shared" si="39"/>
        <v>2.830233303461199E-3</v>
      </c>
      <c r="R80" s="9">
        <f t="shared" si="12"/>
        <v>3.9999999999999996E-5</v>
      </c>
      <c r="S80" s="9">
        <f t="shared" si="13"/>
        <v>1.1013186376599504E-6</v>
      </c>
      <c r="T80" s="9">
        <f t="shared" si="10"/>
        <v>1.7063786496513962E-5</v>
      </c>
      <c r="U80" s="9">
        <f t="shared" si="11"/>
        <v>3.8898681362340043E-5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4.3682400663002383</v>
      </c>
      <c r="K81" s="55">
        <f t="shared" si="35"/>
        <v>2.9884908509419543E-2</v>
      </c>
      <c r="L81" s="55">
        <f t="shared" si="36"/>
        <v>9.7733860864234412E-2</v>
      </c>
      <c r="M81" s="55">
        <f t="shared" si="19"/>
        <v>0.90226613913576559</v>
      </c>
      <c r="N81" s="55">
        <f t="shared" si="37"/>
        <v>9.1119849435157635E-2</v>
      </c>
      <c r="O81" s="56">
        <f t="shared" si="21"/>
        <v>2.9904582970589625E-8</v>
      </c>
      <c r="P81" s="56">
        <f t="shared" si="38"/>
        <v>6.9819674003396759E-4</v>
      </c>
      <c r="Q81" s="56">
        <f t="shared" si="39"/>
        <v>1.3018943744868365E-2</v>
      </c>
      <c r="R81" s="9">
        <f t="shared" si="12"/>
        <v>3.9999999999999996E-5</v>
      </c>
      <c r="S81" s="9">
        <f t="shared" si="13"/>
        <v>3.9093544345693763E-6</v>
      </c>
      <c r="T81" s="9">
        <f t="shared" si="10"/>
        <v>1.1953963403767815E-6</v>
      </c>
      <c r="U81" s="9">
        <f t="shared" si="11"/>
        <v>3.6090645565430623E-5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4.0532477704684826</v>
      </c>
      <c r="K82" s="55">
        <f t="shared" si="35"/>
        <v>5.1624079869248031E-2</v>
      </c>
      <c r="L82" s="55">
        <f t="shared" si="36"/>
        <v>8.1743485711154973E-2</v>
      </c>
      <c r="M82" s="55">
        <f t="shared" si="19"/>
        <v>0.91825651428884503</v>
      </c>
      <c r="N82" s="55">
        <f t="shared" si="37"/>
        <v>7.3559096590906911E-2</v>
      </c>
      <c r="O82" s="56">
        <f t="shared" si="21"/>
        <v>5.1658066118679195E-8</v>
      </c>
      <c r="P82" s="56">
        <f t="shared" si="38"/>
        <v>5.8396378427967544E-4</v>
      </c>
      <c r="Q82" s="56">
        <f t="shared" si="39"/>
        <v>1.0509913552061375E-2</v>
      </c>
      <c r="R82" s="9">
        <f t="shared" si="12"/>
        <v>3.9999999999999996E-5</v>
      </c>
      <c r="S82" s="9">
        <f t="shared" si="13"/>
        <v>3.2697394284461984E-6</v>
      </c>
      <c r="T82" s="9">
        <f t="shared" si="10"/>
        <v>2.064963194769921E-6</v>
      </c>
      <c r="U82" s="9">
        <f t="shared" si="11"/>
        <v>3.6730260571553798E-5</v>
      </c>
      <c r="V82" s="100">
        <f t="shared" si="14"/>
        <v>5.6219671808404134E-2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2.3088898400463114</v>
      </c>
      <c r="K83" s="55">
        <f t="shared" si="35"/>
        <v>0.69607280181491604</v>
      </c>
      <c r="L83" s="55">
        <f t="shared" si="36"/>
        <v>1.9856265131395739E-2</v>
      </c>
      <c r="M83" s="55">
        <f t="shared" si="19"/>
        <v>0.98014373486860429</v>
      </c>
      <c r="N83" s="55">
        <f t="shared" si="37"/>
        <v>1.6351655449810414E-2</v>
      </c>
      <c r="O83" s="56">
        <f t="shared" si="21"/>
        <v>6.9653105509370854E-7</v>
      </c>
      <c r="P83" s="56">
        <f t="shared" si="38"/>
        <v>1.4185032148938666E-4</v>
      </c>
      <c r="Q83" s="56">
        <f t="shared" si="39"/>
        <v>2.3362778116533408E-3</v>
      </c>
      <c r="R83" s="9">
        <f t="shared" si="12"/>
        <v>3.9999999999999996E-5</v>
      </c>
      <c r="S83" s="9">
        <f t="shared" si="13"/>
        <v>7.942506052558295E-7</v>
      </c>
      <c r="T83" s="9">
        <f t="shared" si="10"/>
        <v>2.7842912072596639E-5</v>
      </c>
      <c r="U83" s="9">
        <f t="shared" si="11"/>
        <v>3.9205749394744171E-5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4.041572503575793</v>
      </c>
      <c r="K84" s="55">
        <f t="shared" si="35"/>
        <v>4.2197696820547713E-2</v>
      </c>
      <c r="L84" s="55">
        <f t="shared" si="36"/>
        <v>6.5045058646452977E-2</v>
      </c>
      <c r="M84" s="55">
        <f t="shared" si="19"/>
        <v>0.93495494135354706</v>
      </c>
      <c r="N84" s="55">
        <f t="shared" si="37"/>
        <v>5.4603918573627133E-2</v>
      </c>
      <c r="O84" s="56">
        <f t="shared" si="21"/>
        <v>4.2225477295341568E-8</v>
      </c>
      <c r="P84" s="56">
        <f t="shared" si="38"/>
        <v>4.6467260681902505E-4</v>
      </c>
      <c r="Q84" s="56">
        <f t="shared" si="39"/>
        <v>7.8016518746039203E-3</v>
      </c>
      <c r="R84" s="9">
        <f t="shared" si="12"/>
        <v>3.9999999999999996E-5</v>
      </c>
      <c r="S84" s="9">
        <f t="shared" si="13"/>
        <v>2.6018023458581191E-6</v>
      </c>
      <c r="T84" s="9">
        <f t="shared" si="10"/>
        <v>1.6879078728219084E-6</v>
      </c>
      <c r="U84" s="9">
        <f t="shared" si="11"/>
        <v>3.7398197654141877E-5</v>
      </c>
      <c r="V84" s="100">
        <f t="shared" si="14"/>
        <v>4.5133401572761925E-2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2.21956631274778</v>
      </c>
      <c r="K85" s="55">
        <f t="shared" si="35"/>
        <v>0.73256266734917752</v>
      </c>
      <c r="L85" s="55">
        <f t="shared" si="36"/>
        <v>1.7012343918641846E-2</v>
      </c>
      <c r="M85" s="55">
        <f t="shared" si="19"/>
        <v>0.98298765608135819</v>
      </c>
      <c r="N85" s="55">
        <f t="shared" si="37"/>
        <v>1.3854786741797407E-2</v>
      </c>
      <c r="O85" s="56">
        <f t="shared" si="21"/>
        <v>7.3304494340328921E-7</v>
      </c>
      <c r="P85" s="56">
        <f t="shared" si="38"/>
        <v>1.2153375461993183E-4</v>
      </c>
      <c r="Q85" s="56">
        <f t="shared" si="39"/>
        <v>1.9795323445630369E-3</v>
      </c>
      <c r="R85" s="9">
        <f t="shared" si="12"/>
        <v>3.9999999999999996E-5</v>
      </c>
      <c r="S85" s="9">
        <f t="shared" si="13"/>
        <v>6.804937567456738E-7</v>
      </c>
      <c r="T85" s="9">
        <f t="shared" si="10"/>
        <v>2.93025066939671E-5</v>
      </c>
      <c r="U85" s="9">
        <f t="shared" si="11"/>
        <v>3.9319506243254322E-5</v>
      </c>
      <c r="V85" s="100">
        <f t="shared" si="14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3.1296066711876311</v>
      </c>
      <c r="K86" s="55">
        <f t="shared" si="35"/>
        <v>0.1866763939213546</v>
      </c>
      <c r="L86" s="55">
        <f t="shared" si="36"/>
        <v>3.5241073771868282E-2</v>
      </c>
      <c r="M86" s="55">
        <f t="shared" si="19"/>
        <v>0.96475892622813175</v>
      </c>
      <c r="N86" s="55">
        <f t="shared" si="37"/>
        <v>2.386890334028231E-2</v>
      </c>
      <c r="O86" s="56">
        <f t="shared" si="21"/>
        <v>1.867992906490598E-7</v>
      </c>
      <c r="P86" s="56">
        <f t="shared" si="38"/>
        <v>2.5175719658711667E-4</v>
      </c>
      <c r="Q86" s="56">
        <f t="shared" si="39"/>
        <v>3.4103207123928492E-3</v>
      </c>
      <c r="R86" s="9">
        <f t="shared" si="12"/>
        <v>3.9999999999999996E-5</v>
      </c>
      <c r="S86" s="9">
        <f t="shared" si="13"/>
        <v>1.4096429508747311E-6</v>
      </c>
      <c r="T86" s="9">
        <f t="shared" si="10"/>
        <v>7.4670557568541837E-6</v>
      </c>
      <c r="U86" s="9">
        <f t="shared" si="11"/>
        <v>3.8590357049125266E-5</v>
      </c>
      <c r="V86" s="100">
        <f t="shared" si="14"/>
        <v>0.19349537884162801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1.9159264962867857</v>
      </c>
      <c r="K87" s="55">
        <f t="shared" si="35"/>
        <v>0.82348784985898893</v>
      </c>
      <c r="L87" s="55">
        <f t="shared" si="36"/>
        <v>9.5046636028496348E-3</v>
      </c>
      <c r="M87" s="55">
        <f t="shared" si="19"/>
        <v>0.99049533639715037</v>
      </c>
      <c r="N87" s="55">
        <f t="shared" si="37"/>
        <v>7.1595279829632045E-3</v>
      </c>
      <c r="O87" s="56">
        <f t="shared" si="21"/>
        <v>8.2402998569055674E-7</v>
      </c>
      <c r="P87" s="56">
        <f t="shared" si="38"/>
        <v>6.7899958969671692E-5</v>
      </c>
      <c r="Q87" s="56">
        <f t="shared" si="39"/>
        <v>1.0229329024115455E-3</v>
      </c>
      <c r="R87" s="9">
        <f t="shared" si="12"/>
        <v>3.9999999999999996E-5</v>
      </c>
      <c r="S87" s="9">
        <f t="shared" si="13"/>
        <v>3.8018654411398536E-7</v>
      </c>
      <c r="T87" s="9">
        <f t="shared" si="10"/>
        <v>3.2939513994359557E-5</v>
      </c>
      <c r="U87" s="9">
        <f t="shared" si="11"/>
        <v>3.9619813455886012E-5</v>
      </c>
      <c r="V87" s="100">
        <f t="shared" si="14"/>
        <v>0.83138993148050733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0.83796499600185581</v>
      </c>
      <c r="K88" s="55">
        <f t="shared" si="35"/>
        <v>0.95921749550793678</v>
      </c>
      <c r="L88" s="55">
        <f t="shared" si="36"/>
        <v>9.2519898131562979E-4</v>
      </c>
      <c r="M88" s="55">
        <f t="shared" si="19"/>
        <v>0.9990748010186844</v>
      </c>
      <c r="N88" s="55">
        <f t="shared" si="37"/>
        <v>1.1946485333478816E-4</v>
      </c>
      <c r="O88" s="56">
        <f t="shared" si="21"/>
        <v>9.5984898773295353E-7</v>
      </c>
      <c r="P88" s="56">
        <f t="shared" si="38"/>
        <v>6.6094893512358165E-6</v>
      </c>
      <c r="Q88" s="56">
        <f t="shared" si="39"/>
        <v>1.7068796916322147E-5</v>
      </c>
      <c r="R88" s="9">
        <f t="shared" si="12"/>
        <v>3.9999999999999996E-5</v>
      </c>
      <c r="S88" s="9">
        <f t="shared" si="13"/>
        <v>3.7007959252625187E-8</v>
      </c>
      <c r="T88" s="9">
        <f t="shared" si="10"/>
        <v>3.8368699820317469E-5</v>
      </c>
      <c r="U88" s="9">
        <f t="shared" si="11"/>
        <v>3.9962992040747375E-5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0.47829368809571571</v>
      </c>
      <c r="K89" s="55">
        <f t="shared" si="35"/>
        <v>0.99017590007218148</v>
      </c>
      <c r="L89" s="55">
        <f t="shared" si="36"/>
        <v>4.1721421640638999E-4</v>
      </c>
      <c r="M89" s="55">
        <f t="shared" si="19"/>
        <v>0.99958278578359361</v>
      </c>
      <c r="N89" s="55">
        <f t="shared" si="37"/>
        <v>1.4271144470798526E-4</v>
      </c>
      <c r="O89" s="56">
        <f t="shared" si="21"/>
        <v>9.9082777348485665E-7</v>
      </c>
      <c r="P89" s="56">
        <f t="shared" si="38"/>
        <v>2.9805187599763347E-6</v>
      </c>
      <c r="Q89" s="56">
        <f t="shared" si="39"/>
        <v>2.0390203472892052E-5</v>
      </c>
      <c r="R89" s="9">
        <f t="shared" si="12"/>
        <v>3.9999999999999996E-5</v>
      </c>
      <c r="S89" s="9">
        <f t="shared" si="13"/>
        <v>1.6688568656255597E-8</v>
      </c>
      <c r="T89" s="9">
        <f t="shared" si="10"/>
        <v>3.9607036002887258E-5</v>
      </c>
      <c r="U89" s="9">
        <f t="shared" si="11"/>
        <v>3.998331143134374E-5</v>
      </c>
      <c r="V89" s="100">
        <f t="shared" si="14"/>
        <v>0.99058918796401851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9.6802248814160784E-3</v>
      </c>
      <c r="K90" s="55">
        <f t="shared" si="35"/>
        <v>0.99904178950566525</v>
      </c>
      <c r="L90" s="55">
        <f t="shared" si="36"/>
        <v>1.4309252206021552E-4</v>
      </c>
      <c r="M90" s="55">
        <f t="shared" si="19"/>
        <v>0.99985690747793976</v>
      </c>
      <c r="N90" s="55">
        <f t="shared" si="37"/>
        <v>4.7324156907699197E-6</v>
      </c>
      <c r="O90" s="56">
        <f t="shared" si="21"/>
        <v>9.99699499697039E-7</v>
      </c>
      <c r="P90" s="56">
        <f t="shared" si="38"/>
        <v>1.022232535809314E-6</v>
      </c>
      <c r="Q90" s="56">
        <f t="shared" si="39"/>
        <v>6.7615403270951809E-7</v>
      </c>
      <c r="R90" s="9">
        <f t="shared" si="12"/>
        <v>3.9999999999999996E-5</v>
      </c>
      <c r="S90" s="9">
        <f t="shared" si="13"/>
        <v>5.7237008824086207E-9</v>
      </c>
      <c r="T90" s="9">
        <f t="shared" si="10"/>
        <v>3.996167158022661E-5</v>
      </c>
      <c r="U90" s="9">
        <f t="shared" si="11"/>
        <v>3.9994276299117588E-5</v>
      </c>
      <c r="V90" s="100">
        <f t="shared" si="14"/>
        <v>0.99918476537374679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-1.6805454315982515E-2</v>
      </c>
      <c r="K91" s="55">
        <f t="shared" si="35"/>
        <v>0.99940022085511537</v>
      </c>
      <c r="L91" s="55">
        <f t="shared" si="36"/>
        <v>1.3467501893230747E-4</v>
      </c>
      <c r="M91" s="55">
        <f t="shared" si="19"/>
        <v>0.99986532498106773</v>
      </c>
      <c r="N91" s="55">
        <f t="shared" si="37"/>
        <v>2.1501565641792874E-6</v>
      </c>
      <c r="O91" s="56">
        <f t="shared" si="21"/>
        <v>1.0000581670165497E-6</v>
      </c>
      <c r="P91" s="56">
        <f t="shared" si="38"/>
        <v>9.6209909596398582E-7</v>
      </c>
      <c r="Q91" s="56">
        <f t="shared" si="39"/>
        <v>3.0720822658546746E-7</v>
      </c>
      <c r="R91" s="9">
        <f t="shared" si="12"/>
        <v>3.9999999999999996E-5</v>
      </c>
      <c r="S91" s="9">
        <f t="shared" si="13"/>
        <v>5.3870007572922985E-9</v>
      </c>
      <c r="T91" s="9">
        <f t="shared" si="10"/>
        <v>3.9976008834204613E-5</v>
      </c>
      <c r="U91" s="9">
        <f t="shared" si="11"/>
        <v>3.9994612999242706E-5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0.56631779831251772</v>
      </c>
      <c r="K92" s="55">
        <f t="shared" si="35"/>
        <v>0.98759713859648668</v>
      </c>
      <c r="L92" s="55">
        <f t="shared" si="36"/>
        <v>5.0962494757188584E-4</v>
      </c>
      <c r="M92" s="55">
        <f t="shared" si="19"/>
        <v>0.9994903750524281</v>
      </c>
      <c r="N92" s="55">
        <f t="shared" si="37"/>
        <v>1.9709937105367444E-4</v>
      </c>
      <c r="O92" s="56">
        <f t="shared" si="21"/>
        <v>9.882473143046998E-7</v>
      </c>
      <c r="P92" s="56">
        <f t="shared" si="38"/>
        <v>3.6406878218896132E-6</v>
      </c>
      <c r="Q92" s="56">
        <f t="shared" si="39"/>
        <v>2.8160994995088845E-5</v>
      </c>
      <c r="R92" s="9">
        <f t="shared" si="12"/>
        <v>3.9999999999999996E-5</v>
      </c>
      <c r="S92" s="9">
        <f t="shared" si="13"/>
        <v>2.0384997902875433E-8</v>
      </c>
      <c r="T92" s="9">
        <f t="shared" ref="T92:T143" si="40">R92*K92</f>
        <v>3.9503885543859464E-5</v>
      </c>
      <c r="U92" s="9">
        <f t="shared" ref="U92:U143" si="41">$R92*M92</f>
        <v>3.9979615002097118E-5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-1.5761133146324342E-2</v>
      </c>
      <c r="K93" s="55">
        <f t="shared" si="35"/>
        <v>0.99938606349339398</v>
      </c>
      <c r="L93" s="55">
        <f t="shared" si="36"/>
        <v>1.3499734094536394E-4</v>
      </c>
      <c r="M93" s="55">
        <f t="shared" ref="M93:M127" si="42">IF(D93=0,"",1-L93)</f>
        <v>0.99986500265905465</v>
      </c>
      <c r="N93" s="55">
        <f t="shared" si="37"/>
        <v>2.2407352820454085E-6</v>
      </c>
      <c r="O93" s="56">
        <f t="shared" ref="O93:O127" si="43">IF(D93=0,"",F93*K93*$J$7/$J$14)</f>
        <v>1.0000440003344562E-6</v>
      </c>
      <c r="P93" s="56">
        <f t="shared" si="38"/>
        <v>9.6440171837925913E-7</v>
      </c>
      <c r="Q93" s="56">
        <f t="shared" si="39"/>
        <v>3.201498549978421E-7</v>
      </c>
      <c r="R93" s="9">
        <f t="shared" ref="R93:R143" si="44">F93*$C$14</f>
        <v>3.9999999999999996E-5</v>
      </c>
      <c r="S93" s="9">
        <f t="shared" ref="S93:S143" si="45">$R93*L93</f>
        <v>5.3998936378145571E-9</v>
      </c>
      <c r="T93" s="9">
        <f t="shared" si="40"/>
        <v>3.9975442539735755E-5</v>
      </c>
      <c r="U93" s="9">
        <f t="shared" si="41"/>
        <v>3.9994600106362183E-5</v>
      </c>
      <c r="V93" s="100">
        <f t="shared" ref="V93:V143" si="46">K93/M93</f>
        <v>0.99952099617009604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-4.1307694405703282E-2</v>
      </c>
      <c r="K94" s="55">
        <f t="shared" si="35"/>
        <v>0.99973785580459895</v>
      </c>
      <c r="L94" s="55">
        <f t="shared" si="36"/>
        <v>1.2733022350338376E-4</v>
      </c>
      <c r="M94" s="55">
        <f t="shared" si="42"/>
        <v>0.99987266977649658</v>
      </c>
      <c r="N94" s="55">
        <f t="shared" si="37"/>
        <v>3.7467717095035775E-7</v>
      </c>
      <c r="O94" s="56">
        <f t="shared" si="43"/>
        <v>1.0003960242449704E-6</v>
      </c>
      <c r="P94" s="56">
        <f t="shared" si="38"/>
        <v>9.0962892667624458E-7</v>
      </c>
      <c r="Q94" s="56">
        <f t="shared" si="39"/>
        <v>5.3532803679184396E-8</v>
      </c>
      <c r="R94" s="9">
        <f t="shared" si="44"/>
        <v>3.9999999999999996E-5</v>
      </c>
      <c r="S94" s="9">
        <f t="shared" si="45"/>
        <v>5.0932089401353502E-9</v>
      </c>
      <c r="T94" s="9">
        <f t="shared" si="40"/>
        <v>3.9989514232183954E-5</v>
      </c>
      <c r="U94" s="9">
        <f t="shared" si="41"/>
        <v>3.999490679105986E-5</v>
      </c>
      <c r="V94" s="100">
        <f t="shared" si="46"/>
        <v>0.99986516886002319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3.7792037681406621</v>
      </c>
      <c r="K95" s="55">
        <f t="shared" si="35"/>
        <v>0.10274818385908678</v>
      </c>
      <c r="L95" s="55">
        <f t="shared" si="36"/>
        <v>8.6562737204264328E-2</v>
      </c>
      <c r="M95" s="55">
        <f t="shared" si="42"/>
        <v>0.91343726279573567</v>
      </c>
      <c r="N95" s="55">
        <f t="shared" si="37"/>
        <v>7.9958971562510042E-2</v>
      </c>
      <c r="O95" s="56">
        <f t="shared" si="43"/>
        <v>1.0281582720331835E-7</v>
      </c>
      <c r="P95" s="56">
        <f t="shared" si="38"/>
        <v>6.1839182848194953E-4</v>
      </c>
      <c r="Q95" s="56">
        <f t="shared" si="39"/>
        <v>1.1424309402646968E-2</v>
      </c>
      <c r="R95" s="9">
        <f t="shared" si="44"/>
        <v>3.9999999999999996E-5</v>
      </c>
      <c r="S95" s="9">
        <f t="shared" si="45"/>
        <v>3.4625094881705729E-6</v>
      </c>
      <c r="T95" s="9">
        <f t="shared" si="40"/>
        <v>4.1099273543634705E-6</v>
      </c>
      <c r="U95" s="9">
        <f t="shared" si="41"/>
        <v>3.6537490511829423E-5</v>
      </c>
      <c r="V95" s="100">
        <f t="shared" si="46"/>
        <v>0.11248521167683466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-5.0609949807824094E-2</v>
      </c>
      <c r="K96" s="55">
        <f t="shared" si="35"/>
        <v>0.99987535023706609</v>
      </c>
      <c r="L96" s="55">
        <f t="shared" si="36"/>
        <v>1.2464904933934083E-4</v>
      </c>
      <c r="M96" s="55">
        <f t="shared" si="42"/>
        <v>0.99987535095066071</v>
      </c>
      <c r="N96" s="55">
        <f t="shared" si="37"/>
        <v>1.1947276772428065E-14</v>
      </c>
      <c r="O96" s="56">
        <f t="shared" si="43"/>
        <v>1.0005336091956623E-6</v>
      </c>
      <c r="P96" s="56">
        <f t="shared" si="38"/>
        <v>8.904750014732022E-7</v>
      </c>
      <c r="Q96" s="56">
        <f t="shared" si="39"/>
        <v>1.706992770168029E-15</v>
      </c>
      <c r="R96" s="9">
        <f t="shared" si="44"/>
        <v>3.9999999999999996E-5</v>
      </c>
      <c r="S96" s="9">
        <f t="shared" si="45"/>
        <v>4.9859619735736327E-9</v>
      </c>
      <c r="T96" s="9">
        <f t="shared" si="40"/>
        <v>3.999501400948264E-5</v>
      </c>
      <c r="U96" s="9">
        <f t="shared" si="41"/>
        <v>3.9995014038026423E-5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3.4728223646217145</v>
      </c>
      <c r="K98" s="55">
        <f t="shared" si="35"/>
        <v>5.3349922767908738E-2</v>
      </c>
      <c r="L98" s="55">
        <f t="shared" si="36"/>
        <v>2.2197763406436772E-2</v>
      </c>
      <c r="M98" s="55">
        <f t="shared" si="42"/>
        <v>0.97780223659356325</v>
      </c>
      <c r="N98" s="55">
        <f t="shared" si="37"/>
        <v>6.6444166507988326E-3</v>
      </c>
      <c r="O98" s="56">
        <f t="shared" si="43"/>
        <v>5.3385045210515291E-8</v>
      </c>
      <c r="P98" s="56">
        <f t="shared" si="38"/>
        <v>1.5857765066652632E-4</v>
      </c>
      <c r="Q98" s="56">
        <f t="shared" si="39"/>
        <v>9.4933526701856345E-4</v>
      </c>
      <c r="R98" s="9">
        <f t="shared" si="44"/>
        <v>3.9999999999999996E-5</v>
      </c>
      <c r="S98" s="9">
        <f t="shared" si="45"/>
        <v>8.8791053625747081E-7</v>
      </c>
      <c r="T98" s="9">
        <f t="shared" si="40"/>
        <v>2.1339969107163491E-6</v>
      </c>
      <c r="U98" s="9">
        <f t="shared" si="41"/>
        <v>3.9112089463742527E-5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1.7151795679439035</v>
      </c>
      <c r="K99" s="55">
        <f t="shared" si="35"/>
        <v>0.74632355788732163</v>
      </c>
      <c r="L99" s="55">
        <f t="shared" si="36"/>
        <v>5.4257499727214343E-3</v>
      </c>
      <c r="M99" s="55">
        <f t="shared" si="42"/>
        <v>0.99457425002727862</v>
      </c>
      <c r="N99" s="55">
        <f t="shared" si="37"/>
        <v>1.0920693372181202E-3</v>
      </c>
      <c r="O99" s="56">
        <f t="shared" si="43"/>
        <v>7.4681489330015525E-7</v>
      </c>
      <c r="P99" s="56">
        <f t="shared" si="38"/>
        <v>3.8760782697982973E-5</v>
      </c>
      <c r="Q99" s="56">
        <f t="shared" si="39"/>
        <v>1.5603174670361867E-4</v>
      </c>
      <c r="R99" s="9">
        <f t="shared" si="44"/>
        <v>3.9999999999999996E-5</v>
      </c>
      <c r="S99" s="9">
        <f t="shared" si="45"/>
        <v>2.1702999890885735E-7</v>
      </c>
      <c r="T99" s="9">
        <f t="shared" si="40"/>
        <v>2.9852942315492863E-5</v>
      </c>
      <c r="U99" s="9">
        <f t="shared" si="41"/>
        <v>3.9782970001091141E-5</v>
      </c>
      <c r="V99" s="100">
        <f t="shared" si="46"/>
        <v>0.75039501361195693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3.0482053541141561</v>
      </c>
      <c r="K101" s="55">
        <f t="shared" si="35"/>
        <v>0.11243736016786925</v>
      </c>
      <c r="L101" s="55">
        <f t="shared" si="36"/>
        <v>1.7598232584882672E-2</v>
      </c>
      <c r="M101" s="55">
        <f t="shared" si="42"/>
        <v>0.98240176741511731</v>
      </c>
      <c r="N101" s="55">
        <f t="shared" si="37"/>
        <v>2.607556356017417E-3</v>
      </c>
      <c r="O101" s="56">
        <f t="shared" si="43"/>
        <v>1.125113822943212E-7</v>
      </c>
      <c r="P101" s="56">
        <f t="shared" si="38"/>
        <v>1.2571925955317539E-4</v>
      </c>
      <c r="Q101" s="56">
        <f t="shared" si="39"/>
        <v>3.725602019867513E-4</v>
      </c>
      <c r="R101" s="9">
        <f t="shared" si="44"/>
        <v>3.9999999999999996E-5</v>
      </c>
      <c r="S101" s="9">
        <f t="shared" si="45"/>
        <v>7.0392930339530683E-7</v>
      </c>
      <c r="T101" s="9">
        <f t="shared" si="40"/>
        <v>4.4974944067147696E-6</v>
      </c>
      <c r="U101" s="9">
        <f t="shared" si="41"/>
        <v>3.9296070696604689E-5</v>
      </c>
      <c r="V101" s="100">
        <f t="shared" si="46"/>
        <v>0.11445150436130928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2.2204840859111705</v>
      </c>
      <c r="K102" s="55">
        <f t="shared" si="35"/>
        <v>0.4262597903623051</v>
      </c>
      <c r="L102" s="55">
        <f t="shared" si="36"/>
        <v>9.9199963289265149E-3</v>
      </c>
      <c r="M102" s="55">
        <f t="shared" si="42"/>
        <v>0.99008000367107352</v>
      </c>
      <c r="N102" s="55">
        <f t="shared" si="37"/>
        <v>3.425287196733677E-9</v>
      </c>
      <c r="O102" s="56">
        <f t="shared" si="43"/>
        <v>4.2654041466775369E-7</v>
      </c>
      <c r="P102" s="56">
        <f t="shared" si="38"/>
        <v>7.0867036631518319E-5</v>
      </c>
      <c r="Q102" s="56">
        <f t="shared" si="39"/>
        <v>4.893952481344599E-10</v>
      </c>
      <c r="R102" s="9">
        <f t="shared" si="44"/>
        <v>3.9999999999999996E-5</v>
      </c>
      <c r="S102" s="9">
        <f t="shared" si="45"/>
        <v>3.9679985315706056E-7</v>
      </c>
      <c r="T102" s="9">
        <f t="shared" si="40"/>
        <v>1.7050391614492202E-5</v>
      </c>
      <c r="U102" s="9">
        <f t="shared" si="41"/>
        <v>3.960320014684294E-5</v>
      </c>
      <c r="V102" s="100">
        <f t="shared" si="46"/>
        <v>0.43053065285814823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3.2683598845020718</v>
      </c>
      <c r="K103" s="55">
        <f t="shared" si="35"/>
        <v>6.2108133985109344E-2</v>
      </c>
      <c r="L103" s="55">
        <f t="shared" si="36"/>
        <v>1.6138435254671381E-2</v>
      </c>
      <c r="M103" s="55">
        <f t="shared" si="42"/>
        <v>0.9838615647453286</v>
      </c>
      <c r="N103" s="55">
        <f t="shared" si="37"/>
        <v>8.3228315618851291E-9</v>
      </c>
      <c r="O103" s="56">
        <f t="shared" si="43"/>
        <v>6.2149022317427685E-8</v>
      </c>
      <c r="P103" s="56">
        <f t="shared" si="38"/>
        <v>1.1529067596862172E-4</v>
      </c>
      <c r="Q103" s="56">
        <f t="shared" si="39"/>
        <v>1.189142394043399E-9</v>
      </c>
      <c r="R103" s="9">
        <f t="shared" si="44"/>
        <v>3.9999999999999996E-5</v>
      </c>
      <c r="S103" s="9">
        <f t="shared" si="45"/>
        <v>6.4553741018685523E-7</v>
      </c>
      <c r="T103" s="9">
        <f t="shared" si="40"/>
        <v>2.4843253594043734E-6</v>
      </c>
      <c r="U103" s="9">
        <f t="shared" si="41"/>
        <v>3.9354462589813138E-5</v>
      </c>
      <c r="V103" s="100">
        <f t="shared" si="46"/>
        <v>6.3126903428924949E-2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4.0256836428663529</v>
      </c>
      <c r="K104" s="55">
        <f t="shared" si="35"/>
        <v>1.3362134547322598E-2</v>
      </c>
      <c r="L104" s="55">
        <f t="shared" si="36"/>
        <v>1.9856949981771038E-2</v>
      </c>
      <c r="M104" s="55">
        <f t="shared" si="42"/>
        <v>0.98014305001822899</v>
      </c>
      <c r="N104" s="55">
        <f t="shared" si="37"/>
        <v>3.244881962639772E-3</v>
      </c>
      <c r="O104" s="56">
        <f t="shared" si="43"/>
        <v>1.3370931388618528E-8</v>
      </c>
      <c r="P104" s="56">
        <f t="shared" si="38"/>
        <v>1.4185521396263209E-4</v>
      </c>
      <c r="Q104" s="56">
        <f t="shared" si="39"/>
        <v>4.6361946373064868E-4</v>
      </c>
      <c r="R104" s="9">
        <f t="shared" si="44"/>
        <v>3.9999999999999996E-5</v>
      </c>
      <c r="S104" s="9">
        <f t="shared" si="45"/>
        <v>7.9427799927084142E-7</v>
      </c>
      <c r="T104" s="9">
        <f t="shared" si="40"/>
        <v>5.3448538189290385E-7</v>
      </c>
      <c r="U104" s="9">
        <f t="shared" si="41"/>
        <v>3.9205722000729156E-5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3.8653862162210095</v>
      </c>
      <c r="K105" s="55">
        <f t="shared" si="35"/>
        <v>3.0661585708344472E-2</v>
      </c>
      <c r="L105" s="55">
        <f t="shared" si="36"/>
        <v>3.1501692363660606E-2</v>
      </c>
      <c r="M105" s="55">
        <f t="shared" si="42"/>
        <v>0.96849830763633937</v>
      </c>
      <c r="N105" s="55">
        <f t="shared" si="37"/>
        <v>1.6669311951747125E-2</v>
      </c>
      <c r="O105" s="56">
        <f t="shared" si="43"/>
        <v>3.0681771487974403E-8</v>
      </c>
      <c r="P105" s="56">
        <f t="shared" si="38"/>
        <v>2.250435900042251E-4</v>
      </c>
      <c r="Q105" s="56">
        <f t="shared" si="39"/>
        <v>2.3816636650600526E-3</v>
      </c>
      <c r="R105" s="9">
        <f t="shared" si="44"/>
        <v>3.9999999999999996E-5</v>
      </c>
      <c r="S105" s="9">
        <f t="shared" si="45"/>
        <v>1.2600676945464241E-6</v>
      </c>
      <c r="T105" s="9">
        <f t="shared" si="40"/>
        <v>1.2264634283337788E-6</v>
      </c>
      <c r="U105" s="9">
        <f t="shared" si="41"/>
        <v>3.8739932305453571E-5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2.7421076871513792</v>
      </c>
      <c r="K106" s="55">
        <f t="shared" si="35"/>
        <v>0.19246189893955973</v>
      </c>
      <c r="L106" s="55">
        <f t="shared" si="36"/>
        <v>1.4886942541181142E-2</v>
      </c>
      <c r="M106" s="55">
        <f t="shared" si="42"/>
        <v>0.98511305745881883</v>
      </c>
      <c r="N106" s="55">
        <f t="shared" si="37"/>
        <v>1.0956398740535158E-3</v>
      </c>
      <c r="O106" s="56">
        <f t="shared" si="43"/>
        <v>1.9258860450254356E-7</v>
      </c>
      <c r="P106" s="56">
        <f t="shared" si="38"/>
        <v>1.0635019080812078E-4</v>
      </c>
      <c r="Q106" s="56">
        <f t="shared" si="39"/>
        <v>1.5654189480512616E-4</v>
      </c>
      <c r="R106" s="9">
        <f t="shared" si="44"/>
        <v>3.9999999999999996E-5</v>
      </c>
      <c r="S106" s="9">
        <f t="shared" si="45"/>
        <v>5.9547770164724557E-7</v>
      </c>
      <c r="T106" s="9">
        <f t="shared" si="40"/>
        <v>7.6984759575823877E-6</v>
      </c>
      <c r="U106" s="9">
        <f t="shared" si="41"/>
        <v>3.9404522298352752E-5</v>
      </c>
      <c r="V106" s="100">
        <f t="shared" si="46"/>
        <v>0.19537036635777746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3.4941063050425574</v>
      </c>
      <c r="K108" s="55">
        <f t="shared" si="35"/>
        <v>4.6480848851165095E-2</v>
      </c>
      <c r="L108" s="55">
        <f t="shared" si="36"/>
        <v>2.0311098591196574E-2</v>
      </c>
      <c r="M108" s="55">
        <f t="shared" si="42"/>
        <v>0.97968890140880338</v>
      </c>
      <c r="N108" s="55">
        <f t="shared" si="37"/>
        <v>4.3913405039912963E-3</v>
      </c>
      <c r="O108" s="56">
        <f t="shared" si="43"/>
        <v>4.6511449100638386E-8</v>
      </c>
      <c r="P108" s="56">
        <f t="shared" si="38"/>
        <v>1.4509958674999534E-4</v>
      </c>
      <c r="Q108" s="56">
        <f t="shared" si="39"/>
        <v>6.2742218452312203E-4</v>
      </c>
      <c r="R108" s="9">
        <f t="shared" si="44"/>
        <v>3.9999999999999996E-5</v>
      </c>
      <c r="S108" s="9">
        <f t="shared" si="45"/>
        <v>8.1244394364786289E-7</v>
      </c>
      <c r="T108" s="9">
        <f t="shared" si="40"/>
        <v>1.8592339540466036E-6</v>
      </c>
      <c r="U108" s="9">
        <f t="shared" si="41"/>
        <v>3.918755605635213E-5</v>
      </c>
      <c r="V108" s="100">
        <f t="shared" si="46"/>
        <v>4.7444498742738768E-2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3.8560205528257723</v>
      </c>
      <c r="K109" s="55">
        <f t="shared" si="35"/>
        <v>2.8149284567549809E-2</v>
      </c>
      <c r="L109" s="55">
        <f t="shared" si="36"/>
        <v>2.8303554043052834E-2</v>
      </c>
      <c r="M109" s="55">
        <f t="shared" si="42"/>
        <v>0.97169644595694715</v>
      </c>
      <c r="N109" s="55">
        <f t="shared" si="37"/>
        <v>1.3025380663100551E-2</v>
      </c>
      <c r="O109" s="56">
        <f t="shared" si="43"/>
        <v>2.816781639628254E-8</v>
      </c>
      <c r="P109" s="56">
        <f t="shared" si="38"/>
        <v>2.0219654671870625E-4</v>
      </c>
      <c r="Q109" s="56">
        <f t="shared" si="39"/>
        <v>1.8610291737704836E-3</v>
      </c>
      <c r="R109" s="9">
        <f t="shared" si="44"/>
        <v>3.9999999999999996E-5</v>
      </c>
      <c r="S109" s="9">
        <f t="shared" si="45"/>
        <v>1.1321421617221132E-6</v>
      </c>
      <c r="T109" s="9">
        <f t="shared" si="40"/>
        <v>1.1259713827019924E-6</v>
      </c>
      <c r="U109" s="9">
        <f t="shared" si="41"/>
        <v>3.8867857838277883E-5</v>
      </c>
      <c r="V109" s="100">
        <f t="shared" si="46"/>
        <v>2.896921634804149E-2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1.9780660616097288</v>
      </c>
      <c r="K110" s="55">
        <f t="shared" si="35"/>
        <v>0.56879919928885081</v>
      </c>
      <c r="L110" s="55">
        <f t="shared" si="36"/>
        <v>7.5749208011072194E-3</v>
      </c>
      <c r="M110" s="55">
        <f t="shared" si="42"/>
        <v>0.99242507919889278</v>
      </c>
      <c r="N110" s="55">
        <f t="shared" si="37"/>
        <v>1.000649630171453E-4</v>
      </c>
      <c r="O110" s="56">
        <f t="shared" si="43"/>
        <v>5.6917366313425468E-7</v>
      </c>
      <c r="P110" s="56">
        <f t="shared" si="38"/>
        <v>5.4114152071566965E-5</v>
      </c>
      <c r="Q110" s="56">
        <f t="shared" si="39"/>
        <v>1.4296996015995385E-5</v>
      </c>
      <c r="R110" s="9">
        <f t="shared" si="44"/>
        <v>3.9999999999999996E-5</v>
      </c>
      <c r="S110" s="9">
        <f t="shared" si="45"/>
        <v>3.0299683204428875E-7</v>
      </c>
      <c r="T110" s="9">
        <f t="shared" si="40"/>
        <v>2.2751967971554029E-5</v>
      </c>
      <c r="U110" s="9">
        <f t="shared" si="41"/>
        <v>3.9697003167955708E-5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2.3495507007911449</v>
      </c>
      <c r="K111" s="55">
        <f t="shared" si="35"/>
        <v>0.66665259573068292</v>
      </c>
      <c r="L111" s="55">
        <f t="shared" si="36"/>
        <v>2.0883502265608148E-2</v>
      </c>
      <c r="M111" s="55">
        <f t="shared" si="42"/>
        <v>0.9791164977343918</v>
      </c>
      <c r="N111" s="55">
        <f t="shared" si="37"/>
        <v>1.6941741455458754E-2</v>
      </c>
      <c r="O111" s="56">
        <f t="shared" si="43"/>
        <v>6.6709148048097426E-7</v>
      </c>
      <c r="P111" s="56">
        <f t="shared" si="38"/>
        <v>1.4918875682803806E-4</v>
      </c>
      <c r="Q111" s="56">
        <f t="shared" si="39"/>
        <v>2.4205876141803594E-3</v>
      </c>
      <c r="R111" s="9">
        <f t="shared" si="44"/>
        <v>3.9999999999999996E-5</v>
      </c>
      <c r="S111" s="9">
        <f t="shared" si="45"/>
        <v>8.3534009062432588E-7</v>
      </c>
      <c r="T111" s="9">
        <f t="shared" si="40"/>
        <v>2.6666103829227315E-5</v>
      </c>
      <c r="U111" s="9">
        <f t="shared" si="41"/>
        <v>3.9164659909375666E-5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5.4568603611336437</v>
      </c>
      <c r="K112" s="55">
        <f t="shared" si="35"/>
        <v>2.6815627009989418E-3</v>
      </c>
      <c r="L112" s="55">
        <f t="shared" si="36"/>
        <v>0.10754776160786643</v>
      </c>
      <c r="M112" s="55">
        <f t="shared" si="42"/>
        <v>0.89245223839213361</v>
      </c>
      <c r="N112" s="55">
        <f t="shared" si="37"/>
        <v>0.10163142595292129</v>
      </c>
      <c r="O112" s="56">
        <f t="shared" si="43"/>
        <v>2.6833280837244508E-9</v>
      </c>
      <c r="P112" s="56">
        <f t="shared" si="38"/>
        <v>7.6830584496065477E-4</v>
      </c>
      <c r="Q112" s="56">
        <f t="shared" si="39"/>
        <v>1.4520807764650671E-2</v>
      </c>
      <c r="R112" s="9">
        <f t="shared" si="44"/>
        <v>3.9999999999999996E-5</v>
      </c>
      <c r="S112" s="9">
        <f t="shared" si="45"/>
        <v>4.3019104643146568E-6</v>
      </c>
      <c r="T112" s="9">
        <f t="shared" si="40"/>
        <v>1.0726250803995767E-7</v>
      </c>
      <c r="U112" s="9">
        <f t="shared" si="41"/>
        <v>3.569808953568534E-5</v>
      </c>
      <c r="V112" s="100">
        <f t="shared" si="46"/>
        <v>3.0047128413618176E-3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5.8376711731613922</v>
      </c>
      <c r="K113" s="55">
        <f t="shared" si="35"/>
        <v>1.2000751564717508E-3</v>
      </c>
      <c r="L113" s="55">
        <f t="shared" si="36"/>
        <v>0.11567318049383399</v>
      </c>
      <c r="M113" s="55">
        <f t="shared" si="42"/>
        <v>0.88432681950616598</v>
      </c>
      <c r="N113" s="55">
        <f t="shared" si="37"/>
        <v>0.11073846724956173</v>
      </c>
      <c r="O113" s="56">
        <f t="shared" si="43"/>
        <v>1.2008652151751175E-9</v>
      </c>
      <c r="P113" s="56">
        <f t="shared" si="38"/>
        <v>8.2635267670788041E-4</v>
      </c>
      <c r="Q113" s="56">
        <f t="shared" si="39"/>
        <v>1.5821995804996665E-2</v>
      </c>
      <c r="R113" s="9">
        <f t="shared" si="44"/>
        <v>3.9999999999999996E-5</v>
      </c>
      <c r="S113" s="9">
        <f t="shared" si="45"/>
        <v>4.626927219753359E-6</v>
      </c>
      <c r="T113" s="9">
        <f t="shared" si="40"/>
        <v>4.8003006258870029E-8</v>
      </c>
      <c r="U113" s="9">
        <f t="shared" si="41"/>
        <v>3.5373072780246634E-5</v>
      </c>
      <c r="V113" s="100">
        <f t="shared" si="46"/>
        <v>1.3570493736036503E-3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6.2686756056738835</v>
      </c>
      <c r="K114" s="55">
        <f t="shared" si="35"/>
        <v>4.7306903640986211E-4</v>
      </c>
      <c r="L114" s="55">
        <f t="shared" si="36"/>
        <v>0.12301361674732753</v>
      </c>
      <c r="M114" s="55">
        <f t="shared" si="42"/>
        <v>0.87698638325267253</v>
      </c>
      <c r="N114" s="55">
        <f t="shared" si="37"/>
        <v>0.11897743068905176</v>
      </c>
      <c r="O114" s="56">
        <f t="shared" si="43"/>
        <v>4.7338047716212937E-10</v>
      </c>
      <c r="P114" s="56">
        <f t="shared" si="38"/>
        <v>8.7879170466908748E-4</v>
      </c>
      <c r="Q114" s="56">
        <f t="shared" si="39"/>
        <v>1.699915536133546E-2</v>
      </c>
      <c r="R114" s="9">
        <f t="shared" si="44"/>
        <v>3.9999999999999996E-5</v>
      </c>
      <c r="S114" s="9">
        <f t="shared" si="45"/>
        <v>4.9205446698931004E-6</v>
      </c>
      <c r="T114" s="9">
        <f t="shared" si="40"/>
        <v>1.8922761456394484E-8</v>
      </c>
      <c r="U114" s="9">
        <f t="shared" si="41"/>
        <v>3.5079455330106899E-5</v>
      </c>
      <c r="V114" s="100">
        <f t="shared" si="46"/>
        <v>5.3942574872746236E-4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4.8544220902765449</v>
      </c>
      <c r="K115" s="55">
        <f t="shared" si="35"/>
        <v>1.1783992882642929E-2</v>
      </c>
      <c r="L115" s="55">
        <f t="shared" si="36"/>
        <v>0.11805044276730067</v>
      </c>
      <c r="M115" s="55">
        <f t="shared" si="42"/>
        <v>0.8819495572326993</v>
      </c>
      <c r="N115" s="55">
        <f t="shared" si="37"/>
        <v>0.11361444899966334</v>
      </c>
      <c r="O115" s="56">
        <f t="shared" si="43"/>
        <v>1.1791750768544605E-8</v>
      </c>
      <c r="P115" s="56">
        <f t="shared" si="38"/>
        <v>8.4333549878062972E-4</v>
      </c>
      <c r="Q115" s="56">
        <f t="shared" si="39"/>
        <v>1.6232907860360472E-2</v>
      </c>
      <c r="R115" s="9">
        <f t="shared" si="44"/>
        <v>3.9999999999999996E-5</v>
      </c>
      <c r="S115" s="9">
        <f t="shared" si="45"/>
        <v>4.7220177106920267E-6</v>
      </c>
      <c r="T115" s="9">
        <f t="shared" si="40"/>
        <v>4.7135971530571715E-7</v>
      </c>
      <c r="U115" s="9">
        <f t="shared" si="41"/>
        <v>3.5277982289307966E-5</v>
      </c>
      <c r="V115" s="100">
        <f t="shared" si="46"/>
        <v>1.3361300298871587E-2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-2.3915236456629588E-2</v>
      </c>
      <c r="K116" s="55">
        <f t="shared" si="35"/>
        <v>0.99949687508348173</v>
      </c>
      <c r="L116" s="55">
        <f t="shared" si="36"/>
        <v>1.3250103256388086E-4</v>
      </c>
      <c r="M116" s="55">
        <f t="shared" si="42"/>
        <v>0.9998674989674361</v>
      </c>
      <c r="N116" s="55">
        <f t="shared" si="37"/>
        <v>1.5616134792267783E-6</v>
      </c>
      <c r="O116" s="56">
        <f t="shared" si="43"/>
        <v>1.0001548848763593E-6</v>
      </c>
      <c r="P116" s="56">
        <f t="shared" si="38"/>
        <v>9.4656844791742707E-7</v>
      </c>
      <c r="Q116" s="56">
        <f t="shared" si="39"/>
        <v>2.2311887215912426E-7</v>
      </c>
      <c r="R116" s="9">
        <f t="shared" si="44"/>
        <v>3.9999999999999996E-5</v>
      </c>
      <c r="S116" s="9">
        <f t="shared" si="45"/>
        <v>5.3000413025552339E-9</v>
      </c>
      <c r="T116" s="9">
        <f t="shared" si="40"/>
        <v>3.9979875003339266E-5</v>
      </c>
      <c r="U116" s="9">
        <f t="shared" si="41"/>
        <v>3.9994699958697439E-5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1.0376508814998808</v>
      </c>
      <c r="K117" s="55">
        <f t="shared" si="35"/>
        <v>0.96319175628763243</v>
      </c>
      <c r="L117" s="55">
        <f t="shared" si="36"/>
        <v>1.471352382819842E-3</v>
      </c>
      <c r="M117" s="55">
        <f t="shared" si="42"/>
        <v>0.99852864761718019</v>
      </c>
      <c r="N117" s="55">
        <f t="shared" si="37"/>
        <v>8.0981314078141945E-4</v>
      </c>
      <c r="O117" s="56">
        <f t="shared" si="43"/>
        <v>9.6382586493154714E-7</v>
      </c>
      <c r="P117" s="56">
        <f t="shared" si="38"/>
        <v>1.0511131229667405E-5</v>
      </c>
      <c r="Q117" s="56">
        <f t="shared" si="39"/>
        <v>1.1570378780301838E-4</v>
      </c>
      <c r="R117" s="9">
        <f t="shared" si="44"/>
        <v>3.9999999999999996E-5</v>
      </c>
      <c r="S117" s="9">
        <f t="shared" si="45"/>
        <v>5.8854095312793676E-8</v>
      </c>
      <c r="T117" s="9">
        <f t="shared" si="40"/>
        <v>3.8527670251505297E-5</v>
      </c>
      <c r="U117" s="9">
        <f t="shared" si="41"/>
        <v>3.9941145904687206E-5</v>
      </c>
      <c r="V117" s="100">
        <f t="shared" si="46"/>
        <v>0.96461103903841594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2.3631678945687002</v>
      </c>
      <c r="K118" s="55">
        <f t="shared" si="35"/>
        <v>0.66070412048800908</v>
      </c>
      <c r="L118" s="55">
        <f t="shared" si="36"/>
        <v>2.1356396158691116E-2</v>
      </c>
      <c r="M118" s="55">
        <f t="shared" si="42"/>
        <v>0.97864360384130888</v>
      </c>
      <c r="N118" s="55">
        <f t="shared" si="37"/>
        <v>1.7359214144531225E-2</v>
      </c>
      <c r="O118" s="56">
        <f t="shared" si="43"/>
        <v>6.6113908911303785E-7</v>
      </c>
      <c r="P118" s="56">
        <f t="shared" si="38"/>
        <v>1.5256704324395236E-4</v>
      </c>
      <c r="Q118" s="56">
        <f t="shared" si="39"/>
        <v>2.4802349192159226E-3</v>
      </c>
      <c r="R118" s="9">
        <f t="shared" si="44"/>
        <v>3.9999999999999996E-5</v>
      </c>
      <c r="S118" s="9">
        <f t="shared" si="45"/>
        <v>8.542558463476445E-7</v>
      </c>
      <c r="T118" s="9">
        <f t="shared" si="40"/>
        <v>2.6428164819520362E-5</v>
      </c>
      <c r="U118" s="9">
        <f t="shared" si="41"/>
        <v>3.9145744153652353E-5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-4.7308877203311103E-2</v>
      </c>
      <c r="K119" s="55">
        <f t="shared" si="35"/>
        <v>0.99982477277767734</v>
      </c>
      <c r="L119" s="55">
        <f t="shared" si="36"/>
        <v>1.2559376346077991E-4</v>
      </c>
      <c r="M119" s="55">
        <f t="shared" si="42"/>
        <v>0.99987440623653923</v>
      </c>
      <c r="N119" s="55">
        <f t="shared" si="37"/>
        <v>9.1100892393233056E-8</v>
      </c>
      <c r="O119" s="56">
        <f t="shared" si="43"/>
        <v>1.0004829984390576E-6</v>
      </c>
      <c r="P119" s="56">
        <f t="shared" si="38"/>
        <v>8.9722390419760311E-7</v>
      </c>
      <c r="Q119" s="56">
        <f t="shared" si="39"/>
        <v>1.3016235216881156E-8</v>
      </c>
      <c r="R119" s="9">
        <f t="shared" si="44"/>
        <v>3.9999999999999996E-5</v>
      </c>
      <c r="S119" s="9">
        <f t="shared" si="45"/>
        <v>5.0237505384311958E-9</v>
      </c>
      <c r="T119" s="9">
        <f t="shared" si="40"/>
        <v>3.9992990911107087E-5</v>
      </c>
      <c r="U119" s="9">
        <f t="shared" si="41"/>
        <v>3.9994976249461564E-5</v>
      </c>
      <c r="V119" s="100">
        <f t="shared" si="46"/>
        <v>0.99995036030670226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-5.0609991659574693E-2</v>
      </c>
      <c r="K120" s="55">
        <f t="shared" si="35"/>
        <v>0.99987535093478386</v>
      </c>
      <c r="L120" s="55">
        <f t="shared" si="36"/>
        <v>1.2464903741424014E-4</v>
      </c>
      <c r="M120" s="55">
        <f t="shared" si="42"/>
        <v>0.99987535096258573</v>
      </c>
      <c r="N120" s="55">
        <f t="shared" si="37"/>
        <v>1.1814597346936408E-16</v>
      </c>
      <c r="O120" s="56">
        <f t="shared" si="43"/>
        <v>1.0005336098938396E-6</v>
      </c>
      <c r="P120" s="56">
        <f t="shared" si="38"/>
        <v>8.9047491628198642E-7</v>
      </c>
      <c r="Q120" s="56">
        <f t="shared" si="39"/>
        <v>1.6880359129378539E-17</v>
      </c>
      <c r="R120" s="9">
        <f t="shared" si="44"/>
        <v>3.9999999999999996E-5</v>
      </c>
      <c r="S120" s="9">
        <f t="shared" si="45"/>
        <v>4.9859614965696052E-9</v>
      </c>
      <c r="T120" s="9">
        <f t="shared" si="40"/>
        <v>3.9995014037391352E-5</v>
      </c>
      <c r="U120" s="9">
        <f t="shared" si="41"/>
        <v>3.9995014038503425E-5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0.22547827329253009</v>
      </c>
      <c r="K121" s="55">
        <f t="shared" si="35"/>
        <v>0.995742162010681</v>
      </c>
      <c r="L121" s="55">
        <f t="shared" si="36"/>
        <v>2.3441112995077908E-4</v>
      </c>
      <c r="M121" s="55">
        <f t="shared" si="42"/>
        <v>0.99976558887004918</v>
      </c>
      <c r="N121" s="55">
        <f t="shared" si="37"/>
        <v>4.405235937018671E-5</v>
      </c>
      <c r="O121" s="56">
        <f t="shared" si="43"/>
        <v>9.9639769992192201E-7</v>
      </c>
      <c r="P121" s="56">
        <f t="shared" si="38"/>
        <v>1.674599625064087E-6</v>
      </c>
      <c r="Q121" s="56">
        <f t="shared" si="39"/>
        <v>6.2940752429283619E-6</v>
      </c>
      <c r="R121" s="9">
        <f t="shared" si="44"/>
        <v>3.9999999999999996E-5</v>
      </c>
      <c r="S121" s="9">
        <f t="shared" si="45"/>
        <v>9.3764451980311616E-9</v>
      </c>
      <c r="T121" s="9">
        <f t="shared" si="40"/>
        <v>3.9829686480427239E-5</v>
      </c>
      <c r="U121" s="9">
        <f t="shared" si="41"/>
        <v>3.9990623554801965E-5</v>
      </c>
      <c r="V121" s="100">
        <f t="shared" si="46"/>
        <v>0.99597562978346199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5.5157795819294879</v>
      </c>
      <c r="K122" s="55">
        <f t="shared" si="35"/>
        <v>2.8279794483177397E-3</v>
      </c>
      <c r="L122" s="55">
        <f t="shared" si="36"/>
        <v>0.12989992174334511</v>
      </c>
      <c r="M122" s="55">
        <f t="shared" si="42"/>
        <v>0.87010007825665492</v>
      </c>
      <c r="N122" s="55">
        <f t="shared" si="37"/>
        <v>0.12676498062468455</v>
      </c>
      <c r="O122" s="56">
        <f t="shared" si="43"/>
        <v>2.8298412231941185E-9</v>
      </c>
      <c r="P122" s="56">
        <f t="shared" si="38"/>
        <v>9.2798648380277985E-4</v>
      </c>
      <c r="Q122" s="56">
        <f t="shared" si="39"/>
        <v>1.8111818245996E-2</v>
      </c>
      <c r="R122" s="9">
        <f t="shared" si="44"/>
        <v>3.9999999999999996E-5</v>
      </c>
      <c r="S122" s="9">
        <f t="shared" si="45"/>
        <v>5.1959968697338036E-6</v>
      </c>
      <c r="T122" s="9">
        <f t="shared" si="40"/>
        <v>1.1311917793270958E-7</v>
      </c>
      <c r="U122" s="9">
        <f t="shared" si="41"/>
        <v>3.4804003130266195E-5</v>
      </c>
      <c r="V122" s="100">
        <f t="shared" si="46"/>
        <v>3.2501772140785461E-3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0.9134404490197624</v>
      </c>
      <c r="K123" s="55">
        <f t="shared" ref="K123:K127" si="49">IF(D123=0,"",1/(1+10^D123*$J$15/$J$14+10^E123*$J$16/$J$14+10^J123*$J$19/$J$14))</f>
        <v>0.974843463018783</v>
      </c>
      <c r="L123" s="55">
        <f t="shared" ref="L123:L127" si="50">IF(D123=0,"",1/(1+10^I123/10^J123*$J$13/$J$19))</f>
        <v>1.1187380035462687E-3</v>
      </c>
      <c r="M123" s="55">
        <f t="shared" si="42"/>
        <v>0.99888126199645377</v>
      </c>
      <c r="N123" s="55">
        <f t="shared" ref="N123:N127" si="51">IF(D123=0,"",1/(1/10^E123*$J$20/$J$22+10^D123/10^E123*$J$21/$J$22+10^I123/10^E123*$J$13/$J$22+1))</f>
        <v>6.3706969525881318E-4</v>
      </c>
      <c r="O123" s="56">
        <f t="shared" si="43"/>
        <v>9.7548524245919949E-7</v>
      </c>
      <c r="P123" s="56">
        <f t="shared" ref="P123:P127" si="52">IF(D123=0,"",O123*10^J123)</f>
        <v>7.9921044776197513E-6</v>
      </c>
      <c r="Q123" s="56">
        <f t="shared" ref="Q123:Q127" si="53">IF(D123=0,"",F123*N123*$J$7/$J$22)</f>
        <v>9.1022697859449912E-5</v>
      </c>
      <c r="R123" s="9">
        <f t="shared" si="44"/>
        <v>3.9999999999999996E-5</v>
      </c>
      <c r="S123" s="9">
        <f t="shared" si="45"/>
        <v>4.4749520141850748E-8</v>
      </c>
      <c r="T123" s="9">
        <f t="shared" si="40"/>
        <v>3.8993738520751319E-5</v>
      </c>
      <c r="U123" s="9">
        <f t="shared" si="41"/>
        <v>3.9955250479858147E-5</v>
      </c>
      <c r="V123" s="100">
        <f t="shared" si="46"/>
        <v>0.97593527890429477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0.97331271643662465</v>
      </c>
      <c r="K124" s="55">
        <f t="shared" si="49"/>
        <v>0.95224672351020845</v>
      </c>
      <c r="L124" s="55">
        <f t="shared" si="50"/>
        <v>1.2543399714887414E-3</v>
      </c>
      <c r="M124" s="55">
        <f t="shared" si="42"/>
        <v>0.99874566002851128</v>
      </c>
      <c r="N124" s="55">
        <f t="shared" si="51"/>
        <v>3.5568745651504765E-4</v>
      </c>
      <c r="O124" s="56">
        <f t="shared" si="43"/>
        <v>9.528736265900736E-7</v>
      </c>
      <c r="P124" s="56">
        <f t="shared" si="52"/>
        <v>8.9608255648910725E-6</v>
      </c>
      <c r="Q124" s="56">
        <f t="shared" si="53"/>
        <v>5.0819607536994246E-5</v>
      </c>
      <c r="R124" s="9">
        <f t="shared" si="44"/>
        <v>3.9999999999999996E-5</v>
      </c>
      <c r="S124" s="9">
        <f t="shared" si="45"/>
        <v>5.0173598859549653E-8</v>
      </c>
      <c r="T124" s="9">
        <f t="shared" si="40"/>
        <v>3.8089868940408337E-5</v>
      </c>
      <c r="U124" s="9">
        <f t="shared" si="41"/>
        <v>3.9949826401140451E-5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7.3650487553540506E-2</v>
      </c>
      <c r="K125" s="55">
        <f t="shared" si="49"/>
        <v>0.99797325918066393</v>
      </c>
      <c r="L125" s="55">
        <f t="shared" si="50"/>
        <v>1.6562368781991726E-4</v>
      </c>
      <c r="M125" s="55">
        <f t="shared" si="42"/>
        <v>0.99983437631218008</v>
      </c>
      <c r="N125" s="55">
        <f t="shared" si="51"/>
        <v>9.5494193959111438E-6</v>
      </c>
      <c r="O125" s="56">
        <f t="shared" si="43"/>
        <v>9.9863026591469314E-7</v>
      </c>
      <c r="P125" s="56">
        <f t="shared" si="52"/>
        <v>1.1831919652586577E-6</v>
      </c>
      <c r="Q125" s="56">
        <f t="shared" si="53"/>
        <v>1.3643937592323673E-6</v>
      </c>
      <c r="R125" s="9">
        <f t="shared" si="44"/>
        <v>3.9999999999999996E-5</v>
      </c>
      <c r="S125" s="9">
        <f t="shared" si="45"/>
        <v>6.6249475127966896E-9</v>
      </c>
      <c r="T125" s="9">
        <f t="shared" si="40"/>
        <v>3.991893036722655E-5</v>
      </c>
      <c r="U125" s="9">
        <f t="shared" si="41"/>
        <v>3.9993375052487197E-5</v>
      </c>
      <c r="V125" s="100">
        <f t="shared" si="46"/>
        <v>0.9981385745723399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4.4066096160793249</v>
      </c>
      <c r="K126" s="55">
        <f t="shared" si="49"/>
        <v>3.0028181853567669E-2</v>
      </c>
      <c r="L126" s="55">
        <f t="shared" si="50"/>
        <v>0.10727331755820833</v>
      </c>
      <c r="M126" s="55">
        <f t="shared" si="42"/>
        <v>0.89272668244179165</v>
      </c>
      <c r="N126" s="55">
        <f t="shared" si="51"/>
        <v>0.10184790093629612</v>
      </c>
      <c r="O126" s="56">
        <f t="shared" si="43"/>
        <v>3.0047950637457365E-8</v>
      </c>
      <c r="P126" s="56">
        <f t="shared" si="52"/>
        <v>7.6634525587618893E-4</v>
      </c>
      <c r="Q126" s="56">
        <f t="shared" si="53"/>
        <v>1.4551737091775312E-2</v>
      </c>
      <c r="R126" s="9">
        <f t="shared" si="44"/>
        <v>3.9999999999999996E-5</v>
      </c>
      <c r="S126" s="9">
        <f t="shared" si="45"/>
        <v>4.290932702328333E-6</v>
      </c>
      <c r="T126" s="9">
        <f t="shared" si="40"/>
        <v>1.2011272741427067E-6</v>
      </c>
      <c r="U126" s="9">
        <f t="shared" si="41"/>
        <v>3.570906729767166E-5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2.1831984223328189</v>
      </c>
      <c r="K127" s="55">
        <f t="shared" si="49"/>
        <v>0.7346327184192315</v>
      </c>
      <c r="L127" s="55">
        <f t="shared" si="50"/>
        <v>1.5689956788370107E-2</v>
      </c>
      <c r="M127" s="55">
        <f t="shared" si="42"/>
        <v>0.98431004321162985</v>
      </c>
      <c r="N127" s="55">
        <f t="shared" si="51"/>
        <v>1.2407757931449328E-2</v>
      </c>
      <c r="O127" s="56">
        <f t="shared" si="43"/>
        <v>7.3511635727287749E-7</v>
      </c>
      <c r="P127" s="56">
        <f t="shared" si="52"/>
        <v>1.1208680987371769E-4</v>
      </c>
      <c r="Q127" s="56">
        <f t="shared" si="53"/>
        <v>1.7727850025085329E-3</v>
      </c>
      <c r="R127" s="9">
        <f t="shared" si="44"/>
        <v>3.9999999999999996E-5</v>
      </c>
      <c r="S127" s="9">
        <f t="shared" si="45"/>
        <v>6.2759827153480422E-7</v>
      </c>
      <c r="T127" s="9">
        <f t="shared" si="40"/>
        <v>2.9385308736769258E-5</v>
      </c>
      <c r="U127" s="9">
        <f t="shared" si="41"/>
        <v>3.9372401728465193E-5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3.1029128175372134</v>
      </c>
      <c r="K128" s="55">
        <f t="shared" ref="K128:K134" si="56">IF(D128=0,"",1/(1+10^D128*$J$15/$J$14+10^E128*$J$16/$J$14+10^J128*$J$19/$J$14))</f>
        <v>0.25868601536451763</v>
      </c>
      <c r="L128" s="55">
        <f t="shared" ref="L128:L134" si="57">IF(D128=0,"",1/(1+10^I128/10^J128*$J$13/$J$19))</f>
        <v>4.5923906844532937E-2</v>
      </c>
      <c r="M128" s="55">
        <f t="shared" ref="M128:M134" si="58">IF(D128=0,"",1-L128)</f>
        <v>0.95407609315546704</v>
      </c>
      <c r="N128" s="55">
        <f t="shared" ref="N128:N134" si="59">IF(D128=0,"",1/(1/10^E128*$J$20/$J$22+10^D128/10^E128*$J$21/$J$22+10^I128/10^E128*$J$13/$J$22+1))</f>
        <v>3.7262244752159064E-2</v>
      </c>
      <c r="O128" s="56">
        <f t="shared" ref="O128:O134" si="60">IF(D128=0,"",F128*K128*$J$7/$J$14)</f>
        <v>2.5885631897990019E-7</v>
      </c>
      <c r="P128" s="56">
        <f t="shared" ref="P128:P134" si="61">IF(D128=0,"",O128*10^J128)</f>
        <v>3.2807382993922256E-4</v>
      </c>
      <c r="Q128" s="56">
        <f t="shared" ref="Q128:Q134" si="62">IF(D128=0,"",F128*N128*$J$7/$J$22)</f>
        <v>5.3239230666320509E-3</v>
      </c>
      <c r="R128" s="9">
        <f t="shared" si="44"/>
        <v>3.9999999999999996E-5</v>
      </c>
      <c r="S128" s="9">
        <f t="shared" si="45"/>
        <v>1.8369562737813174E-6</v>
      </c>
      <c r="T128" s="9">
        <f t="shared" si="40"/>
        <v>1.0347440614580704E-5</v>
      </c>
      <c r="U128" s="9">
        <f t="shared" si="41"/>
        <v>3.8163043726218678E-5</v>
      </c>
      <c r="V128" s="100">
        <f t="shared" si="46"/>
        <v>0.27113771870014214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-4.8884570023902327E-2</v>
      </c>
      <c r="K129" s="55">
        <f t="shared" si="56"/>
        <v>0.99984843236886933</v>
      </c>
      <c r="L129" s="55">
        <f t="shared" si="57"/>
        <v>1.251418752262267E-4</v>
      </c>
      <c r="M129" s="55">
        <f t="shared" si="58"/>
        <v>0.99987485812477372</v>
      </c>
      <c r="N129" s="55">
        <f t="shared" si="59"/>
        <v>3.7285482775529716E-8</v>
      </c>
      <c r="O129" s="56">
        <f t="shared" si="60"/>
        <v>1.000506673606329E-6</v>
      </c>
      <c r="P129" s="56">
        <f t="shared" si="61"/>
        <v>8.9399567920541696E-7</v>
      </c>
      <c r="Q129" s="56">
        <f t="shared" si="62"/>
        <v>5.3272432490168976E-9</v>
      </c>
      <c r="R129" s="9">
        <f t="shared" si="44"/>
        <v>3.9999999999999996E-5</v>
      </c>
      <c r="S129" s="9">
        <f t="shared" si="45"/>
        <v>5.0056750090490673E-9</v>
      </c>
      <c r="T129" s="9">
        <f t="shared" si="40"/>
        <v>3.9993937294754772E-5</v>
      </c>
      <c r="U129" s="9">
        <f t="shared" si="41"/>
        <v>3.9994994324990946E-5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1.4639587166510732</v>
      </c>
      <c r="K130" s="55">
        <f t="shared" si="56"/>
        <v>0.91902964353280148</v>
      </c>
      <c r="L130" s="55">
        <f t="shared" si="57"/>
        <v>3.7466342165651031E-3</v>
      </c>
      <c r="M130" s="55">
        <f t="shared" si="58"/>
        <v>0.99625336578343493</v>
      </c>
      <c r="N130" s="55">
        <f t="shared" si="59"/>
        <v>2.5200537415539814E-3</v>
      </c>
      <c r="O130" s="56">
        <f t="shared" si="60"/>
        <v>9.1963467844633127E-7</v>
      </c>
      <c r="P130" s="56">
        <f t="shared" si="61"/>
        <v>2.6765419609681591E-5</v>
      </c>
      <c r="Q130" s="56">
        <f t="shared" si="62"/>
        <v>3.6005807843968548E-4</v>
      </c>
      <c r="R130" s="9">
        <f t="shared" si="44"/>
        <v>3.9999999999999996E-5</v>
      </c>
      <c r="S130" s="9">
        <f t="shared" si="45"/>
        <v>1.4986536866260411E-7</v>
      </c>
      <c r="T130" s="9">
        <f t="shared" si="40"/>
        <v>3.6761185741312057E-5</v>
      </c>
      <c r="U130" s="9">
        <f t="shared" si="41"/>
        <v>3.9850134631337396E-5</v>
      </c>
      <c r="V130" s="100">
        <f t="shared" si="46"/>
        <v>0.92248586062250726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6.9804088254700969E-2</v>
      </c>
      <c r="K131" s="55">
        <f t="shared" si="56"/>
        <v>0.99820859934215678</v>
      </c>
      <c r="L131" s="55">
        <f t="shared" si="57"/>
        <v>1.6420200418977864E-4</v>
      </c>
      <c r="M131" s="55">
        <f t="shared" si="58"/>
        <v>0.99983579799581024</v>
      </c>
      <c r="N131" s="55">
        <f t="shared" si="59"/>
        <v>1.2469365419062175E-5</v>
      </c>
      <c r="O131" s="56">
        <f t="shared" si="60"/>
        <v>9.9886576101026802E-7</v>
      </c>
      <c r="P131" s="56">
        <f t="shared" si="61"/>
        <v>1.1730356605026088E-6</v>
      </c>
      <c r="Q131" s="56">
        <f t="shared" si="62"/>
        <v>1.7815873043172631E-6</v>
      </c>
      <c r="R131" s="9">
        <f t="shared" si="44"/>
        <v>3.9999999999999996E-5</v>
      </c>
      <c r="S131" s="9">
        <f t="shared" si="45"/>
        <v>6.5680801675911451E-9</v>
      </c>
      <c r="T131" s="9">
        <f t="shared" si="40"/>
        <v>3.9928343973686266E-5</v>
      </c>
      <c r="U131" s="9">
        <f t="shared" si="41"/>
        <v>3.9993431919832407E-5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0.23910923501822964</v>
      </c>
      <c r="K132" s="55">
        <f t="shared" si="56"/>
        <v>0.99549778366247366</v>
      </c>
      <c r="L132" s="55">
        <f t="shared" si="57"/>
        <v>2.4182577651649242E-4</v>
      </c>
      <c r="M132" s="55">
        <f t="shared" si="58"/>
        <v>0.99975817422348345</v>
      </c>
      <c r="N132" s="55">
        <f t="shared" si="59"/>
        <v>4.7696831315170475E-5</v>
      </c>
      <c r="O132" s="56">
        <f t="shared" si="60"/>
        <v>9.9615316068942342E-7</v>
      </c>
      <c r="P132" s="56">
        <f t="shared" si="61"/>
        <v>1.7275688008943195E-6</v>
      </c>
      <c r="Q132" s="56">
        <f t="shared" si="62"/>
        <v>6.8147869816506556E-6</v>
      </c>
      <c r="R132" s="9">
        <f t="shared" si="44"/>
        <v>3.9999999999999996E-5</v>
      </c>
      <c r="S132" s="9">
        <f t="shared" si="45"/>
        <v>9.6730310606596954E-9</v>
      </c>
      <c r="T132" s="9">
        <f t="shared" si="40"/>
        <v>3.9819911346498944E-5</v>
      </c>
      <c r="U132" s="9">
        <f t="shared" si="41"/>
        <v>3.9990326968939332E-5</v>
      </c>
      <c r="V132" s="100">
        <f t="shared" si="46"/>
        <v>0.99573857891752782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2.4261279148275903</v>
      </c>
      <c r="K133" s="55">
        <f t="shared" si="56"/>
        <v>0.63254059028974319</v>
      </c>
      <c r="L133" s="55">
        <f t="shared" si="57"/>
        <v>2.3635749191755488E-2</v>
      </c>
      <c r="M133" s="55">
        <f t="shared" si="58"/>
        <v>0.97636425080824452</v>
      </c>
      <c r="N133" s="55">
        <f t="shared" si="59"/>
        <v>1.9381193069648615E-2</v>
      </c>
      <c r="O133" s="56">
        <f t="shared" si="60"/>
        <v>6.3295701770755622E-7</v>
      </c>
      <c r="P133" s="56">
        <f t="shared" si="61"/>
        <v>1.688504156903024E-4</v>
      </c>
      <c r="Q133" s="56">
        <f t="shared" si="62"/>
        <v>2.7691294909540517E-3</v>
      </c>
      <c r="R133" s="9">
        <f t="shared" si="44"/>
        <v>3.9999999999999996E-5</v>
      </c>
      <c r="S133" s="9">
        <f t="shared" si="45"/>
        <v>9.4542996767021943E-7</v>
      </c>
      <c r="T133" s="9">
        <f t="shared" si="40"/>
        <v>2.5301623611589726E-5</v>
      </c>
      <c r="U133" s="9">
        <f t="shared" si="41"/>
        <v>3.9054570032329779E-5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-5.0078092325288211E-2</v>
      </c>
      <c r="K134" s="55">
        <f t="shared" si="56"/>
        <v>0.99986684656247027</v>
      </c>
      <c r="L134" s="55">
        <f t="shared" si="57"/>
        <v>1.2480073254137153E-4</v>
      </c>
      <c r="M134" s="55">
        <f t="shared" si="58"/>
        <v>0.9998751992674586</v>
      </c>
      <c r="N134" s="55">
        <f t="shared" si="59"/>
        <v>7.2745529741647006E-9</v>
      </c>
      <c r="O134" s="56">
        <f t="shared" si="60"/>
        <v>1.0005250999227491E-6</v>
      </c>
      <c r="P134" s="56">
        <f t="shared" si="61"/>
        <v>8.9155860459948115E-7</v>
      </c>
      <c r="Q134" s="56">
        <f t="shared" si="62"/>
        <v>1.0393673445115833E-9</v>
      </c>
      <c r="R134" s="9">
        <f t="shared" si="44"/>
        <v>3.9999999999999996E-5</v>
      </c>
      <c r="S134" s="9">
        <f t="shared" si="45"/>
        <v>4.9920293016548604E-9</v>
      </c>
      <c r="T134" s="9">
        <f t="shared" si="40"/>
        <v>3.9994673862498805E-5</v>
      </c>
      <c r="U134" s="9">
        <f t="shared" si="41"/>
        <v>3.999500797069834E-5</v>
      </c>
      <c r="V134" s="100">
        <f t="shared" si="46"/>
        <v>0.99999164625245784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0.38035362640036091</v>
      </c>
      <c r="K135" s="55">
        <f t="shared" ref="K135:K143" si="65">IF(D135=0,"",1/(1+10^D135*$J$15/$J$14+10^E135*$J$16/$J$14+10^J135*$J$19/$J$14))</f>
        <v>0.9926177943311606</v>
      </c>
      <c r="L135" s="55">
        <f t="shared" ref="L135:L143" si="66">IF(D135=0,"",1/(1+10^I135/10^J135*$J$13/$J$19))</f>
        <v>3.3380185152932025E-4</v>
      </c>
      <c r="M135" s="55">
        <f t="shared" ref="M135:M143" si="67">IF(D135=0,"",1-L135)</f>
        <v>0.99966619814847069</v>
      </c>
      <c r="N135" s="55">
        <f t="shared" ref="N135:N143" si="68">IF(D135=0,"",1/(1/10^E135*$J$20/$J$22+10^D135/10^E135*$J$21/$J$22+10^I135/10^E135*$J$13/$J$22+1))</f>
        <v>9.5812716041323033E-5</v>
      </c>
      <c r="O135" s="56">
        <f t="shared" ref="O135:O143" si="69">IF(D135=0,"",F135*K135*$J$7/$J$14)</f>
        <v>9.9327127534299473E-7</v>
      </c>
      <c r="P135" s="56">
        <f t="shared" ref="P135:P143" si="70">IF(D135=0,"",O135*10^J135)</f>
        <v>2.3846327413466746E-6</v>
      </c>
      <c r="Q135" s="56">
        <f t="shared" ref="Q135:Q143" si="71">IF(D135=0,"",F135*N135*$J$7/$J$22)</f>
        <v>1.3689447117366974E-5</v>
      </c>
      <c r="R135" s="9">
        <f t="shared" si="44"/>
        <v>3.9999999999999996E-5</v>
      </c>
      <c r="S135" s="9">
        <f t="shared" si="45"/>
        <v>1.3352074061172809E-8</v>
      </c>
      <c r="T135" s="9">
        <f t="shared" si="40"/>
        <v>3.9704711773246419E-5</v>
      </c>
      <c r="U135" s="9">
        <f t="shared" si="41"/>
        <v>3.9986647925938826E-5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-2.6530951628927751E-2</v>
      </c>
      <c r="K136" s="55">
        <f t="shared" si="65"/>
        <v>0.99953259992619303</v>
      </c>
      <c r="L136" s="55">
        <f t="shared" si="66"/>
        <v>1.3171009716826028E-4</v>
      </c>
      <c r="M136" s="55">
        <f t="shared" si="67"/>
        <v>0.99986828990283172</v>
      </c>
      <c r="N136" s="55">
        <f t="shared" si="68"/>
        <v>1.3582481311890442E-6</v>
      </c>
      <c r="O136" s="56">
        <f t="shared" si="69"/>
        <v>1.0001906332382E-6</v>
      </c>
      <c r="P136" s="56">
        <f t="shared" si="70"/>
        <v>9.4091811844188442E-7</v>
      </c>
      <c r="Q136" s="56">
        <f t="shared" si="71"/>
        <v>1.9406261227534434E-7</v>
      </c>
      <c r="R136" s="9">
        <f t="shared" si="44"/>
        <v>3.9999999999999996E-5</v>
      </c>
      <c r="S136" s="9">
        <f t="shared" si="45"/>
        <v>5.2684038867304109E-9</v>
      </c>
      <c r="T136" s="9">
        <f t="shared" si="40"/>
        <v>3.9981303997047718E-5</v>
      </c>
      <c r="U136" s="9">
        <f t="shared" si="41"/>
        <v>3.9994731596113264E-5</v>
      </c>
      <c r="V136" s="100">
        <f t="shared" si="46"/>
        <v>0.99966426580377765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-5.0553856533599194E-2</v>
      </c>
      <c r="K137" s="55">
        <f t="shared" si="65"/>
        <v>0.99987443021060418</v>
      </c>
      <c r="L137" s="55">
        <f t="shared" si="66"/>
        <v>1.246650352830656E-4</v>
      </c>
      <c r="M137" s="55">
        <f t="shared" si="67"/>
        <v>0.99987533496471692</v>
      </c>
      <c r="N137" s="55">
        <f t="shared" si="68"/>
        <v>3.0932616741455736E-10</v>
      </c>
      <c r="O137" s="56">
        <f t="shared" si="69"/>
        <v>1.0005326885635094E-6</v>
      </c>
      <c r="P137" s="56">
        <f t="shared" si="70"/>
        <v>8.9058920277146586E-7</v>
      </c>
      <c r="Q137" s="56">
        <f t="shared" si="71"/>
        <v>4.419563901114219E-11</v>
      </c>
      <c r="R137" s="9">
        <f t="shared" si="44"/>
        <v>3.9999999999999996E-5</v>
      </c>
      <c r="S137" s="9">
        <f t="shared" si="45"/>
        <v>4.9866014113226233E-9</v>
      </c>
      <c r="T137" s="9">
        <f t="shared" si="40"/>
        <v>3.9994977208424162E-5</v>
      </c>
      <c r="U137" s="9">
        <f t="shared" si="41"/>
        <v>3.9995013398588675E-5</v>
      </c>
      <c r="V137" s="100">
        <f t="shared" si="46"/>
        <v>0.99999909513308194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-2.9301207680156056E-2</v>
      </c>
      <c r="K138" s="55">
        <f t="shared" si="65"/>
        <v>0.99957057191556042</v>
      </c>
      <c r="L138" s="55">
        <f t="shared" si="66"/>
        <v>1.3087759701776105E-4</v>
      </c>
      <c r="M138" s="55">
        <f t="shared" si="67"/>
        <v>0.9998691224029822</v>
      </c>
      <c r="N138" s="55">
        <f t="shared" si="68"/>
        <v>1.1512947044807136E-6</v>
      </c>
      <c r="O138" s="56">
        <f t="shared" si="69"/>
        <v>1.0002286302260857E-6</v>
      </c>
      <c r="P138" s="56">
        <f t="shared" si="70"/>
        <v>9.3497085629531115E-7</v>
      </c>
      <c r="Q138" s="56">
        <f t="shared" si="71"/>
        <v>1.6449369796276296E-7</v>
      </c>
      <c r="R138" s="9">
        <f t="shared" si="44"/>
        <v>3.9999999999999996E-5</v>
      </c>
      <c r="S138" s="9">
        <f t="shared" si="45"/>
        <v>5.2351038807104412E-9</v>
      </c>
      <c r="T138" s="9">
        <f t="shared" si="40"/>
        <v>3.9982822876622417E-5</v>
      </c>
      <c r="U138" s="9">
        <f t="shared" si="41"/>
        <v>3.9994764896119286E-5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0.263940988382738</v>
      </c>
      <c r="K139" s="55">
        <f t="shared" si="65"/>
        <v>0.99438691871865559</v>
      </c>
      <c r="L139" s="55">
        <f t="shared" si="66"/>
        <v>2.5576990923592541E-4</v>
      </c>
      <c r="M139" s="55">
        <f t="shared" si="67"/>
        <v>0.99974423009076407</v>
      </c>
      <c r="N139" s="55">
        <f t="shared" si="68"/>
        <v>4.2046559528096758E-5</v>
      </c>
      <c r="O139" s="56">
        <f t="shared" si="69"/>
        <v>9.9504156441764442E-7</v>
      </c>
      <c r="P139" s="56">
        <f t="shared" si="70"/>
        <v>1.8271836930229892E-6</v>
      </c>
      <c r="Q139" s="56">
        <f t="shared" si="71"/>
        <v>6.0074922923472404E-6</v>
      </c>
      <c r="R139" s="9">
        <f t="shared" si="44"/>
        <v>3.9999999999999996E-5</v>
      </c>
      <c r="S139" s="9">
        <f t="shared" si="45"/>
        <v>1.0230796369437015E-8</v>
      </c>
      <c r="T139" s="9">
        <f t="shared" si="40"/>
        <v>3.9775476748746219E-5</v>
      </c>
      <c r="U139" s="9">
        <f t="shared" si="41"/>
        <v>3.9989769203630559E-5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-5.0177410945668542E-2</v>
      </c>
      <c r="K140" s="55">
        <f t="shared" si="65"/>
        <v>0.99986841129120352</v>
      </c>
      <c r="L140" s="55">
        <f t="shared" si="66"/>
        <v>1.2477239043878047E-4</v>
      </c>
      <c r="M140" s="55">
        <f t="shared" si="67"/>
        <v>0.99987522760956127</v>
      </c>
      <c r="N140" s="55">
        <f t="shared" si="68"/>
        <v>5.4509034707156037E-9</v>
      </c>
      <c r="O140" s="56">
        <f t="shared" si="69"/>
        <v>1.000526665681607E-6</v>
      </c>
      <c r="P140" s="56">
        <f t="shared" si="70"/>
        <v>8.9135613266744201E-7</v>
      </c>
      <c r="Q140" s="56">
        <f t="shared" si="71"/>
        <v>7.7880951388592909E-10</v>
      </c>
      <c r="R140" s="9">
        <f t="shared" si="44"/>
        <v>3.9999999999999996E-5</v>
      </c>
      <c r="S140" s="9">
        <f t="shared" si="45"/>
        <v>4.9908956175512188E-9</v>
      </c>
      <c r="T140" s="9">
        <f t="shared" si="40"/>
        <v>3.9994736451648136E-5</v>
      </c>
      <c r="U140" s="9">
        <f t="shared" si="41"/>
        <v>3.9995009104382449E-5</v>
      </c>
      <c r="V140" s="100">
        <f t="shared" si="46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-4.9513743875137496E-2</v>
      </c>
      <c r="K141" s="55">
        <f t="shared" si="65"/>
        <v>0.99985806530560684</v>
      </c>
      <c r="L141" s="55">
        <f t="shared" si="66"/>
        <v>1.2496191407858592E-4</v>
      </c>
      <c r="M141" s="55">
        <f t="shared" si="67"/>
        <v>0.99987503808592137</v>
      </c>
      <c r="N141" s="55">
        <f t="shared" si="68"/>
        <v>1.9898785758582034E-8</v>
      </c>
      <c r="O141" s="56">
        <f t="shared" si="69"/>
        <v>1.0005163128848238E-6</v>
      </c>
      <c r="P141" s="56">
        <f t="shared" si="70"/>
        <v>8.9271006247540668E-7</v>
      </c>
      <c r="Q141" s="56">
        <f t="shared" si="71"/>
        <v>2.8430816555126043E-9</v>
      </c>
      <c r="R141" s="9">
        <f t="shared" si="44"/>
        <v>3.9999999999999996E-5</v>
      </c>
      <c r="S141" s="9">
        <f t="shared" si="45"/>
        <v>4.9984765631434367E-9</v>
      </c>
      <c r="T141" s="9">
        <f t="shared" si="40"/>
        <v>3.9994322612224272E-5</v>
      </c>
      <c r="U141" s="9">
        <f t="shared" si="41"/>
        <v>3.9995001523436853E-5</v>
      </c>
      <c r="V141" s="100">
        <f t="shared" si="46"/>
        <v>0.99998302509846926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1.6664622346062492</v>
      </c>
      <c r="K142" s="55">
        <f t="shared" si="65"/>
        <v>0.88379958298272088</v>
      </c>
      <c r="L142" s="55">
        <f t="shared" si="66"/>
        <v>5.7434002853357369E-3</v>
      </c>
      <c r="M142" s="55">
        <f t="shared" si="67"/>
        <v>0.99425659971466429</v>
      </c>
      <c r="N142" s="55">
        <f t="shared" si="68"/>
        <v>4.0886452950539432E-3</v>
      </c>
      <c r="O142" s="56">
        <f t="shared" si="69"/>
        <v>8.8438142450223052E-7</v>
      </c>
      <c r="P142" s="56">
        <f t="shared" si="70"/>
        <v>4.1030031152683465E-5</v>
      </c>
      <c r="Q142" s="56">
        <f t="shared" si="71"/>
        <v>5.8417395791360717E-4</v>
      </c>
      <c r="R142" s="9">
        <f t="shared" si="44"/>
        <v>3.9999999999999996E-5</v>
      </c>
      <c r="S142" s="9">
        <f t="shared" si="45"/>
        <v>2.2973601141342945E-7</v>
      </c>
      <c r="T142" s="9">
        <f t="shared" si="40"/>
        <v>3.5351983319308832E-5</v>
      </c>
      <c r="U142" s="9">
        <f t="shared" si="41"/>
        <v>3.9770263988586566E-5</v>
      </c>
      <c r="V142" s="100">
        <f t="shared" si="46"/>
        <v>0.88890491975246344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2.2900502163435572</v>
      </c>
      <c r="K143" s="55">
        <f t="shared" si="65"/>
        <v>0.41179494395871585</v>
      </c>
      <c r="L143" s="55">
        <f t="shared" si="66"/>
        <v>1.1248232507098437E-2</v>
      </c>
      <c r="M143" s="55">
        <f t="shared" si="67"/>
        <v>0.98875176749290161</v>
      </c>
      <c r="N143" s="55">
        <f t="shared" si="68"/>
        <v>1.2156374066955512E-3</v>
      </c>
      <c r="O143" s="56">
        <f t="shared" si="69"/>
        <v>4.1206604546241954E-7</v>
      </c>
      <c r="P143" s="56">
        <f t="shared" si="70"/>
        <v>8.0355766140353049E-5</v>
      </c>
      <c r="Q143" s="56">
        <f t="shared" si="71"/>
        <v>1.7368679941892691E-4</v>
      </c>
      <c r="R143" s="9">
        <f t="shared" si="44"/>
        <v>3.9999999999999996E-5</v>
      </c>
      <c r="S143" s="9">
        <f t="shared" si="45"/>
        <v>4.4992930028393742E-7</v>
      </c>
      <c r="T143" s="9">
        <f t="shared" si="40"/>
        <v>1.6471797758348634E-5</v>
      </c>
      <c r="U143" s="9">
        <f t="shared" si="41"/>
        <v>3.955007069971606E-5</v>
      </c>
      <c r="V143" s="100">
        <f t="shared" si="46"/>
        <v>0.4164796033719072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2025-02-02T15:03:39Z</dcterms:modified>
</cp:coreProperties>
</file>