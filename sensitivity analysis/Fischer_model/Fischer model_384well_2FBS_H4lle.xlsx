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F43BE1C2-BCAB-47D5-B401-1CF786948727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U143" i="4" s="1"/>
  <c r="V142" i="4"/>
  <c r="S142" i="4"/>
  <c r="R142" i="4"/>
  <c r="V141" i="4"/>
  <c r="U141" i="4"/>
  <c r="T141" i="4"/>
  <c r="R141" i="4"/>
  <c r="S141" i="4" s="1"/>
  <c r="V140" i="4"/>
  <c r="R140" i="4"/>
  <c r="V139" i="4"/>
  <c r="U139" i="4"/>
  <c r="S139" i="4"/>
  <c r="R139" i="4"/>
  <c r="T139" i="4" s="1"/>
  <c r="V138" i="4"/>
  <c r="R138" i="4"/>
  <c r="U138" i="4" s="1"/>
  <c r="V137" i="4"/>
  <c r="U137" i="4"/>
  <c r="T137" i="4"/>
  <c r="S137" i="4"/>
  <c r="R137" i="4"/>
  <c r="V136" i="4"/>
  <c r="U136" i="4"/>
  <c r="R136" i="4"/>
  <c r="T136" i="4" s="1"/>
  <c r="V135" i="4"/>
  <c r="R135" i="4"/>
  <c r="V134" i="4"/>
  <c r="U134" i="4"/>
  <c r="T134" i="4"/>
  <c r="S134" i="4"/>
  <c r="R134" i="4"/>
  <c r="V133" i="4"/>
  <c r="R133" i="4"/>
  <c r="S133" i="4" s="1"/>
  <c r="V132" i="4"/>
  <c r="U132" i="4"/>
  <c r="T132" i="4"/>
  <c r="R132" i="4"/>
  <c r="S132" i="4" s="1"/>
  <c r="V131" i="4"/>
  <c r="R131" i="4"/>
  <c r="U131" i="4" s="1"/>
  <c r="V130" i="4"/>
  <c r="R130" i="4"/>
  <c r="S130" i="4" s="1"/>
  <c r="V129" i="4"/>
  <c r="U129" i="4"/>
  <c r="T129" i="4"/>
  <c r="R129" i="4"/>
  <c r="S129" i="4" s="1"/>
  <c r="V128" i="4"/>
  <c r="R128" i="4"/>
  <c r="T128" i="4" s="1"/>
  <c r="V127" i="4"/>
  <c r="U127" i="4"/>
  <c r="T127" i="4"/>
  <c r="S127" i="4"/>
  <c r="R127" i="4"/>
  <c r="V126" i="4"/>
  <c r="R126" i="4"/>
  <c r="U126" i="4" s="1"/>
  <c r="V125" i="4"/>
  <c r="U125" i="4"/>
  <c r="T125" i="4"/>
  <c r="S125" i="4"/>
  <c r="R125" i="4"/>
  <c r="V124" i="4"/>
  <c r="U124" i="4"/>
  <c r="R124" i="4"/>
  <c r="T124" i="4" s="1"/>
  <c r="V123" i="4"/>
  <c r="R123" i="4"/>
  <c r="V122" i="4"/>
  <c r="U122" i="4"/>
  <c r="T122" i="4"/>
  <c r="S122" i="4"/>
  <c r="R122" i="4"/>
  <c r="V121" i="4"/>
  <c r="R121" i="4"/>
  <c r="U121" i="4" s="1"/>
  <c r="V120" i="4"/>
  <c r="U120" i="4"/>
  <c r="T120" i="4"/>
  <c r="R120" i="4"/>
  <c r="S120" i="4" s="1"/>
  <c r="V119" i="4"/>
  <c r="R119" i="4"/>
  <c r="U119" i="4" s="1"/>
  <c r="V118" i="4"/>
  <c r="S118" i="4"/>
  <c r="R118" i="4"/>
  <c r="V117" i="4"/>
  <c r="U117" i="4"/>
  <c r="T117" i="4"/>
  <c r="R117" i="4"/>
  <c r="S117" i="4" s="1"/>
  <c r="V116" i="4"/>
  <c r="R116" i="4"/>
  <c r="T116" i="4" s="1"/>
  <c r="V115" i="4"/>
  <c r="U115" i="4"/>
  <c r="T115" i="4"/>
  <c r="S115" i="4"/>
  <c r="R115" i="4"/>
  <c r="V114" i="4"/>
  <c r="R114" i="4"/>
  <c r="U114" i="4" s="1"/>
  <c r="V113" i="4"/>
  <c r="U113" i="4"/>
  <c r="T113" i="4"/>
  <c r="S113" i="4"/>
  <c r="R113" i="4"/>
  <c r="V112" i="4"/>
  <c r="U112" i="4"/>
  <c r="R112" i="4"/>
  <c r="T112" i="4" s="1"/>
  <c r="V111" i="4"/>
  <c r="R111" i="4"/>
  <c r="V110" i="4"/>
  <c r="U110" i="4"/>
  <c r="T110" i="4"/>
  <c r="S110" i="4"/>
  <c r="R110" i="4"/>
  <c r="V109" i="4"/>
  <c r="R109" i="4"/>
  <c r="U109" i="4" s="1"/>
  <c r="V108" i="4"/>
  <c r="U108" i="4"/>
  <c r="T108" i="4"/>
  <c r="R108" i="4"/>
  <c r="S108" i="4" s="1"/>
  <c r="R107" i="4"/>
  <c r="V106" i="4"/>
  <c r="R106" i="4"/>
  <c r="U106" i="4" s="1"/>
  <c r="V105" i="4"/>
  <c r="U105" i="4"/>
  <c r="T105" i="4"/>
  <c r="S105" i="4"/>
  <c r="R105" i="4"/>
  <c r="V104" i="4"/>
  <c r="U104" i="4"/>
  <c r="R104" i="4"/>
  <c r="T104" i="4" s="1"/>
  <c r="V103" i="4"/>
  <c r="R103" i="4"/>
  <c r="V102" i="4"/>
  <c r="U102" i="4"/>
  <c r="T102" i="4"/>
  <c r="S102" i="4"/>
  <c r="R102" i="4"/>
  <c r="V101" i="4"/>
  <c r="R101" i="4"/>
  <c r="U101" i="4" s="1"/>
  <c r="R100" i="4"/>
  <c r="V99" i="4"/>
  <c r="U99" i="4"/>
  <c r="T99" i="4"/>
  <c r="S99" i="4"/>
  <c r="R99" i="4"/>
  <c r="V98" i="4"/>
  <c r="R98" i="4"/>
  <c r="U98" i="4" s="1"/>
  <c r="R97" i="4"/>
  <c r="V96" i="4"/>
  <c r="U96" i="4"/>
  <c r="T96" i="4"/>
  <c r="R96" i="4"/>
  <c r="S96" i="4" s="1"/>
  <c r="V95" i="4"/>
  <c r="R95" i="4"/>
  <c r="U95" i="4" s="1"/>
  <c r="V94" i="4"/>
  <c r="S94" i="4"/>
  <c r="R94" i="4"/>
  <c r="V93" i="4"/>
  <c r="U93" i="4"/>
  <c r="T93" i="4"/>
  <c r="R93" i="4"/>
  <c r="S93" i="4" s="1"/>
  <c r="V92" i="4"/>
  <c r="R92" i="4"/>
  <c r="T92" i="4" s="1"/>
  <c r="V91" i="4"/>
  <c r="U91" i="4"/>
  <c r="T91" i="4"/>
  <c r="S91" i="4"/>
  <c r="R91" i="4"/>
  <c r="V90" i="4"/>
  <c r="R90" i="4"/>
  <c r="U90" i="4" s="1"/>
  <c r="V89" i="4"/>
  <c r="U89" i="4"/>
  <c r="T89" i="4"/>
  <c r="S89" i="4"/>
  <c r="R89" i="4"/>
  <c r="V88" i="4"/>
  <c r="U88" i="4"/>
  <c r="R88" i="4"/>
  <c r="T88" i="4" s="1"/>
  <c r="V87" i="4"/>
  <c r="R87" i="4"/>
  <c r="V86" i="4"/>
  <c r="U86" i="4"/>
  <c r="T86" i="4"/>
  <c r="S86" i="4"/>
  <c r="R86" i="4"/>
  <c r="V85" i="4"/>
  <c r="R85" i="4"/>
  <c r="U85" i="4" s="1"/>
  <c r="V84" i="4"/>
  <c r="U84" i="4"/>
  <c r="T84" i="4"/>
  <c r="R84" i="4"/>
  <c r="S84" i="4" s="1"/>
  <c r="V83" i="4"/>
  <c r="R83" i="4"/>
  <c r="U83" i="4" s="1"/>
  <c r="V82" i="4"/>
  <c r="R82" i="4"/>
  <c r="V81" i="4"/>
  <c r="U81" i="4"/>
  <c r="T81" i="4"/>
  <c r="R81" i="4"/>
  <c r="S81" i="4" s="1"/>
  <c r="V80" i="4"/>
  <c r="R80" i="4"/>
  <c r="T80" i="4" s="1"/>
  <c r="V79" i="4"/>
  <c r="U79" i="4"/>
  <c r="T79" i="4"/>
  <c r="S79" i="4"/>
  <c r="R79" i="4"/>
  <c r="V78" i="4"/>
  <c r="R78" i="4"/>
  <c r="U78" i="4" s="1"/>
  <c r="V77" i="4"/>
  <c r="U77" i="4"/>
  <c r="T77" i="4"/>
  <c r="S77" i="4"/>
  <c r="R77" i="4"/>
  <c r="V76" i="4"/>
  <c r="U76" i="4"/>
  <c r="T76" i="4"/>
  <c r="R76" i="4"/>
  <c r="S76" i="4" s="1"/>
  <c r="V75" i="4"/>
  <c r="R75" i="4"/>
  <c r="V74" i="4"/>
  <c r="U74" i="4"/>
  <c r="T74" i="4"/>
  <c r="S74" i="4"/>
  <c r="R74" i="4"/>
  <c r="V73" i="4"/>
  <c r="R73" i="4"/>
  <c r="U73" i="4" s="1"/>
  <c r="V72" i="4"/>
  <c r="U72" i="4"/>
  <c r="T72" i="4"/>
  <c r="R72" i="4"/>
  <c r="S72" i="4" s="1"/>
  <c r="V71" i="4"/>
  <c r="R71" i="4"/>
  <c r="U71" i="4" s="1"/>
  <c r="V70" i="4"/>
  <c r="R70" i="4"/>
  <c r="U70" i="4" s="1"/>
  <c r="V69" i="4"/>
  <c r="U69" i="4"/>
  <c r="T69" i="4"/>
  <c r="S69" i="4"/>
  <c r="R69" i="4"/>
  <c r="V68" i="4"/>
  <c r="R68" i="4"/>
  <c r="V67" i="4"/>
  <c r="U67" i="4"/>
  <c r="T67" i="4"/>
  <c r="S67" i="4"/>
  <c r="R67" i="4"/>
  <c r="V66" i="4"/>
  <c r="R66" i="4"/>
  <c r="U66" i="4" s="1"/>
  <c r="V65" i="4"/>
  <c r="U65" i="4"/>
  <c r="T65" i="4"/>
  <c r="S65" i="4"/>
  <c r="R65" i="4"/>
  <c r="V64" i="4"/>
  <c r="U64" i="4"/>
  <c r="T64" i="4"/>
  <c r="S64" i="4"/>
  <c r="R64" i="4"/>
  <c r="V63" i="4"/>
  <c r="R63" i="4"/>
  <c r="S63" i="4" s="1"/>
  <c r="V62" i="4"/>
  <c r="U62" i="4"/>
  <c r="T62" i="4"/>
  <c r="S62" i="4"/>
  <c r="R62" i="4"/>
  <c r="V61" i="4"/>
  <c r="R61" i="4"/>
  <c r="U61" i="4" s="1"/>
  <c r="V60" i="4"/>
  <c r="U60" i="4"/>
  <c r="T60" i="4"/>
  <c r="R60" i="4"/>
  <c r="S60" i="4" s="1"/>
  <c r="V59" i="4"/>
  <c r="R59" i="4"/>
  <c r="U59" i="4" s="1"/>
  <c r="V58" i="4"/>
  <c r="S58" i="4"/>
  <c r="R58" i="4"/>
  <c r="U58" i="4" s="1"/>
  <c r="V57" i="4"/>
  <c r="U57" i="4"/>
  <c r="T57" i="4"/>
  <c r="R57" i="4"/>
  <c r="S57" i="4" s="1"/>
  <c r="V56" i="4"/>
  <c r="R56" i="4"/>
  <c r="V55" i="4"/>
  <c r="U55" i="4"/>
  <c r="T55" i="4"/>
  <c r="S55" i="4"/>
  <c r="R55" i="4"/>
  <c r="V54" i="4"/>
  <c r="R54" i="4"/>
  <c r="U54" i="4" s="1"/>
  <c r="V53" i="4"/>
  <c r="U53" i="4"/>
  <c r="T53" i="4"/>
  <c r="S53" i="4"/>
  <c r="R53" i="4"/>
  <c r="V52" i="4"/>
  <c r="U52" i="4"/>
  <c r="T52" i="4"/>
  <c r="S52" i="4"/>
  <c r="R52" i="4"/>
  <c r="V51" i="4"/>
  <c r="S51" i="4"/>
  <c r="R51" i="4"/>
  <c r="V50" i="4"/>
  <c r="U50" i="4"/>
  <c r="T50" i="4"/>
  <c r="S50" i="4"/>
  <c r="R50" i="4"/>
  <c r="V49" i="4"/>
  <c r="R49" i="4"/>
  <c r="U49" i="4" s="1"/>
  <c r="V48" i="4"/>
  <c r="U48" i="4"/>
  <c r="T48" i="4"/>
  <c r="R48" i="4"/>
  <c r="S48" i="4" s="1"/>
  <c r="V47" i="4"/>
  <c r="R47" i="4"/>
  <c r="U47" i="4" s="1"/>
  <c r="V46" i="4"/>
  <c r="R46" i="4"/>
  <c r="U46" i="4" s="1"/>
  <c r="V45" i="4"/>
  <c r="U45" i="4"/>
  <c r="T45" i="4"/>
  <c r="R45" i="4"/>
  <c r="S45" i="4" s="1"/>
  <c r="V44" i="4"/>
  <c r="R44" i="4"/>
  <c r="V43" i="4"/>
  <c r="U43" i="4"/>
  <c r="T43" i="4"/>
  <c r="S43" i="4"/>
  <c r="R43" i="4"/>
  <c r="V42" i="4"/>
  <c r="R42" i="4"/>
  <c r="U42" i="4" s="1"/>
  <c r="V41" i="4"/>
  <c r="U41" i="4"/>
  <c r="T41" i="4"/>
  <c r="S41" i="4"/>
  <c r="R41" i="4"/>
  <c r="V40" i="4"/>
  <c r="U40" i="4"/>
  <c r="T40" i="4"/>
  <c r="S40" i="4"/>
  <c r="R40" i="4"/>
  <c r="V39" i="4"/>
  <c r="R39" i="4"/>
  <c r="V38" i="4"/>
  <c r="U38" i="4"/>
  <c r="T38" i="4"/>
  <c r="S38" i="4"/>
  <c r="R38" i="4"/>
  <c r="V37" i="4"/>
  <c r="R37" i="4"/>
  <c r="U37" i="4" s="1"/>
  <c r="V36" i="4"/>
  <c r="U36" i="4"/>
  <c r="T36" i="4"/>
  <c r="R36" i="4"/>
  <c r="S36" i="4" s="1"/>
  <c r="V35" i="4"/>
  <c r="R35" i="4"/>
  <c r="U35" i="4" s="1"/>
  <c r="V34" i="4"/>
  <c r="S34" i="4"/>
  <c r="R34" i="4"/>
  <c r="U34" i="4" s="1"/>
  <c r="V33" i="4"/>
  <c r="U33" i="4"/>
  <c r="T33" i="4"/>
  <c r="R33" i="4"/>
  <c r="S33" i="4" s="1"/>
  <c r="V32" i="4"/>
  <c r="R32" i="4"/>
  <c r="V31" i="4"/>
  <c r="U31" i="4"/>
  <c r="T31" i="4"/>
  <c r="S31" i="4"/>
  <c r="R31" i="4"/>
  <c r="V30" i="4"/>
  <c r="R30" i="4"/>
  <c r="U30" i="4" s="1"/>
  <c r="V29" i="4"/>
  <c r="U29" i="4"/>
  <c r="T29" i="4"/>
  <c r="S29" i="4"/>
  <c r="R29" i="4"/>
  <c r="V28" i="4"/>
  <c r="U28" i="4"/>
  <c r="T28" i="4"/>
  <c r="S28" i="4"/>
  <c r="R28" i="4"/>
  <c r="I135" i="4"/>
  <c r="L135" i="4" s="1"/>
  <c r="M135" i="4" s="1"/>
  <c r="J135" i="4"/>
  <c r="K135" i="4" s="1"/>
  <c r="O135" i="4" s="1"/>
  <c r="P135" i="4" s="1"/>
  <c r="I136" i="4"/>
  <c r="N136" i="4" s="1"/>
  <c r="Q136" i="4" s="1"/>
  <c r="J136" i="4"/>
  <c r="K136" i="4"/>
  <c r="O136" i="4" s="1"/>
  <c r="P136" i="4" s="1"/>
  <c r="I137" i="4"/>
  <c r="N137" i="4" s="1"/>
  <c r="Q137" i="4" s="1"/>
  <c r="J137" i="4"/>
  <c r="K137" i="4"/>
  <c r="O137" i="4" s="1"/>
  <c r="P137" i="4" s="1"/>
  <c r="L137" i="4"/>
  <c r="M137" i="4" s="1"/>
  <c r="I138" i="4"/>
  <c r="J138" i="4"/>
  <c r="K138" i="4"/>
  <c r="L138" i="4"/>
  <c r="M138" i="4"/>
  <c r="N138" i="4"/>
  <c r="Q138" i="4" s="1"/>
  <c r="O138" i="4"/>
  <c r="P138" i="4" s="1"/>
  <c r="I139" i="4"/>
  <c r="L139" i="4" s="1"/>
  <c r="M139" i="4" s="1"/>
  <c r="J139" i="4"/>
  <c r="K139" i="4" s="1"/>
  <c r="O139" i="4" s="1"/>
  <c r="P139" i="4" s="1"/>
  <c r="I140" i="4"/>
  <c r="N140" i="4" s="1"/>
  <c r="Q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 s="1"/>
  <c r="N141" i="4"/>
  <c r="Q141" i="4" s="1"/>
  <c r="I142" i="4"/>
  <c r="J142" i="4"/>
  <c r="K142" i="4"/>
  <c r="L142" i="4"/>
  <c r="M142" i="4"/>
  <c r="N142" i="4"/>
  <c r="Q142" i="4" s="1"/>
  <c r="O142" i="4"/>
  <c r="P142" i="4" s="1"/>
  <c r="I143" i="4"/>
  <c r="N143" i="4" s="1"/>
  <c r="Q143" i="4" s="1"/>
  <c r="J143" i="4"/>
  <c r="K143" i="4" s="1"/>
  <c r="O143" i="4" s="1"/>
  <c r="P143" i="4" s="1"/>
  <c r="U103" i="4" l="1"/>
  <c r="T103" i="4"/>
  <c r="S103" i="4"/>
  <c r="U39" i="4"/>
  <c r="T39" i="4"/>
  <c r="T32" i="4"/>
  <c r="S32" i="4"/>
  <c r="U32" i="4"/>
  <c r="S39" i="4"/>
  <c r="U94" i="4"/>
  <c r="T94" i="4"/>
  <c r="U118" i="4"/>
  <c r="T118" i="4"/>
  <c r="U140" i="4"/>
  <c r="T140" i="4"/>
  <c r="S140" i="4"/>
  <c r="U87" i="4"/>
  <c r="T87" i="4"/>
  <c r="S87" i="4"/>
  <c r="S46" i="4"/>
  <c r="T56" i="4"/>
  <c r="S56" i="4"/>
  <c r="U56" i="4"/>
  <c r="T46" i="4"/>
  <c r="T51" i="4"/>
  <c r="U51" i="4"/>
  <c r="T70" i="4"/>
  <c r="U142" i="4"/>
  <c r="T142" i="4"/>
  <c r="U111" i="4"/>
  <c r="T111" i="4"/>
  <c r="S111" i="4"/>
  <c r="T44" i="4"/>
  <c r="S44" i="4"/>
  <c r="U44" i="4"/>
  <c r="U135" i="4"/>
  <c r="T135" i="4"/>
  <c r="U123" i="4"/>
  <c r="T123" i="4"/>
  <c r="S123" i="4"/>
  <c r="S70" i="4"/>
  <c r="T34" i="4"/>
  <c r="S135" i="4"/>
  <c r="U63" i="4"/>
  <c r="T63" i="4"/>
  <c r="U130" i="4"/>
  <c r="T130" i="4"/>
  <c r="T68" i="4"/>
  <c r="S68" i="4"/>
  <c r="U68" i="4"/>
  <c r="U75" i="4"/>
  <c r="T75" i="4"/>
  <c r="S75" i="4"/>
  <c r="U82" i="4"/>
  <c r="T82" i="4"/>
  <c r="T58" i="4"/>
  <c r="S82" i="4"/>
  <c r="S30" i="4"/>
  <c r="T37" i="4"/>
  <c r="S42" i="4"/>
  <c r="T49" i="4"/>
  <c r="S54" i="4"/>
  <c r="T61" i="4"/>
  <c r="S66" i="4"/>
  <c r="T73" i="4"/>
  <c r="S78" i="4"/>
  <c r="U80" i="4"/>
  <c r="T85" i="4"/>
  <c r="S90" i="4"/>
  <c r="U92" i="4"/>
  <c r="S98" i="4"/>
  <c r="T101" i="4"/>
  <c r="S106" i="4"/>
  <c r="T109" i="4"/>
  <c r="S114" i="4"/>
  <c r="U116" i="4"/>
  <c r="T121" i="4"/>
  <c r="S126" i="4"/>
  <c r="U128" i="4"/>
  <c r="T133" i="4"/>
  <c r="S138" i="4"/>
  <c r="S80" i="4"/>
  <c r="S92" i="4"/>
  <c r="S116" i="4"/>
  <c r="S128" i="4"/>
  <c r="S37" i="4"/>
  <c r="S49" i="4"/>
  <c r="S61" i="4"/>
  <c r="S73" i="4"/>
  <c r="S85" i="4"/>
  <c r="S101" i="4"/>
  <c r="S109" i="4"/>
  <c r="S121" i="4"/>
  <c r="T30" i="4"/>
  <c r="S35" i="4"/>
  <c r="T42" i="4"/>
  <c r="S47" i="4"/>
  <c r="T54" i="4"/>
  <c r="S59" i="4"/>
  <c r="T66" i="4"/>
  <c r="S71" i="4"/>
  <c r="T78" i="4"/>
  <c r="S83" i="4"/>
  <c r="T90" i="4"/>
  <c r="S95" i="4"/>
  <c r="T98" i="4"/>
  <c r="T106" i="4"/>
  <c r="T114" i="4"/>
  <c r="S119" i="4"/>
  <c r="T126" i="4"/>
  <c r="S131" i="4"/>
  <c r="U133" i="4"/>
  <c r="T138" i="4"/>
  <c r="S143" i="4"/>
  <c r="T35" i="4"/>
  <c r="T47" i="4"/>
  <c r="T59" i="4"/>
  <c r="T71" i="4"/>
  <c r="T83" i="4"/>
  <c r="S88" i="4"/>
  <c r="T95" i="4"/>
  <c r="S104" i="4"/>
  <c r="S112" i="4"/>
  <c r="T119" i="4"/>
  <c r="S124" i="4"/>
  <c r="T131" i="4"/>
  <c r="S136" i="4"/>
  <c r="T143" i="4"/>
  <c r="L140" i="4"/>
  <c r="M140" i="4" s="1"/>
  <c r="L136" i="4"/>
  <c r="M136" i="4" s="1"/>
  <c r="N135" i="4"/>
  <c r="Q135" i="4" s="1"/>
  <c r="N139" i="4"/>
  <c r="Q139" i="4" s="1"/>
  <c r="L143" i="4"/>
  <c r="M143" i="4" s="1"/>
  <c r="I128" i="4" l="1"/>
  <c r="L128" i="4" s="1"/>
  <c r="M128" i="4" s="1"/>
  <c r="J128" i="4"/>
  <c r="K128" i="4" s="1"/>
  <c r="O128" i="4" s="1"/>
  <c r="P128" i="4" s="1"/>
  <c r="I129" i="4"/>
  <c r="N129" i="4" s="1"/>
  <c r="Q129" i="4" s="1"/>
  <c r="J129" i="4"/>
  <c r="K129" i="4"/>
  <c r="O129" i="4" s="1"/>
  <c r="P129" i="4" s="1"/>
  <c r="L129" i="4"/>
  <c r="M129" i="4" s="1"/>
  <c r="I130" i="4"/>
  <c r="J130" i="4"/>
  <c r="K130" i="4"/>
  <c r="L130" i="4"/>
  <c r="M130" i="4"/>
  <c r="N130" i="4"/>
  <c r="Q130" i="4" s="1"/>
  <c r="O130" i="4"/>
  <c r="P130" i="4" s="1"/>
  <c r="I131" i="4"/>
  <c r="L131" i="4" s="1"/>
  <c r="M131" i="4" s="1"/>
  <c r="J131" i="4"/>
  <c r="K131" i="4" s="1"/>
  <c r="N131" i="4"/>
  <c r="Q131" i="4"/>
  <c r="I132" i="4"/>
  <c r="L132" i="4" s="1"/>
  <c r="M132" i="4" s="1"/>
  <c r="J132" i="4"/>
  <c r="K132" i="4" s="1"/>
  <c r="O132" i="4" s="1"/>
  <c r="P132" i="4" s="1"/>
  <c r="I133" i="4"/>
  <c r="N133" i="4" s="1"/>
  <c r="Q133" i="4" s="1"/>
  <c r="J133" i="4"/>
  <c r="K133" i="4"/>
  <c r="O133" i="4" s="1"/>
  <c r="P133" i="4" s="1"/>
  <c r="L133" i="4"/>
  <c r="M133" i="4"/>
  <c r="I134" i="4"/>
  <c r="J134" i="4"/>
  <c r="K134" i="4"/>
  <c r="L134" i="4"/>
  <c r="M134" i="4"/>
  <c r="N134" i="4"/>
  <c r="Q134" i="4" s="1"/>
  <c r="O134" i="4"/>
  <c r="P134" i="4"/>
  <c r="O131" i="4" l="1"/>
  <c r="P131" i="4" s="1"/>
  <c r="N128" i="4"/>
  <c r="Q128" i="4" s="1"/>
  <c r="N132" i="4"/>
  <c r="Q132" i="4" s="1"/>
  <c r="O15" i="1" l="1"/>
  <c r="L15" i="1"/>
  <c r="N15" i="1"/>
  <c r="M106" i="4"/>
  <c r="J16" i="4"/>
  <c r="J15" i="4"/>
  <c r="J87" i="4"/>
  <c r="K87" i="4" s="1"/>
  <c r="J122" i="4"/>
  <c r="K122" i="4"/>
  <c r="J117" i="4"/>
  <c r="K117" i="4" s="1"/>
  <c r="O117" i="4" s="1"/>
  <c r="P117" i="4" s="1"/>
  <c r="J120" i="4"/>
  <c r="K120" i="4"/>
  <c r="J101" i="4"/>
  <c r="L101" i="4" s="1"/>
  <c r="M101" i="4" s="1"/>
  <c r="K101" i="4"/>
  <c r="O101" i="4" s="1"/>
  <c r="P101" i="4" s="1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 s="1"/>
  <c r="O103" i="4" s="1"/>
  <c r="P103" i="4" s="1"/>
  <c r="J118" i="4"/>
  <c r="K118" i="4"/>
  <c r="O118" i="4" s="1"/>
  <c r="P118" i="4" s="1"/>
  <c r="J104" i="4"/>
  <c r="K104" i="4"/>
  <c r="O104" i="4" s="1"/>
  <c r="P104" i="4" s="1"/>
  <c r="J90" i="4"/>
  <c r="K90" i="4" s="1"/>
  <c r="J71" i="4"/>
  <c r="K71" i="4"/>
  <c r="J110" i="4"/>
  <c r="K110" i="4"/>
  <c r="J82" i="4"/>
  <c r="K82" i="4" s="1"/>
  <c r="J113" i="4"/>
  <c r="K113" i="4"/>
  <c r="J97" i="4"/>
  <c r="K97" i="4" s="1"/>
  <c r="J81" i="4"/>
  <c r="K81" i="4" s="1"/>
  <c r="J116" i="4"/>
  <c r="K116" i="4"/>
  <c r="O116" i="4" s="1"/>
  <c r="P116" i="4" s="1"/>
  <c r="J100" i="4"/>
  <c r="K100" i="4"/>
  <c r="O100" i="4" s="1"/>
  <c r="P100" i="4" s="1"/>
  <c r="J84" i="4"/>
  <c r="K84" i="4" s="1"/>
  <c r="J114" i="4"/>
  <c r="K114" i="4" s="1"/>
  <c r="J78" i="4"/>
  <c r="K78" i="4"/>
  <c r="J115" i="4"/>
  <c r="K115" i="4"/>
  <c r="J99" i="4"/>
  <c r="K99" i="4"/>
  <c r="J83" i="4"/>
  <c r="K83" i="4" s="1"/>
  <c r="J102" i="4"/>
  <c r="K102" i="4" s="1"/>
  <c r="O102" i="4" s="1"/>
  <c r="P102" i="4" s="1"/>
  <c r="J74" i="4"/>
  <c r="K74" i="4"/>
  <c r="J125" i="4"/>
  <c r="K125" i="4" s="1"/>
  <c r="O125" i="4" s="1"/>
  <c r="P125" i="4" s="1"/>
  <c r="J109" i="4"/>
  <c r="K109" i="4"/>
  <c r="J93" i="4"/>
  <c r="K93" i="4" s="1"/>
  <c r="J77" i="4"/>
  <c r="K77" i="4"/>
  <c r="J112" i="4"/>
  <c r="L112" i="4" s="1"/>
  <c r="M112" i="4" s="1"/>
  <c r="K112" i="4"/>
  <c r="O112" i="4" s="1"/>
  <c r="P112" i="4" s="1"/>
  <c r="J96" i="4"/>
  <c r="K96" i="4"/>
  <c r="J80" i="4"/>
  <c r="K80" i="4" s="1"/>
  <c r="J106" i="4"/>
  <c r="K106" i="4" s="1"/>
  <c r="O106" i="4" s="1"/>
  <c r="P106" i="4" s="1"/>
  <c r="J127" i="4"/>
  <c r="K127" i="4" s="1"/>
  <c r="J111" i="4"/>
  <c r="K111" i="4"/>
  <c r="J95" i="4"/>
  <c r="K95" i="4" s="1"/>
  <c r="J79" i="4"/>
  <c r="K79" i="4"/>
  <c r="J126" i="4"/>
  <c r="K126" i="4" s="1"/>
  <c r="J94" i="4"/>
  <c r="K94" i="4"/>
  <c r="J121" i="4"/>
  <c r="K121" i="4" s="1"/>
  <c r="J105" i="4"/>
  <c r="K105" i="4"/>
  <c r="J89" i="4"/>
  <c r="K89" i="4" s="1"/>
  <c r="J73" i="4"/>
  <c r="K73" i="4" s="1"/>
  <c r="J124" i="4"/>
  <c r="K124" i="4"/>
  <c r="J108" i="4"/>
  <c r="K108" i="4" s="1"/>
  <c r="J92" i="4"/>
  <c r="K92" i="4" s="1"/>
  <c r="J76" i="4"/>
  <c r="K76" i="4"/>
  <c r="J98" i="4"/>
  <c r="K98" i="4"/>
  <c r="O98" i="4" s="1"/>
  <c r="P98" i="4" s="1"/>
  <c r="J123" i="4"/>
  <c r="K123" i="4"/>
  <c r="O123" i="4" s="1"/>
  <c r="P123" i="4" s="1"/>
  <c r="J107" i="4"/>
  <c r="K107" i="4"/>
  <c r="J91" i="4"/>
  <c r="K91" i="4"/>
  <c r="O91" i="4" s="1"/>
  <c r="P91" i="4" s="1"/>
  <c r="J75" i="4"/>
  <c r="K75" i="4" s="1"/>
  <c r="O105" i="4"/>
  <c r="P105" i="4"/>
  <c r="O111" i="4"/>
  <c r="P111" i="4" s="1"/>
  <c r="O110" i="4"/>
  <c r="P110" i="4"/>
  <c r="O109" i="4"/>
  <c r="P109" i="4"/>
  <c r="O113" i="4"/>
  <c r="P113" i="4"/>
  <c r="O122" i="4"/>
  <c r="P122" i="4" s="1"/>
  <c r="O94" i="4"/>
  <c r="P94" i="4" s="1"/>
  <c r="O99" i="4"/>
  <c r="P99" i="4"/>
  <c r="I76" i="4"/>
  <c r="I77" i="4"/>
  <c r="I81" i="4"/>
  <c r="I89" i="4"/>
  <c r="N89" i="4" s="1"/>
  <c r="Q89" i="4" s="1"/>
  <c r="I90" i="4"/>
  <c r="N90" i="4" s="1"/>
  <c r="Q90" i="4" s="1"/>
  <c r="I96" i="4"/>
  <c r="L96" i="4" s="1"/>
  <c r="I99" i="4"/>
  <c r="I102" i="4"/>
  <c r="N102" i="4" s="1"/>
  <c r="Q102" i="4" s="1"/>
  <c r="I104" i="4"/>
  <c r="N104" i="4" s="1"/>
  <c r="Q104" i="4" s="1"/>
  <c r="I108" i="4"/>
  <c r="N108" i="4" s="1"/>
  <c r="Q108" i="4" s="1"/>
  <c r="I111" i="4"/>
  <c r="I113" i="4"/>
  <c r="I115" i="4"/>
  <c r="I119" i="4"/>
  <c r="I120" i="4"/>
  <c r="N120" i="4" s="1"/>
  <c r="Q120" i="4" s="1"/>
  <c r="I123" i="4"/>
  <c r="I125" i="4"/>
  <c r="L125" i="4" s="1"/>
  <c r="M125" i="4" s="1"/>
  <c r="I79" i="4"/>
  <c r="N79" i="4" s="1"/>
  <c r="Q79" i="4" s="1"/>
  <c r="I92" i="4"/>
  <c r="L92" i="4" s="1"/>
  <c r="I100" i="4"/>
  <c r="L100" i="4" s="1"/>
  <c r="M100" i="4" s="1"/>
  <c r="I103" i="4"/>
  <c r="L103" i="4" s="1"/>
  <c r="M103" i="4" s="1"/>
  <c r="I107" i="4"/>
  <c r="L107" i="4" s="1"/>
  <c r="I109" i="4"/>
  <c r="I110" i="4"/>
  <c r="I117" i="4"/>
  <c r="I124" i="4"/>
  <c r="I72" i="4"/>
  <c r="I106" i="4"/>
  <c r="I71" i="4"/>
  <c r="N71" i="4" s="1"/>
  <c r="Q71" i="4" s="1"/>
  <c r="I75" i="4"/>
  <c r="N75" i="4" s="1"/>
  <c r="Q75" i="4" s="1"/>
  <c r="I80" i="4"/>
  <c r="L80" i="4" s="1"/>
  <c r="I83" i="4"/>
  <c r="N83" i="4" s="1"/>
  <c r="Q83" i="4" s="1"/>
  <c r="I86" i="4"/>
  <c r="N86" i="4" s="1"/>
  <c r="Q86" i="4" s="1"/>
  <c r="I88" i="4"/>
  <c r="N88" i="4" s="1"/>
  <c r="Q88" i="4" s="1"/>
  <c r="I94" i="4"/>
  <c r="I95" i="4"/>
  <c r="L95" i="4" s="1"/>
  <c r="I98" i="4"/>
  <c r="N98" i="4" s="1"/>
  <c r="Q98" i="4" s="1"/>
  <c r="I101" i="4"/>
  <c r="I118" i="4"/>
  <c r="L118" i="4" s="1"/>
  <c r="M118" i="4" s="1"/>
  <c r="I127" i="4"/>
  <c r="L127" i="4" s="1"/>
  <c r="I73" i="4"/>
  <c r="N73" i="4" s="1"/>
  <c r="Q73" i="4" s="1"/>
  <c r="I74" i="4"/>
  <c r="N74" i="4" s="1"/>
  <c r="Q74" i="4" s="1"/>
  <c r="I78" i="4"/>
  <c r="N78" i="4" s="1"/>
  <c r="Q78" i="4" s="1"/>
  <c r="I82" i="4"/>
  <c r="N82" i="4" s="1"/>
  <c r="Q82" i="4" s="1"/>
  <c r="I85" i="4"/>
  <c r="L85" i="4" s="1"/>
  <c r="I93" i="4"/>
  <c r="N93" i="4" s="1"/>
  <c r="Q93" i="4" s="1"/>
  <c r="I112" i="4"/>
  <c r="I114" i="4"/>
  <c r="I121" i="4"/>
  <c r="I122" i="4"/>
  <c r="I84" i="4"/>
  <c r="L84" i="4" s="1"/>
  <c r="I87" i="4"/>
  <c r="I91" i="4"/>
  <c r="I97" i="4"/>
  <c r="N97" i="4" s="1"/>
  <c r="Q97" i="4" s="1"/>
  <c r="I105" i="4"/>
  <c r="N105" i="4" s="1"/>
  <c r="Q105" i="4" s="1"/>
  <c r="I116" i="4"/>
  <c r="N116" i="4" s="1"/>
  <c r="Q116" i="4" s="1"/>
  <c r="I126" i="4"/>
  <c r="N126" i="4" s="1"/>
  <c r="Q126" i="4" s="1"/>
  <c r="L105" i="4"/>
  <c r="M105" i="4" s="1"/>
  <c r="N121" i="4"/>
  <c r="Q121" i="4"/>
  <c r="N101" i="4"/>
  <c r="Q101" i="4"/>
  <c r="L75" i="4"/>
  <c r="L106" i="4"/>
  <c r="N106" i="4"/>
  <c r="Q106" i="4"/>
  <c r="N107" i="4"/>
  <c r="Q107" i="4" s="1"/>
  <c r="N119" i="4"/>
  <c r="Q119" i="4" s="1"/>
  <c r="L119" i="4"/>
  <c r="N96" i="4"/>
  <c r="Q96" i="4"/>
  <c r="N77" i="4"/>
  <c r="Q77" i="4" s="1"/>
  <c r="L77" i="4"/>
  <c r="N114" i="4"/>
  <c r="Q114" i="4" s="1"/>
  <c r="L98" i="4"/>
  <c r="M98" i="4" s="1"/>
  <c r="L72" i="4"/>
  <c r="N72" i="4"/>
  <c r="Q72" i="4" s="1"/>
  <c r="N117" i="4"/>
  <c r="Q117" i="4"/>
  <c r="L117" i="4"/>
  <c r="M117" i="4" s="1"/>
  <c r="N103" i="4"/>
  <c r="Q103" i="4" s="1"/>
  <c r="N115" i="4"/>
  <c r="Q115" i="4"/>
  <c r="L115" i="4"/>
  <c r="N76" i="4"/>
  <c r="Q76" i="4" s="1"/>
  <c r="N112" i="4"/>
  <c r="Q112" i="4"/>
  <c r="N127" i="4"/>
  <c r="Q127" i="4"/>
  <c r="N95" i="4"/>
  <c r="Q95" i="4" s="1"/>
  <c r="N110" i="4"/>
  <c r="Q110" i="4"/>
  <c r="L110" i="4"/>
  <c r="M110" i="4" s="1"/>
  <c r="L123" i="4"/>
  <c r="M123" i="4" s="1"/>
  <c r="N123" i="4"/>
  <c r="Q123" i="4"/>
  <c r="N113" i="4"/>
  <c r="Q113" i="4" s="1"/>
  <c r="L113" i="4"/>
  <c r="M113" i="4" s="1"/>
  <c r="N87" i="4"/>
  <c r="Q87" i="4" s="1"/>
  <c r="L87" i="4"/>
  <c r="N122" i="4"/>
  <c r="Q122" i="4"/>
  <c r="L122" i="4"/>
  <c r="M122" i="4" s="1"/>
  <c r="N118" i="4"/>
  <c r="Q118" i="4"/>
  <c r="L94" i="4"/>
  <c r="N94" i="4"/>
  <c r="Q94" i="4" s="1"/>
  <c r="N109" i="4"/>
  <c r="Q109" i="4"/>
  <c r="L109" i="4"/>
  <c r="M109" i="4" s="1"/>
  <c r="N111" i="4"/>
  <c r="Q111" i="4"/>
  <c r="L111" i="4"/>
  <c r="M111" i="4" s="1"/>
  <c r="N99" i="4"/>
  <c r="Q99" i="4"/>
  <c r="L99" i="4"/>
  <c r="M99" i="4" s="1"/>
  <c r="O114" i="4" l="1"/>
  <c r="P114" i="4" s="1"/>
  <c r="O126" i="4"/>
  <c r="P126" i="4" s="1"/>
  <c r="O108" i="4"/>
  <c r="P108" i="4" s="1"/>
  <c r="M107" i="4"/>
  <c r="O121" i="4"/>
  <c r="P121" i="4" s="1"/>
  <c r="L104" i="4"/>
  <c r="M104" i="4" s="1"/>
  <c r="M115" i="4"/>
  <c r="O115" i="4"/>
  <c r="P115" i="4" s="1"/>
  <c r="L81" i="4"/>
  <c r="N125" i="4"/>
  <c r="Q125" i="4" s="1"/>
  <c r="L124" i="4"/>
  <c r="L121" i="4"/>
  <c r="N100" i="4"/>
  <c r="Q100" i="4" s="1"/>
  <c r="M119" i="4"/>
  <c r="L79" i="4"/>
  <c r="L102" i="4"/>
  <c r="M102" i="4" s="1"/>
  <c r="O107" i="4"/>
  <c r="P107" i="4" s="1"/>
  <c r="M127" i="4"/>
  <c r="L126" i="4"/>
  <c r="L76" i="4"/>
  <c r="O119" i="4"/>
  <c r="P119" i="4" s="1"/>
  <c r="L91" i="4"/>
  <c r="O120" i="4"/>
  <c r="P120" i="4" s="1"/>
  <c r="L71" i="4"/>
  <c r="O124" i="4"/>
  <c r="P124" i="4" s="1"/>
  <c r="O127" i="4"/>
  <c r="P127" i="4" s="1"/>
  <c r="N91" i="4"/>
  <c r="Q91" i="4" s="1"/>
  <c r="L114" i="4"/>
  <c r="N81" i="4"/>
  <c r="Q81" i="4" s="1"/>
  <c r="O71" i="4"/>
  <c r="P71" i="4" s="1"/>
  <c r="O83" i="4"/>
  <c r="P83" i="4" s="1"/>
  <c r="M81" i="4"/>
  <c r="M80" i="4"/>
  <c r="M92" i="4"/>
  <c r="O73" i="4"/>
  <c r="P73" i="4" s="1"/>
  <c r="N80" i="4"/>
  <c r="Q80" i="4" s="1"/>
  <c r="L73" i="4"/>
  <c r="L82" i="4"/>
  <c r="M96" i="4"/>
  <c r="L78" i="4"/>
  <c r="L90" i="4"/>
  <c r="L108" i="4"/>
  <c r="N124" i="4"/>
  <c r="Q124" i="4" s="1"/>
  <c r="O87" i="4"/>
  <c r="P87" i="4" s="1"/>
  <c r="O76" i="4"/>
  <c r="P76" i="4" s="1"/>
  <c r="M95" i="4"/>
  <c r="O96" i="4"/>
  <c r="P96" i="4" s="1"/>
  <c r="M94" i="4"/>
  <c r="M79" i="4"/>
  <c r="O77" i="4"/>
  <c r="P77" i="4" s="1"/>
  <c r="O88" i="4"/>
  <c r="P88" i="4" s="1"/>
  <c r="M75" i="4"/>
  <c r="O81" i="4"/>
  <c r="P81" i="4" s="1"/>
  <c r="O97" i="4"/>
  <c r="P97" i="4" s="1"/>
  <c r="M87" i="4"/>
  <c r="M77" i="4"/>
  <c r="O92" i="4"/>
  <c r="P92" i="4" s="1"/>
  <c r="O75" i="4"/>
  <c r="P75" i="4" s="1"/>
  <c r="L116" i="4"/>
  <c r="O82" i="4"/>
  <c r="P82" i="4" s="1"/>
  <c r="M84" i="4"/>
  <c r="O72" i="4"/>
  <c r="P72" i="4" s="1"/>
  <c r="L120" i="4"/>
  <c r="O78" i="4"/>
  <c r="P78" i="4" s="1"/>
  <c r="O79" i="4"/>
  <c r="P79" i="4" s="1"/>
  <c r="O84" i="4"/>
  <c r="P84" i="4" s="1"/>
  <c r="L89" i="4"/>
  <c r="O95" i="4"/>
  <c r="P95" i="4" s="1"/>
  <c r="L83" i="4"/>
  <c r="N92" i="4"/>
  <c r="Q92" i="4" s="1"/>
  <c r="L74" i="4"/>
  <c r="O89" i="4"/>
  <c r="P89" i="4" s="1"/>
  <c r="O85" i="4"/>
  <c r="P85" i="4" s="1"/>
  <c r="M72" i="4"/>
  <c r="O80" i="4"/>
  <c r="P80" i="4" s="1"/>
  <c r="O74" i="4"/>
  <c r="P74" i="4" s="1"/>
  <c r="O93" i="4"/>
  <c r="P93" i="4" s="1"/>
  <c r="O90" i="4"/>
  <c r="P90" i="4" s="1"/>
  <c r="O86" i="4"/>
  <c r="P86" i="4" s="1"/>
  <c r="M85" i="4"/>
  <c r="L86" i="4"/>
  <c r="L97" i="4"/>
  <c r="N85" i="4"/>
  <c r="Q85" i="4" s="1"/>
  <c r="L88" i="4"/>
  <c r="N84" i="4"/>
  <c r="Q84" i="4" s="1"/>
  <c r="L93" i="4"/>
  <c r="J14" i="4"/>
  <c r="J13" i="4" s="1"/>
  <c r="K16" i="4" s="1"/>
  <c r="M126" i="4" l="1"/>
  <c r="M114" i="4"/>
  <c r="M124" i="4"/>
  <c r="M108" i="4"/>
  <c r="M91" i="4"/>
  <c r="M120" i="4"/>
  <c r="M71" i="4"/>
  <c r="M121" i="4"/>
  <c r="M116" i="4"/>
  <c r="M76" i="4"/>
  <c r="M93" i="4"/>
  <c r="M90" i="4"/>
  <c r="M97" i="4"/>
  <c r="M78" i="4"/>
  <c r="M86" i="4"/>
  <c r="M74" i="4"/>
  <c r="M82" i="4"/>
  <c r="M73" i="4"/>
  <c r="M89" i="4"/>
  <c r="M88" i="4"/>
  <c r="M83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0" i="4" l="1"/>
  <c r="P60" i="4" s="1"/>
  <c r="O62" i="4"/>
  <c r="P62" i="4" s="1"/>
  <c r="O61" i="4"/>
  <c r="P61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70" i="4" l="1"/>
  <c r="M61" i="4"/>
  <c r="M60" i="4"/>
  <c r="M62" i="4"/>
  <c r="M63" i="4"/>
  <c r="M64" i="4"/>
  <c r="M57" i="4"/>
  <c r="M69" i="4"/>
  <c r="M58" i="4"/>
  <c r="O69" i="4"/>
  <c r="P69" i="4" s="1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64" i="4"/>
  <c r="P64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L43" i="4" s="1"/>
  <c r="J31" i="4"/>
  <c r="J44" i="4"/>
  <c r="L44" i="4" s="1"/>
  <c r="J36" i="4"/>
  <c r="K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M48" i="4"/>
  <c r="O49" i="4"/>
  <c r="P49" i="4" s="1"/>
  <c r="M49" i="4"/>
  <c r="M35" i="4"/>
  <c r="M43" i="4"/>
  <c r="M45" i="4"/>
  <c r="O47" i="4"/>
  <c r="P47" i="4" s="1"/>
  <c r="O31" i="4"/>
  <c r="P31" i="4" s="1"/>
  <c r="O33" i="4"/>
  <c r="P33" i="4" s="1"/>
  <c r="O28" i="4"/>
  <c r="P28" i="4" s="1"/>
  <c r="O36" i="4"/>
  <c r="P36" i="4" s="1"/>
  <c r="K35" i="4"/>
  <c r="M44" i="4"/>
  <c r="O43" i="4"/>
  <c r="P43" i="4" s="1"/>
  <c r="O41" i="4"/>
  <c r="P41" i="4" s="1"/>
  <c r="O30" i="4"/>
  <c r="P30" i="4" s="1"/>
  <c r="O39" i="4"/>
  <c r="P39" i="4" s="1"/>
  <c r="O45" i="4"/>
  <c r="P45" i="4" s="1"/>
  <c r="M31" i="4"/>
  <c r="O46" i="4"/>
  <c r="P46" i="4" s="1"/>
  <c r="M39" i="4"/>
  <c r="L36" i="4"/>
  <c r="K44" i="4"/>
  <c r="L47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K40" i="4"/>
  <c r="K32" i="4"/>
  <c r="L28" i="4"/>
  <c r="O34" i="4" l="1"/>
  <c r="P34" i="4" s="1"/>
  <c r="O44" i="4"/>
  <c r="P44" i="4" s="1"/>
  <c r="M36" i="4"/>
  <c r="O35" i="4"/>
  <c r="P35" i="4" s="1"/>
  <c r="O29" i="4"/>
  <c r="P29" i="4" s="1"/>
  <c r="O38" i="4"/>
  <c r="P38" i="4" s="1"/>
  <c r="O32" i="4"/>
  <c r="P32" i="4" s="1"/>
  <c r="M33" i="4"/>
  <c r="O40" i="4"/>
  <c r="P40" i="4" s="1"/>
  <c r="O42" i="4"/>
  <c r="P42" i="4" s="1"/>
  <c r="M41" i="4"/>
  <c r="O37" i="4"/>
  <c r="P37" i="4" s="1"/>
  <c r="M46" i="4"/>
  <c r="M47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<sst xmlns="http://schemas.openxmlformats.org/spreadsheetml/2006/main" count="340" uniqueCount="314">
  <si>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</si>
  <si>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</si>
  <si>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</si>
  <si>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</si>
  <si>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</si>
  <si>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</si>
  <si>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</si>
  <si>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</si>
  <si>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</si>
  <si>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</si>
  <si>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</si>
  <si>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</si>
  <si>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</si>
  <si>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</si>
  <si>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</si>
  <si>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</si>
  <si>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</si>
  <si>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</si>
  <si>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</si>
  <si>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</si>
  <si>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</si>
  <si>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</si>
  <si>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</si>
  <si>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</si>
  <si>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</si>
  <si>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</si>
  <si>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</si>
  <si>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</si>
  <si>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</si>
  <si>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</si>
  <si>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</si>
  <si>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</si>
  <si>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</si>
  <si>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</si>
  <si>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</si>
  <si>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</si>
  <si>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</si>
  <si>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</si>
  <si>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</si>
  <si>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</si>
  <si>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</si>
  <si>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</si>
  <si>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</si>
  <si>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</si>
  <si>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</si>
  <si>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</si>
  <si>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</si>
  <si>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</si>
  <si>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</si>
  <si>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</si>
  <si>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</si>
  <si>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</si>
  <si>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</si>
  <si>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</si>
  <si>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</si>
  <si>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</si>
  <si>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</si>
  <si>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</si>
  <si>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</si>
  <si>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</si>
  <si>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</si>
  <si>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</si>
  <si>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</si>
  <si>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</si>
  <si>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</si>
  <si>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</si>
  <si>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</si>
  <si>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</si>
  <si>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</si>
  <si>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</si>
  <si>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</si>
  <si>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</si>
  <si>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</si>
  <si>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</si>
  <si>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</si>
  <si>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</si>
  <si>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</si>
  <si>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</si>
  <si>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</si>
  <si>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</si>
  <si>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</si>
  <si>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</si>
  <si>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</si>
  <si>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</si>
  <si>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</si>
  <si>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</si>
  <si>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</si>
  <si>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</si>
  <si>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</si>
  <si>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</si>
  <si>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</si>
  <si>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</si>
  <si>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</si>
  <si>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</si>
  <si>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</si>
  <si>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</si>
  <si>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</si>
  <si>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</si>
  <si>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</si>
  <si>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</si>
  <si>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</si>
  <si>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</si>
  <si>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</si>
  <si>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</si>
  <si>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</si>
  <si>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</si>
  <si>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</si>
  <si>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</si>
  <si>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</si>
  <si>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</si>
  <si>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</si>
  <si>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H4lle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</si>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</sst>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0" sqref="N20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3.2865000000000004E-3</v>
      </c>
      <c r="M17" s="80">
        <v>1.9250000000000002E-4</v>
      </c>
      <c r="N17" s="80">
        <v>2.1000000000000002E-5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7" sqref="R27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40.019599999999997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39.997684400000004</v>
      </c>
      <c r="K8" s="39">
        <f>J8/J7</f>
        <v>0.9994523783346162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2.0277999999999997E-2</v>
      </c>
      <c r="K9" s="39">
        <f>J9/J7</f>
        <v>5.0670171615908204E-4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1.6376000000000001E-3</v>
      </c>
      <c r="K10" s="39">
        <f>J10/J7</f>
        <v>4.0919949224879816E-5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1.9599999999999999E-2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1.8404400000000001E-2</v>
      </c>
      <c r="K20" s="39">
        <f>J20/J19</f>
        <v>0.93900000000000006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1.0780000000000002E-3</v>
      </c>
      <c r="K21" s="39">
        <f>J21/J19</f>
        <v>5.5000000000000014E-2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1.1760000000000001E-4</v>
      </c>
      <c r="K22" s="39">
        <f>J22/J19</f>
        <v>6.000000000000001E-3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4.3930265911812484E-3</v>
      </c>
      <c r="K28" s="93">
        <f t="shared" ref="K28:K47" si="3">IF(D28=0,"",1/(1+10^D28*$J$15/$J$14+10^E28*$J$16/$J$14+10^J28*$J$19/$J$14))</f>
        <v>0.99890192247471643</v>
      </c>
      <c r="L28" s="93">
        <f t="shared" ref="L28:L47" si="4">IF(D28=0,"",1/(1+10^I28/10^J28*$J$13/$J$19))</f>
        <v>4.9469438210354309E-4</v>
      </c>
      <c r="M28" s="93">
        <f t="shared" ref="M28:M47" si="5">IF(D28=0,"",1-L28)</f>
        <v>0.99950530561789641</v>
      </c>
      <c r="N28" s="93">
        <f t="shared" ref="N28:N47" si="6">IF(D28=0,"",1/(1/10^E28*$J$20/$J$22+10^D28/10^E28*$J$21/$J$22+10^I28/10^E28*$J$13/$J$22+1))</f>
        <v>3.5506772882421353E-6</v>
      </c>
      <c r="O28" s="40">
        <f t="shared" ref="O28:O47" si="7">IF(D28=0,"",F28*K28*$J$7/$J$14)</f>
        <v>9.9990933745352986E-7</v>
      </c>
      <c r="P28" s="40">
        <f t="shared" ref="P28:P47" si="8">IF(D28=0,"",O28*10^J28)</f>
        <v>1.0100750660219875E-6</v>
      </c>
      <c r="Q28" s="40">
        <f t="shared" ref="Q28:Q47" si="9">IF(D28=0,"",F28*N28*$J$7/$J$22)</f>
        <v>1.2083051428957051E-6</v>
      </c>
      <c r="R28" s="9">
        <f>F28*$C$14</f>
        <v>3.9999999999999996E-5</v>
      </c>
      <c r="S28" s="9">
        <f>$R28*L28</f>
        <v>1.9787775284141721E-8</v>
      </c>
      <c r="T28" s="9">
        <f t="shared" ref="T28:T91" si="10">R28*K28</f>
        <v>3.9956076898988657E-5</v>
      </c>
      <c r="U28" s="9">
        <f t="shared" ref="U28:U91" si="11">$R28*M28</f>
        <v>3.9980212224715855E-5</v>
      </c>
      <c r="V28" s="100">
        <f>K28/M28</f>
        <v>0.99939631821883435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4.6078470391874224E-2</v>
      </c>
      <c r="J29" s="92">
        <f t="shared" si="2"/>
        <v>1.1598586824387489</v>
      </c>
      <c r="K29" s="93">
        <f t="shared" si="3"/>
        <v>0.89318178403398596</v>
      </c>
      <c r="L29" s="93">
        <f t="shared" si="4"/>
        <v>6.3273177186275072E-3</v>
      </c>
      <c r="M29" s="93">
        <f t="shared" si="5"/>
        <v>0.99367268228137251</v>
      </c>
      <c r="N29" s="93">
        <f t="shared" si="6"/>
        <v>9.9887745375367028E-4</v>
      </c>
      <c r="O29" s="40">
        <f t="shared" si="7"/>
        <v>8.9408257788350603E-7</v>
      </c>
      <c r="P29" s="40">
        <f t="shared" si="8"/>
        <v>1.2919220621040072E-5</v>
      </c>
      <c r="Q29" s="40">
        <f t="shared" si="9"/>
        <v>3.3992071554626174E-4</v>
      </c>
      <c r="R29" s="9">
        <f t="shared" ref="R29:R92" si="12">F29*$C$14</f>
        <v>3.9999999999999996E-5</v>
      </c>
      <c r="S29" s="9">
        <f t="shared" ref="S29:S92" si="13">$R29*L29</f>
        <v>2.5309270874510029E-7</v>
      </c>
      <c r="T29" s="9">
        <f t="shared" si="10"/>
        <v>3.5727271361359434E-5</v>
      </c>
      <c r="U29" s="9">
        <f t="shared" si="11"/>
        <v>3.9746907291254898E-5</v>
      </c>
      <c r="V29" s="100">
        <f t="shared" ref="V29:V92" si="14">K29/M29</f>
        <v>0.89886921514570617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1.116379396238508</v>
      </c>
      <c r="J30" s="92">
        <f t="shared" si="2"/>
        <v>3.1414797597951698</v>
      </c>
      <c r="K30" s="93">
        <f t="shared" si="3"/>
        <v>7.2679972770054516E-2</v>
      </c>
      <c r="L30" s="93">
        <f t="shared" si="4"/>
        <v>4.9353234267542991E-2</v>
      </c>
      <c r="M30" s="93">
        <f t="shared" si="5"/>
        <v>0.95064676573245699</v>
      </c>
      <c r="N30" s="93">
        <f t="shared" si="6"/>
        <v>9.332266001257061E-5</v>
      </c>
      <c r="O30" s="40">
        <f t="shared" si="7"/>
        <v>7.2753272151686406E-8</v>
      </c>
      <c r="P30" s="40">
        <f t="shared" si="8"/>
        <v>1.0077023949455941E-4</v>
      </c>
      <c r="Q30" s="40">
        <f t="shared" si="9"/>
        <v>3.1757955141488689E-5</v>
      </c>
      <c r="R30" s="9">
        <f t="shared" si="12"/>
        <v>3.9999999999999996E-5</v>
      </c>
      <c r="S30" s="9">
        <f t="shared" si="13"/>
        <v>1.9741293707017193E-6</v>
      </c>
      <c r="T30" s="9">
        <f t="shared" si="10"/>
        <v>2.9071989108021804E-6</v>
      </c>
      <c r="U30" s="9">
        <f t="shared" si="11"/>
        <v>3.8025870629298279E-5</v>
      </c>
      <c r="V30" s="100">
        <f t="shared" si="14"/>
        <v>7.6453184705315702E-2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-1.9978935919434454E-4</v>
      </c>
      <c r="J31" s="92">
        <f t="shared" si="2"/>
        <v>-2.4255314009752341E-2</v>
      </c>
      <c r="K31" s="93">
        <f t="shared" si="3"/>
        <v>0.99947854429073568</v>
      </c>
      <c r="L31" s="93">
        <f t="shared" si="4"/>
        <v>4.6338211177782623E-4</v>
      </c>
      <c r="M31" s="93">
        <f t="shared" si="5"/>
        <v>0.99953661788822212</v>
      </c>
      <c r="N31" s="93">
        <f t="shared" si="6"/>
        <v>4.7801010432112345E-8</v>
      </c>
      <c r="O31" s="40">
        <f t="shared" si="7"/>
        <v>1.0004865408055752E-6</v>
      </c>
      <c r="P31" s="40">
        <f t="shared" si="8"/>
        <v>9.4614116125019845E-7</v>
      </c>
      <c r="Q31" s="40">
        <f t="shared" si="9"/>
        <v>1.6266813920824511E-8</v>
      </c>
      <c r="R31" s="9">
        <f t="shared" si="12"/>
        <v>3.9999999999999996E-5</v>
      </c>
      <c r="S31" s="9">
        <f t="shared" si="13"/>
        <v>1.8535284471113046E-8</v>
      </c>
      <c r="T31" s="9">
        <f t="shared" si="10"/>
        <v>3.9979141771629421E-5</v>
      </c>
      <c r="U31" s="9">
        <f t="shared" si="11"/>
        <v>3.9981464715528878E-5</v>
      </c>
      <c r="V31" s="100">
        <f t="shared" si="14"/>
        <v>0.99994189947977175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5.4311668398331027E-4</v>
      </c>
      <c r="J32" s="92">
        <f t="shared" si="2"/>
        <v>5.8817903526915682E-2</v>
      </c>
      <c r="K32" s="93">
        <f t="shared" si="3"/>
        <v>0.99767379534835898</v>
      </c>
      <c r="L32" s="93">
        <f t="shared" si="4"/>
        <v>5.6005099310877011E-4</v>
      </c>
      <c r="M32" s="93">
        <f t="shared" si="5"/>
        <v>0.99943994900689126</v>
      </c>
      <c r="N32" s="93">
        <f t="shared" si="6"/>
        <v>5.8738452458860398E-6</v>
      </c>
      <c r="O32" s="40">
        <f t="shared" si="7"/>
        <v>9.9867997173343751E-7</v>
      </c>
      <c r="P32" s="40">
        <f t="shared" si="8"/>
        <v>1.1435212614191702E-6</v>
      </c>
      <c r="Q32" s="40">
        <f t="shared" si="9"/>
        <v>1.9988855204273883E-6</v>
      </c>
      <c r="R32" s="9">
        <f t="shared" si="12"/>
        <v>3.9999999999999996E-5</v>
      </c>
      <c r="S32" s="9">
        <f t="shared" si="13"/>
        <v>2.2402039724350803E-8</v>
      </c>
      <c r="T32" s="9">
        <f t="shared" si="10"/>
        <v>3.9906951813934357E-5</v>
      </c>
      <c r="U32" s="9">
        <f t="shared" si="11"/>
        <v>3.9977597960275648E-5</v>
      </c>
      <c r="V32" s="100">
        <f t="shared" si="14"/>
        <v>0.99823285665108019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1.0070969156464394E-2</v>
      </c>
      <c r="J33" s="92">
        <f t="shared" si="2"/>
        <v>0.58053081129160566</v>
      </c>
      <c r="K33" s="93">
        <f t="shared" si="3"/>
        <v>0.97479489884690562</v>
      </c>
      <c r="L33" s="93">
        <f t="shared" si="4"/>
        <v>1.8191359728372122E-3</v>
      </c>
      <c r="M33" s="93">
        <f t="shared" si="5"/>
        <v>0.99818086402716277</v>
      </c>
      <c r="N33" s="93">
        <f t="shared" si="6"/>
        <v>2.0913225173752127E-4</v>
      </c>
      <c r="O33" s="40">
        <f t="shared" si="7"/>
        <v>9.7577800135204084E-7</v>
      </c>
      <c r="P33" s="40">
        <f t="shared" si="8"/>
        <v>3.7143415295181681E-6</v>
      </c>
      <c r="Q33" s="40">
        <f t="shared" si="9"/>
        <v>7.1168274333630133E-5</v>
      </c>
      <c r="R33" s="9">
        <f t="shared" si="12"/>
        <v>3.9999999999999996E-5</v>
      </c>
      <c r="S33" s="9">
        <f t="shared" si="13"/>
        <v>7.2765438913488483E-8</v>
      </c>
      <c r="T33" s="9">
        <f t="shared" si="10"/>
        <v>3.8991795953876221E-5</v>
      </c>
      <c r="U33" s="9">
        <f t="shared" si="11"/>
        <v>3.9927234561086509E-5</v>
      </c>
      <c r="V33" s="100">
        <f t="shared" si="14"/>
        <v>0.9765714150380459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3.1711948665398576E-4</v>
      </c>
      <c r="J34" s="92">
        <f t="shared" si="2"/>
        <v>3.5059512910216667E-2</v>
      </c>
      <c r="K34" s="93">
        <f t="shared" si="3"/>
        <v>0.99822258425687704</v>
      </c>
      <c r="L34" s="93">
        <f t="shared" si="4"/>
        <v>5.305276301318905E-4</v>
      </c>
      <c r="M34" s="93">
        <f t="shared" si="5"/>
        <v>0.99946947236986816</v>
      </c>
      <c r="N34" s="93">
        <f t="shared" si="6"/>
        <v>3.6084870795117473E-6</v>
      </c>
      <c r="O34" s="40">
        <f t="shared" si="7"/>
        <v>9.9922931410787063E-7</v>
      </c>
      <c r="P34" s="40">
        <f t="shared" si="8"/>
        <v>1.083239976878888E-6</v>
      </c>
      <c r="Q34" s="40">
        <f t="shared" si="9"/>
        <v>1.2279779721703085E-6</v>
      </c>
      <c r="R34" s="9">
        <f t="shared" si="12"/>
        <v>3.9999999999999996E-5</v>
      </c>
      <c r="S34" s="9">
        <f t="shared" si="13"/>
        <v>2.1221105205275618E-8</v>
      </c>
      <c r="T34" s="9">
        <f t="shared" si="10"/>
        <v>3.9928903370275077E-5</v>
      </c>
      <c r="U34" s="9">
        <f t="shared" si="11"/>
        <v>3.997877889479472E-5</v>
      </c>
      <c r="V34" s="100">
        <f t="shared" si="14"/>
        <v>0.99875245002727842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1.8367979099029661E-4</v>
      </c>
      <c r="J35" s="92">
        <f t="shared" si="2"/>
        <v>2.0438780062135172E-2</v>
      </c>
      <c r="K35" s="93">
        <f t="shared" si="3"/>
        <v>0.99854672175513304</v>
      </c>
      <c r="L35" s="93">
        <f t="shared" si="4"/>
        <v>5.13131024183645E-4</v>
      </c>
      <c r="M35" s="93">
        <f t="shared" si="5"/>
        <v>0.9994868689758164</v>
      </c>
      <c r="N35" s="93">
        <f t="shared" si="6"/>
        <v>2.4287839201108606E-6</v>
      </c>
      <c r="O35" s="40">
        <f t="shared" si="7"/>
        <v>9.9955377850605895E-7</v>
      </c>
      <c r="P35" s="40">
        <f t="shared" si="8"/>
        <v>1.0477193028275407E-6</v>
      </c>
      <c r="Q35" s="40">
        <f t="shared" si="9"/>
        <v>8.2652177694956274E-7</v>
      </c>
      <c r="R35" s="9">
        <f t="shared" si="12"/>
        <v>3.9999999999999996E-5</v>
      </c>
      <c r="S35" s="9">
        <f t="shared" si="13"/>
        <v>2.0525240967345799E-8</v>
      </c>
      <c r="T35" s="9">
        <f t="shared" si="10"/>
        <v>3.9941868870205319E-5</v>
      </c>
      <c r="U35" s="9">
        <f t="shared" si="11"/>
        <v>3.9979474759032649E-5</v>
      </c>
      <c r="V35" s="100">
        <f t="shared" si="14"/>
        <v>0.99905937011293933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0.45036614920415591</v>
      </c>
      <c r="J36" s="92">
        <f t="shared" si="2"/>
        <v>2.3638521417655052</v>
      </c>
      <c r="K36" s="93">
        <f t="shared" si="3"/>
        <v>0.34065360461484034</v>
      </c>
      <c r="L36" s="93">
        <f t="shared" si="4"/>
        <v>3.8599904785181674E-2</v>
      </c>
      <c r="M36" s="93">
        <f t="shared" si="5"/>
        <v>0.96140009521481828</v>
      </c>
      <c r="N36" s="93">
        <f t="shared" si="6"/>
        <v>1.3090352515763714E-2</v>
      </c>
      <c r="O36" s="40">
        <f t="shared" si="7"/>
        <v>3.4099716141071227E-7</v>
      </c>
      <c r="P36" s="40">
        <f t="shared" si="8"/>
        <v>7.8813915792911034E-5</v>
      </c>
      <c r="Q36" s="40">
        <f t="shared" si="9"/>
        <v>4.4546825811212368E-3</v>
      </c>
      <c r="R36" s="9">
        <f t="shared" si="12"/>
        <v>3.9999999999999996E-5</v>
      </c>
      <c r="S36" s="9">
        <f t="shared" si="13"/>
        <v>1.5439961914072668E-6</v>
      </c>
      <c r="T36" s="9">
        <f t="shared" si="10"/>
        <v>1.3626144184593613E-5</v>
      </c>
      <c r="U36" s="9">
        <f t="shared" si="11"/>
        <v>3.8456003808592729E-5</v>
      </c>
      <c r="V36" s="100">
        <f t="shared" si="14"/>
        <v>0.35433073733857245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2.2002191789801899</v>
      </c>
      <c r="J37" s="92">
        <f t="shared" si="2"/>
        <v>4.3658502336048723</v>
      </c>
      <c r="K37" s="93">
        <f t="shared" si="3"/>
        <v>5.8811459321600036E-3</v>
      </c>
      <c r="L37" s="93">
        <f t="shared" si="4"/>
        <v>6.6947334820356627E-2</v>
      </c>
      <c r="M37" s="93">
        <f t="shared" si="5"/>
        <v>0.93305266517964336</v>
      </c>
      <c r="N37" s="93">
        <f t="shared" si="6"/>
        <v>5.4274547311466047E-2</v>
      </c>
      <c r="O37" s="40">
        <f t="shared" si="7"/>
        <v>5.887077199656183E-9</v>
      </c>
      <c r="P37" s="40">
        <f t="shared" si="8"/>
        <v>1.366941612539155E-4</v>
      </c>
      <c r="Q37" s="40">
        <f t="shared" si="9"/>
        <v>1.8469776135934913E-2</v>
      </c>
      <c r="R37" s="9">
        <f t="shared" si="12"/>
        <v>3.9999999999999996E-5</v>
      </c>
      <c r="S37" s="9">
        <f t="shared" si="13"/>
        <v>2.677893392814265E-6</v>
      </c>
      <c r="T37" s="9">
        <f t="shared" si="10"/>
        <v>2.3524583728640014E-7</v>
      </c>
      <c r="U37" s="9">
        <f t="shared" si="11"/>
        <v>3.7322106607185732E-5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-1.5970395933982679E-4</v>
      </c>
      <c r="J38" s="92">
        <f t="shared" si="2"/>
        <v>-1.939279567806345E-2</v>
      </c>
      <c r="K38" s="93">
        <f t="shared" si="3"/>
        <v>0.99938112573901317</v>
      </c>
      <c r="L38" s="93">
        <f t="shared" si="4"/>
        <v>4.6855378480320265E-4</v>
      </c>
      <c r="M38" s="93">
        <f t="shared" si="5"/>
        <v>0.99953144621519685</v>
      </c>
      <c r="N38" s="93">
        <f t="shared" si="6"/>
        <v>1.8356796115977491E-7</v>
      </c>
      <c r="O38" s="40">
        <f t="shared" si="7"/>
        <v>1.0003890240050597E-6</v>
      </c>
      <c r="P38" s="40">
        <f t="shared" si="8"/>
        <v>9.5670076766889007E-7</v>
      </c>
      <c r="Q38" s="40">
        <f t="shared" si="9"/>
        <v>6.2468676687327616E-8</v>
      </c>
      <c r="R38" s="9">
        <f t="shared" si="12"/>
        <v>3.9999999999999996E-5</v>
      </c>
      <c r="S38" s="9">
        <f t="shared" si="13"/>
        <v>1.8742151392128105E-8</v>
      </c>
      <c r="T38" s="9">
        <f t="shared" si="10"/>
        <v>3.9975245029560521E-5</v>
      </c>
      <c r="U38" s="9">
        <f t="shared" si="11"/>
        <v>3.9981257848607871E-5</v>
      </c>
      <c r="V38" s="100">
        <f t="shared" si="14"/>
        <v>0.99984960905757103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4.7752637245013392E-2</v>
      </c>
      <c r="J39" s="92">
        <f t="shared" si="2"/>
        <v>1.1705366559659578</v>
      </c>
      <c r="K39" s="93">
        <f t="shared" si="3"/>
        <v>0.889627357370953</v>
      </c>
      <c r="L39" s="93">
        <f t="shared" si="4"/>
        <v>6.4590089818436329E-3</v>
      </c>
      <c r="M39" s="93">
        <f t="shared" si="5"/>
        <v>0.99354099101815641</v>
      </c>
      <c r="N39" s="93">
        <f t="shared" si="6"/>
        <v>7.8435466319401318E-4</v>
      </c>
      <c r="O39" s="40">
        <f t="shared" si="7"/>
        <v>8.9052456650151238E-7</v>
      </c>
      <c r="P39" s="40">
        <f t="shared" si="8"/>
        <v>1.3188109992336196E-5</v>
      </c>
      <c r="Q39" s="40">
        <f t="shared" si="9"/>
        <v>2.669180261833259E-4</v>
      </c>
      <c r="R39" s="9">
        <f t="shared" si="12"/>
        <v>3.9999999999999996E-5</v>
      </c>
      <c r="S39" s="9">
        <f t="shared" si="13"/>
        <v>2.583603592737453E-7</v>
      </c>
      <c r="T39" s="9">
        <f t="shared" si="10"/>
        <v>3.5585094294838118E-5</v>
      </c>
      <c r="U39" s="9">
        <f t="shared" si="11"/>
        <v>3.9741639640726254E-5</v>
      </c>
      <c r="V39" s="100">
        <f t="shared" si="14"/>
        <v>0.89541082392512539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5.4923561227077443E-2</v>
      </c>
      <c r="J40" s="92">
        <f t="shared" si="2"/>
        <v>1.246814405253073</v>
      </c>
      <c r="K40" s="93">
        <f t="shared" si="3"/>
        <v>0.87408494232835487</v>
      </c>
      <c r="L40" s="93">
        <f t="shared" si="4"/>
        <v>7.5646553640480842E-3</v>
      </c>
      <c r="M40" s="93">
        <f t="shared" si="5"/>
        <v>0.99243534463595195</v>
      </c>
      <c r="N40" s="93">
        <f t="shared" si="6"/>
        <v>1.8861803311114389E-3</v>
      </c>
      <c r="O40" s="40">
        <f t="shared" si="7"/>
        <v>8.7496647658496649E-7</v>
      </c>
      <c r="P40" s="40">
        <f t="shared" si="8"/>
        <v>1.544563682689075E-5</v>
      </c>
      <c r="Q40" s="40">
        <f t="shared" si="9"/>
        <v>6.4187229914070855E-4</v>
      </c>
      <c r="R40" s="9">
        <f t="shared" si="12"/>
        <v>3.9999999999999996E-5</v>
      </c>
      <c r="S40" s="9">
        <f t="shared" si="13"/>
        <v>3.0258621456192334E-7</v>
      </c>
      <c r="T40" s="9">
        <f t="shared" si="10"/>
        <v>3.4963397693134193E-5</v>
      </c>
      <c r="U40" s="9">
        <f t="shared" si="11"/>
        <v>3.9697413785438073E-5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6.6276677113325539E-3</v>
      </c>
      <c r="J41" s="92">
        <f t="shared" si="2"/>
        <v>0.44918987949517519</v>
      </c>
      <c r="K41" s="93">
        <f t="shared" si="3"/>
        <v>0.98301043825610646</v>
      </c>
      <c r="L41" s="93">
        <f t="shared" si="4"/>
        <v>1.3557172182598835E-3</v>
      </c>
      <c r="M41" s="93">
        <f t="shared" si="5"/>
        <v>0.99864428278174011</v>
      </c>
      <c r="N41" s="93">
        <f t="shared" si="6"/>
        <v>9.2650865943319318E-5</v>
      </c>
      <c r="O41" s="40">
        <f t="shared" si="7"/>
        <v>9.84001826316884E-7</v>
      </c>
      <c r="P41" s="40">
        <f t="shared" si="8"/>
        <v>2.7681255504016956E-6</v>
      </c>
      <c r="Q41" s="40">
        <f t="shared" si="9"/>
        <v>3.1529341791711405E-5</v>
      </c>
      <c r="R41" s="9">
        <f t="shared" si="12"/>
        <v>3.9999999999999996E-5</v>
      </c>
      <c r="S41" s="9">
        <f t="shared" si="13"/>
        <v>5.4228688730395334E-8</v>
      </c>
      <c r="T41" s="9">
        <f t="shared" si="10"/>
        <v>3.9320417530244255E-5</v>
      </c>
      <c r="U41" s="9">
        <f t="shared" si="11"/>
        <v>3.9945771311269599E-5</v>
      </c>
      <c r="V41" s="100">
        <f t="shared" si="14"/>
        <v>0.98434493162862224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2.8589842167479149E-2</v>
      </c>
      <c r="J42" s="92">
        <f t="shared" si="2"/>
        <v>0.96798410137931934</v>
      </c>
      <c r="K42" s="93">
        <f t="shared" si="3"/>
        <v>0.9318332503760417</v>
      </c>
      <c r="L42" s="93">
        <f t="shared" si="4"/>
        <v>4.2436876168575072E-3</v>
      </c>
      <c r="M42" s="93">
        <f t="shared" si="5"/>
        <v>0.99575631238314244</v>
      </c>
      <c r="N42" s="93">
        <f t="shared" si="6"/>
        <v>8.2282704241142467E-4</v>
      </c>
      <c r="O42" s="40">
        <f t="shared" si="7"/>
        <v>9.3277302509572539E-7</v>
      </c>
      <c r="P42" s="40">
        <f t="shared" si="8"/>
        <v>8.6648306607954447E-6</v>
      </c>
      <c r="Q42" s="40">
        <f t="shared" si="9"/>
        <v>2.8001028151775716E-4</v>
      </c>
      <c r="R42" s="9">
        <f t="shared" si="12"/>
        <v>3.9999999999999996E-5</v>
      </c>
      <c r="S42" s="9">
        <f t="shared" si="13"/>
        <v>1.6974750467430026E-7</v>
      </c>
      <c r="T42" s="9">
        <f t="shared" si="10"/>
        <v>3.7273330015041662E-5</v>
      </c>
      <c r="U42" s="9">
        <f t="shared" si="11"/>
        <v>3.9830252495325697E-5</v>
      </c>
      <c r="V42" s="100">
        <f t="shared" si="14"/>
        <v>0.93580451239710072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4.5043006346732313E-2</v>
      </c>
      <c r="J43" s="92">
        <f t="shared" si="2"/>
        <v>1.1477703991585055</v>
      </c>
      <c r="K43" s="93">
        <f t="shared" si="3"/>
        <v>0.89545626455502536</v>
      </c>
      <c r="L43" s="93">
        <f t="shared" si="4"/>
        <v>6.1692998797690263E-3</v>
      </c>
      <c r="M43" s="93">
        <f t="shared" si="5"/>
        <v>0.993830700120231</v>
      </c>
      <c r="N43" s="93">
        <f t="shared" si="6"/>
        <v>8.5220039731076014E-4</v>
      </c>
      <c r="O43" s="40">
        <f t="shared" si="7"/>
        <v>8.9635935226913248E-7</v>
      </c>
      <c r="P43" s="40">
        <f t="shared" si="8"/>
        <v>1.2596577217775738E-5</v>
      </c>
      <c r="Q43" s="40">
        <f t="shared" si="9"/>
        <v>2.9000611411749734E-4</v>
      </c>
      <c r="R43" s="9">
        <f t="shared" si="12"/>
        <v>3.9999999999999996E-5</v>
      </c>
      <c r="S43" s="9">
        <f t="shared" si="13"/>
        <v>2.4677199519076105E-7</v>
      </c>
      <c r="T43" s="9">
        <f t="shared" si="10"/>
        <v>3.5818250582201014E-5</v>
      </c>
      <c r="U43" s="9">
        <f t="shared" si="11"/>
        <v>3.9753228004809237E-5</v>
      </c>
      <c r="V43" s="100">
        <f t="shared" si="14"/>
        <v>0.90101489564238202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2.829962486439805</v>
      </c>
      <c r="J44" s="92">
        <f t="shared" si="2"/>
        <v>4.9855182177090152</v>
      </c>
      <c r="K44" s="93">
        <f t="shared" si="3"/>
        <v>1.3816114153470537E-3</v>
      </c>
      <c r="L44" s="93">
        <f t="shared" si="4"/>
        <v>6.5512660007577855E-2</v>
      </c>
      <c r="M44" s="93">
        <f t="shared" si="5"/>
        <v>0.93448733999242217</v>
      </c>
      <c r="N44" s="93">
        <f t="shared" si="6"/>
        <v>4.7837256665277474E-2</v>
      </c>
      <c r="O44" s="40">
        <f t="shared" si="7"/>
        <v>1.3830048014277131E-9</v>
      </c>
      <c r="P44" s="40">
        <f t="shared" si="8"/>
        <v>1.3376481879792164E-4</v>
      </c>
      <c r="Q44" s="40">
        <f t="shared" si="9"/>
        <v>1.6279148612599815E-2</v>
      </c>
      <c r="R44" s="9">
        <f t="shared" si="12"/>
        <v>3.9999999999999996E-5</v>
      </c>
      <c r="S44" s="9">
        <f t="shared" si="13"/>
        <v>2.6205064003031138E-6</v>
      </c>
      <c r="T44" s="9">
        <f t="shared" si="10"/>
        <v>5.5264456613882143E-8</v>
      </c>
      <c r="U44" s="9">
        <f t="shared" si="11"/>
        <v>3.7379493599696885E-5</v>
      </c>
      <c r="V44" s="100">
        <f t="shared" si="14"/>
        <v>1.4784699120249797E-3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3.957220636313619E-3</v>
      </c>
      <c r="J45" s="92">
        <f t="shared" si="2"/>
        <v>0.3196954881504116</v>
      </c>
      <c r="K45" s="93">
        <f t="shared" si="3"/>
        <v>0.98941322254383646</v>
      </c>
      <c r="L45" s="93">
        <f t="shared" si="4"/>
        <v>1.0127314592180904E-3</v>
      </c>
      <c r="M45" s="93">
        <f t="shared" si="5"/>
        <v>0.9989872685407819</v>
      </c>
      <c r="N45" s="93">
        <f t="shared" si="6"/>
        <v>7.1868083419204823E-5</v>
      </c>
      <c r="O45" s="40">
        <f t="shared" si="7"/>
        <v>9.9041106795608409E-7</v>
      </c>
      <c r="P45" s="40">
        <f t="shared" si="8"/>
        <v>2.0678116278226679E-6</v>
      </c>
      <c r="Q45" s="40">
        <f t="shared" si="9"/>
        <v>2.4456904346966065E-5</v>
      </c>
      <c r="R45" s="9">
        <f t="shared" si="12"/>
        <v>3.9999999999999996E-5</v>
      </c>
      <c r="S45" s="9">
        <f t="shared" si="13"/>
        <v>4.0509258368723611E-8</v>
      </c>
      <c r="T45" s="9">
        <f t="shared" si="10"/>
        <v>3.9576528901753457E-5</v>
      </c>
      <c r="U45" s="9">
        <f t="shared" si="11"/>
        <v>3.9959490741631273E-5</v>
      </c>
      <c r="V45" s="100">
        <f t="shared" si="14"/>
        <v>0.99041624823614594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4.1980440605165602E-3</v>
      </c>
      <c r="J46" s="92">
        <f t="shared" si="2"/>
        <v>0.33245580247164885</v>
      </c>
      <c r="K46" s="93">
        <f t="shared" si="3"/>
        <v>0.98883544035999982</v>
      </c>
      <c r="L46" s="93">
        <f t="shared" si="4"/>
        <v>1.0423196582607995E-3</v>
      </c>
      <c r="M46" s="93">
        <f t="shared" si="5"/>
        <v>0.99895768034173915</v>
      </c>
      <c r="N46" s="93">
        <f t="shared" si="6"/>
        <v>6.8497287952948857E-5</v>
      </c>
      <c r="O46" s="40">
        <f t="shared" si="7"/>
        <v>9.8983270306596436E-7</v>
      </c>
      <c r="P46" s="40">
        <f t="shared" si="8"/>
        <v>2.1282252957007086E-6</v>
      </c>
      <c r="Q46" s="40">
        <f t="shared" si="9"/>
        <v>2.3309813477566592E-5</v>
      </c>
      <c r="R46" s="9">
        <f t="shared" si="12"/>
        <v>3.9999999999999996E-5</v>
      </c>
      <c r="S46" s="9">
        <f t="shared" si="13"/>
        <v>4.1692786330431973E-8</v>
      </c>
      <c r="T46" s="9">
        <f t="shared" si="10"/>
        <v>3.955341761439999E-5</v>
      </c>
      <c r="U46" s="9">
        <f t="shared" si="11"/>
        <v>3.9958307213669562E-5</v>
      </c>
      <c r="V46" s="100">
        <f t="shared" si="14"/>
        <v>0.98986719839995974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8.655050783580702E-2</v>
      </c>
      <c r="J47" s="92">
        <f t="shared" si="2"/>
        <v>1.4556612037075247</v>
      </c>
      <c r="K47" s="93">
        <f t="shared" si="3"/>
        <v>0.80960722013042219</v>
      </c>
      <c r="L47" s="93">
        <f t="shared" si="4"/>
        <v>1.1333307676351845E-2</v>
      </c>
      <c r="M47" s="93">
        <f t="shared" si="5"/>
        <v>0.98866669232364812</v>
      </c>
      <c r="N47" s="93">
        <f t="shared" si="6"/>
        <v>3.3071257146078514E-3</v>
      </c>
      <c r="O47" s="40">
        <f t="shared" si="7"/>
        <v>8.104237271589543E-7</v>
      </c>
      <c r="P47" s="40">
        <f t="shared" si="8"/>
        <v>2.314053264716991E-5</v>
      </c>
      <c r="Q47" s="40">
        <f t="shared" si="9"/>
        <v>1.125423879662588E-3</v>
      </c>
      <c r="R47" s="9">
        <f t="shared" si="12"/>
        <v>3.9999999999999996E-5</v>
      </c>
      <c r="S47" s="9">
        <f t="shared" si="13"/>
        <v>4.5333230705407379E-7</v>
      </c>
      <c r="T47" s="9">
        <f t="shared" si="10"/>
        <v>3.2384288805216884E-5</v>
      </c>
      <c r="U47" s="9">
        <f t="shared" si="11"/>
        <v>3.9546667692945919E-5</v>
      </c>
      <c r="V47" s="100">
        <f t="shared" si="14"/>
        <v>0.81888792898202611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2.378096447640075E-2</v>
      </c>
      <c r="K48" s="93">
        <f t="shared" ref="K48:K50" si="17">IF(D48=0,"",1/(1+10^D48*$J$15/$J$14+10^E48*$J$16/$J$14+10^J48*$J$19/$J$14))</f>
        <v>0.99848217579055165</v>
      </c>
      <c r="L48" s="93">
        <f t="shared" ref="L48:L50" si="18">IF(D48=0,"",1/(1+10^I48/10^J48*$J$13/$J$19))</f>
        <v>5.1706171685332288E-4</v>
      </c>
      <c r="M48" s="93">
        <f t="shared" ref="M48:M92" si="19">IF(D48=0,"",1-L48)</f>
        <v>0.99948293828314672</v>
      </c>
      <c r="N48" s="93">
        <f t="shared" ref="N48:N50" si="20">IF(D48=0,"",1/(1/10^E48*$J$20/$J$22+10^D48/10^E48*$J$21/$J$22+10^I48/10^E48*$J$13/$J$22+1))</f>
        <v>4.4597721360565934E-6</v>
      </c>
      <c r="O48" s="40">
        <f t="shared" ref="O48:O92" si="21">IF(D48=0,"",F48*K48*$J$7/$J$14)</f>
        <v>9.9948916744542552E-7</v>
      </c>
      <c r="P48" s="40">
        <f t="shared" ref="P48:P50" si="22">IF(D48=0,"",O48*10^J48)</f>
        <v>1.055745055295063E-6</v>
      </c>
      <c r="Q48" s="40">
        <f t="shared" ref="Q48:Q50" si="23">IF(D48=0,"",F48*N48*$J$7/$J$22)</f>
        <v>1.5176725933344422E-6</v>
      </c>
      <c r="R48" s="9">
        <f t="shared" si="12"/>
        <v>3.9999999999999996E-5</v>
      </c>
      <c r="S48" s="9">
        <f t="shared" si="13"/>
        <v>2.0682468674132912E-8</v>
      </c>
      <c r="T48" s="9">
        <f t="shared" si="10"/>
        <v>3.9939287031622061E-5</v>
      </c>
      <c r="U48" s="9">
        <f t="shared" si="11"/>
        <v>3.9979317531325863E-5</v>
      </c>
      <c r="V48" s="100">
        <f t="shared" si="14"/>
        <v>0.99899871978373722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9.6186457475178466E-3</v>
      </c>
      <c r="J49" s="92">
        <f t="shared" si="16"/>
        <v>0.56763004094837877</v>
      </c>
      <c r="K49" s="93">
        <f t="shared" si="17"/>
        <v>0.97586085139685574</v>
      </c>
      <c r="L49" s="93">
        <f t="shared" si="18"/>
        <v>1.7678240568921161E-3</v>
      </c>
      <c r="M49" s="93">
        <f t="shared" si="19"/>
        <v>0.99823217594310787</v>
      </c>
      <c r="N49" s="93">
        <f t="shared" si="20"/>
        <v>2.2796241490785917E-4</v>
      </c>
      <c r="O49" s="40">
        <f t="shared" si="21"/>
        <v>9.7684502893903045E-7</v>
      </c>
      <c r="P49" s="40">
        <f t="shared" si="22"/>
        <v>3.6095720217959049E-6</v>
      </c>
      <c r="Q49" s="40">
        <f t="shared" si="23"/>
        <v>7.757623009903537E-5</v>
      </c>
      <c r="R49" s="9">
        <f t="shared" si="12"/>
        <v>3.9999999999999996E-5</v>
      </c>
      <c r="S49" s="9">
        <f t="shared" si="13"/>
        <v>7.0712962275684634E-8</v>
      </c>
      <c r="T49" s="9">
        <f t="shared" si="10"/>
        <v>3.9034434055874223E-5</v>
      </c>
      <c r="U49" s="9">
        <f t="shared" si="11"/>
        <v>3.9929287037724308E-5</v>
      </c>
      <c r="V49" s="100">
        <f t="shared" si="14"/>
        <v>0.97758905684930841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8.6760595853303396E-2</v>
      </c>
      <c r="J50" s="92">
        <f t="shared" si="16"/>
        <v>1.4448315719926916</v>
      </c>
      <c r="K50" s="93">
        <f t="shared" si="17"/>
        <v>0.80944592650470482</v>
      </c>
      <c r="L50" s="93">
        <f t="shared" si="18"/>
        <v>1.1051990850012528E-2</v>
      </c>
      <c r="M50" s="93">
        <f t="shared" si="19"/>
        <v>0.98894800914998748</v>
      </c>
      <c r="N50" s="93">
        <f t="shared" si="20"/>
        <v>2.1912412509488112E-3</v>
      </c>
      <c r="O50" s="40">
        <f t="shared" si="21"/>
        <v>8.1026227086500003E-7</v>
      </c>
      <c r="P50" s="40">
        <f t="shared" si="22"/>
        <v>2.2566135358222518E-5</v>
      </c>
      <c r="Q50" s="40">
        <f t="shared" si="23"/>
        <v>7.4568536025910743E-4</v>
      </c>
      <c r="R50" s="9">
        <f t="shared" si="12"/>
        <v>3.9999999999999996E-5</v>
      </c>
      <c r="S50" s="9">
        <f t="shared" si="13"/>
        <v>4.4207963400050112E-7</v>
      </c>
      <c r="T50" s="9">
        <f t="shared" si="10"/>
        <v>3.2377837060188191E-5</v>
      </c>
      <c r="U50" s="9">
        <f t="shared" si="11"/>
        <v>3.9557920365999498E-5</v>
      </c>
      <c r="V50" s="100">
        <f t="shared" si="14"/>
        <v>0.81849189139925882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4.1025213383811421</v>
      </c>
      <c r="K51" s="93">
        <f t="shared" ref="K51:K70" si="26">IF(D51=0,"",1/(1+10^D51*$J$15/$J$14+10^E51*$J$16/$J$14+10^J51*$J$19/$J$14))</f>
        <v>9.7867765015462564E-3</v>
      </c>
      <c r="L51" s="93">
        <f t="shared" ref="L51:L70" si="27">IF(D51=0,"",1/(1+10^I51/10^J51*$J$13/$J$19))</f>
        <v>6.0755012112108264E-2</v>
      </c>
      <c r="M51" s="93">
        <f t="shared" ref="M51:M70" si="28">IF(D51=0,"",1-L51)</f>
        <v>0.93924498788789168</v>
      </c>
      <c r="N51" s="93">
        <f t="shared" ref="N51:N70" si="29">IF(D51=0,"",1/(1/10^E51*$J$20/$J$22+10^D51/10^E51*$J$21/$J$22+10^I51/10^E51*$J$13/$J$22+1))</f>
        <v>3.1225400960141689E-2</v>
      </c>
      <c r="O51" s="40">
        <f t="shared" ref="O51:O70" si="30">IF(D51=0,"",F51*K51*$J$7/$J$14)</f>
        <v>9.7966466850148505E-9</v>
      </c>
      <c r="P51" s="40">
        <f t="shared" ref="P51:P70" si="31">IF(D51=0,"",O51*10^J51)</f>
        <v>1.2405057564906781E-4</v>
      </c>
      <c r="Q51" s="40">
        <f t="shared" ref="Q51:Q70" si="32">IF(D51=0,"",F51*N51*$J$7/$J$22)</f>
        <v>1.0626088913813657E-2</v>
      </c>
      <c r="R51" s="9">
        <f t="shared" si="12"/>
        <v>3.9999999999999996E-5</v>
      </c>
      <c r="S51" s="9">
        <f t="shared" si="13"/>
        <v>2.4302004844843302E-6</v>
      </c>
      <c r="T51" s="9">
        <f t="shared" si="10"/>
        <v>3.9147106006185022E-7</v>
      </c>
      <c r="U51" s="9">
        <f t="shared" si="11"/>
        <v>3.7569799515515661E-5</v>
      </c>
      <c r="V51" s="100">
        <f t="shared" si="14"/>
        <v>1.0419833619292527E-2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0.12726341031571042</v>
      </c>
      <c r="J52" s="92">
        <f t="shared" si="25"/>
        <v>1.6388871729377374</v>
      </c>
      <c r="K52" s="93">
        <f t="shared" si="26"/>
        <v>0.73392889668246208</v>
      </c>
      <c r="L52" s="93">
        <f t="shared" si="27"/>
        <v>1.5666149373306983E-2</v>
      </c>
      <c r="M52" s="93">
        <f t="shared" si="28"/>
        <v>0.98433385062669299</v>
      </c>
      <c r="N52" s="93">
        <f t="shared" si="29"/>
        <v>4.6265615110738963E-3</v>
      </c>
      <c r="O52" s="40">
        <f t="shared" si="30"/>
        <v>7.3466908042549673E-7</v>
      </c>
      <c r="P52" s="40">
        <f t="shared" si="31"/>
        <v>3.1987399564285511E-5</v>
      </c>
      <c r="Q52" s="40">
        <f t="shared" si="32"/>
        <v>1.5744314715014699E-3</v>
      </c>
      <c r="R52" s="9">
        <f t="shared" si="12"/>
        <v>3.9999999999999996E-5</v>
      </c>
      <c r="S52" s="9">
        <f t="shared" si="13"/>
        <v>6.2664597493227927E-7</v>
      </c>
      <c r="T52" s="9">
        <f t="shared" si="10"/>
        <v>2.9357155867298479E-5</v>
      </c>
      <c r="U52" s="9">
        <f t="shared" si="11"/>
        <v>3.9373354025067715E-5</v>
      </c>
      <c r="V52" s="100">
        <f t="shared" si="14"/>
        <v>0.74560973008821518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0.47104615060046062</v>
      </c>
      <c r="J53" s="92">
        <f t="shared" si="25"/>
        <v>2.4029208557650041</v>
      </c>
      <c r="K53" s="93">
        <f t="shared" si="26"/>
        <v>0.32427132634874994</v>
      </c>
      <c r="L53" s="93">
        <f t="shared" si="27"/>
        <v>4.0202263573008309E-2</v>
      </c>
      <c r="M53" s="93">
        <f t="shared" si="28"/>
        <v>0.95979773642699173</v>
      </c>
      <c r="N53" s="93">
        <f t="shared" si="29"/>
        <v>1.593414999962952E-2</v>
      </c>
      <c r="O53" s="40">
        <f t="shared" si="30"/>
        <v>3.2459836124978813E-7</v>
      </c>
      <c r="P53" s="40">
        <f t="shared" si="31"/>
        <v>8.2085638126855255E-5</v>
      </c>
      <c r="Q53" s="40">
        <f t="shared" si="32"/>
        <v>5.4224346031052154E-3</v>
      </c>
      <c r="R53" s="9">
        <f t="shared" si="12"/>
        <v>3.9999999999999996E-5</v>
      </c>
      <c r="S53" s="9">
        <f t="shared" si="13"/>
        <v>1.6080905429203323E-6</v>
      </c>
      <c r="T53" s="9">
        <f t="shared" si="10"/>
        <v>1.2970853053949996E-5</v>
      </c>
      <c r="U53" s="9">
        <f t="shared" si="11"/>
        <v>3.8391909457079665E-5</v>
      </c>
      <c r="V53" s="100">
        <f t="shared" si="14"/>
        <v>0.33785381444626489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0.17835694544431219</v>
      </c>
      <c r="J54" s="92">
        <f t="shared" si="25"/>
        <v>1.8114577144785693</v>
      </c>
      <c r="K54" s="93">
        <f t="shared" si="26"/>
        <v>0.64918742602455948</v>
      </c>
      <c r="L54" s="93">
        <f t="shared" si="27"/>
        <v>2.061811306239511E-2</v>
      </c>
      <c r="M54" s="93">
        <f t="shared" si="28"/>
        <v>0.97938188693760486</v>
      </c>
      <c r="N54" s="93">
        <f t="shared" si="29"/>
        <v>6.4899066904711145E-3</v>
      </c>
      <c r="O54" s="40">
        <f t="shared" si="30"/>
        <v>6.4984214609498861E-7</v>
      </c>
      <c r="P54" s="40">
        <f t="shared" si="31"/>
        <v>4.2098399873052424E-5</v>
      </c>
      <c r="Q54" s="40">
        <f t="shared" si="32"/>
        <v>2.2085329063773621E-3</v>
      </c>
      <c r="R54" s="9">
        <f t="shared" si="12"/>
        <v>3.9999999999999996E-5</v>
      </c>
      <c r="S54" s="9">
        <f t="shared" si="13"/>
        <v>8.2472452249580431E-7</v>
      </c>
      <c r="T54" s="9">
        <f t="shared" si="10"/>
        <v>2.5967497040982378E-5</v>
      </c>
      <c r="U54" s="9">
        <f t="shared" si="11"/>
        <v>3.9175275477504188E-5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5.9812805986470914E-3</v>
      </c>
      <c r="J55" s="54">
        <f t="shared" si="25"/>
        <v>0.42472041295711477</v>
      </c>
      <c r="K55" s="55">
        <f t="shared" si="26"/>
        <v>0.98454584848671922</v>
      </c>
      <c r="L55" s="55">
        <f t="shared" si="27"/>
        <v>1.2834455870510716E-3</v>
      </c>
      <c r="M55" s="55">
        <f t="shared" si="28"/>
        <v>0.99871655441294893</v>
      </c>
      <c r="N55" s="55">
        <f t="shared" si="29"/>
        <v>1.2608322199754329E-4</v>
      </c>
      <c r="O55" s="56">
        <f t="shared" si="30"/>
        <v>9.8553878504312997E-7</v>
      </c>
      <c r="P55" s="56">
        <f t="shared" si="31"/>
        <v>2.620560153854545E-6</v>
      </c>
      <c r="Q55" s="56">
        <f t="shared" si="32"/>
        <v>4.2906463529361242E-5</v>
      </c>
      <c r="R55" s="9">
        <f t="shared" si="12"/>
        <v>3.9999999999999996E-5</v>
      </c>
      <c r="S55" s="9">
        <f t="shared" si="13"/>
        <v>5.1337823482042863E-8</v>
      </c>
      <c r="T55" s="9">
        <f t="shared" si="10"/>
        <v>3.9381833939468765E-5</v>
      </c>
      <c r="U55" s="9">
        <f t="shared" si="11"/>
        <v>3.9948662176517955E-5</v>
      </c>
      <c r="V55" s="100">
        <f t="shared" si="14"/>
        <v>0.98581108337133816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0.11910186422699467</v>
      </c>
      <c r="J56" s="54">
        <f t="shared" si="25"/>
        <v>1.6088620889783689</v>
      </c>
      <c r="K56" s="55">
        <f t="shared" si="26"/>
        <v>0.74842743787463617</v>
      </c>
      <c r="L56" s="55">
        <f t="shared" si="27"/>
        <v>1.4908463709664274E-2</v>
      </c>
      <c r="M56" s="55">
        <f t="shared" si="28"/>
        <v>0.98509153629033575</v>
      </c>
      <c r="N56" s="55">
        <f t="shared" si="29"/>
        <v>4.652560764307534E-3</v>
      </c>
      <c r="O56" s="56">
        <f t="shared" si="30"/>
        <v>7.4918224372144234E-7</v>
      </c>
      <c r="P56" s="56">
        <f t="shared" si="31"/>
        <v>3.0440344605881652E-5</v>
      </c>
      <c r="Q56" s="56">
        <f t="shared" si="32"/>
        <v>1.5832790881231441E-3</v>
      </c>
      <c r="R56" s="9">
        <f t="shared" si="12"/>
        <v>3.9999999999999996E-5</v>
      </c>
      <c r="S56" s="9">
        <f t="shared" si="13"/>
        <v>5.9633854838657089E-7</v>
      </c>
      <c r="T56" s="9">
        <f t="shared" si="10"/>
        <v>2.9937097514985444E-5</v>
      </c>
      <c r="U56" s="9">
        <f t="shared" si="11"/>
        <v>3.9403661451613427E-5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3.4503381608646556E-2</v>
      </c>
      <c r="J57" s="54">
        <f t="shared" si="25"/>
        <v>1.0470728875357567</v>
      </c>
      <c r="K57" s="55">
        <f t="shared" si="26"/>
        <v>0.91851566607760471</v>
      </c>
      <c r="L57" s="55">
        <f t="shared" si="27"/>
        <v>5.0185766122981075E-3</v>
      </c>
      <c r="M57" s="55">
        <f t="shared" si="28"/>
        <v>0.9949814233877019</v>
      </c>
      <c r="N57" s="55">
        <f t="shared" si="29"/>
        <v>1.1028054944760741E-3</v>
      </c>
      <c r="O57" s="56">
        <f t="shared" si="30"/>
        <v>9.1944200971501499E-7</v>
      </c>
      <c r="P57" s="56">
        <f t="shared" si="31"/>
        <v>1.0247011662934968E-5</v>
      </c>
      <c r="Q57" s="56">
        <f t="shared" si="32"/>
        <v>3.752877106014854E-4</v>
      </c>
      <c r="R57" s="9">
        <f t="shared" si="12"/>
        <v>3.9999999999999996E-5</v>
      </c>
      <c r="S57" s="9">
        <f t="shared" si="13"/>
        <v>2.0074306449192429E-7</v>
      </c>
      <c r="T57" s="9">
        <f t="shared" si="10"/>
        <v>3.6740626643104185E-5</v>
      </c>
      <c r="U57" s="9">
        <f t="shared" si="11"/>
        <v>3.9799256935508069E-5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2.4527660835054643E-2</v>
      </c>
      <c r="J58" s="54">
        <f t="shared" si="25"/>
        <v>0.90446876984667568</v>
      </c>
      <c r="K58" s="55">
        <f t="shared" si="26"/>
        <v>0.94110101432422533</v>
      </c>
      <c r="L58" s="55">
        <f t="shared" si="27"/>
        <v>3.7027646952169256E-3</v>
      </c>
      <c r="M58" s="55">
        <f t="shared" si="28"/>
        <v>0.99629723530478309</v>
      </c>
      <c r="N58" s="55">
        <f t="shared" si="29"/>
        <v>6.2154216288423019E-4</v>
      </c>
      <c r="O58" s="56">
        <f t="shared" si="30"/>
        <v>9.4205013579158417E-7</v>
      </c>
      <c r="P58" s="56">
        <f t="shared" si="31"/>
        <v>7.5603654079950639E-6</v>
      </c>
      <c r="Q58" s="56">
        <f t="shared" si="32"/>
        <v>2.1151248930069498E-4</v>
      </c>
      <c r="R58" s="9">
        <f t="shared" si="12"/>
        <v>3.9999999999999996E-5</v>
      </c>
      <c r="S58" s="9">
        <f t="shared" si="13"/>
        <v>1.48110587808677E-7</v>
      </c>
      <c r="T58" s="9">
        <f t="shared" si="10"/>
        <v>3.764404057296901E-5</v>
      </c>
      <c r="U58" s="9">
        <f t="shared" si="11"/>
        <v>3.9851889412191318E-5</v>
      </c>
      <c r="V58" s="100">
        <f t="shared" si="14"/>
        <v>0.94459864082261313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6.9959414880738915E-3</v>
      </c>
      <c r="J59" s="54">
        <f t="shared" si="25"/>
        <v>0.47366304909312146</v>
      </c>
      <c r="K59" s="55">
        <f t="shared" si="26"/>
        <v>0.98210122705272063</v>
      </c>
      <c r="L59" s="55">
        <f t="shared" si="27"/>
        <v>1.4329809126056388E-3</v>
      </c>
      <c r="M59" s="55">
        <f t="shared" si="28"/>
        <v>0.99856701908739431</v>
      </c>
      <c r="N59" s="55">
        <f t="shared" si="29"/>
        <v>2.0556094563936987E-4</v>
      </c>
      <c r="O59" s="56">
        <f t="shared" si="30"/>
        <v>9.8309169815361971E-7</v>
      </c>
      <c r="P59" s="56">
        <f t="shared" si="31"/>
        <v>2.9258838229649295E-6</v>
      </c>
      <c r="Q59" s="56">
        <f t="shared" si="32"/>
        <v>6.9952949150589488E-5</v>
      </c>
      <c r="R59" s="9">
        <f t="shared" si="12"/>
        <v>3.9999999999999996E-5</v>
      </c>
      <c r="S59" s="9">
        <f t="shared" si="13"/>
        <v>5.7319236504225546E-8</v>
      </c>
      <c r="T59" s="9">
        <f t="shared" si="10"/>
        <v>3.9284049082108819E-5</v>
      </c>
      <c r="U59" s="9">
        <f t="shared" si="11"/>
        <v>3.9942680763495771E-5</v>
      </c>
      <c r="V59" s="100">
        <f t="shared" si="14"/>
        <v>0.98351057893968696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0.12885708410514962</v>
      </c>
      <c r="J60" s="54">
        <f t="shared" si="25"/>
        <v>1.6497229833565861</v>
      </c>
      <c r="K60" s="55">
        <f t="shared" si="26"/>
        <v>0.73099431243685131</v>
      </c>
      <c r="L60" s="55">
        <f t="shared" si="27"/>
        <v>1.5997719736116994E-2</v>
      </c>
      <c r="M60" s="55">
        <f t="shared" si="28"/>
        <v>0.98400228026388303</v>
      </c>
      <c r="N60" s="55">
        <f t="shared" si="29"/>
        <v>5.3074551595577281E-3</v>
      </c>
      <c r="O60" s="56">
        <f t="shared" si="30"/>
        <v>7.3173153658589678E-7</v>
      </c>
      <c r="P60" s="56">
        <f t="shared" si="31"/>
        <v>3.2664405344464676E-5</v>
      </c>
      <c r="Q60" s="56">
        <f t="shared" si="32"/>
        <v>1.8061414328523504E-3</v>
      </c>
      <c r="R60" s="9">
        <f t="shared" si="12"/>
        <v>3.9999999999999996E-5</v>
      </c>
      <c r="S60" s="9">
        <f t="shared" si="13"/>
        <v>6.3990878944467972E-7</v>
      </c>
      <c r="T60" s="9">
        <f t="shared" si="10"/>
        <v>2.9239772497474048E-5</v>
      </c>
      <c r="U60" s="9">
        <f t="shared" si="11"/>
        <v>3.9360091210555319E-5</v>
      </c>
      <c r="V60" s="100">
        <f t="shared" si="14"/>
        <v>0.74287867731446544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0.54169315053805034</v>
      </c>
      <c r="J61" s="54">
        <f t="shared" si="25"/>
        <v>2.5210939724118742</v>
      </c>
      <c r="K61" s="55">
        <f t="shared" si="26"/>
        <v>0.27431345178971367</v>
      </c>
      <c r="L61" s="55">
        <f t="shared" si="27"/>
        <v>4.4643905517246417E-2</v>
      </c>
      <c r="M61" s="55">
        <f t="shared" si="28"/>
        <v>0.9553560944827536</v>
      </c>
      <c r="N61" s="55">
        <f t="shared" si="29"/>
        <v>2.2893882042471673E-2</v>
      </c>
      <c r="O61" s="56">
        <f t="shared" si="30"/>
        <v>2.7459010305447277E-7</v>
      </c>
      <c r="P61" s="56">
        <f t="shared" si="31"/>
        <v>9.1154655165203829E-5</v>
      </c>
      <c r="Q61" s="56">
        <f t="shared" si="32"/>
        <v>7.7908503553307763E-3</v>
      </c>
      <c r="R61" s="9">
        <f t="shared" si="12"/>
        <v>3.9999999999999996E-5</v>
      </c>
      <c r="S61" s="9">
        <f t="shared" si="13"/>
        <v>1.7857562206898566E-6</v>
      </c>
      <c r="T61" s="9">
        <f t="shared" si="10"/>
        <v>1.0972538071588546E-5</v>
      </c>
      <c r="U61" s="9">
        <f t="shared" si="11"/>
        <v>3.8214243779310144E-5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1.2755126419323455</v>
      </c>
      <c r="J62" s="54">
        <f t="shared" si="25"/>
        <v>3.4003948586434816</v>
      </c>
      <c r="K62" s="55">
        <f t="shared" si="26"/>
        <v>4.9748533758417937E-2</v>
      </c>
      <c r="L62" s="55">
        <f t="shared" si="27"/>
        <v>6.131916704268113E-2</v>
      </c>
      <c r="M62" s="55">
        <f t="shared" si="28"/>
        <v>0.93868083295731886</v>
      </c>
      <c r="N62" s="55">
        <f t="shared" si="29"/>
        <v>4.1509989264540394E-2</v>
      </c>
      <c r="O62" s="56">
        <f t="shared" si="30"/>
        <v>4.9798706269807311E-8</v>
      </c>
      <c r="P62" s="56">
        <f t="shared" si="31"/>
        <v>1.2520247639700421E-4</v>
      </c>
      <c r="Q62" s="56">
        <f t="shared" si="32"/>
        <v>1.4125962299074833E-2</v>
      </c>
      <c r="R62" s="9">
        <f t="shared" si="12"/>
        <v>3.9999999999999996E-5</v>
      </c>
      <c r="S62" s="9">
        <f t="shared" si="13"/>
        <v>2.4527666817072452E-6</v>
      </c>
      <c r="T62" s="9">
        <f t="shared" si="10"/>
        <v>1.9899413503367173E-6</v>
      </c>
      <c r="U62" s="9">
        <f t="shared" si="11"/>
        <v>3.7547233318292751E-5</v>
      </c>
      <c r="V62" s="100">
        <f t="shared" si="14"/>
        <v>5.2998348332824609E-2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2.3278344887119857</v>
      </c>
      <c r="J63" s="54">
        <f t="shared" si="25"/>
        <v>4.4963201408126094</v>
      </c>
      <c r="K63" s="55">
        <f t="shared" si="26"/>
        <v>4.3818242182270305E-3</v>
      </c>
      <c r="L63" s="55">
        <f t="shared" si="27"/>
        <v>6.7359087469456111E-2</v>
      </c>
      <c r="M63" s="55">
        <f t="shared" si="28"/>
        <v>0.93264091253054393</v>
      </c>
      <c r="N63" s="55">
        <f t="shared" si="29"/>
        <v>5.5555528979438683E-2</v>
      </c>
      <c r="O63" s="56">
        <f t="shared" si="30"/>
        <v>4.3862433861679952E-9</v>
      </c>
      <c r="P63" s="56">
        <f t="shared" si="31"/>
        <v>1.3753488453533907E-4</v>
      </c>
      <c r="Q63" s="56">
        <f t="shared" si="32"/>
        <v>1.8905697683210404E-2</v>
      </c>
      <c r="R63" s="9">
        <f t="shared" si="12"/>
        <v>3.9999999999999996E-5</v>
      </c>
      <c r="S63" s="9">
        <f t="shared" si="13"/>
        <v>2.6943634987782441E-6</v>
      </c>
      <c r="T63" s="9">
        <f t="shared" si="10"/>
        <v>1.752729687290812E-7</v>
      </c>
      <c r="U63" s="9">
        <f t="shared" si="11"/>
        <v>3.7305636501221754E-5</v>
      </c>
      <c r="V63" s="100">
        <f t="shared" si="14"/>
        <v>4.6982972324662265E-3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1.6404345211947193</v>
      </c>
      <c r="J64" s="54">
        <f t="shared" si="25"/>
        <v>3.7876774570223009</v>
      </c>
      <c r="K64" s="55">
        <f t="shared" si="26"/>
        <v>2.1401963931200262E-2</v>
      </c>
      <c r="L64" s="55">
        <f t="shared" si="27"/>
        <v>6.4350538818880407E-2</v>
      </c>
      <c r="M64" s="55">
        <f t="shared" si="28"/>
        <v>0.93564946118111958</v>
      </c>
      <c r="N64" s="55">
        <f t="shared" si="29"/>
        <v>4.7427033788555423E-2</v>
      </c>
      <c r="O64" s="56">
        <f t="shared" si="30"/>
        <v>2.1423548291541566E-8</v>
      </c>
      <c r="P64" s="56">
        <f t="shared" si="31"/>
        <v>1.3139198078143205E-4</v>
      </c>
      <c r="Q64" s="56">
        <f t="shared" si="32"/>
        <v>1.6139548651398574E-2</v>
      </c>
      <c r="R64" s="9">
        <f t="shared" si="12"/>
        <v>3.9999999999999996E-5</v>
      </c>
      <c r="S64" s="9">
        <f t="shared" si="13"/>
        <v>2.5740215527552159E-6</v>
      </c>
      <c r="T64" s="9">
        <f t="shared" si="10"/>
        <v>8.5607855724801038E-7</v>
      </c>
      <c r="U64" s="9">
        <f t="shared" si="11"/>
        <v>3.7425978447244777E-5</v>
      </c>
      <c r="V64" s="100">
        <f t="shared" si="14"/>
        <v>2.2873912527223001E-2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1.3777282566754774</v>
      </c>
      <c r="J65" s="54">
        <f t="shared" si="25"/>
        <v>3.5102608014956544</v>
      </c>
      <c r="K65" s="55">
        <f t="shared" si="26"/>
        <v>3.9272781405490606E-2</v>
      </c>
      <c r="L65" s="55">
        <f t="shared" si="27"/>
        <v>6.2340971319633537E-2</v>
      </c>
      <c r="M65" s="55">
        <f t="shared" si="28"/>
        <v>0.93765902868036644</v>
      </c>
      <c r="N65" s="55">
        <f t="shared" si="29"/>
        <v>4.331756104120682E-2</v>
      </c>
      <c r="O65" s="56">
        <f t="shared" si="30"/>
        <v>3.9312388885822146E-8</v>
      </c>
      <c r="P65" s="56">
        <f t="shared" si="31"/>
        <v>1.2728881305220445E-4</v>
      </c>
      <c r="Q65" s="56">
        <f t="shared" si="32"/>
        <v>1.4741083893237075E-2</v>
      </c>
      <c r="R65" s="9">
        <f t="shared" si="12"/>
        <v>3.9999999999999996E-5</v>
      </c>
      <c r="S65" s="9">
        <f t="shared" si="13"/>
        <v>2.493638852785341E-6</v>
      </c>
      <c r="T65" s="9">
        <f t="shared" si="10"/>
        <v>1.570911256219624E-6</v>
      </c>
      <c r="U65" s="9">
        <f t="shared" si="11"/>
        <v>3.7506361147214655E-5</v>
      </c>
      <c r="V65" s="100">
        <f t="shared" si="14"/>
        <v>4.1883862048192458E-2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1.6404345211947193</v>
      </c>
      <c r="J66" s="54">
        <f t="shared" si="25"/>
        <v>3.7876774570223009</v>
      </c>
      <c r="K66" s="55">
        <f t="shared" si="26"/>
        <v>2.1401963931200262E-2</v>
      </c>
      <c r="L66" s="55">
        <f t="shared" si="27"/>
        <v>6.4350538818880407E-2</v>
      </c>
      <c r="M66" s="55">
        <f t="shared" si="28"/>
        <v>0.93564946118111958</v>
      </c>
      <c r="N66" s="55">
        <f t="shared" si="29"/>
        <v>4.7427033788555423E-2</v>
      </c>
      <c r="O66" s="56">
        <f t="shared" si="30"/>
        <v>2.1423548291541566E-8</v>
      </c>
      <c r="P66" s="56">
        <f t="shared" si="31"/>
        <v>1.3139198078143205E-4</v>
      </c>
      <c r="Q66" s="56">
        <f t="shared" si="32"/>
        <v>1.6139548651398574E-2</v>
      </c>
      <c r="R66" s="9">
        <f t="shared" si="12"/>
        <v>3.9999999999999996E-5</v>
      </c>
      <c r="S66" s="9">
        <f t="shared" si="13"/>
        <v>2.5740215527552159E-6</v>
      </c>
      <c r="T66" s="9">
        <f t="shared" si="10"/>
        <v>8.5607855724801038E-7</v>
      </c>
      <c r="U66" s="9">
        <f t="shared" si="11"/>
        <v>3.7425978447244777E-5</v>
      </c>
      <c r="V66" s="100">
        <f t="shared" si="14"/>
        <v>2.2873912527223001E-2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-1.8635683569884906E-4</v>
      </c>
      <c r="J67" s="54">
        <f t="shared" si="25"/>
        <v>-2.2621368168278012E-2</v>
      </c>
      <c r="K67" s="55">
        <f t="shared" si="26"/>
        <v>0.99944590004877221</v>
      </c>
      <c r="L67" s="55">
        <f t="shared" si="27"/>
        <v>4.6511358597138314E-4</v>
      </c>
      <c r="M67" s="55">
        <f t="shared" si="28"/>
        <v>0.99953488641402866</v>
      </c>
      <c r="N67" s="55">
        <f t="shared" si="29"/>
        <v>8.7460480620265774E-8</v>
      </c>
      <c r="O67" s="56">
        <f t="shared" si="30"/>
        <v>1.000453863641162E-6</v>
      </c>
      <c r="P67" s="56">
        <f t="shared" si="31"/>
        <v>9.4967651352756973E-7</v>
      </c>
      <c r="Q67" s="56">
        <f t="shared" si="32"/>
        <v>2.9763039542778804E-8</v>
      </c>
      <c r="R67" s="9">
        <f t="shared" si="12"/>
        <v>3.9999999999999996E-5</v>
      </c>
      <c r="S67" s="9">
        <f t="shared" si="13"/>
        <v>1.8604543438855324E-8</v>
      </c>
      <c r="T67" s="9">
        <f t="shared" si="10"/>
        <v>3.9977836001950887E-5</v>
      </c>
      <c r="U67" s="9">
        <f t="shared" si="11"/>
        <v>3.9981395456561143E-5</v>
      </c>
      <c r="V67" s="100">
        <f t="shared" si="14"/>
        <v>0.99991097222671665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1.7268855172909561</v>
      </c>
      <c r="J68" s="54">
        <f t="shared" si="25"/>
        <v>3.8526658305484736</v>
      </c>
      <c r="K68" s="55">
        <f t="shared" si="26"/>
        <v>1.7593501643479906E-2</v>
      </c>
      <c r="L68" s="55">
        <f t="shared" si="27"/>
        <v>6.1438304112248189E-2</v>
      </c>
      <c r="M68" s="55">
        <f t="shared" si="28"/>
        <v>0.93856169588775185</v>
      </c>
      <c r="N68" s="55">
        <f t="shared" si="29"/>
        <v>3.5441054818675946E-2</v>
      </c>
      <c r="O68" s="56">
        <f t="shared" si="30"/>
        <v>1.7611245084238843E-8</v>
      </c>
      <c r="P68" s="56">
        <f t="shared" si="31"/>
        <v>1.2544573241074123E-4</v>
      </c>
      <c r="Q68" s="56">
        <f t="shared" si="32"/>
        <v>1.2060687393039825E-2</v>
      </c>
      <c r="R68" s="9">
        <f t="shared" si="12"/>
        <v>3.9999999999999996E-5</v>
      </c>
      <c r="S68" s="9">
        <f t="shared" si="13"/>
        <v>2.4575321644899272E-6</v>
      </c>
      <c r="T68" s="9">
        <f t="shared" si="10"/>
        <v>7.0374006573919612E-7</v>
      </c>
      <c r="U68" s="9">
        <f t="shared" si="11"/>
        <v>3.7542467835510072E-5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5.7919228101834593E-2</v>
      </c>
      <c r="J69" s="54">
        <f t="shared" si="25"/>
        <v>1.2705694830285335</v>
      </c>
      <c r="K69" s="55">
        <f t="shared" si="26"/>
        <v>0.86775505078332393</v>
      </c>
      <c r="L69" s="55">
        <f t="shared" si="27"/>
        <v>7.9320918784906193E-3</v>
      </c>
      <c r="M69" s="55">
        <f t="shared" si="28"/>
        <v>0.99206790812150936</v>
      </c>
      <c r="N69" s="55">
        <f t="shared" si="29"/>
        <v>2.0159023259629467E-3</v>
      </c>
      <c r="O69" s="56">
        <f t="shared" si="30"/>
        <v>8.6863020120243029E-7</v>
      </c>
      <c r="P69" s="56">
        <f t="shared" si="31"/>
        <v>1.6195874701043015E-5</v>
      </c>
      <c r="Q69" s="56">
        <f t="shared" si="32"/>
        <v>6.8601704697369655E-4</v>
      </c>
      <c r="R69" s="9">
        <f t="shared" si="12"/>
        <v>3.9999999999999996E-5</v>
      </c>
      <c r="S69" s="9">
        <f t="shared" si="13"/>
        <v>3.1728367513962474E-7</v>
      </c>
      <c r="T69" s="9">
        <f t="shared" si="10"/>
        <v>3.4710202031332952E-5</v>
      </c>
      <c r="U69" s="9">
        <f t="shared" si="11"/>
        <v>3.9682716324860374E-5</v>
      </c>
      <c r="V69" s="100">
        <f t="shared" si="14"/>
        <v>0.87469319759211539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0.45156382049297444</v>
      </c>
      <c r="J70" s="54">
        <f t="shared" si="25"/>
        <v>2.3857380000561275</v>
      </c>
      <c r="K70" s="55">
        <f t="shared" si="26"/>
        <v>0.33907689587098833</v>
      </c>
      <c r="L70" s="55">
        <f t="shared" si="27"/>
        <v>4.0407064567146392E-2</v>
      </c>
      <c r="M70" s="55">
        <f t="shared" si="28"/>
        <v>0.95959293543285362</v>
      </c>
      <c r="N70" s="55">
        <f t="shared" si="29"/>
        <v>1.972829493474694E-2</v>
      </c>
      <c r="O70" s="56">
        <f t="shared" si="30"/>
        <v>3.3941886252075078E-7</v>
      </c>
      <c r="P70" s="56">
        <f t="shared" si="31"/>
        <v>8.2503804140376092E-5</v>
      </c>
      <c r="Q70" s="56">
        <f t="shared" si="32"/>
        <v>6.7135924487295787E-3</v>
      </c>
      <c r="R70" s="9">
        <f t="shared" si="12"/>
        <v>3.9999999999999996E-5</v>
      </c>
      <c r="S70" s="9">
        <f t="shared" si="13"/>
        <v>1.6162825826858555E-6</v>
      </c>
      <c r="T70" s="9">
        <f t="shared" si="10"/>
        <v>1.3563075834839532E-5</v>
      </c>
      <c r="U70" s="9">
        <f t="shared" si="11"/>
        <v>3.8383717417314142E-5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2.9114243406645763</v>
      </c>
      <c r="J71" s="54">
        <f t="shared" ref="J71:J122" si="34">IF(D71=0,"",LOG($K$21*10^D71+$K$22*10^E71+$K$20))</f>
        <v>5.0468119943247247</v>
      </c>
      <c r="K71" s="55">
        <f t="shared" ref="K71:K122" si="35">IF(D71=0,"",1/(1+10^D71*$J$15/$J$14+10^E71*$J$16/$J$14+10^J71*$J$19/$J$14))</f>
        <v>1.1487275486353704E-3</v>
      </c>
      <c r="L71" s="55">
        <f t="shared" ref="L71:L122" si="36">IF(D71=0,"",1/(1+10^I71/10^J71*$J$13/$J$19))</f>
        <v>6.2726366836503455E-2</v>
      </c>
      <c r="M71" s="55">
        <f t="shared" si="19"/>
        <v>0.93727363316349654</v>
      </c>
      <c r="N71" s="55">
        <f t="shared" ref="N71:N122" si="37">IF(D71=0,"",1/(1/10^E71*$J$20/$J$22+10^D71/10^E71*$J$21/$J$22+10^I71/10^E71*$J$13/$J$22+1))</f>
        <v>3.7062045903957536E-2</v>
      </c>
      <c r="O71" s="56">
        <f t="shared" si="21"/>
        <v>1.14988606611645E-9</v>
      </c>
      <c r="P71" s="56">
        <f t="shared" ref="P71:P122" si="38">IF(D71=0,"",O71*10^J71)</f>
        <v>1.2807571991072124E-4</v>
      </c>
      <c r="Q71" s="56">
        <f t="shared" ref="Q71:Q122" si="39">IF(D71=0,"",F71*N71*$J$7/$J$22)</f>
        <v>1.2612315070221248E-2</v>
      </c>
      <c r="R71" s="9">
        <f t="shared" si="12"/>
        <v>3.9999999999999996E-5</v>
      </c>
      <c r="S71" s="9">
        <f t="shared" si="13"/>
        <v>2.509054673460138E-6</v>
      </c>
      <c r="T71" s="9">
        <f t="shared" si="10"/>
        <v>4.5949101945414811E-8</v>
      </c>
      <c r="U71" s="9">
        <f t="shared" si="11"/>
        <v>3.7490945326539861E-5</v>
      </c>
      <c r="V71" s="100">
        <f t="shared" si="14"/>
        <v>1.2256053173694561E-3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2.4659786116205753</v>
      </c>
      <c r="J72" s="54">
        <f t="shared" si="34"/>
        <v>4.5907868934066363</v>
      </c>
      <c r="K72" s="55">
        <f t="shared" si="35"/>
        <v>3.2086241568454769E-3</v>
      </c>
      <c r="L72" s="55">
        <f t="shared" si="36"/>
        <v>6.130936882488125E-2</v>
      </c>
      <c r="M72" s="55">
        <f t="shared" si="19"/>
        <v>0.93869063117511875</v>
      </c>
      <c r="N72" s="55">
        <f t="shared" si="37"/>
        <v>3.2024414779054877E-2</v>
      </c>
      <c r="O72" s="56">
        <f t="shared" si="21"/>
        <v>3.2118601262277165E-9</v>
      </c>
      <c r="P72" s="56">
        <f t="shared" si="38"/>
        <v>1.2518247023592956E-4</v>
      </c>
      <c r="Q72" s="56">
        <f t="shared" si="39"/>
        <v>1.0897995490577078E-2</v>
      </c>
      <c r="R72" s="9">
        <f t="shared" si="12"/>
        <v>3.9999999999999996E-5</v>
      </c>
      <c r="S72" s="9">
        <f t="shared" si="13"/>
        <v>2.4523747529952496E-6</v>
      </c>
      <c r="T72" s="9">
        <f t="shared" si="10"/>
        <v>1.2834496627381905E-7</v>
      </c>
      <c r="U72" s="9">
        <f t="shared" si="11"/>
        <v>3.7547625247004749E-5</v>
      </c>
      <c r="V72" s="100">
        <f t="shared" si="14"/>
        <v>3.4181913084918043E-3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2.4593424067669152</v>
      </c>
      <c r="J73" s="54">
        <f t="shared" si="34"/>
        <v>4.5907058404500249</v>
      </c>
      <c r="K73" s="55">
        <f t="shared" si="35"/>
        <v>3.2549948202314637E-3</v>
      </c>
      <c r="L73" s="55">
        <f t="shared" si="36"/>
        <v>6.218379816936339E-2</v>
      </c>
      <c r="M73" s="55">
        <f t="shared" si="19"/>
        <v>0.93781620183063663</v>
      </c>
      <c r="N73" s="55">
        <f t="shared" si="37"/>
        <v>3.5400602620813938E-2</v>
      </c>
      <c r="O73" s="56">
        <f t="shared" si="21"/>
        <v>3.2582775554671085E-9</v>
      </c>
      <c r="P73" s="56">
        <f t="shared" si="38"/>
        <v>1.2696789434789055E-4</v>
      </c>
      <c r="Q73" s="56">
        <f t="shared" si="39"/>
        <v>1.2046921400033377E-2</v>
      </c>
      <c r="R73" s="9">
        <f t="shared" si="12"/>
        <v>3.9999999999999996E-5</v>
      </c>
      <c r="S73" s="9">
        <f t="shared" si="13"/>
        <v>2.4873519267745354E-6</v>
      </c>
      <c r="T73" s="9">
        <f t="shared" si="10"/>
        <v>1.3019979280925853E-7</v>
      </c>
      <c r="U73" s="9">
        <f t="shared" si="11"/>
        <v>3.7512648073225465E-5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0.12015758400049081</v>
      </c>
      <c r="J74" s="54">
        <f t="shared" si="34"/>
        <v>1.6068902660030964</v>
      </c>
      <c r="K74" s="55">
        <f t="shared" si="35"/>
        <v>0.74668763965884832</v>
      </c>
      <c r="L74" s="55">
        <f t="shared" si="36"/>
        <v>1.480642909178362E-2</v>
      </c>
      <c r="M74" s="55">
        <f t="shared" si="19"/>
        <v>0.98519357090821635</v>
      </c>
      <c r="N74" s="55">
        <f t="shared" si="37"/>
        <v>3.9065133744069693E-3</v>
      </c>
      <c r="O74" s="56">
        <f t="shared" si="21"/>
        <v>7.4744069088015695E-7</v>
      </c>
      <c r="P74" s="56">
        <f t="shared" si="38"/>
        <v>3.0232008657221618E-5</v>
      </c>
      <c r="Q74" s="56">
        <f t="shared" si="39"/>
        <v>1.329397131279057E-3</v>
      </c>
      <c r="R74" s="9">
        <f t="shared" si="12"/>
        <v>3.9999999999999996E-5</v>
      </c>
      <c r="S74" s="9">
        <f t="shared" si="13"/>
        <v>5.9225716367134472E-7</v>
      </c>
      <c r="T74" s="9">
        <f t="shared" si="10"/>
        <v>2.9867505586353932E-5</v>
      </c>
      <c r="U74" s="9">
        <f t="shared" si="11"/>
        <v>3.9407742836328653E-5</v>
      </c>
      <c r="V74" s="100">
        <f t="shared" si="14"/>
        <v>0.75790957402462789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1.0613094291357716</v>
      </c>
      <c r="J75" s="54">
        <f t="shared" si="34"/>
        <v>3.1646523304489067</v>
      </c>
      <c r="K75" s="55">
        <f t="shared" si="35"/>
        <v>8.1709766334316397E-2</v>
      </c>
      <c r="L75" s="55">
        <f t="shared" si="36"/>
        <v>5.8525805793534634E-2</v>
      </c>
      <c r="M75" s="55">
        <f t="shared" si="19"/>
        <v>0.94147419420646539</v>
      </c>
      <c r="N75" s="55">
        <f t="shared" si="37"/>
        <v>3.7243141264367063E-2</v>
      </c>
      <c r="O75" s="56">
        <f t="shared" si="21"/>
        <v>8.179217246515714E-8</v>
      </c>
      <c r="P75" s="56">
        <f t="shared" si="38"/>
        <v>1.1949894579259894E-4</v>
      </c>
      <c r="Q75" s="56">
        <f t="shared" si="39"/>
        <v>1.2673942314145101E-2</v>
      </c>
      <c r="R75" s="9">
        <f t="shared" si="12"/>
        <v>3.9999999999999996E-5</v>
      </c>
      <c r="S75" s="9">
        <f t="shared" si="13"/>
        <v>2.3410322317413853E-6</v>
      </c>
      <c r="T75" s="9">
        <f t="shared" si="10"/>
        <v>3.2683906533726557E-6</v>
      </c>
      <c r="U75" s="9">
        <f t="shared" si="11"/>
        <v>3.7658967768258615E-5</v>
      </c>
      <c r="V75" s="100">
        <f t="shared" si="14"/>
        <v>8.6789172594567615E-2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1.080392983851221</v>
      </c>
      <c r="J76" s="54">
        <f t="shared" si="34"/>
        <v>3.1695845526459681</v>
      </c>
      <c r="K76" s="55">
        <f t="shared" si="35"/>
        <v>7.8344055503651172E-2</v>
      </c>
      <c r="L76" s="55">
        <f t="shared" si="36"/>
        <v>5.6755990152239338E-2</v>
      </c>
      <c r="M76" s="55">
        <f t="shared" si="19"/>
        <v>0.94324400984776069</v>
      </c>
      <c r="N76" s="55">
        <f t="shared" si="37"/>
        <v>2.9745645813703373E-2</v>
      </c>
      <c r="O76" s="56">
        <f t="shared" si="21"/>
        <v>7.8423067239678102E-8</v>
      </c>
      <c r="P76" s="56">
        <f t="shared" si="38"/>
        <v>1.1588530732125294E-4</v>
      </c>
      <c r="Q76" s="56">
        <f t="shared" si="39"/>
        <v>1.0122524210936082E-2</v>
      </c>
      <c r="R76" s="9">
        <f t="shared" si="12"/>
        <v>3.9999999999999996E-5</v>
      </c>
      <c r="S76" s="9">
        <f t="shared" si="13"/>
        <v>2.2702396060895735E-6</v>
      </c>
      <c r="T76" s="9">
        <f t="shared" si="10"/>
        <v>3.1337622201460464E-6</v>
      </c>
      <c r="U76" s="9">
        <f t="shared" si="11"/>
        <v>3.7729760393910426E-5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0.16668848098518507</v>
      </c>
      <c r="J77" s="54">
        <f t="shared" si="34"/>
        <v>1.7842930933369672</v>
      </c>
      <c r="K77" s="55">
        <f t="shared" si="35"/>
        <v>0.66734828083338438</v>
      </c>
      <c r="L77" s="55">
        <f t="shared" si="36"/>
        <v>1.990979288391773E-2</v>
      </c>
      <c r="M77" s="55">
        <f t="shared" si="19"/>
        <v>0.9800902071160823</v>
      </c>
      <c r="N77" s="55">
        <f t="shared" si="37"/>
        <v>7.4494446773580632E-3</v>
      </c>
      <c r="O77" s="56">
        <f t="shared" si="21"/>
        <v>6.6802131653295666E-7</v>
      </c>
      <c r="P77" s="56">
        <f t="shared" si="38"/>
        <v>4.0652140168226211E-5</v>
      </c>
      <c r="Q77" s="56">
        <f t="shared" si="39"/>
        <v>2.5350662943027097E-3</v>
      </c>
      <c r="R77" s="9">
        <f t="shared" si="12"/>
        <v>3.9999999999999996E-5</v>
      </c>
      <c r="S77" s="9">
        <f t="shared" si="13"/>
        <v>7.9639171535670911E-7</v>
      </c>
      <c r="T77" s="9">
        <f t="shared" si="10"/>
        <v>2.6693931233335371E-5</v>
      </c>
      <c r="U77" s="9">
        <f t="shared" si="11"/>
        <v>3.9203608284643288E-5</v>
      </c>
      <c r="V77" s="100">
        <f t="shared" si="14"/>
        <v>0.68090495751106239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0.26960058474961784</v>
      </c>
      <c r="J78" s="54">
        <f t="shared" si="34"/>
        <v>2.0591588932565279</v>
      </c>
      <c r="K78" s="55">
        <f t="shared" si="35"/>
        <v>0.5215071274852181</v>
      </c>
      <c r="L78" s="55">
        <f t="shared" si="36"/>
        <v>2.9298153123019133E-2</v>
      </c>
      <c r="M78" s="55">
        <f t="shared" si="19"/>
        <v>0.97070184687698091</v>
      </c>
      <c r="N78" s="55">
        <f t="shared" si="37"/>
        <v>1.3990479568612322E-2</v>
      </c>
      <c r="O78" s="56">
        <f t="shared" si="21"/>
        <v>5.2203307911266615E-7</v>
      </c>
      <c r="P78" s="56">
        <f t="shared" si="38"/>
        <v>5.9821447383774323E-5</v>
      </c>
      <c r="Q78" s="56">
        <f t="shared" si="39"/>
        <v>4.7609982665309317E-3</v>
      </c>
      <c r="R78" s="9">
        <f t="shared" si="12"/>
        <v>3.9999999999999996E-5</v>
      </c>
      <c r="S78" s="9">
        <f t="shared" si="13"/>
        <v>1.1719261249207653E-6</v>
      </c>
      <c r="T78" s="9">
        <f t="shared" si="10"/>
        <v>2.0860285099408722E-5</v>
      </c>
      <c r="U78" s="9">
        <f t="shared" si="11"/>
        <v>3.8828073875079233E-5</v>
      </c>
      <c r="V78" s="100">
        <f t="shared" si="14"/>
        <v>0.53724748661296184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2.1124941218662863</v>
      </c>
      <c r="K79" s="55">
        <f t="shared" si="35"/>
        <v>0.47505487762662102</v>
      </c>
      <c r="L79" s="55">
        <f t="shared" si="36"/>
        <v>3.0175814845201526E-2</v>
      </c>
      <c r="M79" s="55">
        <f t="shared" si="19"/>
        <v>0.96982418515479851</v>
      </c>
      <c r="N79" s="55">
        <f t="shared" si="37"/>
        <v>7.9396459189284598E-3</v>
      </c>
      <c r="O79" s="56">
        <f t="shared" si="21"/>
        <v>4.7553398111887759E-7</v>
      </c>
      <c r="P79" s="56">
        <f t="shared" si="38"/>
        <v>6.1613471417297296E-5</v>
      </c>
      <c r="Q79" s="56">
        <f t="shared" si="39"/>
        <v>2.7018831106900452E-3</v>
      </c>
      <c r="R79" s="9">
        <f t="shared" si="12"/>
        <v>3.9999999999999996E-5</v>
      </c>
      <c r="S79" s="9">
        <f t="shared" si="13"/>
        <v>1.207032593808061E-6</v>
      </c>
      <c r="T79" s="9">
        <f t="shared" si="10"/>
        <v>1.9002195105064841E-5</v>
      </c>
      <c r="U79" s="9">
        <f t="shared" si="11"/>
        <v>3.8792967406191935E-5</v>
      </c>
      <c r="V79" s="100">
        <f t="shared" si="14"/>
        <v>0.48983608049617272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2.1997454188827374</v>
      </c>
      <c r="K80" s="55">
        <f t="shared" si="35"/>
        <v>0.42422155802936051</v>
      </c>
      <c r="L80" s="55">
        <f t="shared" si="36"/>
        <v>3.2942704938863268E-2</v>
      </c>
      <c r="M80" s="55">
        <f t="shared" si="19"/>
        <v>0.96705729506113669</v>
      </c>
      <c r="N80" s="55">
        <f t="shared" si="37"/>
        <v>8.2734393561691294E-3</v>
      </c>
      <c r="O80" s="56">
        <f t="shared" si="21"/>
        <v>4.2464939497939413E-7</v>
      </c>
      <c r="P80" s="56">
        <f t="shared" si="38"/>
        <v>6.726295278425165E-5</v>
      </c>
      <c r="Q80" s="56">
        <f t="shared" si="39"/>
        <v>2.815473925664507E-3</v>
      </c>
      <c r="R80" s="9">
        <f t="shared" si="12"/>
        <v>3.9999999999999996E-5</v>
      </c>
      <c r="S80" s="9">
        <f t="shared" si="13"/>
        <v>1.3177081975545305E-6</v>
      </c>
      <c r="T80" s="9">
        <f t="shared" si="10"/>
        <v>1.6968862321174418E-5</v>
      </c>
      <c r="U80" s="9">
        <f t="shared" si="11"/>
        <v>3.8682291802445461E-5</v>
      </c>
      <c r="V80" s="100">
        <f t="shared" si="14"/>
        <v>0.43867262073912749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1.4796577057346774</v>
      </c>
      <c r="J81" s="54">
        <f t="shared" si="34"/>
        <v>3.6085862266525122</v>
      </c>
      <c r="K81" s="55">
        <f t="shared" si="35"/>
        <v>3.1073202661549264E-2</v>
      </c>
      <c r="L81" s="55">
        <f t="shared" si="36"/>
        <v>6.1857640046568137E-2</v>
      </c>
      <c r="M81" s="55">
        <f t="shared" si="19"/>
        <v>0.93814235995343187</v>
      </c>
      <c r="N81" s="55">
        <f t="shared" si="37"/>
        <v>3.9792055236854765E-2</v>
      </c>
      <c r="O81" s="56">
        <f t="shared" si="21"/>
        <v>3.1104540682927175E-8</v>
      </c>
      <c r="P81" s="56">
        <f t="shared" si="38"/>
        <v>1.2630193936773675E-4</v>
      </c>
      <c r="Q81" s="56">
        <f t="shared" si="39"/>
        <v>1.3541344674802998E-2</v>
      </c>
      <c r="R81" s="9">
        <f t="shared" si="12"/>
        <v>3.9999999999999996E-5</v>
      </c>
      <c r="S81" s="9">
        <f t="shared" si="13"/>
        <v>2.4743056018627251E-6</v>
      </c>
      <c r="T81" s="9">
        <f t="shared" si="10"/>
        <v>1.2429281064619704E-6</v>
      </c>
      <c r="U81" s="9">
        <f t="shared" si="11"/>
        <v>3.7525694398137268E-5</v>
      </c>
      <c r="V81" s="100">
        <f t="shared" si="14"/>
        <v>3.3122054805298097E-2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3.3537898155867572</v>
      </c>
      <c r="K82" s="55">
        <f t="shared" si="35"/>
        <v>5.2925371837855471E-2</v>
      </c>
      <c r="L82" s="55">
        <f t="shared" si="36"/>
        <v>5.8596926388606439E-2</v>
      </c>
      <c r="M82" s="55">
        <f t="shared" si="19"/>
        <v>0.94140307361139353</v>
      </c>
      <c r="N82" s="55">
        <f t="shared" si="37"/>
        <v>3.1673588576807243E-2</v>
      </c>
      <c r="O82" s="56">
        <f t="shared" si="21"/>
        <v>5.2978748261655545E-8</v>
      </c>
      <c r="P82" s="56">
        <f t="shared" si="38"/>
        <v>1.1964416098476913E-4</v>
      </c>
      <c r="Q82" s="56">
        <f t="shared" si="39"/>
        <v>1.0778608379323085E-2</v>
      </c>
      <c r="R82" s="9">
        <f t="shared" si="12"/>
        <v>3.9999999999999996E-5</v>
      </c>
      <c r="S82" s="9">
        <f t="shared" si="13"/>
        <v>2.3438770555442572E-6</v>
      </c>
      <c r="T82" s="9">
        <f t="shared" si="10"/>
        <v>2.1170148735142187E-6</v>
      </c>
      <c r="U82" s="9">
        <f t="shared" si="11"/>
        <v>3.7656122944455736E-5</v>
      </c>
      <c r="V82" s="100">
        <f t="shared" si="14"/>
        <v>5.6219671808404141E-2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0.14841008082679896</v>
      </c>
      <c r="J83" s="54">
        <f t="shared" si="34"/>
        <v>1.7258889627774656</v>
      </c>
      <c r="K83" s="55">
        <f t="shared" si="35"/>
        <v>0.69725994464213659</v>
      </c>
      <c r="L83" s="55">
        <f t="shared" si="36"/>
        <v>1.8184643138034605E-2</v>
      </c>
      <c r="M83" s="55">
        <f t="shared" si="19"/>
        <v>0.98181535686196542</v>
      </c>
      <c r="N83" s="55">
        <f t="shared" si="37"/>
        <v>6.8794080511207067E-3</v>
      </c>
      <c r="O83" s="56">
        <f t="shared" si="21"/>
        <v>6.9796314692511834E-7</v>
      </c>
      <c r="P83" s="56">
        <f t="shared" si="38"/>
        <v>3.7129701251371922E-5</v>
      </c>
      <c r="Q83" s="56">
        <f t="shared" si="39"/>
        <v>2.3410812792740662E-3</v>
      </c>
      <c r="R83" s="9">
        <f t="shared" si="12"/>
        <v>3.9999999999999996E-5</v>
      </c>
      <c r="S83" s="9">
        <f t="shared" si="13"/>
        <v>7.2738572552138415E-7</v>
      </c>
      <c r="T83" s="9">
        <f t="shared" si="10"/>
        <v>2.7890397785685459E-5</v>
      </c>
      <c r="U83" s="9">
        <f t="shared" si="11"/>
        <v>3.9272614274478613E-5</v>
      </c>
      <c r="V83" s="100">
        <f t="shared" si="14"/>
        <v>0.71017420920231666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3.4358375366577767</v>
      </c>
      <c r="K84" s="55">
        <f t="shared" si="35"/>
        <v>4.2564183253001389E-2</v>
      </c>
      <c r="L84" s="55">
        <f t="shared" si="36"/>
        <v>5.6924987486674627E-2</v>
      </c>
      <c r="M84" s="55">
        <f t="shared" si="19"/>
        <v>0.94307501251332537</v>
      </c>
      <c r="N84" s="55">
        <f t="shared" si="37"/>
        <v>2.3132824207945931E-2</v>
      </c>
      <c r="O84" s="56">
        <f t="shared" si="21"/>
        <v>4.2607110185871634E-8</v>
      </c>
      <c r="P84" s="56">
        <f t="shared" si="38"/>
        <v>1.1623036883784311E-4</v>
      </c>
      <c r="Q84" s="56">
        <f t="shared" si="39"/>
        <v>7.8721630244244292E-3</v>
      </c>
      <c r="R84" s="9">
        <f t="shared" si="12"/>
        <v>3.9999999999999996E-5</v>
      </c>
      <c r="S84" s="9">
        <f t="shared" si="13"/>
        <v>2.2769994994669849E-6</v>
      </c>
      <c r="T84" s="9">
        <f t="shared" si="10"/>
        <v>1.7025673301200554E-6</v>
      </c>
      <c r="U84" s="9">
        <f t="shared" si="11"/>
        <v>3.772300050053301E-5</v>
      </c>
      <c r="V84" s="100">
        <f t="shared" si="14"/>
        <v>4.5133401572761925E-2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0.12747825886296771</v>
      </c>
      <c r="J85" s="54">
        <f t="shared" si="34"/>
        <v>1.6486841643977077</v>
      </c>
      <c r="K85" s="55">
        <f t="shared" si="35"/>
        <v>0.73330961891277791</v>
      </c>
      <c r="L85" s="55">
        <f t="shared" si="36"/>
        <v>1.6010048552749467E-2</v>
      </c>
      <c r="M85" s="55">
        <f t="shared" si="19"/>
        <v>0.98398995144725054</v>
      </c>
      <c r="N85" s="55">
        <f t="shared" si="37"/>
        <v>5.8249437381977199E-3</v>
      </c>
      <c r="O85" s="56">
        <f t="shared" si="21"/>
        <v>7.3404917810030095E-7</v>
      </c>
      <c r="P85" s="56">
        <f t="shared" si="38"/>
        <v>3.268957852355166E-5</v>
      </c>
      <c r="Q85" s="56">
        <f t="shared" si="39"/>
        <v>1.9822442042957264E-3</v>
      </c>
      <c r="R85" s="9">
        <f t="shared" si="12"/>
        <v>3.9999999999999996E-5</v>
      </c>
      <c r="S85" s="9">
        <f t="shared" si="13"/>
        <v>6.4040194210997865E-7</v>
      </c>
      <c r="T85" s="9">
        <f t="shared" si="10"/>
        <v>2.9332384756511112E-5</v>
      </c>
      <c r="U85" s="9">
        <f t="shared" si="11"/>
        <v>3.9359598057890016E-5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2.7061471704995403</v>
      </c>
      <c r="K86" s="55">
        <f t="shared" si="35"/>
        <v>0.18459401629673311</v>
      </c>
      <c r="L86" s="55">
        <f t="shared" si="36"/>
        <v>4.6002972257960344E-2</v>
      </c>
      <c r="M86" s="55">
        <f t="shared" si="19"/>
        <v>0.95399702774203965</v>
      </c>
      <c r="N86" s="55">
        <f t="shared" si="37"/>
        <v>9.9131110722855131E-3</v>
      </c>
      <c r="O86" s="56">
        <f t="shared" si="21"/>
        <v>1.8478018349977135E-7</v>
      </c>
      <c r="P86" s="56">
        <f t="shared" si="38"/>
        <v>9.3929619825238228E-5</v>
      </c>
      <c r="Q86" s="56">
        <f t="shared" si="39"/>
        <v>3.3734586723506567E-3</v>
      </c>
      <c r="R86" s="9">
        <f t="shared" si="12"/>
        <v>3.9999999999999996E-5</v>
      </c>
      <c r="S86" s="9">
        <f t="shared" si="13"/>
        <v>1.8401188903184135E-6</v>
      </c>
      <c r="T86" s="9">
        <f t="shared" si="10"/>
        <v>7.3837606518693235E-6</v>
      </c>
      <c r="U86" s="9">
        <f t="shared" si="11"/>
        <v>3.815988110968158E-5</v>
      </c>
      <c r="V86" s="100">
        <f t="shared" si="14"/>
        <v>0.19349537884162804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1.4184362316665411</v>
      </c>
      <c r="K87" s="55">
        <f t="shared" si="35"/>
        <v>0.82260269682159681</v>
      </c>
      <c r="L87" s="55">
        <f t="shared" si="36"/>
        <v>1.0569330137619614E-2</v>
      </c>
      <c r="M87" s="55">
        <f t="shared" si="19"/>
        <v>0.98943066986238037</v>
      </c>
      <c r="N87" s="55">
        <f t="shared" si="37"/>
        <v>3.0037695779734424E-3</v>
      </c>
      <c r="O87" s="56">
        <f t="shared" si="21"/>
        <v>8.234323100796604E-7</v>
      </c>
      <c r="P87" s="56">
        <f t="shared" si="38"/>
        <v>2.1580630835483768E-5</v>
      </c>
      <c r="Q87" s="56">
        <f t="shared" si="39"/>
        <v>1.0221909609070235E-3</v>
      </c>
      <c r="R87" s="9">
        <f t="shared" si="12"/>
        <v>3.9999999999999996E-5</v>
      </c>
      <c r="S87" s="9">
        <f t="shared" si="13"/>
        <v>4.2277320550478452E-7</v>
      </c>
      <c r="T87" s="9">
        <f t="shared" si="10"/>
        <v>3.2904107872863869E-5</v>
      </c>
      <c r="U87" s="9">
        <f t="shared" si="11"/>
        <v>3.9577226794495209E-5</v>
      </c>
      <c r="V87" s="100">
        <f t="shared" si="14"/>
        <v>0.83138993148050722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0.75792384453961636</v>
      </c>
      <c r="K88" s="55">
        <f t="shared" si="35"/>
        <v>0.9575246299806508</v>
      </c>
      <c r="L88" s="55">
        <f t="shared" si="36"/>
        <v>2.6884062807498031E-3</v>
      </c>
      <c r="M88" s="55">
        <f t="shared" si="19"/>
        <v>0.99731159371925016</v>
      </c>
      <c r="N88" s="55">
        <f t="shared" si="37"/>
        <v>5.0086687126463578E-5</v>
      </c>
      <c r="O88" s="56">
        <f t="shared" si="21"/>
        <v>9.5849031503252811E-7</v>
      </c>
      <c r="P88" s="56">
        <f t="shared" si="38"/>
        <v>5.4892318363823911E-6</v>
      </c>
      <c r="Q88" s="56">
        <f t="shared" si="39"/>
        <v>1.7044635919440659E-5</v>
      </c>
      <c r="R88" s="9">
        <f t="shared" si="12"/>
        <v>3.9999999999999996E-5</v>
      </c>
      <c r="S88" s="9">
        <f t="shared" si="13"/>
        <v>1.0753625122999212E-7</v>
      </c>
      <c r="T88" s="9">
        <f t="shared" si="10"/>
        <v>3.8300985199226029E-5</v>
      </c>
      <c r="U88" s="9">
        <f t="shared" si="11"/>
        <v>3.989246374877E-5</v>
      </c>
      <c r="V88" s="100">
        <f t="shared" si="14"/>
        <v>0.96010578440162042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0.31405105360104729</v>
      </c>
      <c r="K89" s="55">
        <f t="shared" si="35"/>
        <v>0.98959875546964182</v>
      </c>
      <c r="L89" s="55">
        <f t="shared" si="36"/>
        <v>9.9984181778970814E-4</v>
      </c>
      <c r="M89" s="55">
        <f t="shared" si="19"/>
        <v>0.99900015818221033</v>
      </c>
      <c r="N89" s="55">
        <f t="shared" si="37"/>
        <v>5.9903870198093812E-5</v>
      </c>
      <c r="O89" s="56">
        <f t="shared" si="21"/>
        <v>9.9059678799600358E-7</v>
      </c>
      <c r="P89" s="56">
        <f t="shared" si="38"/>
        <v>2.0414933475110713E-6</v>
      </c>
      <c r="Q89" s="56">
        <f t="shared" si="39"/>
        <v>2.038545003213975E-5</v>
      </c>
      <c r="R89" s="9">
        <f t="shared" si="12"/>
        <v>3.9999999999999996E-5</v>
      </c>
      <c r="S89" s="9">
        <f t="shared" si="13"/>
        <v>3.9993672711588324E-8</v>
      </c>
      <c r="T89" s="9">
        <f t="shared" si="10"/>
        <v>3.9583950218785672E-5</v>
      </c>
      <c r="U89" s="9">
        <f t="shared" si="11"/>
        <v>3.9960006327288408E-5</v>
      </c>
      <c r="V89" s="100">
        <f t="shared" si="14"/>
        <v>0.99058918796401851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1.4332861282250272E-2</v>
      </c>
      <c r="K90" s="55">
        <f t="shared" si="35"/>
        <v>0.99867914362306365</v>
      </c>
      <c r="L90" s="55">
        <f t="shared" si="36"/>
        <v>5.0603428735598692E-4</v>
      </c>
      <c r="M90" s="55">
        <f t="shared" si="19"/>
        <v>0.99949396571264404</v>
      </c>
      <c r="N90" s="55">
        <f t="shared" si="37"/>
        <v>1.9868930985352479E-6</v>
      </c>
      <c r="O90" s="56">
        <f t="shared" si="21"/>
        <v>9.9968633392441154E-7</v>
      </c>
      <c r="P90" s="56">
        <f t="shared" si="38"/>
        <v>1.0332290697077371E-6</v>
      </c>
      <c r="Q90" s="56">
        <f t="shared" si="39"/>
        <v>6.7614512794337742E-7</v>
      </c>
      <c r="R90" s="9">
        <f t="shared" si="12"/>
        <v>3.9999999999999996E-5</v>
      </c>
      <c r="S90" s="9">
        <f t="shared" si="13"/>
        <v>2.0241371494239475E-8</v>
      </c>
      <c r="T90" s="9">
        <f t="shared" si="10"/>
        <v>3.9947165744922543E-5</v>
      </c>
      <c r="U90" s="9">
        <f t="shared" si="11"/>
        <v>3.9979758628505757E-5</v>
      </c>
      <c r="V90" s="100">
        <f t="shared" si="14"/>
        <v>0.99918476537374645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-3.1368640103968579E-3</v>
      </c>
      <c r="K91" s="55">
        <f t="shared" si="35"/>
        <v>0.9990487967402889</v>
      </c>
      <c r="L91" s="55">
        <f t="shared" si="36"/>
        <v>4.8626268065637659E-4</v>
      </c>
      <c r="M91" s="55">
        <f t="shared" si="19"/>
        <v>0.99951373731934368</v>
      </c>
      <c r="N91" s="55">
        <f t="shared" si="37"/>
        <v>9.0274820741143886E-7</v>
      </c>
      <c r="O91" s="56">
        <f t="shared" si="21"/>
        <v>1.0000563598450911E-6</v>
      </c>
      <c r="P91" s="56">
        <f t="shared" si="38"/>
        <v>9.9285908034673067E-7</v>
      </c>
      <c r="Q91" s="56">
        <f t="shared" si="39"/>
        <v>3.0720767143981982E-7</v>
      </c>
      <c r="R91" s="9">
        <f t="shared" si="12"/>
        <v>3.9999999999999996E-5</v>
      </c>
      <c r="S91" s="9">
        <f t="shared" si="13"/>
        <v>1.9450507226255062E-8</v>
      </c>
      <c r="T91" s="9">
        <f t="shared" si="10"/>
        <v>3.9961951869611553E-5</v>
      </c>
      <c r="U91" s="9">
        <f t="shared" si="11"/>
        <v>3.9980549492773745E-5</v>
      </c>
      <c r="V91" s="100">
        <f t="shared" si="14"/>
        <v>0.99953483322770353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0.37384324139771213</v>
      </c>
      <c r="K92" s="55">
        <f t="shared" si="35"/>
        <v>0.98696994186255238</v>
      </c>
      <c r="L92" s="55">
        <f t="shared" si="36"/>
        <v>1.144374760357413E-3</v>
      </c>
      <c r="M92" s="55">
        <f t="shared" si="19"/>
        <v>0.99885562523964255</v>
      </c>
      <c r="N92" s="55">
        <f t="shared" si="37"/>
        <v>8.2729163358965962E-5</v>
      </c>
      <c r="O92" s="56">
        <f t="shared" si="21"/>
        <v>9.8796532317146742E-7</v>
      </c>
      <c r="P92" s="56">
        <f t="shared" si="38"/>
        <v>2.336603069367322E-6</v>
      </c>
      <c r="Q92" s="56">
        <f t="shared" si="39"/>
        <v>2.8152959404425795E-5</v>
      </c>
      <c r="R92" s="9">
        <f t="shared" si="12"/>
        <v>3.9999999999999996E-5</v>
      </c>
      <c r="S92" s="9">
        <f t="shared" si="13"/>
        <v>4.5774990414296515E-8</v>
      </c>
      <c r="T92" s="9">
        <f t="shared" ref="T92:T143" si="40">R92*K92</f>
        <v>3.9478797674502091E-5</v>
      </c>
      <c r="U92" s="9">
        <f t="shared" ref="U92:U143" si="41">$R92*M92</f>
        <v>3.9954225009585702E-5</v>
      </c>
      <c r="V92" s="100">
        <f t="shared" si="14"/>
        <v>0.98810069936359557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-2.434253081741551E-3</v>
      </c>
      <c r="K93" s="55">
        <f t="shared" si="35"/>
        <v>0.99903418658459886</v>
      </c>
      <c r="L93" s="55">
        <f t="shared" si="36"/>
        <v>4.8704288090245979E-4</v>
      </c>
      <c r="M93" s="55">
        <f t="shared" ref="M93:M127" si="42">IF(D93=0,"",1-L93)</f>
        <v>0.99951295711909749</v>
      </c>
      <c r="N93" s="55">
        <f t="shared" si="37"/>
        <v>9.4077746056448407E-7</v>
      </c>
      <c r="O93" s="56">
        <f t="shared" ref="O93:O127" si="43">IF(D93=0,"",F93*K93*$J$7/$J$14)</f>
        <v>1.0000417349547316E-6</v>
      </c>
      <c r="P93" s="56">
        <f t="shared" si="38"/>
        <v>9.944521059471465E-7</v>
      </c>
      <c r="Q93" s="56">
        <f t="shared" si="39"/>
        <v>3.2014912976876211E-7</v>
      </c>
      <c r="R93" s="9">
        <f t="shared" ref="R93:R143" si="44">F93*$C$14</f>
        <v>3.9999999999999996E-5</v>
      </c>
      <c r="S93" s="9">
        <f t="shared" ref="S93:S143" si="45">$R93*L93</f>
        <v>1.9481715236098391E-8</v>
      </c>
      <c r="T93" s="9">
        <f t="shared" si="40"/>
        <v>3.9961367463383953E-5</v>
      </c>
      <c r="U93" s="9">
        <f t="shared" si="41"/>
        <v>3.9980518284763895E-5</v>
      </c>
      <c r="V93" s="100">
        <f t="shared" ref="V93:V143" si="46">K93/M93</f>
        <v>0.99952099617009604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-2.0209711391718035E-2</v>
      </c>
      <c r="K94" s="55">
        <f t="shared" si="35"/>
        <v>0.99939755097644467</v>
      </c>
      <c r="L94" s="55">
        <f t="shared" si="36"/>
        <v>4.676809415328816E-4</v>
      </c>
      <c r="M94" s="55">
        <f t="shared" si="42"/>
        <v>0.99953231905846707</v>
      </c>
      <c r="N94" s="55">
        <f t="shared" si="37"/>
        <v>1.5731084588804267E-7</v>
      </c>
      <c r="O94" s="56">
        <f t="shared" si="43"/>
        <v>1.0004054658077114E-6</v>
      </c>
      <c r="P94" s="56">
        <f t="shared" si="38"/>
        <v>9.5491858202904648E-7</v>
      </c>
      <c r="Q94" s="56">
        <f t="shared" si="39"/>
        <v>5.3533308912424419E-8</v>
      </c>
      <c r="R94" s="9">
        <f t="shared" si="44"/>
        <v>3.9999999999999996E-5</v>
      </c>
      <c r="S94" s="9">
        <f t="shared" si="45"/>
        <v>1.8707237661315262E-8</v>
      </c>
      <c r="T94" s="9">
        <f t="shared" si="40"/>
        <v>3.9975902039057784E-5</v>
      </c>
      <c r="U94" s="9">
        <f t="shared" si="41"/>
        <v>3.998129276233868E-5</v>
      </c>
      <c r="V94" s="100">
        <f t="shared" si="46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0.94867954725222925</v>
      </c>
      <c r="J95" s="54">
        <f t="shared" si="34"/>
        <v>3.0363954838107587</v>
      </c>
      <c r="K95" s="55">
        <f t="shared" si="35"/>
        <v>0.10612143223559102</v>
      </c>
      <c r="L95" s="55">
        <f t="shared" si="36"/>
        <v>5.6574365166565319E-2</v>
      </c>
      <c r="M95" s="55">
        <f t="shared" si="42"/>
        <v>0.94342563483343467</v>
      </c>
      <c r="N95" s="55">
        <f t="shared" si="37"/>
        <v>3.4685298666232094E-2</v>
      </c>
      <c r="O95" s="56">
        <f t="shared" si="43"/>
        <v>1.0622845807867119E-7</v>
      </c>
      <c r="P95" s="56">
        <f t="shared" si="38"/>
        <v>1.1551446246019783E-4</v>
      </c>
      <c r="Q95" s="56">
        <f t="shared" si="39"/>
        <v>1.1803501517883858E-2</v>
      </c>
      <c r="R95" s="9">
        <f t="shared" si="44"/>
        <v>3.9999999999999996E-5</v>
      </c>
      <c r="S95" s="9">
        <f t="shared" si="45"/>
        <v>2.2629746066626125E-6</v>
      </c>
      <c r="T95" s="9">
        <f t="shared" si="40"/>
        <v>4.2448572894236403E-6</v>
      </c>
      <c r="U95" s="9">
        <f t="shared" si="41"/>
        <v>3.7737025393337384E-5</v>
      </c>
      <c r="V95" s="100">
        <f t="shared" si="46"/>
        <v>0.11248521167683466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-2.7334369930060651E-2</v>
      </c>
      <c r="K96" s="55">
        <f t="shared" si="35"/>
        <v>0.99953986260962824</v>
      </c>
      <c r="L96" s="55">
        <f t="shared" si="36"/>
        <v>4.6013667701656313E-4</v>
      </c>
      <c r="M96" s="55">
        <f t="shared" si="42"/>
        <v>0.99953986332298339</v>
      </c>
      <c r="N96" s="55">
        <f t="shared" si="37"/>
        <v>5.0161726058683765E-15</v>
      </c>
      <c r="O96" s="56">
        <f t="shared" si="43"/>
        <v>1.0005479209653666E-6</v>
      </c>
      <c r="P96" s="56">
        <f t="shared" si="38"/>
        <v>9.3951457956796144E-7</v>
      </c>
      <c r="Q96" s="56">
        <f t="shared" si="39"/>
        <v>1.7070171872262757E-15</v>
      </c>
      <c r="R96" s="9">
        <f t="shared" si="44"/>
        <v>3.9999999999999996E-5</v>
      </c>
      <c r="S96" s="9">
        <f t="shared" si="45"/>
        <v>1.8405467080662522E-8</v>
      </c>
      <c r="T96" s="9">
        <f t="shared" si="40"/>
        <v>3.9981594504385129E-5</v>
      </c>
      <c r="U96" s="9">
        <f t="shared" si="41"/>
        <v>3.9981594532919331E-5</v>
      </c>
      <c r="V96" s="100">
        <f t="shared" si="46"/>
        <v>0.99999999928631644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3.3042078949722935</v>
      </c>
      <c r="K98" s="55">
        <f t="shared" si="35"/>
        <v>5.1771089171474577E-2</v>
      </c>
      <c r="L98" s="55">
        <f t="shared" si="36"/>
        <v>5.1134769154662627E-2</v>
      </c>
      <c r="M98" s="55">
        <f t="shared" si="42"/>
        <v>0.94886523084533736</v>
      </c>
      <c r="N98" s="55">
        <f t="shared" si="37"/>
        <v>2.708068559636206E-3</v>
      </c>
      <c r="O98" s="56">
        <f t="shared" si="43"/>
        <v>5.1823301475332808E-8</v>
      </c>
      <c r="P98" s="56">
        <f t="shared" si="38"/>
        <v>1.0440780651336414E-4</v>
      </c>
      <c r="Q98" s="56">
        <f t="shared" si="39"/>
        <v>9.2156309973824048E-4</v>
      </c>
      <c r="R98" s="9">
        <f t="shared" si="44"/>
        <v>3.9999999999999996E-5</v>
      </c>
      <c r="S98" s="9">
        <f t="shared" si="45"/>
        <v>2.0453907661865049E-6</v>
      </c>
      <c r="T98" s="9">
        <f t="shared" si="40"/>
        <v>2.0708435668589829E-6</v>
      </c>
      <c r="U98" s="9">
        <f t="shared" si="41"/>
        <v>3.7954609233813493E-5</v>
      </c>
      <c r="V98" s="100">
        <f t="shared" si="46"/>
        <v>5.4561056184292973E-2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1.5952441843310237</v>
      </c>
      <c r="K99" s="55">
        <f t="shared" si="35"/>
        <v>0.73967984494285477</v>
      </c>
      <c r="L99" s="55">
        <f t="shared" si="36"/>
        <v>1.4279370831005115E-2</v>
      </c>
      <c r="M99" s="55">
        <f t="shared" si="42"/>
        <v>0.98572062916899483</v>
      </c>
      <c r="N99" s="55">
        <f t="shared" si="37"/>
        <v>4.5458608559662683E-4</v>
      </c>
      <c r="O99" s="56">
        <f t="shared" si="43"/>
        <v>7.4042582864611528E-7</v>
      </c>
      <c r="P99" s="56">
        <f t="shared" si="38"/>
        <v>2.9155852495331239E-5</v>
      </c>
      <c r="Q99" s="56">
        <f t="shared" si="39"/>
        <v>1.5469688189747249E-4</v>
      </c>
      <c r="R99" s="9">
        <f t="shared" si="44"/>
        <v>3.9999999999999996E-5</v>
      </c>
      <c r="S99" s="9">
        <f t="shared" si="45"/>
        <v>5.7117483324020458E-7</v>
      </c>
      <c r="T99" s="9">
        <f t="shared" si="40"/>
        <v>2.9587193797714187E-5</v>
      </c>
      <c r="U99" s="9">
        <f t="shared" si="41"/>
        <v>3.9428825166759787E-5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2.9506073114960709</v>
      </c>
      <c r="K101" s="55">
        <f t="shared" si="35"/>
        <v>0.10899330084198809</v>
      </c>
      <c r="L101" s="55">
        <f t="shared" si="36"/>
        <v>4.7690098524963941E-2</v>
      </c>
      <c r="M101" s="55">
        <f t="shared" si="42"/>
        <v>0.95230990147503602</v>
      </c>
      <c r="N101" s="55">
        <f t="shared" si="37"/>
        <v>1.0616274969351834E-3</v>
      </c>
      <c r="O101" s="56">
        <f t="shared" si="43"/>
        <v>1.0910322302892963E-7</v>
      </c>
      <c r="P101" s="56">
        <f t="shared" si="38"/>
        <v>9.7374421782124831E-5</v>
      </c>
      <c r="Q101" s="56">
        <f t="shared" si="39"/>
        <v>3.6127472598934744E-4</v>
      </c>
      <c r="R101" s="9">
        <f t="shared" si="44"/>
        <v>3.9999999999999996E-5</v>
      </c>
      <c r="S101" s="9">
        <f t="shared" si="45"/>
        <v>1.9076039409985575E-6</v>
      </c>
      <c r="T101" s="9">
        <f t="shared" si="40"/>
        <v>4.3597320336795233E-6</v>
      </c>
      <c r="U101" s="9">
        <f t="shared" si="41"/>
        <v>3.8092396059001439E-5</v>
      </c>
      <c r="V101" s="100">
        <f t="shared" si="46"/>
        <v>0.11445150436130927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2.1830464750687919</v>
      </c>
      <c r="K102" s="55">
        <f t="shared" si="35"/>
        <v>0.41711153833502285</v>
      </c>
      <c r="L102" s="55">
        <f t="shared" si="36"/>
        <v>3.1168778422721897E-2</v>
      </c>
      <c r="M102" s="55">
        <f t="shared" si="42"/>
        <v>0.96883122157727808</v>
      </c>
      <c r="N102" s="55">
        <f t="shared" si="37"/>
        <v>1.4077454044513097E-9</v>
      </c>
      <c r="O102" s="56">
        <f t="shared" si="43"/>
        <v>4.1753220467082639E-7</v>
      </c>
      <c r="P102" s="56">
        <f t="shared" si="38"/>
        <v>6.3640920661528643E-5</v>
      </c>
      <c r="Q102" s="56">
        <f t="shared" si="39"/>
        <v>4.7905959173452064E-10</v>
      </c>
      <c r="R102" s="9">
        <f t="shared" si="44"/>
        <v>3.9999999999999996E-5</v>
      </c>
      <c r="S102" s="9">
        <f t="shared" si="45"/>
        <v>1.2467511369088757E-6</v>
      </c>
      <c r="T102" s="9">
        <f t="shared" si="40"/>
        <v>1.6684461533400912E-5</v>
      </c>
      <c r="U102" s="9">
        <f t="shared" si="41"/>
        <v>3.8753248863091118E-5</v>
      </c>
      <c r="V102" s="100">
        <f t="shared" si="46"/>
        <v>0.43053065285814829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3.2306025840295192</v>
      </c>
      <c r="K103" s="55">
        <f t="shared" si="35"/>
        <v>5.9970615050978698E-2</v>
      </c>
      <c r="L103" s="55">
        <f t="shared" si="36"/>
        <v>4.9999100328117996E-2</v>
      </c>
      <c r="M103" s="55">
        <f t="shared" si="42"/>
        <v>0.95000089967188206</v>
      </c>
      <c r="N103" s="55">
        <f t="shared" si="37"/>
        <v>3.3752847525201577E-9</v>
      </c>
      <c r="O103" s="56">
        <f t="shared" si="43"/>
        <v>6.0031096760475598E-8</v>
      </c>
      <c r="P103" s="56">
        <f t="shared" si="38"/>
        <v>1.0208897936179342E-4</v>
      </c>
      <c r="Q103" s="56">
        <f t="shared" si="39"/>
        <v>1.1486185857309155E-9</v>
      </c>
      <c r="R103" s="9">
        <f t="shared" si="44"/>
        <v>3.9999999999999996E-5</v>
      </c>
      <c r="S103" s="9">
        <f t="shared" si="45"/>
        <v>1.9999640131247198E-6</v>
      </c>
      <c r="T103" s="9">
        <f t="shared" si="40"/>
        <v>2.3988246020391476E-6</v>
      </c>
      <c r="U103" s="9">
        <f t="shared" si="41"/>
        <v>3.8000035986875279E-5</v>
      </c>
      <c r="V103" s="100">
        <f t="shared" si="46"/>
        <v>6.3126903428924921E-2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3.9213783159131275</v>
      </c>
      <c r="K104" s="55">
        <f t="shared" si="35"/>
        <v>1.2912723241540743E-2</v>
      </c>
      <c r="L104" s="55">
        <f t="shared" si="36"/>
        <v>5.282229443341508E-2</v>
      </c>
      <c r="M104" s="55">
        <f t="shared" si="42"/>
        <v>0.94717770556658487</v>
      </c>
      <c r="N104" s="55">
        <f t="shared" si="37"/>
        <v>1.3170134072808632E-3</v>
      </c>
      <c r="O104" s="56">
        <f t="shared" si="43"/>
        <v>1.2925746012363499E-8</v>
      </c>
      <c r="P104" s="56">
        <f t="shared" si="38"/>
        <v>1.0785342317895401E-4</v>
      </c>
      <c r="Q104" s="56">
        <f t="shared" si="39"/>
        <v>4.4818324620762948E-4</v>
      </c>
      <c r="R104" s="9">
        <f t="shared" si="44"/>
        <v>3.9999999999999996E-5</v>
      </c>
      <c r="S104" s="9">
        <f t="shared" si="45"/>
        <v>2.1128917773366031E-6</v>
      </c>
      <c r="T104" s="9">
        <f t="shared" si="40"/>
        <v>5.1650892966162965E-7</v>
      </c>
      <c r="U104" s="9">
        <f t="shared" si="41"/>
        <v>3.7887108222663393E-5</v>
      </c>
      <c r="V104" s="100">
        <f t="shared" si="46"/>
        <v>1.3632841193001457E-2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3.560098835609586</v>
      </c>
      <c r="K105" s="55">
        <f t="shared" si="35"/>
        <v>2.9969632138983328E-2</v>
      </c>
      <c r="L105" s="55">
        <f t="shared" si="36"/>
        <v>5.3358222135596427E-2</v>
      </c>
      <c r="M105" s="55">
        <f t="shared" si="42"/>
        <v>0.94664177786440362</v>
      </c>
      <c r="N105" s="55">
        <f t="shared" si="37"/>
        <v>6.8431138500609917E-3</v>
      </c>
      <c r="O105" s="56">
        <f t="shared" si="43"/>
        <v>2.9999857184753127E-8</v>
      </c>
      <c r="P105" s="56">
        <f t="shared" si="38"/>
        <v>1.0894768911110791E-4</v>
      </c>
      <c r="Q105" s="56">
        <f t="shared" si="39"/>
        <v>2.3287302638937144E-3</v>
      </c>
      <c r="R105" s="9">
        <f t="shared" si="44"/>
        <v>3.9999999999999996E-5</v>
      </c>
      <c r="S105" s="9">
        <f t="shared" si="45"/>
        <v>2.1343288854238571E-6</v>
      </c>
      <c r="T105" s="9">
        <f t="shared" si="40"/>
        <v>1.1987852855593331E-6</v>
      </c>
      <c r="U105" s="9">
        <f t="shared" si="41"/>
        <v>3.7865671114576141E-5</v>
      </c>
      <c r="V105" s="100">
        <f t="shared" si="46"/>
        <v>3.1658894462268453E-2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2.6757251090337468</v>
      </c>
      <c r="K106" s="55">
        <f t="shared" si="35"/>
        <v>0.18688670527344725</v>
      </c>
      <c r="L106" s="55">
        <f t="shared" si="36"/>
        <v>4.3423479427756789E-2</v>
      </c>
      <c r="M106" s="55">
        <f t="shared" si="42"/>
        <v>0.95657652057224318</v>
      </c>
      <c r="N106" s="55">
        <f t="shared" si="37"/>
        <v>4.4683868074480056E-4</v>
      </c>
      <c r="O106" s="56">
        <f t="shared" si="43"/>
        <v>1.8707518470470823E-7</v>
      </c>
      <c r="P106" s="56">
        <f t="shared" si="38"/>
        <v>8.8662769250359998E-5</v>
      </c>
      <c r="Q106" s="56">
        <f t="shared" si="39"/>
        <v>1.5206041894502226E-4</v>
      </c>
      <c r="R106" s="9">
        <f t="shared" si="44"/>
        <v>3.9999999999999996E-5</v>
      </c>
      <c r="S106" s="9">
        <f t="shared" si="45"/>
        <v>1.7369391771102714E-6</v>
      </c>
      <c r="T106" s="9">
        <f t="shared" si="40"/>
        <v>7.4754682109378894E-6</v>
      </c>
      <c r="U106" s="9">
        <f t="shared" si="41"/>
        <v>3.8263060822889723E-5</v>
      </c>
      <c r="V106" s="100">
        <f t="shared" si="46"/>
        <v>0.19537036635777752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3.3659497950671167</v>
      </c>
      <c r="K108" s="55">
        <f t="shared" si="35"/>
        <v>4.5012890204281814E-2</v>
      </c>
      <c r="L108" s="55">
        <f t="shared" si="36"/>
        <v>5.1251643560236697E-2</v>
      </c>
      <c r="M108" s="55">
        <f t="shared" si="42"/>
        <v>0.9487483564397633</v>
      </c>
      <c r="N108" s="55">
        <f t="shared" si="37"/>
        <v>1.78611432005603E-3</v>
      </c>
      <c r="O108" s="56">
        <f t="shared" si="43"/>
        <v>4.5058286712999239E-8</v>
      </c>
      <c r="P108" s="56">
        <f t="shared" si="38"/>
        <v>1.046464425828188E-4</v>
      </c>
      <c r="Q108" s="56">
        <f t="shared" si="39"/>
        <v>6.0781956329008743E-4</v>
      </c>
      <c r="R108" s="9">
        <f t="shared" si="44"/>
        <v>3.9999999999999996E-5</v>
      </c>
      <c r="S108" s="9">
        <f t="shared" si="45"/>
        <v>2.0500657424094677E-6</v>
      </c>
      <c r="T108" s="9">
        <f t="shared" si="40"/>
        <v>1.8005156081712724E-6</v>
      </c>
      <c r="U108" s="9">
        <f t="shared" si="41"/>
        <v>3.7949934257590526E-5</v>
      </c>
      <c r="V108" s="100">
        <f t="shared" si="46"/>
        <v>4.7444498742738761E-2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3.5964270089321375</v>
      </c>
      <c r="K109" s="55">
        <f t="shared" si="35"/>
        <v>2.7430969559162303E-2</v>
      </c>
      <c r="L109" s="55">
        <f t="shared" si="36"/>
        <v>5.3099357966691518E-2</v>
      </c>
      <c r="M109" s="55">
        <f t="shared" si="42"/>
        <v>0.94690064203330848</v>
      </c>
      <c r="N109" s="55">
        <f t="shared" si="37"/>
        <v>5.3310592756136751E-3</v>
      </c>
      <c r="O109" s="56">
        <f t="shared" si="43"/>
        <v>2.7458634306817218E-8</v>
      </c>
      <c r="P109" s="56">
        <f t="shared" si="38"/>
        <v>1.0841913602468409E-4</v>
      </c>
      <c r="Q109" s="56">
        <f t="shared" si="39"/>
        <v>1.8141739777750763E-3</v>
      </c>
      <c r="R109" s="9">
        <f t="shared" si="44"/>
        <v>3.9999999999999996E-5</v>
      </c>
      <c r="S109" s="9">
        <f t="shared" si="45"/>
        <v>2.1239743186676607E-6</v>
      </c>
      <c r="T109" s="9">
        <f t="shared" si="40"/>
        <v>1.097238782366492E-6</v>
      </c>
      <c r="U109" s="9">
        <f t="shared" si="41"/>
        <v>3.7876025681332333E-5</v>
      </c>
      <c r="V109" s="100">
        <f t="shared" si="46"/>
        <v>2.896921634804149E-2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1.9358830914754634</v>
      </c>
      <c r="K110" s="55">
        <f t="shared" si="35"/>
        <v>0.55957555790262403</v>
      </c>
      <c r="L110" s="55">
        <f t="shared" si="36"/>
        <v>2.3668074667485536E-2</v>
      </c>
      <c r="M110" s="55">
        <f t="shared" si="42"/>
        <v>0.97633192533251445</v>
      </c>
      <c r="N110" s="55">
        <f t="shared" si="37"/>
        <v>4.1345770497337751E-5</v>
      </c>
      <c r="O110" s="56">
        <f t="shared" si="43"/>
        <v>5.6013990239543707E-7</v>
      </c>
      <c r="P110" s="56">
        <f t="shared" si="38"/>
        <v>4.8325861273617552E-5</v>
      </c>
      <c r="Q110" s="56">
        <f t="shared" si="39"/>
        <v>1.4070078205741986E-5</v>
      </c>
      <c r="R110" s="9">
        <f t="shared" si="44"/>
        <v>3.9999999999999996E-5</v>
      </c>
      <c r="S110" s="9">
        <f t="shared" si="45"/>
        <v>9.4672298669942139E-7</v>
      </c>
      <c r="T110" s="9">
        <f t="shared" si="40"/>
        <v>2.238302231610496E-5</v>
      </c>
      <c r="U110" s="9">
        <f t="shared" si="41"/>
        <v>3.9053277013300577E-5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1.7823942665977037</v>
      </c>
      <c r="K111" s="55">
        <f t="shared" si="35"/>
        <v>0.66737418326023878</v>
      </c>
      <c r="L111" s="55">
        <f t="shared" si="36"/>
        <v>1.9823702514925254E-2</v>
      </c>
      <c r="M111" s="55">
        <f t="shared" si="42"/>
        <v>0.98017629748507473</v>
      </c>
      <c r="N111" s="55">
        <f t="shared" si="37"/>
        <v>7.1232332919505086E-3</v>
      </c>
      <c r="O111" s="56">
        <f t="shared" si="43"/>
        <v>6.6804724508298907E-7</v>
      </c>
      <c r="P111" s="56">
        <f t="shared" si="38"/>
        <v>4.0476359447260331E-5</v>
      </c>
      <c r="Q111" s="56">
        <f t="shared" si="39"/>
        <v>2.4240556721984909E-3</v>
      </c>
      <c r="R111" s="9">
        <f t="shared" si="44"/>
        <v>3.9999999999999996E-5</v>
      </c>
      <c r="S111" s="9">
        <f t="shared" si="45"/>
        <v>7.9294810059701006E-7</v>
      </c>
      <c r="T111" s="9">
        <f t="shared" si="40"/>
        <v>2.6694967330409549E-5</v>
      </c>
      <c r="U111" s="9">
        <f t="shared" si="41"/>
        <v>3.9207051899402987E-5</v>
      </c>
      <c r="V111" s="100">
        <f t="shared" si="46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2.5219720041185631</v>
      </c>
      <c r="J112" s="54">
        <f t="shared" si="34"/>
        <v>4.6712433234986683</v>
      </c>
      <c r="K112" s="55">
        <f t="shared" si="35"/>
        <v>2.8105112738045761E-3</v>
      </c>
      <c r="L112" s="55">
        <f t="shared" si="36"/>
        <v>6.4632321892438893E-2</v>
      </c>
      <c r="M112" s="55">
        <f t="shared" si="42"/>
        <v>0.93536767810756105</v>
      </c>
      <c r="N112" s="55">
        <f t="shared" si="37"/>
        <v>4.4737806313083057E-2</v>
      </c>
      <c r="O112" s="56">
        <f t="shared" si="43"/>
        <v>2.8133457374207239E-9</v>
      </c>
      <c r="P112" s="56">
        <f t="shared" si="38"/>
        <v>1.3196733006156381E-4</v>
      </c>
      <c r="Q112" s="56">
        <f t="shared" si="39"/>
        <v>1.5224397223869543E-2</v>
      </c>
      <c r="R112" s="9">
        <f t="shared" si="44"/>
        <v>3.9999999999999996E-5</v>
      </c>
      <c r="S112" s="9">
        <f t="shared" si="45"/>
        <v>2.5852928756975555E-6</v>
      </c>
      <c r="T112" s="9">
        <f t="shared" si="40"/>
        <v>1.1242045095218304E-7</v>
      </c>
      <c r="U112" s="9">
        <f t="shared" si="41"/>
        <v>3.7414707124302436E-5</v>
      </c>
      <c r="V112" s="100">
        <f t="shared" si="46"/>
        <v>3.004712841361818E-3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5.0251542040134112</v>
      </c>
      <c r="K113" s="55">
        <f t="shared" si="35"/>
        <v>1.2676815608050828E-3</v>
      </c>
      <c r="L113" s="55">
        <f t="shared" si="36"/>
        <v>6.5854503555202878E-2</v>
      </c>
      <c r="M113" s="55">
        <f t="shared" si="42"/>
        <v>0.93414549644479716</v>
      </c>
      <c r="N113" s="55">
        <f t="shared" si="37"/>
        <v>4.9130312500644126E-2</v>
      </c>
      <c r="O113" s="56">
        <f t="shared" si="43"/>
        <v>1.2689600460737433E-9</v>
      </c>
      <c r="P113" s="56">
        <f t="shared" si="38"/>
        <v>1.3446280053458162E-4</v>
      </c>
      <c r="Q113" s="56">
        <f t="shared" si="39"/>
        <v>1.6719179031894363E-2</v>
      </c>
      <c r="R113" s="9">
        <f t="shared" si="44"/>
        <v>3.9999999999999996E-5</v>
      </c>
      <c r="S113" s="9">
        <f t="shared" si="45"/>
        <v>2.634180142208115E-6</v>
      </c>
      <c r="T113" s="9">
        <f t="shared" si="40"/>
        <v>5.0707262432203309E-8</v>
      </c>
      <c r="U113" s="9">
        <f t="shared" si="41"/>
        <v>3.7365819857791884E-5</v>
      </c>
      <c r="V113" s="100">
        <f t="shared" si="46"/>
        <v>1.3570493736036501E-3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5.4334429478670883</v>
      </c>
      <c r="K114" s="55">
        <f t="shared" si="35"/>
        <v>5.0331506950453294E-4</v>
      </c>
      <c r="L114" s="55">
        <f t="shared" si="36"/>
        <v>6.6942817075597127E-2</v>
      </c>
      <c r="M114" s="55">
        <f t="shared" si="42"/>
        <v>0.93305718292440287</v>
      </c>
      <c r="N114" s="55">
        <f t="shared" si="37"/>
        <v>5.3165424618567624E-2</v>
      </c>
      <c r="O114" s="56">
        <f t="shared" si="43"/>
        <v>5.0382267403373956E-10</v>
      </c>
      <c r="P114" s="56">
        <f t="shared" si="38"/>
        <v>1.3668493684890667E-4</v>
      </c>
      <c r="Q114" s="56">
        <f t="shared" si="39"/>
        <v>1.8092338665520652E-2</v>
      </c>
      <c r="R114" s="9">
        <f t="shared" si="44"/>
        <v>3.9999999999999996E-5</v>
      </c>
      <c r="S114" s="9">
        <f t="shared" si="45"/>
        <v>2.6777126830238848E-6</v>
      </c>
      <c r="T114" s="9">
        <f t="shared" si="40"/>
        <v>2.0132602780181316E-8</v>
      </c>
      <c r="U114" s="9">
        <f t="shared" si="41"/>
        <v>3.7322287316976112E-5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1.8739262521806992</v>
      </c>
      <c r="J115" s="54">
        <f t="shared" si="34"/>
        <v>4.0303342335445063</v>
      </c>
      <c r="K115" s="55">
        <f t="shared" si="35"/>
        <v>1.2484359402229597E-2</v>
      </c>
      <c r="L115" s="55">
        <f t="shared" si="36"/>
        <v>6.563290076760353E-2</v>
      </c>
      <c r="M115" s="55">
        <f t="shared" si="42"/>
        <v>0.93436709923239647</v>
      </c>
      <c r="N115" s="55">
        <f t="shared" si="37"/>
        <v>5.0554130850559674E-2</v>
      </c>
      <c r="O115" s="56">
        <f t="shared" si="43"/>
        <v>1.2496950158518801E-8</v>
      </c>
      <c r="P115" s="56">
        <f t="shared" si="38"/>
        <v>1.3401032834485654E-4</v>
      </c>
      <c r="Q115" s="56">
        <f t="shared" si="39"/>
        <v>1.7203708290706273E-2</v>
      </c>
      <c r="R115" s="9">
        <f t="shared" si="44"/>
        <v>3.9999999999999996E-5</v>
      </c>
      <c r="S115" s="9">
        <f t="shared" si="45"/>
        <v>2.625316030704141E-6</v>
      </c>
      <c r="T115" s="9">
        <f t="shared" si="40"/>
        <v>4.9937437608918383E-7</v>
      </c>
      <c r="U115" s="9">
        <f t="shared" si="41"/>
        <v>3.7374683969295858E-5</v>
      </c>
      <c r="V115" s="100">
        <f t="shared" si="46"/>
        <v>1.3361300298871587E-2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-7.962000161821501E-3</v>
      </c>
      <c r="K116" s="55">
        <f t="shared" si="35"/>
        <v>0.99914856718411205</v>
      </c>
      <c r="L116" s="55">
        <f t="shared" si="36"/>
        <v>4.8093808814176752E-4</v>
      </c>
      <c r="M116" s="55">
        <f t="shared" si="42"/>
        <v>0.99951906191185824</v>
      </c>
      <c r="N116" s="55">
        <f t="shared" si="37"/>
        <v>6.5564909890938339E-7</v>
      </c>
      <c r="O116" s="56">
        <f t="shared" si="43"/>
        <v>1.0001562309096433E-6</v>
      </c>
      <c r="P116" s="56">
        <f t="shared" si="38"/>
        <v>9.8198724041827965E-7</v>
      </c>
      <c r="Q116" s="56">
        <f t="shared" si="39"/>
        <v>2.2311917243804382E-7</v>
      </c>
      <c r="R116" s="9">
        <f t="shared" si="44"/>
        <v>3.9999999999999996E-5</v>
      </c>
      <c r="S116" s="9">
        <f t="shared" si="45"/>
        <v>1.9237523525670699E-8</v>
      </c>
      <c r="T116" s="9">
        <f t="shared" si="40"/>
        <v>3.9965942687364477E-5</v>
      </c>
      <c r="U116" s="9">
        <f t="shared" si="41"/>
        <v>3.9980762476474327E-5</v>
      </c>
      <c r="V116" s="100">
        <f t="shared" si="46"/>
        <v>0.99962932700149054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0.72739079489951752</v>
      </c>
      <c r="K117" s="55">
        <f t="shared" si="35"/>
        <v>0.96218207331294336</v>
      </c>
      <c r="L117" s="55">
        <f t="shared" si="36"/>
        <v>2.518077885459134E-3</v>
      </c>
      <c r="M117" s="55">
        <f t="shared" si="42"/>
        <v>0.9974819221145409</v>
      </c>
      <c r="N117" s="55">
        <f t="shared" si="37"/>
        <v>3.3976498066641298E-4</v>
      </c>
      <c r="O117" s="56">
        <f t="shared" si="43"/>
        <v>9.6315245550081602E-7</v>
      </c>
      <c r="P117" s="56">
        <f t="shared" si="38"/>
        <v>5.1414525380061395E-6</v>
      </c>
      <c r="Q117" s="56">
        <f t="shared" si="39"/>
        <v>1.1562294745133994E-4</v>
      </c>
      <c r="R117" s="9">
        <f t="shared" si="44"/>
        <v>3.9999999999999996E-5</v>
      </c>
      <c r="S117" s="9">
        <f t="shared" si="45"/>
        <v>1.0072311541836535E-7</v>
      </c>
      <c r="T117" s="9">
        <f t="shared" si="40"/>
        <v>3.8487282932517732E-5</v>
      </c>
      <c r="U117" s="9">
        <f t="shared" si="41"/>
        <v>3.9899276884581634E-5</v>
      </c>
      <c r="V117" s="100">
        <f t="shared" si="46"/>
        <v>0.96461103903841572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1.7939559232562836</v>
      </c>
      <c r="K118" s="55">
        <f t="shared" si="35"/>
        <v>0.66149880457679311</v>
      </c>
      <c r="L118" s="55">
        <f t="shared" si="36"/>
        <v>2.0179299669587227E-2</v>
      </c>
      <c r="M118" s="55">
        <f t="shared" si="42"/>
        <v>0.9798207003304128</v>
      </c>
      <c r="N118" s="55">
        <f t="shared" si="37"/>
        <v>7.2996392795881071E-3</v>
      </c>
      <c r="O118" s="56">
        <f t="shared" si="43"/>
        <v>6.6216594094844693E-7</v>
      </c>
      <c r="P118" s="56">
        <f t="shared" si="38"/>
        <v>4.1202423523316999E-5</v>
      </c>
      <c r="Q118" s="56">
        <f t="shared" si="39"/>
        <v>2.4840871098078584E-3</v>
      </c>
      <c r="R118" s="9">
        <f t="shared" si="44"/>
        <v>3.9999999999999996E-5</v>
      </c>
      <c r="S118" s="9">
        <f t="shared" si="45"/>
        <v>8.0717198678348906E-7</v>
      </c>
      <c r="T118" s="9">
        <f t="shared" si="40"/>
        <v>2.6459952183071721E-5</v>
      </c>
      <c r="U118" s="9">
        <f t="shared" si="41"/>
        <v>3.9192828013216511E-5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-2.4703036904228835E-2</v>
      </c>
      <c r="K119" s="55">
        <f t="shared" si="35"/>
        <v>0.99948747450134157</v>
      </c>
      <c r="L119" s="55">
        <f t="shared" si="36"/>
        <v>4.6290878401064421E-4</v>
      </c>
      <c r="M119" s="55">
        <f t="shared" si="42"/>
        <v>0.99953709121598933</v>
      </c>
      <c r="N119" s="55">
        <f t="shared" si="37"/>
        <v>3.8249466710237977E-8</v>
      </c>
      <c r="O119" s="56">
        <f t="shared" si="43"/>
        <v>1.0004954800224986E-6</v>
      </c>
      <c r="P119" s="56">
        <f t="shared" si="38"/>
        <v>9.4517471288736604E-7</v>
      </c>
      <c r="Q119" s="56">
        <f t="shared" si="39"/>
        <v>1.3016397601675506E-8</v>
      </c>
      <c r="R119" s="9">
        <f t="shared" si="44"/>
        <v>3.9999999999999996E-5</v>
      </c>
      <c r="S119" s="9">
        <f t="shared" si="45"/>
        <v>1.8516351360425768E-8</v>
      </c>
      <c r="T119" s="9">
        <f t="shared" si="40"/>
        <v>3.9979498980053658E-5</v>
      </c>
      <c r="U119" s="9">
        <f t="shared" si="41"/>
        <v>3.9981483648639573E-5</v>
      </c>
      <c r="V119" s="100">
        <f t="shared" si="46"/>
        <v>0.99995036030670215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-2.7334406261084191E-2</v>
      </c>
      <c r="K120" s="55">
        <f t="shared" si="35"/>
        <v>0.99953986333335054</v>
      </c>
      <c r="L120" s="55">
        <f t="shared" si="36"/>
        <v>4.6013663885686984E-4</v>
      </c>
      <c r="M120" s="55">
        <f t="shared" si="42"/>
        <v>0.99953986336114309</v>
      </c>
      <c r="N120" s="55">
        <f t="shared" si="37"/>
        <v>4.9604659447911154E-17</v>
      </c>
      <c r="O120" s="56">
        <f t="shared" si="43"/>
        <v>1.0005479216898188E-6</v>
      </c>
      <c r="P120" s="56">
        <f t="shared" si="38"/>
        <v>9.3951450165287653E-7</v>
      </c>
      <c r="Q120" s="56">
        <f t="shared" si="39"/>
        <v>1.6880600588789327E-17</v>
      </c>
      <c r="R120" s="9">
        <f t="shared" si="44"/>
        <v>3.9999999999999996E-5</v>
      </c>
      <c r="S120" s="9">
        <f t="shared" si="45"/>
        <v>1.8405465554274794E-8</v>
      </c>
      <c r="T120" s="9">
        <f t="shared" si="40"/>
        <v>3.9981594533334018E-5</v>
      </c>
      <c r="U120" s="9">
        <f t="shared" si="41"/>
        <v>3.9981594534445718E-5</v>
      </c>
      <c r="V120" s="100">
        <f t="shared" si="46"/>
        <v>0.99999999997219469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0.14987948172139842</v>
      </c>
      <c r="K121" s="55">
        <f t="shared" si="35"/>
        <v>0.99528935403005347</v>
      </c>
      <c r="L121" s="55">
        <f t="shared" si="36"/>
        <v>6.8904874063798697E-4</v>
      </c>
      <c r="M121" s="55">
        <f t="shared" si="42"/>
        <v>0.99931095125936198</v>
      </c>
      <c r="N121" s="55">
        <f t="shared" si="37"/>
        <v>1.8493577262267912E-5</v>
      </c>
      <c r="O121" s="56">
        <f t="shared" si="43"/>
        <v>9.9629312565261627E-7</v>
      </c>
      <c r="P121" s="56">
        <f t="shared" si="38"/>
        <v>1.4069109684099993E-6</v>
      </c>
      <c r="Q121" s="56">
        <f t="shared" si="39"/>
        <v>6.2934146650089852E-6</v>
      </c>
      <c r="R121" s="9">
        <f t="shared" si="44"/>
        <v>3.9999999999999996E-5</v>
      </c>
      <c r="S121" s="9">
        <f t="shared" si="45"/>
        <v>2.7561949625519478E-8</v>
      </c>
      <c r="T121" s="9">
        <f t="shared" si="40"/>
        <v>3.9811574161202132E-5</v>
      </c>
      <c r="U121" s="9">
        <f t="shared" si="41"/>
        <v>3.9972438050374473E-5</v>
      </c>
      <c r="V121" s="100">
        <f t="shared" si="46"/>
        <v>0.99597562978346188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4.6595022327749405</v>
      </c>
      <c r="K122" s="55">
        <f t="shared" si="35"/>
        <v>3.0297632665261098E-3</v>
      </c>
      <c r="L122" s="55">
        <f t="shared" si="36"/>
        <v>6.7815978340407493E-2</v>
      </c>
      <c r="M122" s="55">
        <f t="shared" si="42"/>
        <v>0.93218402165959247</v>
      </c>
      <c r="N122" s="55">
        <f t="shared" si="37"/>
        <v>5.7040198945912786E-2</v>
      </c>
      <c r="O122" s="56">
        <f t="shared" si="43"/>
        <v>3.0328188506913649E-9</v>
      </c>
      <c r="P122" s="56">
        <f t="shared" si="38"/>
        <v>1.384677717750904E-4</v>
      </c>
      <c r="Q122" s="56">
        <f t="shared" si="39"/>
        <v>1.9410934912719821E-2</v>
      </c>
      <c r="R122" s="9">
        <f t="shared" si="44"/>
        <v>3.9999999999999996E-5</v>
      </c>
      <c r="S122" s="9">
        <f t="shared" si="45"/>
        <v>2.7126391336162995E-6</v>
      </c>
      <c r="T122" s="9">
        <f t="shared" si="40"/>
        <v>1.2119053066104437E-7</v>
      </c>
      <c r="U122" s="9">
        <f t="shared" si="41"/>
        <v>3.7287360866383695E-5</v>
      </c>
      <c r="V122" s="100">
        <f t="shared" si="46"/>
        <v>3.2501772140785465E-3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0.59290013383231599</v>
      </c>
      <c r="K123" s="55">
        <f t="shared" ref="K123:K127" si="49">IF(D123=0,"",1/(1+10^D123*$J$15/$J$14+10^E123*$J$16/$J$14+10^J123*$J$19/$J$14))</f>
        <v>0.97410991181275064</v>
      </c>
      <c r="L123" s="55">
        <f t="shared" ref="L123:L127" si="50">IF(D123=0,"",1/(1+10^I123/10^J123*$J$13/$J$19))</f>
        <v>1.8703771971370459E-3</v>
      </c>
      <c r="M123" s="55">
        <f t="shared" si="42"/>
        <v>0.99812962280286299</v>
      </c>
      <c r="N123" s="55">
        <f t="shared" ref="N123:N127" si="51">IF(D123=0,"",1/(1/10^E123*$J$20/$J$22+10^D123/10^E123*$J$21/$J$22+10^I123/10^E123*$J$13/$J$22+1))</f>
        <v>2.6736793120925523E-4</v>
      </c>
      <c r="O123" s="56">
        <f t="shared" si="43"/>
        <v>9.7509232349310805E-7</v>
      </c>
      <c r="P123" s="56">
        <f t="shared" ref="P123:P127" si="52">IF(D123=0,"",O123*10^J123)</f>
        <v>3.8189666978849851E-6</v>
      </c>
      <c r="Q123" s="56">
        <f t="shared" ref="Q123:Q127" si="53">IF(D123=0,"",F123*N123*$J$7/$J$22)</f>
        <v>9.0986034522295137E-5</v>
      </c>
      <c r="R123" s="9">
        <f t="shared" si="44"/>
        <v>3.9999999999999996E-5</v>
      </c>
      <c r="S123" s="9">
        <f t="shared" si="45"/>
        <v>7.4815087885481834E-8</v>
      </c>
      <c r="T123" s="9">
        <f t="shared" si="40"/>
        <v>3.8964396472510023E-5</v>
      </c>
      <c r="U123" s="9">
        <f t="shared" si="41"/>
        <v>3.9925184912114519E-5</v>
      </c>
      <c r="V123" s="100">
        <f t="shared" si="46"/>
        <v>0.97593527890429477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0.82079702681253675</v>
      </c>
      <c r="K124" s="55">
        <f t="shared" si="49"/>
        <v>0.95050186343827769</v>
      </c>
      <c r="L124" s="55">
        <f t="shared" si="50"/>
        <v>3.0844028965403194E-3</v>
      </c>
      <c r="M124" s="55">
        <f t="shared" si="42"/>
        <v>0.99691559710345967</v>
      </c>
      <c r="N124" s="55">
        <f t="shared" si="51"/>
        <v>1.4911499760128177E-4</v>
      </c>
      <c r="O124" s="56">
        <f t="shared" si="43"/>
        <v>9.5146046587268435E-7</v>
      </c>
      <c r="P124" s="56">
        <f t="shared" si="52"/>
        <v>6.2977841917543354E-6</v>
      </c>
      <c r="Q124" s="56">
        <f t="shared" si="53"/>
        <v>5.0744239438811688E-5</v>
      </c>
      <c r="R124" s="9">
        <f t="shared" si="44"/>
        <v>3.9999999999999996E-5</v>
      </c>
      <c r="S124" s="9">
        <f t="shared" si="45"/>
        <v>1.2337611586161277E-7</v>
      </c>
      <c r="T124" s="9">
        <f t="shared" si="40"/>
        <v>3.8020074537531107E-5</v>
      </c>
      <c r="U124" s="9">
        <f t="shared" si="41"/>
        <v>3.9876623884138384E-5</v>
      </c>
      <c r="V124" s="100">
        <f t="shared" si="46"/>
        <v>0.95344266475513351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6.251581841145204E-2</v>
      </c>
      <c r="K125" s="55">
        <f t="shared" si="49"/>
        <v>0.99757484184402312</v>
      </c>
      <c r="L125" s="55">
        <f t="shared" si="50"/>
        <v>5.6478403167453564E-4</v>
      </c>
      <c r="M125" s="55">
        <f t="shared" si="42"/>
        <v>0.99943521596832552</v>
      </c>
      <c r="N125" s="55">
        <f t="shared" si="51"/>
        <v>4.0091549462835641E-6</v>
      </c>
      <c r="O125" s="56">
        <f t="shared" si="43"/>
        <v>9.9858091843227446E-7</v>
      </c>
      <c r="P125" s="56">
        <f t="shared" si="52"/>
        <v>1.1531852568368494E-6</v>
      </c>
      <c r="Q125" s="56">
        <f t="shared" si="53"/>
        <v>1.3643263374854565E-6</v>
      </c>
      <c r="R125" s="9">
        <f t="shared" si="44"/>
        <v>3.9999999999999996E-5</v>
      </c>
      <c r="S125" s="9">
        <f t="shared" si="45"/>
        <v>2.2591361266981423E-8</v>
      </c>
      <c r="T125" s="9">
        <f t="shared" si="40"/>
        <v>3.9902993673760921E-5</v>
      </c>
      <c r="U125" s="9">
        <f t="shared" si="41"/>
        <v>3.997740863873302E-5</v>
      </c>
      <c r="V125" s="100">
        <f t="shared" si="46"/>
        <v>0.9981385745723399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3.6115343476543504</v>
      </c>
      <c r="K126" s="55">
        <f t="shared" si="49"/>
        <v>3.1512047654512862E-2</v>
      </c>
      <c r="L126" s="55">
        <f t="shared" si="50"/>
        <v>6.3158538976992126E-2</v>
      </c>
      <c r="M126" s="55">
        <f t="shared" si="42"/>
        <v>0.93684146102300792</v>
      </c>
      <c r="N126" s="55">
        <f t="shared" si="51"/>
        <v>4.4889933325178939E-2</v>
      </c>
      <c r="O126" s="56">
        <f t="shared" si="43"/>
        <v>3.1543828260902717E-8</v>
      </c>
      <c r="P126" s="56">
        <f t="shared" si="52"/>
        <v>1.2895813604304256E-4</v>
      </c>
      <c r="Q126" s="56">
        <f t="shared" si="53"/>
        <v>1.5276166460036825E-2</v>
      </c>
      <c r="R126" s="9">
        <f t="shared" si="44"/>
        <v>3.9999999999999996E-5</v>
      </c>
      <c r="S126" s="9">
        <f t="shared" si="45"/>
        <v>2.526341559079685E-6</v>
      </c>
      <c r="T126" s="9">
        <f t="shared" si="40"/>
        <v>1.2604819061805144E-6</v>
      </c>
      <c r="U126" s="9">
        <f t="shared" si="41"/>
        <v>3.7473658440920316E-5</v>
      </c>
      <c r="V126" s="100">
        <f t="shared" si="46"/>
        <v>3.3636478492425473E-2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0.12683662687631944</v>
      </c>
      <c r="J127" s="54">
        <f t="shared" si="48"/>
        <v>1.6417808834980265</v>
      </c>
      <c r="K127" s="55">
        <f t="shared" si="49"/>
        <v>0.73456216458336243</v>
      </c>
      <c r="L127" s="55">
        <f t="shared" si="50"/>
        <v>1.578448953581222E-2</v>
      </c>
      <c r="M127" s="55">
        <f t="shared" si="42"/>
        <v>0.98421551046418776</v>
      </c>
      <c r="N127" s="55">
        <f t="shared" si="51"/>
        <v>5.2107578440186526E-3</v>
      </c>
      <c r="O127" s="56">
        <f t="shared" si="43"/>
        <v>7.3530298699126964E-7</v>
      </c>
      <c r="P127" s="56">
        <f t="shared" si="52"/>
        <v>3.2229028440172993E-5</v>
      </c>
      <c r="Q127" s="56">
        <f t="shared" si="53"/>
        <v>1.7732350732524559E-3</v>
      </c>
      <c r="R127" s="9">
        <f t="shared" si="44"/>
        <v>3.9999999999999996E-5</v>
      </c>
      <c r="S127" s="9">
        <f t="shared" si="45"/>
        <v>6.3137958143248872E-7</v>
      </c>
      <c r="T127" s="9">
        <f t="shared" si="40"/>
        <v>2.9382486583334495E-5</v>
      </c>
      <c r="U127" s="9">
        <f t="shared" si="41"/>
        <v>3.9368620418567507E-5</v>
      </c>
      <c r="V127" s="100">
        <f t="shared" si="46"/>
        <v>0.74634280477546955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2.5348483209025892</v>
      </c>
      <c r="K128" s="55">
        <f t="shared" ref="K128:K134" si="56">IF(D128=0,"",1/(1+10^D128*$J$15/$J$14+10^E128*$J$16/$J$14+10^J128*$J$19/$J$14))</f>
        <v>0.25932619958992381</v>
      </c>
      <c r="L128" s="55">
        <f t="shared" ref="L128:L134" si="57">IF(D128=0,"",1/(1+10^I128/10^J128*$J$13/$J$19))</f>
        <v>4.3562803312072351E-2</v>
      </c>
      <c r="M128" s="55">
        <f t="shared" ref="M128:M134" si="58">IF(D128=0,"",1-L128)</f>
        <v>0.9564371966879277</v>
      </c>
      <c r="N128" s="55">
        <f t="shared" ref="N128:N134" si="59">IF(D128=0,"",1/(1/10^E128*$J$20/$J$22+10^D128/10^E128*$J$21/$J$22+10^I128/10^E128*$J$13/$J$22+1))</f>
        <v>1.5688873047826984E-2</v>
      </c>
      <c r="O128" s="56">
        <f t="shared" ref="O128:O134" si="60">IF(D128=0,"",F128*K128*$J$7/$J$14)</f>
        <v>2.59587735874906E-7</v>
      </c>
      <c r="P128" s="56">
        <f t="shared" ref="P128:P134" si="61">IF(D128=0,"",O128*10^J128)</f>
        <v>8.8947243032031119E-5</v>
      </c>
      <c r="Q128" s="56">
        <f t="shared" ref="Q128:Q134" si="62">IF(D128=0,"",F128*N128*$J$7/$J$22)</f>
        <v>5.3389661889865353E-3</v>
      </c>
      <c r="R128" s="9">
        <f t="shared" si="44"/>
        <v>3.9999999999999996E-5</v>
      </c>
      <c r="S128" s="9">
        <f t="shared" si="45"/>
        <v>1.7425121324828939E-6</v>
      </c>
      <c r="T128" s="9">
        <f t="shared" si="40"/>
        <v>1.0373047983596951E-5</v>
      </c>
      <c r="U128" s="9">
        <f t="shared" si="41"/>
        <v>3.8257487867517106E-5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-2.593268247487154E-2</v>
      </c>
      <c r="K129" s="55">
        <f t="shared" si="56"/>
        <v>0.99951197184821405</v>
      </c>
      <c r="L129" s="55">
        <f t="shared" si="57"/>
        <v>4.6161128845287119E-4</v>
      </c>
      <c r="M129" s="55">
        <f t="shared" si="58"/>
        <v>0.9995383887115471</v>
      </c>
      <c r="N129" s="55">
        <f t="shared" si="59"/>
        <v>1.5654633027962846E-8</v>
      </c>
      <c r="O129" s="56">
        <f t="shared" si="60"/>
        <v>1.0005200020754945E-6</v>
      </c>
      <c r="P129" s="56">
        <f t="shared" si="61"/>
        <v>9.4252546527390411E-7</v>
      </c>
      <c r="Q129" s="56">
        <f t="shared" si="62"/>
        <v>5.3273142170566474E-9</v>
      </c>
      <c r="R129" s="9">
        <f t="shared" si="44"/>
        <v>3.9999999999999996E-5</v>
      </c>
      <c r="S129" s="9">
        <f t="shared" si="45"/>
        <v>1.8464451538114847E-8</v>
      </c>
      <c r="T129" s="9">
        <f t="shared" si="40"/>
        <v>3.9980478873928562E-5</v>
      </c>
      <c r="U129" s="9">
        <f t="shared" si="41"/>
        <v>3.9981535548461883E-5</v>
      </c>
      <c r="V129" s="100">
        <f t="shared" si="46"/>
        <v>0.99997357093671302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1.049471547560735</v>
      </c>
      <c r="K130" s="55">
        <f t="shared" si="56"/>
        <v>0.91783410853106207</v>
      </c>
      <c r="L130" s="55">
        <f t="shared" si="57"/>
        <v>5.042626982169846E-3</v>
      </c>
      <c r="M130" s="55">
        <f t="shared" si="58"/>
        <v>0.99495737301783016</v>
      </c>
      <c r="N130" s="55">
        <f t="shared" si="59"/>
        <v>1.0570457048415598E-3</v>
      </c>
      <c r="O130" s="56">
        <f t="shared" si="60"/>
        <v>9.1875976480240971E-7</v>
      </c>
      <c r="P130" s="56">
        <f t="shared" si="61"/>
        <v>1.0296118100798183E-5</v>
      </c>
      <c r="Q130" s="56">
        <f t="shared" si="62"/>
        <v>3.597155296724258E-4</v>
      </c>
      <c r="R130" s="9">
        <f t="shared" si="44"/>
        <v>3.9999999999999996E-5</v>
      </c>
      <c r="S130" s="9">
        <f t="shared" si="45"/>
        <v>2.0170507928679383E-7</v>
      </c>
      <c r="T130" s="9">
        <f t="shared" si="40"/>
        <v>3.6713364341242478E-5</v>
      </c>
      <c r="U130" s="9">
        <f t="shared" si="41"/>
        <v>3.9798294920713204E-5</v>
      </c>
      <c r="V130" s="100">
        <f t="shared" si="46"/>
        <v>0.92248586062250726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5.2548982062344575E-2</v>
      </c>
      <c r="K131" s="55">
        <f t="shared" si="56"/>
        <v>0.99782132613941921</v>
      </c>
      <c r="L131" s="55">
        <f t="shared" si="57"/>
        <v>5.5210650827517858E-4</v>
      </c>
      <c r="M131" s="55">
        <f t="shared" si="58"/>
        <v>0.9994478934917248</v>
      </c>
      <c r="N131" s="55">
        <f t="shared" si="59"/>
        <v>5.2351016347098601E-6</v>
      </c>
      <c r="O131" s="56">
        <f t="shared" si="60"/>
        <v>9.9882765131260736E-7</v>
      </c>
      <c r="P131" s="56">
        <f t="shared" si="61"/>
        <v>1.1273000825800684E-6</v>
      </c>
      <c r="Q131" s="56">
        <f t="shared" si="62"/>
        <v>1.7815193314662812E-6</v>
      </c>
      <c r="R131" s="9">
        <f t="shared" si="44"/>
        <v>3.9999999999999996E-5</v>
      </c>
      <c r="S131" s="9">
        <f t="shared" si="45"/>
        <v>2.2084260331007143E-8</v>
      </c>
      <c r="T131" s="9">
        <f t="shared" si="40"/>
        <v>3.9912853045576763E-5</v>
      </c>
      <c r="U131" s="9">
        <f t="shared" si="41"/>
        <v>3.997791573966899E-5</v>
      </c>
      <c r="V131" s="100">
        <f t="shared" si="46"/>
        <v>0.99837253411318627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0.15847793826064802</v>
      </c>
      <c r="K132" s="55">
        <f t="shared" si="56"/>
        <v>0.995038923108438</v>
      </c>
      <c r="L132" s="55">
        <f t="shared" si="57"/>
        <v>7.0265009702680399E-4</v>
      </c>
      <c r="M132" s="55">
        <f t="shared" si="58"/>
        <v>0.99929734990297314</v>
      </c>
      <c r="N132" s="55">
        <f t="shared" si="59"/>
        <v>2.0023435378256858E-5</v>
      </c>
      <c r="O132" s="56">
        <f t="shared" si="60"/>
        <v>9.9604244216580276E-7</v>
      </c>
      <c r="P132" s="56">
        <f t="shared" si="61"/>
        <v>1.4346824399476468E-6</v>
      </c>
      <c r="Q132" s="56">
        <f t="shared" si="62"/>
        <v>6.8140295447592515E-6</v>
      </c>
      <c r="R132" s="9">
        <f t="shared" si="44"/>
        <v>3.9999999999999996E-5</v>
      </c>
      <c r="S132" s="9">
        <f t="shared" si="45"/>
        <v>2.8106003881072159E-8</v>
      </c>
      <c r="T132" s="9">
        <f t="shared" si="40"/>
        <v>3.9801556924337519E-5</v>
      </c>
      <c r="U132" s="9">
        <f t="shared" si="41"/>
        <v>3.9971893996118922E-5</v>
      </c>
      <c r="V132" s="100">
        <f t="shared" si="46"/>
        <v>0.99573857891752782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1.8475110079890487</v>
      </c>
      <c r="K133" s="55">
        <f t="shared" si="56"/>
        <v>0.63368592640859556</v>
      </c>
      <c r="L133" s="55">
        <f t="shared" si="57"/>
        <v>2.1867854358169084E-2</v>
      </c>
      <c r="M133" s="55">
        <f t="shared" si="58"/>
        <v>0.97813214564183093</v>
      </c>
      <c r="N133" s="55">
        <f t="shared" si="59"/>
        <v>8.1548403043032007E-3</v>
      </c>
      <c r="O133" s="56">
        <f t="shared" si="60"/>
        <v>6.3432501286920192E-7</v>
      </c>
      <c r="P133" s="56">
        <f t="shared" si="61"/>
        <v>4.4650142054703241E-5</v>
      </c>
      <c r="Q133" s="56">
        <f t="shared" si="62"/>
        <v>2.7751143455960227E-3</v>
      </c>
      <c r="R133" s="9">
        <f t="shared" si="44"/>
        <v>3.9999999999999996E-5</v>
      </c>
      <c r="S133" s="9">
        <f t="shared" si="45"/>
        <v>8.7471417432676332E-7</v>
      </c>
      <c r="T133" s="9">
        <f t="shared" si="40"/>
        <v>2.534743705634382E-5</v>
      </c>
      <c r="U133" s="9">
        <f t="shared" si="41"/>
        <v>3.9125285825673231E-5</v>
      </c>
      <c r="V133" s="100">
        <f t="shared" si="46"/>
        <v>0.64785308327923663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-2.6891356441987993E-2</v>
      </c>
      <c r="K134" s="55">
        <f t="shared" si="56"/>
        <v>0.99953104787121105</v>
      </c>
      <c r="L134" s="55">
        <f t="shared" si="57"/>
        <v>4.6060222900148125E-4</v>
      </c>
      <c r="M134" s="55">
        <f t="shared" si="58"/>
        <v>0.99953939777099854</v>
      </c>
      <c r="N134" s="55">
        <f t="shared" si="59"/>
        <v>3.0542861426649158E-9</v>
      </c>
      <c r="O134" s="56">
        <f t="shared" si="60"/>
        <v>1.0005390973370885E-6</v>
      </c>
      <c r="P134" s="56">
        <f t="shared" si="61"/>
        <v>9.404651512116164E-7</v>
      </c>
      <c r="Q134" s="56">
        <f t="shared" si="62"/>
        <v>1.0393818853315718E-9</v>
      </c>
      <c r="R134" s="9">
        <f t="shared" si="44"/>
        <v>3.9999999999999996E-5</v>
      </c>
      <c r="S134" s="9">
        <f t="shared" si="45"/>
        <v>1.8424089160059249E-8</v>
      </c>
      <c r="T134" s="9">
        <f t="shared" si="40"/>
        <v>3.9981241914848439E-5</v>
      </c>
      <c r="U134" s="9">
        <f t="shared" si="41"/>
        <v>3.9981575910839941E-5</v>
      </c>
      <c r="V134" s="100">
        <f t="shared" si="46"/>
        <v>0.99999164625245773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0.24917333797309088</v>
      </c>
      <c r="K135" s="55">
        <f t="shared" ref="K135:K143" si="65">IF(D135=0,"",1/(1+10^D135*$J$15/$J$14+10^E135*$J$16/$J$14+10^J135*$J$19/$J$14))</f>
        <v>0.992092059796291</v>
      </c>
      <c r="L135" s="55">
        <f t="shared" ref="L135:L143" si="66">IF(D135=0,"",1/(1+10^I135/10^J135*$J$13/$J$19))</f>
        <v>8.632695345690552E-4</v>
      </c>
      <c r="M135" s="55">
        <f t="shared" ref="M135:M143" si="67">IF(D135=0,"",1-L135)</f>
        <v>0.99913673046543094</v>
      </c>
      <c r="N135" s="55">
        <f t="shared" ref="N135:N143" si="68">IF(D135=0,"",1/(1/10^E135*$J$20/$J$22+10^D135/10^E135*$J$21/$J$22+10^I135/10^E135*$J$13/$J$22+1))</f>
        <v>4.0220027133392583E-5</v>
      </c>
      <c r="O135" s="56">
        <f t="shared" ref="O135:O143" si="69">IF(D135=0,"",F135*K135*$J$7/$J$14)</f>
        <v>9.930926068759527E-7</v>
      </c>
      <c r="P135" s="56">
        <f t="shared" ref="P135:P143" si="70">IF(D135=0,"",O135*10^J135)</f>
        <v>1.7626378298795793E-6</v>
      </c>
      <c r="Q135" s="56">
        <f t="shared" ref="Q135:Q143" si="71">IF(D135=0,"",F135*N135*$J$7/$J$22)</f>
        <v>1.3686984675744197E-5</v>
      </c>
      <c r="R135" s="9">
        <f t="shared" si="44"/>
        <v>3.9999999999999996E-5</v>
      </c>
      <c r="S135" s="9">
        <f t="shared" si="45"/>
        <v>3.4530781382762204E-8</v>
      </c>
      <c r="T135" s="9">
        <f t="shared" si="40"/>
        <v>3.9683682391851636E-5</v>
      </c>
      <c r="U135" s="9">
        <f t="shared" si="41"/>
        <v>3.9965469218617236E-5</v>
      </c>
      <c r="V135" s="100">
        <f t="shared" si="46"/>
        <v>0.99294924262682416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-9.7580227274934681E-3</v>
      </c>
      <c r="K136" s="55">
        <f t="shared" si="65"/>
        <v>0.99918545564970074</v>
      </c>
      <c r="L136" s="55">
        <f t="shared" si="66"/>
        <v>4.789709610075292E-4</v>
      </c>
      <c r="M136" s="55">
        <f t="shared" si="67"/>
        <v>0.99952102903899243</v>
      </c>
      <c r="N136" s="55">
        <f t="shared" si="68"/>
        <v>5.7026608910808012E-7</v>
      </c>
      <c r="O136" s="56">
        <f t="shared" si="69"/>
        <v>1.0001931565780764E-6</v>
      </c>
      <c r="P136" s="56">
        <f t="shared" si="70"/>
        <v>9.7797072811923017E-7</v>
      </c>
      <c r="Q136" s="56">
        <f t="shared" si="71"/>
        <v>1.9406310186793979E-7</v>
      </c>
      <c r="R136" s="9">
        <f t="shared" si="44"/>
        <v>3.9999999999999996E-5</v>
      </c>
      <c r="S136" s="9">
        <f t="shared" si="45"/>
        <v>1.9158838440301167E-8</v>
      </c>
      <c r="T136" s="9">
        <f t="shared" si="40"/>
        <v>3.9967418225988027E-5</v>
      </c>
      <c r="U136" s="9">
        <f t="shared" si="41"/>
        <v>3.998084116155969E-5</v>
      </c>
      <c r="V136" s="100">
        <f t="shared" si="46"/>
        <v>0.99966426580377765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-2.7286447549983092E-2</v>
      </c>
      <c r="K137" s="55">
        <f t="shared" si="65"/>
        <v>0.99953890853498106</v>
      </c>
      <c r="L137" s="55">
        <f t="shared" si="66"/>
        <v>4.6018701450904889E-4</v>
      </c>
      <c r="M137" s="55">
        <f t="shared" si="67"/>
        <v>0.99953981298549099</v>
      </c>
      <c r="N137" s="55">
        <f t="shared" si="68"/>
        <v>1.2987339487356168E-10</v>
      </c>
      <c r="O137" s="56">
        <f t="shared" si="69"/>
        <v>1.0005469659285139E-6</v>
      </c>
      <c r="P137" s="56">
        <f t="shared" si="70"/>
        <v>9.3961735948195576E-7</v>
      </c>
      <c r="Q137" s="56">
        <f t="shared" si="71"/>
        <v>4.4196269672465886E-11</v>
      </c>
      <c r="R137" s="9">
        <f t="shared" si="44"/>
        <v>3.9999999999999996E-5</v>
      </c>
      <c r="S137" s="9">
        <f t="shared" si="45"/>
        <v>1.8407480580361953E-8</v>
      </c>
      <c r="T137" s="9">
        <f t="shared" si="40"/>
        <v>3.9981556341399241E-5</v>
      </c>
      <c r="U137" s="9">
        <f t="shared" si="41"/>
        <v>3.9981592519419639E-5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-1.1674507445575737E-2</v>
      </c>
      <c r="K138" s="55">
        <f t="shared" si="65"/>
        <v>0.9992246721278204</v>
      </c>
      <c r="L138" s="55">
        <f t="shared" si="66"/>
        <v>4.7688069767348751E-4</v>
      </c>
      <c r="M138" s="55">
        <f t="shared" si="67"/>
        <v>0.99952311930232651</v>
      </c>
      <c r="N138" s="55">
        <f t="shared" si="68"/>
        <v>4.8337644633645292E-7</v>
      </c>
      <c r="O138" s="56">
        <f t="shared" si="69"/>
        <v>1.0002324126068932E-6</v>
      </c>
      <c r="P138" s="56">
        <f t="shared" si="70"/>
        <v>9.7370279431703603E-7</v>
      </c>
      <c r="Q138" s="56">
        <f t="shared" si="71"/>
        <v>1.6449431999835296E-7</v>
      </c>
      <c r="R138" s="9">
        <f t="shared" si="44"/>
        <v>3.9999999999999996E-5</v>
      </c>
      <c r="S138" s="9">
        <f t="shared" si="45"/>
        <v>1.9075227906939498E-8</v>
      </c>
      <c r="T138" s="9">
        <f t="shared" si="40"/>
        <v>3.9968986885112816E-5</v>
      </c>
      <c r="U138" s="9">
        <f t="shared" si="41"/>
        <v>3.9980924772093057E-5</v>
      </c>
      <c r="V138" s="100">
        <f t="shared" si="46"/>
        <v>0.99970141043389327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0.1947752592439376</v>
      </c>
      <c r="K139" s="55">
        <f t="shared" si="65"/>
        <v>0.99388239479153895</v>
      </c>
      <c r="L139" s="55">
        <f t="shared" si="66"/>
        <v>7.6301198531591302E-4</v>
      </c>
      <c r="M139" s="55">
        <f t="shared" si="67"/>
        <v>0.99923698801468408</v>
      </c>
      <c r="N139" s="55">
        <f t="shared" si="68"/>
        <v>1.765059504077046E-5</v>
      </c>
      <c r="O139" s="56">
        <f t="shared" si="69"/>
        <v>9.9488474746417325E-7</v>
      </c>
      <c r="P139" s="56">
        <f t="shared" si="70"/>
        <v>1.5579303289565671E-6</v>
      </c>
      <c r="Q139" s="56">
        <f t="shared" si="71"/>
        <v>6.0065455212042292E-6</v>
      </c>
      <c r="R139" s="9">
        <f t="shared" si="44"/>
        <v>3.9999999999999996E-5</v>
      </c>
      <c r="S139" s="9">
        <f t="shared" si="45"/>
        <v>3.0520479412636516E-8</v>
      </c>
      <c r="T139" s="9">
        <f t="shared" si="40"/>
        <v>3.9755295791661551E-5</v>
      </c>
      <c r="U139" s="9">
        <f t="shared" si="41"/>
        <v>3.9969479520587357E-5</v>
      </c>
      <c r="V139" s="100">
        <f t="shared" si="46"/>
        <v>0.99464131803829259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-2.6972870159827515E-2</v>
      </c>
      <c r="K140" s="55">
        <f t="shared" si="65"/>
        <v>0.99953266943772401</v>
      </c>
      <c r="L140" s="55">
        <f t="shared" si="66"/>
        <v>4.605165327427927E-4</v>
      </c>
      <c r="M140" s="55">
        <f t="shared" si="67"/>
        <v>0.99953948346725718</v>
      </c>
      <c r="N140" s="55">
        <f t="shared" si="68"/>
        <v>2.2886107160403848E-9</v>
      </c>
      <c r="O140" s="56">
        <f t="shared" si="69"/>
        <v>1.0005407205389875E-6</v>
      </c>
      <c r="P140" s="56">
        <f t="shared" si="70"/>
        <v>9.4029017519150362E-7</v>
      </c>
      <c r="Q140" s="56">
        <f t="shared" si="71"/>
        <v>7.7882045418069525E-10</v>
      </c>
      <c r="R140" s="9">
        <f t="shared" si="44"/>
        <v>3.9999999999999996E-5</v>
      </c>
      <c r="S140" s="9">
        <f t="shared" si="45"/>
        <v>1.8420661309711705E-8</v>
      </c>
      <c r="T140" s="9">
        <f t="shared" si="40"/>
        <v>3.9981306777508957E-5</v>
      </c>
      <c r="U140" s="9">
        <f t="shared" si="41"/>
        <v>3.9981579338690284E-5</v>
      </c>
      <c r="V140" s="100">
        <f t="shared" si="46"/>
        <v>0.99999318283104777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-2.6434033531255577E-2</v>
      </c>
      <c r="K141" s="55">
        <f t="shared" si="65"/>
        <v>0.99952194961228757</v>
      </c>
      <c r="L141" s="55">
        <f t="shared" si="66"/>
        <v>4.6108331302533736E-4</v>
      </c>
      <c r="M141" s="55">
        <f t="shared" si="67"/>
        <v>0.9995389166869747</v>
      </c>
      <c r="N141" s="55">
        <f t="shared" si="68"/>
        <v>8.3546805362894293E-9</v>
      </c>
      <c r="O141" s="56">
        <f t="shared" si="69"/>
        <v>1.0005299899023669E-6</v>
      </c>
      <c r="P141" s="56">
        <f t="shared" si="70"/>
        <v>9.414474364259587E-7</v>
      </c>
      <c r="Q141" s="56">
        <f t="shared" si="71"/>
        <v>2.8431205203238808E-9</v>
      </c>
      <c r="R141" s="9">
        <f t="shared" si="44"/>
        <v>3.9999999999999996E-5</v>
      </c>
      <c r="S141" s="9">
        <f t="shared" si="45"/>
        <v>1.8443332521013491E-8</v>
      </c>
      <c r="T141" s="9">
        <f t="shared" si="40"/>
        <v>3.9980877984491499E-5</v>
      </c>
      <c r="U141" s="9">
        <f t="shared" si="41"/>
        <v>3.9981556667478988E-5</v>
      </c>
      <c r="V141" s="100">
        <f t="shared" si="46"/>
        <v>0.99998302509846904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1.2132340118722345</v>
      </c>
      <c r="K142" s="55">
        <f t="shared" si="65"/>
        <v>0.88262022340942403</v>
      </c>
      <c r="L142" s="55">
        <f t="shared" si="66"/>
        <v>7.0701558776269154E-3</v>
      </c>
      <c r="M142" s="55">
        <f t="shared" si="67"/>
        <v>0.99292984412237306</v>
      </c>
      <c r="N142" s="55">
        <f t="shared" si="68"/>
        <v>1.7149395170169949E-3</v>
      </c>
      <c r="O142" s="56">
        <f t="shared" si="69"/>
        <v>8.835103656883211E-7</v>
      </c>
      <c r="P142" s="56">
        <f t="shared" si="70"/>
        <v>1.4435959702055008E-5</v>
      </c>
      <c r="Q142" s="56">
        <f t="shared" si="71"/>
        <v>5.8359858414297038E-4</v>
      </c>
      <c r="R142" s="9">
        <f t="shared" si="44"/>
        <v>3.9999999999999996E-5</v>
      </c>
      <c r="S142" s="9">
        <f t="shared" si="45"/>
        <v>2.8280623510507658E-7</v>
      </c>
      <c r="T142" s="9">
        <f t="shared" si="40"/>
        <v>3.5304808936376956E-5</v>
      </c>
      <c r="U142" s="9">
        <f t="shared" si="41"/>
        <v>3.9717193764894916E-5</v>
      </c>
      <c r="V142" s="100">
        <f t="shared" si="46"/>
        <v>0.88890491975246344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2.2097555434969687</v>
      </c>
      <c r="K143" s="55">
        <f t="shared" si="65"/>
        <v>0.40313752139183368</v>
      </c>
      <c r="L143" s="55">
        <f t="shared" si="66"/>
        <v>3.2035379096727032E-2</v>
      </c>
      <c r="M143" s="55">
        <f t="shared" si="67"/>
        <v>0.96796462090327295</v>
      </c>
      <c r="N143" s="55">
        <f t="shared" si="68"/>
        <v>4.9983372661355544E-4</v>
      </c>
      <c r="O143" s="56">
        <f t="shared" si="69"/>
        <v>4.0354409461832791E-7</v>
      </c>
      <c r="P143" s="56">
        <f t="shared" si="70"/>
        <v>6.5410360066294745E-5</v>
      </c>
      <c r="Q143" s="56">
        <f t="shared" si="71"/>
        <v>1.7009477725836596E-4</v>
      </c>
      <c r="R143" s="9">
        <f t="shared" si="44"/>
        <v>3.9999999999999996E-5</v>
      </c>
      <c r="S143" s="9">
        <f t="shared" si="45"/>
        <v>1.2814151638690812E-6</v>
      </c>
      <c r="T143" s="9">
        <f t="shared" si="40"/>
        <v>1.6125500855673344E-5</v>
      </c>
      <c r="U143" s="9">
        <f t="shared" si="41"/>
        <v>3.8718584836130917E-5</v>
      </c>
      <c r="V143" s="100">
        <f t="shared" si="46"/>
        <v>0.41647960337190726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2025-02-02T15:03:36Z</dcterms:modified>
</cp:coreProperties>
</file>