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384well_1um\"/>
    </mc:Choice>
  </mc:AlternateContent>
  <xr:revisionPtr revIDLastSave="0" documentId="13_ncr:1_{5F20AF73-26BD-44D0-8EAF-ABBA09C7D0DE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S143" i="4"/>
  <c r="R143" i="4"/>
  <c r="U143" i="4" s="1"/>
  <c r="V142" i="4"/>
  <c r="R142" i="4"/>
  <c r="T142" i="4" s="1"/>
  <c r="V141" i="4"/>
  <c r="U141" i="4"/>
  <c r="T141" i="4"/>
  <c r="S141" i="4"/>
  <c r="R141" i="4"/>
  <c r="V140" i="4"/>
  <c r="R140" i="4"/>
  <c r="U140" i="4" s="1"/>
  <c r="V139" i="4"/>
  <c r="U139" i="4"/>
  <c r="S139" i="4"/>
  <c r="R139" i="4"/>
  <c r="T139" i="4" s="1"/>
  <c r="V138" i="4"/>
  <c r="R138" i="4"/>
  <c r="T138" i="4" s="1"/>
  <c r="V137" i="4"/>
  <c r="U137" i="4"/>
  <c r="T137" i="4"/>
  <c r="S137" i="4"/>
  <c r="R137" i="4"/>
  <c r="V136" i="4"/>
  <c r="R136" i="4"/>
  <c r="U136" i="4" s="1"/>
  <c r="V135" i="4"/>
  <c r="R135" i="4"/>
  <c r="T135" i="4" s="1"/>
  <c r="V134" i="4"/>
  <c r="T134" i="4"/>
  <c r="S134" i="4"/>
  <c r="R134" i="4"/>
  <c r="U134" i="4" s="1"/>
  <c r="V133" i="4"/>
  <c r="R133" i="4"/>
  <c r="U133" i="4" s="1"/>
  <c r="V132" i="4"/>
  <c r="U132" i="4"/>
  <c r="T132" i="4"/>
  <c r="R132" i="4"/>
  <c r="S132" i="4" s="1"/>
  <c r="V131" i="4"/>
  <c r="S131" i="4"/>
  <c r="R131" i="4"/>
  <c r="U131" i="4" s="1"/>
  <c r="V130" i="4"/>
  <c r="R130" i="4"/>
  <c r="T130" i="4" s="1"/>
  <c r="V129" i="4"/>
  <c r="U129" i="4"/>
  <c r="T129" i="4"/>
  <c r="S129" i="4"/>
  <c r="R129" i="4"/>
  <c r="V128" i="4"/>
  <c r="R128" i="4"/>
  <c r="U128" i="4" s="1"/>
  <c r="V127" i="4"/>
  <c r="U127" i="4"/>
  <c r="S127" i="4"/>
  <c r="R127" i="4"/>
  <c r="T127" i="4" s="1"/>
  <c r="V126" i="4"/>
  <c r="R126" i="4"/>
  <c r="U126" i="4" s="1"/>
  <c r="V125" i="4"/>
  <c r="U125" i="4"/>
  <c r="T125" i="4"/>
  <c r="S125" i="4"/>
  <c r="R125" i="4"/>
  <c r="V124" i="4"/>
  <c r="R124" i="4"/>
  <c r="U124" i="4" s="1"/>
  <c r="V123" i="4"/>
  <c r="R123" i="4"/>
  <c r="S123" i="4" s="1"/>
  <c r="V122" i="4"/>
  <c r="T122" i="4"/>
  <c r="R122" i="4"/>
  <c r="S122" i="4" s="1"/>
  <c r="V121" i="4"/>
  <c r="R121" i="4"/>
  <c r="U121" i="4" s="1"/>
  <c r="V120" i="4"/>
  <c r="U120" i="4"/>
  <c r="T120" i="4"/>
  <c r="R120" i="4"/>
  <c r="S120" i="4" s="1"/>
  <c r="V119" i="4"/>
  <c r="S119" i="4"/>
  <c r="R119" i="4"/>
  <c r="U119" i="4" s="1"/>
  <c r="V118" i="4"/>
  <c r="R118" i="4"/>
  <c r="T118" i="4" s="1"/>
  <c r="V117" i="4"/>
  <c r="U117" i="4"/>
  <c r="T117" i="4"/>
  <c r="S117" i="4"/>
  <c r="R117" i="4"/>
  <c r="V116" i="4"/>
  <c r="R116" i="4"/>
  <c r="U116" i="4" s="1"/>
  <c r="V115" i="4"/>
  <c r="U115" i="4"/>
  <c r="S115" i="4"/>
  <c r="R115" i="4"/>
  <c r="T115" i="4" s="1"/>
  <c r="V114" i="4"/>
  <c r="R114" i="4"/>
  <c r="U114" i="4" s="1"/>
  <c r="V113" i="4"/>
  <c r="U113" i="4"/>
  <c r="T113" i="4"/>
  <c r="S113" i="4"/>
  <c r="R113" i="4"/>
  <c r="V112" i="4"/>
  <c r="R112" i="4"/>
  <c r="U112" i="4" s="1"/>
  <c r="V111" i="4"/>
  <c r="R111" i="4"/>
  <c r="T111" i="4" s="1"/>
  <c r="V110" i="4"/>
  <c r="T110" i="4"/>
  <c r="R110" i="4"/>
  <c r="S110" i="4" s="1"/>
  <c r="V109" i="4"/>
  <c r="R109" i="4"/>
  <c r="U109" i="4" s="1"/>
  <c r="V108" i="4"/>
  <c r="U108" i="4"/>
  <c r="T108" i="4"/>
  <c r="R108" i="4"/>
  <c r="S108" i="4" s="1"/>
  <c r="R107" i="4"/>
  <c r="V106" i="4"/>
  <c r="R106" i="4"/>
  <c r="U106" i="4" s="1"/>
  <c r="V105" i="4"/>
  <c r="U105" i="4"/>
  <c r="T105" i="4"/>
  <c r="S105" i="4"/>
  <c r="R105" i="4"/>
  <c r="V104" i="4"/>
  <c r="R104" i="4"/>
  <c r="U104" i="4" s="1"/>
  <c r="V103" i="4"/>
  <c r="R103" i="4"/>
  <c r="S103" i="4" s="1"/>
  <c r="V102" i="4"/>
  <c r="T102" i="4"/>
  <c r="R102" i="4"/>
  <c r="S102" i="4" s="1"/>
  <c r="V101" i="4"/>
  <c r="R101" i="4"/>
  <c r="U101" i="4" s="1"/>
  <c r="R100" i="4"/>
  <c r="V99" i="4"/>
  <c r="U99" i="4"/>
  <c r="S99" i="4"/>
  <c r="R99" i="4"/>
  <c r="T99" i="4" s="1"/>
  <c r="V98" i="4"/>
  <c r="R98" i="4"/>
  <c r="U98" i="4" s="1"/>
  <c r="R97" i="4"/>
  <c r="V96" i="4"/>
  <c r="U96" i="4"/>
  <c r="T96" i="4"/>
  <c r="R96" i="4"/>
  <c r="S96" i="4" s="1"/>
  <c r="V95" i="4"/>
  <c r="U95" i="4"/>
  <c r="S95" i="4"/>
  <c r="R95" i="4"/>
  <c r="T95" i="4" s="1"/>
  <c r="V94" i="4"/>
  <c r="R94" i="4"/>
  <c r="U94" i="4" s="1"/>
  <c r="V93" i="4"/>
  <c r="U93" i="4"/>
  <c r="T93" i="4"/>
  <c r="S93" i="4"/>
  <c r="R93" i="4"/>
  <c r="V92" i="4"/>
  <c r="R92" i="4"/>
  <c r="S92" i="4" s="1"/>
  <c r="V91" i="4"/>
  <c r="U91" i="4"/>
  <c r="S91" i="4"/>
  <c r="R91" i="4"/>
  <c r="T91" i="4" s="1"/>
  <c r="V90" i="4"/>
  <c r="R90" i="4"/>
  <c r="T90" i="4" s="1"/>
  <c r="V89" i="4"/>
  <c r="U89" i="4"/>
  <c r="T89" i="4"/>
  <c r="S89" i="4"/>
  <c r="R89" i="4"/>
  <c r="V88" i="4"/>
  <c r="R88" i="4"/>
  <c r="U88" i="4" s="1"/>
  <c r="V87" i="4"/>
  <c r="R87" i="4"/>
  <c r="T87" i="4" s="1"/>
  <c r="V86" i="4"/>
  <c r="T86" i="4"/>
  <c r="R86" i="4"/>
  <c r="S86" i="4" s="1"/>
  <c r="V85" i="4"/>
  <c r="R85" i="4"/>
  <c r="U85" i="4" s="1"/>
  <c r="V84" i="4"/>
  <c r="U84" i="4"/>
  <c r="T84" i="4"/>
  <c r="R84" i="4"/>
  <c r="S84" i="4" s="1"/>
  <c r="V83" i="4"/>
  <c r="S83" i="4"/>
  <c r="R83" i="4"/>
  <c r="U83" i="4" s="1"/>
  <c r="V82" i="4"/>
  <c r="R82" i="4"/>
  <c r="T82" i="4" s="1"/>
  <c r="V81" i="4"/>
  <c r="U81" i="4"/>
  <c r="T81" i="4"/>
  <c r="S81" i="4"/>
  <c r="R81" i="4"/>
  <c r="V80" i="4"/>
  <c r="R80" i="4"/>
  <c r="U80" i="4" s="1"/>
  <c r="V79" i="4"/>
  <c r="U79" i="4"/>
  <c r="S79" i="4"/>
  <c r="R79" i="4"/>
  <c r="T79" i="4" s="1"/>
  <c r="V78" i="4"/>
  <c r="R78" i="4"/>
  <c r="U78" i="4" s="1"/>
  <c r="V77" i="4"/>
  <c r="U77" i="4"/>
  <c r="T77" i="4"/>
  <c r="S77" i="4"/>
  <c r="R77" i="4"/>
  <c r="V76" i="4"/>
  <c r="R76" i="4"/>
  <c r="U76" i="4" s="1"/>
  <c r="V75" i="4"/>
  <c r="R75" i="4"/>
  <c r="S75" i="4" s="1"/>
  <c r="V74" i="4"/>
  <c r="T74" i="4"/>
  <c r="R74" i="4"/>
  <c r="S74" i="4" s="1"/>
  <c r="V73" i="4"/>
  <c r="R73" i="4"/>
  <c r="U73" i="4" s="1"/>
  <c r="V72" i="4"/>
  <c r="U72" i="4"/>
  <c r="T72" i="4"/>
  <c r="R72" i="4"/>
  <c r="S72" i="4" s="1"/>
  <c r="V71" i="4"/>
  <c r="S71" i="4"/>
  <c r="R71" i="4"/>
  <c r="U71" i="4" s="1"/>
  <c r="V70" i="4"/>
  <c r="R70" i="4"/>
  <c r="U70" i="4" s="1"/>
  <c r="V69" i="4"/>
  <c r="U69" i="4"/>
  <c r="T69" i="4"/>
  <c r="S69" i="4"/>
  <c r="R69" i="4"/>
  <c r="V68" i="4"/>
  <c r="R68" i="4"/>
  <c r="S68" i="4" s="1"/>
  <c r="V67" i="4"/>
  <c r="U67" i="4"/>
  <c r="S67" i="4"/>
  <c r="R67" i="4"/>
  <c r="T67" i="4" s="1"/>
  <c r="V66" i="4"/>
  <c r="R66" i="4"/>
  <c r="U66" i="4" s="1"/>
  <c r="V65" i="4"/>
  <c r="U65" i="4"/>
  <c r="T65" i="4"/>
  <c r="S65" i="4"/>
  <c r="R65" i="4"/>
  <c r="V64" i="4"/>
  <c r="R64" i="4"/>
  <c r="U64" i="4" s="1"/>
  <c r="V63" i="4"/>
  <c r="R63" i="4"/>
  <c r="T63" i="4" s="1"/>
  <c r="V62" i="4"/>
  <c r="T62" i="4"/>
  <c r="R62" i="4"/>
  <c r="S62" i="4" s="1"/>
  <c r="V61" i="4"/>
  <c r="R61" i="4"/>
  <c r="U61" i="4" s="1"/>
  <c r="V60" i="4"/>
  <c r="U60" i="4"/>
  <c r="T60" i="4"/>
  <c r="R60" i="4"/>
  <c r="S60" i="4" s="1"/>
  <c r="V59" i="4"/>
  <c r="S59" i="4"/>
  <c r="R59" i="4"/>
  <c r="U59" i="4" s="1"/>
  <c r="V58" i="4"/>
  <c r="R58" i="4"/>
  <c r="U58" i="4" s="1"/>
  <c r="V57" i="4"/>
  <c r="U57" i="4"/>
  <c r="T57" i="4"/>
  <c r="S57" i="4"/>
  <c r="R57" i="4"/>
  <c r="V56" i="4"/>
  <c r="R56" i="4"/>
  <c r="U56" i="4" s="1"/>
  <c r="V55" i="4"/>
  <c r="U55" i="4"/>
  <c r="S55" i="4"/>
  <c r="R55" i="4"/>
  <c r="T55" i="4" s="1"/>
  <c r="V54" i="4"/>
  <c r="R54" i="4"/>
  <c r="T54" i="4" s="1"/>
  <c r="V53" i="4"/>
  <c r="U53" i="4"/>
  <c r="T53" i="4"/>
  <c r="S53" i="4"/>
  <c r="R53" i="4"/>
  <c r="V52" i="4"/>
  <c r="R52" i="4"/>
  <c r="U52" i="4" s="1"/>
  <c r="V51" i="4"/>
  <c r="R51" i="4"/>
  <c r="S51" i="4" s="1"/>
  <c r="V50" i="4"/>
  <c r="T50" i="4"/>
  <c r="R50" i="4"/>
  <c r="S50" i="4" s="1"/>
  <c r="V49" i="4"/>
  <c r="R49" i="4"/>
  <c r="U49" i="4" s="1"/>
  <c r="V48" i="4"/>
  <c r="U48" i="4"/>
  <c r="T48" i="4"/>
  <c r="R48" i="4"/>
  <c r="S48" i="4" s="1"/>
  <c r="V47" i="4"/>
  <c r="S47" i="4"/>
  <c r="R47" i="4"/>
  <c r="U47" i="4" s="1"/>
  <c r="V46" i="4"/>
  <c r="R46" i="4"/>
  <c r="U46" i="4" s="1"/>
  <c r="V45" i="4"/>
  <c r="U45" i="4"/>
  <c r="T45" i="4"/>
  <c r="S45" i="4"/>
  <c r="R45" i="4"/>
  <c r="V44" i="4"/>
  <c r="R44" i="4"/>
  <c r="U44" i="4" s="1"/>
  <c r="V43" i="4"/>
  <c r="U43" i="4"/>
  <c r="S43" i="4"/>
  <c r="R43" i="4"/>
  <c r="T43" i="4" s="1"/>
  <c r="V42" i="4"/>
  <c r="R42" i="4"/>
  <c r="U42" i="4" s="1"/>
  <c r="V41" i="4"/>
  <c r="U41" i="4"/>
  <c r="T41" i="4"/>
  <c r="S41" i="4"/>
  <c r="R41" i="4"/>
  <c r="V40" i="4"/>
  <c r="R40" i="4"/>
  <c r="U40" i="4" s="1"/>
  <c r="V39" i="4"/>
  <c r="R39" i="4"/>
  <c r="S39" i="4" s="1"/>
  <c r="V38" i="4"/>
  <c r="T38" i="4"/>
  <c r="R38" i="4"/>
  <c r="S38" i="4" s="1"/>
  <c r="V37" i="4"/>
  <c r="R37" i="4"/>
  <c r="U37" i="4" s="1"/>
  <c r="V36" i="4"/>
  <c r="U36" i="4"/>
  <c r="T36" i="4"/>
  <c r="R36" i="4"/>
  <c r="S36" i="4" s="1"/>
  <c r="V35" i="4"/>
  <c r="S35" i="4"/>
  <c r="R35" i="4"/>
  <c r="U35" i="4" s="1"/>
  <c r="V34" i="4"/>
  <c r="R34" i="4"/>
  <c r="T34" i="4" s="1"/>
  <c r="V33" i="4"/>
  <c r="U33" i="4"/>
  <c r="T33" i="4"/>
  <c r="S33" i="4"/>
  <c r="R33" i="4"/>
  <c r="V32" i="4"/>
  <c r="R32" i="4"/>
  <c r="S32" i="4" s="1"/>
  <c r="V31" i="4"/>
  <c r="U31" i="4"/>
  <c r="S31" i="4"/>
  <c r="R31" i="4"/>
  <c r="T31" i="4" s="1"/>
  <c r="V30" i="4"/>
  <c r="R30" i="4"/>
  <c r="U30" i="4" s="1"/>
  <c r="V29" i="4"/>
  <c r="U29" i="4"/>
  <c r="T29" i="4"/>
  <c r="S29" i="4"/>
  <c r="R29" i="4"/>
  <c r="V28" i="4"/>
  <c r="R28" i="4"/>
  <c r="U28" i="4" s="1"/>
  <c r="I135" i="4"/>
  <c r="L135" i="4" s="1"/>
  <c r="M135" i="4" s="1"/>
  <c r="J135" i="4"/>
  <c r="K135" i="4" s="1"/>
  <c r="O135" i="4" s="1"/>
  <c r="P135" i="4" s="1"/>
  <c r="I136" i="4"/>
  <c r="L136" i="4" s="1"/>
  <c r="M136" i="4" s="1"/>
  <c r="J136" i="4"/>
  <c r="K136" i="4"/>
  <c r="O136" i="4" s="1"/>
  <c r="P136" i="4" s="1"/>
  <c r="I137" i="4"/>
  <c r="J137" i="4"/>
  <c r="K137" i="4"/>
  <c r="O137" i="4" s="1"/>
  <c r="P137" i="4" s="1"/>
  <c r="L137" i="4"/>
  <c r="M137" i="4"/>
  <c r="N137" i="4"/>
  <c r="Q137" i="4" s="1"/>
  <c r="I138" i="4"/>
  <c r="J138" i="4"/>
  <c r="K138" i="4"/>
  <c r="L138" i="4"/>
  <c r="M138" i="4"/>
  <c r="N138" i="4"/>
  <c r="O138" i="4"/>
  <c r="P138" i="4"/>
  <c r="Q138" i="4"/>
  <c r="I139" i="4"/>
  <c r="L139" i="4" s="1"/>
  <c r="M139" i="4" s="1"/>
  <c r="J139" i="4"/>
  <c r="K139" i="4"/>
  <c r="O139" i="4" s="1"/>
  <c r="P139" i="4" s="1"/>
  <c r="I140" i="4"/>
  <c r="L140" i="4" s="1"/>
  <c r="M140" i="4" s="1"/>
  <c r="J140" i="4"/>
  <c r="K140" i="4"/>
  <c r="O140" i="4" s="1"/>
  <c r="P140" i="4" s="1"/>
  <c r="N140" i="4"/>
  <c r="Q140" i="4" s="1"/>
  <c r="I141" i="4"/>
  <c r="J141" i="4"/>
  <c r="K141" i="4"/>
  <c r="O141" i="4" s="1"/>
  <c r="P141" i="4" s="1"/>
  <c r="L141" i="4"/>
  <c r="M141" i="4"/>
  <c r="N141" i="4"/>
  <c r="Q141" i="4" s="1"/>
  <c r="I142" i="4"/>
  <c r="J142" i="4"/>
  <c r="K142" i="4"/>
  <c r="L142" i="4"/>
  <c r="M142" i="4"/>
  <c r="N142" i="4"/>
  <c r="O142" i="4"/>
  <c r="P142" i="4"/>
  <c r="Q142" i="4"/>
  <c r="I143" i="4"/>
  <c r="L143" i="4" s="1"/>
  <c r="M143" i="4" s="1"/>
  <c r="J143" i="4"/>
  <c r="K143" i="4"/>
  <c r="O143" i="4" s="1"/>
  <c r="P143" i="4" s="1"/>
  <c r="S70" i="4" l="1"/>
  <c r="T70" i="4"/>
  <c r="U34" i="4"/>
  <c r="T39" i="4"/>
  <c r="S44" i="4"/>
  <c r="T51" i="4"/>
  <c r="S56" i="4"/>
  <c r="T75" i="4"/>
  <c r="S80" i="4"/>
  <c r="T103" i="4"/>
  <c r="S116" i="4"/>
  <c r="U118" i="4"/>
  <c r="T123" i="4"/>
  <c r="S128" i="4"/>
  <c r="U130" i="4"/>
  <c r="S140" i="4"/>
  <c r="U38" i="4"/>
  <c r="U50" i="4"/>
  <c r="U62" i="4"/>
  <c r="U74" i="4"/>
  <c r="U86" i="4"/>
  <c r="U102" i="4"/>
  <c r="U110" i="4"/>
  <c r="U122" i="4"/>
  <c r="U142" i="4"/>
  <c r="T32" i="4"/>
  <c r="S37" i="4"/>
  <c r="U39" i="4"/>
  <c r="T44" i="4"/>
  <c r="S49" i="4"/>
  <c r="U51" i="4"/>
  <c r="T56" i="4"/>
  <c r="S61" i="4"/>
  <c r="U63" i="4"/>
  <c r="T68" i="4"/>
  <c r="S73" i="4"/>
  <c r="U75" i="4"/>
  <c r="T80" i="4"/>
  <c r="S85" i="4"/>
  <c r="U87" i="4"/>
  <c r="T92" i="4"/>
  <c r="S101" i="4"/>
  <c r="U103" i="4"/>
  <c r="S109" i="4"/>
  <c r="U111" i="4"/>
  <c r="T116" i="4"/>
  <c r="S121" i="4"/>
  <c r="U123" i="4"/>
  <c r="T128" i="4"/>
  <c r="S133" i="4"/>
  <c r="U135" i="4"/>
  <c r="T140" i="4"/>
  <c r="S30" i="4"/>
  <c r="U32" i="4"/>
  <c r="T37" i="4"/>
  <c r="S42" i="4"/>
  <c r="T49" i="4"/>
  <c r="S54" i="4"/>
  <c r="T61" i="4"/>
  <c r="S66" i="4"/>
  <c r="U68" i="4"/>
  <c r="T73" i="4"/>
  <c r="S78" i="4"/>
  <c r="T85" i="4"/>
  <c r="S90" i="4"/>
  <c r="U92" i="4"/>
  <c r="S98" i="4"/>
  <c r="T101" i="4"/>
  <c r="S106" i="4"/>
  <c r="T109" i="4"/>
  <c r="S114" i="4"/>
  <c r="T121" i="4"/>
  <c r="S126" i="4"/>
  <c r="T133" i="4"/>
  <c r="S138" i="4"/>
  <c r="S34" i="4"/>
  <c r="S46" i="4"/>
  <c r="S58" i="4"/>
  <c r="S82" i="4"/>
  <c r="S94" i="4"/>
  <c r="S118" i="4"/>
  <c r="S130" i="4"/>
  <c r="S142" i="4"/>
  <c r="T46" i="4"/>
  <c r="T58" i="4"/>
  <c r="S63" i="4"/>
  <c r="S87" i="4"/>
  <c r="T94" i="4"/>
  <c r="S111" i="4"/>
  <c r="S135" i="4"/>
  <c r="U82" i="4"/>
  <c r="T30" i="4"/>
  <c r="T42" i="4"/>
  <c r="T66" i="4"/>
  <c r="T78" i="4"/>
  <c r="T98" i="4"/>
  <c r="T106" i="4"/>
  <c r="T114" i="4"/>
  <c r="T126" i="4"/>
  <c r="S28" i="4"/>
  <c r="T35" i="4"/>
  <c r="S40" i="4"/>
  <c r="T47" i="4"/>
  <c r="S52" i="4"/>
  <c r="U54" i="4"/>
  <c r="T59" i="4"/>
  <c r="S64" i="4"/>
  <c r="T71" i="4"/>
  <c r="S76" i="4"/>
  <c r="T83" i="4"/>
  <c r="S88" i="4"/>
  <c r="U90" i="4"/>
  <c r="S104" i="4"/>
  <c r="S112" i="4"/>
  <c r="T119" i="4"/>
  <c r="S124" i="4"/>
  <c r="T131" i="4"/>
  <c r="S136" i="4"/>
  <c r="U138" i="4"/>
  <c r="T143" i="4"/>
  <c r="T28" i="4"/>
  <c r="T40" i="4"/>
  <c r="T52" i="4"/>
  <c r="T64" i="4"/>
  <c r="T76" i="4"/>
  <c r="T88" i="4"/>
  <c r="T104" i="4"/>
  <c r="T112" i="4"/>
  <c r="T124" i="4"/>
  <c r="T136" i="4"/>
  <c r="N143" i="4"/>
  <c r="Q143" i="4" s="1"/>
  <c r="N139" i="4"/>
  <c r="Q139" i="4" s="1"/>
  <c r="N135" i="4"/>
  <c r="Q135" i="4" s="1"/>
  <c r="N136" i="4"/>
  <c r="Q136" i="4" s="1"/>
  <c r="I128" i="4" l="1"/>
  <c r="N128" i="4" s="1"/>
  <c r="Q128" i="4" s="1"/>
  <c r="J128" i="4"/>
  <c r="K128" i="4"/>
  <c r="O128" i="4" s="1"/>
  <c r="P128" i="4" s="1"/>
  <c r="L128" i="4"/>
  <c r="M128" i="4" s="1"/>
  <c r="I129" i="4"/>
  <c r="J129" i="4"/>
  <c r="K129" i="4"/>
  <c r="L129" i="4"/>
  <c r="M129" i="4" s="1"/>
  <c r="N129" i="4"/>
  <c r="Q129" i="4" s="1"/>
  <c r="O129" i="4"/>
  <c r="P129" i="4" s="1"/>
  <c r="I130" i="4"/>
  <c r="J130" i="4"/>
  <c r="K130" i="4"/>
  <c r="L130" i="4"/>
  <c r="M130" i="4"/>
  <c r="N130" i="4"/>
  <c r="Q130" i="4" s="1"/>
  <c r="O130" i="4"/>
  <c r="P130" i="4" s="1"/>
  <c r="I131" i="4"/>
  <c r="J131" i="4"/>
  <c r="K131" i="4"/>
  <c r="I132" i="4"/>
  <c r="L132" i="4" s="1"/>
  <c r="M132" i="4" s="1"/>
  <c r="J132" i="4"/>
  <c r="K132" i="4"/>
  <c r="O132" i="4" s="1"/>
  <c r="P132" i="4" s="1"/>
  <c r="N132" i="4"/>
  <c r="Q132" i="4" s="1"/>
  <c r="I133" i="4"/>
  <c r="J133" i="4"/>
  <c r="K133" i="4"/>
  <c r="L133" i="4"/>
  <c r="M133" i="4"/>
  <c r="N133" i="4"/>
  <c r="O133" i="4"/>
  <c r="P133" i="4"/>
  <c r="Q133" i="4"/>
  <c r="I134" i="4"/>
  <c r="J134" i="4"/>
  <c r="K134" i="4" s="1"/>
  <c r="O134" i="4" s="1"/>
  <c r="P134" i="4" s="1"/>
  <c r="L134" i="4"/>
  <c r="M134" i="4"/>
  <c r="N134" i="4"/>
  <c r="Q134" i="4"/>
  <c r="O131" i="4" l="1"/>
  <c r="P131" i="4" s="1"/>
  <c r="L131" i="4"/>
  <c r="M131" i="4" s="1"/>
  <c r="N131" i="4"/>
  <c r="Q131" i="4" s="1"/>
  <c r="O15" i="1" l="1"/>
  <c r="L15" i="1"/>
  <c r="N15" i="1"/>
  <c r="M118" i="4"/>
  <c r="M122" i="4"/>
  <c r="J16" i="4"/>
  <c r="J15" i="4"/>
  <c r="J87" i="4"/>
  <c r="K87" i="4" s="1"/>
  <c r="J122" i="4"/>
  <c r="K122" i="4" s="1"/>
  <c r="O122" i="4" s="1"/>
  <c r="P122" i="4" s="1"/>
  <c r="J117" i="4"/>
  <c r="K117" i="4"/>
  <c r="O117" i="4" s="1"/>
  <c r="P117" i="4" s="1"/>
  <c r="J120" i="4"/>
  <c r="K120" i="4" s="1"/>
  <c r="J101" i="4"/>
  <c r="K101" i="4"/>
  <c r="O101" i="4" s="1"/>
  <c r="P101" i="4" s="1"/>
  <c r="J86" i="4"/>
  <c r="K86" i="4" s="1"/>
  <c r="J85" i="4"/>
  <c r="K85" i="4" s="1"/>
  <c r="J88" i="4"/>
  <c r="K88" i="4"/>
  <c r="J119" i="4"/>
  <c r="K119" i="4" s="1"/>
  <c r="J72" i="4"/>
  <c r="K72" i="4" s="1"/>
  <c r="J103" i="4"/>
  <c r="K103" i="4"/>
  <c r="O103" i="4" s="1"/>
  <c r="P103" i="4" s="1"/>
  <c r="J118" i="4"/>
  <c r="K118" i="4"/>
  <c r="O118" i="4" s="1"/>
  <c r="P118" i="4" s="1"/>
  <c r="J104" i="4"/>
  <c r="K104" i="4"/>
  <c r="O104" i="4" s="1"/>
  <c r="P104" i="4" s="1"/>
  <c r="J90" i="4"/>
  <c r="K90" i="4"/>
  <c r="J71" i="4"/>
  <c r="K71" i="4" s="1"/>
  <c r="J110" i="4"/>
  <c r="K110" i="4"/>
  <c r="J82" i="4"/>
  <c r="K82" i="4"/>
  <c r="J113" i="4"/>
  <c r="L113" i="4" s="1"/>
  <c r="M113" i="4" s="1"/>
  <c r="K113" i="4"/>
  <c r="J97" i="4"/>
  <c r="K97" i="4"/>
  <c r="J81" i="4"/>
  <c r="K81" i="4"/>
  <c r="J116" i="4"/>
  <c r="K116" i="4" s="1"/>
  <c r="J100" i="4"/>
  <c r="K100" i="4" s="1"/>
  <c r="O100" i="4" s="1"/>
  <c r="P100" i="4" s="1"/>
  <c r="J84" i="4"/>
  <c r="K84" i="4" s="1"/>
  <c r="J114" i="4"/>
  <c r="K114" i="4"/>
  <c r="J78" i="4"/>
  <c r="K78" i="4"/>
  <c r="J115" i="4"/>
  <c r="K115" i="4" s="1"/>
  <c r="J99" i="4"/>
  <c r="K99" i="4"/>
  <c r="J83" i="4"/>
  <c r="L83" i="4" s="1"/>
  <c r="J102" i="4"/>
  <c r="K102" i="4" s="1"/>
  <c r="O102" i="4" s="1"/>
  <c r="P102" i="4" s="1"/>
  <c r="J74" i="4"/>
  <c r="K74" i="4" s="1"/>
  <c r="J125" i="4"/>
  <c r="K125" i="4"/>
  <c r="J109" i="4"/>
  <c r="K109" i="4"/>
  <c r="J93" i="4"/>
  <c r="K93" i="4" s="1"/>
  <c r="J77" i="4"/>
  <c r="K77" i="4"/>
  <c r="J112" i="4"/>
  <c r="K112" i="4" s="1"/>
  <c r="O112" i="4" s="1"/>
  <c r="P112" i="4" s="1"/>
  <c r="J96" i="4"/>
  <c r="K96" i="4" s="1"/>
  <c r="O96" i="4" s="1"/>
  <c r="P96" i="4" s="1"/>
  <c r="J80" i="4"/>
  <c r="K80" i="4"/>
  <c r="J106" i="4"/>
  <c r="K106" i="4"/>
  <c r="O106" i="4" s="1"/>
  <c r="P106" i="4" s="1"/>
  <c r="J127" i="4"/>
  <c r="K127" i="4" s="1"/>
  <c r="J111" i="4"/>
  <c r="K111" i="4"/>
  <c r="O111" i="4" s="1"/>
  <c r="P111" i="4" s="1"/>
  <c r="J95" i="4"/>
  <c r="K95" i="4" s="1"/>
  <c r="J79" i="4"/>
  <c r="L79" i="4" s="1"/>
  <c r="J126" i="4"/>
  <c r="K126" i="4" s="1"/>
  <c r="J94" i="4"/>
  <c r="K94" i="4" s="1"/>
  <c r="J121" i="4"/>
  <c r="K121" i="4" s="1"/>
  <c r="J105" i="4"/>
  <c r="K105" i="4"/>
  <c r="O105" i="4" s="1"/>
  <c r="P105" i="4" s="1"/>
  <c r="J89" i="4"/>
  <c r="K89" i="4" s="1"/>
  <c r="J73" i="4"/>
  <c r="K73" i="4"/>
  <c r="J124" i="4"/>
  <c r="K124" i="4" s="1"/>
  <c r="J108" i="4"/>
  <c r="K108" i="4" s="1"/>
  <c r="J92" i="4"/>
  <c r="K92" i="4" s="1"/>
  <c r="J76" i="4"/>
  <c r="K76" i="4" s="1"/>
  <c r="J98" i="4"/>
  <c r="K98" i="4" s="1"/>
  <c r="O98" i="4" s="1"/>
  <c r="P98" i="4" s="1"/>
  <c r="J123" i="4"/>
  <c r="K123" i="4" s="1"/>
  <c r="O123" i="4" s="1"/>
  <c r="P123" i="4" s="1"/>
  <c r="J107" i="4"/>
  <c r="L107" i="4" s="1"/>
  <c r="K107" i="4"/>
  <c r="J91" i="4"/>
  <c r="K91" i="4"/>
  <c r="J75" i="4"/>
  <c r="K75" i="4" s="1"/>
  <c r="O110" i="4"/>
  <c r="P110" i="4" s="1"/>
  <c r="O109" i="4"/>
  <c r="P109" i="4"/>
  <c r="O113" i="4"/>
  <c r="P113" i="4"/>
  <c r="O125" i="4"/>
  <c r="P125" i="4"/>
  <c r="O99" i="4"/>
  <c r="P99" i="4" s="1"/>
  <c r="I76" i="4"/>
  <c r="I77" i="4"/>
  <c r="N77" i="4" s="1"/>
  <c r="Q77" i="4" s="1"/>
  <c r="I81" i="4"/>
  <c r="I89" i="4"/>
  <c r="L89" i="4" s="1"/>
  <c r="I90" i="4"/>
  <c r="I96" i="4"/>
  <c r="L96" i="4" s="1"/>
  <c r="I99" i="4"/>
  <c r="L99" i="4" s="1"/>
  <c r="M99" i="4" s="1"/>
  <c r="I102" i="4"/>
  <c r="L102" i="4" s="1"/>
  <c r="M102" i="4" s="1"/>
  <c r="I104" i="4"/>
  <c r="L104" i="4" s="1"/>
  <c r="M104" i="4" s="1"/>
  <c r="I108" i="4"/>
  <c r="I111" i="4"/>
  <c r="L111" i="4" s="1"/>
  <c r="M111" i="4" s="1"/>
  <c r="I113" i="4"/>
  <c r="I115" i="4"/>
  <c r="N115" i="4" s="1"/>
  <c r="Q115" i="4" s="1"/>
  <c r="I119" i="4"/>
  <c r="N119" i="4" s="1"/>
  <c r="Q119" i="4" s="1"/>
  <c r="I120" i="4"/>
  <c r="N120" i="4" s="1"/>
  <c r="Q120" i="4" s="1"/>
  <c r="I123" i="4"/>
  <c r="I125" i="4"/>
  <c r="I79" i="4"/>
  <c r="N79" i="4" s="1"/>
  <c r="Q79" i="4" s="1"/>
  <c r="I92" i="4"/>
  <c r="N92" i="4" s="1"/>
  <c r="Q92" i="4" s="1"/>
  <c r="I100" i="4"/>
  <c r="L100" i="4" s="1"/>
  <c r="M100" i="4" s="1"/>
  <c r="I103" i="4"/>
  <c r="N103" i="4" s="1"/>
  <c r="Q103" i="4" s="1"/>
  <c r="I107" i="4"/>
  <c r="N107" i="4" s="1"/>
  <c r="Q107" i="4" s="1"/>
  <c r="I109" i="4"/>
  <c r="I110" i="4"/>
  <c r="I117" i="4"/>
  <c r="I124" i="4"/>
  <c r="N124" i="4" s="1"/>
  <c r="Q124" i="4" s="1"/>
  <c r="I72" i="4"/>
  <c r="N72" i="4" s="1"/>
  <c r="Q72" i="4" s="1"/>
  <c r="I106" i="4"/>
  <c r="N106" i="4" s="1"/>
  <c r="Q106" i="4" s="1"/>
  <c r="I71" i="4"/>
  <c r="N71" i="4" s="1"/>
  <c r="Q71" i="4" s="1"/>
  <c r="I75" i="4"/>
  <c r="N75" i="4" s="1"/>
  <c r="Q75" i="4" s="1"/>
  <c r="I80" i="4"/>
  <c r="N80" i="4" s="1"/>
  <c r="Q80" i="4" s="1"/>
  <c r="I83" i="4"/>
  <c r="N83" i="4" s="1"/>
  <c r="Q83" i="4" s="1"/>
  <c r="I86" i="4"/>
  <c r="L86" i="4" s="1"/>
  <c r="I88" i="4"/>
  <c r="I94" i="4"/>
  <c r="L94" i="4" s="1"/>
  <c r="I95" i="4"/>
  <c r="I98" i="4"/>
  <c r="I101" i="4"/>
  <c r="I118" i="4"/>
  <c r="N118" i="4" s="1"/>
  <c r="Q118" i="4" s="1"/>
  <c r="I127" i="4"/>
  <c r="N127" i="4" s="1"/>
  <c r="Q127" i="4" s="1"/>
  <c r="I73" i="4"/>
  <c r="N73" i="4" s="1"/>
  <c r="Q73" i="4" s="1"/>
  <c r="I74" i="4"/>
  <c r="N74" i="4" s="1"/>
  <c r="Q74" i="4" s="1"/>
  <c r="I78" i="4"/>
  <c r="I82" i="4"/>
  <c r="I85" i="4"/>
  <c r="N85" i="4" s="1"/>
  <c r="Q85" i="4" s="1"/>
  <c r="I93" i="4"/>
  <c r="N93" i="4" s="1"/>
  <c r="Q93" i="4" s="1"/>
  <c r="I112" i="4"/>
  <c r="I114" i="4"/>
  <c r="N114" i="4" s="1"/>
  <c r="Q114" i="4" s="1"/>
  <c r="I121" i="4"/>
  <c r="I122" i="4"/>
  <c r="I84" i="4"/>
  <c r="L84" i="4" s="1"/>
  <c r="I87" i="4"/>
  <c r="L87" i="4" s="1"/>
  <c r="I91" i="4"/>
  <c r="N91" i="4" s="1"/>
  <c r="Q91" i="4" s="1"/>
  <c r="I97" i="4"/>
  <c r="I105" i="4"/>
  <c r="L105" i="4" s="1"/>
  <c r="M105" i="4" s="1"/>
  <c r="I116" i="4"/>
  <c r="N116" i="4" s="1"/>
  <c r="Q116" i="4" s="1"/>
  <c r="I126" i="4"/>
  <c r="N126" i="4" s="1"/>
  <c r="Q126" i="4" s="1"/>
  <c r="N121" i="4"/>
  <c r="Q121" i="4"/>
  <c r="L121" i="4"/>
  <c r="N101" i="4"/>
  <c r="Q101" i="4"/>
  <c r="L101" i="4"/>
  <c r="M101" i="4" s="1"/>
  <c r="N88" i="4"/>
  <c r="Q88" i="4" s="1"/>
  <c r="L106" i="4"/>
  <c r="M106" i="4" s="1"/>
  <c r="N108" i="4"/>
  <c r="Q108" i="4"/>
  <c r="N97" i="4"/>
  <c r="Q97" i="4"/>
  <c r="L114" i="4"/>
  <c r="N82" i="4"/>
  <c r="Q82" i="4" s="1"/>
  <c r="N98" i="4"/>
  <c r="Q98" i="4" s="1"/>
  <c r="N117" i="4"/>
  <c r="Q117" i="4"/>
  <c r="L117" i="4"/>
  <c r="M117" i="4" s="1"/>
  <c r="L125" i="4"/>
  <c r="M125" i="4" s="1"/>
  <c r="N125" i="4"/>
  <c r="Q125" i="4" s="1"/>
  <c r="N76" i="4"/>
  <c r="Q76" i="4" s="1"/>
  <c r="N112" i="4"/>
  <c r="Q112" i="4"/>
  <c r="L78" i="4"/>
  <c r="N78" i="4"/>
  <c r="Q78" i="4" s="1"/>
  <c r="N95" i="4"/>
  <c r="Q95" i="4" s="1"/>
  <c r="N110" i="4"/>
  <c r="Q110" i="4"/>
  <c r="L110" i="4"/>
  <c r="M110" i="4" s="1"/>
  <c r="L123" i="4"/>
  <c r="M123" i="4" s="1"/>
  <c r="N123" i="4"/>
  <c r="Q123" i="4"/>
  <c r="N113" i="4"/>
  <c r="Q113" i="4" s="1"/>
  <c r="N89" i="4"/>
  <c r="Q89" i="4" s="1"/>
  <c r="N122" i="4"/>
  <c r="Q122" i="4"/>
  <c r="L122" i="4"/>
  <c r="L118" i="4"/>
  <c r="N109" i="4"/>
  <c r="Q109" i="4"/>
  <c r="L109" i="4"/>
  <c r="M109" i="4" s="1"/>
  <c r="L92" i="4"/>
  <c r="N111" i="4"/>
  <c r="Q111" i="4" s="1"/>
  <c r="O119" i="4" l="1"/>
  <c r="P119" i="4" s="1"/>
  <c r="O71" i="4"/>
  <c r="P71" i="4" s="1"/>
  <c r="O116" i="4"/>
  <c r="P116" i="4" s="1"/>
  <c r="M114" i="4"/>
  <c r="O115" i="4"/>
  <c r="P115" i="4" s="1"/>
  <c r="N100" i="4"/>
  <c r="Q100" i="4" s="1"/>
  <c r="N96" i="4"/>
  <c r="Q96" i="4" s="1"/>
  <c r="L90" i="4"/>
  <c r="L97" i="4"/>
  <c r="M97" i="4" s="1"/>
  <c r="L76" i="4"/>
  <c r="M121" i="4"/>
  <c r="L81" i="4"/>
  <c r="O114" i="4"/>
  <c r="P114" i="4" s="1"/>
  <c r="O120" i="4"/>
  <c r="P120" i="4" s="1"/>
  <c r="N102" i="4"/>
  <c r="Q102" i="4" s="1"/>
  <c r="L82" i="4"/>
  <c r="L116" i="4"/>
  <c r="L103" i="4"/>
  <c r="M103" i="4" s="1"/>
  <c r="L80" i="4"/>
  <c r="M107" i="4"/>
  <c r="N86" i="4"/>
  <c r="Q86" i="4" s="1"/>
  <c r="N104" i="4"/>
  <c r="Q104" i="4" s="1"/>
  <c r="L98" i="4"/>
  <c r="M98" i="4" s="1"/>
  <c r="L124" i="4"/>
  <c r="O121" i="4"/>
  <c r="P121" i="4" s="1"/>
  <c r="O127" i="4"/>
  <c r="P127" i="4" s="1"/>
  <c r="O107" i="4"/>
  <c r="P107" i="4" s="1"/>
  <c r="N99" i="4"/>
  <c r="Q99" i="4" s="1"/>
  <c r="N105" i="4"/>
  <c r="Q105" i="4" s="1"/>
  <c r="O108" i="4"/>
  <c r="P108" i="4" s="1"/>
  <c r="O124" i="4"/>
  <c r="P124" i="4" s="1"/>
  <c r="L112" i="4"/>
  <c r="M112" i="4" s="1"/>
  <c r="O91" i="4"/>
  <c r="P91" i="4" s="1"/>
  <c r="L85" i="4"/>
  <c r="L127" i="4"/>
  <c r="L93" i="4"/>
  <c r="L88" i="4"/>
  <c r="O126" i="4"/>
  <c r="P126" i="4" s="1"/>
  <c r="K83" i="4"/>
  <c r="O76" i="4"/>
  <c r="P76" i="4" s="1"/>
  <c r="M81" i="4"/>
  <c r="O74" i="4"/>
  <c r="P74" i="4" s="1"/>
  <c r="M82" i="4"/>
  <c r="M79" i="4"/>
  <c r="M96" i="4"/>
  <c r="M87" i="4"/>
  <c r="M89" i="4"/>
  <c r="K79" i="4"/>
  <c r="O82" i="4"/>
  <c r="P82" i="4" s="1"/>
  <c r="M78" i="4"/>
  <c r="O95" i="4"/>
  <c r="P95" i="4" s="1"/>
  <c r="O83" i="4"/>
  <c r="P83" i="4" s="1"/>
  <c r="M83" i="4"/>
  <c r="L119" i="4"/>
  <c r="O89" i="4"/>
  <c r="P89" i="4" s="1"/>
  <c r="M85" i="4"/>
  <c r="L120" i="4"/>
  <c r="L75" i="4"/>
  <c r="M94" i="4"/>
  <c r="O93" i="4"/>
  <c r="P93" i="4" s="1"/>
  <c r="L73" i="4"/>
  <c r="M84" i="4"/>
  <c r="M80" i="4"/>
  <c r="L74" i="4"/>
  <c r="L91" i="4"/>
  <c r="L115" i="4"/>
  <c r="L72" i="4"/>
  <c r="O88" i="4"/>
  <c r="P88" i="4" s="1"/>
  <c r="O87" i="4"/>
  <c r="P87" i="4" s="1"/>
  <c r="L108" i="4"/>
  <c r="N90" i="4"/>
  <c r="Q90" i="4" s="1"/>
  <c r="L71" i="4"/>
  <c r="M86" i="4"/>
  <c r="O81" i="4"/>
  <c r="P81" i="4" s="1"/>
  <c r="O90" i="4"/>
  <c r="P90" i="4" s="1"/>
  <c r="M90" i="4"/>
  <c r="O72" i="4"/>
  <c r="P72" i="4" s="1"/>
  <c r="O85" i="4"/>
  <c r="P85" i="4" s="1"/>
  <c r="O84" i="4"/>
  <c r="P84" i="4" s="1"/>
  <c r="N81" i="4"/>
  <c r="Q81" i="4" s="1"/>
  <c r="M92" i="4"/>
  <c r="L126" i="4"/>
  <c r="L77" i="4"/>
  <c r="O92" i="4"/>
  <c r="P92" i="4" s="1"/>
  <c r="O94" i="4"/>
  <c r="P94" i="4" s="1"/>
  <c r="O80" i="4"/>
  <c r="P80" i="4" s="1"/>
  <c r="O78" i="4"/>
  <c r="P78" i="4" s="1"/>
  <c r="O97" i="4"/>
  <c r="P97" i="4" s="1"/>
  <c r="O86" i="4"/>
  <c r="P86" i="4" s="1"/>
  <c r="O73" i="4"/>
  <c r="P73" i="4" s="1"/>
  <c r="O77" i="4"/>
  <c r="P77" i="4" s="1"/>
  <c r="O75" i="4"/>
  <c r="P75" i="4" s="1"/>
  <c r="N87" i="4"/>
  <c r="Q87" i="4" s="1"/>
  <c r="L95" i="4"/>
  <c r="N94" i="4"/>
  <c r="Q94" i="4" s="1"/>
  <c r="N84" i="4"/>
  <c r="Q84" i="4" s="1"/>
  <c r="J14" i="4"/>
  <c r="J13" i="4" s="1"/>
  <c r="K16" i="4" s="1"/>
  <c r="M91" i="4" l="1"/>
  <c r="M108" i="4"/>
  <c r="M115" i="4"/>
  <c r="M126" i="4"/>
  <c r="M88" i="4"/>
  <c r="M120" i="4"/>
  <c r="M116" i="4"/>
  <c r="M119" i="4"/>
  <c r="M71" i="4"/>
  <c r="M93" i="4"/>
  <c r="M76" i="4"/>
  <c r="M127" i="4"/>
  <c r="M124" i="4"/>
  <c r="O79" i="4"/>
  <c r="P79" i="4" s="1"/>
  <c r="M75" i="4"/>
  <c r="M74" i="4"/>
  <c r="M95" i="4"/>
  <c r="M77" i="4"/>
  <c r="M72" i="4"/>
  <c r="M73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2" i="4" l="1"/>
  <c r="P62" i="4" s="1"/>
  <c r="O61" i="4"/>
  <c r="P61" i="4" s="1"/>
  <c r="O60" i="4"/>
  <c r="P60" i="4" s="1"/>
  <c r="O57" i="4"/>
  <c r="P57" i="4" s="1"/>
  <c r="O58" i="4"/>
  <c r="P58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61" i="4" l="1"/>
  <c r="M62" i="4"/>
  <c r="M70" i="4"/>
  <c r="M60" i="4"/>
  <c r="M63" i="4"/>
  <c r="O69" i="4"/>
  <c r="P69" i="4" s="1"/>
  <c r="O65" i="4"/>
  <c r="P65" i="4" s="1"/>
  <c r="M65" i="4"/>
  <c r="M66" i="4"/>
  <c r="O67" i="4"/>
  <c r="P67" i="4" s="1"/>
  <c r="O64" i="4"/>
  <c r="P64" i="4" s="1"/>
  <c r="M67" i="4"/>
  <c r="M64" i="4"/>
  <c r="M69" i="4"/>
  <c r="M57" i="4"/>
  <c r="M68" i="4"/>
  <c r="O68" i="4"/>
  <c r="P68" i="4" s="1"/>
  <c r="M58" i="4"/>
  <c r="O66" i="4"/>
  <c r="P66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J45" i="4"/>
  <c r="J30" i="4"/>
  <c r="K30" i="4" s="1"/>
  <c r="J43" i="4"/>
  <c r="L43" i="4" s="1"/>
  <c r="J31" i="4"/>
  <c r="L31" i="4" s="1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45" i="4"/>
  <c r="K45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L30" i="4"/>
  <c r="K43" i="4" l="1"/>
  <c r="M48" i="4"/>
  <c r="M49" i="4"/>
  <c r="O48" i="4"/>
  <c r="P48" i="4" s="1"/>
  <c r="O49" i="4"/>
  <c r="P49" i="4" s="1"/>
  <c r="M43" i="4"/>
  <c r="O45" i="4"/>
  <c r="P45" i="4" s="1"/>
  <c r="O35" i="4"/>
  <c r="P35" i="4" s="1"/>
  <c r="M45" i="4"/>
  <c r="M31" i="4"/>
  <c r="O31" i="4"/>
  <c r="P31" i="4" s="1"/>
  <c r="O28" i="4"/>
  <c r="P28" i="4" s="1"/>
  <c r="M44" i="4"/>
  <c r="O47" i="4"/>
  <c r="P47" i="4" s="1"/>
  <c r="O33" i="4"/>
  <c r="P33" i="4" s="1"/>
  <c r="O46" i="4"/>
  <c r="P46" i="4" s="1"/>
  <c r="O41" i="4"/>
  <c r="P41" i="4" s="1"/>
  <c r="O30" i="4"/>
  <c r="P30" i="4" s="1"/>
  <c r="O39" i="4"/>
  <c r="P39" i="4" s="1"/>
  <c r="M39" i="4"/>
  <c r="L35" i="4"/>
  <c r="K44" i="4"/>
  <c r="L47" i="4"/>
  <c r="K36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43" i="4" l="1"/>
  <c r="P43" i="4" s="1"/>
  <c r="M46" i="4"/>
  <c r="O44" i="4"/>
  <c r="P44" i="4" s="1"/>
  <c r="M35" i="4"/>
  <c r="O32" i="4"/>
  <c r="P32" i="4" s="1"/>
  <c r="O38" i="4"/>
  <c r="P38" i="4" s="1"/>
  <c r="M33" i="4"/>
  <c r="O34" i="4"/>
  <c r="P34" i="4" s="1"/>
  <c r="O42" i="4"/>
  <c r="P42" i="4" s="1"/>
  <c r="M41" i="4"/>
  <c r="O36" i="4"/>
  <c r="P36" i="4" s="1"/>
  <c r="M47" i="4"/>
  <c r="O29" i="4"/>
  <c r="P29" i="4" s="1"/>
  <c r="O40" i="4"/>
  <c r="P40" i="4" s="1"/>
  <c r="O37" i="4"/>
  <c r="P37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<sst xmlns="http://schemas.openxmlformats.org/spreadsheetml/2006/main" count="340" uniqueCount="313">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</sst>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31</v>
      </c>
      <c r="K17" s="31" t="s">
        <v>79</v>
      </c>
      <c r="L17" s="80">
        <v>2.2349599999999998E-3</v>
      </c>
      <c r="M17" s="80">
        <v>2.99E-4</v>
      </c>
      <c r="N17" s="80">
        <v>6.6039999999999998E-5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9" zoomScale="70" zoomScaleNormal="70" workbookViewId="0">
      <selection activeCell="R27" sqref="R27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40.014560000000003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39.991795776000004</v>
      </c>
      <c r="K8" s="39">
        <f>J8/J7</f>
        <v>0.99943110147906167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2.0874399999999998E-2</v>
      </c>
      <c r="K9" s="39">
        <f>J9/J7</f>
        <v>5.2167011207920303E-4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1.889824E-3</v>
      </c>
      <c r="K10" s="39">
        <f>J10/J7</f>
        <v>4.7228408859175258E-5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40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1.4559999999999998E-2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1.2515775999999999E-2</v>
      </c>
      <c r="K20" s="39">
        <f>J20/J19</f>
        <v>0.85960000000000003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1.6743999999999999E-3</v>
      </c>
      <c r="K21" s="39">
        <f>J21/J19</f>
        <v>0.115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3.6982399999999999E-4</v>
      </c>
      <c r="K22" s="39">
        <f>J22/J19</f>
        <v>2.5400000000000002E-2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88</v>
      </c>
      <c r="C28" s="46" t="s">
        <v>89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3.7232006014196545E-5</v>
      </c>
      <c r="J28" s="92">
        <f t="shared" ref="J28:J47" si="2">IF(D28=0,"",LOG($K$21*10^D28+$K$22*10^E28+$K$20))</f>
        <v>1.0273074416240108E-2</v>
      </c>
      <c r="K28" s="93">
        <f t="shared" ref="K28:K47" si="3">IF(D28=0,"",1/(1+10^D28*$J$15/$J$14+10^E28*$J$16/$J$14+10^J28*$J$19/$J$14))</f>
        <v>0.99902400097748756</v>
      </c>
      <c r="L28" s="93">
        <f t="shared" ref="L28:L47" si="4">IF(D28=0,"",1/(1+10^I28/10^J28*$J$13/$J$19))</f>
        <v>3.725421382481188E-4</v>
      </c>
      <c r="M28" s="93">
        <f t="shared" ref="M28:M47" si="5">IF(D28=0,"",1-L28)</f>
        <v>0.99962745786175189</v>
      </c>
      <c r="N28" s="93">
        <f t="shared" ref="N28:N47" si="6">IF(D28=0,"",1/(1/10^E28*$J$20/$J$22+10^D28/10^E28*$J$21/$J$22+10^I28/10^E28*$J$13/$J$22+1))</f>
        <v>1.1167399303432763E-5</v>
      </c>
      <c r="O28" s="40">
        <f t="shared" ref="O28:O47" si="7">IF(D28=0,"",F28*K28*$J$7/$J$14)</f>
        <v>9.9990559681299252E-7</v>
      </c>
      <c r="P28" s="40">
        <f t="shared" ref="P28:P47" si="8">IF(D28=0,"",O28*10^J28)</f>
        <v>1.0238399549078054E-6</v>
      </c>
      <c r="Q28" s="40">
        <f t="shared" ref="Q28:Q47" si="9">IF(D28=0,"",F28*N28*$J$7/$J$22)</f>
        <v>1.2083006226506893E-6</v>
      </c>
      <c r="R28" s="9">
        <f>F28*$C$14</f>
        <v>3.9999999999999996E-5</v>
      </c>
      <c r="S28" s="9">
        <f>$R28*L28</f>
        <v>1.4901685529924752E-8</v>
      </c>
      <c r="T28" s="9">
        <f t="shared" ref="T28:T91" si="10">R28*K28</f>
        <v>3.9960960039099498E-5</v>
      </c>
      <c r="U28" s="9">
        <f t="shared" ref="U28:U91" si="11">$R28*M28</f>
        <v>3.9985098314470074E-5</v>
      </c>
      <c r="V28" s="100">
        <f>K28/M28</f>
        <v>0.99939631821883412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161</v>
      </c>
      <c r="C29" s="46" t="s">
        <v>162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4.6078470391874224E-2</v>
      </c>
      <c r="J29" s="92">
        <f t="shared" si="2"/>
        <v>1.5314328925481873</v>
      </c>
      <c r="K29" s="93">
        <f t="shared" si="3"/>
        <v>0.88897581101299428</v>
      </c>
      <c r="L29" s="93">
        <f t="shared" si="4"/>
        <v>1.1006500129285335E-2</v>
      </c>
      <c r="M29" s="93">
        <f t="shared" si="5"/>
        <v>0.98899349987071461</v>
      </c>
      <c r="N29" s="93">
        <f t="shared" si="6"/>
        <v>3.1264397740511153E-3</v>
      </c>
      <c r="O29" s="40">
        <f t="shared" si="7"/>
        <v>8.8976029404051602E-7</v>
      </c>
      <c r="P29" s="40">
        <f t="shared" si="8"/>
        <v>3.0248644217946152E-5</v>
      </c>
      <c r="Q29" s="40">
        <f t="shared" si="9"/>
        <v>3.3827742906126915E-4</v>
      </c>
      <c r="R29" s="9">
        <f t="shared" ref="R29:R92" si="12">F29*$C$14</f>
        <v>3.9999999999999996E-5</v>
      </c>
      <c r="S29" s="9">
        <f t="shared" ref="S29:S92" si="13">$R29*L29</f>
        <v>4.4026000517141333E-7</v>
      </c>
      <c r="T29" s="9">
        <f t="shared" si="10"/>
        <v>3.5559032440519769E-5</v>
      </c>
      <c r="U29" s="9">
        <f t="shared" si="11"/>
        <v>3.9559739994828582E-5</v>
      </c>
      <c r="V29" s="100">
        <f t="shared" ref="V29:V92" si="14">K29/M29</f>
        <v>0.89886921514570617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163</v>
      </c>
      <c r="C30" s="46" t="s">
        <v>164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1.116379396238508</v>
      </c>
      <c r="J30" s="92">
        <f t="shared" si="2"/>
        <v>3.4624903128601039</v>
      </c>
      <c r="K30" s="93">
        <f t="shared" si="3"/>
        <v>7.0740011065968306E-2</v>
      </c>
      <c r="L30" s="93">
        <f t="shared" si="4"/>
        <v>7.4727739091163981E-2</v>
      </c>
      <c r="M30" s="93">
        <f t="shared" si="5"/>
        <v>0.92527226090883596</v>
      </c>
      <c r="N30" s="93">
        <f t="shared" si="6"/>
        <v>2.8564409237575911E-4</v>
      </c>
      <c r="O30" s="40">
        <f t="shared" si="7"/>
        <v>7.0802436091891912E-8</v>
      </c>
      <c r="P30" s="40">
        <f t="shared" si="8"/>
        <v>2.0537071425327804E-4</v>
      </c>
      <c r="Q30" s="40">
        <f t="shared" si="9"/>
        <v>3.0906384315283372E-5</v>
      </c>
      <c r="R30" s="9">
        <f t="shared" si="12"/>
        <v>3.9999999999999996E-5</v>
      </c>
      <c r="S30" s="9">
        <f t="shared" si="13"/>
        <v>2.9891095636465588E-6</v>
      </c>
      <c r="T30" s="9">
        <f t="shared" si="10"/>
        <v>2.829600442638732E-6</v>
      </c>
      <c r="U30" s="9">
        <f t="shared" si="11"/>
        <v>3.7010890436353435E-5</v>
      </c>
      <c r="V30" s="100">
        <f t="shared" si="14"/>
        <v>7.6453184705315716E-2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90</v>
      </c>
      <c r="C31" s="46" t="s">
        <v>91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-1.9978935919434454E-4</v>
      </c>
      <c r="J31" s="92">
        <f t="shared" si="2"/>
        <v>-5.859866227494568E-2</v>
      </c>
      <c r="K31" s="93">
        <f t="shared" si="3"/>
        <v>0.99962381747056828</v>
      </c>
      <c r="L31" s="93">
        <f t="shared" si="4"/>
        <v>3.1810049100760337E-4</v>
      </c>
      <c r="M31" s="93">
        <f t="shared" si="5"/>
        <v>0.99968189950899244</v>
      </c>
      <c r="N31" s="93">
        <f t="shared" si="6"/>
        <v>1.5034464588012252E-7</v>
      </c>
      <c r="O31" s="40">
        <f t="shared" si="7"/>
        <v>1.0005059426184039E-6</v>
      </c>
      <c r="P31" s="40">
        <f t="shared" si="8"/>
        <v>8.7422054831409414E-7</v>
      </c>
      <c r="Q31" s="40">
        <f t="shared" si="9"/>
        <v>1.6267129373023156E-8</v>
      </c>
      <c r="R31" s="9">
        <f t="shared" si="12"/>
        <v>3.9999999999999996E-5</v>
      </c>
      <c r="S31" s="9">
        <f t="shared" si="13"/>
        <v>1.2724019640304134E-8</v>
      </c>
      <c r="T31" s="9">
        <f t="shared" si="10"/>
        <v>3.9984952698822727E-5</v>
      </c>
      <c r="U31" s="9">
        <f t="shared" si="11"/>
        <v>3.9987275980359695E-5</v>
      </c>
      <c r="V31" s="100">
        <f t="shared" si="14"/>
        <v>0.99994189947977186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92</v>
      </c>
      <c r="C32" s="46" t="s">
        <v>93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5.4311668398331027E-4</v>
      </c>
      <c r="J32" s="92">
        <f t="shared" si="2"/>
        <v>0.11929695728567689</v>
      </c>
      <c r="K32" s="93">
        <f t="shared" si="3"/>
        <v>0.99775546003386961</v>
      </c>
      <c r="L32" s="93">
        <f t="shared" si="4"/>
        <v>4.7824173891889977E-4</v>
      </c>
      <c r="M32" s="93">
        <f t="shared" si="5"/>
        <v>0.99952175826108114</v>
      </c>
      <c r="N32" s="93">
        <f t="shared" si="6"/>
        <v>1.8473356778378177E-5</v>
      </c>
      <c r="O32" s="40">
        <f t="shared" si="7"/>
        <v>9.986359364363958E-7</v>
      </c>
      <c r="P32" s="40">
        <f t="shared" si="8"/>
        <v>1.3143291728347978E-6</v>
      </c>
      <c r="Q32" s="40">
        <f t="shared" si="9"/>
        <v>1.9987973825652749E-6</v>
      </c>
      <c r="R32" s="9">
        <f t="shared" si="12"/>
        <v>3.9999999999999996E-5</v>
      </c>
      <c r="S32" s="9">
        <f t="shared" si="13"/>
        <v>1.9129669556755991E-8</v>
      </c>
      <c r="T32" s="9">
        <f t="shared" si="10"/>
        <v>3.9910218401354784E-5</v>
      </c>
      <c r="U32" s="9">
        <f t="shared" si="11"/>
        <v>3.998087033044324E-5</v>
      </c>
      <c r="V32" s="100">
        <f t="shared" si="14"/>
        <v>0.99823285665108041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165</v>
      </c>
      <c r="C33" s="94" t="s">
        <v>110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1.0070969156464394E-2</v>
      </c>
      <c r="J33" s="92">
        <f t="shared" si="2"/>
        <v>0.89170011001555038</v>
      </c>
      <c r="K33" s="93">
        <f t="shared" si="3"/>
        <v>0.97387223093775377</v>
      </c>
      <c r="L33" s="93">
        <f t="shared" si="4"/>
        <v>2.7639392867000413E-3</v>
      </c>
      <c r="M33" s="93">
        <f t="shared" si="5"/>
        <v>0.99723606071329995</v>
      </c>
      <c r="N33" s="93">
        <f t="shared" si="6"/>
        <v>6.5704863603401173E-4</v>
      </c>
      <c r="O33" s="40">
        <f t="shared" si="7"/>
        <v>9.7473163141488799E-7</v>
      </c>
      <c r="P33" s="40">
        <f t="shared" si="8"/>
        <v>7.5960037379131889E-6</v>
      </c>
      <c r="Q33" s="40">
        <f t="shared" si="9"/>
        <v>7.109195744327336E-5</v>
      </c>
      <c r="R33" s="9">
        <f t="shared" si="12"/>
        <v>3.9999999999999996E-5</v>
      </c>
      <c r="S33" s="9">
        <f t="shared" si="13"/>
        <v>1.1055757146800165E-7</v>
      </c>
      <c r="T33" s="9">
        <f t="shared" si="10"/>
        <v>3.8954889237510144E-5</v>
      </c>
      <c r="U33" s="9">
        <f t="shared" si="11"/>
        <v>3.9889442428531992E-5</v>
      </c>
      <c r="V33" s="100">
        <f t="shared" si="14"/>
        <v>0.97657141503804568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94</v>
      </c>
      <c r="C34" s="46" t="s">
        <v>95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3.1711948665398576E-4</v>
      </c>
      <c r="J34" s="92">
        <f t="shared" si="2"/>
        <v>7.1416867604929449E-2</v>
      </c>
      <c r="K34" s="93">
        <f t="shared" si="3"/>
        <v>0.99832442138959998</v>
      </c>
      <c r="L34" s="93">
        <f t="shared" si="4"/>
        <v>4.2856329180150735E-4</v>
      </c>
      <c r="M34" s="93">
        <f t="shared" si="5"/>
        <v>0.99957143670819848</v>
      </c>
      <c r="N34" s="93">
        <f t="shared" si="6"/>
        <v>1.1348990389912676E-5</v>
      </c>
      <c r="O34" s="40">
        <f t="shared" si="7"/>
        <v>9.9920539987612164E-7</v>
      </c>
      <c r="P34" s="40">
        <f t="shared" si="8"/>
        <v>1.1778002440651735E-6</v>
      </c>
      <c r="Q34" s="40">
        <f t="shared" si="9"/>
        <v>1.2279485833709662E-6</v>
      </c>
      <c r="R34" s="9">
        <f t="shared" si="12"/>
        <v>3.9999999999999996E-5</v>
      </c>
      <c r="S34" s="9">
        <f t="shared" si="13"/>
        <v>1.7142531672060292E-8</v>
      </c>
      <c r="T34" s="9">
        <f t="shared" si="10"/>
        <v>3.9932976855583995E-5</v>
      </c>
      <c r="U34" s="9">
        <f t="shared" si="11"/>
        <v>3.9982857468327934E-5</v>
      </c>
      <c r="V34" s="100">
        <f t="shared" si="14"/>
        <v>0.99875245002727853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96</v>
      </c>
      <c r="C35" s="46" t="s">
        <v>97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1.8367979099029661E-4</v>
      </c>
      <c r="J35" s="92">
        <f t="shared" si="2"/>
        <v>4.0811704581714597E-2</v>
      </c>
      <c r="K35" s="93">
        <f t="shared" si="3"/>
        <v>0.99866020998340244</v>
      </c>
      <c r="L35" s="93">
        <f t="shared" si="4"/>
        <v>3.9953594498776633E-4</v>
      </c>
      <c r="M35" s="93">
        <f t="shared" si="5"/>
        <v>0.99960046405501224</v>
      </c>
      <c r="N35" s="93">
        <f t="shared" si="6"/>
        <v>7.6388152255120408E-6</v>
      </c>
      <c r="O35" s="40">
        <f t="shared" si="7"/>
        <v>9.9954148478895703E-7</v>
      </c>
      <c r="P35" s="40">
        <f t="shared" si="8"/>
        <v>1.0980257584388515E-6</v>
      </c>
      <c r="Q35" s="40">
        <f t="shared" si="9"/>
        <v>8.2651161138856612E-7</v>
      </c>
      <c r="R35" s="9">
        <f t="shared" si="12"/>
        <v>3.9999999999999996E-5</v>
      </c>
      <c r="S35" s="9">
        <f t="shared" si="13"/>
        <v>1.5981437799510653E-8</v>
      </c>
      <c r="T35" s="9">
        <f t="shared" si="10"/>
        <v>3.9946408399336091E-5</v>
      </c>
      <c r="U35" s="9">
        <f t="shared" si="11"/>
        <v>3.9984018562200485E-5</v>
      </c>
      <c r="V35" s="100">
        <f t="shared" si="14"/>
        <v>0.99905937011293944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166</v>
      </c>
      <c r="C36" s="46" t="s">
        <v>167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0.45036614920415591</v>
      </c>
      <c r="J36" s="92">
        <f t="shared" si="2"/>
        <v>2.8129743237059617</v>
      </c>
      <c r="K36" s="93">
        <f t="shared" si="3"/>
        <v>0.32690658416929474</v>
      </c>
      <c r="L36" s="93">
        <f t="shared" si="4"/>
        <v>7.7397048235962773E-2</v>
      </c>
      <c r="M36" s="93">
        <f t="shared" si="5"/>
        <v>0.92260295176403728</v>
      </c>
      <c r="N36" s="93">
        <f t="shared" si="6"/>
        <v>3.9504793029467314E-2</v>
      </c>
      <c r="O36" s="40">
        <f t="shared" si="7"/>
        <v>3.2719506520971102E-7</v>
      </c>
      <c r="P36" s="40">
        <f t="shared" si="8"/>
        <v>2.1270665044373816E-4</v>
      </c>
      <c r="Q36" s="40">
        <f t="shared" si="9"/>
        <v>4.2743762194049099E-3</v>
      </c>
      <c r="R36" s="9">
        <f t="shared" si="12"/>
        <v>3.9999999999999996E-5</v>
      </c>
      <c r="S36" s="9">
        <f t="shared" si="13"/>
        <v>3.0958819294385105E-6</v>
      </c>
      <c r="T36" s="9">
        <f t="shared" si="10"/>
        <v>1.3076263366771789E-5</v>
      </c>
      <c r="U36" s="9">
        <f t="shared" si="11"/>
        <v>3.6904118070561491E-5</v>
      </c>
      <c r="V36" s="100">
        <f t="shared" si="14"/>
        <v>0.35433073733857245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168</v>
      </c>
      <c r="C37" s="94" t="s">
        <v>169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2.2002191789801899</v>
      </c>
      <c r="J37" s="92">
        <f t="shared" si="2"/>
        <v>4.9487921948544864</v>
      </c>
      <c r="K37" s="93">
        <f t="shared" si="3"/>
        <v>5.2350618431425871E-3</v>
      </c>
      <c r="L37" s="93">
        <f t="shared" si="4"/>
        <v>0.169449549208779</v>
      </c>
      <c r="M37" s="93">
        <f t="shared" si="5"/>
        <v>0.83055045079122103</v>
      </c>
      <c r="N37" s="93">
        <f t="shared" si="6"/>
        <v>0.15193010578342578</v>
      </c>
      <c r="O37" s="40">
        <f t="shared" si="7"/>
        <v>5.2396815607019341E-9</v>
      </c>
      <c r="P37" s="40">
        <f t="shared" si="8"/>
        <v>4.6569018913376648E-4</v>
      </c>
      <c r="Q37" s="40">
        <f t="shared" si="9"/>
        <v>1.6438674433452774E-2</v>
      </c>
      <c r="R37" s="9">
        <f t="shared" si="12"/>
        <v>3.9999999999999996E-5</v>
      </c>
      <c r="S37" s="9">
        <f t="shared" si="13"/>
        <v>6.7779819683511595E-6</v>
      </c>
      <c r="T37" s="9">
        <f t="shared" si="10"/>
        <v>2.0940247372570345E-7</v>
      </c>
      <c r="U37" s="9">
        <f t="shared" si="11"/>
        <v>3.3222018031648841E-5</v>
      </c>
      <c r="V37" s="100">
        <f t="shared" si="14"/>
        <v>6.3031232337005215E-3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170</v>
      </c>
      <c r="C38" s="46" t="s">
        <v>171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-1.5970395933982679E-4</v>
      </c>
      <c r="J38" s="92">
        <f t="shared" si="2"/>
        <v>-4.7384070735103416E-2</v>
      </c>
      <c r="K38" s="93">
        <f t="shared" si="3"/>
        <v>0.99952326934550628</v>
      </c>
      <c r="L38" s="93">
        <f t="shared" si="4"/>
        <v>3.2638879798378261E-4</v>
      </c>
      <c r="M38" s="93">
        <f t="shared" si="5"/>
        <v>0.99967361120201625</v>
      </c>
      <c r="N38" s="93">
        <f t="shared" si="6"/>
        <v>5.7735963831428966E-7</v>
      </c>
      <c r="O38" s="40">
        <f t="shared" si="7"/>
        <v>1.0004053057639338E-6</v>
      </c>
      <c r="P38" s="40">
        <f t="shared" si="8"/>
        <v>8.9699891073145246E-7</v>
      </c>
      <c r="Q38" s="40">
        <f t="shared" si="9"/>
        <v>6.2469693391736182E-8</v>
      </c>
      <c r="R38" s="9">
        <f t="shared" si="12"/>
        <v>3.9999999999999996E-5</v>
      </c>
      <c r="S38" s="9">
        <f t="shared" si="13"/>
        <v>1.3055551919351304E-8</v>
      </c>
      <c r="T38" s="9">
        <f t="shared" si="10"/>
        <v>3.9980930773820248E-5</v>
      </c>
      <c r="U38" s="9">
        <f t="shared" si="11"/>
        <v>3.9986944448080648E-5</v>
      </c>
      <c r="V38" s="100">
        <f t="shared" si="14"/>
        <v>0.99984960905757114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98</v>
      </c>
      <c r="C39" s="46" t="s">
        <v>99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4.7752637245013392E-2</v>
      </c>
      <c r="J39" s="92">
        <f t="shared" si="2"/>
        <v>1.5278128154398603</v>
      </c>
      <c r="K39" s="93">
        <f t="shared" si="3"/>
        <v>0.88567359769731946</v>
      </c>
      <c r="L39" s="93">
        <f t="shared" si="4"/>
        <v>1.0874590710353215E-2</v>
      </c>
      <c r="M39" s="93">
        <f t="shared" si="5"/>
        <v>0.98912540928964676</v>
      </c>
      <c r="N39" s="93">
        <f t="shared" si="6"/>
        <v>2.4556463467744192E-3</v>
      </c>
      <c r="O39" s="40">
        <f t="shared" si="7"/>
        <v>8.8645516666321282E-7</v>
      </c>
      <c r="P39" s="40">
        <f t="shared" si="8"/>
        <v>2.9886123794977427E-5</v>
      </c>
      <c r="Q39" s="40">
        <f t="shared" si="9"/>
        <v>2.6569829995291226E-4</v>
      </c>
      <c r="R39" s="9">
        <f t="shared" si="12"/>
        <v>3.9999999999999996E-5</v>
      </c>
      <c r="S39" s="9">
        <f t="shared" si="13"/>
        <v>4.3498362841412857E-7</v>
      </c>
      <c r="T39" s="9">
        <f t="shared" si="10"/>
        <v>3.5426943907892775E-5</v>
      </c>
      <c r="U39" s="9">
        <f t="shared" si="11"/>
        <v>3.9565016371585868E-5</v>
      </c>
      <c r="V39" s="100">
        <f t="shared" si="14"/>
        <v>0.89541082392512539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172</v>
      </c>
      <c r="C40" s="46" t="s">
        <v>173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5.4923561227077443E-2</v>
      </c>
      <c r="J40" s="92">
        <f t="shared" si="2"/>
        <v>1.6554914305111572</v>
      </c>
      <c r="K40" s="93">
        <f t="shared" si="3"/>
        <v>0.8681505753474138</v>
      </c>
      <c r="L40" s="93">
        <f t="shared" si="4"/>
        <v>1.4302530889324108E-2</v>
      </c>
      <c r="M40" s="93">
        <f t="shared" si="5"/>
        <v>0.98569746911067591</v>
      </c>
      <c r="N40" s="93">
        <f t="shared" si="6"/>
        <v>5.8913171130719798E-3</v>
      </c>
      <c r="O40" s="40">
        <f t="shared" si="7"/>
        <v>8.6891668099759687E-7</v>
      </c>
      <c r="P40" s="40">
        <f t="shared" si="8"/>
        <v>3.9306969809252266E-5</v>
      </c>
      <c r="Q40" s="40">
        <f t="shared" si="9"/>
        <v>6.374341905880785E-4</v>
      </c>
      <c r="R40" s="9">
        <f t="shared" si="12"/>
        <v>3.9999999999999996E-5</v>
      </c>
      <c r="S40" s="9">
        <f t="shared" si="13"/>
        <v>5.7210123557296424E-7</v>
      </c>
      <c r="T40" s="9">
        <f t="shared" si="10"/>
        <v>3.4726023013896547E-5</v>
      </c>
      <c r="U40" s="9">
        <f t="shared" si="11"/>
        <v>3.9427898764427032E-5</v>
      </c>
      <c r="V40" s="100">
        <f t="shared" si="14"/>
        <v>0.88074749358003701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174</v>
      </c>
      <c r="C41" s="94" t="s">
        <v>175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6.6276677113325539E-3</v>
      </c>
      <c r="J41" s="92">
        <f t="shared" si="2"/>
        <v>0.71517750488405019</v>
      </c>
      <c r="K41" s="93">
        <f t="shared" si="3"/>
        <v>0.98251686830248053</v>
      </c>
      <c r="L41" s="93">
        <f t="shared" si="4"/>
        <v>1.8571369317839221E-3</v>
      </c>
      <c r="M41" s="93">
        <f t="shared" si="5"/>
        <v>0.99814286306821609</v>
      </c>
      <c r="N41" s="93">
        <f t="shared" si="6"/>
        <v>2.9121861921631488E-4</v>
      </c>
      <c r="O41" s="40">
        <f t="shared" si="7"/>
        <v>9.8338389730134458E-7</v>
      </c>
      <c r="P41" s="40">
        <f t="shared" si="8"/>
        <v>5.103881674799703E-6</v>
      </c>
      <c r="Q41" s="40">
        <f t="shared" si="9"/>
        <v>3.1509542138283037E-5</v>
      </c>
      <c r="R41" s="9">
        <f t="shared" si="12"/>
        <v>3.9999999999999996E-5</v>
      </c>
      <c r="S41" s="9">
        <f t="shared" si="13"/>
        <v>7.4285477271356881E-8</v>
      </c>
      <c r="T41" s="9">
        <f t="shared" si="10"/>
        <v>3.930067473209922E-5</v>
      </c>
      <c r="U41" s="9">
        <f t="shared" si="11"/>
        <v>3.9925714522728638E-5</v>
      </c>
      <c r="V41" s="100">
        <f t="shared" si="14"/>
        <v>0.98434493162862235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176</v>
      </c>
      <c r="C42" s="46" t="s">
        <v>177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2.8589842167479149E-2</v>
      </c>
      <c r="J42" s="92">
        <f t="shared" si="2"/>
        <v>1.345926094870141</v>
      </c>
      <c r="K42" s="93">
        <f t="shared" si="3"/>
        <v>0.92878426390286339</v>
      </c>
      <c r="L42" s="93">
        <f t="shared" si="4"/>
        <v>7.5018322750490642E-3</v>
      </c>
      <c r="M42" s="93">
        <f t="shared" si="5"/>
        <v>0.99249816772495092</v>
      </c>
      <c r="N42" s="93">
        <f t="shared" si="6"/>
        <v>2.579128447925219E-3</v>
      </c>
      <c r="O42" s="40">
        <f t="shared" si="7"/>
        <v>9.2960387618278658E-7</v>
      </c>
      <c r="P42" s="40">
        <f t="shared" si="8"/>
        <v>2.0616931159332915E-5</v>
      </c>
      <c r="Q42" s="40">
        <f t="shared" si="9"/>
        <v>2.7905893080819674E-4</v>
      </c>
      <c r="R42" s="9">
        <f t="shared" si="12"/>
        <v>3.9999999999999996E-5</v>
      </c>
      <c r="S42" s="9">
        <f t="shared" si="13"/>
        <v>3.0007329100196256E-7</v>
      </c>
      <c r="T42" s="9">
        <f t="shared" si="10"/>
        <v>3.7151370556114531E-5</v>
      </c>
      <c r="U42" s="9">
        <f t="shared" si="11"/>
        <v>3.9699926708998033E-5</v>
      </c>
      <c r="V42" s="100">
        <f t="shared" si="14"/>
        <v>0.9358045123971005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178</v>
      </c>
      <c r="C43" s="46" t="s">
        <v>179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4.5043006346732313E-2</v>
      </c>
      <c r="J43" s="92">
        <f t="shared" si="2"/>
        <v>1.511064839547366</v>
      </c>
      <c r="K43" s="93">
        <f t="shared" si="3"/>
        <v>0.89152510148254582</v>
      </c>
      <c r="L43" s="93">
        <f t="shared" si="4"/>
        <v>1.0532338816741083E-2</v>
      </c>
      <c r="M43" s="93">
        <f t="shared" si="5"/>
        <v>0.98946766118325891</v>
      </c>
      <c r="N43" s="93">
        <f t="shared" si="6"/>
        <v>2.6682019586162955E-3</v>
      </c>
      <c r="O43" s="40">
        <f t="shared" si="7"/>
        <v>8.9231183414957486E-7</v>
      </c>
      <c r="P43" s="40">
        <f t="shared" si="8"/>
        <v>2.8945529088105428E-5</v>
      </c>
      <c r="Q43" s="40">
        <f t="shared" si="9"/>
        <v>2.8869658909418886E-4</v>
      </c>
      <c r="R43" s="9">
        <f t="shared" si="12"/>
        <v>3.9999999999999996E-5</v>
      </c>
      <c r="S43" s="9">
        <f t="shared" si="13"/>
        <v>4.2129355266964329E-7</v>
      </c>
      <c r="T43" s="9">
        <f t="shared" si="10"/>
        <v>3.5661004059301827E-5</v>
      </c>
      <c r="U43" s="9">
        <f t="shared" si="11"/>
        <v>3.9578706447330355E-5</v>
      </c>
      <c r="V43" s="100">
        <f t="shared" si="14"/>
        <v>0.90101489564238202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180</v>
      </c>
      <c r="C44" s="46" t="s">
        <v>181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2.829962486439805</v>
      </c>
      <c r="J44" s="92">
        <f t="shared" si="2"/>
        <v>5.5484404117146227</v>
      </c>
      <c r="K44" s="93">
        <f t="shared" si="3"/>
        <v>1.2420342964976783E-3</v>
      </c>
      <c r="L44" s="93">
        <f t="shared" si="4"/>
        <v>0.15991912557995069</v>
      </c>
      <c r="M44" s="93">
        <f t="shared" si="5"/>
        <v>0.84008087442004931</v>
      </c>
      <c r="N44" s="93">
        <f t="shared" si="6"/>
        <v>0.13523892543643409</v>
      </c>
      <c r="O44" s="40">
        <f t="shared" si="7"/>
        <v>1.2431303384969449E-9</v>
      </c>
      <c r="P44" s="40">
        <f t="shared" si="8"/>
        <v>4.3949817621335692E-4</v>
      </c>
      <c r="Q44" s="40">
        <f t="shared" si="9"/>
        <v>1.4632706628590137E-2</v>
      </c>
      <c r="R44" s="9">
        <f t="shared" si="12"/>
        <v>3.9999999999999996E-5</v>
      </c>
      <c r="S44" s="9">
        <f t="shared" si="13"/>
        <v>6.3967650231980272E-6</v>
      </c>
      <c r="T44" s="9">
        <f t="shared" si="10"/>
        <v>4.9681371859907129E-8</v>
      </c>
      <c r="U44" s="9">
        <f t="shared" si="11"/>
        <v>3.3603234976801969E-5</v>
      </c>
      <c r="V44" s="100">
        <f t="shared" si="14"/>
        <v>1.4784699120249797E-3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182</v>
      </c>
      <c r="C45" s="46" t="s">
        <v>183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3.957220636313619E-3</v>
      </c>
      <c r="J45" s="92">
        <f t="shared" si="2"/>
        <v>0.55377732988068606</v>
      </c>
      <c r="K45" s="93">
        <f t="shared" si="3"/>
        <v>0.9891392833860484</v>
      </c>
      <c r="L45" s="93">
        <f t="shared" si="4"/>
        <v>1.2893213862067857E-3</v>
      </c>
      <c r="M45" s="93">
        <f t="shared" si="5"/>
        <v>0.99871067861379326</v>
      </c>
      <c r="N45" s="93">
        <f t="shared" si="6"/>
        <v>2.2594543599415017E-4</v>
      </c>
      <c r="O45" s="40">
        <f t="shared" si="7"/>
        <v>9.9001215638220678E-7</v>
      </c>
      <c r="P45" s="40">
        <f t="shared" si="8"/>
        <v>3.543381041734519E-6</v>
      </c>
      <c r="Q45" s="40">
        <f t="shared" si="9"/>
        <v>2.4447053748037127E-5</v>
      </c>
      <c r="R45" s="9">
        <f t="shared" si="12"/>
        <v>3.9999999999999996E-5</v>
      </c>
      <c r="S45" s="9">
        <f t="shared" si="13"/>
        <v>5.157285544827142E-8</v>
      </c>
      <c r="T45" s="9">
        <f t="shared" si="10"/>
        <v>3.9565571335441934E-5</v>
      </c>
      <c r="U45" s="9">
        <f t="shared" si="11"/>
        <v>3.9948427144551728E-5</v>
      </c>
      <c r="V45" s="100">
        <f t="shared" si="14"/>
        <v>0.99041624823614594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184</v>
      </c>
      <c r="C46" s="46" t="s">
        <v>185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4.1980440605165602E-3</v>
      </c>
      <c r="J46" s="92">
        <f t="shared" si="2"/>
        <v>0.56756569522901157</v>
      </c>
      <c r="K46" s="93">
        <f t="shared" si="3"/>
        <v>0.98855055574895567</v>
      </c>
      <c r="L46" s="93">
        <f t="shared" si="4"/>
        <v>1.330120498115621E-3</v>
      </c>
      <c r="M46" s="93">
        <f t="shared" si="5"/>
        <v>0.99866987950188435</v>
      </c>
      <c r="N46" s="93">
        <f t="shared" si="6"/>
        <v>2.1534560254246666E-4</v>
      </c>
      <c r="O46" s="40">
        <f t="shared" si="7"/>
        <v>9.8942290921822342E-7</v>
      </c>
      <c r="P46" s="40">
        <f t="shared" si="8"/>
        <v>3.6555073131234497E-6</v>
      </c>
      <c r="Q46" s="40">
        <f t="shared" si="9"/>
        <v>2.3300163141580012E-5</v>
      </c>
      <c r="R46" s="9">
        <f t="shared" si="12"/>
        <v>3.9999999999999996E-5</v>
      </c>
      <c r="S46" s="9">
        <f t="shared" si="13"/>
        <v>5.3204819924624835E-8</v>
      </c>
      <c r="T46" s="9">
        <f t="shared" si="10"/>
        <v>3.9542022229958226E-5</v>
      </c>
      <c r="U46" s="9">
        <f t="shared" si="11"/>
        <v>3.9946795180075371E-5</v>
      </c>
      <c r="V46" s="100">
        <f t="shared" si="14"/>
        <v>0.98986719839995974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186</v>
      </c>
      <c r="C47" s="46" t="s">
        <v>187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8.655050783580702E-2</v>
      </c>
      <c r="J47" s="92">
        <f t="shared" si="2"/>
        <v>1.8833785574234876</v>
      </c>
      <c r="K47" s="93">
        <f t="shared" si="3"/>
        <v>0.80063370799198685</v>
      </c>
      <c r="L47" s="93">
        <f t="shared" si="4"/>
        <v>2.2291476457262566E-2</v>
      </c>
      <c r="M47" s="93">
        <f t="shared" si="5"/>
        <v>0.97770852354273741</v>
      </c>
      <c r="N47" s="93">
        <f t="shared" si="6"/>
        <v>1.0284850237554479E-2</v>
      </c>
      <c r="O47" s="40">
        <f t="shared" si="7"/>
        <v>8.0134023290233932E-7</v>
      </c>
      <c r="P47" s="40">
        <f t="shared" si="8"/>
        <v>6.126261141399178E-5</v>
      </c>
      <c r="Q47" s="40">
        <f t="shared" si="9"/>
        <v>1.1128097606473296E-3</v>
      </c>
      <c r="R47" s="9">
        <f t="shared" si="12"/>
        <v>3.9999999999999996E-5</v>
      </c>
      <c r="S47" s="9">
        <f t="shared" si="13"/>
        <v>8.9165905829050255E-7</v>
      </c>
      <c r="T47" s="9">
        <f t="shared" si="10"/>
        <v>3.2025348319679468E-5</v>
      </c>
      <c r="U47" s="9">
        <f t="shared" si="11"/>
        <v>3.9108340941709495E-5</v>
      </c>
      <c r="V47" s="100">
        <f t="shared" si="14"/>
        <v>0.81888792898202623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100</v>
      </c>
      <c r="C48" s="46" t="s">
        <v>101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2.1004549420906745E-4</v>
      </c>
      <c r="J48" s="92">
        <f t="shared" ref="J48:J50" si="16">IF(D48=0,"",LOG($K$21*10^D48+$K$22*10^E48+$K$20))</f>
        <v>5.0901710407050667E-2</v>
      </c>
      <c r="K48" s="93">
        <f t="shared" ref="K48:K50" si="17">IF(D48=0,"",1/(1+10^D48*$J$15/$J$14+10^E48*$J$16/$J$14+10^J48*$J$19/$J$14))</f>
        <v>0.99859023078799403</v>
      </c>
      <c r="L48" s="93">
        <f t="shared" ref="L48:L50" si="18">IF(D48=0,"",1/(1+10^I48/10^J48*$J$13/$J$19))</f>
        <v>4.088984176394329E-4</v>
      </c>
      <c r="M48" s="93">
        <f t="shared" ref="M48:M92" si="19">IF(D48=0,"",1-L48)</f>
        <v>0.99959110158236053</v>
      </c>
      <c r="N48" s="93">
        <f t="shared" ref="N48:N50" si="20">IF(D48=0,"",1/(1/10^E48*$J$20/$J$22+10^D48/10^E48*$J$21/$J$22+10^I48/10^E48*$J$13/$J$22+1))</f>
        <v>1.4026439283950923E-5</v>
      </c>
      <c r="O48" s="40">
        <f t="shared" ref="O48:O92" si="21">IF(D48=0,"",F48*K48*$J$7/$J$14)</f>
        <v>9.9947144383990981E-7</v>
      </c>
      <c r="P48" s="40">
        <f t="shared" ref="P48:P50" si="22">IF(D48=0,"",O48*10^J48)</f>
        <v>1.1237561996248725E-6</v>
      </c>
      <c r="Q48" s="40">
        <f t="shared" ref="Q48:Q50" si="23">IF(D48=0,"",F48*N48*$J$7/$J$22)</f>
        <v>1.5176456809563773E-6</v>
      </c>
      <c r="R48" s="9">
        <f t="shared" si="12"/>
        <v>3.9999999999999996E-5</v>
      </c>
      <c r="S48" s="9">
        <f t="shared" si="13"/>
        <v>1.6355936705577314E-8</v>
      </c>
      <c r="T48" s="9">
        <f t="shared" si="10"/>
        <v>3.9943609231519759E-5</v>
      </c>
      <c r="U48" s="9">
        <f t="shared" si="11"/>
        <v>3.9983644063294417E-5</v>
      </c>
      <c r="V48" s="100">
        <f t="shared" si="14"/>
        <v>0.99899871978373744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188</v>
      </c>
      <c r="C49" s="46" t="s">
        <v>189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9.6186457475178466E-3</v>
      </c>
      <c r="J49" s="92">
        <f t="shared" si="16"/>
        <v>0.88327907371680614</v>
      </c>
      <c r="K49" s="93">
        <f t="shared" si="17"/>
        <v>0.97493605262018834</v>
      </c>
      <c r="L49" s="93">
        <f t="shared" si="18"/>
        <v>2.7138235749799115E-3</v>
      </c>
      <c r="M49" s="93">
        <f t="shared" si="19"/>
        <v>0.99728617642502004</v>
      </c>
      <c r="N49" s="93">
        <f t="shared" si="20"/>
        <v>7.1620814185539448E-4</v>
      </c>
      <c r="O49" s="40">
        <f t="shared" si="21"/>
        <v>9.75796391874333E-7</v>
      </c>
      <c r="P49" s="40">
        <f t="shared" si="22"/>
        <v>7.4582730954978154E-6</v>
      </c>
      <c r="Q49" s="40">
        <f t="shared" si="23"/>
        <v>7.7492952498380851E-5</v>
      </c>
      <c r="R49" s="9">
        <f t="shared" si="12"/>
        <v>3.9999999999999996E-5</v>
      </c>
      <c r="S49" s="9">
        <f t="shared" si="13"/>
        <v>1.0855294299919645E-7</v>
      </c>
      <c r="T49" s="9">
        <f t="shared" si="10"/>
        <v>3.8997442104807529E-5</v>
      </c>
      <c r="U49" s="9">
        <f t="shared" si="11"/>
        <v>3.9891447057000795E-5</v>
      </c>
      <c r="V49" s="100">
        <f t="shared" si="14"/>
        <v>0.97758905684930841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190</v>
      </c>
      <c r="C50" s="46" t="s">
        <v>191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8.6760595853303396E-2</v>
      </c>
      <c r="J50" s="92">
        <f t="shared" si="16"/>
        <v>1.8385907214946637</v>
      </c>
      <c r="K50" s="93">
        <f t="shared" si="17"/>
        <v>0.80200612304088748</v>
      </c>
      <c r="L50" s="93">
        <f t="shared" si="18"/>
        <v>2.0141639192280875E-2</v>
      </c>
      <c r="M50" s="93">
        <f t="shared" si="19"/>
        <v>0.97985836080771915</v>
      </c>
      <c r="N50" s="93">
        <f t="shared" si="20"/>
        <v>6.8275958709737164E-3</v>
      </c>
      <c r="O50" s="40">
        <f t="shared" si="21"/>
        <v>8.0271385904866145E-7</v>
      </c>
      <c r="P50" s="40">
        <f t="shared" si="22"/>
        <v>5.5354315244359526E-5</v>
      </c>
      <c r="Q50" s="40">
        <f t="shared" si="23"/>
        <v>7.3873854761948954E-4</v>
      </c>
      <c r="R50" s="9">
        <f t="shared" si="12"/>
        <v>3.9999999999999996E-5</v>
      </c>
      <c r="S50" s="9">
        <f t="shared" si="13"/>
        <v>8.056655676912349E-7</v>
      </c>
      <c r="T50" s="9">
        <f t="shared" si="10"/>
        <v>3.2080244921635495E-5</v>
      </c>
      <c r="U50" s="9">
        <f t="shared" si="11"/>
        <v>3.9194334432308762E-5</v>
      </c>
      <c r="V50" s="100">
        <f t="shared" si="14"/>
        <v>0.81849189139925882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192</v>
      </c>
      <c r="C51" s="46" t="s">
        <v>193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1.9819141928346475</v>
      </c>
      <c r="J51" s="92">
        <f t="shared" ref="J51:J70" si="25">IF(D51=0,"",LOG($K$21*10^D51+$K$22*10^E51+$K$20))</f>
        <v>4.6065751929206069</v>
      </c>
      <c r="K51" s="93">
        <f t="shared" ref="K51:K70" si="26">IF(D51=0,"",1/(1+10^D51*$J$15/$J$14+10^E51*$J$16/$J$14+10^J51*$J$19/$J$14))</f>
        <v>9.0341898407742312E-3</v>
      </c>
      <c r="L51" s="93">
        <f t="shared" ref="L51:L70" si="27">IF(D51=0,"",1/(1+10^I51/10^J51*$J$13/$J$19))</f>
        <v>0.13298137274982469</v>
      </c>
      <c r="M51" s="93">
        <f t="shared" ref="M51:M70" si="28">IF(D51=0,"",1-L51)</f>
        <v>0.86701862725017531</v>
      </c>
      <c r="N51" s="93">
        <f t="shared" ref="N51:N70" si="29">IF(D51=0,"",1/(1/10^E51*$J$20/$J$22+10^D51/10^E51*$J$21/$J$22+10^I51/10^E51*$J$13/$J$22+1))</f>
        <v>9.0645309362192644E-2</v>
      </c>
      <c r="O51" s="40">
        <f t="shared" ref="O51:O70" si="30">IF(D51=0,"",F51*K51*$J$7/$J$14)</f>
        <v>9.042162125857467E-9</v>
      </c>
      <c r="P51" s="40">
        <f t="shared" ref="P51:P70" si="31">IF(D51=0,"",O51*10^J51)</f>
        <v>3.6546642299314745E-4</v>
      </c>
      <c r="Q51" s="40">
        <f t="shared" ref="Q51:Q70" si="32">IF(D51=0,"",F51*N51*$J$7/$J$22)</f>
        <v>9.8077252157567369E-3</v>
      </c>
      <c r="R51" s="9">
        <f t="shared" si="12"/>
        <v>3.9999999999999996E-5</v>
      </c>
      <c r="S51" s="9">
        <f t="shared" si="13"/>
        <v>5.3192549099929867E-6</v>
      </c>
      <c r="T51" s="9">
        <f t="shared" si="10"/>
        <v>3.6136759363096921E-7</v>
      </c>
      <c r="U51" s="9">
        <f t="shared" si="11"/>
        <v>3.4680745090007006E-5</v>
      </c>
      <c r="V51" s="100">
        <f t="shared" si="14"/>
        <v>1.0419833619292525E-2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194</v>
      </c>
      <c r="C52" s="46" t="s">
        <v>195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0.12726341031571042</v>
      </c>
      <c r="J52" s="92">
        <f t="shared" si="25"/>
        <v>2.0699715906138327</v>
      </c>
      <c r="K52" s="93">
        <f t="shared" si="26"/>
        <v>0.72255909292263831</v>
      </c>
      <c r="L52" s="93">
        <f t="shared" si="27"/>
        <v>3.0915150695323856E-2</v>
      </c>
      <c r="M52" s="93">
        <f t="shared" si="28"/>
        <v>0.9690848493046762</v>
      </c>
      <c r="N52" s="93">
        <f t="shared" si="29"/>
        <v>1.4324038967455568E-2</v>
      </c>
      <c r="O52" s="40">
        <f t="shared" si="30"/>
        <v>7.2319672033359501E-7</v>
      </c>
      <c r="P52" s="40">
        <f t="shared" si="31"/>
        <v>8.4962647830156494E-5</v>
      </c>
      <c r="Q52" s="40">
        <f t="shared" si="32"/>
        <v>1.5498456474041407E-3</v>
      </c>
      <c r="R52" s="9">
        <f t="shared" si="12"/>
        <v>3.9999999999999996E-5</v>
      </c>
      <c r="S52" s="9">
        <f t="shared" si="13"/>
        <v>1.2366060278129542E-6</v>
      </c>
      <c r="T52" s="9">
        <f t="shared" si="10"/>
        <v>2.890236371690553E-5</v>
      </c>
      <c r="U52" s="9">
        <f t="shared" si="11"/>
        <v>3.8763393972187042E-5</v>
      </c>
      <c r="V52" s="100">
        <f t="shared" si="14"/>
        <v>0.74560973008821518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196</v>
      </c>
      <c r="C53" s="46" t="s">
        <v>197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0.47104615060046062</v>
      </c>
      <c r="J53" s="92">
        <f t="shared" si="25"/>
        <v>2.8706315398293074</v>
      </c>
      <c r="K53" s="93">
        <f t="shared" si="26"/>
        <v>0.30957550975391773</v>
      </c>
      <c r="L53" s="93">
        <f t="shared" si="27"/>
        <v>8.3699823660996028E-2</v>
      </c>
      <c r="M53" s="93">
        <f t="shared" si="28"/>
        <v>0.91630017633900396</v>
      </c>
      <c r="N53" s="93">
        <f t="shared" si="29"/>
        <v>4.7838187844849681E-2</v>
      </c>
      <c r="O53" s="40">
        <f t="shared" si="30"/>
        <v>3.0984869686444394E-7</v>
      </c>
      <c r="P53" s="40">
        <f t="shared" si="31"/>
        <v>2.3002827032090291E-4</v>
      </c>
      <c r="Q53" s="40">
        <f t="shared" si="32"/>
        <v>5.1760405971732733E-3</v>
      </c>
      <c r="R53" s="9">
        <f t="shared" si="12"/>
        <v>3.9999999999999996E-5</v>
      </c>
      <c r="S53" s="9">
        <f t="shared" si="13"/>
        <v>3.3479929464398409E-6</v>
      </c>
      <c r="T53" s="9">
        <f t="shared" si="10"/>
        <v>1.2383020390156709E-5</v>
      </c>
      <c r="U53" s="9">
        <f t="shared" si="11"/>
        <v>3.6652007053560156E-5</v>
      </c>
      <c r="V53" s="100">
        <f t="shared" si="14"/>
        <v>0.337853814446265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198</v>
      </c>
      <c r="C54" s="46" t="s">
        <v>199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0.17835694544431219</v>
      </c>
      <c r="J54" s="92">
        <f t="shared" si="25"/>
        <v>2.250511751652323</v>
      </c>
      <c r="K54" s="93">
        <f t="shared" si="26"/>
        <v>0.63553938938924825</v>
      </c>
      <c r="L54" s="93">
        <f t="shared" si="27"/>
        <v>4.1207913999757984E-2</v>
      </c>
      <c r="M54" s="93">
        <f t="shared" si="28"/>
        <v>0.95879208600024202</v>
      </c>
      <c r="N54" s="93">
        <f t="shared" si="29"/>
        <v>1.9980143151033424E-2</v>
      </c>
      <c r="O54" s="40">
        <f t="shared" si="30"/>
        <v>6.3610022564386946E-7</v>
      </c>
      <c r="P54" s="40">
        <f t="shared" si="31"/>
        <v>1.1324976285838987E-4</v>
      </c>
      <c r="Q54" s="40">
        <f t="shared" si="32"/>
        <v>2.1618300513909752E-3</v>
      </c>
      <c r="R54" s="9">
        <f t="shared" si="12"/>
        <v>3.9999999999999996E-5</v>
      </c>
      <c r="S54" s="9">
        <f t="shared" si="13"/>
        <v>1.6483165599903191E-6</v>
      </c>
      <c r="T54" s="9">
        <f t="shared" si="10"/>
        <v>2.5421575575569929E-5</v>
      </c>
      <c r="U54" s="9">
        <f t="shared" si="11"/>
        <v>3.8351683440009676E-5</v>
      </c>
      <c r="V54" s="100">
        <f t="shared" si="14"/>
        <v>0.6628542294716937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102</v>
      </c>
      <c r="C55" s="46" t="s">
        <v>103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5.9812805986470914E-3</v>
      </c>
      <c r="J55" s="54">
        <f t="shared" si="25"/>
        <v>0.70032517200595135</v>
      </c>
      <c r="K55" s="55">
        <f t="shared" si="26"/>
        <v>0.98403910819401796</v>
      </c>
      <c r="L55" s="55">
        <f t="shared" si="27"/>
        <v>1.7974794635705886E-3</v>
      </c>
      <c r="M55" s="55">
        <f t="shared" si="28"/>
        <v>0.99820252053642944</v>
      </c>
      <c r="N55" s="55">
        <f t="shared" si="29"/>
        <v>3.9629763613271691E-4</v>
      </c>
      <c r="O55" s="56">
        <f t="shared" si="30"/>
        <v>9.8490748050430194E-7</v>
      </c>
      <c r="P55" s="56">
        <f t="shared" si="31"/>
        <v>4.9399278738882671E-6</v>
      </c>
      <c r="Q55" s="56">
        <f t="shared" si="32"/>
        <v>4.2878979024862555E-5</v>
      </c>
      <c r="R55" s="9">
        <f t="shared" si="12"/>
        <v>3.9999999999999996E-5</v>
      </c>
      <c r="S55" s="9">
        <f t="shared" si="13"/>
        <v>7.1899178542823537E-8</v>
      </c>
      <c r="T55" s="9">
        <f t="shared" si="10"/>
        <v>3.9361564327760714E-5</v>
      </c>
      <c r="U55" s="9">
        <f t="shared" si="11"/>
        <v>3.9928100821457175E-5</v>
      </c>
      <c r="V55" s="100">
        <f t="shared" si="14"/>
        <v>0.98581108337133816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200</v>
      </c>
      <c r="C56" s="46" t="s">
        <v>201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0.11910186422699467</v>
      </c>
      <c r="J56" s="54">
        <f t="shared" si="25"/>
        <v>2.0453970116067448</v>
      </c>
      <c r="K56" s="55">
        <f t="shared" si="26"/>
        <v>0.73711142955822284</v>
      </c>
      <c r="L56" s="55">
        <f t="shared" si="27"/>
        <v>2.9802765351979215E-2</v>
      </c>
      <c r="M56" s="55">
        <f t="shared" si="28"/>
        <v>0.97019723464802077</v>
      </c>
      <c r="N56" s="55">
        <f t="shared" si="29"/>
        <v>1.4409976364093777E-2</v>
      </c>
      <c r="O56" s="56">
        <f t="shared" si="30"/>
        <v>7.3776189878215119E-7</v>
      </c>
      <c r="P56" s="56">
        <f t="shared" si="31"/>
        <v>8.1905531754305881E-5</v>
      </c>
      <c r="Q56" s="56">
        <f t="shared" si="32"/>
        <v>1.5591439815144837E-3</v>
      </c>
      <c r="R56" s="9">
        <f t="shared" si="12"/>
        <v>3.9999999999999996E-5</v>
      </c>
      <c r="S56" s="9">
        <f t="shared" si="13"/>
        <v>1.1921106140791685E-6</v>
      </c>
      <c r="T56" s="9">
        <f t="shared" si="10"/>
        <v>2.9484457182328912E-5</v>
      </c>
      <c r="U56" s="9">
        <f t="shared" si="11"/>
        <v>3.880788938592083E-5</v>
      </c>
      <c r="V56" s="100">
        <f t="shared" si="14"/>
        <v>0.75975420588128206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104</v>
      </c>
      <c r="C57" s="87" t="s">
        <v>105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3.4503381608646556E-2</v>
      </c>
      <c r="J57" s="54">
        <f t="shared" si="25"/>
        <v>1.4384768340970948</v>
      </c>
      <c r="K57" s="55">
        <f t="shared" si="26"/>
        <v>0.91470826645472281</v>
      </c>
      <c r="L57" s="55">
        <f t="shared" si="27"/>
        <v>9.1429394686859521E-3</v>
      </c>
      <c r="M57" s="55">
        <f t="shared" si="28"/>
        <v>0.99085706053131406</v>
      </c>
      <c r="N57" s="55">
        <f t="shared" si="29"/>
        <v>3.4536850211424226E-3</v>
      </c>
      <c r="O57" s="56">
        <f t="shared" si="30"/>
        <v>9.1551545727057855E-7</v>
      </c>
      <c r="P57" s="56">
        <f t="shared" si="31"/>
        <v>2.5127108512781749E-5</v>
      </c>
      <c r="Q57" s="56">
        <f t="shared" si="32"/>
        <v>3.7368501368111517E-4</v>
      </c>
      <c r="R57" s="9">
        <f t="shared" si="12"/>
        <v>3.9999999999999996E-5</v>
      </c>
      <c r="S57" s="9">
        <f t="shared" si="13"/>
        <v>3.6571757874743804E-7</v>
      </c>
      <c r="T57" s="9">
        <f t="shared" si="10"/>
        <v>3.6588330658188909E-5</v>
      </c>
      <c r="U57" s="9">
        <f t="shared" si="11"/>
        <v>3.9634282421252556E-5</v>
      </c>
      <c r="V57" s="100">
        <f t="shared" si="14"/>
        <v>0.92314855783965555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143</v>
      </c>
      <c r="C58" s="46" t="s">
        <v>144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2.4527660835054643E-2</v>
      </c>
      <c r="J58" s="54">
        <f t="shared" si="25"/>
        <v>1.2686445962783865</v>
      </c>
      <c r="K58" s="55">
        <f t="shared" si="26"/>
        <v>0.93860485643642533</v>
      </c>
      <c r="L58" s="55">
        <f t="shared" si="27"/>
        <v>6.3453239578750483E-3</v>
      </c>
      <c r="M58" s="55">
        <f t="shared" si="28"/>
        <v>0.99365467604212498</v>
      </c>
      <c r="N58" s="55">
        <f t="shared" si="29"/>
        <v>1.9494177676930553E-3</v>
      </c>
      <c r="O58" s="56">
        <f t="shared" si="30"/>
        <v>9.3943313496808166E-7</v>
      </c>
      <c r="P58" s="56">
        <f t="shared" si="31"/>
        <v>1.7438553999438777E-5</v>
      </c>
      <c r="Q58" s="56">
        <f t="shared" si="32"/>
        <v>2.1092491085062038E-4</v>
      </c>
      <c r="R58" s="9">
        <f t="shared" si="12"/>
        <v>3.9999999999999996E-5</v>
      </c>
      <c r="S58" s="9">
        <f t="shared" si="13"/>
        <v>2.5381295831500192E-7</v>
      </c>
      <c r="T58" s="9">
        <f t="shared" si="10"/>
        <v>3.7544194257457008E-5</v>
      </c>
      <c r="U58" s="9">
        <f t="shared" si="11"/>
        <v>3.9746187041684999E-5</v>
      </c>
      <c r="V58" s="100">
        <f t="shared" si="14"/>
        <v>0.94459864082261324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145</v>
      </c>
      <c r="C59" s="46" t="s">
        <v>146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6.9959414880738915E-3</v>
      </c>
      <c r="J59" s="54">
        <f t="shared" si="25"/>
        <v>0.78059756535561797</v>
      </c>
      <c r="K59" s="55">
        <f t="shared" si="26"/>
        <v>0.98138956051367021</v>
      </c>
      <c r="L59" s="55">
        <f t="shared" si="27"/>
        <v>2.1565791679670704E-3</v>
      </c>
      <c r="M59" s="55">
        <f t="shared" si="28"/>
        <v>0.99784342083203292</v>
      </c>
      <c r="N59" s="55">
        <f t="shared" si="29"/>
        <v>6.4597179667282673E-4</v>
      </c>
      <c r="O59" s="56">
        <f t="shared" si="30"/>
        <v>9.8225559471175772E-7</v>
      </c>
      <c r="P59" s="56">
        <f t="shared" si="31"/>
        <v>5.9268246230335448E-6</v>
      </c>
      <c r="Q59" s="56">
        <f t="shared" si="32"/>
        <v>6.989345530920824E-5</v>
      </c>
      <c r="R59" s="9">
        <f t="shared" si="12"/>
        <v>3.9999999999999996E-5</v>
      </c>
      <c r="S59" s="9">
        <f t="shared" si="13"/>
        <v>8.6263166718682815E-8</v>
      </c>
      <c r="T59" s="9">
        <f t="shared" si="10"/>
        <v>3.9255582420546805E-5</v>
      </c>
      <c r="U59" s="9">
        <f t="shared" si="11"/>
        <v>3.9913736833281315E-5</v>
      </c>
      <c r="V59" s="100">
        <f t="shared" si="14"/>
        <v>0.98351057893968674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147</v>
      </c>
      <c r="C60" s="46" t="s">
        <v>148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0.12885708410514962</v>
      </c>
      <c r="J60" s="54">
        <f t="shared" si="25"/>
        <v>2.0932927199973492</v>
      </c>
      <c r="K60" s="55">
        <f t="shared" si="26"/>
        <v>0.71877249325380566</v>
      </c>
      <c r="L60" s="55">
        <f t="shared" si="27"/>
        <v>3.2449691715213079E-2</v>
      </c>
      <c r="M60" s="55">
        <f t="shared" si="28"/>
        <v>0.96755030828478694</v>
      </c>
      <c r="N60" s="55">
        <f t="shared" si="29"/>
        <v>1.6411623844407204E-2</v>
      </c>
      <c r="O60" s="56">
        <f t="shared" si="30"/>
        <v>7.1940677915295136E-7</v>
      </c>
      <c r="P60" s="56">
        <f t="shared" si="31"/>
        <v>8.9179954403839062E-5</v>
      </c>
      <c r="Q60" s="56">
        <f t="shared" si="32"/>
        <v>1.7757200912311335E-3</v>
      </c>
      <c r="R60" s="9">
        <f t="shared" si="12"/>
        <v>3.9999999999999996E-5</v>
      </c>
      <c r="S60" s="9">
        <f t="shared" si="13"/>
        <v>1.2979876686085231E-6</v>
      </c>
      <c r="T60" s="9">
        <f t="shared" si="10"/>
        <v>2.8750899730152223E-5</v>
      </c>
      <c r="U60" s="9">
        <f t="shared" si="11"/>
        <v>3.8702012331391472E-5</v>
      </c>
      <c r="V60" s="100">
        <f t="shared" si="14"/>
        <v>0.74287867731446533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149</v>
      </c>
      <c r="C61" s="46" t="s">
        <v>150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0.54169315053805034</v>
      </c>
      <c r="J61" s="54">
        <f t="shared" si="25"/>
        <v>3.0243728259141727</v>
      </c>
      <c r="K61" s="55">
        <f t="shared" si="26"/>
        <v>0.25853632725385778</v>
      </c>
      <c r="L61" s="55">
        <f t="shared" si="27"/>
        <v>9.9591163773826402E-2</v>
      </c>
      <c r="M61" s="55">
        <f t="shared" si="28"/>
        <v>0.90040883622617363</v>
      </c>
      <c r="N61" s="55">
        <f t="shared" si="29"/>
        <v>6.7854972777382228E-2</v>
      </c>
      <c r="O61" s="56">
        <f t="shared" si="30"/>
        <v>2.5876447447475609E-7</v>
      </c>
      <c r="P61" s="56">
        <f t="shared" si="31"/>
        <v>2.7370168944351676E-4</v>
      </c>
      <c r="Q61" s="56">
        <f t="shared" si="32"/>
        <v>7.3418352500079168E-3</v>
      </c>
      <c r="R61" s="9">
        <f t="shared" si="12"/>
        <v>3.9999999999999996E-5</v>
      </c>
      <c r="S61" s="9">
        <f t="shared" si="13"/>
        <v>3.983646550953056E-6</v>
      </c>
      <c r="T61" s="9">
        <f t="shared" si="10"/>
        <v>1.034145309015431E-5</v>
      </c>
      <c r="U61" s="9">
        <f t="shared" si="11"/>
        <v>3.6016353449046942E-5</v>
      </c>
      <c r="V61" s="100">
        <f t="shared" si="14"/>
        <v>0.2871321524758072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151</v>
      </c>
      <c r="C62" s="46" t="s">
        <v>152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1.2755126419323455</v>
      </c>
      <c r="J62" s="54">
        <f t="shared" si="25"/>
        <v>3.9494942235672861</v>
      </c>
      <c r="K62" s="55">
        <f t="shared" si="26"/>
        <v>4.5227238661182535E-2</v>
      </c>
      <c r="L62" s="55">
        <f t="shared" si="27"/>
        <v>0.1466292802719103</v>
      </c>
      <c r="M62" s="55">
        <f t="shared" si="28"/>
        <v>0.85337071972808975</v>
      </c>
      <c r="N62" s="55">
        <f t="shared" si="29"/>
        <v>0.11867525633054</v>
      </c>
      <c r="O62" s="56">
        <f t="shared" si="30"/>
        <v>4.526714975963069E-8</v>
      </c>
      <c r="P62" s="56">
        <f t="shared" si="31"/>
        <v>4.0297432233497068E-4</v>
      </c>
      <c r="Q62" s="56">
        <f t="shared" si="32"/>
        <v>1.2840535403201989E-2</v>
      </c>
      <c r="R62" s="9">
        <f t="shared" si="12"/>
        <v>3.9999999999999996E-5</v>
      </c>
      <c r="S62" s="9">
        <f t="shared" si="13"/>
        <v>5.8651712108764112E-6</v>
      </c>
      <c r="T62" s="9">
        <f t="shared" si="10"/>
        <v>1.8090895464473013E-6</v>
      </c>
      <c r="U62" s="9">
        <f t="shared" si="11"/>
        <v>3.4134828789123589E-5</v>
      </c>
      <c r="V62" s="100">
        <f t="shared" si="14"/>
        <v>5.2998348332824602E-2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153</v>
      </c>
      <c r="C63" s="46" t="s">
        <v>154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2.3278344887119857</v>
      </c>
      <c r="J63" s="54">
        <f t="shared" si="25"/>
        <v>5.0826681752527678</v>
      </c>
      <c r="K63" s="55">
        <f t="shared" si="26"/>
        <v>3.8925954247661376E-3</v>
      </c>
      <c r="L63" s="55">
        <f t="shared" si="27"/>
        <v>0.17148804510121649</v>
      </c>
      <c r="M63" s="55">
        <f t="shared" si="28"/>
        <v>0.82851195489878349</v>
      </c>
      <c r="N63" s="55">
        <f t="shared" si="29"/>
        <v>0.15520273618348196</v>
      </c>
      <c r="O63" s="56">
        <f t="shared" si="30"/>
        <v>3.8960304732859147E-9</v>
      </c>
      <c r="P63" s="56">
        <f t="shared" si="31"/>
        <v>4.7129249107042136E-4</v>
      </c>
      <c r="Q63" s="56">
        <f t="shared" si="32"/>
        <v>1.6792769531393609E-2</v>
      </c>
      <c r="R63" s="9">
        <f t="shared" si="12"/>
        <v>3.9999999999999996E-5</v>
      </c>
      <c r="S63" s="9">
        <f t="shared" si="13"/>
        <v>6.8595218040486587E-6</v>
      </c>
      <c r="T63" s="9">
        <f t="shared" si="10"/>
        <v>1.557038169906455E-7</v>
      </c>
      <c r="U63" s="9">
        <f t="shared" si="11"/>
        <v>3.3140478195951334E-5</v>
      </c>
      <c r="V63" s="100">
        <f t="shared" si="14"/>
        <v>4.6982972324662265E-3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155</v>
      </c>
      <c r="C64" s="46" t="s">
        <v>156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1.6404345211947193</v>
      </c>
      <c r="J64" s="54">
        <f t="shared" si="25"/>
        <v>4.3523102260385738</v>
      </c>
      <c r="K64" s="55">
        <f t="shared" si="26"/>
        <v>1.9262411484868749E-2</v>
      </c>
      <c r="L64" s="55">
        <f t="shared" si="27"/>
        <v>0.15788733291937182</v>
      </c>
      <c r="M64" s="55">
        <f t="shared" si="28"/>
        <v>0.84211266708062815</v>
      </c>
      <c r="N64" s="55">
        <f t="shared" si="29"/>
        <v>0.13423654376082397</v>
      </c>
      <c r="O64" s="56">
        <f t="shared" si="30"/>
        <v>1.9279409736892953E-8</v>
      </c>
      <c r="P64" s="56">
        <f t="shared" si="31"/>
        <v>4.3391429645207299E-4</v>
      </c>
      <c r="Q64" s="56">
        <f t="shared" si="32"/>
        <v>1.4524250006787328E-2</v>
      </c>
      <c r="R64" s="9">
        <f t="shared" si="12"/>
        <v>3.9999999999999996E-5</v>
      </c>
      <c r="S64" s="9">
        <f t="shared" si="13"/>
        <v>6.3154933167748723E-6</v>
      </c>
      <c r="T64" s="9">
        <f t="shared" si="10"/>
        <v>7.704964593947499E-7</v>
      </c>
      <c r="U64" s="9">
        <f t="shared" si="11"/>
        <v>3.3684506683225126E-5</v>
      </c>
      <c r="V64" s="100">
        <f t="shared" si="14"/>
        <v>2.2873912527222998E-2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157</v>
      </c>
      <c r="C65" s="46" t="s">
        <v>158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1.3777282566754774</v>
      </c>
      <c r="J65" s="54">
        <f t="shared" si="25"/>
        <v>4.0640503506291052</v>
      </c>
      <c r="K65" s="55">
        <f t="shared" si="26"/>
        <v>3.5592040893008089E-2</v>
      </c>
      <c r="L65" s="55">
        <f t="shared" si="27"/>
        <v>0.15022065414943991</v>
      </c>
      <c r="M65" s="55">
        <f t="shared" si="28"/>
        <v>0.84977934585056003</v>
      </c>
      <c r="N65" s="55">
        <f t="shared" si="29"/>
        <v>0.12345622619890338</v>
      </c>
      <c r="O65" s="56">
        <f t="shared" si="30"/>
        <v>3.5623449342652635E-8</v>
      </c>
      <c r="P65" s="56">
        <f t="shared" si="31"/>
        <v>4.1284432546030334E-4</v>
      </c>
      <c r="Q65" s="56">
        <f t="shared" si="32"/>
        <v>1.3357831213251686E-2</v>
      </c>
      <c r="R65" s="9">
        <f t="shared" si="12"/>
        <v>3.9999999999999996E-5</v>
      </c>
      <c r="S65" s="9">
        <f t="shared" si="13"/>
        <v>6.0088261659775962E-6</v>
      </c>
      <c r="T65" s="9">
        <f t="shared" si="10"/>
        <v>1.4236816357203234E-6</v>
      </c>
      <c r="U65" s="9">
        <f t="shared" si="11"/>
        <v>3.3991173834022399E-5</v>
      </c>
      <c r="V65" s="100">
        <f t="shared" si="14"/>
        <v>4.1883862048192465E-2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159</v>
      </c>
      <c r="C66" s="46" t="s">
        <v>160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1.6404345211947193</v>
      </c>
      <c r="J66" s="54">
        <f t="shared" si="25"/>
        <v>4.3523102260385738</v>
      </c>
      <c r="K66" s="55">
        <f t="shared" si="26"/>
        <v>1.9262411484868749E-2</v>
      </c>
      <c r="L66" s="55">
        <f t="shared" si="27"/>
        <v>0.15788733291937182</v>
      </c>
      <c r="M66" s="55">
        <f t="shared" si="28"/>
        <v>0.84211266708062815</v>
      </c>
      <c r="N66" s="55">
        <f t="shared" si="29"/>
        <v>0.13423654376082397</v>
      </c>
      <c r="O66" s="56">
        <f t="shared" si="30"/>
        <v>1.9279409736892953E-8</v>
      </c>
      <c r="P66" s="56">
        <f t="shared" si="31"/>
        <v>4.3391429645207299E-4</v>
      </c>
      <c r="Q66" s="56">
        <f t="shared" si="32"/>
        <v>1.4524250006787328E-2</v>
      </c>
      <c r="R66" s="9">
        <f t="shared" si="12"/>
        <v>3.9999999999999996E-5</v>
      </c>
      <c r="S66" s="9">
        <f t="shared" si="13"/>
        <v>6.3154933167748723E-6</v>
      </c>
      <c r="T66" s="9">
        <f t="shared" si="10"/>
        <v>7.704964593947499E-7</v>
      </c>
      <c r="U66" s="9">
        <f t="shared" si="11"/>
        <v>3.3684506683225126E-5</v>
      </c>
      <c r="V66" s="100">
        <f t="shared" si="14"/>
        <v>2.2873912527222998E-2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113</v>
      </c>
      <c r="C67" s="46" t="s">
        <v>114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-1.8635683569884906E-4</v>
      </c>
      <c r="J67" s="54">
        <f t="shared" si="25"/>
        <v>-5.4824384934967059E-2</v>
      </c>
      <c r="K67" s="55">
        <f t="shared" si="26"/>
        <v>0.99959013458401813</v>
      </c>
      <c r="L67" s="55">
        <f t="shared" si="27"/>
        <v>3.2086620870253448E-4</v>
      </c>
      <c r="M67" s="55">
        <f t="shared" si="28"/>
        <v>0.99967913379129747</v>
      </c>
      <c r="N67" s="55">
        <f t="shared" si="29"/>
        <v>2.7508208023140122E-7</v>
      </c>
      <c r="O67" s="56">
        <f t="shared" si="30"/>
        <v>1.0004722300081511E-6</v>
      </c>
      <c r="P67" s="56">
        <f t="shared" si="31"/>
        <v>8.81821439567314E-7</v>
      </c>
      <c r="Q67" s="56">
        <f t="shared" si="32"/>
        <v>2.9763585933698782E-8</v>
      </c>
      <c r="R67" s="9">
        <f t="shared" si="12"/>
        <v>3.9999999999999996E-5</v>
      </c>
      <c r="S67" s="9">
        <f t="shared" si="13"/>
        <v>1.2834648348101377E-8</v>
      </c>
      <c r="T67" s="9">
        <f t="shared" si="10"/>
        <v>3.9983605383360723E-5</v>
      </c>
      <c r="U67" s="9">
        <f t="shared" si="11"/>
        <v>3.9987165351651894E-5</v>
      </c>
      <c r="V67" s="100">
        <f t="shared" si="14"/>
        <v>0.99991097222671654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115</v>
      </c>
      <c r="C68" s="46" t="s">
        <v>116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1.7268855172909561</v>
      </c>
      <c r="J68" s="54">
        <f t="shared" si="25"/>
        <v>4.3746696029949694</v>
      </c>
      <c r="K68" s="55">
        <f t="shared" si="26"/>
        <v>1.6135077101408001E-2</v>
      </c>
      <c r="L68" s="55">
        <f t="shared" si="27"/>
        <v>0.13924097462489204</v>
      </c>
      <c r="M68" s="55">
        <f t="shared" si="28"/>
        <v>0.86075902537510796</v>
      </c>
      <c r="N68" s="55">
        <f t="shared" si="29"/>
        <v>0.1022146552337133</v>
      </c>
      <c r="O68" s="56">
        <f t="shared" si="30"/>
        <v>1.6149315614961463E-8</v>
      </c>
      <c r="P68" s="56">
        <f t="shared" si="31"/>
        <v>3.8266939104300975E-4</v>
      </c>
      <c r="Q68" s="56">
        <f t="shared" si="32"/>
        <v>1.1059516025808857E-2</v>
      </c>
      <c r="R68" s="9">
        <f t="shared" si="12"/>
        <v>3.9999999999999996E-5</v>
      </c>
      <c r="S68" s="9">
        <f t="shared" si="13"/>
        <v>5.5696389849956813E-6</v>
      </c>
      <c r="T68" s="9">
        <f t="shared" si="10"/>
        <v>6.4540308405632003E-7</v>
      </c>
      <c r="U68" s="9">
        <f t="shared" si="11"/>
        <v>3.4430361015004316E-5</v>
      </c>
      <c r="V68" s="100">
        <f t="shared" si="14"/>
        <v>1.8745173301408645E-2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117</v>
      </c>
      <c r="C69" s="46" t="s">
        <v>118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5.7919228101834593E-2</v>
      </c>
      <c r="J69" s="54">
        <f t="shared" si="25"/>
        <v>1.6815486855199218</v>
      </c>
      <c r="K69" s="55">
        <f t="shared" si="26"/>
        <v>0.86151088487289407</v>
      </c>
      <c r="L69" s="55">
        <f t="shared" si="27"/>
        <v>1.5070784539664839E-2</v>
      </c>
      <c r="M69" s="55">
        <f t="shared" si="28"/>
        <v>0.98492921546033518</v>
      </c>
      <c r="N69" s="55">
        <f t="shared" si="29"/>
        <v>6.293915017110528E-3</v>
      </c>
      <c r="O69" s="56">
        <f t="shared" si="30"/>
        <v>8.6227113128099141E-7</v>
      </c>
      <c r="P69" s="56">
        <f t="shared" si="31"/>
        <v>4.1418325014388133E-5</v>
      </c>
      <c r="Q69" s="56">
        <f t="shared" si="32"/>
        <v>6.8099485184052485E-4</v>
      </c>
      <c r="R69" s="9">
        <f t="shared" si="12"/>
        <v>3.9999999999999996E-5</v>
      </c>
      <c r="S69" s="9">
        <f t="shared" si="13"/>
        <v>6.0283138158659349E-7</v>
      </c>
      <c r="T69" s="9">
        <f t="shared" si="10"/>
        <v>3.4460435394915758E-5</v>
      </c>
      <c r="U69" s="9">
        <f t="shared" si="11"/>
        <v>3.9397168618413404E-5</v>
      </c>
      <c r="V69" s="100">
        <f t="shared" si="14"/>
        <v>0.87469319759211528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111</v>
      </c>
      <c r="C70" s="46" t="s">
        <v>112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0.45156382049297444</v>
      </c>
      <c r="J70" s="54">
        <f t="shared" si="25"/>
        <v>2.8816128275856783</v>
      </c>
      <c r="K70" s="55">
        <f t="shared" si="26"/>
        <v>0.32182188267321626</v>
      </c>
      <c r="L70" s="55">
        <f t="shared" si="27"/>
        <v>8.923902264807268E-2</v>
      </c>
      <c r="M70" s="55">
        <f t="shared" si="28"/>
        <v>0.91076097735192729</v>
      </c>
      <c r="N70" s="55">
        <f t="shared" si="29"/>
        <v>5.8883646153007146E-2</v>
      </c>
      <c r="O70" s="56">
        <f t="shared" si="30"/>
        <v>3.2210587668263088E-7</v>
      </c>
      <c r="P70" s="56">
        <f t="shared" si="31"/>
        <v>2.4525138915471587E-4</v>
      </c>
      <c r="Q70" s="56">
        <f t="shared" si="32"/>
        <v>6.3711473349708876E-3</v>
      </c>
      <c r="R70" s="9">
        <f t="shared" si="12"/>
        <v>3.9999999999999996E-5</v>
      </c>
      <c r="S70" s="9">
        <f t="shared" si="13"/>
        <v>3.5695609059229068E-6</v>
      </c>
      <c r="T70" s="9">
        <f t="shared" si="10"/>
        <v>1.287287530692865E-5</v>
      </c>
      <c r="U70" s="9">
        <f t="shared" si="11"/>
        <v>3.6430439094077086E-5</v>
      </c>
      <c r="V70" s="100">
        <f t="shared" si="14"/>
        <v>0.35335493139915353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119</v>
      </c>
      <c r="C71" s="46" t="s">
        <v>120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2.9114243406645763</v>
      </c>
      <c r="J71" s="54">
        <f t="shared" ref="J71:J122" si="34">IF(D71=0,"",LOG($K$21*10^D71+$K$22*10^E71+$K$20))</f>
        <v>5.5727318227152489</v>
      </c>
      <c r="K71" s="55">
        <f t="shared" ref="K71:K122" si="35">IF(D71=0,"",1/(1+10^D71*$J$15/$J$14+10^E71*$J$16/$J$14+10^J71*$J$19/$J$14))</f>
        <v>1.050325201456555E-3</v>
      </c>
      <c r="L71" s="55">
        <f t="shared" ref="L71:L122" si="36">IF(D71=0,"",1/(1+10^I71/10^J71*$J$13/$J$19))</f>
        <v>0.14301513988949452</v>
      </c>
      <c r="M71" s="55">
        <f t="shared" si="19"/>
        <v>0.85698486011050545</v>
      </c>
      <c r="N71" s="55">
        <f t="shared" ref="N71:N122" si="37">IF(D71=0,"",1/(1/10^E71*$J$20/$J$22+10^D71/10^E71*$J$21/$J$22+10^I71/10^E71*$J$13/$J$22+1))</f>
        <v>0.10656728688720947</v>
      </c>
      <c r="O71" s="56">
        <f t="shared" si="21"/>
        <v>1.0512520684013169E-9</v>
      </c>
      <c r="P71" s="56">
        <f t="shared" ref="P71:P122" si="38">IF(D71=0,"",O71*10^J71)</f>
        <v>3.930417511000397E-4</v>
      </c>
      <c r="Q71" s="56">
        <f t="shared" ref="Q71:Q122" si="39">IF(D71=0,"",F71*N71*$J$7/$J$22)</f>
        <v>1.1530466100592328E-2</v>
      </c>
      <c r="R71" s="9">
        <f t="shared" si="12"/>
        <v>3.9999999999999996E-5</v>
      </c>
      <c r="S71" s="9">
        <f t="shared" si="13"/>
        <v>5.7206055955797805E-6</v>
      </c>
      <c r="T71" s="9">
        <f t="shared" si="10"/>
        <v>4.2013008058262191E-8</v>
      </c>
      <c r="U71" s="9">
        <f t="shared" si="11"/>
        <v>3.4279394404420217E-5</v>
      </c>
      <c r="V71" s="100">
        <f t="shared" si="14"/>
        <v>1.2256053173694561E-3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121</v>
      </c>
      <c r="C72" s="46" t="s">
        <v>122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2.4659786116205753</v>
      </c>
      <c r="J72" s="54">
        <f t="shared" si="34"/>
        <v>5.0972861639869835</v>
      </c>
      <c r="K72" s="55">
        <f t="shared" si="35"/>
        <v>2.9575700517066356E-3</v>
      </c>
      <c r="L72" s="55">
        <f t="shared" si="36"/>
        <v>0.1347558446014559</v>
      </c>
      <c r="M72" s="55">
        <f t="shared" si="19"/>
        <v>0.86524415539854416</v>
      </c>
      <c r="N72" s="55">
        <f t="shared" si="37"/>
        <v>9.2829318693376628E-2</v>
      </c>
      <c r="O72" s="56">
        <f t="shared" si="21"/>
        <v>2.9601799804353223E-9</v>
      </c>
      <c r="P72" s="56">
        <f t="shared" si="38"/>
        <v>3.7034312013431577E-4</v>
      </c>
      <c r="Q72" s="56">
        <f t="shared" si="39"/>
        <v>1.0044032682073746E-2</v>
      </c>
      <c r="R72" s="9">
        <f t="shared" si="12"/>
        <v>3.9999999999999996E-5</v>
      </c>
      <c r="S72" s="9">
        <f t="shared" si="13"/>
        <v>5.3902337840582354E-6</v>
      </c>
      <c r="T72" s="9">
        <f t="shared" si="10"/>
        <v>1.1830280206826541E-7</v>
      </c>
      <c r="U72" s="9">
        <f t="shared" si="11"/>
        <v>3.4609766215941762E-5</v>
      </c>
      <c r="V72" s="100">
        <f t="shared" si="14"/>
        <v>3.4181913084918043E-3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123</v>
      </c>
      <c r="C73" s="46" t="s">
        <v>124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2.4593424067669152</v>
      </c>
      <c r="J73" s="54">
        <f t="shared" si="34"/>
        <v>5.1106048185108754</v>
      </c>
      <c r="K73" s="55">
        <f t="shared" si="35"/>
        <v>2.9842015895363443E-3</v>
      </c>
      <c r="L73" s="55">
        <f t="shared" si="36"/>
        <v>0.14020367012537632</v>
      </c>
      <c r="M73" s="55">
        <f t="shared" si="19"/>
        <v>0.85979632987462362</v>
      </c>
      <c r="N73" s="55">
        <f t="shared" si="37"/>
        <v>0.10206486852269564</v>
      </c>
      <c r="O73" s="56">
        <f t="shared" si="21"/>
        <v>2.9868350194550126E-9</v>
      </c>
      <c r="P73" s="56">
        <f t="shared" si="38"/>
        <v>3.8531512159698336E-4</v>
      </c>
      <c r="Q73" s="56">
        <f t="shared" si="39"/>
        <v>1.1043309264389322E-2</v>
      </c>
      <c r="R73" s="9">
        <f t="shared" si="12"/>
        <v>3.9999999999999996E-5</v>
      </c>
      <c r="S73" s="9">
        <f t="shared" si="13"/>
        <v>5.6081468050150526E-6</v>
      </c>
      <c r="T73" s="9">
        <f t="shared" si="10"/>
        <v>1.1936806358145376E-7</v>
      </c>
      <c r="U73" s="9">
        <f t="shared" si="11"/>
        <v>3.4391853194984941E-5</v>
      </c>
      <c r="V73" s="100">
        <f t="shared" si="14"/>
        <v>3.4708238286752209E-3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125</v>
      </c>
      <c r="C74" s="46" t="s">
        <v>126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0.12015758400049081</v>
      </c>
      <c r="J74" s="54">
        <f t="shared" si="34"/>
        <v>2.0266602459751883</v>
      </c>
      <c r="K74" s="55">
        <f t="shared" si="35"/>
        <v>0.73629938897973779</v>
      </c>
      <c r="L74" s="55">
        <f t="shared" si="36"/>
        <v>2.8512880408854684E-2</v>
      </c>
      <c r="M74" s="55">
        <f t="shared" si="19"/>
        <v>0.97148711959114531</v>
      </c>
      <c r="N74" s="55">
        <f t="shared" si="37"/>
        <v>1.2114139296710739E-2</v>
      </c>
      <c r="O74" s="56">
        <f t="shared" si="21"/>
        <v>7.3694914161268175E-7</v>
      </c>
      <c r="P74" s="56">
        <f t="shared" si="38"/>
        <v>7.8360601915723917E-5</v>
      </c>
      <c r="Q74" s="56">
        <f t="shared" si="39"/>
        <v>1.3107368741255019E-3</v>
      </c>
      <c r="R74" s="9">
        <f t="shared" si="12"/>
        <v>3.9999999999999996E-5</v>
      </c>
      <c r="S74" s="9">
        <f t="shared" si="13"/>
        <v>1.1405152163541873E-6</v>
      </c>
      <c r="T74" s="9">
        <f t="shared" si="10"/>
        <v>2.9451975559189509E-5</v>
      </c>
      <c r="U74" s="9">
        <f t="shared" si="11"/>
        <v>3.8859484783645812E-5</v>
      </c>
      <c r="V74" s="100">
        <f t="shared" si="14"/>
        <v>0.757909574024628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80</v>
      </c>
      <c r="C75" s="46" t="s">
        <v>81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1.0613094291357716</v>
      </c>
      <c r="J75" s="54">
        <f t="shared" si="34"/>
        <v>3.7029110658853894</v>
      </c>
      <c r="K75" s="55">
        <f t="shared" si="35"/>
        <v>7.4851882510504675E-2</v>
      </c>
      <c r="L75" s="55">
        <f t="shared" si="36"/>
        <v>0.13754354059610116</v>
      </c>
      <c r="M75" s="55">
        <f t="shared" si="19"/>
        <v>0.86245645940389881</v>
      </c>
      <c r="N75" s="55">
        <f t="shared" si="37"/>
        <v>0.10729088629563374</v>
      </c>
      <c r="O75" s="56">
        <f t="shared" si="21"/>
        <v>7.4917936086631369E-8</v>
      </c>
      <c r="P75" s="56">
        <f t="shared" si="38"/>
        <v>3.7800441331010509E-4</v>
      </c>
      <c r="Q75" s="56">
        <f t="shared" si="39"/>
        <v>1.1608758780203055E-2</v>
      </c>
      <c r="R75" s="9">
        <f t="shared" si="12"/>
        <v>3.9999999999999996E-5</v>
      </c>
      <c r="S75" s="9">
        <f t="shared" si="13"/>
        <v>5.5017416238440456E-6</v>
      </c>
      <c r="T75" s="9">
        <f t="shared" si="10"/>
        <v>2.9940753004201868E-6</v>
      </c>
      <c r="U75" s="9">
        <f t="shared" si="11"/>
        <v>3.4498258376155948E-5</v>
      </c>
      <c r="V75" s="100">
        <f t="shared" si="14"/>
        <v>8.6789172594567615E-2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127</v>
      </c>
      <c r="C76" s="46" t="s">
        <v>128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1.080392983851221</v>
      </c>
      <c r="J76" s="54">
        <f t="shared" si="34"/>
        <v>3.6764953216012835</v>
      </c>
      <c r="K76" s="55">
        <f t="shared" si="35"/>
        <v>7.2627594166799592E-2</v>
      </c>
      <c r="L76" s="55">
        <f t="shared" si="36"/>
        <v>0.12558084072766404</v>
      </c>
      <c r="M76" s="55">
        <f t="shared" si="19"/>
        <v>0.87441915927233593</v>
      </c>
      <c r="N76" s="55">
        <f t="shared" si="37"/>
        <v>8.6717506436409478E-2</v>
      </c>
      <c r="O76" s="56">
        <f t="shared" si="21"/>
        <v>7.2691684903856502E-8</v>
      </c>
      <c r="P76" s="56">
        <f t="shared" si="38"/>
        <v>3.4512789053211249E-4</v>
      </c>
      <c r="Q76" s="56">
        <f t="shared" si="39"/>
        <v>9.3827411534948887E-3</v>
      </c>
      <c r="R76" s="9">
        <f t="shared" si="12"/>
        <v>3.9999999999999996E-5</v>
      </c>
      <c r="S76" s="9">
        <f t="shared" si="13"/>
        <v>5.0232336291065613E-6</v>
      </c>
      <c r="T76" s="9">
        <f t="shared" si="10"/>
        <v>2.9051037666719833E-6</v>
      </c>
      <c r="U76" s="9">
        <f t="shared" si="11"/>
        <v>3.4976766370893434E-5</v>
      </c>
      <c r="V76" s="100">
        <f t="shared" si="14"/>
        <v>8.3058100221909584E-2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129</v>
      </c>
      <c r="C77" s="46" t="s">
        <v>130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0.16668848098518507</v>
      </c>
      <c r="J77" s="54">
        <f t="shared" si="34"/>
        <v>2.2428373428324342</v>
      </c>
      <c r="K77" s="55">
        <f t="shared" si="35"/>
        <v>0.65259782564998359</v>
      </c>
      <c r="L77" s="55">
        <f t="shared" si="36"/>
        <v>4.1572809169360375E-2</v>
      </c>
      <c r="M77" s="55">
        <f t="shared" si="19"/>
        <v>0.95842719083063965</v>
      </c>
      <c r="N77" s="55">
        <f t="shared" si="37"/>
        <v>2.2908926853014377E-2</v>
      </c>
      <c r="O77" s="56">
        <f t="shared" si="21"/>
        <v>6.5317371524301608E-7</v>
      </c>
      <c r="P77" s="56">
        <f t="shared" si="38"/>
        <v>1.1425258701070884E-4</v>
      </c>
      <c r="Q77" s="56">
        <f t="shared" si="39"/>
        <v>2.4787213055279134E-3</v>
      </c>
      <c r="R77" s="9">
        <f t="shared" si="12"/>
        <v>3.9999999999999996E-5</v>
      </c>
      <c r="S77" s="9">
        <f t="shared" si="13"/>
        <v>1.6629123667744149E-6</v>
      </c>
      <c r="T77" s="9">
        <f t="shared" si="10"/>
        <v>2.6103913025999342E-5</v>
      </c>
      <c r="U77" s="9">
        <f t="shared" si="11"/>
        <v>3.8337087633225582E-5</v>
      </c>
      <c r="V77" s="100">
        <f t="shared" si="14"/>
        <v>0.68090495751106239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82</v>
      </c>
      <c r="C78" s="46" t="s">
        <v>83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0.26960058474961784</v>
      </c>
      <c r="J78" s="54">
        <f t="shared" si="34"/>
        <v>2.551126686071854</v>
      </c>
      <c r="K78" s="55">
        <f t="shared" si="35"/>
        <v>0.50228685293128672</v>
      </c>
      <c r="L78" s="55">
        <f t="shared" si="36"/>
        <v>6.5073610492032072E-2</v>
      </c>
      <c r="M78" s="55">
        <f t="shared" si="19"/>
        <v>0.93492638950796791</v>
      </c>
      <c r="N78" s="55">
        <f t="shared" si="37"/>
        <v>4.2375216882339528E-2</v>
      </c>
      <c r="O78" s="56">
        <f t="shared" si="21"/>
        <v>5.0273009953731407E-7</v>
      </c>
      <c r="P78" s="56">
        <f t="shared" si="38"/>
        <v>1.7883872880838244E-4</v>
      </c>
      <c r="Q78" s="56">
        <f t="shared" si="39"/>
        <v>4.5849530004850635E-3</v>
      </c>
      <c r="R78" s="9">
        <f t="shared" si="12"/>
        <v>3.9999999999999996E-5</v>
      </c>
      <c r="S78" s="9">
        <f t="shared" si="13"/>
        <v>2.6029444196812826E-6</v>
      </c>
      <c r="T78" s="9">
        <f t="shared" si="10"/>
        <v>2.0091474117251469E-5</v>
      </c>
      <c r="U78" s="9">
        <f t="shared" si="11"/>
        <v>3.7397055580318716E-5</v>
      </c>
      <c r="V78" s="100">
        <f t="shared" si="14"/>
        <v>0.53724748661296184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131</v>
      </c>
      <c r="C79" s="46" t="s">
        <v>132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0.30972420580945559</v>
      </c>
      <c r="J79" s="54">
        <f t="shared" si="34"/>
        <v>2.5350986776322402</v>
      </c>
      <c r="K79" s="55">
        <f t="shared" si="35"/>
        <v>0.46160384468334131</v>
      </c>
      <c r="L79" s="55">
        <f t="shared" si="36"/>
        <v>5.7636088758986556E-2</v>
      </c>
      <c r="M79" s="55">
        <f t="shared" si="19"/>
        <v>0.94236391124101349</v>
      </c>
      <c r="N79" s="55">
        <f t="shared" si="37"/>
        <v>2.4261326390451192E-2</v>
      </c>
      <c r="O79" s="56">
        <f t="shared" si="21"/>
        <v>4.6201119027937076E-7</v>
      </c>
      <c r="P79" s="56">
        <f t="shared" si="38"/>
        <v>1.5839853927278799E-4</v>
      </c>
      <c r="Q79" s="56">
        <f t="shared" si="39"/>
        <v>2.6250494844312234E-3</v>
      </c>
      <c r="R79" s="9">
        <f t="shared" si="12"/>
        <v>3.9999999999999996E-5</v>
      </c>
      <c r="S79" s="9">
        <f t="shared" si="13"/>
        <v>2.3054435503594619E-6</v>
      </c>
      <c r="T79" s="9">
        <f t="shared" si="10"/>
        <v>1.8464153787333652E-5</v>
      </c>
      <c r="U79" s="9">
        <f t="shared" si="11"/>
        <v>3.7694556449640538E-5</v>
      </c>
      <c r="V79" s="100">
        <f t="shared" si="14"/>
        <v>0.48983608049617278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133</v>
      </c>
      <c r="C80" s="46" t="s">
        <v>134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0.35763444792585858</v>
      </c>
      <c r="J80" s="54">
        <f t="shared" si="34"/>
        <v>2.6183785550286847</v>
      </c>
      <c r="K80" s="55">
        <f t="shared" si="35"/>
        <v>0.41137744073130289</v>
      </c>
      <c r="L80" s="55">
        <f t="shared" si="36"/>
        <v>6.2222210179961587E-2</v>
      </c>
      <c r="M80" s="55">
        <f t="shared" si="19"/>
        <v>0.93777778982003845</v>
      </c>
      <c r="N80" s="55">
        <f t="shared" si="37"/>
        <v>2.5230252396767395E-2</v>
      </c>
      <c r="O80" s="56">
        <f t="shared" si="21"/>
        <v>4.117404636799153E-7</v>
      </c>
      <c r="P80" s="56">
        <f t="shared" si="38"/>
        <v>1.7100236006721738E-4</v>
      </c>
      <c r="Q80" s="56">
        <f t="shared" si="39"/>
        <v>2.7298862387124491E-3</v>
      </c>
      <c r="R80" s="9">
        <f t="shared" si="12"/>
        <v>3.9999999999999996E-5</v>
      </c>
      <c r="S80" s="9">
        <f t="shared" si="13"/>
        <v>2.4888884071984632E-6</v>
      </c>
      <c r="T80" s="9">
        <f t="shared" si="10"/>
        <v>1.6455097629252113E-5</v>
      </c>
      <c r="U80" s="9">
        <f t="shared" si="11"/>
        <v>3.7511111592801535E-5</v>
      </c>
      <c r="V80" s="100">
        <f t="shared" si="14"/>
        <v>0.43867262073912744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135</v>
      </c>
      <c r="C81" s="46" t="s">
        <v>136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1.4796577057346774</v>
      </c>
      <c r="J81" s="54">
        <f t="shared" si="34"/>
        <v>4.1487686637317767</v>
      </c>
      <c r="K81" s="55">
        <f t="shared" si="35"/>
        <v>2.8311688839141962E-2</v>
      </c>
      <c r="L81" s="55">
        <f t="shared" si="36"/>
        <v>0.14523150796147702</v>
      </c>
      <c r="M81" s="55">
        <f t="shared" si="19"/>
        <v>0.85476849203852301</v>
      </c>
      <c r="N81" s="55">
        <f t="shared" si="37"/>
        <v>0.11401550091518416</v>
      </c>
      <c r="O81" s="56">
        <f t="shared" si="21"/>
        <v>2.8336672690333002E-8</v>
      </c>
      <c r="P81" s="56">
        <f t="shared" si="38"/>
        <v>3.9913289074278873E-4</v>
      </c>
      <c r="Q81" s="56">
        <f t="shared" si="39"/>
        <v>1.2336354866911535E-2</v>
      </c>
      <c r="R81" s="9">
        <f t="shared" si="12"/>
        <v>3.9999999999999996E-5</v>
      </c>
      <c r="S81" s="9">
        <f t="shared" si="13"/>
        <v>5.8092603184590798E-6</v>
      </c>
      <c r="T81" s="9">
        <f t="shared" si="10"/>
        <v>1.1324675535656783E-6</v>
      </c>
      <c r="U81" s="9">
        <f t="shared" si="11"/>
        <v>3.4190739681540915E-5</v>
      </c>
      <c r="V81" s="100">
        <f t="shared" si="14"/>
        <v>3.312205480529809E-2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137</v>
      </c>
      <c r="C82" s="46" t="s">
        <v>138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1.2498866711591912</v>
      </c>
      <c r="J82" s="54">
        <f t="shared" si="34"/>
        <v>3.8654689347124402</v>
      </c>
      <c r="K82" s="55">
        <f t="shared" si="35"/>
        <v>4.8877969022169628E-2</v>
      </c>
      <c r="L82" s="55">
        <f t="shared" si="36"/>
        <v>0.13058957034212029</v>
      </c>
      <c r="M82" s="55">
        <f t="shared" si="19"/>
        <v>0.86941042965787974</v>
      </c>
      <c r="N82" s="55">
        <f t="shared" si="37"/>
        <v>9.1988656265109742E-2</v>
      </c>
      <c r="O82" s="56">
        <f t="shared" si="21"/>
        <v>4.8921101733591698E-8</v>
      </c>
      <c r="P82" s="56">
        <f t="shared" si="38"/>
        <v>3.5889314545528816E-4</v>
      </c>
      <c r="Q82" s="56">
        <f t="shared" si="39"/>
        <v>9.9530739093179714E-3</v>
      </c>
      <c r="R82" s="9">
        <f t="shared" si="12"/>
        <v>3.9999999999999996E-5</v>
      </c>
      <c r="S82" s="9">
        <f t="shared" si="13"/>
        <v>5.2235828136848114E-6</v>
      </c>
      <c r="T82" s="9">
        <f t="shared" si="10"/>
        <v>1.9551187608867851E-6</v>
      </c>
      <c r="U82" s="9">
        <f t="shared" si="11"/>
        <v>3.4776417186315184E-5</v>
      </c>
      <c r="V82" s="100">
        <f t="shared" si="14"/>
        <v>5.6219671808404134E-2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84</v>
      </c>
      <c r="C83" s="46" t="s">
        <v>85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0.14841008082679896</v>
      </c>
      <c r="J83" s="54">
        <f t="shared" si="34"/>
        <v>2.1853806972032932</v>
      </c>
      <c r="K83" s="55">
        <f t="shared" si="35"/>
        <v>0.68309996971943776</v>
      </c>
      <c r="L83" s="55">
        <f t="shared" si="36"/>
        <v>3.8123377520692059E-2</v>
      </c>
      <c r="M83" s="55">
        <f t="shared" si="19"/>
        <v>0.96187662247930794</v>
      </c>
      <c r="N83" s="55">
        <f t="shared" si="37"/>
        <v>2.1194754436714938E-2</v>
      </c>
      <c r="O83" s="56">
        <f t="shared" si="21"/>
        <v>6.8370277614645943E-7</v>
      </c>
      <c r="P83" s="56">
        <f t="shared" si="38"/>
        <v>1.047726770057956E-4</v>
      </c>
      <c r="Q83" s="56">
        <f t="shared" si="39"/>
        <v>2.293249689293275E-3</v>
      </c>
      <c r="R83" s="9">
        <f t="shared" si="12"/>
        <v>3.9999999999999996E-5</v>
      </c>
      <c r="S83" s="9">
        <f t="shared" si="13"/>
        <v>1.5249351008276821E-6</v>
      </c>
      <c r="T83" s="9">
        <f t="shared" si="10"/>
        <v>2.7323998788777507E-5</v>
      </c>
      <c r="U83" s="9">
        <f t="shared" si="11"/>
        <v>3.8475064899172313E-5</v>
      </c>
      <c r="V83" s="100">
        <f t="shared" si="14"/>
        <v>0.71017420920231666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139</v>
      </c>
      <c r="C84" s="46" t="s">
        <v>140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1.3452769109111</v>
      </c>
      <c r="J84" s="54">
        <f t="shared" si="34"/>
        <v>3.9072949503750687</v>
      </c>
      <c r="K84" s="55">
        <f t="shared" si="35"/>
        <v>3.9843184791892541E-2</v>
      </c>
      <c r="L84" s="55">
        <f t="shared" si="36"/>
        <v>0.11721289768821751</v>
      </c>
      <c r="M84" s="55">
        <f t="shared" si="19"/>
        <v>0.88278710231178248</v>
      </c>
      <c r="N84" s="55">
        <f t="shared" si="37"/>
        <v>6.8096716067562083E-2</v>
      </c>
      <c r="O84" s="56">
        <f t="shared" si="21"/>
        <v>3.9878344693708131E-8</v>
      </c>
      <c r="P84" s="56">
        <f t="shared" si="38"/>
        <v>3.2213066808509908E-4</v>
      </c>
      <c r="Q84" s="56">
        <f t="shared" si="39"/>
        <v>7.3679916146286535E-3</v>
      </c>
      <c r="R84" s="9">
        <f t="shared" si="12"/>
        <v>3.9999999999999996E-5</v>
      </c>
      <c r="S84" s="9">
        <f t="shared" si="13"/>
        <v>4.6885159075286996E-6</v>
      </c>
      <c r="T84" s="9">
        <f t="shared" si="10"/>
        <v>1.5937273916757015E-6</v>
      </c>
      <c r="U84" s="9">
        <f t="shared" si="11"/>
        <v>3.5311484092471297E-5</v>
      </c>
      <c r="V84" s="100">
        <f t="shared" si="14"/>
        <v>4.5133401572761918E-2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86</v>
      </c>
      <c r="C85" s="46" t="s">
        <v>87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0.12747825886296771</v>
      </c>
      <c r="J85" s="54">
        <f t="shared" si="34"/>
        <v>2.1028585007358584</v>
      </c>
      <c r="K85" s="55">
        <f t="shared" si="35"/>
        <v>0.7204614716182216</v>
      </c>
      <c r="L85" s="55">
        <f t="shared" si="36"/>
        <v>3.3250307655448202E-2</v>
      </c>
      <c r="M85" s="55">
        <f t="shared" si="19"/>
        <v>0.96674969234455177</v>
      </c>
      <c r="N85" s="55">
        <f t="shared" si="37"/>
        <v>1.7997114675635511E-2</v>
      </c>
      <c r="O85" s="56">
        <f t="shared" si="21"/>
        <v>7.2109724796833816E-7</v>
      </c>
      <c r="P85" s="56">
        <f t="shared" si="38"/>
        <v>9.1380249361084593E-5</v>
      </c>
      <c r="Q85" s="56">
        <f t="shared" si="39"/>
        <v>1.9472684980290564E-3</v>
      </c>
      <c r="R85" s="9">
        <f t="shared" si="12"/>
        <v>3.9999999999999996E-5</v>
      </c>
      <c r="S85" s="9">
        <f t="shared" si="13"/>
        <v>1.330012306217928E-6</v>
      </c>
      <c r="T85" s="9">
        <f t="shared" si="10"/>
        <v>2.8818458864728862E-5</v>
      </c>
      <c r="U85" s="9">
        <f t="shared" si="11"/>
        <v>3.8669987693782066E-5</v>
      </c>
      <c r="V85" s="100">
        <f t="shared" si="14"/>
        <v>0.74524096291250486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141</v>
      </c>
      <c r="C86" s="46" t="s">
        <v>142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0.71310437974280194</v>
      </c>
      <c r="J86" s="54">
        <f t="shared" si="34"/>
        <v>3.1127564089177628</v>
      </c>
      <c r="K86" s="55">
        <f t="shared" si="35"/>
        <v>0.17729757250196074</v>
      </c>
      <c r="L86" s="55">
        <f t="shared" si="36"/>
        <v>8.3711592683176544E-2</v>
      </c>
      <c r="M86" s="55">
        <f t="shared" si="19"/>
        <v>0.91628840731682348</v>
      </c>
      <c r="N86" s="55">
        <f t="shared" si="37"/>
        <v>2.994214523091944E-2</v>
      </c>
      <c r="O86" s="56">
        <f t="shared" si="21"/>
        <v>1.774540300058945E-7</v>
      </c>
      <c r="P86" s="56">
        <f t="shared" si="38"/>
        <v>2.3006061456844291E-4</v>
      </c>
      <c r="Q86" s="56">
        <f t="shared" si="39"/>
        <v>3.2397079877761852E-3</v>
      </c>
      <c r="R86" s="9">
        <f t="shared" si="12"/>
        <v>3.9999999999999996E-5</v>
      </c>
      <c r="S86" s="9">
        <f t="shared" si="13"/>
        <v>3.3484637073270614E-6</v>
      </c>
      <c r="T86" s="9">
        <f t="shared" si="10"/>
        <v>7.0919029000784291E-6</v>
      </c>
      <c r="U86" s="9">
        <f t="shared" si="11"/>
        <v>3.6651536292672934E-5</v>
      </c>
      <c r="V86" s="100">
        <f t="shared" si="14"/>
        <v>0.19349537884162804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279</v>
      </c>
      <c r="C87" s="46" t="s">
        <v>280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7.9970216478940079E-2</v>
      </c>
      <c r="J87" s="54">
        <f t="shared" si="34"/>
        <v>1.8429362830281297</v>
      </c>
      <c r="K87" s="55">
        <f t="shared" si="35"/>
        <v>0.81421842585461557</v>
      </c>
      <c r="L87" s="55">
        <f t="shared" si="36"/>
        <v>2.0653973515548124E-2</v>
      </c>
      <c r="M87" s="55">
        <f t="shared" si="19"/>
        <v>0.9793460264844519</v>
      </c>
      <c r="N87" s="55">
        <f t="shared" si="37"/>
        <v>9.3498615850619339E-3</v>
      </c>
      <c r="O87" s="56">
        <f t="shared" si="21"/>
        <v>8.149369386958711E-7</v>
      </c>
      <c r="P87" s="56">
        <f t="shared" si="38"/>
        <v>5.6762339455790642E-5</v>
      </c>
      <c r="Q87" s="56">
        <f t="shared" si="39"/>
        <v>1.0116449916369838E-3</v>
      </c>
      <c r="R87" s="9">
        <f t="shared" si="12"/>
        <v>3.9999999999999996E-5</v>
      </c>
      <c r="S87" s="9">
        <f t="shared" si="13"/>
        <v>8.2615894062192489E-7</v>
      </c>
      <c r="T87" s="9">
        <f t="shared" si="10"/>
        <v>3.2568737034184617E-5</v>
      </c>
      <c r="U87" s="9">
        <f t="shared" si="11"/>
        <v>3.9173841059378073E-5</v>
      </c>
      <c r="V87" s="100">
        <f t="shared" si="14"/>
        <v>0.83138993148050733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281</v>
      </c>
      <c r="C88" s="46" t="s">
        <v>282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1.7455890954858774E-2</v>
      </c>
      <c r="J88" s="54">
        <f t="shared" si="34"/>
        <v>1.0452983449628208</v>
      </c>
      <c r="K88" s="55">
        <f t="shared" si="35"/>
        <v>0.95639401755360598</v>
      </c>
      <c r="L88" s="55">
        <f t="shared" si="36"/>
        <v>3.8659977976569187E-3</v>
      </c>
      <c r="M88" s="55">
        <f t="shared" si="19"/>
        <v>0.99613400220234305</v>
      </c>
      <c r="N88" s="55">
        <f t="shared" si="37"/>
        <v>1.5732472234169216E-4</v>
      </c>
      <c r="O88" s="56">
        <f t="shared" si="21"/>
        <v>9.572379942570206E-7</v>
      </c>
      <c r="P88" s="56">
        <f t="shared" si="38"/>
        <v>1.0624739068283702E-5</v>
      </c>
      <c r="Q88" s="56">
        <f t="shared" si="39"/>
        <v>1.7022366156942173E-5</v>
      </c>
      <c r="R88" s="9">
        <f t="shared" si="12"/>
        <v>3.9999999999999996E-5</v>
      </c>
      <c r="S88" s="9">
        <f t="shared" si="13"/>
        <v>1.5463991190627674E-7</v>
      </c>
      <c r="T88" s="9">
        <f t="shared" si="10"/>
        <v>3.8255760702144239E-5</v>
      </c>
      <c r="U88" s="9">
        <f t="shared" si="11"/>
        <v>3.9845360088093717E-5</v>
      </c>
      <c r="V88" s="100">
        <f t="shared" si="14"/>
        <v>0.96010578440162031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283</v>
      </c>
      <c r="C89" s="46" t="s">
        <v>284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3.8813937169773554E-3</v>
      </c>
      <c r="J89" s="54">
        <f t="shared" si="34"/>
        <v>0.54031268652594377</v>
      </c>
      <c r="K89" s="55">
        <f t="shared" si="35"/>
        <v>0.98935072520167489</v>
      </c>
      <c r="L89" s="55">
        <f t="shared" si="36"/>
        <v>1.2502284270730301E-3</v>
      </c>
      <c r="M89" s="55">
        <f t="shared" si="19"/>
        <v>0.99874977157292699</v>
      </c>
      <c r="N89" s="55">
        <f t="shared" si="37"/>
        <v>1.8833619305533322E-4</v>
      </c>
      <c r="O89" s="56">
        <f t="shared" si="21"/>
        <v>9.9022378478616743E-7</v>
      </c>
      <c r="P89" s="56">
        <f t="shared" si="38"/>
        <v>3.4359437093969358E-6</v>
      </c>
      <c r="Q89" s="56">
        <f t="shared" si="39"/>
        <v>2.0377774014623752E-5</v>
      </c>
      <c r="R89" s="9">
        <f t="shared" si="12"/>
        <v>3.9999999999999996E-5</v>
      </c>
      <c r="S89" s="9">
        <f t="shared" si="13"/>
        <v>5.0009137082921199E-8</v>
      </c>
      <c r="T89" s="9">
        <f t="shared" si="10"/>
        <v>3.957402900806699E-5</v>
      </c>
      <c r="U89" s="9">
        <f t="shared" si="11"/>
        <v>3.9949990862917073E-5</v>
      </c>
      <c r="V89" s="100">
        <f t="shared" si="14"/>
        <v>0.99058918796401862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285</v>
      </c>
      <c r="C90" s="46" t="s">
        <v>286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1.2917346823443875E-4</v>
      </c>
      <c r="J90" s="54">
        <f t="shared" si="34"/>
        <v>2.775579380944819E-2</v>
      </c>
      <c r="K90" s="55">
        <f t="shared" si="35"/>
        <v>0.99879732455451564</v>
      </c>
      <c r="L90" s="55">
        <f t="shared" si="36"/>
        <v>3.8775693210846437E-4</v>
      </c>
      <c r="M90" s="55">
        <f t="shared" si="19"/>
        <v>0.99961224306789154</v>
      </c>
      <c r="N90" s="55">
        <f t="shared" si="37"/>
        <v>6.2490451323493499E-6</v>
      </c>
      <c r="O90" s="56">
        <f t="shared" si="21"/>
        <v>9.9967872035779882E-7</v>
      </c>
      <c r="P90" s="56">
        <f t="shared" si="38"/>
        <v>1.0656540539333843E-6</v>
      </c>
      <c r="Q90" s="56">
        <f t="shared" si="39"/>
        <v>6.7613997845218541E-7</v>
      </c>
      <c r="R90" s="9">
        <f t="shared" si="12"/>
        <v>3.9999999999999996E-5</v>
      </c>
      <c r="S90" s="9">
        <f t="shared" si="13"/>
        <v>1.5510277284338575E-8</v>
      </c>
      <c r="T90" s="9">
        <f t="shared" si="10"/>
        <v>3.9951892982180623E-5</v>
      </c>
      <c r="U90" s="9">
        <f t="shared" si="11"/>
        <v>3.9984489722715656E-5</v>
      </c>
      <c r="V90" s="100">
        <f t="shared" si="14"/>
        <v>0.99918476537374645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287</v>
      </c>
      <c r="C91" s="46" t="s">
        <v>288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-2.2956464274597468E-5</v>
      </c>
      <c r="J91" s="54">
        <f t="shared" si="34"/>
        <v>-1.052960814664851E-2</v>
      </c>
      <c r="K91" s="55">
        <f t="shared" si="35"/>
        <v>0.99917982502458225</v>
      </c>
      <c r="L91" s="55">
        <f t="shared" si="36"/>
        <v>3.5517341799386182E-4</v>
      </c>
      <c r="M91" s="55">
        <f t="shared" si="19"/>
        <v>0.99964482658200615</v>
      </c>
      <c r="N91" s="55">
        <f t="shared" si="37"/>
        <v>2.8393005063125996E-6</v>
      </c>
      <c r="O91" s="56">
        <f t="shared" si="21"/>
        <v>1.0000615583681259E-6</v>
      </c>
      <c r="P91" s="56">
        <f t="shared" si="38"/>
        <v>9.7610632175277916E-7</v>
      </c>
      <c r="Q91" s="56">
        <f t="shared" si="39"/>
        <v>3.072092683759732E-7</v>
      </c>
      <c r="R91" s="9">
        <f t="shared" si="12"/>
        <v>3.9999999999999996E-5</v>
      </c>
      <c r="S91" s="9">
        <f t="shared" si="13"/>
        <v>1.4206936719754472E-8</v>
      </c>
      <c r="T91" s="9">
        <f t="shared" si="10"/>
        <v>3.9967193000983283E-5</v>
      </c>
      <c r="U91" s="9">
        <f t="shared" si="11"/>
        <v>3.9985793063280246E-5</v>
      </c>
      <c r="V91" s="100">
        <f t="shared" si="14"/>
        <v>0.99953483322770365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289</v>
      </c>
      <c r="C92" s="46" t="s">
        <v>290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4.9737704902702096E-3</v>
      </c>
      <c r="J92" s="54">
        <f t="shared" si="34"/>
        <v>0.62404228238108339</v>
      </c>
      <c r="K92" s="55">
        <f t="shared" si="35"/>
        <v>0.9866068252178184</v>
      </c>
      <c r="L92" s="55">
        <f t="shared" si="36"/>
        <v>1.5118642732863668E-3</v>
      </c>
      <c r="M92" s="55">
        <f t="shared" si="19"/>
        <v>0.99848813572671369</v>
      </c>
      <c r="N92" s="55">
        <f t="shared" si="37"/>
        <v>2.6006780444235339E-4</v>
      </c>
      <c r="O92" s="56">
        <f t="shared" si="21"/>
        <v>9.8747746342825367E-7</v>
      </c>
      <c r="P92" s="56">
        <f t="shared" si="38"/>
        <v>4.1549851425325369E-6</v>
      </c>
      <c r="Q92" s="56">
        <f t="shared" si="39"/>
        <v>2.8139057402782986E-5</v>
      </c>
      <c r="R92" s="9">
        <f t="shared" si="12"/>
        <v>3.9999999999999996E-5</v>
      </c>
      <c r="S92" s="9">
        <f t="shared" si="13"/>
        <v>6.0474570931454662E-8</v>
      </c>
      <c r="T92" s="9">
        <f t="shared" ref="T92:T143" si="40">R92*K92</f>
        <v>3.946427300871273E-5</v>
      </c>
      <c r="U92" s="9">
        <f t="shared" ref="U92:U143" si="41">$R92*M92</f>
        <v>3.9939525429068545E-5</v>
      </c>
      <c r="V92" s="100">
        <f t="shared" si="14"/>
        <v>0.98810069936359546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291</v>
      </c>
      <c r="C93" s="46" t="s">
        <v>292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-1.6944268240451622E-5</v>
      </c>
      <c r="J93" s="54">
        <f t="shared" si="34"/>
        <v>-8.9628675548333609E-3</v>
      </c>
      <c r="K93" s="55">
        <f t="shared" si="35"/>
        <v>0.99916471526311701</v>
      </c>
      <c r="L93" s="55">
        <f t="shared" si="36"/>
        <v>3.5645164868403192E-4</v>
      </c>
      <c r="M93" s="55">
        <f t="shared" ref="M93:M127" si="42">IF(D93=0,"",1-L93)</f>
        <v>0.99964354835131597</v>
      </c>
      <c r="N93" s="55">
        <f t="shared" si="37"/>
        <v>2.9589076640243679E-6</v>
      </c>
      <c r="O93" s="56">
        <f t="shared" ref="O93:O127" si="43">IF(D93=0,"",F93*K93*$J$7/$J$14)</f>
        <v>1.0000464352729442E-6</v>
      </c>
      <c r="P93" s="56">
        <f t="shared" si="38"/>
        <v>9.7961922275866196E-7</v>
      </c>
      <c r="Q93" s="56">
        <f t="shared" si="39"/>
        <v>3.2015063450874719E-7</v>
      </c>
      <c r="R93" s="9">
        <f t="shared" ref="R93:R143" si="44">F93*$C$14</f>
        <v>3.9999999999999996E-5</v>
      </c>
      <c r="S93" s="9">
        <f t="shared" ref="S93:S143" si="45">$R93*L93</f>
        <v>1.4258065947361275E-8</v>
      </c>
      <c r="T93" s="9">
        <f t="shared" si="40"/>
        <v>3.9966588610524677E-5</v>
      </c>
      <c r="U93" s="9">
        <f t="shared" si="41"/>
        <v>3.9985741934052638E-5</v>
      </c>
      <c r="V93" s="100">
        <f t="shared" ref="V93:V143" si="46">K93/M93</f>
        <v>0.99952099617009615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293</v>
      </c>
      <c r="C94" s="46" t="s">
        <v>294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-1.664624595209951E-4</v>
      </c>
      <c r="J94" s="54">
        <f t="shared" si="34"/>
        <v>-4.9263850672939993E-2</v>
      </c>
      <c r="K94" s="55">
        <f t="shared" si="35"/>
        <v>0.999540228039275</v>
      </c>
      <c r="L94" s="55">
        <f t="shared" si="36"/>
        <v>3.2498463879736738E-4</v>
      </c>
      <c r="M94" s="55">
        <f t="shared" si="42"/>
        <v>0.99967501536120262</v>
      </c>
      <c r="N94" s="55">
        <f t="shared" si="37"/>
        <v>4.9477578098146039E-7</v>
      </c>
      <c r="O94" s="56">
        <f t="shared" si="43"/>
        <v>1.0004222794230222E-6</v>
      </c>
      <c r="P94" s="56">
        <f t="shared" si="38"/>
        <v>8.9313992638980696E-7</v>
      </c>
      <c r="Q94" s="56">
        <f t="shared" si="39"/>
        <v>5.3534208636079612E-8</v>
      </c>
      <c r="R94" s="9">
        <f t="shared" si="44"/>
        <v>3.9999999999999996E-5</v>
      </c>
      <c r="S94" s="9">
        <f t="shared" si="45"/>
        <v>1.2999385551894694E-8</v>
      </c>
      <c r="T94" s="9">
        <f t="shared" si="40"/>
        <v>3.9981609121570995E-5</v>
      </c>
      <c r="U94" s="9">
        <f t="shared" si="41"/>
        <v>3.9987000614448103E-5</v>
      </c>
      <c r="V94" s="100">
        <f t="shared" si="46"/>
        <v>0.99986516886002308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295</v>
      </c>
      <c r="C95" s="46" t="s">
        <v>296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0.94867954725222925</v>
      </c>
      <c r="J95" s="54">
        <f t="shared" si="34"/>
        <v>3.5683081622045494</v>
      </c>
      <c r="K95" s="55">
        <f t="shared" si="35"/>
        <v>9.7676416786933964E-2</v>
      </c>
      <c r="L95" s="55">
        <f t="shared" si="36"/>
        <v>0.13165103811553244</v>
      </c>
      <c r="M95" s="55">
        <f t="shared" si="42"/>
        <v>0.86834896188446753</v>
      </c>
      <c r="N95" s="55">
        <f t="shared" si="37"/>
        <v>0.10039678946841053</v>
      </c>
      <c r="O95" s="56">
        <f t="shared" si="43"/>
        <v>9.7762612035678876E-8</v>
      </c>
      <c r="P95" s="56">
        <f t="shared" si="38"/>
        <v>3.618103271796883E-4</v>
      </c>
      <c r="Q95" s="56">
        <f t="shared" si="39"/>
        <v>1.0862824900469092E-2</v>
      </c>
      <c r="R95" s="9">
        <f t="shared" si="44"/>
        <v>3.9999999999999996E-5</v>
      </c>
      <c r="S95" s="9">
        <f t="shared" si="45"/>
        <v>5.2660415246212973E-6</v>
      </c>
      <c r="T95" s="9">
        <f t="shared" si="40"/>
        <v>3.9070566714773584E-6</v>
      </c>
      <c r="U95" s="9">
        <f t="shared" si="41"/>
        <v>3.4733958475378697E-5</v>
      </c>
      <c r="V95" s="100">
        <f t="shared" si="46"/>
        <v>0.11248521167683466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297</v>
      </c>
      <c r="C96" s="46" t="s">
        <v>210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-2.2502251762220258E-4</v>
      </c>
      <c r="J96" s="54">
        <f t="shared" si="34"/>
        <v>-6.5703506823937385E-2</v>
      </c>
      <c r="K96" s="55">
        <f t="shared" si="35"/>
        <v>0.99968704063499336</v>
      </c>
      <c r="L96" s="55">
        <f t="shared" si="36"/>
        <v>3.1295865154633116E-4</v>
      </c>
      <c r="M96" s="55">
        <f t="shared" si="42"/>
        <v>0.99968704134845365</v>
      </c>
      <c r="N96" s="55">
        <f t="shared" si="37"/>
        <v>1.5776991271994149E-14</v>
      </c>
      <c r="O96" s="56">
        <f t="shared" si="43"/>
        <v>1.0005692215745599E-6</v>
      </c>
      <c r="P96" s="56">
        <f t="shared" si="38"/>
        <v>8.6008947388871974E-7</v>
      </c>
      <c r="Q96" s="56">
        <f t="shared" si="39"/>
        <v>1.7070535278204936E-15</v>
      </c>
      <c r="R96" s="9">
        <f t="shared" si="44"/>
        <v>3.9999999999999996E-5</v>
      </c>
      <c r="S96" s="9">
        <f t="shared" si="45"/>
        <v>1.2518346061853245E-8</v>
      </c>
      <c r="T96" s="9">
        <f t="shared" si="40"/>
        <v>3.9987481625399734E-5</v>
      </c>
      <c r="U96" s="9">
        <f t="shared" si="41"/>
        <v>3.9987481653938144E-5</v>
      </c>
      <c r="V96" s="100">
        <f t="shared" si="46"/>
        <v>0.99999999928631633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298</v>
      </c>
      <c r="C97" s="46" t="s">
        <v>211</v>
      </c>
      <c r="D97" s="47" t="s">
        <v>299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3.9999999999999996E-5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300</v>
      </c>
      <c r="C98" s="46" t="s">
        <v>212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1.2628922084387679</v>
      </c>
      <c r="J98" s="54">
        <f t="shared" si="34"/>
        <v>3.6473845694063871</v>
      </c>
      <c r="K98" s="55">
        <f t="shared" si="35"/>
        <v>5.0137641593920715E-2</v>
      </c>
      <c r="L98" s="55">
        <f t="shared" si="36"/>
        <v>8.1072744915918163E-2</v>
      </c>
      <c r="M98" s="55">
        <f t="shared" si="42"/>
        <v>0.9189272550840818</v>
      </c>
      <c r="N98" s="55">
        <f t="shared" si="37"/>
        <v>8.247532290935446E-3</v>
      </c>
      <c r="O98" s="56">
        <f t="shared" si="43"/>
        <v>5.0181885912363505E-8</v>
      </c>
      <c r="P98" s="56">
        <f t="shared" si="38"/>
        <v>2.2280839394249341E-4</v>
      </c>
      <c r="Q98" s="56">
        <f t="shared" si="39"/>
        <v>8.9237414474878298E-4</v>
      </c>
      <c r="R98" s="9">
        <f t="shared" si="44"/>
        <v>3.9999999999999996E-5</v>
      </c>
      <c r="S98" s="9">
        <f t="shared" si="45"/>
        <v>3.2429097966367264E-6</v>
      </c>
      <c r="T98" s="9">
        <f t="shared" si="40"/>
        <v>2.0055056637568286E-6</v>
      </c>
      <c r="U98" s="9">
        <f t="shared" si="41"/>
        <v>3.6757090203363266E-5</v>
      </c>
      <c r="V98" s="100">
        <f t="shared" si="46"/>
        <v>5.456105618429298E-2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301</v>
      </c>
      <c r="C99" s="46" t="s">
        <v>213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0.12448503768629132</v>
      </c>
      <c r="J99" s="54">
        <f t="shared" si="34"/>
        <v>1.9238445379940865</v>
      </c>
      <c r="K99" s="55">
        <f t="shared" si="35"/>
        <v>0.73357200629171115</v>
      </c>
      <c r="L99" s="55">
        <f t="shared" si="36"/>
        <v>2.2418868749233746E-2</v>
      </c>
      <c r="M99" s="55">
        <f t="shared" si="42"/>
        <v>0.97758113125076629</v>
      </c>
      <c r="N99" s="55">
        <f t="shared" si="37"/>
        <v>1.4177605021766691E-3</v>
      </c>
      <c r="O99" s="56">
        <f t="shared" si="43"/>
        <v>7.3421935212640272E-7</v>
      </c>
      <c r="P99" s="56">
        <f t="shared" si="38"/>
        <v>6.1612717630380405E-5</v>
      </c>
      <c r="Q99" s="56">
        <f t="shared" si="39"/>
        <v>1.5340016515958527E-4</v>
      </c>
      <c r="R99" s="9">
        <f t="shared" si="44"/>
        <v>3.9999999999999996E-5</v>
      </c>
      <c r="S99" s="9">
        <f t="shared" si="45"/>
        <v>8.967547499693498E-7</v>
      </c>
      <c r="T99" s="9">
        <f t="shared" si="40"/>
        <v>2.9342880251668442E-5</v>
      </c>
      <c r="U99" s="9">
        <f t="shared" si="41"/>
        <v>3.9103245250030646E-5</v>
      </c>
      <c r="V99" s="100">
        <f t="shared" si="46"/>
        <v>0.75039501361195704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302</v>
      </c>
      <c r="C100" s="46" t="s">
        <v>214</v>
      </c>
      <c r="D100" s="47" t="s">
        <v>299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3.9999999999999996E-5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303</v>
      </c>
      <c r="C101" s="46" t="s">
        <v>215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0.94115347171694241</v>
      </c>
      <c r="J101" s="54">
        <f t="shared" si="34"/>
        <v>3.2804859651125566</v>
      </c>
      <c r="K101" s="55">
        <f t="shared" si="35"/>
        <v>0.10602149960262784</v>
      </c>
      <c r="L101" s="55">
        <f t="shared" si="36"/>
        <v>7.3655692039389487E-2</v>
      </c>
      <c r="M101" s="55">
        <f t="shared" si="42"/>
        <v>0.92634430796061051</v>
      </c>
      <c r="N101" s="55">
        <f t="shared" si="37"/>
        <v>3.2475366861918946E-3</v>
      </c>
      <c r="O101" s="56">
        <f t="shared" si="43"/>
        <v>1.0611505902906024E-7</v>
      </c>
      <c r="P101" s="56">
        <f t="shared" si="38"/>
        <v>2.0242445799805451E-4</v>
      </c>
      <c r="Q101" s="56">
        <f t="shared" si="39"/>
        <v>3.5137998502484085E-4</v>
      </c>
      <c r="R101" s="9">
        <f t="shared" si="44"/>
        <v>3.9999999999999996E-5</v>
      </c>
      <c r="S101" s="9">
        <f t="shared" si="45"/>
        <v>2.946227681575579E-6</v>
      </c>
      <c r="T101" s="9">
        <f t="shared" si="40"/>
        <v>4.2408599841051134E-6</v>
      </c>
      <c r="U101" s="9">
        <f t="shared" si="41"/>
        <v>3.7053772318424416E-5</v>
      </c>
      <c r="V101" s="100">
        <f t="shared" si="46"/>
        <v>0.11445150436130928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304</v>
      </c>
      <c r="C102" s="46" t="s">
        <v>216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0.36577089944725916</v>
      </c>
      <c r="J102" s="54">
        <f t="shared" si="34"/>
        <v>2.5018749283324593</v>
      </c>
      <c r="K102" s="55">
        <f t="shared" si="35"/>
        <v>0.41010838081971057</v>
      </c>
      <c r="L102" s="55">
        <f t="shared" si="36"/>
        <v>4.7435117343820089E-2</v>
      </c>
      <c r="M102" s="55">
        <f t="shared" si="42"/>
        <v>0.95256488265617989</v>
      </c>
      <c r="N102" s="55">
        <f t="shared" si="37"/>
        <v>4.3526959257808101E-9</v>
      </c>
      <c r="O102" s="56">
        <f t="shared" si="43"/>
        <v>4.1047028387737744E-7</v>
      </c>
      <c r="P102" s="56">
        <f t="shared" si="38"/>
        <v>1.3036369155641008E-4</v>
      </c>
      <c r="Q102" s="56">
        <f t="shared" si="39"/>
        <v>4.7095702897570669E-10</v>
      </c>
      <c r="R102" s="9">
        <f t="shared" si="44"/>
        <v>3.9999999999999996E-5</v>
      </c>
      <c r="S102" s="9">
        <f t="shared" si="45"/>
        <v>1.8974046937528035E-6</v>
      </c>
      <c r="T102" s="9">
        <f t="shared" si="40"/>
        <v>1.6404335232788422E-5</v>
      </c>
      <c r="U102" s="9">
        <f t="shared" si="41"/>
        <v>3.8102595306247191E-5</v>
      </c>
      <c r="V102" s="100">
        <f t="shared" si="46"/>
        <v>0.43053065285814834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305</v>
      </c>
      <c r="C103" s="46" t="s">
        <v>217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1.199560490818528</v>
      </c>
      <c r="J103" s="54">
        <f t="shared" si="34"/>
        <v>3.5508029338400835</v>
      </c>
      <c r="K103" s="55">
        <f t="shared" si="35"/>
        <v>5.8357739122650229E-2</v>
      </c>
      <c r="L103" s="55">
        <f t="shared" si="36"/>
        <v>7.5548839674107401E-2</v>
      </c>
      <c r="M103" s="55">
        <f t="shared" si="42"/>
        <v>0.92445116032589258</v>
      </c>
      <c r="N103" s="55">
        <f t="shared" si="37"/>
        <v>1.0328996795920133E-8</v>
      </c>
      <c r="O103" s="56">
        <f t="shared" si="43"/>
        <v>5.840923732462503E-8</v>
      </c>
      <c r="P103" s="56">
        <f t="shared" si="38"/>
        <v>2.0762730618612314E-4</v>
      </c>
      <c r="Q103" s="56">
        <f t="shared" si="39"/>
        <v>1.1175863708957611E-9</v>
      </c>
      <c r="R103" s="9">
        <f t="shared" si="44"/>
        <v>3.9999999999999996E-5</v>
      </c>
      <c r="S103" s="9">
        <f t="shared" si="45"/>
        <v>3.0219535869642958E-6</v>
      </c>
      <c r="T103" s="9">
        <f t="shared" si="40"/>
        <v>2.3343095649060091E-6</v>
      </c>
      <c r="U103" s="9">
        <f t="shared" si="41"/>
        <v>3.6978046413035698E-5</v>
      </c>
      <c r="V103" s="100">
        <f t="shared" si="46"/>
        <v>6.3126903428924935E-2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306</v>
      </c>
      <c r="C104" s="46" t="s">
        <v>218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1.8651886014657959</v>
      </c>
      <c r="J104" s="54">
        <f t="shared" si="34"/>
        <v>4.2526423267701308</v>
      </c>
      <c r="K104" s="55">
        <f t="shared" si="35"/>
        <v>1.2520644043026734E-2</v>
      </c>
      <c r="L104" s="55">
        <f t="shared" si="36"/>
        <v>8.1582198034088227E-2</v>
      </c>
      <c r="M104" s="55">
        <f t="shared" si="42"/>
        <v>0.91841780196591172</v>
      </c>
      <c r="N104" s="55">
        <f t="shared" si="37"/>
        <v>4.0159360827037695E-3</v>
      </c>
      <c r="O104" s="56">
        <f t="shared" si="43"/>
        <v>1.2531692974419146E-8</v>
      </c>
      <c r="P104" s="56">
        <f t="shared" si="38"/>
        <v>2.2420849987410074E-4</v>
      </c>
      <c r="Q104" s="56">
        <f t="shared" si="39"/>
        <v>4.3451997527882175E-4</v>
      </c>
      <c r="R104" s="9">
        <f t="shared" si="44"/>
        <v>3.9999999999999996E-5</v>
      </c>
      <c r="S104" s="9">
        <f t="shared" si="45"/>
        <v>3.2632879213635286E-6</v>
      </c>
      <c r="T104" s="9">
        <f t="shared" si="40"/>
        <v>5.008257617210693E-7</v>
      </c>
      <c r="U104" s="9">
        <f t="shared" si="41"/>
        <v>3.6736712078636468E-5</v>
      </c>
      <c r="V104" s="100">
        <f t="shared" si="46"/>
        <v>1.3632841193001455E-2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307</v>
      </c>
      <c r="C105" s="46" t="s">
        <v>219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1.4992792320699506</v>
      </c>
      <c r="J105" s="54">
        <f t="shared" si="34"/>
        <v>3.9339975399006524</v>
      </c>
      <c r="K105" s="55">
        <f t="shared" si="35"/>
        <v>2.8805898735836624E-2</v>
      </c>
      <c r="L105" s="55">
        <f t="shared" si="36"/>
        <v>9.0116719957864341E-2</v>
      </c>
      <c r="M105" s="55">
        <f t="shared" si="42"/>
        <v>0.9098832800421357</v>
      </c>
      <c r="N105" s="55">
        <f t="shared" si="37"/>
        <v>2.0684334515033022E-2</v>
      </c>
      <c r="O105" s="56">
        <f t="shared" si="43"/>
        <v>2.8831318706066211E-8</v>
      </c>
      <c r="P105" s="56">
        <f t="shared" si="38"/>
        <v>2.4766352319760722E-4</v>
      </c>
      <c r="Q105" s="56">
        <f t="shared" si="39"/>
        <v>2.2380228014186746E-3</v>
      </c>
      <c r="R105" s="9">
        <f t="shared" si="44"/>
        <v>3.9999999999999996E-5</v>
      </c>
      <c r="S105" s="9">
        <f t="shared" si="45"/>
        <v>3.6046687983145733E-6</v>
      </c>
      <c r="T105" s="9">
        <f t="shared" si="40"/>
        <v>1.1522359494334649E-6</v>
      </c>
      <c r="U105" s="9">
        <f t="shared" si="41"/>
        <v>3.6395331201685428E-5</v>
      </c>
      <c r="V105" s="100">
        <f t="shared" si="46"/>
        <v>3.1658894462268453E-2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308</v>
      </c>
      <c r="C106" s="46" t="s">
        <v>220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0.70891628628139558</v>
      </c>
      <c r="J106" s="54">
        <f t="shared" si="34"/>
        <v>3.0001364508445363</v>
      </c>
      <c r="K106" s="55">
        <f t="shared" si="35"/>
        <v>0.18238900603470454</v>
      </c>
      <c r="L106" s="55">
        <f t="shared" si="36"/>
        <v>6.6444878847698202E-2</v>
      </c>
      <c r="M106" s="55">
        <f t="shared" si="42"/>
        <v>0.93355512115230177</v>
      </c>
      <c r="N106" s="55">
        <f t="shared" si="37"/>
        <v>1.3713830572240789E-3</v>
      </c>
      <c r="O106" s="56">
        <f t="shared" si="43"/>
        <v>1.8254995651037354E-7</v>
      </c>
      <c r="P106" s="56">
        <f t="shared" si="38"/>
        <v>1.8260732083406255E-4</v>
      </c>
      <c r="Q106" s="56">
        <f t="shared" si="39"/>
        <v>1.4838217537606091E-4</v>
      </c>
      <c r="R106" s="9">
        <f t="shared" si="44"/>
        <v>3.9999999999999996E-5</v>
      </c>
      <c r="S106" s="9">
        <f t="shared" si="45"/>
        <v>2.6577951539079277E-6</v>
      </c>
      <c r="T106" s="9">
        <f t="shared" si="40"/>
        <v>7.295560241388181E-6</v>
      </c>
      <c r="U106" s="9">
        <f t="shared" si="41"/>
        <v>3.734220484609207E-5</v>
      </c>
      <c r="V106" s="100">
        <f t="shared" si="46"/>
        <v>0.19537036635777749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309</v>
      </c>
      <c r="C107" s="46" t="s">
        <v>221</v>
      </c>
      <c r="D107" s="47" t="s">
        <v>299</v>
      </c>
      <c r="E107" s="47" t="s">
        <v>310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3.9999999999999996E-5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311</v>
      </c>
      <c r="C108" s="46" t="s">
        <v>222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1.3235891145541188</v>
      </c>
      <c r="J108" s="54">
        <f t="shared" si="34"/>
        <v>3.7014271719824365</v>
      </c>
      <c r="K108" s="55">
        <f t="shared" si="35"/>
        <v>4.3651854234359938E-2</v>
      </c>
      <c r="L108" s="55">
        <f t="shared" si="36"/>
        <v>7.9938551547228065E-2</v>
      </c>
      <c r="M108" s="55">
        <f t="shared" si="42"/>
        <v>0.92006144845277194</v>
      </c>
      <c r="N108" s="55">
        <f t="shared" si="37"/>
        <v>5.4470682816575838E-3</v>
      </c>
      <c r="O108" s="56">
        <f t="shared" si="43"/>
        <v>4.3690375123615274E-8</v>
      </c>
      <c r="P108" s="56">
        <f t="shared" si="38"/>
        <v>2.1969134390107496E-4</v>
      </c>
      <c r="Q108" s="56">
        <f t="shared" si="39"/>
        <v>5.8936694368262826E-4</v>
      </c>
      <c r="R108" s="9">
        <f t="shared" si="44"/>
        <v>3.9999999999999996E-5</v>
      </c>
      <c r="S108" s="9">
        <f t="shared" si="45"/>
        <v>3.1975420618891223E-6</v>
      </c>
      <c r="T108" s="9">
        <f t="shared" si="40"/>
        <v>1.7460741693743974E-6</v>
      </c>
      <c r="U108" s="9">
        <f t="shared" si="41"/>
        <v>3.6802457938110871E-5</v>
      </c>
      <c r="V108" s="100">
        <f t="shared" si="46"/>
        <v>4.7444498742738754E-2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312</v>
      </c>
      <c r="C109" s="46" t="s">
        <v>223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1.537838229995057</v>
      </c>
      <c r="J109" s="54">
        <f t="shared" si="34"/>
        <v>3.9592343762414268</v>
      </c>
      <c r="K109" s="55">
        <f t="shared" si="35"/>
        <v>2.6430560110111474E-2</v>
      </c>
      <c r="L109" s="55">
        <f t="shared" si="36"/>
        <v>8.7632893048611854E-2</v>
      </c>
      <c r="M109" s="55">
        <f t="shared" si="42"/>
        <v>0.91236710695138812</v>
      </c>
      <c r="N109" s="55">
        <f t="shared" si="37"/>
        <v>1.6153494561137703E-2</v>
      </c>
      <c r="O109" s="56">
        <f t="shared" si="43"/>
        <v>2.6453883945875517E-8</v>
      </c>
      <c r="P109" s="56">
        <f t="shared" si="38"/>
        <v>2.4083733907055385E-4</v>
      </c>
      <c r="Q109" s="56">
        <f t="shared" si="39"/>
        <v>1.747790779739331E-3</v>
      </c>
      <c r="R109" s="9">
        <f t="shared" si="44"/>
        <v>3.9999999999999996E-5</v>
      </c>
      <c r="S109" s="9">
        <f t="shared" si="45"/>
        <v>3.5053157219444738E-6</v>
      </c>
      <c r="T109" s="9">
        <f t="shared" si="40"/>
        <v>1.0572224044044588E-6</v>
      </c>
      <c r="U109" s="9">
        <f t="shared" si="41"/>
        <v>3.6494684278055524E-5</v>
      </c>
      <c r="V109" s="100">
        <f t="shared" si="46"/>
        <v>2.8969216348041494E-2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202</v>
      </c>
      <c r="C110" s="46" t="s">
        <v>203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0.24151373144665708</v>
      </c>
      <c r="J110" s="54">
        <f t="shared" si="34"/>
        <v>2.2543342131627062</v>
      </c>
      <c r="K110" s="55">
        <f t="shared" si="35"/>
        <v>0.55242979524085312</v>
      </c>
      <c r="L110" s="55">
        <f t="shared" si="36"/>
        <v>3.6135803321834678E-2</v>
      </c>
      <c r="M110" s="55">
        <f t="shared" si="42"/>
        <v>0.96386419667816536</v>
      </c>
      <c r="N110" s="55">
        <f t="shared" si="37"/>
        <v>1.2836221932971168E-4</v>
      </c>
      <c r="O110" s="56">
        <f t="shared" si="43"/>
        <v>5.5291729084297743E-7</v>
      </c>
      <c r="P110" s="56">
        <f t="shared" si="38"/>
        <v>9.9310320753417123E-5</v>
      </c>
      <c r="Q110" s="56">
        <f t="shared" si="39"/>
        <v>1.3888654406155109E-5</v>
      </c>
      <c r="R110" s="9">
        <f t="shared" si="44"/>
        <v>3.9999999999999996E-5</v>
      </c>
      <c r="S110" s="9">
        <f t="shared" si="45"/>
        <v>1.4454321328733869E-6</v>
      </c>
      <c r="T110" s="9">
        <f t="shared" si="40"/>
        <v>2.2097191809634123E-5</v>
      </c>
      <c r="U110" s="9">
        <f t="shared" si="41"/>
        <v>3.855456786712661E-5</v>
      </c>
      <c r="V110" s="100">
        <f t="shared" si="46"/>
        <v>0.57314069465878259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204</v>
      </c>
      <c r="C111" s="46" t="s">
        <v>205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0.16670977104284687</v>
      </c>
      <c r="J111" s="54">
        <f t="shared" si="34"/>
        <v>2.2360989063469883</v>
      </c>
      <c r="K111" s="55">
        <f t="shared" si="35"/>
        <v>0.65298509326889664</v>
      </c>
      <c r="L111" s="55">
        <f t="shared" si="36"/>
        <v>4.0957041660580513E-2</v>
      </c>
      <c r="M111" s="55">
        <f t="shared" si="42"/>
        <v>0.95904295833941944</v>
      </c>
      <c r="N111" s="55">
        <f t="shared" si="37"/>
        <v>2.1917893009825398E-2</v>
      </c>
      <c r="O111" s="56">
        <f t="shared" si="43"/>
        <v>6.5356132460899389E-7</v>
      </c>
      <c r="P111" s="56">
        <f t="shared" si="38"/>
        <v>1.1256030226303565E-4</v>
      </c>
      <c r="Q111" s="56">
        <f t="shared" si="39"/>
        <v>2.3714925070174976E-3</v>
      </c>
      <c r="R111" s="9">
        <f t="shared" si="44"/>
        <v>3.9999999999999996E-5</v>
      </c>
      <c r="S111" s="9">
        <f t="shared" si="45"/>
        <v>1.6382816664232205E-6</v>
      </c>
      <c r="T111" s="9">
        <f t="shared" si="40"/>
        <v>2.6119403730755863E-5</v>
      </c>
      <c r="U111" s="9">
        <f t="shared" si="41"/>
        <v>3.8361718333576772E-5</v>
      </c>
      <c r="V111" s="100">
        <f t="shared" si="46"/>
        <v>0.68087157889104233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206</v>
      </c>
      <c r="C112" s="46" t="s">
        <v>207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2.5219720041185631</v>
      </c>
      <c r="J112" s="54">
        <f t="shared" si="34"/>
        <v>5.2243795044903081</v>
      </c>
      <c r="K112" s="55">
        <f t="shared" si="35"/>
        <v>2.5389516358573028E-3</v>
      </c>
      <c r="L112" s="55">
        <f t="shared" si="36"/>
        <v>0.15501022230577591</v>
      </c>
      <c r="M112" s="55">
        <f t="shared" si="42"/>
        <v>0.84498977769422412</v>
      </c>
      <c r="N112" s="55">
        <f t="shared" si="37"/>
        <v>0.1270959030447873</v>
      </c>
      <c r="O112" s="56">
        <f t="shared" si="43"/>
        <v>2.5411921517873804E-9</v>
      </c>
      <c r="P112" s="56">
        <f t="shared" si="38"/>
        <v>4.260072693041082E-4</v>
      </c>
      <c r="Q112" s="56">
        <f t="shared" si="39"/>
        <v>1.3751640342811242E-2</v>
      </c>
      <c r="R112" s="9">
        <f t="shared" si="44"/>
        <v>3.9999999999999996E-5</v>
      </c>
      <c r="S112" s="9">
        <f t="shared" si="45"/>
        <v>6.2004088922310355E-6</v>
      </c>
      <c r="T112" s="9">
        <f t="shared" si="40"/>
        <v>1.0155806543429211E-7</v>
      </c>
      <c r="U112" s="9">
        <f t="shared" si="41"/>
        <v>3.379959110776896E-5</v>
      </c>
      <c r="V112" s="100">
        <f t="shared" si="46"/>
        <v>3.0047128413618176E-3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208</v>
      </c>
      <c r="C113" s="46" t="s">
        <v>209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2.8671793282646911</v>
      </c>
      <c r="J113" s="54">
        <f t="shared" si="34"/>
        <v>5.592091109253353</v>
      </c>
      <c r="K113" s="55">
        <f t="shared" si="35"/>
        <v>1.1373167250869234E-3</v>
      </c>
      <c r="L113" s="55">
        <f t="shared" si="36"/>
        <v>0.16191942076007576</v>
      </c>
      <c r="M113" s="55">
        <f t="shared" si="42"/>
        <v>0.83808057923992418</v>
      </c>
      <c r="N113" s="55">
        <f t="shared" si="37"/>
        <v>0.13861446366701538</v>
      </c>
      <c r="O113" s="56">
        <f t="shared" si="43"/>
        <v>1.138320358320465E-9</v>
      </c>
      <c r="P113" s="56">
        <f t="shared" si="38"/>
        <v>4.449954929374522E-4</v>
      </c>
      <c r="Q113" s="56">
        <f t="shared" si="39"/>
        <v>1.4997936243379575E-2</v>
      </c>
      <c r="R113" s="9">
        <f t="shared" si="44"/>
        <v>3.9999999999999996E-5</v>
      </c>
      <c r="S113" s="9">
        <f t="shared" si="45"/>
        <v>6.4767768304030297E-6</v>
      </c>
      <c r="T113" s="9">
        <f t="shared" si="40"/>
        <v>4.5492669003476931E-8</v>
      </c>
      <c r="U113" s="9">
        <f t="shared" si="41"/>
        <v>3.3523223169596963E-5</v>
      </c>
      <c r="V113" s="100">
        <f t="shared" si="46"/>
        <v>1.3570493736036501E-3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106</v>
      </c>
      <c r="C114" s="46" t="s">
        <v>107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3.2678433041260839</v>
      </c>
      <c r="J114" s="54">
        <f t="shared" si="34"/>
        <v>6.012357132853051</v>
      </c>
      <c r="K114" s="55">
        <f t="shared" si="35"/>
        <v>4.4872767428883099E-4</v>
      </c>
      <c r="L114" s="55">
        <f t="shared" si="36"/>
        <v>0.16813820002584898</v>
      </c>
      <c r="M114" s="55">
        <f t="shared" si="42"/>
        <v>0.83186179997415099</v>
      </c>
      <c r="N114" s="55">
        <f t="shared" si="37"/>
        <v>0.14905960897128864</v>
      </c>
      <c r="O114" s="56">
        <f t="shared" si="43"/>
        <v>4.4912365721671034E-10</v>
      </c>
      <c r="P114" s="56">
        <f t="shared" si="38"/>
        <v>4.6208627013917205E-4</v>
      </c>
      <c r="Q114" s="56">
        <f t="shared" si="39"/>
        <v>1.6128089758258437E-2</v>
      </c>
      <c r="R114" s="9">
        <f t="shared" si="44"/>
        <v>3.9999999999999996E-5</v>
      </c>
      <c r="S114" s="9">
        <f t="shared" si="45"/>
        <v>6.7255280010339589E-6</v>
      </c>
      <c r="T114" s="9">
        <f t="shared" si="40"/>
        <v>1.7949106971553237E-8</v>
      </c>
      <c r="U114" s="9">
        <f t="shared" si="41"/>
        <v>3.3274471998966035E-5</v>
      </c>
      <c r="V114" s="100">
        <f t="shared" si="46"/>
        <v>5.3942574872746247E-4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108</v>
      </c>
      <c r="C115" s="46" t="s">
        <v>109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1.8739262521806992</v>
      </c>
      <c r="J115" s="54">
        <f t="shared" si="34"/>
        <v>4.6033243950447487</v>
      </c>
      <c r="K115" s="55">
        <f t="shared" si="35"/>
        <v>1.1179050573972027E-2</v>
      </c>
      <c r="L115" s="55">
        <f t="shared" si="36"/>
        <v>0.16332614910869553</v>
      </c>
      <c r="M115" s="55">
        <f t="shared" si="42"/>
        <v>0.83667385089130453</v>
      </c>
      <c r="N115" s="55">
        <f t="shared" si="37"/>
        <v>0.14235839279278184</v>
      </c>
      <c r="O115" s="56">
        <f t="shared" si="43"/>
        <v>1.1188915606665206E-8</v>
      </c>
      <c r="P115" s="56">
        <f t="shared" si="38"/>
        <v>4.4886153798618462E-4</v>
      </c>
      <c r="Q115" s="56">
        <f t="shared" si="39"/>
        <v>1.5403025357765686E-2</v>
      </c>
      <c r="R115" s="9">
        <f t="shared" si="44"/>
        <v>3.9999999999999996E-5</v>
      </c>
      <c r="S115" s="9">
        <f t="shared" si="45"/>
        <v>6.5330459643478208E-6</v>
      </c>
      <c r="T115" s="9">
        <f t="shared" si="40"/>
        <v>4.4716202295888107E-7</v>
      </c>
      <c r="U115" s="9">
        <f t="shared" si="41"/>
        <v>3.3466954035652177E-5</v>
      </c>
      <c r="V115" s="100">
        <f t="shared" si="46"/>
        <v>1.3361300298871585E-2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224</v>
      </c>
      <c r="C116" s="46" t="s">
        <v>225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-6.4011746653915488E-5</v>
      </c>
      <c r="J116" s="54">
        <f t="shared" si="34"/>
        <v>-2.1349672211087228E-2</v>
      </c>
      <c r="K116" s="55">
        <f t="shared" si="35"/>
        <v>0.99928298575459173</v>
      </c>
      <c r="L116" s="55">
        <f t="shared" si="36"/>
        <v>3.4646967385178364E-4</v>
      </c>
      <c r="M116" s="55">
        <f t="shared" si="42"/>
        <v>0.99965353032614823</v>
      </c>
      <c r="N116" s="55">
        <f t="shared" si="37"/>
        <v>2.0621376976346479E-6</v>
      </c>
      <c r="O116" s="56">
        <f t="shared" si="43"/>
        <v>1.0001648101330553E-6</v>
      </c>
      <c r="P116" s="56">
        <f t="shared" si="38"/>
        <v>9.5218623300292809E-7</v>
      </c>
      <c r="Q116" s="56">
        <f t="shared" si="39"/>
        <v>2.2312108632826285E-7</v>
      </c>
      <c r="R116" s="9">
        <f t="shared" si="44"/>
        <v>3.9999999999999996E-5</v>
      </c>
      <c r="S116" s="9">
        <f t="shared" si="45"/>
        <v>1.3858786954071344E-8</v>
      </c>
      <c r="T116" s="9">
        <f t="shared" si="40"/>
        <v>3.9971319430183666E-5</v>
      </c>
      <c r="U116" s="9">
        <f t="shared" si="41"/>
        <v>3.9986141213045929E-5</v>
      </c>
      <c r="V116" s="100">
        <f t="shared" si="46"/>
        <v>0.99962932700149065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226</v>
      </c>
      <c r="C117" s="46" t="s">
        <v>227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1.5422749478710035E-2</v>
      </c>
      <c r="J117" s="54">
        <f t="shared" si="34"/>
        <v>1.0644941049967591</v>
      </c>
      <c r="K117" s="55">
        <f t="shared" si="35"/>
        <v>0.96069579686756001</v>
      </c>
      <c r="L117" s="55">
        <f t="shared" si="36"/>
        <v>4.0588817797055261E-3</v>
      </c>
      <c r="M117" s="55">
        <f t="shared" si="42"/>
        <v>0.99594111822029452</v>
      </c>
      <c r="N117" s="55">
        <f t="shared" si="37"/>
        <v>1.0668294936542573E-3</v>
      </c>
      <c r="O117" s="56">
        <f t="shared" si="43"/>
        <v>9.6154356970672765E-7</v>
      </c>
      <c r="P117" s="56">
        <f t="shared" si="38"/>
        <v>1.1154833001849831E-5</v>
      </c>
      <c r="Q117" s="56">
        <f t="shared" si="39"/>
        <v>1.1542980656636102E-4</v>
      </c>
      <c r="R117" s="9">
        <f t="shared" si="44"/>
        <v>3.9999999999999996E-5</v>
      </c>
      <c r="S117" s="9">
        <f t="shared" si="45"/>
        <v>1.6235527118822102E-7</v>
      </c>
      <c r="T117" s="9">
        <f t="shared" si="40"/>
        <v>3.84278318747024E-5</v>
      </c>
      <c r="U117" s="9">
        <f t="shared" si="41"/>
        <v>3.9837644728811779E-5</v>
      </c>
      <c r="V117" s="100">
        <f t="shared" si="46"/>
        <v>0.96461103903841583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228</v>
      </c>
      <c r="C118" s="46" t="s">
        <v>229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0.17039252388598855</v>
      </c>
      <c r="J118" s="54">
        <f t="shared" si="34"/>
        <v>2.2485216506404617</v>
      </c>
      <c r="K118" s="55">
        <f t="shared" si="35"/>
        <v>0.64693265621020823</v>
      </c>
      <c r="L118" s="55">
        <f t="shared" si="36"/>
        <v>4.175486956467548E-2</v>
      </c>
      <c r="M118" s="55">
        <f t="shared" si="42"/>
        <v>0.95824513043532455</v>
      </c>
      <c r="N118" s="55">
        <f t="shared" si="37"/>
        <v>2.2450146526252036E-2</v>
      </c>
      <c r="O118" s="56">
        <f t="shared" si="43"/>
        <v>6.4750354653417349E-7</v>
      </c>
      <c r="P118" s="56">
        <f t="shared" si="38"/>
        <v>1.1475293499229957E-4</v>
      </c>
      <c r="Q118" s="56">
        <f t="shared" si="39"/>
        <v>2.4290817664172786E-3</v>
      </c>
      <c r="R118" s="9">
        <f t="shared" si="44"/>
        <v>3.9999999999999996E-5</v>
      </c>
      <c r="S118" s="9">
        <f t="shared" si="45"/>
        <v>1.6701947825870191E-6</v>
      </c>
      <c r="T118" s="9">
        <f t="shared" si="40"/>
        <v>2.5877306248408326E-5</v>
      </c>
      <c r="U118" s="9">
        <f t="shared" si="41"/>
        <v>3.8329805217412982E-5</v>
      </c>
      <c r="V118" s="100">
        <f t="shared" si="46"/>
        <v>0.67512229977762672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230</v>
      </c>
      <c r="C119" s="46" t="s">
        <v>231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-2.0346404759841822E-4</v>
      </c>
      <c r="J119" s="54">
        <f t="shared" si="34"/>
        <v>-5.9633312344076983E-2</v>
      </c>
      <c r="K119" s="55">
        <f t="shared" si="35"/>
        <v>0.99963302957518296</v>
      </c>
      <c r="L119" s="55">
        <f t="shared" si="36"/>
        <v>3.173464845013295E-4</v>
      </c>
      <c r="M119" s="55">
        <f t="shared" si="42"/>
        <v>0.99968265351549868</v>
      </c>
      <c r="N119" s="55">
        <f t="shared" si="37"/>
        <v>1.2030298292564962E-7</v>
      </c>
      <c r="O119" s="56">
        <f t="shared" si="43"/>
        <v>1.0005151628523059E-6</v>
      </c>
      <c r="P119" s="56">
        <f t="shared" si="38"/>
        <v>8.7214834786178034E-7</v>
      </c>
      <c r="Q119" s="56">
        <f t="shared" si="39"/>
        <v>1.3016653674335312E-8</v>
      </c>
      <c r="R119" s="9">
        <f t="shared" si="44"/>
        <v>3.9999999999999996E-5</v>
      </c>
      <c r="S119" s="9">
        <f t="shared" si="45"/>
        <v>1.2693859380053179E-8</v>
      </c>
      <c r="T119" s="9">
        <f t="shared" si="40"/>
        <v>3.9985321183007312E-5</v>
      </c>
      <c r="U119" s="9">
        <f t="shared" si="41"/>
        <v>3.9987306140619943E-5</v>
      </c>
      <c r="V119" s="100">
        <f t="shared" si="46"/>
        <v>0.99995036030670215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232</v>
      </c>
      <c r="C120" s="46" t="s">
        <v>233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-2.2502281549544107E-4</v>
      </c>
      <c r="J120" s="54">
        <f t="shared" si="34"/>
        <v>-6.5703589816534555E-2</v>
      </c>
      <c r="K120" s="55">
        <f t="shared" si="35"/>
        <v>0.99968704138022935</v>
      </c>
      <c r="L120" s="55">
        <f t="shared" si="36"/>
        <v>3.1295859197401669E-4</v>
      </c>
      <c r="M120" s="55">
        <f t="shared" si="42"/>
        <v>0.999687041408026</v>
      </c>
      <c r="N120" s="55">
        <f t="shared" si="37"/>
        <v>1.5601781291599174E-16</v>
      </c>
      <c r="O120" s="56">
        <f t="shared" si="43"/>
        <v>1.0005692223204537E-6</v>
      </c>
      <c r="P120" s="56">
        <f t="shared" si="38"/>
        <v>8.6008931016894295E-7</v>
      </c>
      <c r="Q120" s="56">
        <f t="shared" si="39"/>
        <v>1.6880959959320455E-17</v>
      </c>
      <c r="R120" s="9">
        <f t="shared" si="44"/>
        <v>3.9999999999999996E-5</v>
      </c>
      <c r="S120" s="9">
        <f t="shared" si="45"/>
        <v>1.2518343678960666E-8</v>
      </c>
      <c r="T120" s="9">
        <f t="shared" si="40"/>
        <v>3.9987481655209168E-5</v>
      </c>
      <c r="U120" s="9">
        <f t="shared" si="41"/>
        <v>3.9987481656321037E-5</v>
      </c>
      <c r="V120" s="100">
        <f t="shared" si="46"/>
        <v>0.99999999997219469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234</v>
      </c>
      <c r="C121" s="46" t="s">
        <v>235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1.5262652347248487E-3</v>
      </c>
      <c r="J121" s="54">
        <f t="shared" si="34"/>
        <v>0.28558081208397795</v>
      </c>
      <c r="K121" s="55">
        <f t="shared" si="35"/>
        <v>0.9952788417201559</v>
      </c>
      <c r="L121" s="55">
        <f t="shared" si="36"/>
        <v>6.9960352690300888E-4</v>
      </c>
      <c r="M121" s="55">
        <f t="shared" si="42"/>
        <v>0.99930039647309699</v>
      </c>
      <c r="N121" s="55">
        <f t="shared" si="37"/>
        <v>5.8157282989715698E-5</v>
      </c>
      <c r="O121" s="56">
        <f t="shared" si="43"/>
        <v>9.9615713261323557E-7</v>
      </c>
      <c r="P121" s="56">
        <f t="shared" si="38"/>
        <v>1.9226873147989051E-6</v>
      </c>
      <c r="Q121" s="56">
        <f t="shared" si="39"/>
        <v>6.2925556200488832E-6</v>
      </c>
      <c r="R121" s="9">
        <f t="shared" si="44"/>
        <v>3.9999999999999996E-5</v>
      </c>
      <c r="S121" s="9">
        <f t="shared" si="45"/>
        <v>2.7984141076120352E-8</v>
      </c>
      <c r="T121" s="9">
        <f t="shared" si="40"/>
        <v>3.9811153668806232E-5</v>
      </c>
      <c r="U121" s="9">
        <f t="shared" si="41"/>
        <v>3.9972015858923878E-5</v>
      </c>
      <c r="V121" s="100">
        <f t="shared" si="46"/>
        <v>0.99597562978346188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236</v>
      </c>
      <c r="C122" s="46" t="s">
        <v>237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2.4878679358864142</v>
      </c>
      <c r="J122" s="54">
        <f t="shared" si="34"/>
        <v>5.2497736530396644</v>
      </c>
      <c r="K122" s="55">
        <f t="shared" si="35"/>
        <v>2.6852507203979667E-3</v>
      </c>
      <c r="L122" s="55">
        <f t="shared" si="36"/>
        <v>0.17381405888686025</v>
      </c>
      <c r="M122" s="55">
        <f t="shared" si="42"/>
        <v>0.82618594111313981</v>
      </c>
      <c r="N122" s="55">
        <f t="shared" si="37"/>
        <v>0.15898089860218914</v>
      </c>
      <c r="O122" s="56">
        <f t="shared" si="43"/>
        <v>2.6876203389957909E-9</v>
      </c>
      <c r="P122" s="56">
        <f t="shared" si="38"/>
        <v>4.7768496484696451E-4</v>
      </c>
      <c r="Q122" s="56">
        <f t="shared" si="39"/>
        <v>1.7201562651345544E-2</v>
      </c>
      <c r="R122" s="9">
        <f t="shared" si="44"/>
        <v>3.9999999999999996E-5</v>
      </c>
      <c r="S122" s="9">
        <f t="shared" si="45"/>
        <v>6.9525623554744088E-6</v>
      </c>
      <c r="T122" s="9">
        <f t="shared" si="40"/>
        <v>1.0741002881591866E-7</v>
      </c>
      <c r="U122" s="9">
        <f t="shared" si="41"/>
        <v>3.304743764452559E-5</v>
      </c>
      <c r="V122" s="100">
        <f t="shared" si="46"/>
        <v>3.2501772140785465E-3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238</v>
      </c>
      <c r="C123" s="46" t="s">
        <v>239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1.0353959656071578E-2</v>
      </c>
      <c r="J123" s="54">
        <f t="shared" ref="J123:J127" si="48">IF(D123=0,"",LOG($K$21*10^D123+$K$22*10^E123+$K$20))</f>
        <v>0.91828095208380334</v>
      </c>
      <c r="K123" s="55">
        <f t="shared" ref="K123:K127" si="49">IF(D123=0,"",1/(1+10^D123*$J$15/$J$14+10^E123*$J$16/$J$14+10^J123*$J$19/$J$14))</f>
        <v>0.97306996344391572</v>
      </c>
      <c r="L123" s="55">
        <f t="shared" ref="L123:L127" si="50">IF(D123=0,"",1/(1+10^I123/10^J123*$J$13/$J$19))</f>
        <v>2.935968728987963E-3</v>
      </c>
      <c r="M123" s="55">
        <f t="shared" si="42"/>
        <v>0.99706403127101206</v>
      </c>
      <c r="N123" s="55">
        <f t="shared" ref="N123:N127" si="51">IF(D123=0,"",1/(1/10^E123*$J$20/$J$22+10^D123/10^E123*$J$21/$J$22+10^I123/10^E123*$J$13/$J$22+1))</f>
        <v>8.3991084730036846E-4</v>
      </c>
      <c r="O123" s="56">
        <f t="shared" si="43"/>
        <v>9.739286559543935E-7</v>
      </c>
      <c r="P123" s="56">
        <f t="shared" ref="P123:P127" si="52">IF(D123=0,"",O123*10^J123)</f>
        <v>8.0687841252893266E-6</v>
      </c>
      <c r="Q123" s="56">
        <f t="shared" ref="Q123:Q127" si="53">IF(D123=0,"",F123*N123*$J$7/$J$22)</f>
        <v>9.0877452501599224E-5</v>
      </c>
      <c r="R123" s="9">
        <f t="shared" si="44"/>
        <v>3.9999999999999996E-5</v>
      </c>
      <c r="S123" s="9">
        <f t="shared" si="45"/>
        <v>1.1743874915951851E-7</v>
      </c>
      <c r="T123" s="9">
        <f t="shared" si="40"/>
        <v>3.8922798537756628E-5</v>
      </c>
      <c r="U123" s="9">
        <f t="shared" si="41"/>
        <v>3.9882561250840476E-5</v>
      </c>
      <c r="V123" s="100">
        <f t="shared" si="46"/>
        <v>0.97593527890429488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240</v>
      </c>
      <c r="C124" s="46" t="s">
        <v>241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2.0480395290290027E-2</v>
      </c>
      <c r="J124" s="54">
        <f t="shared" si="48"/>
        <v>1.1278069815675698</v>
      </c>
      <c r="K124" s="55">
        <f t="shared" si="49"/>
        <v>0.94901980421751952</v>
      </c>
      <c r="L124" s="55">
        <f t="shared" si="50"/>
        <v>4.638832203664736E-3</v>
      </c>
      <c r="M124" s="55">
        <f t="shared" si="42"/>
        <v>0.99536116779633521</v>
      </c>
      <c r="N124" s="55">
        <f t="shared" si="51"/>
        <v>4.6819998830091656E-4</v>
      </c>
      <c r="O124" s="56">
        <f t="shared" si="43"/>
        <v>9.4985727349392462E-7</v>
      </c>
      <c r="P124" s="56">
        <f t="shared" si="52"/>
        <v>1.2748683347766128E-5</v>
      </c>
      <c r="Q124" s="56">
        <f t="shared" si="53"/>
        <v>5.0658736382350322E-5</v>
      </c>
      <c r="R124" s="9">
        <f t="shared" si="44"/>
        <v>3.9999999999999996E-5</v>
      </c>
      <c r="S124" s="9">
        <f t="shared" si="45"/>
        <v>1.8555328814658943E-7</v>
      </c>
      <c r="T124" s="9">
        <f t="shared" si="40"/>
        <v>3.7960792168700776E-5</v>
      </c>
      <c r="U124" s="9">
        <f t="shared" si="41"/>
        <v>3.9814446711853403E-5</v>
      </c>
      <c r="V124" s="100">
        <f t="shared" si="46"/>
        <v>0.95344266475513362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242</v>
      </c>
      <c r="C125" s="46" t="s">
        <v>243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5.8413729360461944E-4</v>
      </c>
      <c r="J125" s="54">
        <f t="shared" si="48"/>
        <v>0.12333905997992552</v>
      </c>
      <c r="K125" s="55">
        <f t="shared" si="49"/>
        <v>0.99765680709753601</v>
      </c>
      <c r="L125" s="55">
        <f t="shared" si="50"/>
        <v>4.8266592142326398E-4</v>
      </c>
      <c r="M125" s="55">
        <f t="shared" si="42"/>
        <v>0.99951733407857679</v>
      </c>
      <c r="N125" s="55">
        <f t="shared" si="51"/>
        <v>1.2608873662239627E-5</v>
      </c>
      <c r="O125" s="56">
        <f t="shared" si="43"/>
        <v>9.9853719644307689E-7</v>
      </c>
      <c r="P125" s="56">
        <f t="shared" si="52"/>
        <v>1.3264879445567639E-6</v>
      </c>
      <c r="Q125" s="56">
        <f t="shared" si="53"/>
        <v>1.3642666016540497E-6</v>
      </c>
      <c r="R125" s="9">
        <f t="shared" si="44"/>
        <v>3.9999999999999996E-5</v>
      </c>
      <c r="S125" s="9">
        <f t="shared" si="45"/>
        <v>1.9306636856930559E-8</v>
      </c>
      <c r="T125" s="9">
        <f t="shared" si="40"/>
        <v>3.990627228390144E-5</v>
      </c>
      <c r="U125" s="9">
        <f t="shared" si="41"/>
        <v>3.9980693363143071E-5</v>
      </c>
      <c r="V125" s="100">
        <f t="shared" si="46"/>
        <v>0.99813857457234001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244</v>
      </c>
      <c r="C126" s="46" t="s">
        <v>245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1.4729644553070216</v>
      </c>
      <c r="J126" s="54">
        <f t="shared" si="48"/>
        <v>4.1694464449273712</v>
      </c>
      <c r="K126" s="55">
        <f t="shared" si="49"/>
        <v>2.8482310296672586E-2</v>
      </c>
      <c r="L126" s="55">
        <f t="shared" si="50"/>
        <v>0.1532315042109281</v>
      </c>
      <c r="M126" s="55">
        <f t="shared" si="42"/>
        <v>0.84676849578907187</v>
      </c>
      <c r="N126" s="55">
        <f t="shared" si="51"/>
        <v>0.12759548855274824</v>
      </c>
      <c r="O126" s="56">
        <f t="shared" si="43"/>
        <v>2.8507444713982416E-8</v>
      </c>
      <c r="P126" s="56">
        <f t="shared" si="52"/>
        <v>4.2111890241335406E-4</v>
      </c>
      <c r="Q126" s="56">
        <f t="shared" si="53"/>
        <v>1.3805694958745939E-2</v>
      </c>
      <c r="R126" s="9">
        <f t="shared" si="44"/>
        <v>3.9999999999999996E-5</v>
      </c>
      <c r="S126" s="9">
        <f t="shared" si="45"/>
        <v>6.1292601684371235E-6</v>
      </c>
      <c r="T126" s="9">
        <f t="shared" si="40"/>
        <v>1.1392924118669034E-6</v>
      </c>
      <c r="U126" s="9">
        <f t="shared" si="41"/>
        <v>3.3870739831562874E-5</v>
      </c>
      <c r="V126" s="100">
        <f t="shared" si="46"/>
        <v>3.3636478492425473E-2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246</v>
      </c>
      <c r="C127" s="46" t="s">
        <v>247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0.12683662687631944</v>
      </c>
      <c r="J127" s="54">
        <f t="shared" si="48"/>
        <v>2.0847278512161855</v>
      </c>
      <c r="K127" s="55">
        <f t="shared" si="49"/>
        <v>0.72247484280631435</v>
      </c>
      <c r="L127" s="55">
        <f t="shared" si="50"/>
        <v>3.1979891567837544E-2</v>
      </c>
      <c r="M127" s="55">
        <f t="shared" si="42"/>
        <v>0.96802010843216246</v>
      </c>
      <c r="N127" s="55">
        <f t="shared" si="51"/>
        <v>1.6116949117787112E-2</v>
      </c>
      <c r="O127" s="56">
        <f t="shared" si="43"/>
        <v>7.231123958701566E-7</v>
      </c>
      <c r="P127" s="56">
        <f t="shared" si="52"/>
        <v>8.7888824858154514E-5</v>
      </c>
      <c r="Q127" s="56">
        <f t="shared" si="53"/>
        <v>1.7438366019799673E-3</v>
      </c>
      <c r="R127" s="9">
        <f t="shared" si="44"/>
        <v>3.9999999999999996E-5</v>
      </c>
      <c r="S127" s="9">
        <f t="shared" si="45"/>
        <v>1.2791956627135017E-6</v>
      </c>
      <c r="T127" s="9">
        <f t="shared" si="40"/>
        <v>2.8898993712252573E-5</v>
      </c>
      <c r="U127" s="9">
        <f t="shared" si="41"/>
        <v>3.8720804337286495E-5</v>
      </c>
      <c r="V127" s="100">
        <f t="shared" si="46"/>
        <v>0.74634280477546966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248</v>
      </c>
      <c r="C128" s="46" t="s">
        <v>249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0.56658503951123784</v>
      </c>
      <c r="J128" s="54">
        <f t="shared" ref="J128:J134" si="55">IF(D128=0,"",LOG($K$21*10^D128+$K$22*10^E128+$K$20))</f>
        <v>2.99110327595359</v>
      </c>
      <c r="K128" s="55">
        <f t="shared" ref="K128:K134" si="56">IF(D128=0,"",1/(1+10^D128*$J$15/$J$14+10^E128*$J$16/$J$14+10^J128*$J$19/$J$14))</f>
        <v>0.24722083011282461</v>
      </c>
      <c r="L128" s="55">
        <f t="shared" ref="L128:L134" si="57">IF(D128=0,"",1/(1+10^I128/10^J128*$J$13/$J$19))</f>
        <v>8.8209374564251583E-2</v>
      </c>
      <c r="M128" s="55">
        <f t="shared" ref="M128:M134" si="58">IF(D128=0,"",1-L128)</f>
        <v>0.9117906254357484</v>
      </c>
      <c r="N128" s="55">
        <f t="shared" ref="N128:N134" si="59">IF(D128=0,"",1/(1/10^E128*$J$20/$J$22+10^D128/10^E128*$J$21/$J$22+10^I128/10^E128*$J$13/$J$22+1))</f>
        <v>4.7034678895391223E-2</v>
      </c>
      <c r="O128" s="56">
        <f t="shared" ref="O128:O134" si="60">IF(D128=0,"",F128*K128*$J$7/$J$14)</f>
        <v>2.4743899189278611E-7</v>
      </c>
      <c r="P128" s="56">
        <f t="shared" ref="P128:P134" si="61">IF(D128=0,"",O128*10^J128)</f>
        <v>2.4242165597965104E-4</v>
      </c>
      <c r="Q128" s="56">
        <f t="shared" ref="Q128:Q134" si="62">IF(D128=0,"",F128*N128*$J$7/$J$22)</f>
        <v>5.0891017909610141E-3</v>
      </c>
      <c r="R128" s="9">
        <f t="shared" si="44"/>
        <v>3.9999999999999996E-5</v>
      </c>
      <c r="S128" s="9">
        <f t="shared" si="45"/>
        <v>3.528374982570063E-6</v>
      </c>
      <c r="T128" s="9">
        <f t="shared" si="40"/>
        <v>9.8888332045129842E-6</v>
      </c>
      <c r="U128" s="9">
        <f t="shared" si="41"/>
        <v>3.6471625017429932E-5</v>
      </c>
      <c r="V128" s="100">
        <f t="shared" si="46"/>
        <v>0.27113771870014214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250</v>
      </c>
      <c r="C129" s="46" t="s">
        <v>251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-2.135446795447277E-4</v>
      </c>
      <c r="J129" s="54">
        <f t="shared" si="55"/>
        <v>-6.2474275560847933E-2</v>
      </c>
      <c r="K129" s="55">
        <f t="shared" si="56"/>
        <v>0.99965829398245076</v>
      </c>
      <c r="L129" s="55">
        <f t="shared" si="57"/>
        <v>3.152852869569853E-4</v>
      </c>
      <c r="M129" s="55">
        <f t="shared" si="58"/>
        <v>0.99968471471304299</v>
      </c>
      <c r="N129" s="55">
        <f t="shared" si="59"/>
        <v>4.9237300548930305E-8</v>
      </c>
      <c r="O129" s="56">
        <f t="shared" si="60"/>
        <v>1.0005404495543296E-6</v>
      </c>
      <c r="P129" s="56">
        <f t="shared" si="61"/>
        <v>8.6648365604790574E-7</v>
      </c>
      <c r="Q129" s="56">
        <f t="shared" si="62"/>
        <v>5.327423090586886E-9</v>
      </c>
      <c r="R129" s="9">
        <f t="shared" si="44"/>
        <v>3.9999999999999996E-5</v>
      </c>
      <c r="S129" s="9">
        <f t="shared" si="45"/>
        <v>1.2611411478279412E-8</v>
      </c>
      <c r="T129" s="9">
        <f t="shared" si="40"/>
        <v>3.9986331759298025E-5</v>
      </c>
      <c r="U129" s="9">
        <f t="shared" si="41"/>
        <v>3.9987388588521714E-5</v>
      </c>
      <c r="V129" s="100">
        <f t="shared" si="46"/>
        <v>0.99997357093671302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252</v>
      </c>
      <c r="C130" s="46" t="s">
        <v>253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3.4815258927436928E-2</v>
      </c>
      <c r="J130" s="54">
        <f t="shared" si="55"/>
        <v>1.4371310508166708</v>
      </c>
      <c r="K130" s="55">
        <f t="shared" si="56"/>
        <v>0.91408346687275832</v>
      </c>
      <c r="L130" s="55">
        <f t="shared" si="57"/>
        <v>9.1084255145967973E-3</v>
      </c>
      <c r="M130" s="55">
        <f t="shared" si="58"/>
        <v>0.99089157448540321</v>
      </c>
      <c r="N130" s="55">
        <f t="shared" si="59"/>
        <v>3.3105732129702203E-3</v>
      </c>
      <c r="O130" s="56">
        <f t="shared" si="60"/>
        <v>9.1489010632977885E-7</v>
      </c>
      <c r="P130" s="56">
        <f t="shared" si="61"/>
        <v>2.5032255443637668E-5</v>
      </c>
      <c r="Q130" s="56">
        <f t="shared" si="62"/>
        <v>3.5820046958766783E-4</v>
      </c>
      <c r="R130" s="9">
        <f t="shared" si="44"/>
        <v>3.9999999999999996E-5</v>
      </c>
      <c r="S130" s="9">
        <f t="shared" si="45"/>
        <v>3.6433702058387186E-7</v>
      </c>
      <c r="T130" s="9">
        <f t="shared" si="40"/>
        <v>3.656333867491033E-5</v>
      </c>
      <c r="U130" s="9">
        <f t="shared" si="41"/>
        <v>3.9635662979416126E-5</v>
      </c>
      <c r="V130" s="100">
        <f t="shared" si="46"/>
        <v>0.92248586062250715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254</v>
      </c>
      <c r="C131" s="46" t="s">
        <v>255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4.8235239734115414E-4</v>
      </c>
      <c r="J131" s="54">
        <f t="shared" si="55"/>
        <v>0.10687476179790768</v>
      </c>
      <c r="K131" s="55">
        <f t="shared" si="56"/>
        <v>0.99790846303963565</v>
      </c>
      <c r="L131" s="55">
        <f t="shared" si="57"/>
        <v>4.6482756455522978E-4</v>
      </c>
      <c r="M131" s="55">
        <f t="shared" si="58"/>
        <v>0.99953517243544476</v>
      </c>
      <c r="N131" s="55">
        <f t="shared" si="59"/>
        <v>1.6464585868328979E-5</v>
      </c>
      <c r="O131" s="56">
        <f t="shared" si="60"/>
        <v>9.9878907446075251E-7</v>
      </c>
      <c r="P131" s="56">
        <f t="shared" si="61"/>
        <v>1.2774636312877142E-6</v>
      </c>
      <c r="Q131" s="56">
        <f t="shared" si="62"/>
        <v>1.781450525394247E-6</v>
      </c>
      <c r="R131" s="9">
        <f t="shared" si="44"/>
        <v>3.9999999999999996E-5</v>
      </c>
      <c r="S131" s="9">
        <f t="shared" si="45"/>
        <v>1.8593102582209191E-8</v>
      </c>
      <c r="T131" s="9">
        <f t="shared" si="40"/>
        <v>3.991633852158542E-5</v>
      </c>
      <c r="U131" s="9">
        <f t="shared" si="41"/>
        <v>3.9981406897417787E-5</v>
      </c>
      <c r="V131" s="100">
        <f t="shared" si="46"/>
        <v>0.99837253411318627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256</v>
      </c>
      <c r="C132" s="46" t="s">
        <v>257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1.6296434031808995E-3</v>
      </c>
      <c r="J132" s="54">
        <f t="shared" si="55"/>
        <v>0.30013556038076539</v>
      </c>
      <c r="K132" s="55">
        <f t="shared" si="56"/>
        <v>0.99501840329962377</v>
      </c>
      <c r="L132" s="55">
        <f t="shared" si="57"/>
        <v>7.23257723615649E-4</v>
      </c>
      <c r="M132" s="55">
        <f t="shared" si="58"/>
        <v>0.9992767422763843</v>
      </c>
      <c r="N132" s="55">
        <f t="shared" si="59"/>
        <v>6.2967638227239852E-5</v>
      </c>
      <c r="O132" s="56">
        <f t="shared" si="60"/>
        <v>9.9589646436696681E-7</v>
      </c>
      <c r="P132" s="56">
        <f t="shared" si="61"/>
        <v>1.9876950258984759E-6</v>
      </c>
      <c r="Q132" s="56">
        <f t="shared" si="62"/>
        <v>6.8130308955129544E-6</v>
      </c>
      <c r="R132" s="9">
        <f t="shared" si="44"/>
        <v>3.9999999999999996E-5</v>
      </c>
      <c r="S132" s="9">
        <f t="shared" si="45"/>
        <v>2.8930308944625956E-8</v>
      </c>
      <c r="T132" s="9">
        <f t="shared" si="40"/>
        <v>3.980073613198495E-5</v>
      </c>
      <c r="U132" s="9">
        <f t="shared" si="41"/>
        <v>3.997106969105537E-5</v>
      </c>
      <c r="V132" s="100">
        <f t="shared" si="46"/>
        <v>0.99573857891752804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258</v>
      </c>
      <c r="C133" s="46" t="s">
        <v>259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0.18829844715874175</v>
      </c>
      <c r="J133" s="54">
        <f t="shared" si="55"/>
        <v>2.3060233847120806</v>
      </c>
      <c r="K133" s="55">
        <f t="shared" si="56"/>
        <v>0.61833746517476107</v>
      </c>
      <c r="L133" s="55">
        <f t="shared" si="57"/>
        <v>4.5559122687317523E-2</v>
      </c>
      <c r="M133" s="55">
        <f t="shared" si="58"/>
        <v>0.95444087731268246</v>
      </c>
      <c r="N133" s="55">
        <f t="shared" si="59"/>
        <v>2.5023884674427302E-2</v>
      </c>
      <c r="O133" s="56">
        <f t="shared" si="60"/>
        <v>6.1888312146900552E-7</v>
      </c>
      <c r="P133" s="56">
        <f t="shared" si="61"/>
        <v>1.2520798408784537E-4</v>
      </c>
      <c r="Q133" s="56">
        <f t="shared" si="62"/>
        <v>2.7075574725760145E-3</v>
      </c>
      <c r="R133" s="9">
        <f t="shared" si="44"/>
        <v>3.9999999999999996E-5</v>
      </c>
      <c r="S133" s="9">
        <f t="shared" si="45"/>
        <v>1.8223649074927008E-6</v>
      </c>
      <c r="T133" s="9">
        <f t="shared" si="40"/>
        <v>2.4733498606990441E-5</v>
      </c>
      <c r="U133" s="9">
        <f t="shared" si="41"/>
        <v>3.8177635092507295E-5</v>
      </c>
      <c r="V133" s="100">
        <f t="shared" si="46"/>
        <v>0.64785308327923674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260</v>
      </c>
      <c r="C134" s="46" t="s">
        <v>261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-2.2139482595652795E-4</v>
      </c>
      <c r="J134" s="54">
        <f t="shared" si="55"/>
        <v>-6.4685575959527716E-2</v>
      </c>
      <c r="K134" s="55">
        <f t="shared" si="56"/>
        <v>0.9996779586757546</v>
      </c>
      <c r="L134" s="55">
        <f t="shared" si="57"/>
        <v>3.1369019719180101E-4</v>
      </c>
      <c r="M134" s="55">
        <f t="shared" si="58"/>
        <v>0.99968630980280815</v>
      </c>
      <c r="N134" s="55">
        <f t="shared" si="59"/>
        <v>9.6064144484090561E-9</v>
      </c>
      <c r="O134" s="56">
        <f t="shared" si="60"/>
        <v>1.0005601316008819E-6</v>
      </c>
      <c r="P134" s="56">
        <f t="shared" si="61"/>
        <v>8.6209994621862353E-7</v>
      </c>
      <c r="Q134" s="56">
        <f t="shared" si="62"/>
        <v>1.0394037361845933E-9</v>
      </c>
      <c r="R134" s="9">
        <f t="shared" si="44"/>
        <v>3.9999999999999996E-5</v>
      </c>
      <c r="S134" s="9">
        <f t="shared" si="45"/>
        <v>1.2547607887672039E-8</v>
      </c>
      <c r="T134" s="9">
        <f t="shared" si="40"/>
        <v>3.9987118347030182E-5</v>
      </c>
      <c r="U134" s="9">
        <f t="shared" si="41"/>
        <v>3.9987452392112326E-5</v>
      </c>
      <c r="V134" s="100">
        <f t="shared" si="46"/>
        <v>0.99999164625245773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262</v>
      </c>
      <c r="C135" s="46" t="s">
        <v>263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2.8479282847897803E-3</v>
      </c>
      <c r="J135" s="54">
        <f t="shared" ref="J135:J143" si="64">IF(D135=0,"",LOG($K$21*10^D135+$K$22*10^E135+$K$20))</f>
        <v>0.444755005450504</v>
      </c>
      <c r="K135" s="55">
        <f t="shared" ref="K135:K143" si="65">IF(D135=0,"",1/(1+10^D135*$J$15/$J$14+10^E135*$J$16/$J$14+10^J135*$J$19/$J$14))</f>
        <v>0.99195039689918696</v>
      </c>
      <c r="L135" s="55">
        <f t="shared" ref="L135:L143" si="66">IF(D135=0,"",1/(1+10^I135/10^J135*$J$13/$J$19))</f>
        <v>1.005938354909924E-3</v>
      </c>
      <c r="M135" s="55">
        <f t="shared" ref="M135:M143" si="67">IF(D135=0,"",1-L135)</f>
        <v>0.99899406164509008</v>
      </c>
      <c r="N135" s="55">
        <f t="shared" ref="N135:N143" si="68">IF(D135=0,"",1/(1/10^E135*$J$20/$J$22+10^D135/10^E135*$J$21/$J$22+10^I135/10^E135*$J$13/$J$22+1))</f>
        <v>1.2646434845023645E-4</v>
      </c>
      <c r="O135" s="56">
        <f t="shared" ref="O135:O143" si="69">IF(D135=0,"",F135*K135*$J$7/$J$14)</f>
        <v>9.9282575058245995E-7</v>
      </c>
      <c r="P135" s="56">
        <f t="shared" ref="P135:P143" si="70">IF(D135=0,"",O135*10^J135)</f>
        <v>2.7645728474481076E-6</v>
      </c>
      <c r="Q135" s="56">
        <f t="shared" ref="Q135:Q143" si="71">IF(D135=0,"",F135*N135*$J$7/$J$22)</f>
        <v>1.3683306813302797E-5</v>
      </c>
      <c r="R135" s="9">
        <f t="shared" si="44"/>
        <v>3.9999999999999996E-5</v>
      </c>
      <c r="S135" s="9">
        <f t="shared" si="45"/>
        <v>4.0237534196396953E-8</v>
      </c>
      <c r="T135" s="9">
        <f t="shared" si="40"/>
        <v>3.9678015875967474E-5</v>
      </c>
      <c r="U135" s="9">
        <f t="shared" si="41"/>
        <v>3.9959762465803597E-5</v>
      </c>
      <c r="V135" s="100">
        <f t="shared" si="46"/>
        <v>0.99294924262682405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264</v>
      </c>
      <c r="C136" s="46" t="s">
        <v>265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-7.9190837002413863E-5</v>
      </c>
      <c r="J136" s="54">
        <f t="shared" si="64"/>
        <v>-2.5403823157142385E-2</v>
      </c>
      <c r="K136" s="55">
        <f t="shared" si="65"/>
        <v>0.99932111753173847</v>
      </c>
      <c r="L136" s="55">
        <f t="shared" si="66"/>
        <v>3.4326351734028401E-4</v>
      </c>
      <c r="M136" s="55">
        <f t="shared" si="67"/>
        <v>0.99965673648265974</v>
      </c>
      <c r="N136" s="55">
        <f t="shared" si="68"/>
        <v>1.793594560317853E-6</v>
      </c>
      <c r="O136" s="56">
        <f t="shared" si="69"/>
        <v>1.00020297555986E-6</v>
      </c>
      <c r="P136" s="56">
        <f t="shared" si="70"/>
        <v>9.4337490456207652E-7</v>
      </c>
      <c r="Q136" s="56">
        <f t="shared" si="71"/>
        <v>1.9406500700201272E-7</v>
      </c>
      <c r="R136" s="9">
        <f t="shared" si="44"/>
        <v>3.9999999999999996E-5</v>
      </c>
      <c r="S136" s="9">
        <f t="shared" si="45"/>
        <v>1.373054069361136E-8</v>
      </c>
      <c r="T136" s="9">
        <f t="shared" si="40"/>
        <v>3.9972844701269532E-5</v>
      </c>
      <c r="U136" s="9">
        <f t="shared" si="41"/>
        <v>3.9986269459306383E-5</v>
      </c>
      <c r="V136" s="100">
        <f t="shared" si="46"/>
        <v>0.99966426580377765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266</v>
      </c>
      <c r="C137" s="46" t="s">
        <v>267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-2.2462984868396082E-4</v>
      </c>
      <c r="J137" s="54">
        <f t="shared" si="64"/>
        <v>-6.5593771005989093E-2</v>
      </c>
      <c r="K137" s="55">
        <f t="shared" si="65"/>
        <v>0.99968605798534582</v>
      </c>
      <c r="L137" s="55">
        <f t="shared" si="66"/>
        <v>3.1303743099347263E-4</v>
      </c>
      <c r="M137" s="55">
        <f t="shared" si="67"/>
        <v>0.99968696256900658</v>
      </c>
      <c r="N137" s="55">
        <f t="shared" si="68"/>
        <v>4.0848103127599062E-10</v>
      </c>
      <c r="O137" s="56">
        <f t="shared" si="69"/>
        <v>1.0005682380577666E-6</v>
      </c>
      <c r="P137" s="56">
        <f t="shared" si="70"/>
        <v>8.6030597972075392E-7</v>
      </c>
      <c r="Q137" s="56">
        <f t="shared" si="71"/>
        <v>4.4197209307278609E-11</v>
      </c>
      <c r="R137" s="9">
        <f t="shared" si="44"/>
        <v>3.9999999999999996E-5</v>
      </c>
      <c r="S137" s="9">
        <f t="shared" si="45"/>
        <v>1.2521497239738905E-8</v>
      </c>
      <c r="T137" s="9">
        <f t="shared" si="40"/>
        <v>3.9987442319413832E-5</v>
      </c>
      <c r="U137" s="9">
        <f t="shared" si="41"/>
        <v>3.9987478502760258E-5</v>
      </c>
      <c r="V137" s="100">
        <f t="shared" si="46"/>
        <v>0.99999909513308205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268</v>
      </c>
      <c r="C138" s="46" t="s">
        <v>269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-9.5327662881748492E-5</v>
      </c>
      <c r="J138" s="54">
        <f t="shared" si="64"/>
        <v>-2.9745510894273387E-2</v>
      </c>
      <c r="K138" s="55">
        <f t="shared" si="65"/>
        <v>0.99936164915739767</v>
      </c>
      <c r="L138" s="55">
        <f t="shared" si="66"/>
        <v>3.3986275596828018E-4</v>
      </c>
      <c r="M138" s="55">
        <f t="shared" si="67"/>
        <v>0.99966013724403169</v>
      </c>
      <c r="N138" s="55">
        <f t="shared" si="68"/>
        <v>1.5203122149694056E-6</v>
      </c>
      <c r="O138" s="56">
        <f t="shared" si="69"/>
        <v>1.0002435429529404E-6</v>
      </c>
      <c r="P138" s="56">
        <f t="shared" si="70"/>
        <v>9.3402875277871591E-7</v>
      </c>
      <c r="Q138" s="56">
        <f t="shared" si="71"/>
        <v>1.6449615045163694E-7</v>
      </c>
      <c r="R138" s="9">
        <f t="shared" si="44"/>
        <v>3.9999999999999996E-5</v>
      </c>
      <c r="S138" s="9">
        <f t="shared" si="45"/>
        <v>1.3594510238731207E-8</v>
      </c>
      <c r="T138" s="9">
        <f t="shared" si="40"/>
        <v>3.9974465966295904E-5</v>
      </c>
      <c r="U138" s="9">
        <f t="shared" si="41"/>
        <v>3.9986405489761261E-5</v>
      </c>
      <c r="V138" s="100">
        <f t="shared" si="46"/>
        <v>0.99970141043389316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270</v>
      </c>
      <c r="C139" s="46" t="s">
        <v>271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2.1084810301724875E-3</v>
      </c>
      <c r="J139" s="54">
        <f t="shared" si="64"/>
        <v>0.35181253681606744</v>
      </c>
      <c r="K139" s="55">
        <f t="shared" si="65"/>
        <v>0.99383200149784456</v>
      </c>
      <c r="L139" s="55">
        <f t="shared" si="66"/>
        <v>8.1367677550762344E-4</v>
      </c>
      <c r="M139" s="55">
        <f t="shared" si="67"/>
        <v>0.99918632322449241</v>
      </c>
      <c r="N139" s="55">
        <f t="shared" si="68"/>
        <v>5.5504104486778844E-5</v>
      </c>
      <c r="O139" s="56">
        <f t="shared" si="69"/>
        <v>9.9470901561647901E-7</v>
      </c>
      <c r="P139" s="56">
        <f t="shared" si="70"/>
        <v>2.2361894336645837E-6</v>
      </c>
      <c r="Q139" s="56">
        <f t="shared" si="71"/>
        <v>6.0054845527399013E-6</v>
      </c>
      <c r="R139" s="9">
        <f t="shared" si="44"/>
        <v>3.9999999999999996E-5</v>
      </c>
      <c r="S139" s="9">
        <f t="shared" si="45"/>
        <v>3.2547071020304935E-8</v>
      </c>
      <c r="T139" s="9">
        <f t="shared" si="40"/>
        <v>3.9753280059913781E-5</v>
      </c>
      <c r="U139" s="9">
        <f t="shared" si="41"/>
        <v>3.9967452928979694E-5</v>
      </c>
      <c r="V139" s="100">
        <f t="shared" si="46"/>
        <v>0.99464131803829259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272</v>
      </c>
      <c r="C140" s="46" t="s">
        <v>273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-2.2206215862113771E-4</v>
      </c>
      <c r="J140" s="54">
        <f t="shared" si="64"/>
        <v>-6.4873220931103495E-2</v>
      </c>
      <c r="K140" s="55">
        <f t="shared" si="65"/>
        <v>0.99967962975365299</v>
      </c>
      <c r="L140" s="55">
        <f t="shared" si="66"/>
        <v>3.1355521495357987E-4</v>
      </c>
      <c r="M140" s="55">
        <f t="shared" si="67"/>
        <v>0.99968644478504642</v>
      </c>
      <c r="N140" s="55">
        <f t="shared" si="68"/>
        <v>7.1981939825073642E-9</v>
      </c>
      <c r="O140" s="56">
        <f t="shared" si="69"/>
        <v>1.0005618041534347E-6</v>
      </c>
      <c r="P140" s="56">
        <f t="shared" si="70"/>
        <v>8.6172898091160167E-7</v>
      </c>
      <c r="Q140" s="56">
        <f t="shared" si="71"/>
        <v>7.7883686565685271E-10</v>
      </c>
      <c r="R140" s="9">
        <f t="shared" si="44"/>
        <v>3.9999999999999996E-5</v>
      </c>
      <c r="S140" s="9">
        <f t="shared" si="45"/>
        <v>1.2542208598143194E-8</v>
      </c>
      <c r="T140" s="9">
        <f t="shared" si="40"/>
        <v>3.9987185190146118E-5</v>
      </c>
      <c r="U140" s="9">
        <f t="shared" si="41"/>
        <v>3.9987457791401855E-5</v>
      </c>
      <c r="V140" s="100">
        <f t="shared" si="46"/>
        <v>0.99999318283104766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274</v>
      </c>
      <c r="C141" s="46" t="s">
        <v>275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-2.1765065893421197E-4</v>
      </c>
      <c r="J141" s="54">
        <f t="shared" si="64"/>
        <v>-6.3631462661885949E-2</v>
      </c>
      <c r="K141" s="55">
        <f t="shared" si="65"/>
        <v>0.99966858087977184</v>
      </c>
      <c r="L141" s="55">
        <f t="shared" si="66"/>
        <v>3.1444955644759163E-4</v>
      </c>
      <c r="M141" s="55">
        <f t="shared" si="67"/>
        <v>0.99968555044355245</v>
      </c>
      <c r="N141" s="55">
        <f t="shared" si="68"/>
        <v>2.6277335433386868E-8</v>
      </c>
      <c r="O141" s="56">
        <f t="shared" si="69"/>
        <v>1.0005507455293962E-6</v>
      </c>
      <c r="P141" s="56">
        <f t="shared" si="70"/>
        <v>8.6418685737950167E-7</v>
      </c>
      <c r="Q141" s="56">
        <f t="shared" si="71"/>
        <v>2.843179499814465E-9</v>
      </c>
      <c r="R141" s="9">
        <f t="shared" si="44"/>
        <v>3.9999999999999996E-5</v>
      </c>
      <c r="S141" s="9">
        <f t="shared" si="45"/>
        <v>1.2577982257903665E-8</v>
      </c>
      <c r="T141" s="9">
        <f t="shared" si="40"/>
        <v>3.9986743235190867E-5</v>
      </c>
      <c r="U141" s="9">
        <f t="shared" si="41"/>
        <v>3.9987422017742097E-5</v>
      </c>
      <c r="V141" s="100">
        <f t="shared" si="46"/>
        <v>0.99998302509846915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276</v>
      </c>
      <c r="C142" s="46" t="s">
        <v>277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5.0919667310397418E-2</v>
      </c>
      <c r="J142" s="54">
        <f t="shared" si="64"/>
        <v>1.6185844152121502</v>
      </c>
      <c r="K142" s="55">
        <f t="shared" si="65"/>
        <v>0.87710664427040319</v>
      </c>
      <c r="L142" s="55">
        <f t="shared" si="66"/>
        <v>1.3272820545695384E-2</v>
      </c>
      <c r="M142" s="55">
        <f t="shared" si="67"/>
        <v>0.98672717945430466</v>
      </c>
      <c r="N142" s="55">
        <f t="shared" si="68"/>
        <v>5.3593868262856873E-3</v>
      </c>
      <c r="O142" s="56">
        <f t="shared" si="69"/>
        <v>8.7788065326731016E-7</v>
      </c>
      <c r="P142" s="56">
        <f t="shared" si="70"/>
        <v>3.6477065528500062E-5</v>
      </c>
      <c r="Q142" s="56">
        <f t="shared" si="71"/>
        <v>5.7987990428857571E-4</v>
      </c>
      <c r="R142" s="9">
        <f t="shared" si="44"/>
        <v>3.9999999999999996E-5</v>
      </c>
      <c r="S142" s="9">
        <f t="shared" si="45"/>
        <v>5.3091282182781535E-7</v>
      </c>
      <c r="T142" s="9">
        <f t="shared" si="40"/>
        <v>3.5084265770816126E-5</v>
      </c>
      <c r="U142" s="9">
        <f t="shared" si="41"/>
        <v>3.9469087178172183E-5</v>
      </c>
      <c r="V142" s="100">
        <f t="shared" si="46"/>
        <v>0.88890491975246333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96</v>
      </c>
      <c r="C143" s="46" t="s">
        <v>278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0.38018124000089604</v>
      </c>
      <c r="J143" s="54">
        <f t="shared" si="64"/>
        <v>2.5355844584974991</v>
      </c>
      <c r="K143" s="55">
        <f t="shared" si="65"/>
        <v>0.39587056115559915</v>
      </c>
      <c r="L143" s="55">
        <f t="shared" si="66"/>
        <v>4.9483917218161123E-2</v>
      </c>
      <c r="M143" s="55">
        <f t="shared" si="67"/>
        <v>0.95051608278183886</v>
      </c>
      <c r="N143" s="55">
        <f t="shared" si="68"/>
        <v>1.543523735968954E-3</v>
      </c>
      <c r="O143" s="56">
        <f t="shared" si="69"/>
        <v>3.9621989994803288E-7</v>
      </c>
      <c r="P143" s="56">
        <f t="shared" si="70"/>
        <v>1.3599431143963882E-4</v>
      </c>
      <c r="Q143" s="56">
        <f t="shared" si="71"/>
        <v>1.6700761211915362E-4</v>
      </c>
      <c r="R143" s="9">
        <f t="shared" si="44"/>
        <v>3.9999999999999996E-5</v>
      </c>
      <c r="S143" s="9">
        <f t="shared" si="45"/>
        <v>1.9793566887264447E-6</v>
      </c>
      <c r="T143" s="9">
        <f t="shared" si="40"/>
        <v>1.5834822446223966E-5</v>
      </c>
      <c r="U143" s="9">
        <f t="shared" si="41"/>
        <v>3.8020643311273553E-5</v>
      </c>
      <c r="V143" s="100">
        <f t="shared" si="46"/>
        <v>0.4164796033719072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2025-02-02T15:03:33Z</dcterms:modified>
</cp:coreProperties>
</file>