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0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Sensitivity analysis\Fischer model\384well_1um\"/>
    </mc:Choice>
  </mc:AlternateContent>
  <xr:revisionPtr revIDLastSave="0" documentId="13_ncr:1_{0C78D006-B6E1-41BE-B297-D94EEA341C48}" xr6:coauthVersionLast="47" xr6:coauthVersionMax="47" xr10:uidLastSave="{00000000-0000-0000-0000-000000000000}"/>
  <bookViews>
    <workbookView minimized="1" xWindow="36870" yWindow="1830" windowWidth="32400" windowHeight="19965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31" i="4" l="1"/>
  <c r="R131" i="4"/>
  <c r="U131" i="4" s="1"/>
  <c r="V130" i="4"/>
  <c r="R130" i="4"/>
  <c r="U130" i="4" s="1"/>
  <c r="V127" i="4"/>
  <c r="U127" i="4"/>
  <c r="R127" i="4"/>
  <c r="T127" i="4" s="1"/>
  <c r="V126" i="4"/>
  <c r="R126" i="4"/>
  <c r="U126" i="4" s="1"/>
  <c r="V124" i="4"/>
  <c r="U124" i="4"/>
  <c r="T124" i="4"/>
  <c r="S124" i="4"/>
  <c r="R124" i="4"/>
  <c r="V121" i="4"/>
  <c r="R121" i="4"/>
  <c r="U121" i="4" s="1"/>
  <c r="V120" i="4"/>
  <c r="R120" i="4"/>
  <c r="U120" i="4" s="1"/>
  <c r="V119" i="4"/>
  <c r="U119" i="4"/>
  <c r="R119" i="4"/>
  <c r="T119" i="4" s="1"/>
  <c r="V116" i="4"/>
  <c r="R116" i="4"/>
  <c r="S116" i="4" s="1"/>
  <c r="V115" i="4"/>
  <c r="U115" i="4"/>
  <c r="T115" i="4"/>
  <c r="S115" i="4"/>
  <c r="R115" i="4"/>
  <c r="V114" i="4"/>
  <c r="R114" i="4"/>
  <c r="U114" i="4" s="1"/>
  <c r="V108" i="4"/>
  <c r="R108" i="4"/>
  <c r="U108" i="4" s="1"/>
  <c r="V107" i="4"/>
  <c r="T107" i="4"/>
  <c r="S107" i="4"/>
  <c r="R107" i="4"/>
  <c r="U107" i="4" s="1"/>
  <c r="V93" i="4"/>
  <c r="R93" i="4"/>
  <c r="U93" i="4" s="1"/>
  <c r="V92" i="4"/>
  <c r="U92" i="4"/>
  <c r="T92" i="4"/>
  <c r="R92" i="4"/>
  <c r="S92" i="4" s="1"/>
  <c r="V91" i="4"/>
  <c r="R91" i="4"/>
  <c r="U91" i="4" s="1"/>
  <c r="V90" i="4"/>
  <c r="U90" i="4"/>
  <c r="T90" i="4"/>
  <c r="S90" i="4"/>
  <c r="R90" i="4"/>
  <c r="V89" i="4"/>
  <c r="R89" i="4"/>
  <c r="U89" i="4" s="1"/>
  <c r="V88" i="4"/>
  <c r="R88" i="4"/>
  <c r="U88" i="4" s="1"/>
  <c r="V86" i="4"/>
  <c r="U86" i="4"/>
  <c r="R86" i="4"/>
  <c r="T86" i="4" s="1"/>
  <c r="V85" i="4"/>
  <c r="R85" i="4"/>
  <c r="U85" i="4" s="1"/>
  <c r="V84" i="4"/>
  <c r="U84" i="4"/>
  <c r="T84" i="4"/>
  <c r="S84" i="4"/>
  <c r="R84" i="4"/>
  <c r="V83" i="4"/>
  <c r="R83" i="4"/>
  <c r="U83" i="4" s="1"/>
  <c r="V82" i="4"/>
  <c r="R82" i="4"/>
  <c r="U82" i="4" s="1"/>
  <c r="V81" i="4"/>
  <c r="U81" i="4"/>
  <c r="T81" i="4"/>
  <c r="S81" i="4"/>
  <c r="R81" i="4"/>
  <c r="V80" i="4"/>
  <c r="R80" i="4"/>
  <c r="U80" i="4" s="1"/>
  <c r="V79" i="4"/>
  <c r="U79" i="4"/>
  <c r="T79" i="4"/>
  <c r="R79" i="4"/>
  <c r="S79" i="4" s="1"/>
  <c r="V78" i="4"/>
  <c r="R78" i="4"/>
  <c r="U78" i="4" s="1"/>
  <c r="V77" i="4"/>
  <c r="U77" i="4"/>
  <c r="T77" i="4"/>
  <c r="S77" i="4"/>
  <c r="R77" i="4"/>
  <c r="V76" i="4"/>
  <c r="U76" i="4"/>
  <c r="T76" i="4"/>
  <c r="R76" i="4"/>
  <c r="S76" i="4" s="1"/>
  <c r="V75" i="4"/>
  <c r="R75" i="4"/>
  <c r="U75" i="4" s="1"/>
  <c r="V74" i="4"/>
  <c r="U74" i="4"/>
  <c r="R74" i="4"/>
  <c r="T74" i="4" s="1"/>
  <c r="V73" i="4"/>
  <c r="R73" i="4"/>
  <c r="T73" i="4" s="1"/>
  <c r="V72" i="4"/>
  <c r="U72" i="4"/>
  <c r="T72" i="4"/>
  <c r="S72" i="4"/>
  <c r="R72" i="4"/>
  <c r="V71" i="4"/>
  <c r="R71" i="4"/>
  <c r="U71" i="4" s="1"/>
  <c r="V70" i="4"/>
  <c r="R70" i="4"/>
  <c r="U70" i="4" s="1"/>
  <c r="V69" i="4"/>
  <c r="T69" i="4"/>
  <c r="S69" i="4"/>
  <c r="R69" i="4"/>
  <c r="U69" i="4" s="1"/>
  <c r="V68" i="4"/>
  <c r="R68" i="4"/>
  <c r="U68" i="4" s="1"/>
  <c r="V65" i="4"/>
  <c r="U65" i="4"/>
  <c r="T65" i="4"/>
  <c r="R65" i="4"/>
  <c r="S65" i="4" s="1"/>
  <c r="V64" i="4"/>
  <c r="R64" i="4"/>
  <c r="U64" i="4" s="1"/>
  <c r="V63" i="4"/>
  <c r="U63" i="4"/>
  <c r="T63" i="4"/>
  <c r="S63" i="4"/>
  <c r="R63" i="4"/>
  <c r="V62" i="4"/>
  <c r="U62" i="4"/>
  <c r="T62" i="4"/>
  <c r="R62" i="4"/>
  <c r="S62" i="4" s="1"/>
  <c r="V61" i="4"/>
  <c r="R61" i="4"/>
  <c r="U61" i="4" s="1"/>
  <c r="V60" i="4"/>
  <c r="U60" i="4"/>
  <c r="S60" i="4"/>
  <c r="R60" i="4"/>
  <c r="T60" i="4" s="1"/>
  <c r="V58" i="4"/>
  <c r="R58" i="4"/>
  <c r="T58" i="4" s="1"/>
  <c r="V57" i="4"/>
  <c r="U57" i="4"/>
  <c r="T57" i="4"/>
  <c r="S57" i="4"/>
  <c r="R57" i="4"/>
  <c r="V49" i="4"/>
  <c r="R49" i="4"/>
  <c r="U49" i="4" s="1"/>
  <c r="V48" i="4"/>
  <c r="R48" i="4"/>
  <c r="U48" i="4" s="1"/>
  <c r="V47" i="4"/>
  <c r="T47" i="4"/>
  <c r="S47" i="4"/>
  <c r="R47" i="4"/>
  <c r="U47" i="4" s="1"/>
  <c r="V46" i="4"/>
  <c r="R46" i="4"/>
  <c r="T46" i="4" s="1"/>
  <c r="V45" i="4"/>
  <c r="U45" i="4"/>
  <c r="T45" i="4"/>
  <c r="R45" i="4"/>
  <c r="S45" i="4" s="1"/>
  <c r="V44" i="4"/>
  <c r="R44" i="4"/>
  <c r="U44" i="4" s="1"/>
  <c r="V43" i="4"/>
  <c r="U43" i="4"/>
  <c r="T43" i="4"/>
  <c r="S43" i="4"/>
  <c r="R43" i="4"/>
  <c r="V42" i="4"/>
  <c r="U42" i="4"/>
  <c r="T42" i="4"/>
  <c r="R42" i="4"/>
  <c r="S42" i="4" s="1"/>
  <c r="V41" i="4"/>
  <c r="R41" i="4"/>
  <c r="T41" i="4" s="1"/>
  <c r="V40" i="4"/>
  <c r="U40" i="4"/>
  <c r="R40" i="4"/>
  <c r="T40" i="4" s="1"/>
  <c r="V39" i="4"/>
  <c r="R39" i="4"/>
  <c r="U39" i="4" s="1"/>
  <c r="V38" i="4"/>
  <c r="U38" i="4"/>
  <c r="T38" i="4"/>
  <c r="S38" i="4"/>
  <c r="R38" i="4"/>
  <c r="V37" i="4"/>
  <c r="R37" i="4"/>
  <c r="U37" i="4" s="1"/>
  <c r="V36" i="4"/>
  <c r="R36" i="4"/>
  <c r="U36" i="4" s="1"/>
  <c r="V35" i="4"/>
  <c r="T35" i="4"/>
  <c r="S35" i="4"/>
  <c r="R35" i="4"/>
  <c r="U35" i="4" s="1"/>
  <c r="V34" i="4"/>
  <c r="R34" i="4"/>
  <c r="U34" i="4" s="1"/>
  <c r="V33" i="4"/>
  <c r="U33" i="4"/>
  <c r="T33" i="4"/>
  <c r="R33" i="4"/>
  <c r="S33" i="4" s="1"/>
  <c r="V32" i="4"/>
  <c r="R32" i="4"/>
  <c r="U32" i="4" s="1"/>
  <c r="V31" i="4"/>
  <c r="U31" i="4"/>
  <c r="T31" i="4"/>
  <c r="S31" i="4"/>
  <c r="R31" i="4"/>
  <c r="V30" i="4"/>
  <c r="U30" i="4"/>
  <c r="T30" i="4"/>
  <c r="S30" i="4"/>
  <c r="R30" i="4"/>
  <c r="V29" i="4"/>
  <c r="R29" i="4"/>
  <c r="S29" i="4" s="1"/>
  <c r="V28" i="4"/>
  <c r="U28" i="4"/>
  <c r="R28" i="4"/>
  <c r="T28" i="4" s="1"/>
  <c r="I128" i="4"/>
  <c r="J128" i="4"/>
  <c r="K128" i="4"/>
  <c r="L128" i="4"/>
  <c r="M128" i="4"/>
  <c r="N128" i="4"/>
  <c r="O128" i="4"/>
  <c r="P128" i="4"/>
  <c r="Q128" i="4"/>
  <c r="I129" i="4"/>
  <c r="J129" i="4"/>
  <c r="K129" i="4"/>
  <c r="L129" i="4"/>
  <c r="M129" i="4"/>
  <c r="N129" i="4"/>
  <c r="O129" i="4"/>
  <c r="P129" i="4"/>
  <c r="Q129" i="4"/>
  <c r="I130" i="4"/>
  <c r="J130" i="4"/>
  <c r="K130" i="4"/>
  <c r="L130" i="4"/>
  <c r="M130" i="4"/>
  <c r="N130" i="4"/>
  <c r="Q130" i="4" s="1"/>
  <c r="O130" i="4"/>
  <c r="P130" i="4" s="1"/>
  <c r="I131" i="4"/>
  <c r="J131" i="4"/>
  <c r="K131" i="4"/>
  <c r="L131" i="4"/>
  <c r="M131" i="4"/>
  <c r="N131" i="4"/>
  <c r="O131" i="4"/>
  <c r="P131" i="4"/>
  <c r="Q131" i="4"/>
  <c r="I132" i="4"/>
  <c r="J132" i="4"/>
  <c r="K132" i="4"/>
  <c r="L132" i="4"/>
  <c r="M132" i="4"/>
  <c r="N132" i="4"/>
  <c r="O132" i="4"/>
  <c r="P132" i="4"/>
  <c r="Q132" i="4"/>
  <c r="I133" i="4"/>
  <c r="J133" i="4"/>
  <c r="K133" i="4"/>
  <c r="L133" i="4"/>
  <c r="M133" i="4"/>
  <c r="N133" i="4"/>
  <c r="O133" i="4"/>
  <c r="P133" i="4"/>
  <c r="Q133" i="4"/>
  <c r="I134" i="4"/>
  <c r="J134" i="4"/>
  <c r="K134" i="4"/>
  <c r="L134" i="4"/>
  <c r="M134" i="4"/>
  <c r="N134" i="4"/>
  <c r="O134" i="4"/>
  <c r="P134" i="4"/>
  <c r="Q134" i="4"/>
  <c r="S36" i="4" l="1"/>
  <c r="S48" i="4"/>
  <c r="S70" i="4"/>
  <c r="S82" i="4"/>
  <c r="S108" i="4"/>
  <c r="T36" i="4"/>
  <c r="S41" i="4"/>
  <c r="T48" i="4"/>
  <c r="S61" i="4"/>
  <c r="T70" i="4"/>
  <c r="S75" i="4"/>
  <c r="T82" i="4"/>
  <c r="S88" i="4"/>
  <c r="T29" i="4"/>
  <c r="S34" i="4"/>
  <c r="S46" i="4"/>
  <c r="T61" i="4"/>
  <c r="S68" i="4"/>
  <c r="T75" i="4"/>
  <c r="S80" i="4"/>
  <c r="T88" i="4"/>
  <c r="S130" i="4"/>
  <c r="T34" i="4"/>
  <c r="S39" i="4"/>
  <c r="U41" i="4"/>
  <c r="S58" i="4"/>
  <c r="T68" i="4"/>
  <c r="S73" i="4"/>
  <c r="T80" i="4"/>
  <c r="S85" i="4"/>
  <c r="T130" i="4"/>
  <c r="S32" i="4"/>
  <c r="T39" i="4"/>
  <c r="U46" i="4"/>
  <c r="S64" i="4"/>
  <c r="S78" i="4"/>
  <c r="T85" i="4"/>
  <c r="S91" i="4"/>
  <c r="T32" i="4"/>
  <c r="S37" i="4"/>
  <c r="T44" i="4"/>
  <c r="S49" i="4"/>
  <c r="U58" i="4"/>
  <c r="T64" i="4"/>
  <c r="S71" i="4"/>
  <c r="U73" i="4"/>
  <c r="T78" i="4"/>
  <c r="S83" i="4"/>
  <c r="T91" i="4"/>
  <c r="S114" i="4"/>
  <c r="U116" i="4"/>
  <c r="T126" i="4"/>
  <c r="U29" i="4"/>
  <c r="S44" i="4"/>
  <c r="S126" i="4"/>
  <c r="T37" i="4"/>
  <c r="T49" i="4"/>
  <c r="T71" i="4"/>
  <c r="T83" i="4"/>
  <c r="S89" i="4"/>
  <c r="T114" i="4"/>
  <c r="S121" i="4"/>
  <c r="T108" i="4"/>
  <c r="T93" i="4"/>
  <c r="T89" i="4"/>
  <c r="T121" i="4"/>
  <c r="S131" i="4"/>
  <c r="S93" i="4"/>
  <c r="T116" i="4"/>
  <c r="S28" i="4"/>
  <c r="S40" i="4"/>
  <c r="S74" i="4"/>
  <c r="S86" i="4"/>
  <c r="S119" i="4"/>
  <c r="T131" i="4"/>
  <c r="S120" i="4"/>
  <c r="S127" i="4"/>
  <c r="T120" i="4"/>
  <c r="O15" i="1" l="1"/>
  <c r="L15" i="1"/>
  <c r="N15" i="1"/>
  <c r="M98" i="4"/>
  <c r="M99" i="4"/>
  <c r="M100" i="4"/>
  <c r="M101" i="4"/>
  <c r="M102" i="4"/>
  <c r="M103" i="4"/>
  <c r="M104" i="4"/>
  <c r="M105" i="4"/>
  <c r="M106" i="4"/>
  <c r="M109" i="4"/>
  <c r="M110" i="4"/>
  <c r="M111" i="4"/>
  <c r="M112" i="4"/>
  <c r="M113" i="4"/>
  <c r="M117" i="4"/>
  <c r="M118" i="4"/>
  <c r="M122" i="4"/>
  <c r="M123" i="4"/>
  <c r="M125" i="4"/>
  <c r="J16" i="4"/>
  <c r="J15" i="4"/>
  <c r="J87" i="4"/>
  <c r="K87" i="4" s="1"/>
  <c r="J122" i="4"/>
  <c r="K122" i="4"/>
  <c r="J117" i="4"/>
  <c r="K117" i="4"/>
  <c r="J120" i="4"/>
  <c r="K120" i="4" s="1"/>
  <c r="O120" i="4" s="1"/>
  <c r="P120" i="4" s="1"/>
  <c r="J101" i="4"/>
  <c r="K101" i="4"/>
  <c r="J86" i="4"/>
  <c r="K86" i="4" s="1"/>
  <c r="J85" i="4"/>
  <c r="K85" i="4" s="1"/>
  <c r="J88" i="4"/>
  <c r="K88" i="4"/>
  <c r="J119" i="4"/>
  <c r="K119" i="4"/>
  <c r="J72" i="4"/>
  <c r="K72" i="4" s="1"/>
  <c r="J103" i="4"/>
  <c r="K103" i="4"/>
  <c r="J118" i="4"/>
  <c r="K118" i="4"/>
  <c r="J104" i="4"/>
  <c r="K104" i="4"/>
  <c r="J90" i="4"/>
  <c r="K90" i="4"/>
  <c r="J71" i="4"/>
  <c r="K71" i="4"/>
  <c r="J110" i="4"/>
  <c r="K110" i="4"/>
  <c r="J82" i="4"/>
  <c r="L82" i="4" s="1"/>
  <c r="K82" i="4"/>
  <c r="J113" i="4"/>
  <c r="K113" i="4"/>
  <c r="J97" i="4"/>
  <c r="L97" i="4" s="1"/>
  <c r="K97" i="4"/>
  <c r="J81" i="4"/>
  <c r="K81" i="4"/>
  <c r="J116" i="4"/>
  <c r="K116" i="4" s="1"/>
  <c r="O116" i="4" s="1"/>
  <c r="P116" i="4" s="1"/>
  <c r="J100" i="4"/>
  <c r="K100" i="4"/>
  <c r="O100" i="4"/>
  <c r="J84" i="4"/>
  <c r="K84" i="4" s="1"/>
  <c r="J114" i="4"/>
  <c r="K114" i="4"/>
  <c r="O114" i="4" s="1"/>
  <c r="P114" i="4" s="1"/>
  <c r="J78" i="4"/>
  <c r="K78" i="4"/>
  <c r="J115" i="4"/>
  <c r="K115" i="4" s="1"/>
  <c r="O115" i="4" s="1"/>
  <c r="P115" i="4" s="1"/>
  <c r="J99" i="4"/>
  <c r="K99" i="4"/>
  <c r="J83" i="4"/>
  <c r="L83" i="4" s="1"/>
  <c r="K83" i="4"/>
  <c r="J102" i="4"/>
  <c r="K102" i="4"/>
  <c r="J74" i="4"/>
  <c r="K74" i="4" s="1"/>
  <c r="J125" i="4"/>
  <c r="K125" i="4"/>
  <c r="J109" i="4"/>
  <c r="K109" i="4"/>
  <c r="J93" i="4"/>
  <c r="K93" i="4" s="1"/>
  <c r="J77" i="4"/>
  <c r="K77" i="4"/>
  <c r="J112" i="4"/>
  <c r="K112" i="4"/>
  <c r="J96" i="4"/>
  <c r="K96" i="4"/>
  <c r="J80" i="4"/>
  <c r="K80" i="4"/>
  <c r="J106" i="4"/>
  <c r="K106" i="4"/>
  <c r="J127" i="4"/>
  <c r="K127" i="4" s="1"/>
  <c r="O127" i="4" s="1"/>
  <c r="P127" i="4" s="1"/>
  <c r="J111" i="4"/>
  <c r="K111" i="4"/>
  <c r="J95" i="4"/>
  <c r="K95" i="4" s="1"/>
  <c r="J79" i="4"/>
  <c r="L79" i="4" s="1"/>
  <c r="J126" i="4"/>
  <c r="K126" i="4" s="1"/>
  <c r="O126" i="4" s="1"/>
  <c r="P126" i="4" s="1"/>
  <c r="J94" i="4"/>
  <c r="K94" i="4" s="1"/>
  <c r="J121" i="4"/>
  <c r="K121" i="4" s="1"/>
  <c r="O121" i="4" s="1"/>
  <c r="P121" i="4" s="1"/>
  <c r="J105" i="4"/>
  <c r="K105" i="4"/>
  <c r="J89" i="4"/>
  <c r="K89" i="4" s="1"/>
  <c r="J73" i="4"/>
  <c r="K73" i="4"/>
  <c r="J124" i="4"/>
  <c r="K124" i="4" s="1"/>
  <c r="O124" i="4" s="1"/>
  <c r="P124" i="4" s="1"/>
  <c r="J108" i="4"/>
  <c r="K108" i="4" s="1"/>
  <c r="O108" i="4" s="1"/>
  <c r="P108" i="4" s="1"/>
  <c r="J92" i="4"/>
  <c r="K92" i="4" s="1"/>
  <c r="J76" i="4"/>
  <c r="K76" i="4" s="1"/>
  <c r="J98" i="4"/>
  <c r="K98" i="4"/>
  <c r="J123" i="4"/>
  <c r="K123" i="4"/>
  <c r="J107" i="4"/>
  <c r="L107" i="4" s="1"/>
  <c r="M107" i="4" s="1"/>
  <c r="K107" i="4"/>
  <c r="O107" i="4" s="1"/>
  <c r="P107" i="4" s="1"/>
  <c r="J91" i="4"/>
  <c r="K91" i="4"/>
  <c r="O91" i="4" s="1"/>
  <c r="P91" i="4" s="1"/>
  <c r="J75" i="4"/>
  <c r="K75" i="4" s="1"/>
  <c r="P100" i="4"/>
  <c r="O112" i="4"/>
  <c r="P112" i="4"/>
  <c r="O98" i="4"/>
  <c r="P98" i="4"/>
  <c r="O105" i="4"/>
  <c r="P105" i="4"/>
  <c r="O111" i="4"/>
  <c r="P111" i="4"/>
  <c r="O104" i="4"/>
  <c r="P104" i="4"/>
  <c r="O96" i="4"/>
  <c r="P96" i="4" s="1"/>
  <c r="O102" i="4"/>
  <c r="P102" i="4"/>
  <c r="O110" i="4"/>
  <c r="P110" i="4"/>
  <c r="O118" i="4"/>
  <c r="P118" i="4"/>
  <c r="O117" i="4"/>
  <c r="P117" i="4"/>
  <c r="O106" i="4"/>
  <c r="P106" i="4"/>
  <c r="O109" i="4"/>
  <c r="P109" i="4"/>
  <c r="O113" i="4"/>
  <c r="P113" i="4"/>
  <c r="O71" i="4"/>
  <c r="P71" i="4"/>
  <c r="O103" i="4"/>
  <c r="P103" i="4"/>
  <c r="O119" i="4"/>
  <c r="P119" i="4"/>
  <c r="O122" i="4"/>
  <c r="P122" i="4"/>
  <c r="O123" i="4"/>
  <c r="P123" i="4"/>
  <c r="O125" i="4"/>
  <c r="P125" i="4"/>
  <c r="O99" i="4"/>
  <c r="P99" i="4"/>
  <c r="O101" i="4"/>
  <c r="P101" i="4"/>
  <c r="I76" i="4"/>
  <c r="I77" i="4"/>
  <c r="N77" i="4" s="1"/>
  <c r="Q77" i="4" s="1"/>
  <c r="I81" i="4"/>
  <c r="L81" i="4" s="1"/>
  <c r="I89" i="4"/>
  <c r="L89" i="4" s="1"/>
  <c r="I90" i="4"/>
  <c r="L90" i="4" s="1"/>
  <c r="I96" i="4"/>
  <c r="I99" i="4"/>
  <c r="I102" i="4"/>
  <c r="I104" i="4"/>
  <c r="I108" i="4"/>
  <c r="I111" i="4"/>
  <c r="I113" i="4"/>
  <c r="I115" i="4"/>
  <c r="N115" i="4" s="1"/>
  <c r="Q115" i="4" s="1"/>
  <c r="I119" i="4"/>
  <c r="N119" i="4" s="1"/>
  <c r="Q119" i="4" s="1"/>
  <c r="I120" i="4"/>
  <c r="N120" i="4" s="1"/>
  <c r="Q120" i="4" s="1"/>
  <c r="I123" i="4"/>
  <c r="I125" i="4"/>
  <c r="I79" i="4"/>
  <c r="N79" i="4" s="1"/>
  <c r="Q79" i="4" s="1"/>
  <c r="I92" i="4"/>
  <c r="I100" i="4"/>
  <c r="I103" i="4"/>
  <c r="I107" i="4"/>
  <c r="I109" i="4"/>
  <c r="I110" i="4"/>
  <c r="I117" i="4"/>
  <c r="I124" i="4"/>
  <c r="N124" i="4" s="1"/>
  <c r="Q124" i="4" s="1"/>
  <c r="I72" i="4"/>
  <c r="N72" i="4" s="1"/>
  <c r="Q72" i="4" s="1"/>
  <c r="I106" i="4"/>
  <c r="I71" i="4"/>
  <c r="N71" i="4" s="1"/>
  <c r="Q71" i="4" s="1"/>
  <c r="I75" i="4"/>
  <c r="N75" i="4" s="1"/>
  <c r="Q75" i="4" s="1"/>
  <c r="I80" i="4"/>
  <c r="I83" i="4"/>
  <c r="I86" i="4"/>
  <c r="L86" i="4" s="1"/>
  <c r="I88" i="4"/>
  <c r="L88" i="4" s="1"/>
  <c r="I94" i="4"/>
  <c r="L94" i="4" s="1"/>
  <c r="I95" i="4"/>
  <c r="I98" i="4"/>
  <c r="I101" i="4"/>
  <c r="I118" i="4"/>
  <c r="I127" i="4"/>
  <c r="N127" i="4" s="1"/>
  <c r="Q127" i="4" s="1"/>
  <c r="I73" i="4"/>
  <c r="N73" i="4" s="1"/>
  <c r="Q73" i="4" s="1"/>
  <c r="I74" i="4"/>
  <c r="I78" i="4"/>
  <c r="I82" i="4"/>
  <c r="I85" i="4"/>
  <c r="N85" i="4" s="1"/>
  <c r="Q85" i="4" s="1"/>
  <c r="I93" i="4"/>
  <c r="L93" i="4" s="1"/>
  <c r="I112" i="4"/>
  <c r="I114" i="4"/>
  <c r="N114" i="4" s="1"/>
  <c r="Q114" i="4" s="1"/>
  <c r="I121" i="4"/>
  <c r="I122" i="4"/>
  <c r="I84" i="4"/>
  <c r="L84" i="4" s="1"/>
  <c r="I87" i="4"/>
  <c r="L87" i="4" s="1"/>
  <c r="I91" i="4"/>
  <c r="N91" i="4" s="1"/>
  <c r="Q91" i="4" s="1"/>
  <c r="I97" i="4"/>
  <c r="I105" i="4"/>
  <c r="I116" i="4"/>
  <c r="I126" i="4"/>
  <c r="L105" i="4"/>
  <c r="N105" i="4"/>
  <c r="Q105" i="4"/>
  <c r="N121" i="4"/>
  <c r="Q121" i="4"/>
  <c r="L121" i="4"/>
  <c r="M121" i="4" s="1"/>
  <c r="L85" i="4"/>
  <c r="N101" i="4"/>
  <c r="Q101" i="4"/>
  <c r="L101" i="4"/>
  <c r="N88" i="4"/>
  <c r="Q88" i="4" s="1"/>
  <c r="L106" i="4"/>
  <c r="N106" i="4"/>
  <c r="Q106" i="4"/>
  <c r="L124" i="4"/>
  <c r="M124" i="4" s="1"/>
  <c r="N107" i="4"/>
  <c r="Q107" i="4" s="1"/>
  <c r="N108" i="4"/>
  <c r="Q108" i="4"/>
  <c r="L96" i="4"/>
  <c r="N96" i="4"/>
  <c r="Q96" i="4" s="1"/>
  <c r="N97" i="4"/>
  <c r="Q97" i="4"/>
  <c r="L114" i="4"/>
  <c r="M114" i="4" s="1"/>
  <c r="N82" i="4"/>
  <c r="Q82" i="4" s="1"/>
  <c r="N98" i="4"/>
  <c r="Q98" i="4"/>
  <c r="L98" i="4"/>
  <c r="N86" i="4"/>
  <c r="Q86" i="4" s="1"/>
  <c r="N117" i="4"/>
  <c r="Q117" i="4"/>
  <c r="L117" i="4"/>
  <c r="N103" i="4"/>
  <c r="Q103" i="4"/>
  <c r="L103" i="4"/>
  <c r="L125" i="4"/>
  <c r="N125" i="4"/>
  <c r="Q125" i="4"/>
  <c r="L104" i="4"/>
  <c r="N104" i="4"/>
  <c r="Q104" i="4"/>
  <c r="N76" i="4"/>
  <c r="Q76" i="4" s="1"/>
  <c r="L76" i="4"/>
  <c r="N126" i="4"/>
  <c r="Q126" i="4" s="1"/>
  <c r="L112" i="4"/>
  <c r="N112" i="4"/>
  <c r="Q112" i="4"/>
  <c r="L78" i="4"/>
  <c r="N78" i="4"/>
  <c r="Q78" i="4" s="1"/>
  <c r="L127" i="4"/>
  <c r="M127" i="4" s="1"/>
  <c r="N95" i="4"/>
  <c r="Q95" i="4" s="1"/>
  <c r="N83" i="4"/>
  <c r="Q83" i="4" s="1"/>
  <c r="N110" i="4"/>
  <c r="Q110" i="4"/>
  <c r="L110" i="4"/>
  <c r="L100" i="4"/>
  <c r="N100" i="4"/>
  <c r="Q100" i="4"/>
  <c r="L123" i="4"/>
  <c r="N123" i="4"/>
  <c r="Q123" i="4"/>
  <c r="N113" i="4"/>
  <c r="Q113" i="4"/>
  <c r="L113" i="4"/>
  <c r="L102" i="4"/>
  <c r="N102" i="4"/>
  <c r="Q102" i="4"/>
  <c r="N89" i="4"/>
  <c r="Q89" i="4" s="1"/>
  <c r="N116" i="4"/>
  <c r="Q116" i="4"/>
  <c r="L116" i="4"/>
  <c r="M116" i="4" s="1"/>
  <c r="N122" i="4"/>
  <c r="Q122" i="4"/>
  <c r="L122" i="4"/>
  <c r="N93" i="4"/>
  <c r="Q93" i="4" s="1"/>
  <c r="N74" i="4"/>
  <c r="Q74" i="4" s="1"/>
  <c r="N118" i="4"/>
  <c r="Q118" i="4"/>
  <c r="L118" i="4"/>
  <c r="L80" i="4"/>
  <c r="N80" i="4"/>
  <c r="Q80" i="4" s="1"/>
  <c r="N109" i="4"/>
  <c r="Q109" i="4"/>
  <c r="L109" i="4"/>
  <c r="L92" i="4"/>
  <c r="N92" i="4"/>
  <c r="Q92" i="4" s="1"/>
  <c r="N111" i="4"/>
  <c r="Q111" i="4"/>
  <c r="L111" i="4"/>
  <c r="N99" i="4"/>
  <c r="Q99" i="4"/>
  <c r="L99" i="4"/>
  <c r="O76" i="4" l="1"/>
  <c r="P76" i="4" s="1"/>
  <c r="M81" i="4"/>
  <c r="O74" i="4"/>
  <c r="P74" i="4" s="1"/>
  <c r="M82" i="4"/>
  <c r="M79" i="4"/>
  <c r="M76" i="4"/>
  <c r="M96" i="4"/>
  <c r="M87" i="4"/>
  <c r="M89" i="4"/>
  <c r="K79" i="4"/>
  <c r="O82" i="4"/>
  <c r="P82" i="4" s="1"/>
  <c r="M78" i="4"/>
  <c r="O95" i="4"/>
  <c r="P95" i="4" s="1"/>
  <c r="O83" i="4"/>
  <c r="P83" i="4" s="1"/>
  <c r="M83" i="4"/>
  <c r="L119" i="4"/>
  <c r="M119" i="4" s="1"/>
  <c r="O89" i="4"/>
  <c r="P89" i="4" s="1"/>
  <c r="M85" i="4"/>
  <c r="L120" i="4"/>
  <c r="M120" i="4" s="1"/>
  <c r="L75" i="4"/>
  <c r="M94" i="4"/>
  <c r="O93" i="4"/>
  <c r="P93" i="4" s="1"/>
  <c r="L73" i="4"/>
  <c r="M84" i="4"/>
  <c r="M80" i="4"/>
  <c r="L74" i="4"/>
  <c r="L91" i="4"/>
  <c r="M91" i="4" s="1"/>
  <c r="L115" i="4"/>
  <c r="M115" i="4" s="1"/>
  <c r="L72" i="4"/>
  <c r="M93" i="4"/>
  <c r="M88" i="4"/>
  <c r="O88" i="4"/>
  <c r="P88" i="4" s="1"/>
  <c r="O87" i="4"/>
  <c r="P87" i="4" s="1"/>
  <c r="L108" i="4"/>
  <c r="M108" i="4" s="1"/>
  <c r="N90" i="4"/>
  <c r="Q90" i="4" s="1"/>
  <c r="L71" i="4"/>
  <c r="M71" i="4" s="1"/>
  <c r="M86" i="4"/>
  <c r="O81" i="4"/>
  <c r="P81" i="4" s="1"/>
  <c r="O90" i="4"/>
  <c r="P90" i="4" s="1"/>
  <c r="M90" i="4"/>
  <c r="O72" i="4"/>
  <c r="P72" i="4" s="1"/>
  <c r="O85" i="4"/>
  <c r="P85" i="4" s="1"/>
  <c r="O84" i="4"/>
  <c r="P84" i="4" s="1"/>
  <c r="N81" i="4"/>
  <c r="Q81" i="4" s="1"/>
  <c r="M92" i="4"/>
  <c r="L126" i="4"/>
  <c r="M126" i="4" s="1"/>
  <c r="L77" i="4"/>
  <c r="O92" i="4"/>
  <c r="P92" i="4" s="1"/>
  <c r="O94" i="4"/>
  <c r="P94" i="4" s="1"/>
  <c r="O80" i="4"/>
  <c r="P80" i="4" s="1"/>
  <c r="O78" i="4"/>
  <c r="P78" i="4" s="1"/>
  <c r="O97" i="4"/>
  <c r="P97" i="4" s="1"/>
  <c r="O86" i="4"/>
  <c r="P86" i="4" s="1"/>
  <c r="O73" i="4"/>
  <c r="P73" i="4" s="1"/>
  <c r="O77" i="4"/>
  <c r="P77" i="4" s="1"/>
  <c r="O75" i="4"/>
  <c r="P75" i="4" s="1"/>
  <c r="M97" i="4"/>
  <c r="N87" i="4"/>
  <c r="Q87" i="4" s="1"/>
  <c r="L95" i="4"/>
  <c r="N94" i="4"/>
  <c r="Q94" i="4" s="1"/>
  <c r="N84" i="4"/>
  <c r="Q84" i="4" s="1"/>
  <c r="J14" i="4"/>
  <c r="J13" i="4" s="1"/>
  <c r="K16" i="4" s="1"/>
  <c r="O79" i="4" l="1"/>
  <c r="P79" i="4" s="1"/>
  <c r="M75" i="4"/>
  <c r="M74" i="4"/>
  <c r="M95" i="4"/>
  <c r="M77" i="4"/>
  <c r="M72" i="4"/>
  <c r="M73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O62" i="4" s="1"/>
  <c r="P62" i="4" s="1"/>
  <c r="J60" i="4"/>
  <c r="K60" i="4" s="1"/>
  <c r="O60" i="4" s="1"/>
  <c r="P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O61" i="4" s="1"/>
  <c r="P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57" i="4" l="1"/>
  <c r="P57" i="4" s="1"/>
  <c r="O58" i="4"/>
  <c r="P58" i="4" s="1"/>
  <c r="L66" i="4"/>
  <c r="K66" i="4"/>
  <c r="K70" i="4"/>
  <c r="L70" i="4"/>
  <c r="M70" i="4" s="1"/>
  <c r="K64" i="4"/>
  <c r="L64" i="4"/>
  <c r="O63" i="4"/>
  <c r="P63" i="4" s="1"/>
  <c r="L63" i="4"/>
  <c r="M63" i="4" s="1"/>
  <c r="K68" i="4"/>
  <c r="L68" i="4"/>
  <c r="L67" i="4"/>
  <c r="K67" i="4"/>
  <c r="L65" i="4"/>
  <c r="K65" i="4"/>
  <c r="K69" i="4"/>
  <c r="L69" i="4"/>
  <c r="N62" i="4"/>
  <c r="Q62" i="4" s="1"/>
  <c r="L62" i="4"/>
  <c r="M62" i="4" s="1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M61" i="4" s="1"/>
  <c r="L60" i="4"/>
  <c r="M60" i="4" s="1"/>
  <c r="N60" i="4"/>
  <c r="Q60" i="4" s="1"/>
  <c r="O69" i="4" l="1"/>
  <c r="P69" i="4" s="1"/>
  <c r="O65" i="4"/>
  <c r="P65" i="4" s="1"/>
  <c r="M65" i="4"/>
  <c r="M66" i="4"/>
  <c r="O67" i="4"/>
  <c r="P67" i="4" s="1"/>
  <c r="O64" i="4"/>
  <c r="P64" i="4" s="1"/>
  <c r="M67" i="4"/>
  <c r="M64" i="4"/>
  <c r="M69" i="4"/>
  <c r="M57" i="4"/>
  <c r="M68" i="4"/>
  <c r="O68" i="4"/>
  <c r="P68" i="4" s="1"/>
  <c r="M58" i="4"/>
  <c r="O66" i="4"/>
  <c r="P66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39" i="4" l="1"/>
  <c r="J45" i="4"/>
  <c r="J30" i="4"/>
  <c r="K30" i="4" s="1"/>
  <c r="J43" i="4"/>
  <c r="L43" i="4" s="1"/>
  <c r="J31" i="4"/>
  <c r="J44" i="4"/>
  <c r="L44" i="4" s="1"/>
  <c r="J36" i="4"/>
  <c r="L36" i="4" s="1"/>
  <c r="J46" i="4"/>
  <c r="K46" i="4" s="1"/>
  <c r="J35" i="4"/>
  <c r="K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5" i="4"/>
  <c r="K45" i="4"/>
  <c r="K52" i="4"/>
  <c r="O52" i="4" s="1"/>
  <c r="P52" i="4" s="1"/>
  <c r="L52" i="4"/>
  <c r="M52" i="4" s="1"/>
  <c r="K43" i="4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L30" i="4"/>
  <c r="M48" i="4" l="1"/>
  <c r="M49" i="4"/>
  <c r="O48" i="4"/>
  <c r="P48" i="4" s="1"/>
  <c r="O49" i="4"/>
  <c r="P49" i="4" s="1"/>
  <c r="M43" i="4"/>
  <c r="O45" i="4"/>
  <c r="P45" i="4" s="1"/>
  <c r="O35" i="4"/>
  <c r="P35" i="4" s="1"/>
  <c r="M45" i="4"/>
  <c r="M31" i="4"/>
  <c r="O31" i="4"/>
  <c r="P31" i="4" s="1"/>
  <c r="O28" i="4"/>
  <c r="P28" i="4" s="1"/>
  <c r="M44" i="4"/>
  <c r="O47" i="4"/>
  <c r="P47" i="4" s="1"/>
  <c r="O33" i="4"/>
  <c r="P33" i="4" s="1"/>
  <c r="O46" i="4"/>
  <c r="P46" i="4" s="1"/>
  <c r="O43" i="4"/>
  <c r="P43" i="4" s="1"/>
  <c r="O41" i="4"/>
  <c r="P41" i="4" s="1"/>
  <c r="O30" i="4"/>
  <c r="P30" i="4" s="1"/>
  <c r="O39" i="4"/>
  <c r="P39" i="4" s="1"/>
  <c r="M39" i="4"/>
  <c r="L35" i="4"/>
  <c r="K44" i="4"/>
  <c r="L47" i="4"/>
  <c r="K36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M46" i="4" l="1"/>
  <c r="O44" i="4"/>
  <c r="P44" i="4" s="1"/>
  <c r="M35" i="4"/>
  <c r="O32" i="4"/>
  <c r="P32" i="4" s="1"/>
  <c r="O38" i="4"/>
  <c r="P38" i="4" s="1"/>
  <c r="M33" i="4"/>
  <c r="O34" i="4"/>
  <c r="P34" i="4" s="1"/>
  <c r="O42" i="4"/>
  <c r="P42" i="4" s="1"/>
  <c r="M41" i="4"/>
  <c r="O36" i="4"/>
  <c r="P36" i="4" s="1"/>
  <c r="M47" i="4"/>
  <c r="O29" i="4"/>
  <c r="P29" i="4" s="1"/>
  <c r="O40" i="4"/>
  <c r="P40" i="4" s="1"/>
  <c r="O37" i="4"/>
  <c r="P37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<sst xmlns="http://schemas.openxmlformats.org/spreadsheetml/2006/main" count="318" uniqueCount="293">
  <si>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</si>
  <si>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</si>
  <si>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</si>
  <si>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</si>
  <si>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</si>
  <si>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</si>
  <si>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</si>
  <si>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</si>
  <si>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</si>
  <si>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</si>
  <si>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</si>
  <si>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</si>
  <si>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</si>
  <si>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</si>
  <si>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</si>
  <si>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</si>
  <si>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</si>
  <si>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</si>
  <si>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</si>
  <si>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</si>
  <si>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</si>
  <si>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</si>
  <si>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</si>
  <si>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</si>
  <si>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</si>
  <si>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</si>
  <si>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</si>
  <si>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</si>
  <si>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</si>
  <si>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</si>
  <si>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</si>
  <si>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</si>
  <si>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</si>
  <si>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</si>
  <si>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</si>
  <si>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</si>
  <si>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</si>
  <si>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</si>
  <si>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</si>
  <si>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</si>
  <si>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</si>
  <si>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</si>
  <si>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</si>
  <si>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</si>
  <si>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</si>
  <si>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</si>
  <si>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</si>
  <si>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</si>
  <si>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</si>
  <si>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</si>
  <si>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</si>
  <si>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</si>
  <si>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</si>
  <si>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</si>
  <si>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</si>
  <si>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</si>
  <si>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</si>
  <si>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</si>
  <si>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</si>
  <si>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</si>
  <si>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</si>
  <si>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</si>
  <si>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</si>
  <si>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</si>
  <si>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</si>
  <si>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</si>
  <si>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</si>
  <si>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</si>
  <si>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</si>
  <si>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</si>
  <si>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</si>
  <si>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</si>
  <si>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</si>
  <si>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</si>
  <si>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</si>
  <si>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</si>
  <si>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</si>
  <si>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</si>
  <si>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</si>
  <si>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</si>
  <si>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</si>
  <si>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</si>
  <si>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</si>
  <si>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</si>
  <si>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</si>
  <si>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</si>
  <si>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</si>
  <si>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</si>
  <si>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</si>
  <si>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</si>
  <si>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</si>
  <si>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</si>
  <si>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</si>
  <si>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</si>
  <si>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</si>
  <si>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</si>
  <si>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</si>
  <si>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</si>
  <si>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</si>
  <si>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</si>
  <si>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</si>
  <si>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</si>
  <si>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</si>
  <si>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</si>
  <si>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</si>
  <si>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</si>
  <si>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</si>
  <si>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</si>
  <si>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</si>
  <si>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</si>
  <si>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</si>
  <si>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</si>
  <si>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</si>
  <si>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</si>
  <si>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</si>
  <si>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</si>
  <si>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</si>
  <si>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</si>
  <si>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</si>
  <si>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</si>
  <si>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</si>
  <si>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</si>
  <si>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</si>
  <si>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</si>
  <si>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</si>
  <si>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</si>
  <si>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</si>
  <si>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</si>
  <si>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</si>
  <si>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</si>
  <si>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</si>
  <si>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</si>
  <si>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</si>
  <si>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</si>
  <si>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</si>
  <si>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</si>
  <si>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</si>
  <si>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</si>
  <si>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</si>
  <si>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</si>
  <si>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</si>
  <si>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</si>
  <si>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</si>
  <si>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</si>
  <si>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</si>
  <si>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</si>
  <si>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</si>
  <si>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</si>
  <si>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</si>
  <si>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</si>
  <si>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</si>
  <si>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</si>
  <si>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</si>
  <si>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</si>
  <si>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</si>
  <si>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</si>
  <si>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</si>
  <si>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</si>
  <si>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</si>
  <si>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</si>
  <si>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</si>
  <si>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</si>
  <si>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</si>
  <si>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</si>
  <si>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</si>
  <si>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</si>
  <si>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</si>
  <si>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</si>
  <si>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</si>
  <si>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</si>
  <si>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</si>
  <si>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</si>
  <si>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</si>
  <si>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</si>
  <si>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</si>
  <si>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</si>
  <si>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</si>
  <si>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</si>
  <si>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</si>
  <si>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</si>
  <si>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</si>
  <si>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</si>
  <si>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</si>
  <si>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</si>
  <si>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</si>
  <si>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</si>
  <si>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</si>
  <si>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</si>
  <si>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</si>
  <si>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</si>
  <si>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</si>
  <si>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</si>
  <si>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</si>
  <si>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</si>
  <si>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</si>
  <si>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</si>
  <si>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</si>
  <si>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</si>
  <si>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</si>
  <si>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</si>
  <si>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</si>
  <si>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</si>
  <si>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</si>
  <si>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</si>
  <si>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</si>
  <si>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</si>
  <si>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</si>
  <si>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</si>
  <si>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</si>
  <si>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</si>
  <si>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PFBS</t>
  </si>
  <si>
    <t>375-73-5</t>
  </si>
  <si>
    <t>4:2 FTS</t>
  </si>
  <si>
    <t>757124-72-4</t>
  </si>
  <si>
    <t>PFNA</t>
  </si>
  <si>
    <t>375-95-1</t>
  </si>
  <si>
    <t>PFHxA</t>
  </si>
  <si>
    <t>307-24-4</t>
  </si>
  <si>
    <t>PFBA</t>
  </si>
  <si>
    <t>375-22-4</t>
  </si>
  <si>
    <t>PFOA</t>
  </si>
  <si>
    <t>335-67-1</t>
  </si>
  <si>
    <t>6:2 FTS</t>
  </si>
  <si>
    <t>27619-97-2</t>
  </si>
  <si>
    <t>8:2 FTS</t>
  </si>
  <si>
    <t>39108-34-4</t>
  </si>
  <si>
    <t>PFUnDA</t>
  </si>
  <si>
    <t>2058-94-8</t>
  </si>
  <si>
    <t>PFOS</t>
  </si>
  <si>
    <t>1763-23-1</t>
  </si>
  <si>
    <t>PFHpA</t>
  </si>
  <si>
    <t>375-85-9</t>
  </si>
  <si>
    <t>PFPeA</t>
  </si>
  <si>
    <t>2706-90-3</t>
  </si>
  <si>
    <t>PFHxS</t>
  </si>
  <si>
    <t>355-46-4</t>
  </si>
  <si>
    <t>PFDA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</si>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</sst>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7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11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2" t="s">
        <v>57</v>
      </c>
      <c r="C2" s="113"/>
      <c r="D2" s="113"/>
      <c r="E2" s="113"/>
      <c r="F2" s="113"/>
      <c r="G2" s="113"/>
      <c r="H2" s="114"/>
      <c r="I2" s="7"/>
      <c r="J2" s="103" t="s">
        <v>56</v>
      </c>
      <c r="K2" s="104"/>
      <c r="L2" s="104"/>
      <c r="M2" s="104"/>
      <c r="N2" s="104"/>
      <c r="O2" s="105"/>
      <c r="P2" s="7"/>
      <c r="Q2" s="103" t="s">
        <v>58</v>
      </c>
      <c r="R2" s="104"/>
      <c r="S2" s="104"/>
      <c r="T2" s="104"/>
      <c r="U2" s="104"/>
      <c r="V2" s="105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6"/>
      <c r="K3" s="107"/>
      <c r="L3" s="107"/>
      <c r="M3" s="107"/>
      <c r="N3" s="107"/>
      <c r="O3" s="108"/>
      <c r="P3" s="7"/>
      <c r="Q3" s="106"/>
      <c r="R3" s="107"/>
      <c r="S3" s="107"/>
      <c r="T3" s="107"/>
      <c r="U3" s="107"/>
      <c r="V3" s="108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9"/>
      <c r="K4" s="110"/>
      <c r="L4" s="110"/>
      <c r="M4" s="110"/>
      <c r="N4" s="110"/>
      <c r="O4" s="111"/>
      <c r="P4" s="7"/>
      <c r="Q4" s="109"/>
      <c r="R4" s="110"/>
      <c r="S4" s="110"/>
      <c r="T4" s="110"/>
      <c r="U4" s="110"/>
      <c r="V4" s="111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9"/>
      <c r="R5" s="60"/>
      <c r="S5" s="60"/>
      <c r="T5" s="60"/>
      <c r="U5" s="60"/>
      <c r="V5" s="61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9"/>
      <c r="S6" s="80"/>
      <c r="T6" s="80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2" t="s">
        <v>74</v>
      </c>
      <c r="L7" s="83">
        <v>0</v>
      </c>
      <c r="M7" s="84">
        <v>0</v>
      </c>
      <c r="N7" s="13"/>
      <c r="O7" s="14"/>
      <c r="P7" s="7"/>
      <c r="Q7" s="11"/>
      <c r="R7" s="13"/>
      <c r="S7" s="62"/>
      <c r="T7" s="63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8"/>
      <c r="T8" s="79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5"/>
      <c r="R9" s="1"/>
      <c r="S9" s="76"/>
      <c r="T9" s="77"/>
      <c r="U9" s="1"/>
      <c r="V9" s="6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2" t="s">
        <v>16</v>
      </c>
      <c r="L10" s="83">
        <v>24</v>
      </c>
      <c r="M10" s="83">
        <v>1.9</v>
      </c>
      <c r="N10" s="13"/>
      <c r="O10" s="14"/>
      <c r="P10" s="7"/>
      <c r="Q10" s="12"/>
      <c r="R10" s="3"/>
      <c r="S10" s="78"/>
      <c r="T10" s="69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5"/>
      <c r="R11" s="1"/>
      <c r="S11" s="76"/>
      <c r="T11" s="76"/>
      <c r="U11" s="1"/>
      <c r="V11" s="6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2"/>
      <c r="T12" s="62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2"/>
      <c r="R14" s="73"/>
      <c r="S14" s="74"/>
      <c r="T14" s="74"/>
      <c r="U14" s="74"/>
      <c r="V14" s="75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8">
        <f>M15/0.029*(0.018)</f>
        <v>4.619905956112852E-5</v>
      </c>
      <c r="M15" s="58">
        <v>7.4431818181818174E-5</v>
      </c>
      <c r="N15" s="58">
        <f>M15/0.029*(0.953)</f>
        <v>2.4459835423197487E-3</v>
      </c>
      <c r="O15" s="100">
        <f>SUM(L15:N15)</f>
        <v>2.5666144200626952E-3</v>
      </c>
      <c r="P15" s="9"/>
      <c r="Q15" s="65"/>
      <c r="R15" s="1"/>
      <c r="S15" s="70"/>
      <c r="T15" s="70"/>
      <c r="U15" s="70"/>
      <c r="V15" s="6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8">
        <v>2.5484800000000001E-3</v>
      </c>
      <c r="M16" s="58">
        <v>2.2915000000000001E-4</v>
      </c>
      <c r="N16" s="58">
        <v>9.6669999999999994E-5</v>
      </c>
      <c r="O16" s="100"/>
      <c r="P16" s="9"/>
      <c r="Q16" s="12"/>
      <c r="R16" s="3"/>
      <c r="S16" s="71"/>
      <c r="T16" s="71"/>
      <c r="U16" s="71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101" t="s">
        <v>31</v>
      </c>
      <c r="K17" s="31" t="s">
        <v>79</v>
      </c>
      <c r="L17" s="81">
        <v>2.2349599999999998E-3</v>
      </c>
      <c r="M17" s="81">
        <v>2.99E-4</v>
      </c>
      <c r="N17" s="81">
        <v>6.6039999999999998E-5</v>
      </c>
      <c r="O17" s="100"/>
      <c r="P17" s="9"/>
      <c r="Q17" s="65"/>
      <c r="R17" s="1"/>
      <c r="S17" s="70"/>
      <c r="T17" s="70"/>
      <c r="U17" s="70"/>
      <c r="V17" s="6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8">
        <v>2.2457100000000002E-3</v>
      </c>
      <c r="M18" s="58">
        <v>3.0027E-4</v>
      </c>
      <c r="N18" s="58">
        <v>6.6229999999999994E-5</v>
      </c>
      <c r="O18" s="100"/>
      <c r="P18" s="9"/>
      <c r="Q18" s="11"/>
      <c r="R18" s="13"/>
      <c r="S18" s="64"/>
      <c r="T18" s="64"/>
      <c r="U18" s="64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8">
        <v>3.2730300000000001E-3</v>
      </c>
      <c r="M19" s="58">
        <v>3.9889999999999999E-4</v>
      </c>
      <c r="N19" s="58">
        <v>1.0728E-4</v>
      </c>
      <c r="O19" s="100"/>
      <c r="P19" s="9"/>
      <c r="Q19" s="12"/>
      <c r="R19" s="3"/>
      <c r="S19" s="71"/>
      <c r="T19" s="71"/>
      <c r="U19" s="71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5"/>
      <c r="R20" s="1"/>
      <c r="S20" s="1"/>
      <c r="T20" s="1"/>
      <c r="U20" s="1"/>
      <c r="V20" s="6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5"/>
      <c r="P23" s="7"/>
      <c r="Q23" s="65"/>
      <c r="R23" s="66"/>
      <c r="S23" s="66"/>
      <c r="T23" s="66"/>
      <c r="U23" s="66"/>
      <c r="V23" s="6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6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9"/>
      <c r="M25" s="7"/>
      <c r="N25" s="7"/>
      <c r="O25" s="87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5"/>
      <c r="R26" s="66"/>
      <c r="S26" s="66"/>
      <c r="T26" s="66"/>
      <c r="U26" s="66"/>
      <c r="V26" s="6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5"/>
      <c r="R28" s="68"/>
      <c r="S28" s="66"/>
      <c r="T28" s="66"/>
      <c r="U28" s="66"/>
      <c r="V28" s="67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5"/>
      <c r="R32" s="66"/>
      <c r="S32" s="68"/>
      <c r="T32" s="66"/>
      <c r="U32" s="66"/>
      <c r="V32" s="67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9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5"/>
      <c r="R36" s="66"/>
      <c r="S36" s="66"/>
      <c r="T36" s="66"/>
      <c r="U36" s="66"/>
      <c r="V36" s="67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5"/>
      <c r="R40" s="66"/>
      <c r="S40" s="66"/>
      <c r="T40" s="66"/>
      <c r="U40" s="66"/>
      <c r="V40" s="67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5"/>
      <c r="R43" s="66"/>
      <c r="S43" s="66"/>
      <c r="T43" s="66"/>
      <c r="U43" s="66"/>
      <c r="V43" s="67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22" zoomScale="70" zoomScaleNormal="70" workbookViewId="0">
      <selection activeCell="R27" sqref="R27:V134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70"/>
      <c r="H1" s="170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70"/>
      <c r="H2" s="170"/>
      <c r="I2" s="115" t="s">
        <v>19</v>
      </c>
      <c r="J2" s="116"/>
      <c r="K2" s="116"/>
      <c r="L2" s="116"/>
      <c r="M2" s="116"/>
      <c r="N2" s="116"/>
      <c r="O2" s="116"/>
      <c r="P2" s="116"/>
      <c r="Q2" s="11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70"/>
      <c r="H3" s="170"/>
      <c r="I3" s="118"/>
      <c r="J3" s="119"/>
      <c r="K3" s="119"/>
      <c r="L3" s="119"/>
      <c r="M3" s="119"/>
      <c r="N3" s="119"/>
      <c r="O3" s="119"/>
      <c r="P3" s="119"/>
      <c r="Q3" s="120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70"/>
      <c r="H4" s="170"/>
      <c r="I4" s="121"/>
      <c r="J4" s="122"/>
      <c r="K4" s="122"/>
      <c r="L4" s="122"/>
      <c r="M4" s="122"/>
      <c r="N4" s="122"/>
      <c r="O4" s="122"/>
      <c r="P4" s="122"/>
      <c r="Q4" s="123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70"/>
      <c r="H5" s="170"/>
      <c r="I5" s="124" t="s">
        <v>38</v>
      </c>
      <c r="J5" s="125"/>
      <c r="K5" s="125"/>
      <c r="L5" s="125"/>
      <c r="M5" s="125"/>
      <c r="N5" s="125"/>
      <c r="O5" s="125"/>
      <c r="P5" s="125"/>
      <c r="Q5" s="126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70"/>
      <c r="H6" s="170"/>
      <c r="I6" s="49" t="s">
        <v>49</v>
      </c>
      <c r="J6" s="49" t="s">
        <v>50</v>
      </c>
      <c r="K6" s="49" t="s">
        <v>46</v>
      </c>
      <c r="L6" s="167" t="s">
        <v>39</v>
      </c>
      <c r="M6" s="168"/>
      <c r="N6" s="168"/>
      <c r="O6" s="168"/>
      <c r="P6" s="168"/>
      <c r="Q6" s="169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70"/>
      <c r="H7" s="170"/>
      <c r="I7" s="50" t="s">
        <v>20</v>
      </c>
      <c r="J7" s="37">
        <f>SUM(J13,J19)</f>
        <v>40.014560000000003</v>
      </c>
      <c r="K7" s="38">
        <f>J7/J7</f>
        <v>1</v>
      </c>
      <c r="L7" s="161" t="s">
        <v>68</v>
      </c>
      <c r="M7" s="162"/>
      <c r="N7" s="162"/>
      <c r="O7" s="162"/>
      <c r="P7" s="162"/>
      <c r="Q7" s="163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2" t="s">
        <v>3</v>
      </c>
      <c r="C8" s="143"/>
      <c r="D8" s="143"/>
      <c r="E8" s="143"/>
      <c r="F8" s="144"/>
      <c r="G8" s="170"/>
      <c r="H8" s="170"/>
      <c r="I8" s="51" t="s">
        <v>6</v>
      </c>
      <c r="J8" s="37">
        <f>SUM(J14,J20)</f>
        <v>39.991795776000004</v>
      </c>
      <c r="K8" s="39">
        <f>J8/J7</f>
        <v>0.99943110147906167</v>
      </c>
      <c r="L8" s="161" t="s">
        <v>69</v>
      </c>
      <c r="M8" s="162"/>
      <c r="N8" s="162"/>
      <c r="O8" s="162"/>
      <c r="P8" s="162"/>
      <c r="Q8" s="163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5"/>
      <c r="C9" s="146"/>
      <c r="D9" s="146"/>
      <c r="E9" s="146"/>
      <c r="F9" s="147"/>
      <c r="G9" s="170"/>
      <c r="H9" s="170"/>
      <c r="I9" s="50" t="s">
        <v>8</v>
      </c>
      <c r="J9" s="40">
        <f t="shared" ref="J9:J10" si="0">SUM(J15,J21)</f>
        <v>2.0874399999999998E-2</v>
      </c>
      <c r="K9" s="39">
        <f>J9/J7</f>
        <v>5.2167011207920303E-4</v>
      </c>
      <c r="L9" s="161" t="s">
        <v>69</v>
      </c>
      <c r="M9" s="162"/>
      <c r="N9" s="162"/>
      <c r="O9" s="162"/>
      <c r="P9" s="162"/>
      <c r="Q9" s="163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8"/>
      <c r="C10" s="149"/>
      <c r="D10" s="149"/>
      <c r="E10" s="149"/>
      <c r="F10" s="150"/>
      <c r="G10" s="170"/>
      <c r="H10" s="170"/>
      <c r="I10" s="51" t="s">
        <v>9</v>
      </c>
      <c r="J10" s="40">
        <f t="shared" si="0"/>
        <v>1.889824E-3</v>
      </c>
      <c r="K10" s="39">
        <f>J10/J7</f>
        <v>4.7228408859175258E-5</v>
      </c>
      <c r="L10" s="161" t="s">
        <v>69</v>
      </c>
      <c r="M10" s="162"/>
      <c r="N10" s="162"/>
      <c r="O10" s="162"/>
      <c r="P10" s="162"/>
      <c r="Q10" s="163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51" t="s">
        <v>36</v>
      </c>
      <c r="C11" s="152"/>
      <c r="D11" s="152"/>
      <c r="E11" s="152"/>
      <c r="F11" s="153"/>
      <c r="G11" s="170"/>
      <c r="H11" s="170"/>
      <c r="I11" s="186"/>
      <c r="J11" s="186"/>
      <c r="K11" s="186"/>
      <c r="L11" s="186"/>
      <c r="M11" s="186"/>
      <c r="N11" s="186"/>
      <c r="O11" s="186"/>
      <c r="P11" s="186"/>
      <c r="Q11" s="186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4"/>
      <c r="C12" s="155"/>
      <c r="D12" s="155"/>
      <c r="E12" s="155"/>
      <c r="F12" s="156"/>
      <c r="G12" s="170"/>
      <c r="H12" s="170"/>
      <c r="I12" s="49" t="s">
        <v>51</v>
      </c>
      <c r="J12" s="49" t="s">
        <v>50</v>
      </c>
      <c r="K12" s="49" t="s">
        <v>46</v>
      </c>
      <c r="L12" s="167" t="s">
        <v>39</v>
      </c>
      <c r="M12" s="168"/>
      <c r="N12" s="168"/>
      <c r="O12" s="168"/>
      <c r="P12" s="168"/>
      <c r="Q12" s="169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40" t="s">
        <v>4</v>
      </c>
      <c r="C13" s="141"/>
      <c r="D13" s="130" t="s">
        <v>39</v>
      </c>
      <c r="E13" s="130"/>
      <c r="F13" s="130"/>
      <c r="G13" s="170"/>
      <c r="H13" s="170"/>
      <c r="I13" s="50" t="s">
        <v>5</v>
      </c>
      <c r="J13" s="41">
        <f>SUM(J14:J16)</f>
        <v>40</v>
      </c>
      <c r="K13" s="38">
        <f>J13/J13</f>
        <v>1</v>
      </c>
      <c r="L13" s="161" t="s">
        <v>71</v>
      </c>
      <c r="M13" s="162"/>
      <c r="N13" s="162"/>
      <c r="O13" s="162"/>
      <c r="P13" s="162"/>
      <c r="Q13" s="163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31" t="s">
        <v>17</v>
      </c>
      <c r="E14" s="131"/>
      <c r="F14" s="131"/>
      <c r="G14" s="170"/>
      <c r="H14" s="170"/>
      <c r="I14" s="51" t="s">
        <v>43</v>
      </c>
      <c r="J14" s="41">
        <f>C14-SUM(J15:J16)</f>
        <v>39.979280000000003</v>
      </c>
      <c r="K14" s="39">
        <f>J14/J13</f>
        <v>0.99948200000000009</v>
      </c>
      <c r="L14" s="164" t="s">
        <v>70</v>
      </c>
      <c r="M14" s="165"/>
      <c r="N14" s="165"/>
      <c r="O14" s="165"/>
      <c r="P14" s="165"/>
      <c r="Q14" s="166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2" t="s">
        <v>60</v>
      </c>
      <c r="E15" s="132"/>
      <c r="F15" s="132"/>
      <c r="G15" s="170"/>
      <c r="H15" s="170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1.9199999999999998E-2</v>
      </c>
      <c r="K15" s="39">
        <f>J15/J13</f>
        <v>4.7999999999999996E-4</v>
      </c>
      <c r="L15" s="161" t="s">
        <v>69</v>
      </c>
      <c r="M15" s="162"/>
      <c r="N15" s="162"/>
      <c r="O15" s="162"/>
      <c r="P15" s="162"/>
      <c r="Q15" s="163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33" t="s">
        <v>40</v>
      </c>
      <c r="E16" s="134"/>
      <c r="F16" s="135"/>
      <c r="G16" s="170"/>
      <c r="H16" s="170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1.5200000000000001E-3</v>
      </c>
      <c r="K16" s="39">
        <f>J16/J13</f>
        <v>3.8000000000000002E-5</v>
      </c>
      <c r="L16" s="161" t="s">
        <v>69</v>
      </c>
      <c r="M16" s="162"/>
      <c r="N16" s="162"/>
      <c r="O16" s="162"/>
      <c r="P16" s="162"/>
      <c r="Q16" s="163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36" t="s">
        <v>61</v>
      </c>
      <c r="E17" s="137"/>
      <c r="F17" s="138"/>
      <c r="G17" s="170"/>
      <c r="H17" s="170"/>
      <c r="I17" s="164"/>
      <c r="J17" s="165"/>
      <c r="K17" s="165"/>
      <c r="L17" s="165"/>
      <c r="M17" s="165"/>
      <c r="N17" s="165"/>
      <c r="O17" s="165"/>
      <c r="P17" s="165"/>
      <c r="Q17" s="166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33" t="s">
        <v>41</v>
      </c>
      <c r="E18" s="134"/>
      <c r="F18" s="135"/>
      <c r="G18" s="170"/>
      <c r="H18" s="170"/>
      <c r="I18" s="49" t="s">
        <v>29</v>
      </c>
      <c r="J18" s="49" t="s">
        <v>50</v>
      </c>
      <c r="K18" s="49" t="s">
        <v>46</v>
      </c>
      <c r="L18" s="167" t="s">
        <v>39</v>
      </c>
      <c r="M18" s="168"/>
      <c r="N18" s="168"/>
      <c r="O18" s="168"/>
      <c r="P18" s="168"/>
      <c r="Q18" s="169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2"/>
      <c r="C19" s="132"/>
      <c r="D19" s="132"/>
      <c r="E19" s="132"/>
      <c r="F19" s="132"/>
      <c r="G19" s="170"/>
      <c r="H19" s="170"/>
      <c r="I19" s="50" t="s">
        <v>5</v>
      </c>
      <c r="J19" s="41">
        <f>SUM(J20:J22)</f>
        <v>1.4559999999999998E-2</v>
      </c>
      <c r="K19" s="38">
        <f>J19/J19</f>
        <v>1</v>
      </c>
      <c r="L19" s="161" t="s">
        <v>55</v>
      </c>
      <c r="M19" s="162"/>
      <c r="N19" s="162"/>
      <c r="O19" s="162"/>
      <c r="P19" s="162"/>
      <c r="Q19" s="163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40" t="s">
        <v>7</v>
      </c>
      <c r="C20" s="141"/>
      <c r="D20" s="130" t="s">
        <v>39</v>
      </c>
      <c r="E20" s="130"/>
      <c r="F20" s="130"/>
      <c r="G20" s="170"/>
      <c r="H20" s="170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1.2515775999999999E-2</v>
      </c>
      <c r="K20" s="39">
        <f>J20/J19</f>
        <v>0.85960000000000003</v>
      </c>
      <c r="L20" s="161" t="s">
        <v>69</v>
      </c>
      <c r="M20" s="162"/>
      <c r="N20" s="162"/>
      <c r="O20" s="162"/>
      <c r="P20" s="162"/>
      <c r="Q20" s="163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36" t="s">
        <v>61</v>
      </c>
      <c r="E21" s="137"/>
      <c r="F21" s="138"/>
      <c r="G21" s="170"/>
      <c r="H21" s="170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1.6743999999999999E-3</v>
      </c>
      <c r="K21" s="39">
        <f>J21/J19</f>
        <v>0.115</v>
      </c>
      <c r="L21" s="161" t="s">
        <v>69</v>
      </c>
      <c r="M21" s="162"/>
      <c r="N21" s="162"/>
      <c r="O21" s="162"/>
      <c r="P21" s="162"/>
      <c r="Q21" s="163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39" t="s">
        <v>67</v>
      </c>
      <c r="E22" s="139"/>
      <c r="F22" s="139"/>
      <c r="G22" s="170"/>
      <c r="H22" s="170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3.6982399999999999E-4</v>
      </c>
      <c r="K22" s="39">
        <f>J22/J19</f>
        <v>2.5400000000000002E-2</v>
      </c>
      <c r="L22" s="161" t="s">
        <v>69</v>
      </c>
      <c r="M22" s="162"/>
      <c r="N22" s="162"/>
      <c r="O22" s="162"/>
      <c r="P22" s="162"/>
      <c r="Q22" s="163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7"/>
      <c r="C23" s="128"/>
      <c r="D23" s="128"/>
      <c r="E23" s="128"/>
      <c r="F23" s="129"/>
      <c r="G23" s="170"/>
      <c r="H23" s="170"/>
      <c r="I23" s="181"/>
      <c r="J23" s="182"/>
      <c r="K23" s="182"/>
      <c r="L23" s="182"/>
      <c r="M23" s="182"/>
      <c r="N23" s="182"/>
      <c r="O23" s="182"/>
      <c r="P23" s="182"/>
      <c r="Q23" s="183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51" t="s">
        <v>37</v>
      </c>
      <c r="C24" s="152"/>
      <c r="D24" s="152"/>
      <c r="E24" s="152"/>
      <c r="F24" s="153"/>
      <c r="G24" s="170"/>
      <c r="H24" s="170"/>
      <c r="I24" s="175" t="s">
        <v>42</v>
      </c>
      <c r="J24" s="176"/>
      <c r="K24" s="176"/>
      <c r="L24" s="176"/>
      <c r="M24" s="176"/>
      <c r="N24" s="176"/>
      <c r="O24" s="176"/>
      <c r="P24" s="176"/>
      <c r="Q24" s="17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4"/>
      <c r="C25" s="155"/>
      <c r="D25" s="155"/>
      <c r="E25" s="155"/>
      <c r="F25" s="156"/>
      <c r="G25" s="170"/>
      <c r="H25" s="170"/>
      <c r="I25" s="178"/>
      <c r="J25" s="179"/>
      <c r="K25" s="179"/>
      <c r="L25" s="179"/>
      <c r="M25" s="179"/>
      <c r="N25" s="179"/>
      <c r="O25" s="179"/>
      <c r="P25" s="179"/>
      <c r="Q25" s="180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3" t="s">
        <v>11</v>
      </c>
      <c r="C26" s="173" t="s">
        <v>12</v>
      </c>
      <c r="D26" s="157" t="s">
        <v>47</v>
      </c>
      <c r="E26" s="157" t="s">
        <v>48</v>
      </c>
      <c r="F26" s="159" t="s">
        <v>66</v>
      </c>
      <c r="G26" s="170"/>
      <c r="H26" s="170"/>
      <c r="I26" s="184" t="s">
        <v>53</v>
      </c>
      <c r="J26" s="184" t="s">
        <v>54</v>
      </c>
      <c r="K26" s="171" t="s">
        <v>73</v>
      </c>
      <c r="L26" s="171" t="s">
        <v>52</v>
      </c>
      <c r="M26" s="171" t="s">
        <v>59</v>
      </c>
      <c r="N26" s="171" t="s">
        <v>62</v>
      </c>
      <c r="O26" s="171" t="s">
        <v>72</v>
      </c>
      <c r="P26" s="171" t="s">
        <v>64</v>
      </c>
      <c r="Q26" s="171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4"/>
      <c r="C27" s="174"/>
      <c r="D27" s="158"/>
      <c r="E27" s="158"/>
      <c r="F27" s="160"/>
      <c r="G27" s="170"/>
      <c r="H27" s="170"/>
      <c r="I27" s="185"/>
      <c r="J27" s="185"/>
      <c r="K27" s="172"/>
      <c r="L27" s="172"/>
      <c r="M27" s="172"/>
      <c r="N27" s="172"/>
      <c r="O27" s="172"/>
      <c r="P27" s="172"/>
      <c r="Q27" s="172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9"/>
      <c r="B28" s="46" t="s">
        <v>113</v>
      </c>
      <c r="C28" s="46" t="s">
        <v>114</v>
      </c>
      <c r="D28" s="47">
        <v>1.6437199999999998</v>
      </c>
      <c r="E28" s="47">
        <v>1.9024449999999995</v>
      </c>
      <c r="F28" s="98">
        <v>9.9999999999999995E-7</v>
      </c>
      <c r="G28" s="170"/>
      <c r="H28" s="170"/>
      <c r="I28" s="94">
        <f t="shared" ref="I28:I47" si="1">IF(D28=0,"",LOG($K$15*10^D28+$K$16*10^E28+$K$14))</f>
        <v>1.0151699775534529E-2</v>
      </c>
      <c r="J28" s="94">
        <f t="shared" ref="J28:J47" si="2">IF(D28=0,"",LOG($K$21*10^D28+$K$22*10^E28+$K$20))</f>
        <v>0.90045998711992936</v>
      </c>
      <c r="K28" s="95">
        <f t="shared" ref="K28:K47" si="3">IF(D28=0,"",1/(1+10^D28*$J$15/$J$14+10^E28*$J$16/$J$14+10^J28*$J$19/$J$14))</f>
        <v>0.97363689485179017</v>
      </c>
      <c r="L28" s="95">
        <f t="shared" ref="L28:L47" si="4">IF(D28=0,"",1/(1+10^I28/10^J28*$J$13/$J$19))</f>
        <v>2.819573474415991E-3</v>
      </c>
      <c r="M28" s="95">
        <f t="shared" ref="M28:M47" si="5">IF(D28=0,"",1-L28)</f>
        <v>0.99718042652558403</v>
      </c>
      <c r="N28" s="95">
        <f t="shared" ref="N28:N47" si="6">IF(D28=0,"",1/(1/10^E28*$J$20/$J$22+10^D28/10^E28*$J$21/$J$22+10^I28/10^E28*$J$13/$J$22+1))</f>
        <v>7.1945253259768642E-4</v>
      </c>
      <c r="O28" s="40">
        <f t="shared" ref="O28:O47" si="7">IF(D28=0,"",F28*K28*$J$7/$J$14)</f>
        <v>9.7449608765492147E-7</v>
      </c>
      <c r="P28" s="40">
        <f t="shared" ref="P28:P47" si="8">IF(D28=0,"",O28*10^J28)</f>
        <v>7.7489005471447232E-6</v>
      </c>
      <c r="Q28" s="40">
        <f t="shared" ref="Q28:Q47" si="9">IF(D28=0,"",F28*N28*$J$7/$J$22)</f>
        <v>7.7843992095651121E-5</v>
      </c>
      <c r="R28" s="9">
        <f>F28*$C$14</f>
        <v>3.9999999999999996E-5</v>
      </c>
      <c r="S28" s="9">
        <f>$R28*L28</f>
        <v>1.1278293897663963E-7</v>
      </c>
      <c r="T28" s="9">
        <f>R28*K28</f>
        <v>3.8945475794071602E-5</v>
      </c>
      <c r="U28" s="9">
        <f>$R28*M28</f>
        <v>3.9887217061023357E-5</v>
      </c>
      <c r="V28" s="102">
        <f>K28/M28</f>
        <v>0.97638989790862107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9"/>
      <c r="B29" s="46" t="s">
        <v>115</v>
      </c>
      <c r="C29" s="46" t="s">
        <v>116</v>
      </c>
      <c r="D29" s="47">
        <v>4.7386560000000006</v>
      </c>
      <c r="E29" s="47">
        <v>5.8355820000000005</v>
      </c>
      <c r="F29" s="98">
        <v>9.9999999999999995E-7</v>
      </c>
      <c r="G29" s="170"/>
      <c r="H29" s="170"/>
      <c r="I29" s="94">
        <f t="shared" si="1"/>
        <v>1.7268855172909561</v>
      </c>
      <c r="J29" s="94">
        <f t="shared" si="2"/>
        <v>4.3746696029949694</v>
      </c>
      <c r="K29" s="95">
        <f t="shared" si="3"/>
        <v>1.6135077101408001E-2</v>
      </c>
      <c r="L29" s="95">
        <f t="shared" si="4"/>
        <v>0.13924097462489204</v>
      </c>
      <c r="M29" s="95">
        <f t="shared" si="5"/>
        <v>0.86075902537510796</v>
      </c>
      <c r="N29" s="95">
        <f t="shared" si="6"/>
        <v>0.1022146552337133</v>
      </c>
      <c r="O29" s="40">
        <f t="shared" si="7"/>
        <v>1.6149315614961463E-8</v>
      </c>
      <c r="P29" s="40">
        <f t="shared" si="8"/>
        <v>3.8266939104300975E-4</v>
      </c>
      <c r="Q29" s="40">
        <f t="shared" si="9"/>
        <v>1.1059516025808857E-2</v>
      </c>
      <c r="R29" s="9">
        <f>F29*$C$14</f>
        <v>3.9999999999999996E-5</v>
      </c>
      <c r="S29" s="9">
        <f t="shared" ref="S29:S49" si="10">$R29*L29</f>
        <v>5.5696389849956813E-6</v>
      </c>
      <c r="T29" s="9">
        <f t="shared" ref="T29:T50" si="11">R29*K29</f>
        <v>6.4540308405632003E-7</v>
      </c>
      <c r="U29" s="9">
        <f t="shared" ref="U29:U50" si="12">$R29*M29</f>
        <v>3.4430361015004316E-5</v>
      </c>
      <c r="V29" s="102">
        <f t="shared" ref="V29:V49" si="13">K29/M29</f>
        <v>1.8745173301408645E-2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90"/>
      <c r="B30" s="46" t="s">
        <v>117</v>
      </c>
      <c r="C30" s="46" t="s">
        <v>118</v>
      </c>
      <c r="D30" s="91">
        <v>7.1429999999999998</v>
      </c>
      <c r="E30" s="91">
        <v>9.299925</v>
      </c>
      <c r="F30" s="98">
        <v>9.9999999999999995E-7</v>
      </c>
      <c r="G30" s="170"/>
      <c r="H30" s="170"/>
      <c r="I30" s="94">
        <f t="shared" si="1"/>
        <v>4.916346796550199</v>
      </c>
      <c r="J30" s="94">
        <f t="shared" si="2"/>
        <v>7.7182471648455051</v>
      </c>
      <c r="K30" s="95">
        <f t="shared" si="3"/>
        <v>9.846560939216116E-6</v>
      </c>
      <c r="L30" s="95">
        <f t="shared" si="4"/>
        <v>0.18743821698706867</v>
      </c>
      <c r="M30" s="95">
        <f t="shared" si="5"/>
        <v>0.81256178301293136</v>
      </c>
      <c r="N30" s="95">
        <f t="shared" si="6"/>
        <v>0.18170617908503797</v>
      </c>
      <c r="O30" s="40">
        <f t="shared" si="7"/>
        <v>9.8552501069533918E-12</v>
      </c>
      <c r="P30" s="40">
        <f t="shared" si="8"/>
        <v>5.1512759477486899E-4</v>
      </c>
      <c r="Q30" s="40">
        <f t="shared" si="9"/>
        <v>1.9660413616663597E-2</v>
      </c>
      <c r="R30" s="9">
        <f t="shared" ref="R30:R49" si="14">F30*$C$14</f>
        <v>3.9999999999999996E-5</v>
      </c>
      <c r="S30" s="9">
        <f t="shared" si="10"/>
        <v>7.4975286794827463E-6</v>
      </c>
      <c r="T30" s="9">
        <f t="shared" si="11"/>
        <v>3.9386243756864459E-10</v>
      </c>
      <c r="U30" s="9">
        <f t="shared" si="12"/>
        <v>3.250247132051725E-5</v>
      </c>
      <c r="V30" s="102">
        <f t="shared" si="13"/>
        <v>1.2117922778383259E-5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90"/>
      <c r="B31" s="46" t="s">
        <v>111</v>
      </c>
      <c r="C31" s="46" t="s">
        <v>112</v>
      </c>
      <c r="D31" s="47">
        <v>3.3511520000000004</v>
      </c>
      <c r="E31" s="47">
        <v>4.2962190000000007</v>
      </c>
      <c r="F31" s="98">
        <v>9.9999999999999995E-7</v>
      </c>
      <c r="G31" s="170"/>
      <c r="H31" s="170"/>
      <c r="I31" s="94">
        <f t="shared" si="1"/>
        <v>0.45156382049297444</v>
      </c>
      <c r="J31" s="94">
        <f t="shared" si="2"/>
        <v>2.8816128275856783</v>
      </c>
      <c r="K31" s="95">
        <f t="shared" si="3"/>
        <v>0.32182188267321626</v>
      </c>
      <c r="L31" s="95">
        <f t="shared" si="4"/>
        <v>8.923902264807268E-2</v>
      </c>
      <c r="M31" s="95">
        <f t="shared" si="5"/>
        <v>0.91076097735192729</v>
      </c>
      <c r="N31" s="95">
        <f t="shared" si="6"/>
        <v>5.8883646153007146E-2</v>
      </c>
      <c r="O31" s="40">
        <f t="shared" si="7"/>
        <v>3.2210587668263088E-7</v>
      </c>
      <c r="P31" s="40">
        <f t="shared" si="8"/>
        <v>2.4525138915471587E-4</v>
      </c>
      <c r="Q31" s="40">
        <f t="shared" si="9"/>
        <v>6.3711473349708876E-3</v>
      </c>
      <c r="R31" s="9">
        <f t="shared" si="14"/>
        <v>3.9999999999999996E-5</v>
      </c>
      <c r="S31" s="9">
        <f t="shared" si="10"/>
        <v>3.5695609059229068E-6</v>
      </c>
      <c r="T31" s="9">
        <f t="shared" si="11"/>
        <v>1.287287530692865E-5</v>
      </c>
      <c r="U31" s="9">
        <f t="shared" si="12"/>
        <v>3.6430439094077086E-5</v>
      </c>
      <c r="V31" s="102">
        <f t="shared" si="13"/>
        <v>0.35335493139915353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90"/>
      <c r="B32" s="46" t="s">
        <v>119</v>
      </c>
      <c r="C32" s="46" t="s">
        <v>120</v>
      </c>
      <c r="D32" s="47">
        <v>5.9183200000000005</v>
      </c>
      <c r="E32" s="47">
        <v>7.0401399999999992</v>
      </c>
      <c r="F32" s="98">
        <v>9.9999999999999995E-7</v>
      </c>
      <c r="G32" s="170"/>
      <c r="H32" s="170"/>
      <c r="I32" s="94">
        <f t="shared" si="1"/>
        <v>2.9114243406645763</v>
      </c>
      <c r="J32" s="94">
        <f t="shared" si="2"/>
        <v>5.5727318227152489</v>
      </c>
      <c r="K32" s="95">
        <f t="shared" si="3"/>
        <v>1.050325201456555E-3</v>
      </c>
      <c r="L32" s="95">
        <f t="shared" si="4"/>
        <v>0.14301513988949452</v>
      </c>
      <c r="M32" s="95">
        <f t="shared" si="5"/>
        <v>0.85698486011050545</v>
      </c>
      <c r="N32" s="95">
        <f t="shared" si="6"/>
        <v>0.10656728688720947</v>
      </c>
      <c r="O32" s="40">
        <f t="shared" si="7"/>
        <v>1.0512520684013169E-9</v>
      </c>
      <c r="P32" s="40">
        <f t="shared" si="8"/>
        <v>3.930417511000397E-4</v>
      </c>
      <c r="Q32" s="40">
        <f t="shared" si="9"/>
        <v>1.1530466100592328E-2</v>
      </c>
      <c r="R32" s="9">
        <f t="shared" si="14"/>
        <v>3.9999999999999996E-5</v>
      </c>
      <c r="S32" s="9">
        <f t="shared" si="10"/>
        <v>5.7206055955797805E-6</v>
      </c>
      <c r="T32" s="9">
        <f t="shared" si="11"/>
        <v>4.2013008058262191E-8</v>
      </c>
      <c r="U32" s="9">
        <f t="shared" si="12"/>
        <v>3.4279394404420217E-5</v>
      </c>
      <c r="V32" s="102">
        <f t="shared" si="13"/>
        <v>1.2256053173694561E-3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90"/>
      <c r="B33" s="96" t="s">
        <v>121</v>
      </c>
      <c r="C33" s="96" t="s">
        <v>122</v>
      </c>
      <c r="D33" s="97">
        <v>5.5295200000000007</v>
      </c>
      <c r="E33" s="97">
        <v>6.5305900000000001</v>
      </c>
      <c r="F33" s="98">
        <v>9.9999999999999995E-7</v>
      </c>
      <c r="G33" s="170"/>
      <c r="H33" s="170"/>
      <c r="I33" s="94">
        <f t="shared" si="1"/>
        <v>2.4659786116205753</v>
      </c>
      <c r="J33" s="94">
        <f t="shared" si="2"/>
        <v>5.0972861639869835</v>
      </c>
      <c r="K33" s="95">
        <f t="shared" si="3"/>
        <v>2.9575700517066356E-3</v>
      </c>
      <c r="L33" s="95">
        <f t="shared" si="4"/>
        <v>0.1347558446014559</v>
      </c>
      <c r="M33" s="95">
        <f t="shared" si="5"/>
        <v>0.86524415539854416</v>
      </c>
      <c r="N33" s="95">
        <f t="shared" si="6"/>
        <v>9.2829318693376628E-2</v>
      </c>
      <c r="O33" s="40">
        <f t="shared" si="7"/>
        <v>2.9601799804353223E-9</v>
      </c>
      <c r="P33" s="40">
        <f t="shared" si="8"/>
        <v>3.7034312013431577E-4</v>
      </c>
      <c r="Q33" s="40">
        <f t="shared" si="9"/>
        <v>1.0044032682073746E-2</v>
      </c>
      <c r="R33" s="9">
        <f t="shared" si="14"/>
        <v>3.9999999999999996E-5</v>
      </c>
      <c r="S33" s="9">
        <f t="shared" si="10"/>
        <v>5.3902337840582354E-6</v>
      </c>
      <c r="T33" s="9">
        <f t="shared" si="11"/>
        <v>1.1830280206826541E-7</v>
      </c>
      <c r="U33" s="9">
        <f t="shared" si="12"/>
        <v>3.4609766215941762E-5</v>
      </c>
      <c r="V33" s="102">
        <f t="shared" si="13"/>
        <v>3.4181913084918043E-3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9"/>
      <c r="B34" s="46" t="s">
        <v>123</v>
      </c>
      <c r="C34" s="46" t="s">
        <v>124</v>
      </c>
      <c r="D34" s="91">
        <v>5.4845040000000003</v>
      </c>
      <c r="E34" s="91">
        <v>6.5678879999999999</v>
      </c>
      <c r="F34" s="98">
        <v>9.9999999999999995E-7</v>
      </c>
      <c r="G34" s="170"/>
      <c r="H34" s="170"/>
      <c r="I34" s="94">
        <f t="shared" si="1"/>
        <v>2.4593424067669152</v>
      </c>
      <c r="J34" s="94">
        <f t="shared" si="2"/>
        <v>5.1106048185108754</v>
      </c>
      <c r="K34" s="95">
        <f t="shared" si="3"/>
        <v>2.9842015895363443E-3</v>
      </c>
      <c r="L34" s="95">
        <f t="shared" si="4"/>
        <v>0.14020367012537632</v>
      </c>
      <c r="M34" s="95">
        <f t="shared" si="5"/>
        <v>0.85979632987462362</v>
      </c>
      <c r="N34" s="95">
        <f t="shared" si="6"/>
        <v>0.10206486852269564</v>
      </c>
      <c r="O34" s="40">
        <f t="shared" si="7"/>
        <v>2.9868350194550126E-9</v>
      </c>
      <c r="P34" s="40">
        <f t="shared" si="8"/>
        <v>3.8531512159698336E-4</v>
      </c>
      <c r="Q34" s="40">
        <f t="shared" si="9"/>
        <v>1.1043309264389322E-2</v>
      </c>
      <c r="R34" s="9">
        <f t="shared" si="14"/>
        <v>3.9999999999999996E-5</v>
      </c>
      <c r="S34" s="9">
        <f t="shared" si="10"/>
        <v>5.6081468050150526E-6</v>
      </c>
      <c r="T34" s="9">
        <f t="shared" si="11"/>
        <v>1.1936806358145376E-7</v>
      </c>
      <c r="U34" s="9">
        <f t="shared" si="12"/>
        <v>3.4391853194984941E-5</v>
      </c>
      <c r="V34" s="102">
        <f t="shared" si="13"/>
        <v>3.4708238286752209E-3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9"/>
      <c r="B35" s="46" t="s">
        <v>125</v>
      </c>
      <c r="C35" s="46" t="s">
        <v>126</v>
      </c>
      <c r="D35" s="91">
        <v>2.7195840000000011</v>
      </c>
      <c r="E35" s="91">
        <v>3.2500779999999994</v>
      </c>
      <c r="F35" s="98">
        <v>9.9999999999999995E-7</v>
      </c>
      <c r="G35" s="170"/>
      <c r="H35" s="170"/>
      <c r="I35" s="94">
        <f t="shared" si="1"/>
        <v>0.12015758400049081</v>
      </c>
      <c r="J35" s="94">
        <f t="shared" si="2"/>
        <v>2.0266602459751883</v>
      </c>
      <c r="K35" s="95">
        <f t="shared" si="3"/>
        <v>0.73629938897973779</v>
      </c>
      <c r="L35" s="95">
        <f t="shared" si="4"/>
        <v>2.8512880408854684E-2</v>
      </c>
      <c r="M35" s="95">
        <f t="shared" si="5"/>
        <v>0.97148711959114531</v>
      </c>
      <c r="N35" s="95">
        <f t="shared" si="6"/>
        <v>1.2114139296710739E-2</v>
      </c>
      <c r="O35" s="40">
        <f t="shared" si="7"/>
        <v>7.3694914161268175E-7</v>
      </c>
      <c r="P35" s="40">
        <f t="shared" si="8"/>
        <v>7.8360601915723917E-5</v>
      </c>
      <c r="Q35" s="40">
        <f t="shared" si="9"/>
        <v>1.3107368741255019E-3</v>
      </c>
      <c r="R35" s="9">
        <f t="shared" si="14"/>
        <v>3.9999999999999996E-5</v>
      </c>
      <c r="S35" s="9">
        <f t="shared" si="10"/>
        <v>1.1405152163541873E-6</v>
      </c>
      <c r="T35" s="9">
        <f t="shared" si="11"/>
        <v>2.9451975559189509E-5</v>
      </c>
      <c r="U35" s="9">
        <f t="shared" si="12"/>
        <v>3.8859484783645812E-5</v>
      </c>
      <c r="V35" s="102">
        <f t="shared" si="13"/>
        <v>0.757909574024628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9"/>
      <c r="B36" s="46" t="s">
        <v>80</v>
      </c>
      <c r="C36" s="46" t="s">
        <v>81</v>
      </c>
      <c r="D36" s="47">
        <v>7.5547280000000008</v>
      </c>
      <c r="E36" s="47">
        <v>9.7459910000000001</v>
      </c>
      <c r="F36" s="98">
        <v>9.9999999999999995E-7</v>
      </c>
      <c r="G36" s="170"/>
      <c r="H36" s="170"/>
      <c r="I36" s="94">
        <f t="shared" si="1"/>
        <v>5.3597305230687828</v>
      </c>
      <c r="J36" s="94">
        <f t="shared" si="2"/>
        <v>8.1633023372775089</v>
      </c>
      <c r="K36" s="95">
        <f t="shared" si="3"/>
        <v>3.5447618532714359E-6</v>
      </c>
      <c r="L36" s="95">
        <f t="shared" si="4"/>
        <v>0.18802509084048211</v>
      </c>
      <c r="M36" s="95">
        <f t="shared" si="5"/>
        <v>0.81197490915951787</v>
      </c>
      <c r="N36" s="95">
        <f t="shared" si="6"/>
        <v>0.18269984820121782</v>
      </c>
      <c r="O36" s="40">
        <f t="shared" si="7"/>
        <v>3.5478899535819818E-12</v>
      </c>
      <c r="P36" s="40">
        <f t="shared" si="8"/>
        <v>5.1674047245480316E-4</v>
      </c>
      <c r="Q36" s="40">
        <f t="shared" si="9"/>
        <v>1.9767927548884123E-2</v>
      </c>
      <c r="R36" s="9">
        <f t="shared" si="14"/>
        <v>3.9999999999999996E-5</v>
      </c>
      <c r="S36" s="9">
        <f t="shared" si="10"/>
        <v>7.521003633619284E-6</v>
      </c>
      <c r="T36" s="9">
        <f t="shared" si="11"/>
        <v>1.4179047413085742E-10</v>
      </c>
      <c r="U36" s="9">
        <f t="shared" si="12"/>
        <v>3.2478996366380714E-5</v>
      </c>
      <c r="V36" s="102">
        <f t="shared" si="13"/>
        <v>4.365605160066644E-6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9"/>
      <c r="B37" s="96" t="s">
        <v>127</v>
      </c>
      <c r="C37" s="96" t="s">
        <v>128</v>
      </c>
      <c r="D37" s="97">
        <v>4.10616</v>
      </c>
      <c r="E37" s="97">
        <v>5.1108449999999994</v>
      </c>
      <c r="F37" s="98">
        <v>9.9999999999999995E-7</v>
      </c>
      <c r="G37" s="170"/>
      <c r="H37" s="170"/>
      <c r="I37" s="94">
        <f t="shared" si="1"/>
        <v>1.080392983851221</v>
      </c>
      <c r="J37" s="94">
        <f t="shared" si="2"/>
        <v>3.6764953216012835</v>
      </c>
      <c r="K37" s="95">
        <f t="shared" si="3"/>
        <v>7.2627594166799592E-2</v>
      </c>
      <c r="L37" s="95">
        <f t="shared" si="4"/>
        <v>0.12558084072766404</v>
      </c>
      <c r="M37" s="95">
        <f t="shared" si="5"/>
        <v>0.87441915927233593</v>
      </c>
      <c r="N37" s="95">
        <f t="shared" si="6"/>
        <v>8.6717506436409478E-2</v>
      </c>
      <c r="O37" s="40">
        <f t="shared" si="7"/>
        <v>7.2691684903856502E-8</v>
      </c>
      <c r="P37" s="40">
        <f t="shared" si="8"/>
        <v>3.4512789053211249E-4</v>
      </c>
      <c r="Q37" s="40">
        <f t="shared" si="9"/>
        <v>9.3827411534948887E-3</v>
      </c>
      <c r="R37" s="9">
        <f t="shared" si="14"/>
        <v>3.9999999999999996E-5</v>
      </c>
      <c r="S37" s="9">
        <f t="shared" si="10"/>
        <v>5.0232336291065613E-6</v>
      </c>
      <c r="T37" s="9">
        <f t="shared" si="11"/>
        <v>2.9051037666719833E-6</v>
      </c>
      <c r="U37" s="9">
        <f t="shared" si="12"/>
        <v>3.4976766370893434E-5</v>
      </c>
      <c r="V37" s="102">
        <f t="shared" si="13"/>
        <v>8.3058100221909584E-2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9"/>
      <c r="B38" s="46" t="s">
        <v>129</v>
      </c>
      <c r="C38" s="46" t="s">
        <v>130</v>
      </c>
      <c r="D38" s="91">
        <v>2.8295519999999996</v>
      </c>
      <c r="E38" s="91">
        <v>3.5791989999999991</v>
      </c>
      <c r="F38" s="98">
        <v>9.9999999999999995E-7</v>
      </c>
      <c r="G38" s="170"/>
      <c r="H38" s="170"/>
      <c r="I38" s="94">
        <f t="shared" si="1"/>
        <v>0.16668848098518507</v>
      </c>
      <c r="J38" s="94">
        <f t="shared" si="2"/>
        <v>2.2428373428324342</v>
      </c>
      <c r="K38" s="95">
        <f t="shared" si="3"/>
        <v>0.65259782564998359</v>
      </c>
      <c r="L38" s="95">
        <f t="shared" si="4"/>
        <v>4.1572809169360375E-2</v>
      </c>
      <c r="M38" s="95">
        <f t="shared" si="5"/>
        <v>0.95842719083063965</v>
      </c>
      <c r="N38" s="95">
        <f t="shared" si="6"/>
        <v>2.2908926853014377E-2</v>
      </c>
      <c r="O38" s="40">
        <f t="shared" si="7"/>
        <v>6.5317371524301608E-7</v>
      </c>
      <c r="P38" s="40">
        <f t="shared" si="8"/>
        <v>1.1425258701070884E-4</v>
      </c>
      <c r="Q38" s="40">
        <f t="shared" si="9"/>
        <v>2.4787213055279134E-3</v>
      </c>
      <c r="R38" s="9">
        <f t="shared" si="14"/>
        <v>3.9999999999999996E-5</v>
      </c>
      <c r="S38" s="9">
        <f t="shared" si="10"/>
        <v>1.6629123667744149E-6</v>
      </c>
      <c r="T38" s="9">
        <f t="shared" si="11"/>
        <v>2.6103913025999342E-5</v>
      </c>
      <c r="U38" s="9">
        <f t="shared" si="12"/>
        <v>3.8337087633225582E-5</v>
      </c>
      <c r="V38" s="102">
        <f t="shared" si="13"/>
        <v>0.68090495751106239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9"/>
      <c r="B39" s="46" t="s">
        <v>82</v>
      </c>
      <c r="C39" s="46" t="s">
        <v>83</v>
      </c>
      <c r="D39" s="91">
        <v>-2.3039999999996397E-3</v>
      </c>
      <c r="E39" s="91">
        <v>-1.314813</v>
      </c>
      <c r="F39" s="98">
        <v>9.9999999999999995E-7</v>
      </c>
      <c r="G39" s="170"/>
      <c r="H39" s="170"/>
      <c r="I39" s="94">
        <f t="shared" si="1"/>
        <v>-1.6807124166640264E-5</v>
      </c>
      <c r="J39" s="94">
        <f t="shared" si="2"/>
        <v>-1.0896576855994921E-2</v>
      </c>
      <c r="K39" s="95">
        <f t="shared" si="3"/>
        <v>0.99916598211591134</v>
      </c>
      <c r="L39" s="95">
        <f t="shared" si="4"/>
        <v>3.5486851498413779E-4</v>
      </c>
      <c r="M39" s="95">
        <f t="shared" si="5"/>
        <v>0.99964513148501588</v>
      </c>
      <c r="N39" s="95">
        <f t="shared" si="6"/>
        <v>4.4769759625025491E-7</v>
      </c>
      <c r="O39" s="40">
        <f t="shared" si="7"/>
        <v>1.0000477032436817E-6</v>
      </c>
      <c r="P39" s="40">
        <f t="shared" si="8"/>
        <v>9.7526837121865938E-7</v>
      </c>
      <c r="Q39" s="40">
        <f t="shared" si="9"/>
        <v>4.8440399560362773E-8</v>
      </c>
      <c r="R39" s="9">
        <f t="shared" si="14"/>
        <v>3.9999999999999996E-5</v>
      </c>
      <c r="S39" s="9">
        <f t="shared" si="10"/>
        <v>1.419474059936551E-8</v>
      </c>
      <c r="T39" s="9">
        <f t="shared" si="11"/>
        <v>3.9966639284636448E-5</v>
      </c>
      <c r="U39" s="9">
        <f t="shared" si="12"/>
        <v>3.9985805259400635E-5</v>
      </c>
      <c r="V39" s="102">
        <f t="shared" si="13"/>
        <v>0.99952068053550891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9"/>
      <c r="B40" s="46" t="s">
        <v>131</v>
      </c>
      <c r="C40" s="46" t="s">
        <v>132</v>
      </c>
      <c r="D40" s="47">
        <v>3.2352399999999997</v>
      </c>
      <c r="E40" s="47">
        <v>3.7544849999999994</v>
      </c>
      <c r="F40" s="98">
        <v>9.9999999999999995E-7</v>
      </c>
      <c r="G40" s="170"/>
      <c r="H40" s="170"/>
      <c r="I40" s="94">
        <f t="shared" si="1"/>
        <v>0.30972420580945559</v>
      </c>
      <c r="J40" s="94">
        <f t="shared" si="2"/>
        <v>2.5350986776322402</v>
      </c>
      <c r="K40" s="95">
        <f t="shared" si="3"/>
        <v>0.46160384468334131</v>
      </c>
      <c r="L40" s="95">
        <f t="shared" si="4"/>
        <v>5.7636088758986556E-2</v>
      </c>
      <c r="M40" s="95">
        <f t="shared" si="5"/>
        <v>0.94236391124101349</v>
      </c>
      <c r="N40" s="95">
        <f t="shared" si="6"/>
        <v>2.4261326390451192E-2</v>
      </c>
      <c r="O40" s="40">
        <f t="shared" si="7"/>
        <v>4.6201119027937076E-7</v>
      </c>
      <c r="P40" s="40">
        <f t="shared" si="8"/>
        <v>1.5839853927278799E-4</v>
      </c>
      <c r="Q40" s="40">
        <f t="shared" si="9"/>
        <v>2.6250494844312234E-3</v>
      </c>
      <c r="R40" s="9">
        <f t="shared" si="14"/>
        <v>3.9999999999999996E-5</v>
      </c>
      <c r="S40" s="9">
        <f t="shared" si="10"/>
        <v>2.3054435503594619E-6</v>
      </c>
      <c r="T40" s="9">
        <f t="shared" si="11"/>
        <v>1.8464153787333652E-5</v>
      </c>
      <c r="U40" s="9">
        <f t="shared" si="12"/>
        <v>3.7694556449640538E-5</v>
      </c>
      <c r="V40" s="102">
        <f t="shared" si="13"/>
        <v>0.48983608049617278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9"/>
      <c r="B41" s="96" t="s">
        <v>133</v>
      </c>
      <c r="C41" s="96" t="s">
        <v>134</v>
      </c>
      <c r="D41" s="97">
        <v>3.3303280000000011</v>
      </c>
      <c r="E41" s="97">
        <v>3.8215209999999997</v>
      </c>
      <c r="F41" s="98">
        <v>9.9999999999999995E-7</v>
      </c>
      <c r="G41" s="170"/>
      <c r="H41" s="170"/>
      <c r="I41" s="94">
        <f t="shared" si="1"/>
        <v>0.35763444792585858</v>
      </c>
      <c r="J41" s="94">
        <f t="shared" si="2"/>
        <v>2.6183785550286847</v>
      </c>
      <c r="K41" s="95">
        <f t="shared" si="3"/>
        <v>0.41137744073130289</v>
      </c>
      <c r="L41" s="95">
        <f t="shared" si="4"/>
        <v>6.2222210179961587E-2</v>
      </c>
      <c r="M41" s="95">
        <f t="shared" si="5"/>
        <v>0.93777778982003845</v>
      </c>
      <c r="N41" s="95">
        <f t="shared" si="6"/>
        <v>2.5230252396767395E-2</v>
      </c>
      <c r="O41" s="40">
        <f t="shared" si="7"/>
        <v>4.117404636799153E-7</v>
      </c>
      <c r="P41" s="40">
        <f t="shared" si="8"/>
        <v>1.7100236006721738E-4</v>
      </c>
      <c r="Q41" s="40">
        <f t="shared" si="9"/>
        <v>2.7298862387124491E-3</v>
      </c>
      <c r="R41" s="9">
        <f t="shared" si="14"/>
        <v>3.9999999999999996E-5</v>
      </c>
      <c r="S41" s="9">
        <f t="shared" si="10"/>
        <v>2.4888884071984632E-6</v>
      </c>
      <c r="T41" s="9">
        <f t="shared" si="11"/>
        <v>1.6455097629252113E-5</v>
      </c>
      <c r="U41" s="9">
        <f t="shared" si="12"/>
        <v>3.7511111592801535E-5</v>
      </c>
      <c r="V41" s="102">
        <f t="shared" si="13"/>
        <v>0.43867262073912744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90"/>
      <c r="B42" s="46" t="s">
        <v>135</v>
      </c>
      <c r="C42" s="46" t="s">
        <v>136</v>
      </c>
      <c r="D42" s="91">
        <v>4.4202640000000004</v>
      </c>
      <c r="E42" s="91">
        <v>5.6388380000000007</v>
      </c>
      <c r="F42" s="98">
        <v>9.9999999999999995E-7</v>
      </c>
      <c r="G42" s="170"/>
      <c r="H42" s="170"/>
      <c r="I42" s="94">
        <f t="shared" si="1"/>
        <v>1.4796577057346774</v>
      </c>
      <c r="J42" s="94">
        <f t="shared" si="2"/>
        <v>4.1487686637317767</v>
      </c>
      <c r="K42" s="95">
        <f t="shared" si="3"/>
        <v>2.8311688839141962E-2</v>
      </c>
      <c r="L42" s="95">
        <f t="shared" si="4"/>
        <v>0.14523150796147702</v>
      </c>
      <c r="M42" s="95">
        <f t="shared" si="5"/>
        <v>0.85476849203852301</v>
      </c>
      <c r="N42" s="95">
        <f t="shared" si="6"/>
        <v>0.11401550091518416</v>
      </c>
      <c r="O42" s="40">
        <f t="shared" si="7"/>
        <v>2.8336672690333002E-8</v>
      </c>
      <c r="P42" s="40">
        <f t="shared" si="8"/>
        <v>3.9913289074278873E-4</v>
      </c>
      <c r="Q42" s="40">
        <f t="shared" si="9"/>
        <v>1.2336354866911535E-2</v>
      </c>
      <c r="R42" s="9">
        <f t="shared" si="14"/>
        <v>3.9999999999999996E-5</v>
      </c>
      <c r="S42" s="9">
        <f t="shared" si="10"/>
        <v>5.8092603184590798E-6</v>
      </c>
      <c r="T42" s="9">
        <f t="shared" si="11"/>
        <v>1.1324675535656783E-6</v>
      </c>
      <c r="U42" s="9">
        <f t="shared" si="12"/>
        <v>3.4190739681540915E-5</v>
      </c>
      <c r="V42" s="102">
        <f t="shared" si="13"/>
        <v>3.312205480529809E-2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90"/>
      <c r="B43" s="46" t="s">
        <v>137</v>
      </c>
      <c r="C43" s="46" t="s">
        <v>138</v>
      </c>
      <c r="D43" s="91">
        <v>4.2752879999999998</v>
      </c>
      <c r="E43" s="91">
        <v>5.3084609999999994</v>
      </c>
      <c r="F43" s="98">
        <v>9.9999999999999995E-7</v>
      </c>
      <c r="G43" s="170"/>
      <c r="H43" s="170"/>
      <c r="I43" s="94">
        <f t="shared" si="1"/>
        <v>1.2498866711591912</v>
      </c>
      <c r="J43" s="94">
        <f t="shared" si="2"/>
        <v>3.8654689347124402</v>
      </c>
      <c r="K43" s="95">
        <f t="shared" si="3"/>
        <v>4.8877969022169628E-2</v>
      </c>
      <c r="L43" s="95">
        <f t="shared" si="4"/>
        <v>0.13058957034212029</v>
      </c>
      <c r="M43" s="95">
        <f t="shared" si="5"/>
        <v>0.86941042965787974</v>
      </c>
      <c r="N43" s="95">
        <f t="shared" si="6"/>
        <v>9.1988656265109742E-2</v>
      </c>
      <c r="O43" s="40">
        <f t="shared" si="7"/>
        <v>4.8921101733591698E-8</v>
      </c>
      <c r="P43" s="40">
        <f t="shared" si="8"/>
        <v>3.5889314545528816E-4</v>
      </c>
      <c r="Q43" s="40">
        <f t="shared" si="9"/>
        <v>9.9530739093179714E-3</v>
      </c>
      <c r="R43" s="9">
        <f t="shared" si="14"/>
        <v>3.9999999999999996E-5</v>
      </c>
      <c r="S43" s="9">
        <f t="shared" si="10"/>
        <v>5.2235828136848114E-6</v>
      </c>
      <c r="T43" s="9">
        <f t="shared" si="11"/>
        <v>1.9551187608867851E-6</v>
      </c>
      <c r="U43" s="9">
        <f t="shared" si="12"/>
        <v>3.4776417186315184E-5</v>
      </c>
      <c r="V43" s="102">
        <f t="shared" si="13"/>
        <v>5.6219671808404134E-2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90"/>
      <c r="B44" s="46" t="s">
        <v>84</v>
      </c>
      <c r="C44" s="46" t="s">
        <v>85</v>
      </c>
      <c r="D44" s="91">
        <v>2.7665919999999997</v>
      </c>
      <c r="E44" s="91">
        <v>3.5255839999999989</v>
      </c>
      <c r="F44" s="98">
        <v>9.9999999999999995E-7</v>
      </c>
      <c r="G44" s="170"/>
      <c r="H44" s="170"/>
      <c r="I44" s="94">
        <f t="shared" si="1"/>
        <v>0.14841008082679896</v>
      </c>
      <c r="J44" s="94">
        <f t="shared" si="2"/>
        <v>2.1853806972032932</v>
      </c>
      <c r="K44" s="95">
        <f t="shared" si="3"/>
        <v>0.68309996971943776</v>
      </c>
      <c r="L44" s="95">
        <f t="shared" si="4"/>
        <v>3.8123377520692059E-2</v>
      </c>
      <c r="M44" s="95">
        <f t="shared" si="5"/>
        <v>0.96187662247930794</v>
      </c>
      <c r="N44" s="95">
        <f t="shared" si="6"/>
        <v>2.1194754436714938E-2</v>
      </c>
      <c r="O44" s="40">
        <f t="shared" si="7"/>
        <v>6.8370277614645943E-7</v>
      </c>
      <c r="P44" s="40">
        <f t="shared" si="8"/>
        <v>1.047726770057956E-4</v>
      </c>
      <c r="Q44" s="40">
        <f t="shared" si="9"/>
        <v>2.293249689293275E-3</v>
      </c>
      <c r="R44" s="9">
        <f t="shared" si="14"/>
        <v>3.9999999999999996E-5</v>
      </c>
      <c r="S44" s="9">
        <f t="shared" si="10"/>
        <v>1.5249351008276821E-6</v>
      </c>
      <c r="T44" s="9">
        <f t="shared" si="11"/>
        <v>2.7323998788777507E-5</v>
      </c>
      <c r="U44" s="9">
        <f t="shared" si="12"/>
        <v>3.8475064899172313E-5</v>
      </c>
      <c r="V44" s="102">
        <f t="shared" si="13"/>
        <v>0.71017420920231666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90"/>
      <c r="B45" s="46" t="s">
        <v>139</v>
      </c>
      <c r="C45" s="46" t="s">
        <v>140</v>
      </c>
      <c r="D45" s="91">
        <v>4.4687359999999998</v>
      </c>
      <c r="E45" s="91">
        <v>5.2666120000000003</v>
      </c>
      <c r="F45" s="98">
        <v>9.9999999999999995E-7</v>
      </c>
      <c r="G45" s="170"/>
      <c r="H45" s="170"/>
      <c r="I45" s="94">
        <f t="shared" si="1"/>
        <v>1.3452769109111</v>
      </c>
      <c r="J45" s="94">
        <f t="shared" si="2"/>
        <v>3.9072949503750687</v>
      </c>
      <c r="K45" s="95">
        <f t="shared" si="3"/>
        <v>3.9843184791892541E-2</v>
      </c>
      <c r="L45" s="95">
        <f t="shared" si="4"/>
        <v>0.11721289768821751</v>
      </c>
      <c r="M45" s="95">
        <f t="shared" si="5"/>
        <v>0.88278710231178248</v>
      </c>
      <c r="N45" s="95">
        <f t="shared" si="6"/>
        <v>6.8096716067562083E-2</v>
      </c>
      <c r="O45" s="40">
        <f t="shared" si="7"/>
        <v>3.9878344693708131E-8</v>
      </c>
      <c r="P45" s="40">
        <f t="shared" si="8"/>
        <v>3.2213066808509908E-4</v>
      </c>
      <c r="Q45" s="40">
        <f t="shared" si="9"/>
        <v>7.3679916146286535E-3</v>
      </c>
      <c r="R45" s="9">
        <f t="shared" si="14"/>
        <v>3.9999999999999996E-5</v>
      </c>
      <c r="S45" s="9">
        <f t="shared" si="10"/>
        <v>4.6885159075286996E-6</v>
      </c>
      <c r="T45" s="9">
        <f t="shared" si="11"/>
        <v>1.5937273916757015E-6</v>
      </c>
      <c r="U45" s="9">
        <f t="shared" si="12"/>
        <v>3.5311484092471297E-5</v>
      </c>
      <c r="V45" s="102">
        <f t="shared" si="13"/>
        <v>4.5133401572761918E-2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9"/>
      <c r="B46" s="46" t="s">
        <v>86</v>
      </c>
      <c r="C46" s="46" t="s">
        <v>87</v>
      </c>
      <c r="D46" s="93">
        <v>2.6972559999999999</v>
      </c>
      <c r="E46" s="93">
        <v>3.431432</v>
      </c>
      <c r="F46" s="98">
        <v>9.9999999999999995E-7</v>
      </c>
      <c r="G46" s="170"/>
      <c r="H46" s="170"/>
      <c r="I46" s="94">
        <f t="shared" si="1"/>
        <v>0.12747825886296771</v>
      </c>
      <c r="J46" s="94">
        <f t="shared" si="2"/>
        <v>2.1028585007358584</v>
      </c>
      <c r="K46" s="95">
        <f t="shared" si="3"/>
        <v>0.7204614716182216</v>
      </c>
      <c r="L46" s="95">
        <f t="shared" si="4"/>
        <v>3.3250307655448202E-2</v>
      </c>
      <c r="M46" s="95">
        <f t="shared" si="5"/>
        <v>0.96674969234455177</v>
      </c>
      <c r="N46" s="95">
        <f t="shared" si="6"/>
        <v>1.7997114675635511E-2</v>
      </c>
      <c r="O46" s="40">
        <f t="shared" si="7"/>
        <v>7.2109724796833816E-7</v>
      </c>
      <c r="P46" s="40">
        <f t="shared" si="8"/>
        <v>9.1380249361084593E-5</v>
      </c>
      <c r="Q46" s="40">
        <f t="shared" si="9"/>
        <v>1.9472684980290564E-3</v>
      </c>
      <c r="R46" s="9">
        <f t="shared" si="14"/>
        <v>3.9999999999999996E-5</v>
      </c>
      <c r="S46" s="9">
        <f t="shared" si="10"/>
        <v>1.330012306217928E-6</v>
      </c>
      <c r="T46" s="9">
        <f t="shared" si="11"/>
        <v>2.8818458864728862E-5</v>
      </c>
      <c r="U46" s="9">
        <f t="shared" si="12"/>
        <v>3.8669987693782066E-5</v>
      </c>
      <c r="V46" s="102">
        <f t="shared" si="13"/>
        <v>0.74524096291250486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9"/>
      <c r="B47" s="46" t="s">
        <v>141</v>
      </c>
      <c r="C47" s="46" t="s">
        <v>142</v>
      </c>
      <c r="D47" s="91">
        <v>3.859360000000001</v>
      </c>
      <c r="E47" s="91">
        <v>4.2614199999999993</v>
      </c>
      <c r="F47" s="98">
        <v>9.9999999999999995E-7</v>
      </c>
      <c r="G47" s="170"/>
      <c r="H47" s="170"/>
      <c r="I47" s="94">
        <f t="shared" si="1"/>
        <v>0.71310437974280194</v>
      </c>
      <c r="J47" s="94">
        <f t="shared" si="2"/>
        <v>3.1127564089177628</v>
      </c>
      <c r="K47" s="95">
        <f t="shared" si="3"/>
        <v>0.17729757250196074</v>
      </c>
      <c r="L47" s="95">
        <f t="shared" si="4"/>
        <v>8.3711592683176544E-2</v>
      </c>
      <c r="M47" s="95">
        <f t="shared" si="5"/>
        <v>0.91628840731682348</v>
      </c>
      <c r="N47" s="95">
        <f t="shared" si="6"/>
        <v>2.994214523091944E-2</v>
      </c>
      <c r="O47" s="40">
        <f t="shared" si="7"/>
        <v>1.774540300058945E-7</v>
      </c>
      <c r="P47" s="40">
        <f t="shared" si="8"/>
        <v>2.3006061456844291E-4</v>
      </c>
      <c r="Q47" s="40">
        <f t="shared" si="9"/>
        <v>3.2397079877761852E-3</v>
      </c>
      <c r="R47" s="9">
        <f t="shared" si="14"/>
        <v>3.9999999999999996E-5</v>
      </c>
      <c r="S47" s="9">
        <f t="shared" si="10"/>
        <v>3.3484637073270614E-6</v>
      </c>
      <c r="T47" s="9">
        <f t="shared" si="11"/>
        <v>7.0919029000784291E-6</v>
      </c>
      <c r="U47" s="9">
        <f t="shared" si="12"/>
        <v>3.6651536292672934E-5</v>
      </c>
      <c r="V47" s="102">
        <f t="shared" si="13"/>
        <v>0.19349537884162804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9"/>
      <c r="B48" s="46" t="s">
        <v>143</v>
      </c>
      <c r="C48" s="46" t="s">
        <v>144</v>
      </c>
      <c r="D48" s="91">
        <v>2.0184960000000003</v>
      </c>
      <c r="E48" s="91">
        <v>2.3512620000000002</v>
      </c>
      <c r="F48" s="98">
        <v>9.9999999999999995E-7</v>
      </c>
      <c r="G48" s="170"/>
      <c r="H48" s="170"/>
      <c r="I48" s="94">
        <f t="shared" ref="I48:I50" si="15">IF(D48=0,"",LOG($K$15*10^D48+$K$16*10^E48+$K$14))</f>
        <v>2.4527660835054643E-2</v>
      </c>
      <c r="J48" s="94">
        <f t="shared" ref="J48:J50" si="16">IF(D48=0,"",LOG($K$21*10^D48+$K$22*10^E48+$K$20))</f>
        <v>1.2686445962783865</v>
      </c>
      <c r="K48" s="95">
        <f t="shared" ref="K48:K50" si="17">IF(D48=0,"",1/(1+10^D48*$J$15/$J$14+10^E48*$J$16/$J$14+10^J48*$J$19/$J$14))</f>
        <v>0.93860485643642533</v>
      </c>
      <c r="L48" s="95">
        <f t="shared" ref="L48:L50" si="18">IF(D48=0,"",1/(1+10^I48/10^J48*$J$13/$J$19))</f>
        <v>6.3453239578750483E-3</v>
      </c>
      <c r="M48" s="95">
        <f t="shared" ref="M48:M92" si="19">IF(D48=0,"",1-L48)</f>
        <v>0.99365467604212498</v>
      </c>
      <c r="N48" s="95">
        <f t="shared" ref="N48:N50" si="20">IF(D48=0,"",1/(1/10^E48*$J$20/$J$22+10^D48/10^E48*$J$21/$J$22+10^I48/10^E48*$J$13/$J$22+1))</f>
        <v>1.9494177676930553E-3</v>
      </c>
      <c r="O48" s="40">
        <f t="shared" ref="O48:O92" si="21">IF(D48=0,"",F48*K48*$J$7/$J$14)</f>
        <v>9.3943313496808166E-7</v>
      </c>
      <c r="P48" s="40">
        <f t="shared" ref="P48:P50" si="22">IF(D48=0,"",O48*10^J48)</f>
        <v>1.7438553999438777E-5</v>
      </c>
      <c r="Q48" s="40">
        <f t="shared" ref="Q48:Q50" si="23">IF(D48=0,"",F48*N48*$J$7/$J$22)</f>
        <v>2.1092491085062038E-4</v>
      </c>
      <c r="R48" s="9">
        <f t="shared" si="14"/>
        <v>3.9999999999999996E-5</v>
      </c>
      <c r="S48" s="9">
        <f t="shared" si="10"/>
        <v>2.5381295831500192E-7</v>
      </c>
      <c r="T48" s="9">
        <f t="shared" si="11"/>
        <v>3.7544194257457008E-5</v>
      </c>
      <c r="U48" s="9">
        <f t="shared" si="12"/>
        <v>3.9746187041684999E-5</v>
      </c>
      <c r="V48" s="102">
        <f t="shared" si="13"/>
        <v>0.94459864082261324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9"/>
      <c r="B49" s="46" t="s">
        <v>145</v>
      </c>
      <c r="C49" s="46" t="s">
        <v>146</v>
      </c>
      <c r="D49" s="91">
        <v>1.4665360000000003</v>
      </c>
      <c r="E49" s="91">
        <v>1.8522119999999997</v>
      </c>
      <c r="F49" s="98">
        <v>9.9999999999999995E-7</v>
      </c>
      <c r="G49" s="170"/>
      <c r="H49" s="170"/>
      <c r="I49" s="94">
        <f t="shared" si="15"/>
        <v>6.9959414880738915E-3</v>
      </c>
      <c r="J49" s="94">
        <f t="shared" si="16"/>
        <v>0.78059756535561797</v>
      </c>
      <c r="K49" s="95">
        <f t="shared" si="17"/>
        <v>0.98138956051367021</v>
      </c>
      <c r="L49" s="95">
        <f t="shared" si="18"/>
        <v>2.1565791679670704E-3</v>
      </c>
      <c r="M49" s="95">
        <f t="shared" si="19"/>
        <v>0.99784342083203292</v>
      </c>
      <c r="N49" s="95">
        <f t="shared" si="20"/>
        <v>6.4597179667282673E-4</v>
      </c>
      <c r="O49" s="40">
        <f t="shared" si="21"/>
        <v>9.8225559471175772E-7</v>
      </c>
      <c r="P49" s="40">
        <f t="shared" si="22"/>
        <v>5.9268246230335448E-6</v>
      </c>
      <c r="Q49" s="40">
        <f t="shared" si="23"/>
        <v>6.989345530920824E-5</v>
      </c>
      <c r="R49" s="9">
        <f t="shared" si="14"/>
        <v>3.9999999999999996E-5</v>
      </c>
      <c r="S49" s="9">
        <f t="shared" si="10"/>
        <v>8.6263166718682815E-8</v>
      </c>
      <c r="T49" s="9">
        <f t="shared" si="11"/>
        <v>3.9255582420546805E-5</v>
      </c>
      <c r="U49" s="9">
        <f t="shared" si="12"/>
        <v>3.9913736833281315E-5</v>
      </c>
      <c r="V49" s="102">
        <f t="shared" si="13"/>
        <v>0.98351057893968674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9"/>
      <c r="B50" s="46" t="s">
        <v>147</v>
      </c>
      <c r="C50" s="46" t="s">
        <v>148</v>
      </c>
      <c r="D50" s="91"/>
      <c r="E50" s="91"/>
      <c r="F50" s="92"/>
      <c r="G50" s="170"/>
      <c r="H50" s="170"/>
      <c r="I50" s="94" t="str">
        <f t="shared" si="15"/>
        <v/>
      </c>
      <c r="J50" s="94" t="str">
        <f t="shared" si="16"/>
        <v/>
      </c>
      <c r="K50" s="95" t="str">
        <f t="shared" si="17"/>
        <v/>
      </c>
      <c r="L50" s="95" t="str">
        <f t="shared" si="18"/>
        <v/>
      </c>
      <c r="M50" s="95" t="str">
        <f t="shared" si="19"/>
        <v/>
      </c>
      <c r="N50" s="95" t="str">
        <f t="shared" si="20"/>
        <v/>
      </c>
      <c r="O50" s="40" t="str">
        <f t="shared" si="21"/>
        <v/>
      </c>
      <c r="P50" s="40" t="str">
        <f t="shared" si="22"/>
        <v/>
      </c>
      <c r="Q50" s="40" t="str">
        <f t="shared" si="23"/>
        <v/>
      </c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9"/>
      <c r="B51" s="46" t="s">
        <v>149</v>
      </c>
      <c r="C51" s="46" t="s">
        <v>150</v>
      </c>
      <c r="D51" s="91"/>
      <c r="E51" s="91"/>
      <c r="F51" s="92"/>
      <c r="G51" s="170"/>
      <c r="H51" s="170"/>
      <c r="I51" s="94" t="str">
        <f t="shared" ref="I51:I70" si="24">IF(D51=0,"",LOG($K$15*10^D51+$K$16*10^E51+$K$14))</f>
        <v/>
      </c>
      <c r="J51" s="94" t="str">
        <f t="shared" ref="J51:J70" si="25">IF(D51=0,"",LOG($K$21*10^D51+$K$22*10^E51+$K$20))</f>
        <v/>
      </c>
      <c r="K51" s="95" t="str">
        <f t="shared" ref="K51:K70" si="26">IF(D51=0,"",1/(1+10^D51*$J$15/$J$14+10^E51*$J$16/$J$14+10^J51*$J$19/$J$14))</f>
        <v/>
      </c>
      <c r="L51" s="95" t="str">
        <f t="shared" ref="L51:L70" si="27">IF(D51=0,"",1/(1+10^I51/10^J51*$J$13/$J$19))</f>
        <v/>
      </c>
      <c r="M51" s="95" t="str">
        <f t="shared" ref="M51:M70" si="28">IF(D51=0,"",1-L51)</f>
        <v/>
      </c>
      <c r="N51" s="95" t="str">
        <f t="shared" ref="N51:N70" si="29">IF(D51=0,"",1/(1/10^E51*$J$20/$J$22+10^D51/10^E51*$J$21/$J$22+10^I51/10^E51*$J$13/$J$22+1))</f>
        <v/>
      </c>
      <c r="O51" s="40" t="str">
        <f t="shared" ref="O51:O70" si="30">IF(D51=0,"",F51*K51*$J$7/$J$14)</f>
        <v/>
      </c>
      <c r="P51" s="40" t="str">
        <f t="shared" ref="P51:P70" si="31">IF(D51=0,"",O51*10^J51)</f>
        <v/>
      </c>
      <c r="Q51" s="40" t="str">
        <f t="shared" ref="Q51:Q70" si="32">IF(D51=0,"",F51*N51*$J$7/$J$22)</f>
        <v/>
      </c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151</v>
      </c>
      <c r="C52" s="46" t="s">
        <v>152</v>
      </c>
      <c r="D52" s="47"/>
      <c r="E52" s="47"/>
      <c r="F52" s="92"/>
      <c r="G52" s="170"/>
      <c r="H52" s="170"/>
      <c r="I52" s="94" t="str">
        <f t="shared" si="24"/>
        <v/>
      </c>
      <c r="J52" s="94" t="str">
        <f t="shared" si="25"/>
        <v/>
      </c>
      <c r="K52" s="95" t="str">
        <f t="shared" si="26"/>
        <v/>
      </c>
      <c r="L52" s="95" t="str">
        <f t="shared" si="27"/>
        <v/>
      </c>
      <c r="M52" s="95" t="str">
        <f t="shared" si="28"/>
        <v/>
      </c>
      <c r="N52" s="95" t="str">
        <f t="shared" si="29"/>
        <v/>
      </c>
      <c r="O52" s="40" t="str">
        <f t="shared" si="30"/>
        <v/>
      </c>
      <c r="P52" s="40" t="str">
        <f t="shared" si="31"/>
        <v/>
      </c>
      <c r="Q52" s="40" t="str">
        <f t="shared" si="32"/>
        <v/>
      </c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153</v>
      </c>
      <c r="C53" s="46" t="s">
        <v>154</v>
      </c>
      <c r="D53" s="47"/>
      <c r="E53" s="47"/>
      <c r="F53" s="92"/>
      <c r="G53" s="170"/>
      <c r="H53" s="170"/>
      <c r="I53" s="94" t="str">
        <f t="shared" si="24"/>
        <v/>
      </c>
      <c r="J53" s="94" t="str">
        <f t="shared" si="25"/>
        <v/>
      </c>
      <c r="K53" s="95" t="str">
        <f t="shared" si="26"/>
        <v/>
      </c>
      <c r="L53" s="95" t="str">
        <f t="shared" si="27"/>
        <v/>
      </c>
      <c r="M53" s="95" t="str">
        <f t="shared" si="28"/>
        <v/>
      </c>
      <c r="N53" s="95" t="str">
        <f t="shared" si="29"/>
        <v/>
      </c>
      <c r="O53" s="40" t="str">
        <f t="shared" si="30"/>
        <v/>
      </c>
      <c r="P53" s="40" t="str">
        <f t="shared" si="31"/>
        <v/>
      </c>
      <c r="Q53" s="40" t="str">
        <f t="shared" si="32"/>
        <v/>
      </c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155</v>
      </c>
      <c r="C54" s="46" t="s">
        <v>156</v>
      </c>
      <c r="D54" s="47"/>
      <c r="E54" s="47"/>
      <c r="F54" s="92"/>
      <c r="G54" s="170"/>
      <c r="H54" s="170"/>
      <c r="I54" s="94" t="str">
        <f t="shared" si="24"/>
        <v/>
      </c>
      <c r="J54" s="94" t="str">
        <f t="shared" si="25"/>
        <v/>
      </c>
      <c r="K54" s="95" t="str">
        <f t="shared" si="26"/>
        <v/>
      </c>
      <c r="L54" s="95" t="str">
        <f t="shared" si="27"/>
        <v/>
      </c>
      <c r="M54" s="95" t="str">
        <f t="shared" si="28"/>
        <v/>
      </c>
      <c r="N54" s="95" t="str">
        <f t="shared" si="29"/>
        <v/>
      </c>
      <c r="O54" s="40" t="str">
        <f t="shared" si="30"/>
        <v/>
      </c>
      <c r="P54" s="40" t="str">
        <f t="shared" si="31"/>
        <v/>
      </c>
      <c r="Q54" s="40" t="str">
        <f t="shared" si="32"/>
        <v/>
      </c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157</v>
      </c>
      <c r="C55" s="46" t="s">
        <v>158</v>
      </c>
      <c r="D55" s="47"/>
      <c r="E55" s="47"/>
      <c r="F55" s="57"/>
      <c r="G55" s="170"/>
      <c r="H55" s="170"/>
      <c r="I55" s="54" t="str">
        <f t="shared" si="24"/>
        <v/>
      </c>
      <c r="J55" s="54" t="str">
        <f t="shared" si="25"/>
        <v/>
      </c>
      <c r="K55" s="55" t="str">
        <f t="shared" si="26"/>
        <v/>
      </c>
      <c r="L55" s="55" t="str">
        <f t="shared" si="27"/>
        <v/>
      </c>
      <c r="M55" s="55" t="str">
        <f t="shared" si="28"/>
        <v/>
      </c>
      <c r="N55" s="55" t="str">
        <f t="shared" si="29"/>
        <v/>
      </c>
      <c r="O55" s="56" t="str">
        <f t="shared" si="30"/>
        <v/>
      </c>
      <c r="P55" s="56" t="str">
        <f t="shared" si="31"/>
        <v/>
      </c>
      <c r="Q55" s="56" t="str">
        <f t="shared" si="32"/>
        <v/>
      </c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159</v>
      </c>
      <c r="C56" s="46" t="s">
        <v>160</v>
      </c>
      <c r="D56" s="47"/>
      <c r="E56" s="47"/>
      <c r="F56" s="57"/>
      <c r="G56" s="170"/>
      <c r="H56" s="170"/>
      <c r="I56" s="54" t="str">
        <f t="shared" si="24"/>
        <v/>
      </c>
      <c r="J56" s="54" t="str">
        <f t="shared" si="25"/>
        <v/>
      </c>
      <c r="K56" s="55" t="str">
        <f t="shared" si="26"/>
        <v/>
      </c>
      <c r="L56" s="55" t="str">
        <f t="shared" si="27"/>
        <v/>
      </c>
      <c r="M56" s="55" t="str">
        <f t="shared" si="28"/>
        <v/>
      </c>
      <c r="N56" s="55" t="str">
        <f t="shared" si="29"/>
        <v/>
      </c>
      <c r="O56" s="56" t="str">
        <f t="shared" si="30"/>
        <v/>
      </c>
      <c r="P56" s="56" t="str">
        <f t="shared" si="31"/>
        <v/>
      </c>
      <c r="Q56" s="56" t="str">
        <f t="shared" si="32"/>
        <v/>
      </c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8" t="s">
        <v>88</v>
      </c>
      <c r="C57" s="88" t="s">
        <v>89</v>
      </c>
      <c r="D57" s="91">
        <v>6.5247999999999973E-2</v>
      </c>
      <c r="E57" s="91">
        <v>8.2216000000000289E-2</v>
      </c>
      <c r="F57" s="98">
        <v>9.9999999999999995E-7</v>
      </c>
      <c r="G57" s="170"/>
      <c r="H57" s="170"/>
      <c r="I57" s="54">
        <f t="shared" si="24"/>
        <v>3.7232006014196545E-5</v>
      </c>
      <c r="J57" s="54">
        <f t="shared" si="25"/>
        <v>1.0273074416240108E-2</v>
      </c>
      <c r="K57" s="55">
        <f t="shared" si="26"/>
        <v>0.99902400097748756</v>
      </c>
      <c r="L57" s="55">
        <f t="shared" si="27"/>
        <v>3.725421382481188E-4</v>
      </c>
      <c r="M57" s="55">
        <f t="shared" si="28"/>
        <v>0.99962745786175189</v>
      </c>
      <c r="N57" s="55">
        <f t="shared" si="29"/>
        <v>1.1167399303432763E-5</v>
      </c>
      <c r="O57" s="56">
        <f t="shared" si="30"/>
        <v>9.9990559681299252E-7</v>
      </c>
      <c r="P57" s="56">
        <f t="shared" si="31"/>
        <v>1.0238399549078054E-6</v>
      </c>
      <c r="Q57" s="56">
        <f t="shared" si="32"/>
        <v>1.2083006226506893E-6</v>
      </c>
      <c r="R57" s="9">
        <f t="shared" ref="R57:R58" si="33">F57*$C$14</f>
        <v>3.9999999999999996E-5</v>
      </c>
      <c r="S57" s="9">
        <f t="shared" ref="S57:S58" si="34">$R57*L57</f>
        <v>1.4901685529924752E-8</v>
      </c>
      <c r="T57" s="9">
        <f t="shared" ref="T57:T58" si="35">R57*K57</f>
        <v>3.9960960039099498E-5</v>
      </c>
      <c r="U57" s="9">
        <f t="shared" ref="U57:U58" si="36">$R57*M57</f>
        <v>3.9985098314470074E-5</v>
      </c>
      <c r="V57" s="102">
        <f t="shared" ref="V57:V58" si="37">K57/M57</f>
        <v>0.99939631821883412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161</v>
      </c>
      <c r="C58" s="46" t="s">
        <v>162</v>
      </c>
      <c r="D58" s="47">
        <v>2.1823520000000003</v>
      </c>
      <c r="E58" s="47">
        <v>2.5882690000000008</v>
      </c>
      <c r="F58" s="98">
        <v>9.9999999999999995E-7</v>
      </c>
      <c r="G58" s="170"/>
      <c r="H58" s="170"/>
      <c r="I58" s="54">
        <f t="shared" si="24"/>
        <v>3.6330362911661196E-2</v>
      </c>
      <c r="J58" s="54">
        <f t="shared" si="25"/>
        <v>1.450287820543547</v>
      </c>
      <c r="K58" s="55">
        <f t="shared" si="26"/>
        <v>0.91067474320000719</v>
      </c>
      <c r="L58" s="55">
        <f t="shared" si="27"/>
        <v>9.3535725460805984E-3</v>
      </c>
      <c r="M58" s="55">
        <f t="shared" si="28"/>
        <v>0.9906464274539194</v>
      </c>
      <c r="N58" s="55">
        <f t="shared" si="29"/>
        <v>3.2643176636195071E-3</v>
      </c>
      <c r="O58" s="56">
        <f t="shared" si="30"/>
        <v>9.1147837460457706E-7</v>
      </c>
      <c r="P58" s="56">
        <f t="shared" si="31"/>
        <v>2.570598144639388E-5</v>
      </c>
      <c r="Q58" s="56">
        <f t="shared" si="32"/>
        <v>3.5319566877747952E-4</v>
      </c>
      <c r="R58" s="9">
        <f t="shared" si="33"/>
        <v>3.9999999999999996E-5</v>
      </c>
      <c r="S58" s="9">
        <f t="shared" si="34"/>
        <v>3.7414290184322392E-7</v>
      </c>
      <c r="T58" s="9">
        <f t="shared" si="35"/>
        <v>3.6426989728000287E-5</v>
      </c>
      <c r="U58" s="9">
        <f t="shared" si="36"/>
        <v>3.9625857098156772E-5</v>
      </c>
      <c r="V58" s="102">
        <f t="shared" si="37"/>
        <v>0.91927323206580469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163</v>
      </c>
      <c r="C59" s="46" t="s">
        <v>164</v>
      </c>
      <c r="D59" s="47"/>
      <c r="E59" s="47"/>
      <c r="F59" s="57"/>
      <c r="G59" s="170"/>
      <c r="H59" s="170"/>
      <c r="I59" s="54" t="str">
        <f t="shared" si="24"/>
        <v/>
      </c>
      <c r="J59" s="54" t="str">
        <f t="shared" si="25"/>
        <v/>
      </c>
      <c r="K59" s="55" t="str">
        <f t="shared" si="26"/>
        <v/>
      </c>
      <c r="L59" s="55" t="str">
        <f t="shared" si="27"/>
        <v/>
      </c>
      <c r="M59" s="55" t="str">
        <f t="shared" si="28"/>
        <v/>
      </c>
      <c r="N59" s="55" t="str">
        <f t="shared" si="29"/>
        <v/>
      </c>
      <c r="O59" s="56" t="str">
        <f t="shared" si="30"/>
        <v/>
      </c>
      <c r="P59" s="56" t="str">
        <f t="shared" si="31"/>
        <v/>
      </c>
      <c r="Q59" s="56" t="str">
        <f t="shared" si="32"/>
        <v/>
      </c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90</v>
      </c>
      <c r="C60" s="46" t="s">
        <v>91</v>
      </c>
      <c r="D60" s="47">
        <v>2.3628240000000003</v>
      </c>
      <c r="E60" s="47">
        <v>2.5674030000000005</v>
      </c>
      <c r="F60" s="98">
        <v>9.9999999999999995E-7</v>
      </c>
      <c r="G60" s="170"/>
      <c r="H60" s="170"/>
      <c r="I60" s="54">
        <f t="shared" si="24"/>
        <v>5.084171441621077E-2</v>
      </c>
      <c r="J60" s="54">
        <f t="shared" si="25"/>
        <v>1.5653421395421836</v>
      </c>
      <c r="K60" s="55">
        <f t="shared" si="26"/>
        <v>0.87860773389510316</v>
      </c>
      <c r="L60" s="55">
        <f t="shared" si="27"/>
        <v>1.1761523152455726E-2</v>
      </c>
      <c r="M60" s="55">
        <f t="shared" si="28"/>
        <v>0.98823847684754429</v>
      </c>
      <c r="N60" s="55">
        <f t="shared" si="29"/>
        <v>3.0016368257328161E-3</v>
      </c>
      <c r="O60" s="56">
        <f t="shared" si="30"/>
        <v>8.7938306753922635E-7</v>
      </c>
      <c r="P60" s="56">
        <f t="shared" si="31"/>
        <v>3.2323638315613245E-5</v>
      </c>
      <c r="Q60" s="56">
        <f t="shared" si="32"/>
        <v>3.247738839596547E-4</v>
      </c>
      <c r="R60" s="9">
        <f t="shared" ref="R60:R65" si="38">F60*$C$14</f>
        <v>3.9999999999999996E-5</v>
      </c>
      <c r="S60" s="9">
        <f t="shared" ref="S60:S93" si="39">$R60*L60</f>
        <v>4.70460926098229E-7</v>
      </c>
      <c r="T60" s="9">
        <f t="shared" ref="T60:T93" si="40">R60*K60</f>
        <v>3.5144309355804124E-5</v>
      </c>
      <c r="U60" s="9">
        <f t="shared" ref="U60:U93" si="41">$R60*M60</f>
        <v>3.952953907390177E-5</v>
      </c>
      <c r="V60" s="102">
        <f t="shared" ref="V60:V93" si="42">K60/M60</f>
        <v>0.88906448643635039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92</v>
      </c>
      <c r="C61" s="46" t="s">
        <v>93</v>
      </c>
      <c r="D61" s="47">
        <v>3.2672240000000001</v>
      </c>
      <c r="E61" s="47">
        <v>3.6253630000000006</v>
      </c>
      <c r="F61" s="98">
        <v>9.9999999999999995E-7</v>
      </c>
      <c r="G61" s="170"/>
      <c r="H61" s="170"/>
      <c r="I61" s="54">
        <f t="shared" si="24"/>
        <v>0.31132307136990117</v>
      </c>
      <c r="J61" s="54">
        <f t="shared" si="25"/>
        <v>2.5062826664965989</v>
      </c>
      <c r="K61" s="55">
        <f t="shared" si="26"/>
        <v>0.46170744709618988</v>
      </c>
      <c r="L61" s="55">
        <f t="shared" si="27"/>
        <v>5.3948074990101229E-2</v>
      </c>
      <c r="M61" s="55">
        <f t="shared" si="28"/>
        <v>0.94605192500989876</v>
      </c>
      <c r="N61" s="55">
        <f t="shared" si="29"/>
        <v>1.8025611334674226E-2</v>
      </c>
      <c r="O61" s="56">
        <f t="shared" si="30"/>
        <v>4.6211488411690546E-7</v>
      </c>
      <c r="P61" s="56">
        <f t="shared" si="31"/>
        <v>1.4826294530054297E-4</v>
      </c>
      <c r="Q61" s="56">
        <f t="shared" si="32"/>
        <v>1.9503518059617601E-3</v>
      </c>
      <c r="R61" s="9">
        <f t="shared" si="38"/>
        <v>3.9999999999999996E-5</v>
      </c>
      <c r="S61" s="9">
        <f t="shared" si="39"/>
        <v>2.1579229996040491E-6</v>
      </c>
      <c r="T61" s="9">
        <f t="shared" si="40"/>
        <v>1.8468297883847594E-5</v>
      </c>
      <c r="U61" s="9">
        <f t="shared" si="41"/>
        <v>3.7842077000395949E-5</v>
      </c>
      <c r="V61" s="102">
        <f t="shared" si="42"/>
        <v>0.4880360526631336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165</v>
      </c>
      <c r="C62" s="46" t="s">
        <v>110</v>
      </c>
      <c r="D62" s="47">
        <v>2.9091840000000002</v>
      </c>
      <c r="E62" s="47">
        <v>3.4102429999999995</v>
      </c>
      <c r="F62" s="98">
        <v>9.9999999999999995E-7</v>
      </c>
      <c r="G62" s="170"/>
      <c r="H62" s="170"/>
      <c r="I62" s="54">
        <f t="shared" si="24"/>
        <v>0.17220522092565899</v>
      </c>
      <c r="J62" s="54">
        <f t="shared" si="25"/>
        <v>2.2027177618564382</v>
      </c>
      <c r="K62" s="55">
        <f t="shared" si="26"/>
        <v>0.64704364619288679</v>
      </c>
      <c r="L62" s="55">
        <f t="shared" si="27"/>
        <v>3.758181455595605E-2</v>
      </c>
      <c r="M62" s="55">
        <f t="shared" si="28"/>
        <v>0.96241818544404389</v>
      </c>
      <c r="N62" s="55">
        <f t="shared" si="29"/>
        <v>1.539347603816393E-2</v>
      </c>
      <c r="O62" s="56">
        <f t="shared" si="30"/>
        <v>6.4761463446075161E-7</v>
      </c>
      <c r="P62" s="56">
        <f t="shared" si="31"/>
        <v>1.032843251001495E-4</v>
      </c>
      <c r="Q62" s="56">
        <f t="shared" si="32"/>
        <v>1.6655575910099749E-3</v>
      </c>
      <c r="R62" s="9">
        <f t="shared" si="38"/>
        <v>3.9999999999999996E-5</v>
      </c>
      <c r="S62" s="9">
        <f t="shared" si="39"/>
        <v>1.5032725822382419E-6</v>
      </c>
      <c r="T62" s="9">
        <f t="shared" si="40"/>
        <v>2.5881745847715469E-5</v>
      </c>
      <c r="U62" s="9">
        <f t="shared" si="41"/>
        <v>3.8496727417761753E-5</v>
      </c>
      <c r="V62" s="102">
        <f t="shared" si="42"/>
        <v>0.67231028671216508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94</v>
      </c>
      <c r="C63" s="46" t="s">
        <v>95</v>
      </c>
      <c r="D63" s="47">
        <v>2.857424</v>
      </c>
      <c r="E63" s="47">
        <v>3.3289280000000003</v>
      </c>
      <c r="F63" s="98">
        <v>9.9999999999999995E-7</v>
      </c>
      <c r="G63" s="170"/>
      <c r="H63" s="170"/>
      <c r="I63" s="54">
        <f t="shared" si="24"/>
        <v>0.15417954710270029</v>
      </c>
      <c r="J63" s="54">
        <f t="shared" si="25"/>
        <v>2.1393986002694843</v>
      </c>
      <c r="K63" s="55">
        <f t="shared" si="26"/>
        <v>0.67698449365046109</v>
      </c>
      <c r="L63" s="55">
        <f t="shared" si="27"/>
        <v>3.3986287586235994E-2</v>
      </c>
      <c r="M63" s="55">
        <f t="shared" si="28"/>
        <v>0.96601371241376399</v>
      </c>
      <c r="N63" s="55">
        <f t="shared" si="29"/>
        <v>1.3355705816474113E-2</v>
      </c>
      <c r="O63" s="56">
        <f t="shared" si="30"/>
        <v>6.775819034321276E-7</v>
      </c>
      <c r="P63" s="56">
        <f t="shared" si="31"/>
        <v>9.3402908227795025E-5</v>
      </c>
      <c r="Q63" s="56">
        <f t="shared" si="32"/>
        <v>1.4450730394340347E-3</v>
      </c>
      <c r="R63" s="9">
        <f t="shared" si="38"/>
        <v>3.9999999999999996E-5</v>
      </c>
      <c r="S63" s="9">
        <f t="shared" si="39"/>
        <v>1.3594515034494397E-6</v>
      </c>
      <c r="T63" s="9">
        <f t="shared" si="40"/>
        <v>2.707937974601844E-5</v>
      </c>
      <c r="U63" s="9">
        <f t="shared" si="41"/>
        <v>3.8640548496550556E-5</v>
      </c>
      <c r="V63" s="102">
        <f t="shared" si="42"/>
        <v>0.70080215730984818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96</v>
      </c>
      <c r="C64" s="46" t="s">
        <v>97</v>
      </c>
      <c r="D64" s="47">
        <v>2.0783680000000002</v>
      </c>
      <c r="E64" s="47">
        <v>2.5770209999999998</v>
      </c>
      <c r="F64" s="98">
        <v>9.9999999999999995E-7</v>
      </c>
      <c r="G64" s="170"/>
      <c r="H64" s="170"/>
      <c r="I64" s="54">
        <f t="shared" si="24"/>
        <v>2.9920298270100572E-2</v>
      </c>
      <c r="J64" s="54">
        <f t="shared" si="25"/>
        <v>1.3842562584741676</v>
      </c>
      <c r="K64" s="55">
        <f t="shared" si="26"/>
        <v>0.9253259823191996</v>
      </c>
      <c r="L64" s="55">
        <f t="shared" si="27"/>
        <v>8.163519263356572E-3</v>
      </c>
      <c r="M64" s="55">
        <f t="shared" si="28"/>
        <v>0.99183648073664343</v>
      </c>
      <c r="N64" s="55">
        <f t="shared" si="29"/>
        <v>3.2320336968280246E-3</v>
      </c>
      <c r="O64" s="56">
        <f t="shared" si="30"/>
        <v>9.2614254281394145E-7</v>
      </c>
      <c r="P64" s="56">
        <f t="shared" si="31"/>
        <v>2.2435414242770427E-5</v>
      </c>
      <c r="Q64" s="56">
        <f t="shared" si="32"/>
        <v>3.4970257820949105E-4</v>
      </c>
      <c r="R64" s="9">
        <f t="shared" si="38"/>
        <v>3.9999999999999996E-5</v>
      </c>
      <c r="S64" s="9">
        <f t="shared" si="39"/>
        <v>3.2654077053426285E-7</v>
      </c>
      <c r="T64" s="9">
        <f t="shared" si="40"/>
        <v>3.701303929276798E-5</v>
      </c>
      <c r="U64" s="9">
        <f t="shared" si="41"/>
        <v>3.9673459229465732E-5</v>
      </c>
      <c r="V64" s="102">
        <f t="shared" si="42"/>
        <v>0.93294207290293851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166</v>
      </c>
      <c r="C65" s="46" t="s">
        <v>167</v>
      </c>
      <c r="D65" s="47">
        <v>3.4409280000000009</v>
      </c>
      <c r="E65" s="47">
        <v>4.1160660000000009</v>
      </c>
      <c r="F65" s="98">
        <v>9.9999999999999995E-7</v>
      </c>
      <c r="G65" s="170"/>
      <c r="H65" s="170"/>
      <c r="I65" s="54">
        <f t="shared" si="24"/>
        <v>0.45036614920415591</v>
      </c>
      <c r="J65" s="54">
        <f t="shared" si="25"/>
        <v>2.8129743237059617</v>
      </c>
      <c r="K65" s="55">
        <f t="shared" si="26"/>
        <v>0.32690658416929474</v>
      </c>
      <c r="L65" s="55">
        <f t="shared" si="27"/>
        <v>7.7397048235962773E-2</v>
      </c>
      <c r="M65" s="55">
        <f t="shared" si="28"/>
        <v>0.92260295176403728</v>
      </c>
      <c r="N65" s="55">
        <f t="shared" si="29"/>
        <v>3.9504793029467314E-2</v>
      </c>
      <c r="O65" s="56">
        <f t="shared" si="30"/>
        <v>3.2719506520971102E-7</v>
      </c>
      <c r="P65" s="56">
        <f t="shared" si="31"/>
        <v>2.1270665044373816E-4</v>
      </c>
      <c r="Q65" s="56">
        <f t="shared" si="32"/>
        <v>4.2743762194049099E-3</v>
      </c>
      <c r="R65" s="9">
        <f t="shared" si="38"/>
        <v>3.9999999999999996E-5</v>
      </c>
      <c r="S65" s="9">
        <f t="shared" si="39"/>
        <v>3.0958819294385105E-6</v>
      </c>
      <c r="T65" s="9">
        <f t="shared" si="40"/>
        <v>1.3076263366771789E-5</v>
      </c>
      <c r="U65" s="9">
        <f t="shared" si="41"/>
        <v>3.6904118070561491E-5</v>
      </c>
      <c r="V65" s="102">
        <f t="shared" si="42"/>
        <v>0.35433073733857245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168</v>
      </c>
      <c r="C66" s="46" t="s">
        <v>169</v>
      </c>
      <c r="D66" s="47"/>
      <c r="E66" s="47"/>
      <c r="F66" s="57"/>
      <c r="G66" s="170"/>
      <c r="H66" s="170"/>
      <c r="I66" s="54" t="str">
        <f t="shared" si="24"/>
        <v/>
      </c>
      <c r="J66" s="54" t="str">
        <f t="shared" si="25"/>
        <v/>
      </c>
      <c r="K66" s="55" t="str">
        <f t="shared" si="26"/>
        <v/>
      </c>
      <c r="L66" s="55" t="str">
        <f t="shared" si="27"/>
        <v/>
      </c>
      <c r="M66" s="55" t="str">
        <f t="shared" si="28"/>
        <v/>
      </c>
      <c r="N66" s="55" t="str">
        <f t="shared" si="29"/>
        <v/>
      </c>
      <c r="O66" s="56" t="str">
        <f t="shared" si="30"/>
        <v/>
      </c>
      <c r="P66" s="56" t="str">
        <f t="shared" si="31"/>
        <v/>
      </c>
      <c r="Q66" s="56" t="str">
        <f t="shared" si="32"/>
        <v/>
      </c>
      <c r="R66" s="9"/>
      <c r="S66" s="9"/>
      <c r="T66" s="9"/>
      <c r="U66" s="9"/>
      <c r="V66" s="102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170</v>
      </c>
      <c r="C67" s="46" t="s">
        <v>171</v>
      </c>
      <c r="D67" s="47"/>
      <c r="E67" s="47"/>
      <c r="F67" s="57"/>
      <c r="G67" s="170"/>
      <c r="H67" s="170"/>
      <c r="I67" s="54" t="str">
        <f t="shared" si="24"/>
        <v/>
      </c>
      <c r="J67" s="54" t="str">
        <f t="shared" si="25"/>
        <v/>
      </c>
      <c r="K67" s="55" t="str">
        <f t="shared" si="26"/>
        <v/>
      </c>
      <c r="L67" s="55" t="str">
        <f t="shared" si="27"/>
        <v/>
      </c>
      <c r="M67" s="55" t="str">
        <f t="shared" si="28"/>
        <v/>
      </c>
      <c r="N67" s="55" t="str">
        <f t="shared" si="29"/>
        <v/>
      </c>
      <c r="O67" s="56" t="str">
        <f t="shared" si="30"/>
        <v/>
      </c>
      <c r="P67" s="56" t="str">
        <f t="shared" si="31"/>
        <v/>
      </c>
      <c r="Q67" s="56" t="str">
        <f t="shared" si="32"/>
        <v/>
      </c>
      <c r="R67" s="9"/>
      <c r="S67" s="9"/>
      <c r="T67" s="9"/>
      <c r="U67" s="9"/>
      <c r="V67" s="102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98</v>
      </c>
      <c r="C68" s="46" t="s">
        <v>99</v>
      </c>
      <c r="D68" s="47">
        <v>2.3414159999999997</v>
      </c>
      <c r="E68" s="47">
        <v>2.4767320000000002</v>
      </c>
      <c r="F68" s="98">
        <v>9.9999999999999995E-7</v>
      </c>
      <c r="G68" s="170"/>
      <c r="H68" s="170"/>
      <c r="I68" s="54">
        <f t="shared" si="24"/>
        <v>4.7752637245013392E-2</v>
      </c>
      <c r="J68" s="54">
        <f t="shared" si="25"/>
        <v>1.5278128154398603</v>
      </c>
      <c r="K68" s="55">
        <f t="shared" si="26"/>
        <v>0.88567359769731946</v>
      </c>
      <c r="L68" s="55">
        <f t="shared" si="27"/>
        <v>1.0874590710353215E-2</v>
      </c>
      <c r="M68" s="55">
        <f t="shared" si="28"/>
        <v>0.98912540928964676</v>
      </c>
      <c r="N68" s="55">
        <f t="shared" si="29"/>
        <v>2.4556463467744192E-3</v>
      </c>
      <c r="O68" s="56">
        <f t="shared" si="30"/>
        <v>8.8645516666321282E-7</v>
      </c>
      <c r="P68" s="56">
        <f t="shared" si="31"/>
        <v>2.9886123794977427E-5</v>
      </c>
      <c r="Q68" s="56">
        <f t="shared" si="32"/>
        <v>2.6569829995291226E-4</v>
      </c>
      <c r="R68" s="9">
        <f>F68*$C$14</f>
        <v>3.9999999999999996E-5</v>
      </c>
      <c r="S68" s="9">
        <f t="shared" si="39"/>
        <v>4.3498362841412857E-7</v>
      </c>
      <c r="T68" s="9">
        <f t="shared" si="40"/>
        <v>3.5426943907892775E-5</v>
      </c>
      <c r="U68" s="9">
        <f t="shared" si="41"/>
        <v>3.9565016371585868E-5</v>
      </c>
      <c r="V68" s="102">
        <f t="shared" si="42"/>
        <v>0.89541082392512539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172</v>
      </c>
      <c r="C69" s="46" t="s">
        <v>173</v>
      </c>
      <c r="D69" s="47">
        <v>4.3302640000000006</v>
      </c>
      <c r="E69" s="47">
        <v>5.074033</v>
      </c>
      <c r="F69" s="98">
        <v>9.9999999999999995E-7</v>
      </c>
      <c r="G69" s="170"/>
      <c r="H69" s="170"/>
      <c r="I69" s="54">
        <f t="shared" si="24"/>
        <v>1.1979474472139457</v>
      </c>
      <c r="J69" s="54">
        <f t="shared" si="25"/>
        <v>3.7382327895049081</v>
      </c>
      <c r="K69" s="55">
        <f t="shared" si="26"/>
        <v>5.6256836925800732E-2</v>
      </c>
      <c r="L69" s="55">
        <f t="shared" si="27"/>
        <v>0.11213327488404386</v>
      </c>
      <c r="M69" s="55">
        <f t="shared" si="28"/>
        <v>0.8878667251159561</v>
      </c>
      <c r="N69" s="55">
        <f t="shared" si="29"/>
        <v>6.1711831135415326E-2</v>
      </c>
      <c r="O69" s="56">
        <f t="shared" si="30"/>
        <v>5.6306481171688654E-8</v>
      </c>
      <c r="P69" s="56">
        <f t="shared" si="31"/>
        <v>3.0817058075852127E-4</v>
      </c>
      <c r="Q69" s="56">
        <f t="shared" si="32"/>
        <v>6.6771539155867244E-3</v>
      </c>
      <c r="R69" s="9">
        <f>F69*$C$14</f>
        <v>3.9999999999999996E-5</v>
      </c>
      <c r="S69" s="9">
        <f t="shared" si="39"/>
        <v>4.4853309953617542E-6</v>
      </c>
      <c r="T69" s="9">
        <f t="shared" si="40"/>
        <v>2.250273477032029E-6</v>
      </c>
      <c r="U69" s="9">
        <f t="shared" si="41"/>
        <v>3.551466900463824E-5</v>
      </c>
      <c r="V69" s="102">
        <f t="shared" si="42"/>
        <v>6.3361803449108356E-2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174</v>
      </c>
      <c r="C70" s="46" t="s">
        <v>175</v>
      </c>
      <c r="D70" s="47">
        <v>1.4854320000000003</v>
      </c>
      <c r="E70" s="47">
        <v>1.5057189999999996</v>
      </c>
      <c r="F70" s="98">
        <v>9.9999999999999995E-7</v>
      </c>
      <c r="G70" s="170"/>
      <c r="H70" s="170"/>
      <c r="I70" s="54">
        <f t="shared" si="24"/>
        <v>6.6276677113325539E-3</v>
      </c>
      <c r="J70" s="54">
        <f t="shared" si="25"/>
        <v>0.71517750488405019</v>
      </c>
      <c r="K70" s="55">
        <f t="shared" si="26"/>
        <v>0.98251686830248053</v>
      </c>
      <c r="L70" s="55">
        <f t="shared" si="27"/>
        <v>1.8571369317839221E-3</v>
      </c>
      <c r="M70" s="55">
        <f t="shared" si="28"/>
        <v>0.99814286306821609</v>
      </c>
      <c r="N70" s="55">
        <f t="shared" si="29"/>
        <v>2.9121861921631488E-4</v>
      </c>
      <c r="O70" s="56">
        <f t="shared" si="30"/>
        <v>9.8338389730134458E-7</v>
      </c>
      <c r="P70" s="56">
        <f t="shared" si="31"/>
        <v>5.103881674799703E-6</v>
      </c>
      <c r="Q70" s="56">
        <f t="shared" si="32"/>
        <v>3.1509542138283037E-5</v>
      </c>
      <c r="R70" s="9">
        <f t="shared" ref="R70:R86" si="43">F70*$C$14</f>
        <v>3.9999999999999996E-5</v>
      </c>
      <c r="S70" s="9">
        <f t="shared" si="39"/>
        <v>7.4285477271356881E-8</v>
      </c>
      <c r="T70" s="9">
        <f t="shared" si="40"/>
        <v>3.930067473209922E-5</v>
      </c>
      <c r="U70" s="9">
        <f t="shared" si="41"/>
        <v>3.9925714522728638E-5</v>
      </c>
      <c r="V70" s="102">
        <f t="shared" si="42"/>
        <v>0.98434493162862235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176</v>
      </c>
      <c r="C71" s="46" t="s">
        <v>177</v>
      </c>
      <c r="D71" s="47">
        <v>2.0758240000000003</v>
      </c>
      <c r="E71" s="47">
        <v>2.477398</v>
      </c>
      <c r="F71" s="98">
        <v>9.9999999999999995E-7</v>
      </c>
      <c r="G71" s="170"/>
      <c r="H71" s="170"/>
      <c r="I71" s="54">
        <f t="shared" ref="I71:I122" si="44">IF(D71=0,"",LOG($K$15*10^D71+$K$16*10^E71+$K$14))</f>
        <v>2.8589842167479149E-2</v>
      </c>
      <c r="J71" s="54">
        <f t="shared" ref="J71:J122" si="45">IF(D71=0,"",LOG($K$21*10^D71+$K$22*10^E71+$K$20))</f>
        <v>1.345926094870141</v>
      </c>
      <c r="K71" s="55">
        <f t="shared" ref="K71:K122" si="46">IF(D71=0,"",1/(1+10^D71*$J$15/$J$14+10^E71*$J$16/$J$14+10^J71*$J$19/$J$14))</f>
        <v>0.92878426390286339</v>
      </c>
      <c r="L71" s="55">
        <f t="shared" ref="L71:L122" si="47">IF(D71=0,"",1/(1+10^I71/10^J71*$J$13/$J$19))</f>
        <v>7.5018322750490642E-3</v>
      </c>
      <c r="M71" s="55">
        <f t="shared" si="19"/>
        <v>0.99249816772495092</v>
      </c>
      <c r="N71" s="55">
        <f t="shared" ref="N71:N122" si="48">IF(D71=0,"",1/(1/10^E71*$J$20/$J$22+10^D71/10^E71*$J$21/$J$22+10^I71/10^E71*$J$13/$J$22+1))</f>
        <v>2.579128447925219E-3</v>
      </c>
      <c r="O71" s="56">
        <f t="shared" si="21"/>
        <v>9.2960387618278658E-7</v>
      </c>
      <c r="P71" s="56">
        <f t="shared" ref="P71:P122" si="49">IF(D71=0,"",O71*10^J71)</f>
        <v>2.0616931159332915E-5</v>
      </c>
      <c r="Q71" s="56">
        <f t="shared" ref="Q71:Q122" si="50">IF(D71=0,"",F71*N71*$J$7/$J$22)</f>
        <v>2.7905893080819674E-4</v>
      </c>
      <c r="R71" s="9">
        <f t="shared" si="43"/>
        <v>3.9999999999999996E-5</v>
      </c>
      <c r="S71" s="9">
        <f t="shared" si="39"/>
        <v>3.0007329100196256E-7</v>
      </c>
      <c r="T71" s="9">
        <f t="shared" si="40"/>
        <v>3.7151370556114531E-5</v>
      </c>
      <c r="U71" s="9">
        <f t="shared" si="41"/>
        <v>3.9699926708998033E-5</v>
      </c>
      <c r="V71" s="102">
        <f t="shared" si="42"/>
        <v>0.9358045123971005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178</v>
      </c>
      <c r="C72" s="46" t="s">
        <v>179</v>
      </c>
      <c r="D72" s="47">
        <v>2.3078000000000003</v>
      </c>
      <c r="E72" s="47">
        <v>2.5099249999999995</v>
      </c>
      <c r="F72" s="98">
        <v>9.9999999999999995E-7</v>
      </c>
      <c r="G72" s="170"/>
      <c r="H72" s="170"/>
      <c r="I72" s="54">
        <f t="shared" si="44"/>
        <v>4.5043006346732313E-2</v>
      </c>
      <c r="J72" s="54">
        <f t="shared" si="45"/>
        <v>1.511064839547366</v>
      </c>
      <c r="K72" s="55">
        <f t="shared" si="46"/>
        <v>0.89152510148254582</v>
      </c>
      <c r="L72" s="55">
        <f t="shared" si="47"/>
        <v>1.0532338816741083E-2</v>
      </c>
      <c r="M72" s="55">
        <f t="shared" si="19"/>
        <v>0.98946766118325891</v>
      </c>
      <c r="N72" s="55">
        <f t="shared" si="48"/>
        <v>2.6682019586162955E-3</v>
      </c>
      <c r="O72" s="56">
        <f t="shared" si="21"/>
        <v>8.9231183414957486E-7</v>
      </c>
      <c r="P72" s="56">
        <f t="shared" si="49"/>
        <v>2.8945529088105428E-5</v>
      </c>
      <c r="Q72" s="56">
        <f t="shared" si="50"/>
        <v>2.8869658909418886E-4</v>
      </c>
      <c r="R72" s="9">
        <f t="shared" si="43"/>
        <v>3.9999999999999996E-5</v>
      </c>
      <c r="S72" s="9">
        <f t="shared" si="39"/>
        <v>4.2129355266964329E-7</v>
      </c>
      <c r="T72" s="9">
        <f t="shared" si="40"/>
        <v>3.5661004059301827E-5</v>
      </c>
      <c r="U72" s="9">
        <f t="shared" si="41"/>
        <v>3.9578706447330355E-5</v>
      </c>
      <c r="V72" s="102">
        <f t="shared" si="42"/>
        <v>0.90101489564238202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180</v>
      </c>
      <c r="C73" s="46" t="s">
        <v>181</v>
      </c>
      <c r="D73" s="47">
        <v>5.676184000000001</v>
      </c>
      <c r="E73" s="47">
        <v>7.0708080000000004</v>
      </c>
      <c r="F73" s="98">
        <v>9.9999999999999995E-7</v>
      </c>
      <c r="G73" s="170"/>
      <c r="H73" s="170"/>
      <c r="I73" s="54">
        <f t="shared" si="44"/>
        <v>2.829962486439805</v>
      </c>
      <c r="J73" s="54">
        <f t="shared" si="45"/>
        <v>5.5484404117146227</v>
      </c>
      <c r="K73" s="55">
        <f t="shared" si="46"/>
        <v>1.2420342964976783E-3</v>
      </c>
      <c r="L73" s="55">
        <f t="shared" si="47"/>
        <v>0.15991912557995069</v>
      </c>
      <c r="M73" s="55">
        <f t="shared" si="19"/>
        <v>0.84008087442004931</v>
      </c>
      <c r="N73" s="55">
        <f t="shared" si="48"/>
        <v>0.13523892543643409</v>
      </c>
      <c r="O73" s="56">
        <f t="shared" si="21"/>
        <v>1.2431303384969449E-9</v>
      </c>
      <c r="P73" s="56">
        <f t="shared" si="49"/>
        <v>4.3949817621335692E-4</v>
      </c>
      <c r="Q73" s="56">
        <f t="shared" si="50"/>
        <v>1.4632706628590137E-2</v>
      </c>
      <c r="R73" s="9">
        <f t="shared" si="43"/>
        <v>3.9999999999999996E-5</v>
      </c>
      <c r="S73" s="9">
        <f t="shared" si="39"/>
        <v>6.3967650231980272E-6</v>
      </c>
      <c r="T73" s="9">
        <f t="shared" si="40"/>
        <v>4.9681371859907129E-8</v>
      </c>
      <c r="U73" s="9">
        <f t="shared" si="41"/>
        <v>3.3603234976801969E-5</v>
      </c>
      <c r="V73" s="102">
        <f t="shared" si="42"/>
        <v>1.4784699120249797E-3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182</v>
      </c>
      <c r="C74" s="46" t="s">
        <v>183</v>
      </c>
      <c r="D74" s="47">
        <v>1.2599279999999999</v>
      </c>
      <c r="E74" s="47">
        <v>1.3925860000000003</v>
      </c>
      <c r="F74" s="98">
        <v>9.9999999999999995E-7</v>
      </c>
      <c r="G74" s="170"/>
      <c r="H74" s="170"/>
      <c r="I74" s="54">
        <f t="shared" si="44"/>
        <v>3.957220636313619E-3</v>
      </c>
      <c r="J74" s="54">
        <f t="shared" si="45"/>
        <v>0.55377732988068606</v>
      </c>
      <c r="K74" s="55">
        <f t="shared" si="46"/>
        <v>0.9891392833860484</v>
      </c>
      <c r="L74" s="55">
        <f t="shared" si="47"/>
        <v>1.2893213862067857E-3</v>
      </c>
      <c r="M74" s="55">
        <f t="shared" si="19"/>
        <v>0.99871067861379326</v>
      </c>
      <c r="N74" s="55">
        <f t="shared" si="48"/>
        <v>2.2594543599415017E-4</v>
      </c>
      <c r="O74" s="56">
        <f t="shared" si="21"/>
        <v>9.9001215638220678E-7</v>
      </c>
      <c r="P74" s="56">
        <f t="shared" si="49"/>
        <v>3.543381041734519E-6</v>
      </c>
      <c r="Q74" s="56">
        <f t="shared" si="50"/>
        <v>2.4447053748037127E-5</v>
      </c>
      <c r="R74" s="9">
        <f t="shared" si="43"/>
        <v>3.9999999999999996E-5</v>
      </c>
      <c r="S74" s="9">
        <f t="shared" si="39"/>
        <v>5.157285544827142E-8</v>
      </c>
      <c r="T74" s="9">
        <f t="shared" si="40"/>
        <v>3.9565571335441934E-5</v>
      </c>
      <c r="U74" s="9">
        <f t="shared" si="41"/>
        <v>3.9948427144551728E-5</v>
      </c>
      <c r="V74" s="102">
        <f t="shared" si="42"/>
        <v>0.99041624823614594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184</v>
      </c>
      <c r="C75" s="46" t="s">
        <v>185</v>
      </c>
      <c r="D75" s="47">
        <v>1.2889359999999999</v>
      </c>
      <c r="E75" s="47">
        <v>1.371977</v>
      </c>
      <c r="F75" s="98">
        <v>9.9999999999999995E-7</v>
      </c>
      <c r="G75" s="170"/>
      <c r="H75" s="170"/>
      <c r="I75" s="54">
        <f t="shared" si="44"/>
        <v>4.1980440605165602E-3</v>
      </c>
      <c r="J75" s="54">
        <f t="shared" si="45"/>
        <v>0.56756569522901157</v>
      </c>
      <c r="K75" s="55">
        <f t="shared" si="46"/>
        <v>0.98855055574895567</v>
      </c>
      <c r="L75" s="55">
        <f t="shared" si="47"/>
        <v>1.330120498115621E-3</v>
      </c>
      <c r="M75" s="55">
        <f t="shared" si="19"/>
        <v>0.99866987950188435</v>
      </c>
      <c r="N75" s="55">
        <f t="shared" si="48"/>
        <v>2.1534560254246666E-4</v>
      </c>
      <c r="O75" s="56">
        <f t="shared" si="21"/>
        <v>9.8942290921822342E-7</v>
      </c>
      <c r="P75" s="56">
        <f t="shared" si="49"/>
        <v>3.6555073131234497E-6</v>
      </c>
      <c r="Q75" s="56">
        <f t="shared" si="50"/>
        <v>2.3300163141580012E-5</v>
      </c>
      <c r="R75" s="9">
        <f t="shared" si="43"/>
        <v>3.9999999999999996E-5</v>
      </c>
      <c r="S75" s="9">
        <f t="shared" si="39"/>
        <v>5.3204819924624835E-8</v>
      </c>
      <c r="T75" s="9">
        <f t="shared" si="40"/>
        <v>3.9542022229958226E-5</v>
      </c>
      <c r="U75" s="9">
        <f t="shared" si="41"/>
        <v>3.9946795180075371E-5</v>
      </c>
      <c r="V75" s="102">
        <f t="shared" si="42"/>
        <v>0.98986719839995974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186</v>
      </c>
      <c r="C76" s="46" t="s">
        <v>187</v>
      </c>
      <c r="D76" s="47">
        <v>3.3144320000000005</v>
      </c>
      <c r="E76" s="47">
        <v>3.8699789999999998</v>
      </c>
      <c r="F76" s="98">
        <v>9.9999999999999995E-7</v>
      </c>
      <c r="G76" s="170"/>
      <c r="H76" s="170"/>
      <c r="I76" s="54">
        <f t="shared" si="44"/>
        <v>0.35626551305621779</v>
      </c>
      <c r="J76" s="54">
        <f t="shared" si="45"/>
        <v>2.6297678711619401</v>
      </c>
      <c r="K76" s="55">
        <f t="shared" si="46"/>
        <v>0.41191208249645794</v>
      </c>
      <c r="L76" s="55">
        <f t="shared" si="47"/>
        <v>6.395857937888999E-2</v>
      </c>
      <c r="M76" s="55">
        <f t="shared" si="19"/>
        <v>0.93604142062111007</v>
      </c>
      <c r="N76" s="55">
        <f t="shared" si="48"/>
        <v>2.8245134964119793E-2</v>
      </c>
      <c r="O76" s="56">
        <f t="shared" si="21"/>
        <v>4.1227557724349876E-7</v>
      </c>
      <c r="P76" s="56">
        <f t="shared" si="49"/>
        <v>1.7577434148841737E-4</v>
      </c>
      <c r="Q76" s="56">
        <f t="shared" si="50"/>
        <v>3.0560932977034194E-3</v>
      </c>
      <c r="R76" s="9">
        <f t="shared" si="43"/>
        <v>3.9999999999999996E-5</v>
      </c>
      <c r="S76" s="9">
        <f t="shared" si="39"/>
        <v>2.5583431751555993E-6</v>
      </c>
      <c r="T76" s="9">
        <f t="shared" si="40"/>
        <v>1.6476483299858317E-5</v>
      </c>
      <c r="U76" s="9">
        <f t="shared" si="41"/>
        <v>3.7441656824844401E-5</v>
      </c>
      <c r="V76" s="102">
        <f t="shared" si="42"/>
        <v>0.44005753743582604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100</v>
      </c>
      <c r="C77" s="46" t="s">
        <v>101</v>
      </c>
      <c r="D77" s="47">
        <v>0.29376000000000013</v>
      </c>
      <c r="E77" s="47">
        <v>0.18140000000000034</v>
      </c>
      <c r="F77" s="98">
        <v>9.9999999999999995E-7</v>
      </c>
      <c r="G77" s="170"/>
      <c r="H77" s="170"/>
      <c r="I77" s="54">
        <f t="shared" si="44"/>
        <v>2.1004549420906745E-4</v>
      </c>
      <c r="J77" s="54">
        <f t="shared" si="45"/>
        <v>5.0901710407050667E-2</v>
      </c>
      <c r="K77" s="55">
        <f t="shared" si="46"/>
        <v>0.99859023078799403</v>
      </c>
      <c r="L77" s="55">
        <f t="shared" si="47"/>
        <v>4.088984176394329E-4</v>
      </c>
      <c r="M77" s="55">
        <f t="shared" si="19"/>
        <v>0.99959110158236053</v>
      </c>
      <c r="N77" s="55">
        <f t="shared" si="48"/>
        <v>1.4026439283950923E-5</v>
      </c>
      <c r="O77" s="56">
        <f t="shared" si="21"/>
        <v>9.9947144383990981E-7</v>
      </c>
      <c r="P77" s="56">
        <f t="shared" si="49"/>
        <v>1.1237561996248725E-6</v>
      </c>
      <c r="Q77" s="56">
        <f t="shared" si="50"/>
        <v>1.5176456809563773E-6</v>
      </c>
      <c r="R77" s="9">
        <f t="shared" si="43"/>
        <v>3.9999999999999996E-5</v>
      </c>
      <c r="S77" s="9">
        <f t="shared" si="39"/>
        <v>1.6355936705577314E-8</v>
      </c>
      <c r="T77" s="9">
        <f t="shared" si="40"/>
        <v>3.9943609231519759E-5</v>
      </c>
      <c r="U77" s="9">
        <f t="shared" si="41"/>
        <v>3.9983644063294417E-5</v>
      </c>
      <c r="V77" s="102">
        <f t="shared" si="42"/>
        <v>0.99899871978373744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188</v>
      </c>
      <c r="C78" s="46" t="s">
        <v>189</v>
      </c>
      <c r="D78" s="47">
        <v>1.6175039999999998</v>
      </c>
      <c r="E78" s="47">
        <v>1.8999029999999997</v>
      </c>
      <c r="F78" s="98">
        <v>9.9999999999999995E-7</v>
      </c>
      <c r="G78" s="7"/>
      <c r="H78" s="7"/>
      <c r="I78" s="54">
        <f t="shared" si="44"/>
        <v>9.6186457475178466E-3</v>
      </c>
      <c r="J78" s="54">
        <f t="shared" si="45"/>
        <v>0.88327907371680614</v>
      </c>
      <c r="K78" s="55">
        <f t="shared" si="46"/>
        <v>0.97493605262018834</v>
      </c>
      <c r="L78" s="55">
        <f t="shared" si="47"/>
        <v>2.7138235749799115E-3</v>
      </c>
      <c r="M78" s="55">
        <f t="shared" si="19"/>
        <v>0.99728617642502004</v>
      </c>
      <c r="N78" s="55">
        <f t="shared" si="48"/>
        <v>7.1620814185539448E-4</v>
      </c>
      <c r="O78" s="56">
        <f t="shared" si="21"/>
        <v>9.75796391874333E-7</v>
      </c>
      <c r="P78" s="56">
        <f t="shared" si="49"/>
        <v>7.4582730954978154E-6</v>
      </c>
      <c r="Q78" s="56">
        <f t="shared" si="50"/>
        <v>7.7492952498380851E-5</v>
      </c>
      <c r="R78" s="9">
        <f t="shared" si="43"/>
        <v>3.9999999999999996E-5</v>
      </c>
      <c r="S78" s="9">
        <f t="shared" si="39"/>
        <v>1.0855294299919645E-7</v>
      </c>
      <c r="T78" s="9">
        <f t="shared" si="40"/>
        <v>3.8997442104807529E-5</v>
      </c>
      <c r="U78" s="9">
        <f t="shared" si="41"/>
        <v>3.9891447057000795E-5</v>
      </c>
      <c r="V78" s="102">
        <f t="shared" si="42"/>
        <v>0.97758905684930841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190</v>
      </c>
      <c r="C79" s="46" t="s">
        <v>191</v>
      </c>
      <c r="D79" s="47">
        <v>2.5898400000000001</v>
      </c>
      <c r="E79" s="47">
        <v>2.96393</v>
      </c>
      <c r="F79" s="98">
        <v>9.9999999999999995E-7</v>
      </c>
      <c r="G79" s="7"/>
      <c r="H79" s="7"/>
      <c r="I79" s="54">
        <f t="shared" si="44"/>
        <v>8.6760595853303396E-2</v>
      </c>
      <c r="J79" s="54">
        <f t="shared" si="45"/>
        <v>1.8385907214946637</v>
      </c>
      <c r="K79" s="55">
        <f t="shared" si="46"/>
        <v>0.80200612304088748</v>
      </c>
      <c r="L79" s="55">
        <f t="shared" si="47"/>
        <v>2.0141639192280875E-2</v>
      </c>
      <c r="M79" s="55">
        <f t="shared" si="19"/>
        <v>0.97985836080771915</v>
      </c>
      <c r="N79" s="55">
        <f t="shared" si="48"/>
        <v>6.8275958709737164E-3</v>
      </c>
      <c r="O79" s="56">
        <f t="shared" si="21"/>
        <v>8.0271385904866145E-7</v>
      </c>
      <c r="P79" s="56">
        <f t="shared" si="49"/>
        <v>5.5354315244359526E-5</v>
      </c>
      <c r="Q79" s="56">
        <f t="shared" si="50"/>
        <v>7.3873854761948954E-4</v>
      </c>
      <c r="R79" s="9">
        <f t="shared" si="43"/>
        <v>3.9999999999999996E-5</v>
      </c>
      <c r="S79" s="9">
        <f t="shared" si="39"/>
        <v>8.056655676912349E-7</v>
      </c>
      <c r="T79" s="9">
        <f t="shared" si="40"/>
        <v>3.2080244921635495E-5</v>
      </c>
      <c r="U79" s="9">
        <f t="shared" si="41"/>
        <v>3.9194334432308762E-5</v>
      </c>
      <c r="V79" s="102">
        <f t="shared" si="42"/>
        <v>0.81849189139925882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192</v>
      </c>
      <c r="C80" s="46" t="s">
        <v>193</v>
      </c>
      <c r="D80" s="47">
        <v>5.0487680000000008</v>
      </c>
      <c r="E80" s="47">
        <v>6.0352960000000007</v>
      </c>
      <c r="F80" s="98">
        <v>9.9999999999999995E-7</v>
      </c>
      <c r="G80" s="7"/>
      <c r="H80" s="7"/>
      <c r="I80" s="54">
        <f t="shared" si="44"/>
        <v>1.9819141928346475</v>
      </c>
      <c r="J80" s="54">
        <f t="shared" si="45"/>
        <v>4.6065751929206069</v>
      </c>
      <c r="K80" s="55">
        <f t="shared" si="46"/>
        <v>9.0341898407742312E-3</v>
      </c>
      <c r="L80" s="55">
        <f t="shared" si="47"/>
        <v>0.13298137274982469</v>
      </c>
      <c r="M80" s="55">
        <f t="shared" si="19"/>
        <v>0.86701862725017531</v>
      </c>
      <c r="N80" s="55">
        <f t="shared" si="48"/>
        <v>9.0645309362192644E-2</v>
      </c>
      <c r="O80" s="56">
        <f t="shared" si="21"/>
        <v>9.042162125857467E-9</v>
      </c>
      <c r="P80" s="56">
        <f t="shared" si="49"/>
        <v>3.6546642299314745E-4</v>
      </c>
      <c r="Q80" s="56">
        <f t="shared" si="50"/>
        <v>9.8077252157567369E-3</v>
      </c>
      <c r="R80" s="9">
        <f t="shared" si="43"/>
        <v>3.9999999999999996E-5</v>
      </c>
      <c r="S80" s="9">
        <f t="shared" si="39"/>
        <v>5.3192549099929867E-6</v>
      </c>
      <c r="T80" s="9">
        <f t="shared" si="40"/>
        <v>3.6136759363096921E-7</v>
      </c>
      <c r="U80" s="9">
        <f t="shared" si="41"/>
        <v>3.4680745090007006E-5</v>
      </c>
      <c r="V80" s="102">
        <f t="shared" si="42"/>
        <v>1.0419833619292525E-2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194</v>
      </c>
      <c r="C81" s="46" t="s">
        <v>195</v>
      </c>
      <c r="D81" s="47">
        <v>2.7330160000000001</v>
      </c>
      <c r="E81" s="47">
        <v>3.3310319999999995</v>
      </c>
      <c r="F81" s="98">
        <v>9.9999999999999995E-7</v>
      </c>
      <c r="G81" s="7"/>
      <c r="H81" s="7"/>
      <c r="I81" s="54">
        <f t="shared" si="44"/>
        <v>0.12726341031571042</v>
      </c>
      <c r="J81" s="54">
        <f t="shared" si="45"/>
        <v>2.0699715906138327</v>
      </c>
      <c r="K81" s="55">
        <f t="shared" si="46"/>
        <v>0.72255909292263831</v>
      </c>
      <c r="L81" s="55">
        <f t="shared" si="47"/>
        <v>3.0915150695323856E-2</v>
      </c>
      <c r="M81" s="55">
        <f t="shared" si="19"/>
        <v>0.9690848493046762</v>
      </c>
      <c r="N81" s="55">
        <f t="shared" si="48"/>
        <v>1.4324038967455568E-2</v>
      </c>
      <c r="O81" s="56">
        <f t="shared" si="21"/>
        <v>7.2319672033359501E-7</v>
      </c>
      <c r="P81" s="56">
        <f t="shared" si="49"/>
        <v>8.4962647830156494E-5</v>
      </c>
      <c r="Q81" s="56">
        <f t="shared" si="50"/>
        <v>1.5498456474041407E-3</v>
      </c>
      <c r="R81" s="9">
        <f t="shared" si="43"/>
        <v>3.9999999999999996E-5</v>
      </c>
      <c r="S81" s="9">
        <f t="shared" si="39"/>
        <v>1.2366060278129542E-6</v>
      </c>
      <c r="T81" s="9">
        <f t="shared" si="40"/>
        <v>2.890236371690553E-5</v>
      </c>
      <c r="U81" s="9">
        <f t="shared" si="41"/>
        <v>3.8763393972187042E-5</v>
      </c>
      <c r="V81" s="102">
        <f t="shared" si="42"/>
        <v>0.74560973008821518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196</v>
      </c>
      <c r="C82" s="46" t="s">
        <v>197</v>
      </c>
      <c r="D82" s="47">
        <v>3.4406639999999999</v>
      </c>
      <c r="E82" s="47">
        <v>4.222847999999999</v>
      </c>
      <c r="F82" s="98">
        <v>9.9999999999999995E-7</v>
      </c>
      <c r="G82" s="7"/>
      <c r="H82" s="7"/>
      <c r="I82" s="54">
        <f t="shared" si="44"/>
        <v>0.47104615060046062</v>
      </c>
      <c r="J82" s="54">
        <f t="shared" si="45"/>
        <v>2.8706315398293074</v>
      </c>
      <c r="K82" s="55">
        <f t="shared" si="46"/>
        <v>0.30957550975391773</v>
      </c>
      <c r="L82" s="55">
        <f t="shared" si="47"/>
        <v>8.3699823660996028E-2</v>
      </c>
      <c r="M82" s="55">
        <f t="shared" si="19"/>
        <v>0.91630017633900396</v>
      </c>
      <c r="N82" s="55">
        <f t="shared" si="48"/>
        <v>4.7838187844849681E-2</v>
      </c>
      <c r="O82" s="56">
        <f t="shared" si="21"/>
        <v>3.0984869686444394E-7</v>
      </c>
      <c r="P82" s="56">
        <f t="shared" si="49"/>
        <v>2.3002827032090291E-4</v>
      </c>
      <c r="Q82" s="56">
        <f t="shared" si="50"/>
        <v>5.1760405971732733E-3</v>
      </c>
      <c r="R82" s="9">
        <f t="shared" si="43"/>
        <v>3.9999999999999996E-5</v>
      </c>
      <c r="S82" s="9">
        <f t="shared" si="39"/>
        <v>3.3479929464398409E-6</v>
      </c>
      <c r="T82" s="9">
        <f t="shared" si="40"/>
        <v>1.2383020390156709E-5</v>
      </c>
      <c r="U82" s="9">
        <f t="shared" si="41"/>
        <v>3.6652007053560156E-5</v>
      </c>
      <c r="V82" s="102">
        <f t="shared" si="42"/>
        <v>0.337853814446265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198</v>
      </c>
      <c r="C83" s="46" t="s">
        <v>199</v>
      </c>
      <c r="D83" s="47">
        <v>2.8976480000000002</v>
      </c>
      <c r="E83" s="47">
        <v>3.5312959999999993</v>
      </c>
      <c r="F83" s="98">
        <v>9.9999999999999995E-7</v>
      </c>
      <c r="G83" s="7"/>
      <c r="H83" s="7"/>
      <c r="I83" s="54">
        <f t="shared" si="44"/>
        <v>0.17835694544431219</v>
      </c>
      <c r="J83" s="54">
        <f t="shared" si="45"/>
        <v>2.250511751652323</v>
      </c>
      <c r="K83" s="55">
        <f t="shared" si="46"/>
        <v>0.63553938938924825</v>
      </c>
      <c r="L83" s="55">
        <f t="shared" si="47"/>
        <v>4.1207913999757984E-2</v>
      </c>
      <c r="M83" s="55">
        <f t="shared" si="19"/>
        <v>0.95879208600024202</v>
      </c>
      <c r="N83" s="55">
        <f t="shared" si="48"/>
        <v>1.9980143151033424E-2</v>
      </c>
      <c r="O83" s="56">
        <f t="shared" si="21"/>
        <v>6.3610022564386946E-7</v>
      </c>
      <c r="P83" s="56">
        <f t="shared" si="49"/>
        <v>1.1324976285838987E-4</v>
      </c>
      <c r="Q83" s="56">
        <f t="shared" si="50"/>
        <v>2.1618300513909752E-3</v>
      </c>
      <c r="R83" s="9">
        <f t="shared" si="43"/>
        <v>3.9999999999999996E-5</v>
      </c>
      <c r="S83" s="9">
        <f t="shared" si="39"/>
        <v>1.6483165599903191E-6</v>
      </c>
      <c r="T83" s="9">
        <f t="shared" si="40"/>
        <v>2.5421575575569929E-5</v>
      </c>
      <c r="U83" s="9">
        <f t="shared" si="41"/>
        <v>3.8351683440009676E-5</v>
      </c>
      <c r="V83" s="102">
        <f t="shared" si="42"/>
        <v>0.6628542294716937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102</v>
      </c>
      <c r="C84" s="46" t="s">
        <v>103</v>
      </c>
      <c r="D84" s="47">
        <v>1.423632</v>
      </c>
      <c r="E84" s="47">
        <v>1.638849</v>
      </c>
      <c r="F84" s="98">
        <v>9.9999999999999995E-7</v>
      </c>
      <c r="G84" s="7"/>
      <c r="H84" s="7"/>
      <c r="I84" s="54">
        <f t="shared" si="44"/>
        <v>5.9812805986470914E-3</v>
      </c>
      <c r="J84" s="54">
        <f t="shared" si="45"/>
        <v>0.70032517200595135</v>
      </c>
      <c r="K84" s="55">
        <f t="shared" si="46"/>
        <v>0.98403910819401796</v>
      </c>
      <c r="L84" s="55">
        <f t="shared" si="47"/>
        <v>1.7974794635705886E-3</v>
      </c>
      <c r="M84" s="55">
        <f t="shared" si="19"/>
        <v>0.99820252053642944</v>
      </c>
      <c r="N84" s="55">
        <f t="shared" si="48"/>
        <v>3.9629763613271691E-4</v>
      </c>
      <c r="O84" s="56">
        <f t="shared" si="21"/>
        <v>9.8490748050430194E-7</v>
      </c>
      <c r="P84" s="56">
        <f t="shared" si="49"/>
        <v>4.9399278738882671E-6</v>
      </c>
      <c r="Q84" s="56">
        <f t="shared" si="50"/>
        <v>4.2878979024862555E-5</v>
      </c>
      <c r="R84" s="9">
        <f t="shared" si="43"/>
        <v>3.9999999999999996E-5</v>
      </c>
      <c r="S84" s="9">
        <f t="shared" si="39"/>
        <v>7.1899178542823537E-8</v>
      </c>
      <c r="T84" s="9">
        <f t="shared" si="40"/>
        <v>3.9361564327760714E-5</v>
      </c>
      <c r="U84" s="9">
        <f t="shared" si="41"/>
        <v>3.9928100821457175E-5</v>
      </c>
      <c r="V84" s="102">
        <f t="shared" si="42"/>
        <v>0.98581108337133816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200</v>
      </c>
      <c r="C85" s="46" t="s">
        <v>201</v>
      </c>
      <c r="D85" s="47">
        <v>2.6912000000000003</v>
      </c>
      <c r="E85" s="47">
        <v>3.3249699999999995</v>
      </c>
      <c r="F85" s="98">
        <v>9.9999999999999995E-7</v>
      </c>
      <c r="G85" s="7"/>
      <c r="H85" s="7"/>
      <c r="I85" s="54">
        <f t="shared" si="44"/>
        <v>0.11910186422699467</v>
      </c>
      <c r="J85" s="54">
        <f t="shared" si="45"/>
        <v>2.0453970116067448</v>
      </c>
      <c r="K85" s="55">
        <f t="shared" si="46"/>
        <v>0.73711142955822284</v>
      </c>
      <c r="L85" s="55">
        <f t="shared" si="47"/>
        <v>2.9802765351979215E-2</v>
      </c>
      <c r="M85" s="55">
        <f t="shared" si="19"/>
        <v>0.97019723464802077</v>
      </c>
      <c r="N85" s="55">
        <f t="shared" si="48"/>
        <v>1.4409976364093777E-2</v>
      </c>
      <c r="O85" s="56">
        <f t="shared" si="21"/>
        <v>7.3776189878215119E-7</v>
      </c>
      <c r="P85" s="56">
        <f t="shared" si="49"/>
        <v>8.1905531754305881E-5</v>
      </c>
      <c r="Q85" s="56">
        <f t="shared" si="50"/>
        <v>1.5591439815144837E-3</v>
      </c>
      <c r="R85" s="9">
        <f t="shared" si="43"/>
        <v>3.9999999999999996E-5</v>
      </c>
      <c r="S85" s="9">
        <f t="shared" si="39"/>
        <v>1.1921106140791685E-6</v>
      </c>
      <c r="T85" s="9">
        <f t="shared" si="40"/>
        <v>2.9484457182328912E-5</v>
      </c>
      <c r="U85" s="9">
        <f t="shared" si="41"/>
        <v>3.880788938592083E-5</v>
      </c>
      <c r="V85" s="102">
        <f t="shared" si="42"/>
        <v>0.75975420588128206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104</v>
      </c>
      <c r="C86" s="46" t="s">
        <v>105</v>
      </c>
      <c r="D86" s="47">
        <v>2.1493200000000003</v>
      </c>
      <c r="E86" s="47">
        <v>2.6108399999999996</v>
      </c>
      <c r="F86" s="98">
        <v>9.9999999999999995E-7</v>
      </c>
      <c r="G86" s="7"/>
      <c r="H86" s="7"/>
      <c r="I86" s="54">
        <f t="shared" si="44"/>
        <v>3.4503381608646556E-2</v>
      </c>
      <c r="J86" s="54">
        <f t="shared" si="45"/>
        <v>1.4384768340970948</v>
      </c>
      <c r="K86" s="55">
        <f t="shared" si="46"/>
        <v>0.91470826645472281</v>
      </c>
      <c r="L86" s="55">
        <f t="shared" si="47"/>
        <v>9.1429394686859521E-3</v>
      </c>
      <c r="M86" s="55">
        <f t="shared" si="19"/>
        <v>0.99085706053131406</v>
      </c>
      <c r="N86" s="55">
        <f t="shared" si="48"/>
        <v>3.4536850211424226E-3</v>
      </c>
      <c r="O86" s="56">
        <f t="shared" si="21"/>
        <v>9.1551545727057855E-7</v>
      </c>
      <c r="P86" s="56">
        <f t="shared" si="49"/>
        <v>2.5127108512781749E-5</v>
      </c>
      <c r="Q86" s="56">
        <f t="shared" si="50"/>
        <v>3.7368501368111517E-4</v>
      </c>
      <c r="R86" s="9">
        <f t="shared" si="43"/>
        <v>3.9999999999999996E-5</v>
      </c>
      <c r="S86" s="9">
        <f t="shared" si="39"/>
        <v>3.6571757874743804E-7</v>
      </c>
      <c r="T86" s="9">
        <f t="shared" si="40"/>
        <v>3.6588330658188909E-5</v>
      </c>
      <c r="U86" s="9">
        <f t="shared" si="41"/>
        <v>3.9634282421252556E-5</v>
      </c>
      <c r="V86" s="102">
        <f t="shared" si="42"/>
        <v>0.92314855783965555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202</v>
      </c>
      <c r="C87" s="46" t="s">
        <v>203</v>
      </c>
      <c r="D87" s="47"/>
      <c r="E87" s="47"/>
      <c r="F87" s="57"/>
      <c r="G87" s="7"/>
      <c r="H87" s="7"/>
      <c r="I87" s="54" t="str">
        <f t="shared" si="44"/>
        <v/>
      </c>
      <c r="J87" s="54" t="str">
        <f t="shared" si="45"/>
        <v/>
      </c>
      <c r="K87" s="55" t="str">
        <f t="shared" si="46"/>
        <v/>
      </c>
      <c r="L87" s="55" t="str">
        <f t="shared" si="47"/>
        <v/>
      </c>
      <c r="M87" s="55" t="str">
        <f t="shared" si="19"/>
        <v/>
      </c>
      <c r="N87" s="55" t="str">
        <f t="shared" si="48"/>
        <v/>
      </c>
      <c r="O87" s="56" t="str">
        <f t="shared" si="21"/>
        <v/>
      </c>
      <c r="P87" s="56" t="str">
        <f t="shared" si="49"/>
        <v/>
      </c>
      <c r="Q87" s="56" t="str">
        <f t="shared" si="50"/>
        <v/>
      </c>
      <c r="R87" s="9"/>
      <c r="S87" s="9"/>
      <c r="T87" s="9"/>
      <c r="U87" s="9"/>
      <c r="V87" s="102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204</v>
      </c>
      <c r="C88" s="46" t="s">
        <v>205</v>
      </c>
      <c r="D88" s="47">
        <v>4.1575040000000012</v>
      </c>
      <c r="E88" s="47">
        <v>5.2456879999999995</v>
      </c>
      <c r="F88" s="98">
        <v>9.9999999999999995E-7</v>
      </c>
      <c r="G88" s="7"/>
      <c r="H88" s="7"/>
      <c r="I88" s="54">
        <f t="shared" si="44"/>
        <v>1.1640116161103842</v>
      </c>
      <c r="J88" s="54">
        <f t="shared" si="45"/>
        <v>3.7871624218496818</v>
      </c>
      <c r="K88" s="55">
        <f t="shared" si="46"/>
        <v>5.942816416243546E-2</v>
      </c>
      <c r="L88" s="55">
        <f t="shared" si="47"/>
        <v>0.13258095491253291</v>
      </c>
      <c r="M88" s="55">
        <f t="shared" si="19"/>
        <v>0.86741904508746703</v>
      </c>
      <c r="N88" s="55">
        <f t="shared" si="48"/>
        <v>9.6792217020322591E-2</v>
      </c>
      <c r="O88" s="56">
        <f t="shared" si="21"/>
        <v>5.9480606968600315E-8</v>
      </c>
      <c r="P88" s="56">
        <f t="shared" si="49"/>
        <v>3.6436597357176136E-4</v>
      </c>
      <c r="Q88" s="56">
        <f t="shared" si="50"/>
        <v>1.047281402908605E-2</v>
      </c>
      <c r="R88" s="9">
        <f>F88*$C$14</f>
        <v>3.9999999999999996E-5</v>
      </c>
      <c r="S88" s="9">
        <f t="shared" si="39"/>
        <v>5.303238196501316E-6</v>
      </c>
      <c r="T88" s="9">
        <f t="shared" si="40"/>
        <v>2.3771265664974181E-6</v>
      </c>
      <c r="U88" s="9">
        <f t="shared" si="41"/>
        <v>3.4696761803498675E-5</v>
      </c>
      <c r="V88" s="102">
        <f t="shared" si="42"/>
        <v>6.8511481848364267E-2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206</v>
      </c>
      <c r="C89" s="46" t="s">
        <v>207</v>
      </c>
      <c r="D89" s="47">
        <v>5.4191360000000008</v>
      </c>
      <c r="E89" s="47">
        <v>6.7333169999999996</v>
      </c>
      <c r="F89" s="98">
        <v>9.9999999999999995E-7</v>
      </c>
      <c r="G89" s="7"/>
      <c r="H89" s="7"/>
      <c r="I89" s="54">
        <f t="shared" si="44"/>
        <v>2.5219720041185631</v>
      </c>
      <c r="J89" s="54">
        <f t="shared" si="45"/>
        <v>5.2243795044903081</v>
      </c>
      <c r="K89" s="55">
        <f t="shared" si="46"/>
        <v>2.5389516358573028E-3</v>
      </c>
      <c r="L89" s="55">
        <f t="shared" si="47"/>
        <v>0.15501022230577591</v>
      </c>
      <c r="M89" s="55">
        <f t="shared" si="19"/>
        <v>0.84498977769422412</v>
      </c>
      <c r="N89" s="55">
        <f t="shared" si="48"/>
        <v>0.1270959030447873</v>
      </c>
      <c r="O89" s="56">
        <f t="shared" si="21"/>
        <v>2.5411921517873804E-9</v>
      </c>
      <c r="P89" s="56">
        <f t="shared" si="49"/>
        <v>4.260072693041082E-4</v>
      </c>
      <c r="Q89" s="56">
        <f t="shared" si="50"/>
        <v>1.3751640342811242E-2</v>
      </c>
      <c r="R89" s="9">
        <f>F89*$C$14</f>
        <v>3.9999999999999996E-5</v>
      </c>
      <c r="S89" s="9">
        <f t="shared" si="39"/>
        <v>6.2004088922310355E-6</v>
      </c>
      <c r="T89" s="9">
        <f t="shared" si="40"/>
        <v>1.0155806543429211E-7</v>
      </c>
      <c r="U89" s="9">
        <f t="shared" si="41"/>
        <v>3.379959110776896E-5</v>
      </c>
      <c r="V89" s="102">
        <f t="shared" si="42"/>
        <v>3.0047128413618176E-3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208</v>
      </c>
      <c r="C90" s="46" t="s">
        <v>209</v>
      </c>
      <c r="D90" s="47">
        <v>5.6895360000000004</v>
      </c>
      <c r="E90" s="47">
        <v>7.1197670000000004</v>
      </c>
      <c r="F90" s="98">
        <v>9.9999999999999995E-7</v>
      </c>
      <c r="G90" s="7"/>
      <c r="H90" s="7"/>
      <c r="I90" s="54">
        <f t="shared" si="44"/>
        <v>2.8671793282646911</v>
      </c>
      <c r="J90" s="54">
        <f t="shared" si="45"/>
        <v>5.592091109253353</v>
      </c>
      <c r="K90" s="55">
        <f t="shared" si="46"/>
        <v>1.1373167250869234E-3</v>
      </c>
      <c r="L90" s="55">
        <f t="shared" si="47"/>
        <v>0.16191942076007576</v>
      </c>
      <c r="M90" s="55">
        <f t="shared" si="19"/>
        <v>0.83808057923992418</v>
      </c>
      <c r="N90" s="55">
        <f t="shared" si="48"/>
        <v>0.13861446366701538</v>
      </c>
      <c r="O90" s="56">
        <f t="shared" si="21"/>
        <v>1.138320358320465E-9</v>
      </c>
      <c r="P90" s="56">
        <f t="shared" si="49"/>
        <v>4.449954929374522E-4</v>
      </c>
      <c r="Q90" s="56">
        <f t="shared" si="50"/>
        <v>1.4997936243379575E-2</v>
      </c>
      <c r="R90" s="9">
        <f>F90*$C$14</f>
        <v>3.9999999999999996E-5</v>
      </c>
      <c r="S90" s="9">
        <f t="shared" si="39"/>
        <v>6.4767768304030297E-6</v>
      </c>
      <c r="T90" s="9">
        <f t="shared" si="40"/>
        <v>4.5492669003476931E-8</v>
      </c>
      <c r="U90" s="9">
        <f t="shared" si="41"/>
        <v>3.3523223169596963E-5</v>
      </c>
      <c r="V90" s="102">
        <f t="shared" si="42"/>
        <v>1.3570493736036501E-3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106</v>
      </c>
      <c r="C91" s="46" t="s">
        <v>107</v>
      </c>
      <c r="D91" s="47">
        <v>6.0065360000000005</v>
      </c>
      <c r="E91" s="47">
        <v>7.5552170000000007</v>
      </c>
      <c r="F91" s="98">
        <v>9.9999999999999995E-7</v>
      </c>
      <c r="G91" s="7"/>
      <c r="H91" s="7"/>
      <c r="I91" s="54">
        <f t="shared" si="44"/>
        <v>3.2678433041260839</v>
      </c>
      <c r="J91" s="54">
        <f t="shared" si="45"/>
        <v>6.012357132853051</v>
      </c>
      <c r="K91" s="55">
        <f t="shared" si="46"/>
        <v>4.4872767428883099E-4</v>
      </c>
      <c r="L91" s="55">
        <f t="shared" si="47"/>
        <v>0.16813820002584898</v>
      </c>
      <c r="M91" s="55">
        <f t="shared" si="19"/>
        <v>0.83186179997415099</v>
      </c>
      <c r="N91" s="55">
        <f t="shared" si="48"/>
        <v>0.14905960897128864</v>
      </c>
      <c r="O91" s="56">
        <f t="shared" si="21"/>
        <v>4.4912365721671034E-10</v>
      </c>
      <c r="P91" s="56">
        <f t="shared" si="49"/>
        <v>4.6208627013917205E-4</v>
      </c>
      <c r="Q91" s="56">
        <f t="shared" si="50"/>
        <v>1.6128089758258437E-2</v>
      </c>
      <c r="R91" s="9">
        <f t="shared" ref="R91:R92" si="51">F91*$C$14</f>
        <v>3.9999999999999996E-5</v>
      </c>
      <c r="S91" s="9">
        <f t="shared" si="39"/>
        <v>6.7255280010339589E-6</v>
      </c>
      <c r="T91" s="9">
        <f t="shared" si="40"/>
        <v>1.7949106971553237E-8</v>
      </c>
      <c r="U91" s="9">
        <f t="shared" si="41"/>
        <v>3.3274471998966035E-5</v>
      </c>
      <c r="V91" s="102">
        <f t="shared" si="42"/>
        <v>5.3942574872746247E-4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108</v>
      </c>
      <c r="C92" s="46" t="s">
        <v>109</v>
      </c>
      <c r="D92" s="47">
        <v>7.0428240000000013</v>
      </c>
      <c r="E92" s="47">
        <v>8.8261279999999989</v>
      </c>
      <c r="F92" s="98">
        <v>9.9999999999999995E-7</v>
      </c>
      <c r="G92" s="7"/>
      <c r="H92" s="7"/>
      <c r="I92" s="54">
        <f t="shared" si="44"/>
        <v>4.4880081925943038</v>
      </c>
      <c r="J92" s="54">
        <f t="shared" si="45"/>
        <v>7.2621961698150477</v>
      </c>
      <c r="K92" s="55">
        <f t="shared" si="46"/>
        <v>2.6710662598542636E-5</v>
      </c>
      <c r="L92" s="55">
        <f t="shared" si="47"/>
        <v>0.17791281765672803</v>
      </c>
      <c r="M92" s="55">
        <f t="shared" si="19"/>
        <v>0.82208718234327194</v>
      </c>
      <c r="N92" s="55">
        <f t="shared" si="48"/>
        <v>0.16556662065588193</v>
      </c>
      <c r="O92" s="56">
        <f t="shared" si="21"/>
        <v>2.6734233612739902E-11</v>
      </c>
      <c r="P92" s="56">
        <f t="shared" si="49"/>
        <v>4.8894938989658043E-4</v>
      </c>
      <c r="Q92" s="56">
        <f t="shared" si="50"/>
        <v>1.7914130711452005E-2</v>
      </c>
      <c r="R92" s="9">
        <f t="shared" si="51"/>
        <v>3.9999999999999996E-5</v>
      </c>
      <c r="S92" s="9">
        <f t="shared" si="39"/>
        <v>7.1165127062691207E-6</v>
      </c>
      <c r="T92" s="9">
        <f t="shared" si="40"/>
        <v>1.0684265039417054E-9</v>
      </c>
      <c r="U92" s="9">
        <f t="shared" si="41"/>
        <v>3.2883487293730876E-5</v>
      </c>
      <c r="V92" s="102">
        <f t="shared" si="42"/>
        <v>3.2491277290574872E-5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210</v>
      </c>
      <c r="C93" s="46" t="s">
        <v>211</v>
      </c>
      <c r="D93" s="47">
        <v>2.17</v>
      </c>
      <c r="E93" s="47">
        <v>2.25</v>
      </c>
      <c r="F93" s="98">
        <v>9.9999999999999995E-7</v>
      </c>
      <c r="G93" s="7"/>
      <c r="H93" s="7"/>
      <c r="I93" s="54">
        <f t="shared" si="44"/>
        <v>3.2311126461878961E-2</v>
      </c>
      <c r="J93" s="54">
        <f t="shared" si="45"/>
        <v>1.3499799170682918</v>
      </c>
      <c r="K93" s="55">
        <f t="shared" si="46"/>
        <v>0.92085461461878071</v>
      </c>
      <c r="L93" s="55">
        <f t="shared" si="47"/>
        <v>7.5075354630912581E-3</v>
      </c>
      <c r="M93" s="55">
        <f t="shared" ref="M93:M127" si="52">IF(D93=0,"",1-L93)</f>
        <v>0.99249246453690876</v>
      </c>
      <c r="N93" s="55">
        <f t="shared" si="48"/>
        <v>1.5147856835464311E-3</v>
      </c>
      <c r="O93" s="56">
        <f t="shared" ref="O93:O127" si="53">IF(D93=0,"",F93*K93*$J$7/$J$14)</f>
        <v>9.2166722932329133E-7</v>
      </c>
      <c r="P93" s="56">
        <f t="shared" si="49"/>
        <v>2.0632604961537982E-5</v>
      </c>
      <c r="Q93" s="56">
        <f t="shared" si="50"/>
        <v>1.6389818568132323E-4</v>
      </c>
      <c r="R93" s="9">
        <f>F93*$C$14</f>
        <v>3.9999999999999996E-5</v>
      </c>
      <c r="S93" s="9">
        <f t="shared" si="39"/>
        <v>3.0030141852365029E-7</v>
      </c>
      <c r="T93" s="9">
        <f t="shared" si="40"/>
        <v>3.6834184584751225E-5</v>
      </c>
      <c r="U93" s="9">
        <f t="shared" si="41"/>
        <v>3.9699698581476344E-5</v>
      </c>
      <c r="V93" s="102">
        <f t="shared" si="42"/>
        <v>0.92782025810991542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212</v>
      </c>
      <c r="C94" s="46" t="s">
        <v>213</v>
      </c>
      <c r="D94" s="47"/>
      <c r="E94" s="47"/>
      <c r="F94" s="57"/>
      <c r="G94" s="7"/>
      <c r="H94" s="7"/>
      <c r="I94" s="54" t="str">
        <f t="shared" si="44"/>
        <v/>
      </c>
      <c r="J94" s="54" t="str">
        <f t="shared" si="45"/>
        <v/>
      </c>
      <c r="K94" s="55" t="str">
        <f t="shared" si="46"/>
        <v/>
      </c>
      <c r="L94" s="55" t="str">
        <f t="shared" si="47"/>
        <v/>
      </c>
      <c r="M94" s="55" t="str">
        <f t="shared" si="52"/>
        <v/>
      </c>
      <c r="N94" s="55" t="str">
        <f t="shared" si="48"/>
        <v/>
      </c>
      <c r="O94" s="56" t="str">
        <f t="shared" si="53"/>
        <v/>
      </c>
      <c r="P94" s="56" t="str">
        <f t="shared" si="49"/>
        <v/>
      </c>
      <c r="Q94" s="56" t="str">
        <f t="shared" si="50"/>
        <v/>
      </c>
      <c r="R94" s="9"/>
      <c r="S94" s="9"/>
      <c r="T94" s="9"/>
      <c r="U94" s="9"/>
      <c r="V94" s="102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214</v>
      </c>
      <c r="C95" s="46" t="s">
        <v>215</v>
      </c>
      <c r="D95" s="47"/>
      <c r="E95" s="47"/>
      <c r="F95" s="57"/>
      <c r="G95" s="7"/>
      <c r="H95" s="7"/>
      <c r="I95" s="54" t="str">
        <f t="shared" si="44"/>
        <v/>
      </c>
      <c r="J95" s="54" t="str">
        <f t="shared" si="45"/>
        <v/>
      </c>
      <c r="K95" s="55" t="str">
        <f t="shared" si="46"/>
        <v/>
      </c>
      <c r="L95" s="55" t="str">
        <f t="shared" si="47"/>
        <v/>
      </c>
      <c r="M95" s="55" t="str">
        <f t="shared" si="52"/>
        <v/>
      </c>
      <c r="N95" s="55" t="str">
        <f t="shared" si="48"/>
        <v/>
      </c>
      <c r="O95" s="56" t="str">
        <f t="shared" si="53"/>
        <v/>
      </c>
      <c r="P95" s="56" t="str">
        <f t="shared" si="49"/>
        <v/>
      </c>
      <c r="Q95" s="56" t="str">
        <f t="shared" si="50"/>
        <v/>
      </c>
      <c r="R95" s="9"/>
      <c r="S95" s="9"/>
      <c r="T95" s="9"/>
      <c r="U95" s="9"/>
      <c r="V95" s="102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216</v>
      </c>
      <c r="C96" s="46" t="s">
        <v>217</v>
      </c>
      <c r="D96" s="47"/>
      <c r="E96" s="47"/>
      <c r="F96" s="57"/>
      <c r="G96" s="7"/>
      <c r="H96" s="7"/>
      <c r="I96" s="54" t="str">
        <f t="shared" si="44"/>
        <v/>
      </c>
      <c r="J96" s="54" t="str">
        <f t="shared" si="45"/>
        <v/>
      </c>
      <c r="K96" s="55" t="str">
        <f t="shared" si="46"/>
        <v/>
      </c>
      <c r="L96" s="55" t="str">
        <f t="shared" si="47"/>
        <v/>
      </c>
      <c r="M96" s="55" t="str">
        <f t="shared" si="52"/>
        <v/>
      </c>
      <c r="N96" s="55" t="str">
        <f t="shared" si="48"/>
        <v/>
      </c>
      <c r="O96" s="56" t="str">
        <f t="shared" si="53"/>
        <v/>
      </c>
      <c r="P96" s="56" t="str">
        <f t="shared" si="49"/>
        <v/>
      </c>
      <c r="Q96" s="56" t="str">
        <f t="shared" si="50"/>
        <v/>
      </c>
      <c r="R96" s="9"/>
      <c r="S96" s="9"/>
      <c r="T96" s="9"/>
      <c r="U96" s="9"/>
      <c r="V96" s="102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218</v>
      </c>
      <c r="C97" s="46" t="s">
        <v>219</v>
      </c>
      <c r="D97" s="47"/>
      <c r="E97" s="47"/>
      <c r="F97" s="57"/>
      <c r="G97" s="7"/>
      <c r="H97" s="7"/>
      <c r="I97" s="54" t="str">
        <f t="shared" si="44"/>
        <v/>
      </c>
      <c r="J97" s="54" t="str">
        <f t="shared" si="45"/>
        <v/>
      </c>
      <c r="K97" s="55" t="str">
        <f t="shared" si="46"/>
        <v/>
      </c>
      <c r="L97" s="55" t="str">
        <f t="shared" si="47"/>
        <v/>
      </c>
      <c r="M97" s="55" t="str">
        <f t="shared" si="52"/>
        <v/>
      </c>
      <c r="N97" s="55" t="str">
        <f t="shared" si="48"/>
        <v/>
      </c>
      <c r="O97" s="56" t="str">
        <f t="shared" si="53"/>
        <v/>
      </c>
      <c r="P97" s="56" t="str">
        <f t="shared" si="49"/>
        <v/>
      </c>
      <c r="Q97" s="56" t="str">
        <f t="shared" si="50"/>
        <v/>
      </c>
      <c r="R97" s="9"/>
      <c r="S97" s="9"/>
      <c r="T97" s="9"/>
      <c r="U97" s="9"/>
      <c r="V97" s="102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220</v>
      </c>
      <c r="C98" s="46" t="s">
        <v>221</v>
      </c>
      <c r="D98" s="47"/>
      <c r="E98" s="47"/>
      <c r="F98" s="57"/>
      <c r="G98" s="7"/>
      <c r="H98" s="7"/>
      <c r="I98" s="54" t="str">
        <f t="shared" si="44"/>
        <v/>
      </c>
      <c r="J98" s="54" t="str">
        <f t="shared" si="45"/>
        <v/>
      </c>
      <c r="K98" s="55" t="str">
        <f t="shared" si="46"/>
        <v/>
      </c>
      <c r="L98" s="55" t="str">
        <f t="shared" si="47"/>
        <v/>
      </c>
      <c r="M98" s="55" t="str">
        <f t="shared" si="52"/>
        <v/>
      </c>
      <c r="N98" s="55" t="str">
        <f t="shared" si="48"/>
        <v/>
      </c>
      <c r="O98" s="56" t="str">
        <f t="shared" si="53"/>
        <v/>
      </c>
      <c r="P98" s="56" t="str">
        <f t="shared" si="49"/>
        <v/>
      </c>
      <c r="Q98" s="56" t="str">
        <f t="shared" si="50"/>
        <v/>
      </c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222</v>
      </c>
      <c r="C99" s="46" t="s">
        <v>223</v>
      </c>
      <c r="D99" s="47"/>
      <c r="E99" s="47"/>
      <c r="F99" s="57"/>
      <c r="G99" s="7"/>
      <c r="H99" s="7"/>
      <c r="I99" s="54" t="str">
        <f t="shared" si="44"/>
        <v/>
      </c>
      <c r="J99" s="54" t="str">
        <f t="shared" si="45"/>
        <v/>
      </c>
      <c r="K99" s="55" t="str">
        <f t="shared" si="46"/>
        <v/>
      </c>
      <c r="L99" s="55" t="str">
        <f t="shared" si="47"/>
        <v/>
      </c>
      <c r="M99" s="55" t="str">
        <f t="shared" si="52"/>
        <v/>
      </c>
      <c r="N99" s="55" t="str">
        <f t="shared" si="48"/>
        <v/>
      </c>
      <c r="O99" s="56" t="str">
        <f t="shared" si="53"/>
        <v/>
      </c>
      <c r="P99" s="56" t="str">
        <f t="shared" si="49"/>
        <v/>
      </c>
      <c r="Q99" s="56" t="str">
        <f t="shared" si="50"/>
        <v/>
      </c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224</v>
      </c>
      <c r="C100" s="46" t="s">
        <v>225</v>
      </c>
      <c r="D100" s="47"/>
      <c r="E100" s="47"/>
      <c r="F100" s="57"/>
      <c r="G100" s="7"/>
      <c r="H100" s="7"/>
      <c r="I100" s="54" t="str">
        <f t="shared" si="44"/>
        <v/>
      </c>
      <c r="J100" s="54" t="str">
        <f t="shared" si="45"/>
        <v/>
      </c>
      <c r="K100" s="55" t="str">
        <f t="shared" si="46"/>
        <v/>
      </c>
      <c r="L100" s="55" t="str">
        <f t="shared" si="47"/>
        <v/>
      </c>
      <c r="M100" s="55" t="str">
        <f t="shared" si="52"/>
        <v/>
      </c>
      <c r="N100" s="55" t="str">
        <f t="shared" si="48"/>
        <v/>
      </c>
      <c r="O100" s="56" t="str">
        <f t="shared" si="53"/>
        <v/>
      </c>
      <c r="P100" s="56" t="str">
        <f t="shared" si="49"/>
        <v/>
      </c>
      <c r="Q100" s="56" t="str">
        <f t="shared" si="50"/>
        <v/>
      </c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226</v>
      </c>
      <c r="C101" s="46" t="s">
        <v>227</v>
      </c>
      <c r="D101" s="47"/>
      <c r="E101" s="47"/>
      <c r="F101" s="57"/>
      <c r="G101" s="7"/>
      <c r="H101" s="7"/>
      <c r="I101" s="54" t="str">
        <f t="shared" si="44"/>
        <v/>
      </c>
      <c r="J101" s="54" t="str">
        <f t="shared" si="45"/>
        <v/>
      </c>
      <c r="K101" s="55" t="str">
        <f t="shared" si="46"/>
        <v/>
      </c>
      <c r="L101" s="55" t="str">
        <f t="shared" si="47"/>
        <v/>
      </c>
      <c r="M101" s="55" t="str">
        <f t="shared" si="52"/>
        <v/>
      </c>
      <c r="N101" s="55" t="str">
        <f t="shared" si="48"/>
        <v/>
      </c>
      <c r="O101" s="56" t="str">
        <f t="shared" si="53"/>
        <v/>
      </c>
      <c r="P101" s="56" t="str">
        <f t="shared" si="49"/>
        <v/>
      </c>
      <c r="Q101" s="56" t="str">
        <f t="shared" si="50"/>
        <v/>
      </c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228</v>
      </c>
      <c r="C102" s="46" t="s">
        <v>229</v>
      </c>
      <c r="D102" s="47"/>
      <c r="E102" s="47"/>
      <c r="F102" s="57"/>
      <c r="G102" s="7"/>
      <c r="H102" s="7"/>
      <c r="I102" s="54" t="str">
        <f t="shared" si="44"/>
        <v/>
      </c>
      <c r="J102" s="54" t="str">
        <f t="shared" si="45"/>
        <v/>
      </c>
      <c r="K102" s="55" t="str">
        <f t="shared" si="46"/>
        <v/>
      </c>
      <c r="L102" s="55" t="str">
        <f t="shared" si="47"/>
        <v/>
      </c>
      <c r="M102" s="55" t="str">
        <f t="shared" si="52"/>
        <v/>
      </c>
      <c r="N102" s="55" t="str">
        <f t="shared" si="48"/>
        <v/>
      </c>
      <c r="O102" s="56" t="str">
        <f t="shared" si="53"/>
        <v/>
      </c>
      <c r="P102" s="56" t="str">
        <f t="shared" si="49"/>
        <v/>
      </c>
      <c r="Q102" s="56" t="str">
        <f t="shared" si="50"/>
        <v/>
      </c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230</v>
      </c>
      <c r="C103" s="46" t="s">
        <v>231</v>
      </c>
      <c r="D103" s="47"/>
      <c r="E103" s="47"/>
      <c r="F103" s="57"/>
      <c r="G103" s="7"/>
      <c r="H103" s="7"/>
      <c r="I103" s="54" t="str">
        <f t="shared" si="44"/>
        <v/>
      </c>
      <c r="J103" s="54" t="str">
        <f t="shared" si="45"/>
        <v/>
      </c>
      <c r="K103" s="55" t="str">
        <f t="shared" si="46"/>
        <v/>
      </c>
      <c r="L103" s="55" t="str">
        <f t="shared" si="47"/>
        <v/>
      </c>
      <c r="M103" s="55" t="str">
        <f t="shared" si="52"/>
        <v/>
      </c>
      <c r="N103" s="55" t="str">
        <f t="shared" si="48"/>
        <v/>
      </c>
      <c r="O103" s="56" t="str">
        <f t="shared" si="53"/>
        <v/>
      </c>
      <c r="P103" s="56" t="str">
        <f t="shared" si="49"/>
        <v/>
      </c>
      <c r="Q103" s="56" t="str">
        <f t="shared" si="50"/>
        <v/>
      </c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232</v>
      </c>
      <c r="C104" s="46" t="s">
        <v>233</v>
      </c>
      <c r="D104" s="47"/>
      <c r="E104" s="47"/>
      <c r="F104" s="57"/>
      <c r="G104" s="7"/>
      <c r="H104" s="7"/>
      <c r="I104" s="54" t="str">
        <f t="shared" si="44"/>
        <v/>
      </c>
      <c r="J104" s="54" t="str">
        <f t="shared" si="45"/>
        <v/>
      </c>
      <c r="K104" s="55" t="str">
        <f t="shared" si="46"/>
        <v/>
      </c>
      <c r="L104" s="55" t="str">
        <f t="shared" si="47"/>
        <v/>
      </c>
      <c r="M104" s="55" t="str">
        <f t="shared" si="52"/>
        <v/>
      </c>
      <c r="N104" s="55" t="str">
        <f t="shared" si="48"/>
        <v/>
      </c>
      <c r="O104" s="56" t="str">
        <f t="shared" si="53"/>
        <v/>
      </c>
      <c r="P104" s="56" t="str">
        <f t="shared" si="49"/>
        <v/>
      </c>
      <c r="Q104" s="56" t="str">
        <f t="shared" si="50"/>
        <v/>
      </c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234</v>
      </c>
      <c r="C105" s="46" t="s">
        <v>235</v>
      </c>
      <c r="D105" s="47"/>
      <c r="E105" s="47"/>
      <c r="F105" s="57"/>
      <c r="G105" s="7"/>
      <c r="H105" s="7"/>
      <c r="I105" s="54" t="str">
        <f t="shared" si="44"/>
        <v/>
      </c>
      <c r="J105" s="54" t="str">
        <f t="shared" si="45"/>
        <v/>
      </c>
      <c r="K105" s="55" t="str">
        <f t="shared" si="46"/>
        <v/>
      </c>
      <c r="L105" s="55" t="str">
        <f t="shared" si="47"/>
        <v/>
      </c>
      <c r="M105" s="55" t="str">
        <f t="shared" si="52"/>
        <v/>
      </c>
      <c r="N105" s="55" t="str">
        <f t="shared" si="48"/>
        <v/>
      </c>
      <c r="O105" s="56" t="str">
        <f t="shared" si="53"/>
        <v/>
      </c>
      <c r="P105" s="56" t="str">
        <f t="shared" si="49"/>
        <v/>
      </c>
      <c r="Q105" s="56" t="str">
        <f t="shared" si="50"/>
        <v/>
      </c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236</v>
      </c>
      <c r="C106" s="46" t="s">
        <v>237</v>
      </c>
      <c r="D106" s="47"/>
      <c r="E106" s="47"/>
      <c r="F106" s="57"/>
      <c r="G106" s="7"/>
      <c r="H106" s="7"/>
      <c r="I106" s="54" t="str">
        <f t="shared" si="44"/>
        <v/>
      </c>
      <c r="J106" s="54" t="str">
        <f t="shared" si="45"/>
        <v/>
      </c>
      <c r="K106" s="55" t="str">
        <f t="shared" si="46"/>
        <v/>
      </c>
      <c r="L106" s="55" t="str">
        <f t="shared" si="47"/>
        <v/>
      </c>
      <c r="M106" s="55" t="str">
        <f t="shared" si="52"/>
        <v/>
      </c>
      <c r="N106" s="55" t="str">
        <f t="shared" si="48"/>
        <v/>
      </c>
      <c r="O106" s="56" t="str">
        <f t="shared" si="53"/>
        <v/>
      </c>
      <c r="P106" s="56" t="str">
        <f t="shared" si="49"/>
        <v/>
      </c>
      <c r="Q106" s="56" t="str">
        <f t="shared" si="50"/>
        <v/>
      </c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238</v>
      </c>
      <c r="C107" s="46" t="s">
        <v>239</v>
      </c>
      <c r="D107" s="47">
        <v>0.97789599999999988</v>
      </c>
      <c r="E107" s="47">
        <v>1.067612</v>
      </c>
      <c r="F107" s="98">
        <v>9.9999999999999995E-7</v>
      </c>
      <c r="G107" s="7"/>
      <c r="H107" s="7"/>
      <c r="I107" s="54">
        <f t="shared" si="44"/>
        <v>1.9446765022663539E-3</v>
      </c>
      <c r="J107" s="54">
        <f t="shared" si="45"/>
        <v>0.3520515023383351</v>
      </c>
      <c r="K107" s="55">
        <f t="shared" si="46"/>
        <v>0.99420616906460246</v>
      </c>
      <c r="L107" s="55">
        <f t="shared" si="47"/>
        <v>8.1443112452958815E-4</v>
      </c>
      <c r="M107" s="55">
        <f t="shared" si="52"/>
        <v>0.99918556887547039</v>
      </c>
      <c r="N107" s="55">
        <f t="shared" si="48"/>
        <v>1.074604306577122E-4</v>
      </c>
      <c r="O107" s="56">
        <f t="shared" si="53"/>
        <v>9.9508351337006745E-7</v>
      </c>
      <c r="P107" s="56">
        <f t="shared" si="49"/>
        <v>2.238262575436585E-6</v>
      </c>
      <c r="Q107" s="56">
        <f t="shared" si="50"/>
        <v>1.162710329826854E-5</v>
      </c>
      <c r="R107" s="9">
        <f>F107*$C$14</f>
        <v>3.9999999999999996E-5</v>
      </c>
      <c r="S107" s="9">
        <f t="shared" ref="S107:S108" si="54">$R107*L107</f>
        <v>3.2577244981183524E-8</v>
      </c>
      <c r="T107" s="9">
        <f t="shared" ref="T107:T108" si="55">R107*K107</f>
        <v>3.9768246762584097E-5</v>
      </c>
      <c r="U107" s="9">
        <f t="shared" ref="U107:U108" si="56">$R107*M107</f>
        <v>3.9967422755018809E-5</v>
      </c>
      <c r="V107" s="102">
        <f t="shared" ref="V107:V108" si="57">K107/M107</f>
        <v>0.99501654150542629</v>
      </c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240</v>
      </c>
      <c r="C108" s="46" t="s">
        <v>241</v>
      </c>
      <c r="D108" s="47">
        <v>1.8253520000000001</v>
      </c>
      <c r="E108" s="47">
        <v>2.0793489999999997</v>
      </c>
      <c r="F108" s="98">
        <v>9.9999999999999995E-7</v>
      </c>
      <c r="G108" s="7"/>
      <c r="H108" s="7"/>
      <c r="I108" s="54">
        <f t="shared" si="44"/>
        <v>1.5422749478710035E-2</v>
      </c>
      <c r="J108" s="54">
        <f t="shared" si="45"/>
        <v>1.0644941049967591</v>
      </c>
      <c r="K108" s="55">
        <f t="shared" si="46"/>
        <v>0.96069579686756001</v>
      </c>
      <c r="L108" s="55">
        <f t="shared" si="47"/>
        <v>4.0588817797055261E-3</v>
      </c>
      <c r="M108" s="55">
        <f t="shared" si="52"/>
        <v>0.99594111822029452</v>
      </c>
      <c r="N108" s="55">
        <f t="shared" si="48"/>
        <v>1.0668294936542573E-3</v>
      </c>
      <c r="O108" s="56">
        <f t="shared" si="53"/>
        <v>9.6154356970672765E-7</v>
      </c>
      <c r="P108" s="56">
        <f t="shared" si="49"/>
        <v>1.1154833001849831E-5</v>
      </c>
      <c r="Q108" s="56">
        <f t="shared" si="50"/>
        <v>1.1542980656636102E-4</v>
      </c>
      <c r="R108" s="9">
        <f>F108*$C$14</f>
        <v>3.9999999999999996E-5</v>
      </c>
      <c r="S108" s="9">
        <f t="shared" si="54"/>
        <v>1.6235527118822102E-7</v>
      </c>
      <c r="T108" s="9">
        <f t="shared" si="55"/>
        <v>3.84278318747024E-5</v>
      </c>
      <c r="U108" s="9">
        <f t="shared" si="56"/>
        <v>3.9837644728811779E-5</v>
      </c>
      <c r="V108" s="102">
        <f t="shared" si="57"/>
        <v>0.96461103903841583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242</v>
      </c>
      <c r="C109" s="46" t="s">
        <v>243</v>
      </c>
      <c r="D109" s="47"/>
      <c r="E109" s="47"/>
      <c r="F109" s="98"/>
      <c r="G109" s="7"/>
      <c r="H109" s="7"/>
      <c r="I109" s="54" t="str">
        <f t="shared" si="44"/>
        <v/>
      </c>
      <c r="J109" s="54" t="str">
        <f t="shared" si="45"/>
        <v/>
      </c>
      <c r="K109" s="55" t="str">
        <f t="shared" si="46"/>
        <v/>
      </c>
      <c r="L109" s="55" t="str">
        <f t="shared" si="47"/>
        <v/>
      </c>
      <c r="M109" s="55" t="str">
        <f t="shared" si="52"/>
        <v/>
      </c>
      <c r="N109" s="55" t="str">
        <f t="shared" si="48"/>
        <v/>
      </c>
      <c r="O109" s="56" t="str">
        <f t="shared" si="53"/>
        <v/>
      </c>
      <c r="P109" s="56" t="str">
        <f t="shared" si="49"/>
        <v/>
      </c>
      <c r="Q109" s="56" t="str">
        <f t="shared" si="50"/>
        <v/>
      </c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244</v>
      </c>
      <c r="C110" s="46" t="s">
        <v>245</v>
      </c>
      <c r="D110" s="47"/>
      <c r="E110" s="47"/>
      <c r="F110" s="98"/>
      <c r="G110" s="7"/>
      <c r="H110" s="7"/>
      <c r="I110" s="54" t="str">
        <f t="shared" si="44"/>
        <v/>
      </c>
      <c r="J110" s="54" t="str">
        <f t="shared" si="45"/>
        <v/>
      </c>
      <c r="K110" s="55" t="str">
        <f t="shared" si="46"/>
        <v/>
      </c>
      <c r="L110" s="55" t="str">
        <f t="shared" si="47"/>
        <v/>
      </c>
      <c r="M110" s="55" t="str">
        <f t="shared" si="52"/>
        <v/>
      </c>
      <c r="N110" s="55" t="str">
        <f t="shared" si="48"/>
        <v/>
      </c>
      <c r="O110" s="56" t="str">
        <f t="shared" si="53"/>
        <v/>
      </c>
      <c r="P110" s="56" t="str">
        <f t="shared" si="49"/>
        <v/>
      </c>
      <c r="Q110" s="56" t="str">
        <f t="shared" si="50"/>
        <v/>
      </c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246</v>
      </c>
      <c r="C111" s="46" t="s">
        <v>247</v>
      </c>
      <c r="D111" s="47"/>
      <c r="E111" s="47"/>
      <c r="F111" s="98"/>
      <c r="G111" s="7"/>
      <c r="H111" s="7"/>
      <c r="I111" s="54" t="str">
        <f t="shared" si="44"/>
        <v/>
      </c>
      <c r="J111" s="54" t="str">
        <f t="shared" si="45"/>
        <v/>
      </c>
      <c r="K111" s="55" t="str">
        <f t="shared" si="46"/>
        <v/>
      </c>
      <c r="L111" s="55" t="str">
        <f t="shared" si="47"/>
        <v/>
      </c>
      <c r="M111" s="55" t="str">
        <f t="shared" si="52"/>
        <v/>
      </c>
      <c r="N111" s="55" t="str">
        <f t="shared" si="48"/>
        <v/>
      </c>
      <c r="O111" s="56" t="str">
        <f t="shared" si="53"/>
        <v/>
      </c>
      <c r="P111" s="56" t="str">
        <f t="shared" si="49"/>
        <v/>
      </c>
      <c r="Q111" s="56" t="str">
        <f t="shared" si="50"/>
        <v/>
      </c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248</v>
      </c>
      <c r="C112" s="46" t="s">
        <v>249</v>
      </c>
      <c r="D112" s="47"/>
      <c r="E112" s="47"/>
      <c r="F112" s="98"/>
      <c r="G112" s="7"/>
      <c r="H112" s="7"/>
      <c r="I112" s="54" t="str">
        <f t="shared" si="44"/>
        <v/>
      </c>
      <c r="J112" s="54" t="str">
        <f t="shared" si="45"/>
        <v/>
      </c>
      <c r="K112" s="55" t="str">
        <f t="shared" si="46"/>
        <v/>
      </c>
      <c r="L112" s="55" t="str">
        <f t="shared" si="47"/>
        <v/>
      </c>
      <c r="M112" s="55" t="str">
        <f t="shared" si="52"/>
        <v/>
      </c>
      <c r="N112" s="55" t="str">
        <f t="shared" si="48"/>
        <v/>
      </c>
      <c r="O112" s="56" t="str">
        <f t="shared" si="53"/>
        <v/>
      </c>
      <c r="P112" s="56" t="str">
        <f t="shared" si="49"/>
        <v/>
      </c>
      <c r="Q112" s="56" t="str">
        <f t="shared" si="50"/>
        <v/>
      </c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250</v>
      </c>
      <c r="C113" s="46" t="s">
        <v>251</v>
      </c>
      <c r="D113" s="47"/>
      <c r="E113" s="47"/>
      <c r="F113" s="57"/>
      <c r="G113" s="7"/>
      <c r="H113" s="7"/>
      <c r="I113" s="54" t="str">
        <f t="shared" si="44"/>
        <v/>
      </c>
      <c r="J113" s="54" t="str">
        <f t="shared" si="45"/>
        <v/>
      </c>
      <c r="K113" s="55" t="str">
        <f t="shared" si="46"/>
        <v/>
      </c>
      <c r="L113" s="55" t="str">
        <f t="shared" si="47"/>
        <v/>
      </c>
      <c r="M113" s="55" t="str">
        <f t="shared" si="52"/>
        <v/>
      </c>
      <c r="N113" s="55" t="str">
        <f t="shared" si="48"/>
        <v/>
      </c>
      <c r="O113" s="56" t="str">
        <f t="shared" si="53"/>
        <v/>
      </c>
      <c r="P113" s="56" t="str">
        <f t="shared" si="49"/>
        <v/>
      </c>
      <c r="Q113" s="56" t="str">
        <f t="shared" si="50"/>
        <v/>
      </c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252</v>
      </c>
      <c r="C114" s="46" t="s">
        <v>253</v>
      </c>
      <c r="D114" s="47">
        <v>1.6430320000000003</v>
      </c>
      <c r="E114" s="47">
        <v>1.9699289999999996</v>
      </c>
      <c r="F114" s="98">
        <v>9.9999999999999995E-7</v>
      </c>
      <c r="G114" s="7"/>
      <c r="H114" s="7"/>
      <c r="I114" s="54">
        <f t="shared" si="44"/>
        <v>1.0353959656071578E-2</v>
      </c>
      <c r="J114" s="54">
        <f t="shared" si="45"/>
        <v>0.91828095208380334</v>
      </c>
      <c r="K114" s="55">
        <f t="shared" si="46"/>
        <v>0.97306996344391572</v>
      </c>
      <c r="L114" s="55">
        <f t="shared" si="47"/>
        <v>2.935968728987963E-3</v>
      </c>
      <c r="M114" s="55">
        <f t="shared" si="52"/>
        <v>0.99706403127101206</v>
      </c>
      <c r="N114" s="55">
        <f t="shared" si="48"/>
        <v>8.3991084730036846E-4</v>
      </c>
      <c r="O114" s="56">
        <f t="shared" si="53"/>
        <v>9.739286559543935E-7</v>
      </c>
      <c r="P114" s="56">
        <f t="shared" si="49"/>
        <v>8.0687841252893266E-6</v>
      </c>
      <c r="Q114" s="56">
        <f t="shared" si="50"/>
        <v>9.0877452501599224E-5</v>
      </c>
      <c r="R114" s="9">
        <f>F114*$C$14</f>
        <v>3.9999999999999996E-5</v>
      </c>
      <c r="S114" s="9">
        <f t="shared" ref="S114:S116" si="58">$R114*L114</f>
        <v>1.1743874915951851E-7</v>
      </c>
      <c r="T114" s="9">
        <f t="shared" ref="T114:T116" si="59">R114*K114</f>
        <v>3.8922798537756628E-5</v>
      </c>
      <c r="U114" s="9">
        <f t="shared" ref="U114:U116" si="60">$R114*M114</f>
        <v>3.9882561250840476E-5</v>
      </c>
      <c r="V114" s="102">
        <f t="shared" ref="V114:V116" si="61">K114/M114</f>
        <v>0.97593527890429488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254</v>
      </c>
      <c r="C115" s="46" t="s">
        <v>255</v>
      </c>
      <c r="D115" s="47">
        <v>1.9888079999999992</v>
      </c>
      <c r="E115" s="47">
        <v>1.7269960000000002</v>
      </c>
      <c r="F115" s="98">
        <v>9.9999999999999995E-7</v>
      </c>
      <c r="G115" s="7"/>
      <c r="H115" s="7"/>
      <c r="I115" s="54">
        <f t="shared" si="44"/>
        <v>2.0480395290290027E-2</v>
      </c>
      <c r="J115" s="54">
        <f t="shared" si="45"/>
        <v>1.1278069815675698</v>
      </c>
      <c r="K115" s="55">
        <f t="shared" si="46"/>
        <v>0.94901980421751952</v>
      </c>
      <c r="L115" s="55">
        <f t="shared" si="47"/>
        <v>4.638832203664736E-3</v>
      </c>
      <c r="M115" s="55">
        <f t="shared" si="52"/>
        <v>0.99536116779633521</v>
      </c>
      <c r="N115" s="55">
        <f t="shared" si="48"/>
        <v>4.6819998830091656E-4</v>
      </c>
      <c r="O115" s="56">
        <f t="shared" si="53"/>
        <v>9.4985727349392462E-7</v>
      </c>
      <c r="P115" s="56">
        <f t="shared" si="49"/>
        <v>1.2748683347766128E-5</v>
      </c>
      <c r="Q115" s="56">
        <f t="shared" si="50"/>
        <v>5.0658736382350322E-5</v>
      </c>
      <c r="R115" s="9">
        <f>F115*$C$14</f>
        <v>3.9999999999999996E-5</v>
      </c>
      <c r="S115" s="9">
        <f t="shared" si="58"/>
        <v>1.8555328814658943E-7</v>
      </c>
      <c r="T115" s="9">
        <f t="shared" si="59"/>
        <v>3.7960792168700776E-5</v>
      </c>
      <c r="U115" s="9">
        <f t="shared" si="60"/>
        <v>3.9814446711853403E-5</v>
      </c>
      <c r="V115" s="102">
        <f t="shared" si="61"/>
        <v>0.95344266475513362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256</v>
      </c>
      <c r="C116" s="46" t="s">
        <v>257</v>
      </c>
      <c r="D116" s="47">
        <v>0.57692000000000121</v>
      </c>
      <c r="E116" s="47">
        <v>0.1355349999999973</v>
      </c>
      <c r="F116" s="98">
        <v>9.9999999999999995E-7</v>
      </c>
      <c r="G116" s="7"/>
      <c r="H116" s="7"/>
      <c r="I116" s="54">
        <f t="shared" si="44"/>
        <v>5.8413729360461944E-4</v>
      </c>
      <c r="J116" s="54">
        <f t="shared" si="45"/>
        <v>0.12333905997992552</v>
      </c>
      <c r="K116" s="55">
        <f t="shared" si="46"/>
        <v>0.99765680709753601</v>
      </c>
      <c r="L116" s="55">
        <f t="shared" si="47"/>
        <v>4.8266592142326398E-4</v>
      </c>
      <c r="M116" s="55">
        <f t="shared" si="52"/>
        <v>0.99951733407857679</v>
      </c>
      <c r="N116" s="55">
        <f t="shared" si="48"/>
        <v>1.2608873662239627E-5</v>
      </c>
      <c r="O116" s="56">
        <f t="shared" si="53"/>
        <v>9.9853719644307689E-7</v>
      </c>
      <c r="P116" s="56">
        <f t="shared" si="49"/>
        <v>1.3264879445567639E-6</v>
      </c>
      <c r="Q116" s="56">
        <f t="shared" si="50"/>
        <v>1.3642666016540497E-6</v>
      </c>
      <c r="R116" s="9">
        <f>F116*$C$14</f>
        <v>3.9999999999999996E-5</v>
      </c>
      <c r="S116" s="9">
        <f t="shared" si="58"/>
        <v>1.9306636856930559E-8</v>
      </c>
      <c r="T116" s="9">
        <f t="shared" si="59"/>
        <v>3.990627228390144E-5</v>
      </c>
      <c r="U116" s="9">
        <f t="shared" si="60"/>
        <v>3.9980693363143071E-5</v>
      </c>
      <c r="V116" s="102">
        <f t="shared" si="61"/>
        <v>0.99813857457234001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258</v>
      </c>
      <c r="C117" s="46" t="s">
        <v>259</v>
      </c>
      <c r="D117" s="47"/>
      <c r="E117" s="47"/>
      <c r="F117" s="98"/>
      <c r="G117" s="7"/>
      <c r="H117" s="7"/>
      <c r="I117" s="54" t="str">
        <f t="shared" si="44"/>
        <v/>
      </c>
      <c r="J117" s="54" t="str">
        <f t="shared" si="45"/>
        <v/>
      </c>
      <c r="K117" s="55" t="str">
        <f t="shared" si="46"/>
        <v/>
      </c>
      <c r="L117" s="55" t="str">
        <f t="shared" si="47"/>
        <v/>
      </c>
      <c r="M117" s="55" t="str">
        <f t="shared" si="52"/>
        <v/>
      </c>
      <c r="N117" s="55" t="str">
        <f t="shared" si="48"/>
        <v/>
      </c>
      <c r="O117" s="56" t="str">
        <f t="shared" si="53"/>
        <v/>
      </c>
      <c r="P117" s="56" t="str">
        <f t="shared" si="49"/>
        <v/>
      </c>
      <c r="Q117" s="56" t="str">
        <f t="shared" si="50"/>
        <v/>
      </c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260</v>
      </c>
      <c r="C118" s="46" t="s">
        <v>261</v>
      </c>
      <c r="D118" s="47"/>
      <c r="E118" s="47"/>
      <c r="F118" s="57"/>
      <c r="G118" s="7"/>
      <c r="H118" s="7"/>
      <c r="I118" s="54" t="str">
        <f t="shared" si="44"/>
        <v/>
      </c>
      <c r="J118" s="54" t="str">
        <f t="shared" si="45"/>
        <v/>
      </c>
      <c r="K118" s="55" t="str">
        <f t="shared" si="46"/>
        <v/>
      </c>
      <c r="L118" s="55" t="str">
        <f t="shared" si="47"/>
        <v/>
      </c>
      <c r="M118" s="55" t="str">
        <f t="shared" si="52"/>
        <v/>
      </c>
      <c r="N118" s="55" t="str">
        <f t="shared" si="48"/>
        <v/>
      </c>
      <c r="O118" s="56" t="str">
        <f t="shared" si="53"/>
        <v/>
      </c>
      <c r="P118" s="56" t="str">
        <f t="shared" si="49"/>
        <v/>
      </c>
      <c r="Q118" s="56" t="str">
        <f t="shared" si="50"/>
        <v/>
      </c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262</v>
      </c>
      <c r="C119" s="46" t="s">
        <v>263</v>
      </c>
      <c r="D119" s="47">
        <v>3.598704000000001</v>
      </c>
      <c r="E119" s="47">
        <v>4.3131730000000008</v>
      </c>
      <c r="F119" s="98">
        <v>9.9999999999999995E-7</v>
      </c>
      <c r="G119" s="7"/>
      <c r="H119" s="7"/>
      <c r="I119" s="54">
        <f t="shared" si="44"/>
        <v>0.56658503951123784</v>
      </c>
      <c r="J119" s="54">
        <f t="shared" si="45"/>
        <v>2.99110327595359</v>
      </c>
      <c r="K119" s="55">
        <f t="shared" si="46"/>
        <v>0.24722083011282461</v>
      </c>
      <c r="L119" s="55">
        <f t="shared" si="47"/>
        <v>8.8209374564251583E-2</v>
      </c>
      <c r="M119" s="55">
        <f t="shared" si="52"/>
        <v>0.9117906254357484</v>
      </c>
      <c r="N119" s="55">
        <f t="shared" si="48"/>
        <v>4.7034678895391223E-2</v>
      </c>
      <c r="O119" s="56">
        <f t="shared" si="53"/>
        <v>2.4743899189278611E-7</v>
      </c>
      <c r="P119" s="56">
        <f t="shared" si="49"/>
        <v>2.4242165597965104E-4</v>
      </c>
      <c r="Q119" s="56">
        <f t="shared" si="50"/>
        <v>5.0891017909610141E-3</v>
      </c>
      <c r="R119" s="9">
        <f>F119*$C$14</f>
        <v>3.9999999999999996E-5</v>
      </c>
      <c r="S119" s="9">
        <f t="shared" ref="S119:S121" si="62">$R119*L119</f>
        <v>3.528374982570063E-6</v>
      </c>
      <c r="T119" s="9">
        <f t="shared" ref="T119:T121" si="63">R119*K119</f>
        <v>9.8888332045129842E-6</v>
      </c>
      <c r="U119" s="9">
        <f t="shared" ref="U119:U121" si="64">$R119*M119</f>
        <v>3.6471625017429932E-5</v>
      </c>
      <c r="V119" s="102">
        <f t="shared" ref="V119:V121" si="65">K119/M119</f>
        <v>0.27113771870014214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264</v>
      </c>
      <c r="C120" s="46" t="s">
        <v>265</v>
      </c>
      <c r="D120" s="47">
        <v>2.0168880000000002</v>
      </c>
      <c r="E120" s="47">
        <v>2.2161360000000005</v>
      </c>
      <c r="F120" s="98">
        <v>9.9999999999999995E-7</v>
      </c>
      <c r="G120" s="7"/>
      <c r="H120" s="7"/>
      <c r="I120" s="54">
        <f t="shared" si="44"/>
        <v>2.3514137427377815E-2</v>
      </c>
      <c r="J120" s="54">
        <f t="shared" si="45"/>
        <v>1.230285659988247</v>
      </c>
      <c r="K120" s="55">
        <f t="shared" si="46"/>
        <v>0.94129000192575329</v>
      </c>
      <c r="L120" s="55">
        <f t="shared" si="47"/>
        <v>5.8255309273889224E-3</v>
      </c>
      <c r="M120" s="55">
        <f t="shared" si="52"/>
        <v>0.99417446907261109</v>
      </c>
      <c r="N120" s="55">
        <f t="shared" si="48"/>
        <v>1.4322524336827438E-3</v>
      </c>
      <c r="O120" s="56">
        <f t="shared" si="53"/>
        <v>9.4212064998314552E-7</v>
      </c>
      <c r="P120" s="56">
        <f t="shared" si="49"/>
        <v>1.6010031375402453E-5</v>
      </c>
      <c r="Q120" s="56">
        <f t="shared" si="50"/>
        <v>1.549681765995289E-4</v>
      </c>
      <c r="R120" s="9">
        <f>F120*$C$14</f>
        <v>3.9999999999999996E-5</v>
      </c>
      <c r="S120" s="9">
        <f t="shared" si="62"/>
        <v>2.3302123709555688E-7</v>
      </c>
      <c r="T120" s="9">
        <f t="shared" si="63"/>
        <v>3.7651600077030129E-5</v>
      </c>
      <c r="U120" s="9">
        <f t="shared" si="64"/>
        <v>3.9766978762904443E-5</v>
      </c>
      <c r="V120" s="102">
        <f t="shared" si="65"/>
        <v>0.94680564750753493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266</v>
      </c>
      <c r="C121" s="46" t="s">
        <v>267</v>
      </c>
      <c r="D121" s="47">
        <v>4.2132720000000008</v>
      </c>
      <c r="E121" s="47">
        <v>4.705258999999999</v>
      </c>
      <c r="F121" s="98">
        <v>9.9999999999999995E-7</v>
      </c>
      <c r="G121" s="7"/>
      <c r="H121" s="7"/>
      <c r="I121" s="54">
        <f t="shared" si="44"/>
        <v>1.0322461970770105</v>
      </c>
      <c r="J121" s="54">
        <f t="shared" si="45"/>
        <v>3.5008633770815112</v>
      </c>
      <c r="K121" s="55">
        <f t="shared" si="46"/>
        <v>8.3820218446545483E-2</v>
      </c>
      <c r="L121" s="55">
        <f t="shared" si="47"/>
        <v>9.6724962915946275E-2</v>
      </c>
      <c r="M121" s="55">
        <f t="shared" si="52"/>
        <v>0.90327503708405377</v>
      </c>
      <c r="N121" s="55">
        <f t="shared" si="48"/>
        <v>3.9333981702810869E-2</v>
      </c>
      <c r="O121" s="56">
        <f t="shared" si="53"/>
        <v>8.3894186194508765E-8</v>
      </c>
      <c r="P121" s="56">
        <f t="shared" si="49"/>
        <v>2.6582464506166945E-4</v>
      </c>
      <c r="Q121" s="56">
        <f t="shared" si="50"/>
        <v>4.255894617131468E-3</v>
      </c>
      <c r="R121" s="9">
        <f>F121*$C$14</f>
        <v>3.9999999999999996E-5</v>
      </c>
      <c r="S121" s="9">
        <f t="shared" si="62"/>
        <v>3.8689985166378504E-6</v>
      </c>
      <c r="T121" s="9">
        <f t="shared" si="63"/>
        <v>3.3528087378618189E-6</v>
      </c>
      <c r="U121" s="9">
        <f t="shared" si="64"/>
        <v>3.613100148336215E-5</v>
      </c>
      <c r="V121" s="102">
        <f t="shared" si="65"/>
        <v>9.2795898264977333E-2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268</v>
      </c>
      <c r="C122" s="46" t="s">
        <v>269</v>
      </c>
      <c r="D122" s="47"/>
      <c r="E122" s="47"/>
      <c r="F122" s="57"/>
      <c r="G122" s="7"/>
      <c r="H122" s="7"/>
      <c r="I122" s="54" t="str">
        <f t="shared" si="44"/>
        <v/>
      </c>
      <c r="J122" s="54" t="str">
        <f t="shared" si="45"/>
        <v/>
      </c>
      <c r="K122" s="55" t="str">
        <f t="shared" si="46"/>
        <v/>
      </c>
      <c r="L122" s="55" t="str">
        <f t="shared" si="47"/>
        <v/>
      </c>
      <c r="M122" s="55" t="str">
        <f t="shared" si="52"/>
        <v/>
      </c>
      <c r="N122" s="55" t="str">
        <f t="shared" si="48"/>
        <v/>
      </c>
      <c r="O122" s="56" t="str">
        <f t="shared" si="53"/>
        <v/>
      </c>
      <c r="P122" s="56" t="str">
        <f t="shared" si="49"/>
        <v/>
      </c>
      <c r="Q122" s="56" t="str">
        <f t="shared" si="50"/>
        <v/>
      </c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270</v>
      </c>
      <c r="C123" s="46" t="s">
        <v>271</v>
      </c>
      <c r="D123" s="46"/>
      <c r="E123" s="46"/>
      <c r="F123" s="46"/>
      <c r="G123" s="7"/>
      <c r="H123" s="7"/>
      <c r="I123" s="54" t="str">
        <f t="shared" ref="I123:I127" si="66">IF(D123=0,"",LOG($K$15*10^D123+$K$16*10^E123+$K$14))</f>
        <v/>
      </c>
      <c r="J123" s="54" t="str">
        <f t="shared" ref="J123:J127" si="67">IF(D123=0,"",LOG($K$21*10^D123+$K$22*10^E123+$K$20))</f>
        <v/>
      </c>
      <c r="K123" s="55" t="str">
        <f t="shared" ref="K123:K127" si="68">IF(D123=0,"",1/(1+10^D123*$J$15/$J$14+10^E123*$J$16/$J$14+10^J123*$J$19/$J$14))</f>
        <v/>
      </c>
      <c r="L123" s="55" t="str">
        <f t="shared" ref="L123:L127" si="69">IF(D123=0,"",1/(1+10^I123/10^J123*$J$13/$J$19))</f>
        <v/>
      </c>
      <c r="M123" s="55" t="str">
        <f t="shared" si="52"/>
        <v/>
      </c>
      <c r="N123" s="55" t="str">
        <f t="shared" ref="N123:N127" si="70">IF(D123=0,"",1/(1/10^E123*$J$20/$J$22+10^D123/10^E123*$J$21/$J$22+10^I123/10^E123*$J$13/$J$22+1))</f>
        <v/>
      </c>
      <c r="O123" s="56" t="str">
        <f t="shared" si="53"/>
        <v/>
      </c>
      <c r="P123" s="56" t="str">
        <f t="shared" ref="P123:P127" si="71">IF(D123=0,"",O123*10^J123)</f>
        <v/>
      </c>
      <c r="Q123" s="56" t="str">
        <f t="shared" ref="Q123:Q127" si="72">IF(D123=0,"",F123*N123*$J$7/$J$22)</f>
        <v/>
      </c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272</v>
      </c>
      <c r="C124" s="46" t="s">
        <v>273</v>
      </c>
      <c r="D124" s="46">
        <v>2.7542720000000003</v>
      </c>
      <c r="E124" s="46">
        <v>3.4524839999999992</v>
      </c>
      <c r="F124" s="98">
        <v>9.9999999999999995E-7</v>
      </c>
      <c r="G124" s="7"/>
      <c r="H124" s="7"/>
      <c r="I124" s="54">
        <f t="shared" si="66"/>
        <v>0.13981203375224771</v>
      </c>
      <c r="J124" s="54">
        <f t="shared" si="67"/>
        <v>2.1404001457997324</v>
      </c>
      <c r="K124" s="55">
        <f t="shared" si="68"/>
        <v>0.69889972595848326</v>
      </c>
      <c r="L124" s="55">
        <f t="shared" si="69"/>
        <v>3.516749403456592E-2</v>
      </c>
      <c r="M124" s="55">
        <f t="shared" si="52"/>
        <v>0.96483250596543413</v>
      </c>
      <c r="N124" s="55">
        <f t="shared" si="70"/>
        <v>1.8325633354644714E-2</v>
      </c>
      <c r="O124" s="56">
        <f t="shared" si="53"/>
        <v>6.9951647499277849E-7</v>
      </c>
      <c r="P124" s="56">
        <f t="shared" si="71"/>
        <v>9.6649162094490448E-5</v>
      </c>
      <c r="Q124" s="56">
        <f t="shared" si="72"/>
        <v>1.9828138666160987E-3</v>
      </c>
      <c r="R124" s="9">
        <f>F124*$C$14</f>
        <v>3.9999999999999996E-5</v>
      </c>
      <c r="S124" s="9">
        <f t="shared" ref="S124:S127" si="73">$R124*L124</f>
        <v>1.4066997613826366E-6</v>
      </c>
      <c r="T124" s="9">
        <f t="shared" ref="T124:T127" si="74">R124*K124</f>
        <v>2.7955989038339328E-5</v>
      </c>
      <c r="U124" s="9">
        <f t="shared" ref="U124:U127" si="75">$R124*M124</f>
        <v>3.8593300238617362E-5</v>
      </c>
      <c r="V124" s="102">
        <f t="shared" ref="V124:V127" si="76">K124/M124</f>
        <v>0.72437414954126955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274</v>
      </c>
      <c r="C125" s="46" t="s">
        <v>275</v>
      </c>
      <c r="D125" s="46"/>
      <c r="E125" s="46"/>
      <c r="F125" s="46"/>
      <c r="G125" s="7"/>
      <c r="H125" s="7"/>
      <c r="I125" s="54" t="str">
        <f t="shared" si="66"/>
        <v/>
      </c>
      <c r="J125" s="54" t="str">
        <f t="shared" si="67"/>
        <v/>
      </c>
      <c r="K125" s="55" t="str">
        <f t="shared" si="68"/>
        <v/>
      </c>
      <c r="L125" s="55" t="str">
        <f t="shared" si="69"/>
        <v/>
      </c>
      <c r="M125" s="55" t="str">
        <f t="shared" si="52"/>
        <v/>
      </c>
      <c r="N125" s="55" t="str">
        <f t="shared" si="70"/>
        <v/>
      </c>
      <c r="O125" s="56" t="str">
        <f t="shared" si="53"/>
        <v/>
      </c>
      <c r="P125" s="56" t="str">
        <f t="shared" si="71"/>
        <v/>
      </c>
      <c r="Q125" s="56" t="str">
        <f t="shared" si="72"/>
        <v/>
      </c>
      <c r="R125" s="9"/>
      <c r="S125" s="9"/>
      <c r="T125" s="9"/>
      <c r="U125" s="9"/>
      <c r="V125" s="102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276</v>
      </c>
      <c r="C126" s="46" t="s">
        <v>277</v>
      </c>
      <c r="D126" s="46">
        <v>2.3368320000000007</v>
      </c>
      <c r="E126" s="46">
        <v>2.6380540000000012</v>
      </c>
      <c r="F126" s="98">
        <v>9.9999999999999995E-7</v>
      </c>
      <c r="G126" s="7"/>
      <c r="H126" s="7"/>
      <c r="I126" s="54">
        <f t="shared" si="66"/>
        <v>4.9312922410980113E-2</v>
      </c>
      <c r="J126" s="54">
        <f t="shared" si="67"/>
        <v>1.5667194506995812</v>
      </c>
      <c r="K126" s="55">
        <f t="shared" si="68"/>
        <v>0.88163641585395636</v>
      </c>
      <c r="L126" s="55">
        <f t="shared" si="69"/>
        <v>1.1839554949923043E-2</v>
      </c>
      <c r="M126" s="55">
        <f t="shared" si="52"/>
        <v>0.98816044505007694</v>
      </c>
      <c r="N126" s="55">
        <f t="shared" si="70"/>
        <v>3.5440810351548956E-3</v>
      </c>
      <c r="O126" s="56">
        <f t="shared" si="53"/>
        <v>8.8241442218001634E-7</v>
      </c>
      <c r="P126" s="56">
        <f t="shared" si="71"/>
        <v>3.253808941737586E-5</v>
      </c>
      <c r="Q126" s="56">
        <f t="shared" si="72"/>
        <v>3.8346576540751194E-4</v>
      </c>
      <c r="R126" s="9">
        <f>F126*$C$14</f>
        <v>3.9999999999999996E-5</v>
      </c>
      <c r="S126" s="9">
        <f t="shared" si="73"/>
        <v>4.7358219799692169E-7</v>
      </c>
      <c r="T126" s="9">
        <f t="shared" si="74"/>
        <v>3.5265456634158249E-5</v>
      </c>
      <c r="U126" s="9">
        <f t="shared" si="75"/>
        <v>3.9526417802003071E-5</v>
      </c>
      <c r="V126" s="102">
        <f t="shared" si="76"/>
        <v>0.8921996627878358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278</v>
      </c>
      <c r="C127" s="46" t="s">
        <v>279</v>
      </c>
      <c r="D127" s="46">
        <v>9.5872000000000845E-2</v>
      </c>
      <c r="E127" s="46">
        <v>7.4959000000001108E-2</v>
      </c>
      <c r="F127" s="98">
        <v>9.9999999999999995E-7</v>
      </c>
      <c r="G127" s="7"/>
      <c r="H127" s="7"/>
      <c r="I127" s="54">
        <f t="shared" si="66"/>
        <v>5.4598878066109929E-5</v>
      </c>
      <c r="J127" s="54">
        <f t="shared" si="67"/>
        <v>1.4181008827978875E-2</v>
      </c>
      <c r="K127" s="55">
        <f t="shared" si="68"/>
        <v>0.99898070316047571</v>
      </c>
      <c r="L127" s="55">
        <f t="shared" si="69"/>
        <v>3.7589323917228758E-4</v>
      </c>
      <c r="M127" s="55">
        <f t="shared" si="52"/>
        <v>0.99962410676082769</v>
      </c>
      <c r="N127" s="55">
        <f t="shared" si="70"/>
        <v>1.0981868077767746E-5</v>
      </c>
      <c r="O127" s="56">
        <f t="shared" si="53"/>
        <v>9.9986226078751411E-7</v>
      </c>
      <c r="P127" s="56">
        <f t="shared" si="71"/>
        <v>1.0330496272289736E-6</v>
      </c>
      <c r="Q127" s="56">
        <f t="shared" si="72"/>
        <v>1.1882263430981282E-6</v>
      </c>
      <c r="R127" s="9">
        <f>F127*$C$14</f>
        <v>3.9999999999999996E-5</v>
      </c>
      <c r="S127" s="9">
        <f t="shared" si="73"/>
        <v>1.5035729566891503E-8</v>
      </c>
      <c r="T127" s="9">
        <f t="shared" si="74"/>
        <v>3.9959228126419022E-5</v>
      </c>
      <c r="U127" s="9">
        <f t="shared" si="75"/>
        <v>3.9984964270433103E-5</v>
      </c>
      <c r="V127" s="102">
        <f t="shared" si="76"/>
        <v>0.99935635445764026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280</v>
      </c>
      <c r="C128" s="46" t="s">
        <v>281</v>
      </c>
      <c r="D128" s="46"/>
      <c r="E128" s="46"/>
      <c r="F128" s="46"/>
      <c r="G128" s="7"/>
      <c r="H128" s="7"/>
      <c r="I128" s="54" t="str">
        <f t="shared" ref="I128:I134" si="77">IF(D128=0,"",LOG($K$15*10^D128+$K$16*10^E128+$K$14))</f>
        <v/>
      </c>
      <c r="J128" s="54" t="str">
        <f t="shared" ref="J128:J134" si="78">IF(D128=0,"",LOG($K$21*10^D128+$K$22*10^E128+$K$20))</f>
        <v/>
      </c>
      <c r="K128" s="55" t="str">
        <f t="shared" ref="K128:K134" si="79">IF(D128=0,"",1/(1+10^D128*$J$15/$J$14+10^E128*$J$16/$J$14+10^J128*$J$19/$J$14))</f>
        <v/>
      </c>
      <c r="L128" s="55" t="str">
        <f t="shared" ref="L128:L134" si="80">IF(D128=0,"",1/(1+10^I128/10^J128*$J$13/$J$19))</f>
        <v/>
      </c>
      <c r="M128" s="55" t="str">
        <f t="shared" ref="M128:M134" si="81">IF(D128=0,"",1-L128)</f>
        <v/>
      </c>
      <c r="N128" s="55" t="str">
        <f t="shared" ref="N128:N134" si="82">IF(D128=0,"",1/(1/10^E128*$J$20/$J$22+10^D128/10^E128*$J$21/$J$22+10^I128/10^E128*$J$13/$J$22+1))</f>
        <v/>
      </c>
      <c r="O128" s="56" t="str">
        <f t="shared" ref="O128:O134" si="83">IF(D128=0,"",F128*K128*$J$7/$J$14)</f>
        <v/>
      </c>
      <c r="P128" s="56" t="str">
        <f t="shared" ref="P128:P134" si="84">IF(D128=0,"",O128*10^J128)</f>
        <v/>
      </c>
      <c r="Q128" s="56" t="str">
        <f t="shared" ref="Q128:Q134" si="85">IF(D128=0,"",F128*N128*$J$7/$J$22)</f>
        <v/>
      </c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282</v>
      </c>
      <c r="C129" s="46" t="s">
        <v>283</v>
      </c>
      <c r="D129" s="46"/>
      <c r="E129" s="46"/>
      <c r="F129" s="46"/>
      <c r="G129" s="7"/>
      <c r="H129" s="7"/>
      <c r="I129" s="54" t="str">
        <f t="shared" si="77"/>
        <v/>
      </c>
      <c r="J129" s="54" t="str">
        <f t="shared" si="78"/>
        <v/>
      </c>
      <c r="K129" s="55" t="str">
        <f t="shared" si="79"/>
        <v/>
      </c>
      <c r="L129" s="55" t="str">
        <f t="shared" si="80"/>
        <v/>
      </c>
      <c r="M129" s="55" t="str">
        <f t="shared" si="81"/>
        <v/>
      </c>
      <c r="N129" s="55" t="str">
        <f t="shared" si="82"/>
        <v/>
      </c>
      <c r="O129" s="56" t="str">
        <f t="shared" si="83"/>
        <v/>
      </c>
      <c r="P129" s="56" t="str">
        <f t="shared" si="84"/>
        <v/>
      </c>
      <c r="Q129" s="56" t="str">
        <f t="shared" si="85"/>
        <v/>
      </c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284</v>
      </c>
      <c r="C130" s="46" t="s">
        <v>285</v>
      </c>
      <c r="D130" s="46">
        <v>1.0310160000000004</v>
      </c>
      <c r="E130" s="46">
        <v>0.78085199999999966</v>
      </c>
      <c r="F130" s="98">
        <v>9.9999999999999995E-7</v>
      </c>
      <c r="G130" s="7"/>
      <c r="H130" s="7"/>
      <c r="I130" s="54">
        <f t="shared" si="77"/>
        <v>2.1084810301724875E-3</v>
      </c>
      <c r="J130" s="54">
        <f t="shared" si="78"/>
        <v>0.35181253681606744</v>
      </c>
      <c r="K130" s="55">
        <f t="shared" si="79"/>
        <v>0.99383200149784456</v>
      </c>
      <c r="L130" s="55">
        <f t="shared" si="80"/>
        <v>8.1367677550762344E-4</v>
      </c>
      <c r="M130" s="55">
        <f t="shared" si="81"/>
        <v>0.99918632322449241</v>
      </c>
      <c r="N130" s="55">
        <f t="shared" si="82"/>
        <v>5.5504104486778844E-5</v>
      </c>
      <c r="O130" s="56">
        <f t="shared" si="83"/>
        <v>9.9470901561647901E-7</v>
      </c>
      <c r="P130" s="56">
        <f t="shared" si="84"/>
        <v>2.2361894336645837E-6</v>
      </c>
      <c r="Q130" s="56">
        <f t="shared" si="85"/>
        <v>6.0054845527399013E-6</v>
      </c>
      <c r="R130" s="9">
        <f>F130*$C$14</f>
        <v>3.9999999999999996E-5</v>
      </c>
      <c r="S130" s="9">
        <f t="shared" ref="S130:S131" si="86">$R130*L130</f>
        <v>3.2547071020304935E-8</v>
      </c>
      <c r="T130" s="9">
        <f t="shared" ref="T130:T131" si="87">R130*K130</f>
        <v>3.9753280059913781E-5</v>
      </c>
      <c r="U130" s="9">
        <f t="shared" ref="U130:U131" si="88">$R130*M130</f>
        <v>3.9967452928979694E-5</v>
      </c>
      <c r="V130" s="102">
        <f t="shared" ref="V130:V131" si="89">K130/M130</f>
        <v>0.99464131803829259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286</v>
      </c>
      <c r="C131" s="46" t="s">
        <v>287</v>
      </c>
      <c r="D131" s="46">
        <v>-0.1224400000000001</v>
      </c>
      <c r="E131" s="46">
        <v>-0.24365499999999995</v>
      </c>
      <c r="F131" s="98">
        <v>9.9999999999999995E-7</v>
      </c>
      <c r="G131" s="7"/>
      <c r="H131" s="7"/>
      <c r="I131" s="54">
        <f t="shared" si="77"/>
        <v>-5.830329626681688E-5</v>
      </c>
      <c r="J131" s="54">
        <f t="shared" si="78"/>
        <v>-1.7348312570192835E-2</v>
      </c>
      <c r="K131" s="55">
        <f t="shared" si="79"/>
        <v>0.99926665107819557</v>
      </c>
      <c r="L131" s="55">
        <f t="shared" si="80"/>
        <v>3.4967089704718567E-4</v>
      </c>
      <c r="M131" s="55">
        <f t="shared" si="81"/>
        <v>0.99965032910295282</v>
      </c>
      <c r="N131" s="55">
        <f t="shared" si="82"/>
        <v>5.2745633996631618E-6</v>
      </c>
      <c r="O131" s="56">
        <f t="shared" si="83"/>
        <v>1.0001484610420076E-6</v>
      </c>
      <c r="P131" s="56">
        <f t="shared" si="84"/>
        <v>9.6098400344426061E-7</v>
      </c>
      <c r="Q131" s="56">
        <f t="shared" si="85"/>
        <v>5.7070210053870373E-7</v>
      </c>
      <c r="R131" s="9">
        <f>F131*$C$14</f>
        <v>3.9999999999999996E-5</v>
      </c>
      <c r="S131" s="9">
        <f t="shared" si="86"/>
        <v>1.3986835881887425E-8</v>
      </c>
      <c r="T131" s="9">
        <f t="shared" si="87"/>
        <v>3.9970666043127821E-5</v>
      </c>
      <c r="U131" s="9">
        <f t="shared" si="88"/>
        <v>3.9986013164118111E-5</v>
      </c>
      <c r="V131" s="102">
        <f t="shared" si="89"/>
        <v>0.99961618776727501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288</v>
      </c>
      <c r="C132" s="46" t="s">
        <v>289</v>
      </c>
      <c r="D132" s="46"/>
      <c r="E132" s="46"/>
      <c r="F132" s="46"/>
      <c r="G132" s="7"/>
      <c r="H132" s="7"/>
      <c r="I132" s="54" t="str">
        <f t="shared" si="77"/>
        <v/>
      </c>
      <c r="J132" s="54" t="str">
        <f t="shared" si="78"/>
        <v/>
      </c>
      <c r="K132" s="55" t="str">
        <f t="shared" si="79"/>
        <v/>
      </c>
      <c r="L132" s="55" t="str">
        <f t="shared" si="80"/>
        <v/>
      </c>
      <c r="M132" s="55" t="str">
        <f t="shared" si="81"/>
        <v/>
      </c>
      <c r="N132" s="55" t="str">
        <f t="shared" si="82"/>
        <v/>
      </c>
      <c r="O132" s="56" t="str">
        <f t="shared" si="83"/>
        <v/>
      </c>
      <c r="P132" s="56" t="str">
        <f t="shared" si="84"/>
        <v/>
      </c>
      <c r="Q132" s="56" t="str">
        <f t="shared" si="85"/>
        <v/>
      </c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290</v>
      </c>
      <c r="C133" s="46" t="s">
        <v>291</v>
      </c>
      <c r="D133" s="46"/>
      <c r="E133" s="46"/>
      <c r="F133" s="46"/>
      <c r="G133" s="7"/>
      <c r="H133" s="7"/>
      <c r="I133" s="54" t="str">
        <f t="shared" si="77"/>
        <v/>
      </c>
      <c r="J133" s="54" t="str">
        <f t="shared" si="78"/>
        <v/>
      </c>
      <c r="K133" s="55" t="str">
        <f t="shared" si="79"/>
        <v/>
      </c>
      <c r="L133" s="55" t="str">
        <f t="shared" si="80"/>
        <v/>
      </c>
      <c r="M133" s="55" t="str">
        <f t="shared" si="81"/>
        <v/>
      </c>
      <c r="N133" s="55" t="str">
        <f t="shared" si="82"/>
        <v/>
      </c>
      <c r="O133" s="56" t="str">
        <f t="shared" si="83"/>
        <v/>
      </c>
      <c r="P133" s="56" t="str">
        <f t="shared" si="84"/>
        <v/>
      </c>
      <c r="Q133" s="56" t="str">
        <f t="shared" si="85"/>
        <v/>
      </c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96</v>
      </c>
      <c r="C134" s="46" t="s">
        <v>292</v>
      </c>
      <c r="D134" s="46"/>
      <c r="E134" s="46"/>
      <c r="F134" s="46"/>
      <c r="G134" s="7"/>
      <c r="H134" s="7"/>
      <c r="I134" s="54" t="str">
        <f t="shared" si="77"/>
        <v/>
      </c>
      <c r="J134" s="54" t="str">
        <f t="shared" si="78"/>
        <v/>
      </c>
      <c r="K134" s="55" t="str">
        <f t="shared" si="79"/>
        <v/>
      </c>
      <c r="L134" s="55" t="str">
        <f t="shared" si="80"/>
        <v/>
      </c>
      <c r="M134" s="55" t="str">
        <f t="shared" si="81"/>
        <v/>
      </c>
      <c r="N134" s="55" t="str">
        <f t="shared" si="82"/>
        <v/>
      </c>
      <c r="O134" s="56" t="str">
        <f t="shared" si="83"/>
        <v/>
      </c>
      <c r="P134" s="56" t="str">
        <f t="shared" si="84"/>
        <v/>
      </c>
      <c r="Q134" s="56" t="str">
        <f t="shared" si="85"/>
        <v/>
      </c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8"/>
      <c r="C135" s="48"/>
      <c r="D135" s="48"/>
      <c r="E135" s="48"/>
      <c r="F135" s="48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8"/>
      <c r="C136" s="48"/>
      <c r="D136" s="48"/>
      <c r="E136" s="48"/>
      <c r="F136" s="48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8"/>
      <c r="C137" s="48"/>
      <c r="D137" s="48"/>
      <c r="E137" s="48"/>
      <c r="F137" s="48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8"/>
      <c r="C138" s="48"/>
      <c r="D138" s="48"/>
      <c r="E138" s="48"/>
      <c r="F138" s="48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8"/>
      <c r="C139" s="48"/>
      <c r="D139" s="48"/>
      <c r="E139" s="48"/>
      <c r="F139" s="48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8"/>
      <c r="C140" s="48"/>
      <c r="D140" s="48"/>
      <c r="E140" s="48"/>
      <c r="F140" s="48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8"/>
      <c r="C141" s="48"/>
      <c r="D141" s="48"/>
      <c r="E141" s="48"/>
      <c r="F141" s="48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8"/>
      <c r="C142" s="48"/>
      <c r="D142" s="48"/>
      <c r="E142" s="48"/>
      <c r="F142" s="48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8"/>
      <c r="C143" s="48"/>
      <c r="D143" s="48"/>
      <c r="E143" s="48"/>
      <c r="F143" s="48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2024-10-28T22:49:18Z</dcterms:modified>
</cp:coreProperties>
</file>