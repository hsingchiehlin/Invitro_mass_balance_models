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AD268769-74B9-4159-B2AF-F45D47843096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R143" i="4"/>
  <c r="U143" i="4" s="1"/>
  <c r="V142" i="4"/>
  <c r="R142" i="4"/>
  <c r="U142" i="4" s="1"/>
  <c r="V141" i="4"/>
  <c r="U141" i="4"/>
  <c r="S141" i="4"/>
  <c r="R141" i="4"/>
  <c r="T141" i="4" s="1"/>
  <c r="V140" i="4"/>
  <c r="S140" i="4"/>
  <c r="R140" i="4"/>
  <c r="V139" i="4"/>
  <c r="U139" i="4"/>
  <c r="T139" i="4"/>
  <c r="S139" i="4"/>
  <c r="R139" i="4"/>
  <c r="V138" i="4"/>
  <c r="R138" i="4"/>
  <c r="U138" i="4" s="1"/>
  <c r="V137" i="4"/>
  <c r="U137" i="4"/>
  <c r="T137" i="4"/>
  <c r="S137" i="4"/>
  <c r="R137" i="4"/>
  <c r="V136" i="4"/>
  <c r="T136" i="4"/>
  <c r="R136" i="4"/>
  <c r="U136" i="4" s="1"/>
  <c r="V135" i="4"/>
  <c r="R135" i="4"/>
  <c r="U135" i="4" s="1"/>
  <c r="V134" i="4"/>
  <c r="U134" i="4"/>
  <c r="T134" i="4"/>
  <c r="R134" i="4"/>
  <c r="S134" i="4" s="1"/>
  <c r="V133" i="4"/>
  <c r="R133" i="4"/>
  <c r="V132" i="4"/>
  <c r="R132" i="4"/>
  <c r="T132" i="4" s="1"/>
  <c r="V131" i="4"/>
  <c r="R131" i="4"/>
  <c r="U131" i="4" s="1"/>
  <c r="V130" i="4"/>
  <c r="U130" i="4"/>
  <c r="T130" i="4"/>
  <c r="R130" i="4"/>
  <c r="S130" i="4" s="1"/>
  <c r="V129" i="4"/>
  <c r="U129" i="4"/>
  <c r="S129" i="4"/>
  <c r="R129" i="4"/>
  <c r="T129" i="4" s="1"/>
  <c r="V128" i="4"/>
  <c r="R128" i="4"/>
  <c r="V127" i="4"/>
  <c r="U127" i="4"/>
  <c r="T127" i="4"/>
  <c r="S127" i="4"/>
  <c r="R127" i="4"/>
  <c r="V126" i="4"/>
  <c r="R126" i="4"/>
  <c r="U126" i="4" s="1"/>
  <c r="V125" i="4"/>
  <c r="R125" i="4"/>
  <c r="U125" i="4" s="1"/>
  <c r="V124" i="4"/>
  <c r="T124" i="4"/>
  <c r="R124" i="4"/>
  <c r="U124" i="4" s="1"/>
  <c r="V123" i="4"/>
  <c r="T123" i="4"/>
  <c r="R123" i="4"/>
  <c r="U123" i="4" s="1"/>
  <c r="V122" i="4"/>
  <c r="U122" i="4"/>
  <c r="T122" i="4"/>
  <c r="R122" i="4"/>
  <c r="S122" i="4" s="1"/>
  <c r="V121" i="4"/>
  <c r="R121" i="4"/>
  <c r="V120" i="4"/>
  <c r="U120" i="4"/>
  <c r="S120" i="4"/>
  <c r="R120" i="4"/>
  <c r="T120" i="4" s="1"/>
  <c r="V119" i="4"/>
  <c r="R119" i="4"/>
  <c r="U119" i="4" s="1"/>
  <c r="V118" i="4"/>
  <c r="R118" i="4"/>
  <c r="U118" i="4" s="1"/>
  <c r="V117" i="4"/>
  <c r="U117" i="4"/>
  <c r="S117" i="4"/>
  <c r="R117" i="4"/>
  <c r="T117" i="4" s="1"/>
  <c r="V116" i="4"/>
  <c r="R116" i="4"/>
  <c r="S116" i="4" s="1"/>
  <c r="V115" i="4"/>
  <c r="U115" i="4"/>
  <c r="T115" i="4"/>
  <c r="S115" i="4"/>
  <c r="R115" i="4"/>
  <c r="V114" i="4"/>
  <c r="R114" i="4"/>
  <c r="U114" i="4" s="1"/>
  <c r="V113" i="4"/>
  <c r="U113" i="4"/>
  <c r="R113" i="4"/>
  <c r="T113" i="4" s="1"/>
  <c r="V112" i="4"/>
  <c r="T112" i="4"/>
  <c r="R112" i="4"/>
  <c r="U112" i="4" s="1"/>
  <c r="V111" i="4"/>
  <c r="R111" i="4"/>
  <c r="U111" i="4" s="1"/>
  <c r="V110" i="4"/>
  <c r="U110" i="4"/>
  <c r="T110" i="4"/>
  <c r="R110" i="4"/>
  <c r="S110" i="4" s="1"/>
  <c r="V109" i="4"/>
  <c r="R109" i="4"/>
  <c r="V108" i="4"/>
  <c r="R108" i="4"/>
  <c r="U108" i="4" s="1"/>
  <c r="R107" i="4"/>
  <c r="V106" i="4"/>
  <c r="R106" i="4"/>
  <c r="U106" i="4" s="1"/>
  <c r="V105" i="4"/>
  <c r="R105" i="4"/>
  <c r="T105" i="4" s="1"/>
  <c r="V104" i="4"/>
  <c r="T104" i="4"/>
  <c r="R104" i="4"/>
  <c r="U104" i="4" s="1"/>
  <c r="V103" i="4"/>
  <c r="T103" i="4"/>
  <c r="R103" i="4"/>
  <c r="U103" i="4" s="1"/>
  <c r="V102" i="4"/>
  <c r="U102" i="4"/>
  <c r="T102" i="4"/>
  <c r="R102" i="4"/>
  <c r="S102" i="4" s="1"/>
  <c r="V101" i="4"/>
  <c r="R101" i="4"/>
  <c r="R100" i="4"/>
  <c r="V99" i="4"/>
  <c r="U99" i="4"/>
  <c r="T99" i="4"/>
  <c r="S99" i="4"/>
  <c r="R99" i="4"/>
  <c r="V98" i="4"/>
  <c r="R98" i="4"/>
  <c r="U98" i="4" s="1"/>
  <c r="R97" i="4"/>
  <c r="V96" i="4"/>
  <c r="R96" i="4"/>
  <c r="U96" i="4" s="1"/>
  <c r="V95" i="4"/>
  <c r="R95" i="4"/>
  <c r="U95" i="4" s="1"/>
  <c r="V94" i="4"/>
  <c r="U94" i="4"/>
  <c r="R94" i="4"/>
  <c r="T94" i="4" s="1"/>
  <c r="V93" i="4"/>
  <c r="U93" i="4"/>
  <c r="S93" i="4"/>
  <c r="R93" i="4"/>
  <c r="T93" i="4" s="1"/>
  <c r="V92" i="4"/>
  <c r="R92" i="4"/>
  <c r="V91" i="4"/>
  <c r="U91" i="4"/>
  <c r="T91" i="4"/>
  <c r="S91" i="4"/>
  <c r="R91" i="4"/>
  <c r="V90" i="4"/>
  <c r="R90" i="4"/>
  <c r="U90" i="4" s="1"/>
  <c r="V89" i="4"/>
  <c r="R89" i="4"/>
  <c r="U89" i="4" s="1"/>
  <c r="V88" i="4"/>
  <c r="T88" i="4"/>
  <c r="R88" i="4"/>
  <c r="U88" i="4" s="1"/>
  <c r="V87" i="4"/>
  <c r="R87" i="4"/>
  <c r="U87" i="4" s="1"/>
  <c r="V86" i="4"/>
  <c r="U86" i="4"/>
  <c r="T86" i="4"/>
  <c r="R86" i="4"/>
  <c r="S86" i="4" s="1"/>
  <c r="V85" i="4"/>
  <c r="R85" i="4"/>
  <c r="V84" i="4"/>
  <c r="R84" i="4"/>
  <c r="U84" i="4" s="1"/>
  <c r="V83" i="4"/>
  <c r="R83" i="4"/>
  <c r="U83" i="4" s="1"/>
  <c r="V82" i="4"/>
  <c r="U82" i="4"/>
  <c r="T82" i="4"/>
  <c r="S82" i="4"/>
  <c r="R82" i="4"/>
  <c r="V81" i="4"/>
  <c r="U81" i="4"/>
  <c r="S81" i="4"/>
  <c r="R81" i="4"/>
  <c r="T81" i="4" s="1"/>
  <c r="V80" i="4"/>
  <c r="R80" i="4"/>
  <c r="V79" i="4"/>
  <c r="U79" i="4"/>
  <c r="T79" i="4"/>
  <c r="S79" i="4"/>
  <c r="R79" i="4"/>
  <c r="V78" i="4"/>
  <c r="R78" i="4"/>
  <c r="U78" i="4" s="1"/>
  <c r="V77" i="4"/>
  <c r="R77" i="4"/>
  <c r="U77" i="4" s="1"/>
  <c r="V76" i="4"/>
  <c r="T76" i="4"/>
  <c r="R76" i="4"/>
  <c r="U76" i="4" s="1"/>
  <c r="V75" i="4"/>
  <c r="T75" i="4"/>
  <c r="S75" i="4"/>
  <c r="R75" i="4"/>
  <c r="U75" i="4" s="1"/>
  <c r="V74" i="4"/>
  <c r="U74" i="4"/>
  <c r="T74" i="4"/>
  <c r="R74" i="4"/>
  <c r="S74" i="4" s="1"/>
  <c r="V73" i="4"/>
  <c r="R73" i="4"/>
  <c r="V72" i="4"/>
  <c r="U72" i="4"/>
  <c r="T72" i="4"/>
  <c r="R72" i="4"/>
  <c r="S72" i="4" s="1"/>
  <c r="V71" i="4"/>
  <c r="R71" i="4"/>
  <c r="U71" i="4" s="1"/>
  <c r="V70" i="4"/>
  <c r="R70" i="4"/>
  <c r="U70" i="4" s="1"/>
  <c r="V69" i="4"/>
  <c r="U69" i="4"/>
  <c r="T69" i="4"/>
  <c r="S69" i="4"/>
  <c r="R69" i="4"/>
  <c r="V68" i="4"/>
  <c r="R68" i="4"/>
  <c r="S68" i="4" s="1"/>
  <c r="V67" i="4"/>
  <c r="U67" i="4"/>
  <c r="T67" i="4"/>
  <c r="S67" i="4"/>
  <c r="R67" i="4"/>
  <c r="V66" i="4"/>
  <c r="R66" i="4"/>
  <c r="U66" i="4" s="1"/>
  <c r="V65" i="4"/>
  <c r="U65" i="4"/>
  <c r="R65" i="4"/>
  <c r="T65" i="4" s="1"/>
  <c r="V64" i="4"/>
  <c r="T64" i="4"/>
  <c r="R64" i="4"/>
  <c r="U64" i="4" s="1"/>
  <c r="V63" i="4"/>
  <c r="R63" i="4"/>
  <c r="U63" i="4" s="1"/>
  <c r="V62" i="4"/>
  <c r="U62" i="4"/>
  <c r="T62" i="4"/>
  <c r="R62" i="4"/>
  <c r="S62" i="4" s="1"/>
  <c r="V61" i="4"/>
  <c r="R61" i="4"/>
  <c r="V60" i="4"/>
  <c r="R60" i="4"/>
  <c r="U60" i="4" s="1"/>
  <c r="V59" i="4"/>
  <c r="R59" i="4"/>
  <c r="U59" i="4" s="1"/>
  <c r="V58" i="4"/>
  <c r="R58" i="4"/>
  <c r="U58" i="4" s="1"/>
  <c r="V57" i="4"/>
  <c r="U57" i="4"/>
  <c r="T57" i="4"/>
  <c r="S57" i="4"/>
  <c r="R57" i="4"/>
  <c r="V56" i="4"/>
  <c r="R56" i="4"/>
  <c r="V55" i="4"/>
  <c r="U55" i="4"/>
  <c r="T55" i="4"/>
  <c r="S55" i="4"/>
  <c r="R55" i="4"/>
  <c r="V54" i="4"/>
  <c r="R54" i="4"/>
  <c r="U54" i="4" s="1"/>
  <c r="V53" i="4"/>
  <c r="U53" i="4"/>
  <c r="T53" i="4"/>
  <c r="R53" i="4"/>
  <c r="S53" i="4" s="1"/>
  <c r="V52" i="4"/>
  <c r="T52" i="4"/>
  <c r="R52" i="4"/>
  <c r="U52" i="4" s="1"/>
  <c r="V51" i="4"/>
  <c r="R51" i="4"/>
  <c r="U51" i="4" s="1"/>
  <c r="V50" i="4"/>
  <c r="U50" i="4"/>
  <c r="T50" i="4"/>
  <c r="R50" i="4"/>
  <c r="S50" i="4" s="1"/>
  <c r="V49" i="4"/>
  <c r="R49" i="4"/>
  <c r="V48" i="4"/>
  <c r="R48" i="4"/>
  <c r="U48" i="4" s="1"/>
  <c r="V47" i="4"/>
  <c r="R47" i="4"/>
  <c r="U47" i="4" s="1"/>
  <c r="V46" i="4"/>
  <c r="U46" i="4"/>
  <c r="T46" i="4"/>
  <c r="S46" i="4"/>
  <c r="R46" i="4"/>
  <c r="V45" i="4"/>
  <c r="U45" i="4"/>
  <c r="T45" i="4"/>
  <c r="S45" i="4"/>
  <c r="R45" i="4"/>
  <c r="V44" i="4"/>
  <c r="R44" i="4"/>
  <c r="V43" i="4"/>
  <c r="U43" i="4"/>
  <c r="T43" i="4"/>
  <c r="S43" i="4"/>
  <c r="R43" i="4"/>
  <c r="V42" i="4"/>
  <c r="R42" i="4"/>
  <c r="U42" i="4" s="1"/>
  <c r="V41" i="4"/>
  <c r="R41" i="4"/>
  <c r="U41" i="4" s="1"/>
  <c r="V40" i="4"/>
  <c r="T40" i="4"/>
  <c r="R40" i="4"/>
  <c r="U40" i="4" s="1"/>
  <c r="V39" i="4"/>
  <c r="R39" i="4"/>
  <c r="U39" i="4" s="1"/>
  <c r="V38" i="4"/>
  <c r="U38" i="4"/>
  <c r="T38" i="4"/>
  <c r="R38" i="4"/>
  <c r="S38" i="4" s="1"/>
  <c r="V37" i="4"/>
  <c r="R37" i="4"/>
  <c r="V36" i="4"/>
  <c r="U36" i="4"/>
  <c r="R36" i="4"/>
  <c r="T36" i="4" s="1"/>
  <c r="V35" i="4"/>
  <c r="R35" i="4"/>
  <c r="U35" i="4" s="1"/>
  <c r="V34" i="4"/>
  <c r="R34" i="4"/>
  <c r="U34" i="4" s="1"/>
  <c r="V33" i="4"/>
  <c r="U33" i="4"/>
  <c r="T33" i="4"/>
  <c r="S33" i="4"/>
  <c r="R33" i="4"/>
  <c r="V32" i="4"/>
  <c r="R32" i="4"/>
  <c r="V31" i="4"/>
  <c r="U31" i="4"/>
  <c r="T31" i="4"/>
  <c r="S31" i="4"/>
  <c r="R31" i="4"/>
  <c r="V30" i="4"/>
  <c r="R30" i="4"/>
  <c r="U30" i="4" s="1"/>
  <c r="V29" i="4"/>
  <c r="R29" i="4"/>
  <c r="U29" i="4" s="1"/>
  <c r="V28" i="4"/>
  <c r="T28" i="4"/>
  <c r="R28" i="4"/>
  <c r="U28" i="4" s="1"/>
  <c r="I135" i="4"/>
  <c r="L135" i="4" s="1"/>
  <c r="M135" i="4" s="1"/>
  <c r="J135" i="4"/>
  <c r="K135" i="4"/>
  <c r="N135" i="4"/>
  <c r="O135" i="4"/>
  <c r="P135" i="4"/>
  <c r="Q135" i="4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O138" i="4"/>
  <c r="P138" i="4"/>
  <c r="Q138" i="4"/>
  <c r="I139" i="4"/>
  <c r="J139" i="4"/>
  <c r="K139" i="4"/>
  <c r="L139" i="4"/>
  <c r="M139" i="4" s="1"/>
  <c r="N139" i="4"/>
  <c r="O139" i="4"/>
  <c r="P139" i="4"/>
  <c r="Q139" i="4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J142" i="4"/>
  <c r="K142" i="4"/>
  <c r="L142" i="4"/>
  <c r="M142" i="4"/>
  <c r="N142" i="4"/>
  <c r="O142" i="4"/>
  <c r="P142" i="4"/>
  <c r="Q142" i="4"/>
  <c r="I143" i="4"/>
  <c r="J143" i="4"/>
  <c r="K143" i="4"/>
  <c r="L143" i="4"/>
  <c r="M143" i="4" s="1"/>
  <c r="N143" i="4"/>
  <c r="O143" i="4"/>
  <c r="P143" i="4"/>
  <c r="Q143" i="4"/>
  <c r="S36" i="4" l="1"/>
  <c r="T39" i="4"/>
  <c r="T58" i="4"/>
  <c r="S65" i="4"/>
  <c r="T84" i="4"/>
  <c r="S94" i="4"/>
  <c r="U105" i="4"/>
  <c r="S113" i="4"/>
  <c r="U132" i="4"/>
  <c r="T142" i="4"/>
  <c r="T37" i="4"/>
  <c r="S37" i="4"/>
  <c r="U37" i="4"/>
  <c r="U92" i="4"/>
  <c r="T92" i="4"/>
  <c r="S34" i="4"/>
  <c r="U44" i="4"/>
  <c r="T44" i="4"/>
  <c r="S63" i="4"/>
  <c r="S89" i="4"/>
  <c r="S92" i="4"/>
  <c r="S111" i="4"/>
  <c r="T34" i="4"/>
  <c r="S41" i="4"/>
  <c r="S44" i="4"/>
  <c r="S60" i="4"/>
  <c r="T63" i="4"/>
  <c r="T89" i="4"/>
  <c r="S108" i="4"/>
  <c r="T111" i="4"/>
  <c r="T121" i="4"/>
  <c r="S121" i="4"/>
  <c r="U121" i="4"/>
  <c r="T41" i="4"/>
  <c r="T60" i="4"/>
  <c r="T73" i="4"/>
  <c r="S73" i="4"/>
  <c r="U73" i="4"/>
  <c r="S96" i="4"/>
  <c r="T108" i="4"/>
  <c r="S118" i="4"/>
  <c r="U128" i="4"/>
  <c r="T128" i="4"/>
  <c r="U32" i="4"/>
  <c r="T32" i="4"/>
  <c r="S51" i="4"/>
  <c r="S70" i="4"/>
  <c r="U80" i="4"/>
  <c r="T80" i="4"/>
  <c r="T96" i="4"/>
  <c r="T101" i="4"/>
  <c r="S101" i="4"/>
  <c r="U101" i="4"/>
  <c r="T118" i="4"/>
  <c r="S125" i="4"/>
  <c r="S128" i="4"/>
  <c r="S29" i="4"/>
  <c r="S32" i="4"/>
  <c r="S48" i="4"/>
  <c r="T51" i="4"/>
  <c r="T70" i="4"/>
  <c r="S77" i="4"/>
  <c r="S80" i="4"/>
  <c r="T125" i="4"/>
  <c r="S135" i="4"/>
  <c r="T29" i="4"/>
  <c r="T48" i="4"/>
  <c r="T61" i="4"/>
  <c r="S61" i="4"/>
  <c r="U61" i="4"/>
  <c r="T77" i="4"/>
  <c r="S87" i="4"/>
  <c r="S105" i="4"/>
  <c r="T109" i="4"/>
  <c r="S109" i="4"/>
  <c r="U109" i="4"/>
  <c r="S132" i="4"/>
  <c r="T135" i="4"/>
  <c r="S39" i="4"/>
  <c r="S58" i="4"/>
  <c r="U68" i="4"/>
  <c r="T68" i="4"/>
  <c r="S84" i="4"/>
  <c r="T87" i="4"/>
  <c r="U116" i="4"/>
  <c r="T116" i="4"/>
  <c r="S142" i="4"/>
  <c r="S49" i="4"/>
  <c r="U49" i="4"/>
  <c r="T49" i="4"/>
  <c r="S123" i="4"/>
  <c r="U56" i="4"/>
  <c r="T56" i="4"/>
  <c r="T133" i="4"/>
  <c r="S133" i="4"/>
  <c r="U133" i="4"/>
  <c r="S56" i="4"/>
  <c r="T85" i="4"/>
  <c r="S85" i="4"/>
  <c r="U85" i="4"/>
  <c r="S103" i="4"/>
  <c r="U140" i="4"/>
  <c r="T140" i="4"/>
  <c r="T30" i="4"/>
  <c r="S35" i="4"/>
  <c r="T42" i="4"/>
  <c r="S47" i="4"/>
  <c r="S59" i="4"/>
  <c r="T66" i="4"/>
  <c r="S71" i="4"/>
  <c r="T78" i="4"/>
  <c r="S83" i="4"/>
  <c r="T90" i="4"/>
  <c r="S95" i="4"/>
  <c r="T98" i="4"/>
  <c r="T106" i="4"/>
  <c r="T114" i="4"/>
  <c r="S119" i="4"/>
  <c r="T126" i="4"/>
  <c r="S131" i="4"/>
  <c r="T138" i="4"/>
  <c r="S143" i="4"/>
  <c r="S30" i="4"/>
  <c r="S42" i="4"/>
  <c r="S54" i="4"/>
  <c r="S66" i="4"/>
  <c r="S78" i="4"/>
  <c r="S90" i="4"/>
  <c r="S98" i="4"/>
  <c r="S106" i="4"/>
  <c r="S114" i="4"/>
  <c r="S126" i="4"/>
  <c r="S138" i="4"/>
  <c r="T54" i="4"/>
  <c r="S28" i="4"/>
  <c r="T35" i="4"/>
  <c r="S40" i="4"/>
  <c r="T47" i="4"/>
  <c r="S52" i="4"/>
  <c r="T59" i="4"/>
  <c r="S64" i="4"/>
  <c r="T71" i="4"/>
  <c r="S76" i="4"/>
  <c r="T83" i="4"/>
  <c r="S88" i="4"/>
  <c r="T95" i="4"/>
  <c r="S104" i="4"/>
  <c r="S112" i="4"/>
  <c r="T119" i="4"/>
  <c r="S124" i="4"/>
  <c r="T131" i="4"/>
  <c r="S136" i="4"/>
  <c r="T143" i="4"/>
  <c r="N140" i="4"/>
  <c r="Q140" i="4" s="1"/>
  <c r="N136" i="4"/>
  <c r="Q136" i="4" s="1"/>
  <c r="I128" i="4" l="1"/>
  <c r="N128" i="4" s="1"/>
  <c r="Q128" i="4" s="1"/>
  <c r="J128" i="4"/>
  <c r="K128" i="4" s="1"/>
  <c r="O128" i="4" s="1"/>
  <c r="P128" i="4" s="1"/>
  <c r="I129" i="4"/>
  <c r="N129" i="4" s="1"/>
  <c r="Q129" i="4" s="1"/>
  <c r="J129" i="4"/>
  <c r="K129" i="4"/>
  <c r="O129" i="4" s="1"/>
  <c r="P129" i="4" s="1"/>
  <c r="L129" i="4"/>
  <c r="M129" i="4"/>
  <c r="I130" i="4"/>
  <c r="J130" i="4"/>
  <c r="K130" i="4"/>
  <c r="O130" i="4" s="1"/>
  <c r="P130" i="4" s="1"/>
  <c r="L130" i="4"/>
  <c r="M130" i="4"/>
  <c r="N130" i="4"/>
  <c r="Q130" i="4" s="1"/>
  <c r="I131" i="4"/>
  <c r="L131" i="4" s="1"/>
  <c r="M131" i="4" s="1"/>
  <c r="J131" i="4"/>
  <c r="K131" i="4" s="1"/>
  <c r="O131" i="4" s="1"/>
  <c r="P131" i="4" s="1"/>
  <c r="I132" i="4"/>
  <c r="J132" i="4"/>
  <c r="K132" i="4"/>
  <c r="L132" i="4"/>
  <c r="M132" i="4"/>
  <c r="N132" i="4"/>
  <c r="Q132" i="4" s="1"/>
  <c r="O132" i="4"/>
  <c r="P132" i="4"/>
  <c r="I133" i="4"/>
  <c r="N133" i="4" s="1"/>
  <c r="Q133" i="4" s="1"/>
  <c r="J133" i="4"/>
  <c r="K133" i="4" s="1"/>
  <c r="O133" i="4" s="1"/>
  <c r="P133" i="4" s="1"/>
  <c r="I134" i="4"/>
  <c r="N134" i="4" s="1"/>
  <c r="Q134" i="4" s="1"/>
  <c r="J134" i="4"/>
  <c r="K134" i="4" s="1"/>
  <c r="O134" i="4" s="1"/>
  <c r="P134" i="4" s="1"/>
  <c r="N131" i="4" l="1"/>
  <c r="Q131" i="4" s="1"/>
  <c r="L134" i="4"/>
  <c r="M134" i="4" s="1"/>
  <c r="L128" i="4"/>
  <c r="M128" i="4" s="1"/>
  <c r="L133" i="4"/>
  <c r="M133" i="4" s="1"/>
  <c r="O15" i="1" l="1"/>
  <c r="L15" i="1"/>
  <c r="N15" i="1"/>
  <c r="M103" i="4"/>
  <c r="M117" i="4"/>
  <c r="M122" i="4"/>
  <c r="M125" i="4"/>
  <c r="J16" i="4"/>
  <c r="J15" i="4"/>
  <c r="J87" i="4"/>
  <c r="K87" i="4" s="1"/>
  <c r="J122" i="4"/>
  <c r="K122" i="4"/>
  <c r="O122" i="4" s="1"/>
  <c r="P122" i="4" s="1"/>
  <c r="J117" i="4"/>
  <c r="K117" i="4"/>
  <c r="O117" i="4" s="1"/>
  <c r="P117" i="4" s="1"/>
  <c r="J120" i="4"/>
  <c r="K120" i="4" s="1"/>
  <c r="J101" i="4"/>
  <c r="L101" i="4" s="1"/>
  <c r="M101" i="4" s="1"/>
  <c r="K101" i="4"/>
  <c r="J86" i="4"/>
  <c r="K86" i="4" s="1"/>
  <c r="J85" i="4"/>
  <c r="K85" i="4" s="1"/>
  <c r="J88" i="4"/>
  <c r="K88" i="4" s="1"/>
  <c r="J119" i="4"/>
  <c r="K119" i="4" s="1"/>
  <c r="J72" i="4"/>
  <c r="K72" i="4"/>
  <c r="J103" i="4"/>
  <c r="K103" i="4"/>
  <c r="J118" i="4"/>
  <c r="L118" i="4" s="1"/>
  <c r="M118" i="4" s="1"/>
  <c r="K118" i="4"/>
  <c r="J104" i="4"/>
  <c r="K104" i="4"/>
  <c r="O104" i="4" s="1"/>
  <c r="P104" i="4" s="1"/>
  <c r="J90" i="4"/>
  <c r="K90" i="4" s="1"/>
  <c r="J71" i="4"/>
  <c r="K71" i="4" s="1"/>
  <c r="J110" i="4"/>
  <c r="K110" i="4"/>
  <c r="J82" i="4"/>
  <c r="K82" i="4"/>
  <c r="J113" i="4"/>
  <c r="L113" i="4" s="1"/>
  <c r="M113" i="4" s="1"/>
  <c r="K113" i="4"/>
  <c r="J97" i="4"/>
  <c r="K97" i="4"/>
  <c r="J81" i="4"/>
  <c r="K81" i="4" s="1"/>
  <c r="J116" i="4"/>
  <c r="K116" i="4" s="1"/>
  <c r="J100" i="4"/>
  <c r="K100" i="4" s="1"/>
  <c r="O100" i="4" s="1"/>
  <c r="P100" i="4" s="1"/>
  <c r="J84" i="4"/>
  <c r="K84" i="4" s="1"/>
  <c r="J114" i="4"/>
  <c r="K114" i="4"/>
  <c r="J78" i="4"/>
  <c r="K78" i="4" s="1"/>
  <c r="J115" i="4"/>
  <c r="K115" i="4"/>
  <c r="O115" i="4"/>
  <c r="P115" i="4" s="1"/>
  <c r="J99" i="4"/>
  <c r="K99" i="4" s="1"/>
  <c r="O99" i="4" s="1"/>
  <c r="P99" i="4" s="1"/>
  <c r="J83" i="4"/>
  <c r="K83" i="4" s="1"/>
  <c r="J102" i="4"/>
  <c r="K102" i="4"/>
  <c r="J74" i="4"/>
  <c r="K74" i="4" s="1"/>
  <c r="J125" i="4"/>
  <c r="K125" i="4"/>
  <c r="J109" i="4"/>
  <c r="K109" i="4"/>
  <c r="O109" i="4" s="1"/>
  <c r="P109" i="4" s="1"/>
  <c r="J93" i="4"/>
  <c r="K93" i="4"/>
  <c r="J77" i="4"/>
  <c r="K77" i="4"/>
  <c r="J112" i="4"/>
  <c r="K112" i="4"/>
  <c r="J96" i="4"/>
  <c r="K96" i="4" s="1"/>
  <c r="J80" i="4"/>
  <c r="K80" i="4" s="1"/>
  <c r="J106" i="4"/>
  <c r="K106" i="4"/>
  <c r="O106" i="4" s="1"/>
  <c r="P106" i="4" s="1"/>
  <c r="J127" i="4"/>
  <c r="K127" i="4"/>
  <c r="J111" i="4"/>
  <c r="K111" i="4"/>
  <c r="O111" i="4" s="1"/>
  <c r="P111" i="4" s="1"/>
  <c r="J95" i="4"/>
  <c r="K95" i="4" s="1"/>
  <c r="J79" i="4"/>
  <c r="K79" i="4" s="1"/>
  <c r="J126" i="4"/>
  <c r="K126" i="4"/>
  <c r="J94" i="4"/>
  <c r="K94" i="4"/>
  <c r="O94" i="4" s="1"/>
  <c r="P94" i="4" s="1"/>
  <c r="J121" i="4"/>
  <c r="K121" i="4" s="1"/>
  <c r="J105" i="4"/>
  <c r="K105" i="4"/>
  <c r="J89" i="4"/>
  <c r="K89" i="4" s="1"/>
  <c r="J73" i="4"/>
  <c r="K73" i="4" s="1"/>
  <c r="J124" i="4"/>
  <c r="K124" i="4" s="1"/>
  <c r="J108" i="4"/>
  <c r="K108" i="4" s="1"/>
  <c r="J92" i="4"/>
  <c r="K92" i="4"/>
  <c r="J76" i="4"/>
  <c r="K76" i="4" s="1"/>
  <c r="J98" i="4"/>
  <c r="K98" i="4"/>
  <c r="O98" i="4" s="1"/>
  <c r="P98" i="4" s="1"/>
  <c r="J123" i="4"/>
  <c r="K123" i="4"/>
  <c r="O123" i="4" s="1"/>
  <c r="P123" i="4" s="1"/>
  <c r="J107" i="4"/>
  <c r="K107" i="4"/>
  <c r="J91" i="4"/>
  <c r="K91" i="4"/>
  <c r="J75" i="4"/>
  <c r="K75" i="4"/>
  <c r="O112" i="4"/>
  <c r="P112" i="4"/>
  <c r="O105" i="4"/>
  <c r="P105" i="4" s="1"/>
  <c r="O102" i="4"/>
  <c r="P102" i="4"/>
  <c r="O110" i="4"/>
  <c r="P110" i="4"/>
  <c r="O118" i="4"/>
  <c r="P118" i="4" s="1"/>
  <c r="O113" i="4"/>
  <c r="P113" i="4"/>
  <c r="O103" i="4"/>
  <c r="P103" i="4"/>
  <c r="O125" i="4"/>
  <c r="P125" i="4"/>
  <c r="O101" i="4"/>
  <c r="P101" i="4" s="1"/>
  <c r="I76" i="4"/>
  <c r="N76" i="4" s="1"/>
  <c r="Q76" i="4" s="1"/>
  <c r="I77" i="4"/>
  <c r="N77" i="4" s="1"/>
  <c r="Q77" i="4" s="1"/>
  <c r="I81" i="4"/>
  <c r="I89" i="4"/>
  <c r="I90" i="4"/>
  <c r="N90" i="4" s="1"/>
  <c r="Q90" i="4" s="1"/>
  <c r="I96" i="4"/>
  <c r="L96" i="4" s="1"/>
  <c r="I99" i="4"/>
  <c r="N99" i="4" s="1"/>
  <c r="Q99" i="4" s="1"/>
  <c r="I102" i="4"/>
  <c r="L102" i="4" s="1"/>
  <c r="M102" i="4" s="1"/>
  <c r="I104" i="4"/>
  <c r="L104" i="4" s="1"/>
  <c r="M104" i="4" s="1"/>
  <c r="I108" i="4"/>
  <c r="N108" i="4" s="1"/>
  <c r="Q108" i="4" s="1"/>
  <c r="I111" i="4"/>
  <c r="L111" i="4" s="1"/>
  <c r="M111" i="4" s="1"/>
  <c r="I113" i="4"/>
  <c r="I115" i="4"/>
  <c r="N115" i="4" s="1"/>
  <c r="Q115" i="4" s="1"/>
  <c r="I119" i="4"/>
  <c r="N119" i="4" s="1"/>
  <c r="Q119" i="4" s="1"/>
  <c r="I120" i="4"/>
  <c r="N120" i="4" s="1"/>
  <c r="Q120" i="4" s="1"/>
  <c r="I123" i="4"/>
  <c r="N123" i="4" s="1"/>
  <c r="Q123" i="4" s="1"/>
  <c r="I125" i="4"/>
  <c r="I79" i="4"/>
  <c r="I92" i="4"/>
  <c r="N92" i="4" s="1"/>
  <c r="Q92" i="4" s="1"/>
  <c r="I100" i="4"/>
  <c r="I103" i="4"/>
  <c r="N103" i="4" s="1"/>
  <c r="Q103" i="4" s="1"/>
  <c r="I107" i="4"/>
  <c r="L107" i="4" s="1"/>
  <c r="I109" i="4"/>
  <c r="L109" i="4" s="1"/>
  <c r="M109" i="4" s="1"/>
  <c r="I110" i="4"/>
  <c r="I117" i="4"/>
  <c r="I124" i="4"/>
  <c r="I72" i="4"/>
  <c r="N72" i="4" s="1"/>
  <c r="Q72" i="4" s="1"/>
  <c r="I106" i="4"/>
  <c r="I71" i="4"/>
  <c r="L71" i="4" s="1"/>
  <c r="I75" i="4"/>
  <c r="I80" i="4"/>
  <c r="I83" i="4"/>
  <c r="N83" i="4" s="1"/>
  <c r="Q83" i="4" s="1"/>
  <c r="I86" i="4"/>
  <c r="I88" i="4"/>
  <c r="L88" i="4" s="1"/>
  <c r="I94" i="4"/>
  <c r="L94" i="4" s="1"/>
  <c r="I95" i="4"/>
  <c r="I98" i="4"/>
  <c r="I101" i="4"/>
  <c r="I118" i="4"/>
  <c r="I127" i="4"/>
  <c r="I73" i="4"/>
  <c r="N73" i="4" s="1"/>
  <c r="Q73" i="4" s="1"/>
  <c r="I74" i="4"/>
  <c r="N74" i="4" s="1"/>
  <c r="Q74" i="4" s="1"/>
  <c r="I78" i="4"/>
  <c r="L78" i="4" s="1"/>
  <c r="I82" i="4"/>
  <c r="I85" i="4"/>
  <c r="N85" i="4" s="1"/>
  <c r="Q85" i="4" s="1"/>
  <c r="I93" i="4"/>
  <c r="N93" i="4" s="1"/>
  <c r="Q93" i="4" s="1"/>
  <c r="I112" i="4"/>
  <c r="L112" i="4" s="1"/>
  <c r="M112" i="4" s="1"/>
  <c r="I114" i="4"/>
  <c r="I121" i="4"/>
  <c r="I122" i="4"/>
  <c r="I84" i="4"/>
  <c r="I87" i="4"/>
  <c r="I91" i="4"/>
  <c r="I97" i="4"/>
  <c r="N97" i="4" s="1"/>
  <c r="Q97" i="4" s="1"/>
  <c r="I105" i="4"/>
  <c r="I116" i="4"/>
  <c r="I126" i="4"/>
  <c r="N126" i="4" s="1"/>
  <c r="Q126" i="4" s="1"/>
  <c r="L105" i="4"/>
  <c r="M105" i="4" s="1"/>
  <c r="N105" i="4"/>
  <c r="Q105" i="4" s="1"/>
  <c r="N121" i="4"/>
  <c r="Q121" i="4" s="1"/>
  <c r="N101" i="4"/>
  <c r="Q101" i="4"/>
  <c r="N75" i="4"/>
  <c r="Q75" i="4"/>
  <c r="L106" i="4"/>
  <c r="M106" i="4" s="1"/>
  <c r="N106" i="4"/>
  <c r="Q106" i="4"/>
  <c r="N79" i="4"/>
  <c r="Q79" i="4" s="1"/>
  <c r="L119" i="4"/>
  <c r="N114" i="4"/>
  <c r="Q114" i="4"/>
  <c r="L114" i="4"/>
  <c r="N98" i="4"/>
  <c r="Q98" i="4"/>
  <c r="L98" i="4"/>
  <c r="M98" i="4" s="1"/>
  <c r="N71" i="4"/>
  <c r="Q71" i="4" s="1"/>
  <c r="N117" i="4"/>
  <c r="Q117" i="4"/>
  <c r="L117" i="4"/>
  <c r="L103" i="4"/>
  <c r="L125" i="4"/>
  <c r="N125" i="4"/>
  <c r="Q125" i="4" s="1"/>
  <c r="N91" i="4"/>
  <c r="Q91" i="4"/>
  <c r="L91" i="4"/>
  <c r="N127" i="4"/>
  <c r="Q127" i="4" s="1"/>
  <c r="N95" i="4"/>
  <c r="Q95" i="4" s="1"/>
  <c r="L95" i="4"/>
  <c r="N110" i="4"/>
  <c r="Q110" i="4"/>
  <c r="L110" i="4"/>
  <c r="M110" i="4" s="1"/>
  <c r="L100" i="4"/>
  <c r="M100" i="4" s="1"/>
  <c r="N100" i="4"/>
  <c r="Q100" i="4"/>
  <c r="L123" i="4"/>
  <c r="M123" i="4" s="1"/>
  <c r="N113" i="4"/>
  <c r="Q113" i="4"/>
  <c r="N89" i="4"/>
  <c r="Q89" i="4" s="1"/>
  <c r="N87" i="4"/>
  <c r="Q87" i="4" s="1"/>
  <c r="L87" i="4"/>
  <c r="M87" i="4" s="1"/>
  <c r="N122" i="4"/>
  <c r="Q122" i="4" s="1"/>
  <c r="L122" i="4"/>
  <c r="N118" i="4"/>
  <c r="Q118" i="4"/>
  <c r="N81" i="4"/>
  <c r="Q81" i="4"/>
  <c r="M71" i="4" l="1"/>
  <c r="O119" i="4"/>
  <c r="P119" i="4" s="1"/>
  <c r="O116" i="4"/>
  <c r="P116" i="4" s="1"/>
  <c r="O124" i="4"/>
  <c r="P124" i="4" s="1"/>
  <c r="O71" i="4"/>
  <c r="P71" i="4" s="1"/>
  <c r="O108" i="4"/>
  <c r="P108" i="4" s="1"/>
  <c r="L86" i="4"/>
  <c r="M91" i="4"/>
  <c r="O120" i="4"/>
  <c r="P120" i="4" s="1"/>
  <c r="N102" i="4"/>
  <c r="Q102" i="4" s="1"/>
  <c r="N111" i="4"/>
  <c r="Q111" i="4" s="1"/>
  <c r="L72" i="4"/>
  <c r="O107" i="4"/>
  <c r="P107" i="4" s="1"/>
  <c r="N112" i="4"/>
  <c r="Q112" i="4" s="1"/>
  <c r="L99" i="4"/>
  <c r="M99" i="4" s="1"/>
  <c r="M114" i="4"/>
  <c r="O114" i="4"/>
  <c r="P114" i="4" s="1"/>
  <c r="O127" i="4"/>
  <c r="P127" i="4" s="1"/>
  <c r="O126" i="4"/>
  <c r="P126" i="4" s="1"/>
  <c r="N104" i="4"/>
  <c r="Q104" i="4" s="1"/>
  <c r="L97" i="4"/>
  <c r="M97" i="4" s="1"/>
  <c r="L124" i="4"/>
  <c r="L126" i="4"/>
  <c r="M107" i="4"/>
  <c r="N94" i="4"/>
  <c r="Q94" i="4" s="1"/>
  <c r="L116" i="4"/>
  <c r="O91" i="4"/>
  <c r="P91" i="4" s="1"/>
  <c r="N109" i="4"/>
  <c r="Q109" i="4" s="1"/>
  <c r="L81" i="4"/>
  <c r="O121" i="4"/>
  <c r="P121" i="4" s="1"/>
  <c r="L127" i="4"/>
  <c r="L92" i="4"/>
  <c r="M119" i="4"/>
  <c r="L121" i="4"/>
  <c r="O78" i="4"/>
  <c r="P78" i="4" s="1"/>
  <c r="O76" i="4"/>
  <c r="P76" i="4" s="1"/>
  <c r="M92" i="4"/>
  <c r="O92" i="4"/>
  <c r="P92" i="4" s="1"/>
  <c r="O80" i="4"/>
  <c r="P80" i="4" s="1"/>
  <c r="L115" i="4"/>
  <c r="O84" i="4"/>
  <c r="P84" i="4" s="1"/>
  <c r="M72" i="4"/>
  <c r="M81" i="4"/>
  <c r="M95" i="4"/>
  <c r="O79" i="4"/>
  <c r="P79" i="4" s="1"/>
  <c r="O77" i="4"/>
  <c r="P77" i="4" s="1"/>
  <c r="L77" i="4"/>
  <c r="L82" i="4"/>
  <c r="O73" i="4"/>
  <c r="P73" i="4" s="1"/>
  <c r="O93" i="4"/>
  <c r="P93" i="4" s="1"/>
  <c r="O88" i="4"/>
  <c r="P88" i="4" s="1"/>
  <c r="L76" i="4"/>
  <c r="N107" i="4"/>
  <c r="Q107" i="4" s="1"/>
  <c r="L73" i="4"/>
  <c r="M78" i="4"/>
  <c r="L80" i="4"/>
  <c r="O89" i="4"/>
  <c r="P89" i="4" s="1"/>
  <c r="O90" i="4"/>
  <c r="P90" i="4" s="1"/>
  <c r="O85" i="4"/>
  <c r="P85" i="4" s="1"/>
  <c r="M94" i="4"/>
  <c r="N86" i="4"/>
  <c r="Q86" i="4" s="1"/>
  <c r="L85" i="4"/>
  <c r="L74" i="4"/>
  <c r="L75" i="4"/>
  <c r="L79" i="4"/>
  <c r="M96" i="4"/>
  <c r="O81" i="4"/>
  <c r="P81" i="4" s="1"/>
  <c r="O86" i="4"/>
  <c r="P86" i="4" s="1"/>
  <c r="N116" i="4"/>
  <c r="Q116" i="4" s="1"/>
  <c r="L90" i="4"/>
  <c r="L108" i="4"/>
  <c r="N124" i="4"/>
  <c r="Q124" i="4" s="1"/>
  <c r="O97" i="4"/>
  <c r="P97" i="4" s="1"/>
  <c r="O74" i="4"/>
  <c r="P74" i="4" s="1"/>
  <c r="O72" i="4"/>
  <c r="P72" i="4" s="1"/>
  <c r="M88" i="4"/>
  <c r="O82" i="4"/>
  <c r="P82" i="4" s="1"/>
  <c r="O95" i="4"/>
  <c r="P95" i="4" s="1"/>
  <c r="O87" i="4"/>
  <c r="P87" i="4" s="1"/>
  <c r="L83" i="4"/>
  <c r="L89" i="4"/>
  <c r="O75" i="4"/>
  <c r="P75" i="4" s="1"/>
  <c r="O96" i="4"/>
  <c r="P96" i="4" s="1"/>
  <c r="O83" i="4"/>
  <c r="P83" i="4" s="1"/>
  <c r="L120" i="4"/>
  <c r="L84" i="4"/>
  <c r="N82" i="4"/>
  <c r="Q82" i="4" s="1"/>
  <c r="N96" i="4"/>
  <c r="Q96" i="4" s="1"/>
  <c r="L93" i="4"/>
  <c r="N88" i="4"/>
  <c r="Q88" i="4" s="1"/>
  <c r="N78" i="4"/>
  <c r="Q78" i="4" s="1"/>
  <c r="N84" i="4"/>
  <c r="Q84" i="4" s="1"/>
  <c r="N80" i="4"/>
  <c r="Q80" i="4" s="1"/>
  <c r="J14" i="4"/>
  <c r="J13" i="4" s="1"/>
  <c r="K16" i="4" s="1"/>
  <c r="M108" i="4" l="1"/>
  <c r="M124" i="4"/>
  <c r="M116" i="4"/>
  <c r="M126" i="4"/>
  <c r="M115" i="4"/>
  <c r="M121" i="4"/>
  <c r="M120" i="4"/>
  <c r="M86" i="4"/>
  <c r="M127" i="4"/>
  <c r="M75" i="4"/>
  <c r="M93" i="4"/>
  <c r="M74" i="4"/>
  <c r="M85" i="4"/>
  <c r="M89" i="4"/>
  <c r="M80" i="4"/>
  <c r="M84" i="4"/>
  <c r="M83" i="4"/>
  <c r="M79" i="4"/>
  <c r="M90" i="4"/>
  <c r="M73" i="4"/>
  <c r="M82" i="4"/>
  <c r="M76" i="4"/>
  <c r="M77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1" i="4" l="1"/>
  <c r="P61" i="4" s="1"/>
  <c r="O60" i="4"/>
  <c r="P60" i="4" s="1"/>
  <c r="O62" i="4"/>
  <c r="P62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0" i="4" l="1"/>
  <c r="M61" i="4"/>
  <c r="M62" i="4"/>
  <c r="M70" i="4"/>
  <c r="M63" i="4"/>
  <c r="M64" i="4"/>
  <c r="O64" i="4"/>
  <c r="P64" i="4" s="1"/>
  <c r="M69" i="4"/>
  <c r="M58" i="4"/>
  <c r="O69" i="4"/>
  <c r="P69" i="4" s="1"/>
  <c r="M57" i="4"/>
  <c r="O67" i="4"/>
  <c r="P67" i="4" s="1"/>
  <c r="M67" i="4"/>
  <c r="M68" i="4"/>
  <c r="O68" i="4"/>
  <c r="P68" i="4" s="1"/>
  <c r="O65" i="4"/>
  <c r="P65" i="4" s="1"/>
  <c r="M65" i="4"/>
  <c r="O66" i="4"/>
  <c r="P66" i="4" s="1"/>
  <c r="M66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L45" i="4" s="1"/>
  <c r="J30" i="4"/>
  <c r="K30" i="4" s="1"/>
  <c r="J43" i="4"/>
  <c r="L43" i="4" s="1"/>
  <c r="J31" i="4"/>
  <c r="J44" i="4"/>
  <c r="L44" i="4" s="1"/>
  <c r="J36" i="4"/>
  <c r="L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7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O48" i="4" l="1"/>
  <c r="P48" i="4" s="1"/>
  <c r="M48" i="4"/>
  <c r="L30" i="4"/>
  <c r="O49" i="4"/>
  <c r="P49" i="4" s="1"/>
  <c r="M49" i="4"/>
  <c r="O47" i="4"/>
  <c r="P47" i="4" s="1"/>
  <c r="M47" i="4"/>
  <c r="M31" i="4"/>
  <c r="O31" i="4"/>
  <c r="P31" i="4" s="1"/>
  <c r="O35" i="4"/>
  <c r="P35" i="4" s="1"/>
  <c r="O46" i="4"/>
  <c r="P46" i="4" s="1"/>
  <c r="M43" i="4"/>
  <c r="K43" i="4"/>
  <c r="O41" i="4"/>
  <c r="P41" i="4" s="1"/>
  <c r="O39" i="4"/>
  <c r="P39" i="4" s="1"/>
  <c r="M39" i="4"/>
  <c r="O33" i="4"/>
  <c r="P33" i="4" s="1"/>
  <c r="O28" i="4"/>
  <c r="P28" i="4" s="1"/>
  <c r="O30" i="4"/>
  <c r="P30" i="4" s="1"/>
  <c r="M44" i="4"/>
  <c r="L35" i="4"/>
  <c r="M45" i="4"/>
  <c r="K45" i="4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M30" i="4" l="1"/>
  <c r="M41" i="4"/>
  <c r="M46" i="4"/>
  <c r="O44" i="4"/>
  <c r="P44" i="4" s="1"/>
  <c r="O43" i="4"/>
  <c r="P43" i="4" s="1"/>
  <c r="O29" i="4"/>
  <c r="P29" i="4" s="1"/>
  <c r="O32" i="4"/>
  <c r="P32" i="4" s="1"/>
  <c r="O38" i="4"/>
  <c r="P38" i="4" s="1"/>
  <c r="M35" i="4"/>
  <c r="O40" i="4"/>
  <c r="P40" i="4" s="1"/>
  <c r="M33" i="4"/>
  <c r="O42" i="4"/>
  <c r="P42" i="4" s="1"/>
  <c r="O37" i="4"/>
  <c r="P37" i="4" s="1"/>
  <c r="O36" i="4"/>
  <c r="P36" i="4" s="1"/>
  <c r="O45" i="4"/>
  <c r="P45" i="4" s="1"/>
  <c r="O34" i="4"/>
  <c r="P34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<sst xmlns="http://schemas.openxmlformats.org/spreadsheetml/2006/main" count="340" uniqueCount="313">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</sst>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30</v>
      </c>
      <c r="K17" s="31" t="s">
        <v>79</v>
      </c>
      <c r="L17" s="80">
        <v>2.5693999999999999E-3</v>
      </c>
      <c r="M17" s="80">
        <v>2.32E-4</v>
      </c>
      <c r="N17" s="80">
        <v>9.8599999999999998E-5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22" zoomScale="70" zoomScaleNormal="70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40.016240000000003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39.993668640000003</v>
      </c>
      <c r="K8" s="39">
        <f>J8/J7</f>
        <v>0.99943594500632738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2.0499199999999999E-2</v>
      </c>
      <c r="K9" s="39">
        <f>J9/J7</f>
        <v>5.1227201756087022E-4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2.07216E-3</v>
      </c>
      <c r="K10" s="39">
        <f>J10/J7</f>
        <v>5.1782976111698644E-5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1.6239999999999997E-2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1.4388639999999999E-2</v>
      </c>
      <c r="K20" s="39">
        <f>J20/J19</f>
        <v>0.88600000000000012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1.2991999999999999E-3</v>
      </c>
      <c r="K21" s="39">
        <f>J21/J19</f>
        <v>0.08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5.5215999999999989E-4</v>
      </c>
      <c r="K22" s="39">
        <f>J22/J19</f>
        <v>3.3999999999999996E-2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8.6236157418987745E-3</v>
      </c>
      <c r="K28" s="93">
        <f t="shared" ref="K28:K47" si="3">IF(D28=0,"",1/(1+10^D28*$J$15/$J$14+10^E28*$J$16/$J$14+10^J28*$J$19/$J$14))</f>
        <v>0.99898263266493503</v>
      </c>
      <c r="L28" s="93">
        <f t="shared" ref="L28:L47" si="4">IF(D28=0,"",1/(1+10^I28/10^J28*$J$13/$J$19))</f>
        <v>4.139354391822685E-4</v>
      </c>
      <c r="M28" s="93">
        <f t="shared" ref="M28:M47" si="5">IF(D28=0,"",1-L28)</f>
        <v>0.99958606456081778</v>
      </c>
      <c r="N28" s="93">
        <f t="shared" ref="N28:N47" si="6">IF(D28=0,"",1/(1/10^E28*$J$20/$J$22+10^D28/10^E28*$J$21/$J$22+10^I28/10^E28*$J$13/$J$22+1))</f>
        <v>1.6672622288582614E-5</v>
      </c>
      <c r="O28" s="40">
        <f t="shared" ref="O28:O47" si="7">IF(D28=0,"",F28*K28*$J$7/$J$14)</f>
        <v>9.9990617101038038E-7</v>
      </c>
      <c r="P28" s="40">
        <f t="shared" ref="P28:P47" si="8">IF(D28=0,"",O28*10^J28)</f>
        <v>1.0199593521442774E-6</v>
      </c>
      <c r="Q28" s="40">
        <f t="shared" ref="Q28:Q47" si="9">IF(D28=0,"",F28*N28*$J$7/$J$22)</f>
        <v>1.2083013165192541E-6</v>
      </c>
      <c r="R28" s="9">
        <f>F28*$C$14</f>
        <v>3.9999999999999996E-5</v>
      </c>
      <c r="S28" s="9">
        <f>$R28*L28</f>
        <v>1.6557417567290739E-8</v>
      </c>
      <c r="T28" s="9">
        <f t="shared" ref="T28:T91" si="10">R28*K28</f>
        <v>3.9959305306597395E-5</v>
      </c>
      <c r="U28" s="9">
        <f t="shared" ref="U28:U91" si="11">$R28*M28</f>
        <v>3.9983442582432705E-5</v>
      </c>
      <c r="V28" s="100">
        <f>K28/M28</f>
        <v>0.99939631821883401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161</v>
      </c>
      <c r="C29" s="46" t="s">
        <v>162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4.6078470391874224E-2</v>
      </c>
      <c r="J29" s="92">
        <f t="shared" si="2"/>
        <v>1.4792346366341074</v>
      </c>
      <c r="K29" s="93">
        <f t="shared" si="3"/>
        <v>0.8890827827590162</v>
      </c>
      <c r="L29" s="93">
        <f t="shared" si="4"/>
        <v>1.0887493109999917E-2</v>
      </c>
      <c r="M29" s="93">
        <f t="shared" si="5"/>
        <v>0.98911250689000008</v>
      </c>
      <c r="N29" s="93">
        <f t="shared" si="6"/>
        <v>4.6684442145839217E-3</v>
      </c>
      <c r="O29" s="40">
        <f t="shared" si="7"/>
        <v>8.8990472101430175E-7</v>
      </c>
      <c r="P29" s="40">
        <f t="shared" si="8"/>
        <v>2.682737298572064E-5</v>
      </c>
      <c r="Q29" s="40">
        <f t="shared" si="9"/>
        <v>3.3833233866524515E-4</v>
      </c>
      <c r="R29" s="9">
        <f t="shared" ref="R29:R92" si="12">F29*$C$14</f>
        <v>3.9999999999999996E-5</v>
      </c>
      <c r="S29" s="9">
        <f t="shared" ref="S29:S92" si="13">$R29*L29</f>
        <v>4.3549972439999665E-7</v>
      </c>
      <c r="T29" s="9">
        <f t="shared" si="10"/>
        <v>3.5563311310360647E-5</v>
      </c>
      <c r="U29" s="9">
        <f t="shared" si="11"/>
        <v>3.9564500275600002E-5</v>
      </c>
      <c r="V29" s="100">
        <f t="shared" ref="V29:V92" si="14">K29/M29</f>
        <v>0.89886921514570617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163</v>
      </c>
      <c r="C30" s="46" t="s">
        <v>164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1.116379396238508</v>
      </c>
      <c r="J30" s="92">
        <f t="shared" si="2"/>
        <v>3.3064757852460134</v>
      </c>
      <c r="K30" s="93">
        <f t="shared" si="3"/>
        <v>7.1929136054759923E-2</v>
      </c>
      <c r="L30" s="93">
        <f t="shared" si="4"/>
        <v>5.9174103315557725E-2</v>
      </c>
      <c r="M30" s="93">
        <f t="shared" si="5"/>
        <v>0.94082589668444228</v>
      </c>
      <c r="N30" s="93">
        <f t="shared" si="6"/>
        <v>4.3364547346618778E-4</v>
      </c>
      <c r="O30" s="40">
        <f t="shared" si="7"/>
        <v>7.1995633021903515E-8</v>
      </c>
      <c r="P30" s="40">
        <f t="shared" si="8"/>
        <v>1.4580819704803916E-4</v>
      </c>
      <c r="Q30" s="40">
        <f t="shared" si="9"/>
        <v>3.1427233666213788E-5</v>
      </c>
      <c r="R30" s="9">
        <f t="shared" si="12"/>
        <v>3.9999999999999996E-5</v>
      </c>
      <c r="S30" s="9">
        <f t="shared" si="13"/>
        <v>2.3669641326223086E-6</v>
      </c>
      <c r="T30" s="9">
        <f t="shared" si="10"/>
        <v>2.8771654421903969E-6</v>
      </c>
      <c r="U30" s="9">
        <f t="shared" si="11"/>
        <v>3.7633035867377689E-5</v>
      </c>
      <c r="V30" s="100">
        <f t="shared" si="14"/>
        <v>7.6453184705315688E-2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-1.9978935919434454E-4</v>
      </c>
      <c r="J31" s="92">
        <f t="shared" si="2"/>
        <v>-4.7629566913209166E-2</v>
      </c>
      <c r="K31" s="93">
        <f t="shared" si="3"/>
        <v>0.99957805736272642</v>
      </c>
      <c r="L31" s="93">
        <f t="shared" si="4"/>
        <v>3.6386325768998184E-4</v>
      </c>
      <c r="M31" s="93">
        <f t="shared" si="5"/>
        <v>0.99963613674231</v>
      </c>
      <c r="N31" s="93">
        <f t="shared" si="6"/>
        <v>2.2445947125201319E-7</v>
      </c>
      <c r="O31" s="40">
        <f t="shared" si="7"/>
        <v>1.0005021461657296E-6</v>
      </c>
      <c r="P31" s="40">
        <f t="shared" si="8"/>
        <v>8.9657878367636484E-7</v>
      </c>
      <c r="Q31" s="40">
        <f t="shared" si="9"/>
        <v>1.6267067646866238E-8</v>
      </c>
      <c r="R31" s="9">
        <f t="shared" si="12"/>
        <v>3.9999999999999996E-5</v>
      </c>
      <c r="S31" s="9">
        <f t="shared" si="13"/>
        <v>1.4554530307599273E-8</v>
      </c>
      <c r="T31" s="9">
        <f t="shared" si="10"/>
        <v>3.9983122294509053E-5</v>
      </c>
      <c r="U31" s="9">
        <f t="shared" si="11"/>
        <v>3.9985445469692395E-5</v>
      </c>
      <c r="V31" s="100">
        <f t="shared" si="14"/>
        <v>0.99994189947977186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5.4311668398331027E-4</v>
      </c>
      <c r="J32" s="92">
        <f t="shared" si="2"/>
        <v>9.2112642741615611E-2</v>
      </c>
      <c r="K32" s="93">
        <f t="shared" si="3"/>
        <v>0.99773269572101375</v>
      </c>
      <c r="L32" s="93">
        <f t="shared" si="4"/>
        <v>5.0104635079286947E-4</v>
      </c>
      <c r="M32" s="93">
        <f t="shared" si="5"/>
        <v>0.99949895364920716</v>
      </c>
      <c r="N32" s="93">
        <f t="shared" si="6"/>
        <v>2.7580730170942986E-5</v>
      </c>
      <c r="O32" s="40">
        <f t="shared" si="7"/>
        <v>9.9865507852615289E-7</v>
      </c>
      <c r="P32" s="40">
        <f t="shared" si="8"/>
        <v>1.2346053586485013E-6</v>
      </c>
      <c r="Q32" s="40">
        <f t="shared" si="9"/>
        <v>1.9988356959861198E-6</v>
      </c>
      <c r="R32" s="9">
        <f t="shared" si="12"/>
        <v>3.9999999999999996E-5</v>
      </c>
      <c r="S32" s="9">
        <f t="shared" si="13"/>
        <v>2.0041854031714778E-8</v>
      </c>
      <c r="T32" s="9">
        <f t="shared" si="10"/>
        <v>3.990930782884055E-5</v>
      </c>
      <c r="U32" s="9">
        <f t="shared" si="11"/>
        <v>3.9979958145968285E-5</v>
      </c>
      <c r="V32" s="100">
        <f t="shared" si="14"/>
        <v>0.9982328566510803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165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1.0070969156464394E-2</v>
      </c>
      <c r="J33" s="92">
        <f t="shared" si="2"/>
        <v>0.83886397407051061</v>
      </c>
      <c r="K33" s="93">
        <f t="shared" si="3"/>
        <v>0.97390556395613515</v>
      </c>
      <c r="L33" s="93">
        <f t="shared" si="4"/>
        <v>2.7298065874749736E-3</v>
      </c>
      <c r="M33" s="93">
        <f t="shared" si="5"/>
        <v>0.99727019341252499</v>
      </c>
      <c r="N33" s="93">
        <f t="shared" si="6"/>
        <v>9.8102987475047975E-4</v>
      </c>
      <c r="O33" s="40">
        <f t="shared" si="7"/>
        <v>9.748059190811853E-7</v>
      </c>
      <c r="P33" s="40">
        <f t="shared" si="8"/>
        <v>6.7263913520923381E-6</v>
      </c>
      <c r="Q33" s="40">
        <f t="shared" si="9"/>
        <v>7.1097375607043529E-5</v>
      </c>
      <c r="R33" s="9">
        <f t="shared" si="12"/>
        <v>3.9999999999999996E-5</v>
      </c>
      <c r="S33" s="9">
        <f t="shared" si="13"/>
        <v>1.0919226349899893E-7</v>
      </c>
      <c r="T33" s="9">
        <f t="shared" si="10"/>
        <v>3.8956222558245404E-5</v>
      </c>
      <c r="U33" s="9">
        <f t="shared" si="11"/>
        <v>3.9890807736500996E-5</v>
      </c>
      <c r="V33" s="100">
        <f t="shared" si="14"/>
        <v>0.97657141503804579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3.1711948665398576E-4</v>
      </c>
      <c r="J34" s="92">
        <f t="shared" si="2"/>
        <v>5.2338797505457349E-2</v>
      </c>
      <c r="K34" s="93">
        <f t="shared" si="3"/>
        <v>0.9982955650762998</v>
      </c>
      <c r="L34" s="93">
        <f t="shared" si="4"/>
        <v>4.5745564976210285E-4</v>
      </c>
      <c r="M34" s="93">
        <f t="shared" si="5"/>
        <v>0.99954254435023793</v>
      </c>
      <c r="N34" s="93">
        <f t="shared" si="6"/>
        <v>1.6943944696139909E-5</v>
      </c>
      <c r="O34" s="40">
        <f t="shared" si="7"/>
        <v>9.9921846824227024E-7</v>
      </c>
      <c r="P34" s="40">
        <f t="shared" si="8"/>
        <v>1.1271955092510007E-6</v>
      </c>
      <c r="Q34" s="40">
        <f t="shared" si="9"/>
        <v>1.2279646434139775E-6</v>
      </c>
      <c r="R34" s="9">
        <f t="shared" si="12"/>
        <v>3.9999999999999996E-5</v>
      </c>
      <c r="S34" s="9">
        <f t="shared" si="13"/>
        <v>1.8298225990484113E-8</v>
      </c>
      <c r="T34" s="9">
        <f t="shared" si="10"/>
        <v>3.9931822603051988E-5</v>
      </c>
      <c r="U34" s="9">
        <f t="shared" si="11"/>
        <v>3.9981701774009512E-5</v>
      </c>
      <c r="V34" s="100">
        <f t="shared" si="14"/>
        <v>0.99875245002727853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1.8367979099029661E-4</v>
      </c>
      <c r="J35" s="92">
        <f t="shared" si="2"/>
        <v>2.7641191606188362E-2</v>
      </c>
      <c r="K35" s="93">
        <f t="shared" si="3"/>
        <v>0.99862746628605936</v>
      </c>
      <c r="L35" s="93">
        <f t="shared" si="4"/>
        <v>4.3231047102955243E-4</v>
      </c>
      <c r="M35" s="93">
        <f t="shared" si="5"/>
        <v>0.99956768952897046</v>
      </c>
      <c r="N35" s="93">
        <f t="shared" si="6"/>
        <v>1.1404640914839092E-5</v>
      </c>
      <c r="O35" s="40">
        <f t="shared" si="7"/>
        <v>9.9955067628768854E-7</v>
      </c>
      <c r="P35" s="40">
        <f t="shared" si="8"/>
        <v>1.0652364263073658E-6</v>
      </c>
      <c r="Q35" s="40">
        <f t="shared" si="9"/>
        <v>8.2651921175387707E-7</v>
      </c>
      <c r="R35" s="9">
        <f t="shared" si="12"/>
        <v>3.9999999999999996E-5</v>
      </c>
      <c r="S35" s="9">
        <f t="shared" si="13"/>
        <v>1.7292418841182095E-8</v>
      </c>
      <c r="T35" s="9">
        <f t="shared" si="10"/>
        <v>3.9945098651442373E-5</v>
      </c>
      <c r="U35" s="9">
        <f t="shared" si="11"/>
        <v>3.9982707581158817E-5</v>
      </c>
      <c r="V35" s="100">
        <f t="shared" si="14"/>
        <v>0.99905937011293933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166</v>
      </c>
      <c r="C36" s="46" t="s">
        <v>167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0.45036614920415591</v>
      </c>
      <c r="J36" s="92">
        <f t="shared" si="2"/>
        <v>2.8233837190602822</v>
      </c>
      <c r="K36" s="93">
        <f t="shared" si="3"/>
        <v>0.32334188000873387</v>
      </c>
      <c r="L36" s="93">
        <f t="shared" si="4"/>
        <v>8.7457434719325308E-2</v>
      </c>
      <c r="M36" s="93">
        <f t="shared" si="5"/>
        <v>0.91254256528067468</v>
      </c>
      <c r="N36" s="93">
        <f t="shared" si="6"/>
        <v>5.8338859225925729E-2</v>
      </c>
      <c r="O36" s="40">
        <f t="shared" si="7"/>
        <v>3.2364080274784073E-7</v>
      </c>
      <c r="P36" s="40">
        <f t="shared" si="8"/>
        <v>2.1549985822123487E-4</v>
      </c>
      <c r="Q36" s="40">
        <f t="shared" si="9"/>
        <v>4.227944422107467E-3</v>
      </c>
      <c r="R36" s="9">
        <f t="shared" si="12"/>
        <v>3.9999999999999996E-5</v>
      </c>
      <c r="S36" s="9">
        <f t="shared" si="13"/>
        <v>3.4982973887730119E-6</v>
      </c>
      <c r="T36" s="9">
        <f t="shared" si="10"/>
        <v>1.2933675200349353E-5</v>
      </c>
      <c r="U36" s="9">
        <f t="shared" si="11"/>
        <v>3.6501702611226986E-5</v>
      </c>
      <c r="V36" s="100">
        <f t="shared" si="14"/>
        <v>0.35433073733857251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168</v>
      </c>
      <c r="C37" s="94" t="s">
        <v>169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2.2002191789801899</v>
      </c>
      <c r="J37" s="92">
        <f t="shared" si="2"/>
        <v>5.0533179287067078</v>
      </c>
      <c r="K37" s="93">
        <f t="shared" si="3"/>
        <v>4.8880967287919649E-3</v>
      </c>
      <c r="L37" s="93">
        <f t="shared" si="4"/>
        <v>0.22449608748610869</v>
      </c>
      <c r="M37" s="93">
        <f t="shared" si="5"/>
        <v>0.77550391251389128</v>
      </c>
      <c r="N37" s="93">
        <f t="shared" si="6"/>
        <v>0.21180278458758689</v>
      </c>
      <c r="O37" s="40">
        <f t="shared" si="7"/>
        <v>4.8926156709814233E-9</v>
      </c>
      <c r="P37" s="40">
        <f t="shared" si="8"/>
        <v>5.5317052437839429E-4</v>
      </c>
      <c r="Q37" s="40">
        <f t="shared" si="9"/>
        <v>1.5349809947705699E-2</v>
      </c>
      <c r="R37" s="9">
        <f t="shared" si="12"/>
        <v>3.9999999999999996E-5</v>
      </c>
      <c r="S37" s="9">
        <f t="shared" si="13"/>
        <v>8.979843499444347E-6</v>
      </c>
      <c r="T37" s="9">
        <f t="shared" si="10"/>
        <v>1.9552386915167859E-7</v>
      </c>
      <c r="U37" s="9">
        <f t="shared" si="11"/>
        <v>3.1020156500555649E-5</v>
      </c>
      <c r="V37" s="100">
        <f t="shared" si="14"/>
        <v>6.3031232337005215E-3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170</v>
      </c>
      <c r="C38" s="46" t="s">
        <v>171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-1.5970395933982679E-4</v>
      </c>
      <c r="J38" s="92">
        <f t="shared" si="2"/>
        <v>-3.9632186021290691E-2</v>
      </c>
      <c r="K38" s="93">
        <f t="shared" si="3"/>
        <v>0.99947907574586214</v>
      </c>
      <c r="L38" s="93">
        <f t="shared" si="4"/>
        <v>3.7058904494467813E-4</v>
      </c>
      <c r="M38" s="93">
        <f t="shared" si="5"/>
        <v>0.99962941095505531</v>
      </c>
      <c r="N38" s="93">
        <f t="shared" si="6"/>
        <v>8.6197975923092121E-7</v>
      </c>
      <c r="O38" s="40">
        <f t="shared" si="7"/>
        <v>1.000403073042451E-6</v>
      </c>
      <c r="P38" s="40">
        <f t="shared" si="8"/>
        <v>9.1315148792346231E-7</v>
      </c>
      <c r="Q38" s="40">
        <f t="shared" si="9"/>
        <v>6.2469553970817809E-8</v>
      </c>
      <c r="R38" s="9">
        <f t="shared" si="12"/>
        <v>3.9999999999999996E-5</v>
      </c>
      <c r="S38" s="9">
        <f t="shared" si="13"/>
        <v>1.4823561797787123E-8</v>
      </c>
      <c r="T38" s="9">
        <f t="shared" si="10"/>
        <v>3.9979163029834483E-5</v>
      </c>
      <c r="U38" s="9">
        <f t="shared" si="11"/>
        <v>3.9985176438202208E-5</v>
      </c>
      <c r="V38" s="100">
        <f t="shared" si="14"/>
        <v>0.99984960905757114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4.7752637245013392E-2</v>
      </c>
      <c r="J39" s="92">
        <f t="shared" si="2"/>
        <v>1.4569140663004096</v>
      </c>
      <c r="K39" s="93">
        <f t="shared" si="3"/>
        <v>0.88618065334585583</v>
      </c>
      <c r="L39" s="93">
        <f t="shared" si="4"/>
        <v>1.0308308022018375E-2</v>
      </c>
      <c r="M39" s="93">
        <f t="shared" si="5"/>
        <v>0.98969169197798168</v>
      </c>
      <c r="N39" s="93">
        <f t="shared" si="6"/>
        <v>3.668463800710359E-3</v>
      </c>
      <c r="O39" s="40">
        <f t="shared" si="7"/>
        <v>8.8699990864379176E-7</v>
      </c>
      <c r="P39" s="40">
        <f t="shared" si="8"/>
        <v>2.5400229544520487E-5</v>
      </c>
      <c r="Q39" s="40">
        <f t="shared" si="9"/>
        <v>2.6586157613832568E-4</v>
      </c>
      <c r="R39" s="9">
        <f t="shared" si="12"/>
        <v>3.9999999999999996E-5</v>
      </c>
      <c r="S39" s="9">
        <f t="shared" si="13"/>
        <v>4.12332320880735E-7</v>
      </c>
      <c r="T39" s="9">
        <f t="shared" si="10"/>
        <v>3.5447226133834227E-5</v>
      </c>
      <c r="U39" s="9">
        <f t="shared" si="11"/>
        <v>3.9587667679119267E-5</v>
      </c>
      <c r="V39" s="100">
        <f t="shared" si="14"/>
        <v>0.89541082392512528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172</v>
      </c>
      <c r="C40" s="46" t="s">
        <v>173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5.4923561227077443E-2</v>
      </c>
      <c r="J40" s="92">
        <f t="shared" si="2"/>
        <v>1.6408491131175968</v>
      </c>
      <c r="K40" s="93">
        <f t="shared" si="3"/>
        <v>0.86717811699263248</v>
      </c>
      <c r="L40" s="93">
        <f t="shared" si="4"/>
        <v>1.5406659327803609E-2</v>
      </c>
      <c r="M40" s="93">
        <f t="shared" si="5"/>
        <v>0.98459334067219639</v>
      </c>
      <c r="N40" s="93">
        <f t="shared" si="6"/>
        <v>8.7860870779466662E-3</v>
      </c>
      <c r="O40" s="40">
        <f t="shared" si="7"/>
        <v>8.6797980484704237E-7</v>
      </c>
      <c r="P40" s="40">
        <f t="shared" si="8"/>
        <v>3.7962843427317001E-5</v>
      </c>
      <c r="Q40" s="40">
        <f t="shared" si="9"/>
        <v>6.36746901572031E-4</v>
      </c>
      <c r="R40" s="9">
        <f t="shared" si="12"/>
        <v>3.9999999999999996E-5</v>
      </c>
      <c r="S40" s="9">
        <f t="shared" si="13"/>
        <v>6.1626637311214433E-7</v>
      </c>
      <c r="T40" s="9">
        <f t="shared" si="10"/>
        <v>3.4687124679705296E-5</v>
      </c>
      <c r="U40" s="9">
        <f t="shared" si="11"/>
        <v>3.9383733626887855E-5</v>
      </c>
      <c r="V40" s="100">
        <f t="shared" si="14"/>
        <v>0.88074749358003701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174</v>
      </c>
      <c r="C41" s="94" t="s">
        <v>175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6.6276677113325539E-3</v>
      </c>
      <c r="J41" s="92">
        <f t="shared" si="2"/>
        <v>0.64559866119554743</v>
      </c>
      <c r="K41" s="93">
        <f t="shared" si="3"/>
        <v>0.9826076222834238</v>
      </c>
      <c r="L41" s="93">
        <f t="shared" si="4"/>
        <v>1.7649395952333484E-3</v>
      </c>
      <c r="M41" s="93">
        <f t="shared" si="5"/>
        <v>0.99823506040476662</v>
      </c>
      <c r="N41" s="93">
        <f t="shared" si="6"/>
        <v>4.3483961461377292E-4</v>
      </c>
      <c r="O41" s="40">
        <f t="shared" si="7"/>
        <v>9.8351602227761069E-7</v>
      </c>
      <c r="P41" s="40">
        <f t="shared" si="8"/>
        <v>4.3489067997758955E-6</v>
      </c>
      <c r="Q41" s="40">
        <f t="shared" si="9"/>
        <v>3.15137756807669E-5</v>
      </c>
      <c r="R41" s="9">
        <f t="shared" si="12"/>
        <v>3.9999999999999996E-5</v>
      </c>
      <c r="S41" s="9">
        <f t="shared" si="13"/>
        <v>7.0597583809333924E-8</v>
      </c>
      <c r="T41" s="9">
        <f t="shared" si="10"/>
        <v>3.9304304891336951E-5</v>
      </c>
      <c r="U41" s="9">
        <f t="shared" si="11"/>
        <v>3.9929402416190658E-5</v>
      </c>
      <c r="V41" s="100">
        <f t="shared" si="14"/>
        <v>0.98434493162862247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176</v>
      </c>
      <c r="C42" s="46" t="s">
        <v>177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2.8589842167479149E-2</v>
      </c>
      <c r="J42" s="92">
        <f t="shared" si="2"/>
        <v>1.314258680650835</v>
      </c>
      <c r="K42" s="93">
        <f t="shared" si="3"/>
        <v>0.92852689267424471</v>
      </c>
      <c r="L42" s="93">
        <f t="shared" si="4"/>
        <v>7.7768589768968622E-3</v>
      </c>
      <c r="M42" s="93">
        <f t="shared" si="5"/>
        <v>0.99222314102310316</v>
      </c>
      <c r="N42" s="93">
        <f t="shared" si="6"/>
        <v>3.8496607580913128E-3</v>
      </c>
      <c r="O42" s="40">
        <f t="shared" si="7"/>
        <v>9.2938529617608965E-7</v>
      </c>
      <c r="P42" s="40">
        <f t="shared" si="8"/>
        <v>1.9162601925225331E-5</v>
      </c>
      <c r="Q42" s="40">
        <f t="shared" si="9"/>
        <v>2.7899331500717898E-4</v>
      </c>
      <c r="R42" s="9">
        <f t="shared" si="12"/>
        <v>3.9999999999999996E-5</v>
      </c>
      <c r="S42" s="9">
        <f t="shared" si="13"/>
        <v>3.1107435907587449E-7</v>
      </c>
      <c r="T42" s="9">
        <f t="shared" si="10"/>
        <v>3.7141075706969782E-5</v>
      </c>
      <c r="U42" s="9">
        <f t="shared" si="11"/>
        <v>3.9688925640924123E-5</v>
      </c>
      <c r="V42" s="100">
        <f t="shared" si="14"/>
        <v>0.93580451239710072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178</v>
      </c>
      <c r="C43" s="46" t="s">
        <v>179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4.5043006346732313E-2</v>
      </c>
      <c r="J43" s="92">
        <f t="shared" si="2"/>
        <v>1.4492878976223589</v>
      </c>
      <c r="K43" s="93">
        <f t="shared" si="3"/>
        <v>0.89183044428131752</v>
      </c>
      <c r="L43" s="93">
        <f t="shared" si="4"/>
        <v>1.0193451190966601E-2</v>
      </c>
      <c r="M43" s="93">
        <f t="shared" si="5"/>
        <v>0.9898065488090334</v>
      </c>
      <c r="N43" s="93">
        <f t="shared" si="6"/>
        <v>3.985082045602272E-3</v>
      </c>
      <c r="O43" s="40">
        <f t="shared" si="7"/>
        <v>8.9265492269165005E-7</v>
      </c>
      <c r="P43" s="40">
        <f t="shared" si="8"/>
        <v>2.5117216089039739E-5</v>
      </c>
      <c r="Q43" s="40">
        <f t="shared" si="9"/>
        <v>2.8880759119912977E-4</v>
      </c>
      <c r="R43" s="9">
        <f t="shared" si="12"/>
        <v>3.9999999999999996E-5</v>
      </c>
      <c r="S43" s="9">
        <f t="shared" si="13"/>
        <v>4.0773804763866399E-7</v>
      </c>
      <c r="T43" s="9">
        <f t="shared" si="10"/>
        <v>3.56732177712527E-5</v>
      </c>
      <c r="U43" s="9">
        <f t="shared" si="11"/>
        <v>3.9592261952361335E-5</v>
      </c>
      <c r="V43" s="100">
        <f t="shared" si="14"/>
        <v>0.90101489564238202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180</v>
      </c>
      <c r="C44" s="46" t="s">
        <v>181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2.829962486439805</v>
      </c>
      <c r="J44" s="92">
        <f t="shared" si="2"/>
        <v>5.6416380635271075</v>
      </c>
      <c r="K44" s="93">
        <f t="shared" si="3"/>
        <v>1.1704636526575221E-3</v>
      </c>
      <c r="L44" s="93">
        <f t="shared" si="4"/>
        <v>0.20832771560808985</v>
      </c>
      <c r="M44" s="93">
        <f t="shared" si="5"/>
        <v>0.79167228439191017</v>
      </c>
      <c r="N44" s="93">
        <f t="shared" si="6"/>
        <v>0.19028121033139975</v>
      </c>
      <c r="O44" s="40">
        <f t="shared" si="7"/>
        <v>1.1715457215842818E-9</v>
      </c>
      <c r="P44" s="40">
        <f t="shared" si="8"/>
        <v>5.1333077995228298E-4</v>
      </c>
      <c r="Q44" s="40">
        <f t="shared" si="9"/>
        <v>1.379009450179617E-2</v>
      </c>
      <c r="R44" s="9">
        <f t="shared" si="12"/>
        <v>3.9999999999999996E-5</v>
      </c>
      <c r="S44" s="9">
        <f t="shared" si="13"/>
        <v>8.3331086243235927E-6</v>
      </c>
      <c r="T44" s="9">
        <f t="shared" si="10"/>
        <v>4.6818546106300879E-8</v>
      </c>
      <c r="U44" s="9">
        <f t="shared" si="11"/>
        <v>3.1666891375676407E-5</v>
      </c>
      <c r="V44" s="100">
        <f t="shared" si="14"/>
        <v>1.4784699120249797E-3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182</v>
      </c>
      <c r="C45" s="46" t="s">
        <v>183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3.957220636313619E-3</v>
      </c>
      <c r="J45" s="92">
        <f t="shared" si="2"/>
        <v>0.50257798213592542</v>
      </c>
      <c r="K45" s="93">
        <f t="shared" si="3"/>
        <v>0.9891503199879873</v>
      </c>
      <c r="L45" s="93">
        <f t="shared" si="4"/>
        <v>1.2781779887124653E-3</v>
      </c>
      <c r="M45" s="93">
        <f t="shared" si="5"/>
        <v>0.99872182201128756</v>
      </c>
      <c r="N45" s="93">
        <f t="shared" si="6"/>
        <v>3.3734810061444251E-4</v>
      </c>
      <c r="O45" s="40">
        <f t="shared" si="7"/>
        <v>9.9006476856802066E-7</v>
      </c>
      <c r="P45" s="40">
        <f t="shared" si="8"/>
        <v>3.14949982506375E-6</v>
      </c>
      <c r="Q45" s="40">
        <f t="shared" si="9"/>
        <v>2.4448352937068392E-5</v>
      </c>
      <c r="R45" s="9">
        <f t="shared" si="12"/>
        <v>3.9999999999999996E-5</v>
      </c>
      <c r="S45" s="9">
        <f t="shared" si="13"/>
        <v>5.1127119548498607E-8</v>
      </c>
      <c r="T45" s="9">
        <f t="shared" si="10"/>
        <v>3.9566012799519488E-5</v>
      </c>
      <c r="U45" s="9">
        <f t="shared" si="11"/>
        <v>3.9948872880451497E-5</v>
      </c>
      <c r="V45" s="100">
        <f t="shared" si="14"/>
        <v>0.99041624823614594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184</v>
      </c>
      <c r="C46" s="46" t="s">
        <v>185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4.1980440605165602E-3</v>
      </c>
      <c r="J46" s="92">
        <f t="shared" si="2"/>
        <v>0.51091120344487984</v>
      </c>
      <c r="K46" s="93">
        <f t="shared" si="3"/>
        <v>0.98857820639094662</v>
      </c>
      <c r="L46" s="93">
        <f t="shared" si="4"/>
        <v>1.3021868096008301E-3</v>
      </c>
      <c r="M46" s="93">
        <f t="shared" si="5"/>
        <v>0.99869781319039919</v>
      </c>
      <c r="N46" s="93">
        <f t="shared" si="6"/>
        <v>3.2152741245910393E-4</v>
      </c>
      <c r="O46" s="40">
        <f t="shared" si="7"/>
        <v>9.894921260640425E-7</v>
      </c>
      <c r="P46" s="40">
        <f t="shared" si="8"/>
        <v>3.2086588607032713E-6</v>
      </c>
      <c r="Q46" s="40">
        <f t="shared" si="9"/>
        <v>2.3301793146085365E-5</v>
      </c>
      <c r="R46" s="9">
        <f t="shared" si="12"/>
        <v>3.9999999999999996E-5</v>
      </c>
      <c r="S46" s="9">
        <f t="shared" si="13"/>
        <v>5.2087472384033198E-8</v>
      </c>
      <c r="T46" s="9">
        <f t="shared" si="10"/>
        <v>3.9543128255637865E-5</v>
      </c>
      <c r="U46" s="9">
        <f t="shared" si="11"/>
        <v>3.9947912527615966E-5</v>
      </c>
      <c r="V46" s="100">
        <f t="shared" si="14"/>
        <v>0.98986719839995951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186</v>
      </c>
      <c r="C47" s="46" t="s">
        <v>187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8.655050783580702E-2</v>
      </c>
      <c r="J47" s="92">
        <f t="shared" si="2"/>
        <v>1.881661916759644</v>
      </c>
      <c r="K47" s="93">
        <f t="shared" si="3"/>
        <v>0.79865782143072539</v>
      </c>
      <c r="L47" s="93">
        <f t="shared" si="4"/>
        <v>2.4704366538226039E-2</v>
      </c>
      <c r="M47" s="93">
        <f t="shared" si="5"/>
        <v>0.97529563346177395</v>
      </c>
      <c r="N47" s="93">
        <f t="shared" si="6"/>
        <v>1.5317740258510711E-2</v>
      </c>
      <c r="O47" s="40">
        <f t="shared" si="7"/>
        <v>7.9939616371903269E-7</v>
      </c>
      <c r="P47" s="40">
        <f t="shared" si="8"/>
        <v>6.0872897810444739E-5</v>
      </c>
      <c r="Q47" s="40">
        <f t="shared" si="9"/>
        <v>1.1101100594795475E-3</v>
      </c>
      <c r="R47" s="9">
        <f t="shared" si="12"/>
        <v>3.9999999999999996E-5</v>
      </c>
      <c r="S47" s="9">
        <f t="shared" si="13"/>
        <v>9.8817466152904154E-7</v>
      </c>
      <c r="T47" s="9">
        <f t="shared" si="10"/>
        <v>3.194631285722901E-5</v>
      </c>
      <c r="U47" s="9">
        <f t="shared" si="11"/>
        <v>3.9011825338470957E-5</v>
      </c>
      <c r="V47" s="100">
        <f t="shared" si="14"/>
        <v>0.81888792898202623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3.9402684082655473E-2</v>
      </c>
      <c r="K48" s="93">
        <f t="shared" ref="K48:K50" si="17">IF(D48=0,"",1/(1+10^D48*$J$15/$J$14+10^E48*$J$16/$J$14+10^J48*$J$19/$J$14))</f>
        <v>0.99855501851470574</v>
      </c>
      <c r="L48" s="93">
        <f t="shared" ref="L48:L50" si="18">IF(D48=0,"",1/(1+10^I48/10^J48*$J$13/$J$19))</f>
        <v>4.4414598361822096E-4</v>
      </c>
      <c r="M48" s="93">
        <f t="shared" ref="M48:M92" si="19">IF(D48=0,"",1-L48)</f>
        <v>0.99955585401638181</v>
      </c>
      <c r="N48" s="93">
        <f t="shared" ref="N48:N50" si="20">IF(D48=0,"",1/(1/10^E48*$J$20/$J$22+10^D48/10^E48*$J$21/$J$22+10^I48/10^E48*$J$13/$J$22+1))</f>
        <v>2.0941219652167624E-5</v>
      </c>
      <c r="O48" s="40">
        <f t="shared" ref="O48:O92" si="21">IF(D48=0,"",F48*K48*$J$7/$J$14)</f>
        <v>9.9947816153990028E-7</v>
      </c>
      <c r="P48" s="40">
        <f t="shared" ref="P48:P50" si="22">IF(D48=0,"",O48*10^J48)</f>
        <v>1.0943997706590391E-6</v>
      </c>
      <c r="Q48" s="40">
        <f t="shared" ref="Q48:Q50" si="23">IF(D48=0,"",F48*N48*$J$7/$J$22)</f>
        <v>1.51765588143628E-6</v>
      </c>
      <c r="R48" s="9">
        <f t="shared" si="12"/>
        <v>3.9999999999999996E-5</v>
      </c>
      <c r="S48" s="9">
        <f t="shared" si="13"/>
        <v>1.7765839344728837E-8</v>
      </c>
      <c r="T48" s="9">
        <f t="shared" si="10"/>
        <v>3.9942200740588226E-5</v>
      </c>
      <c r="U48" s="9">
        <f t="shared" si="11"/>
        <v>3.9982234160655266E-5</v>
      </c>
      <c r="V48" s="100">
        <f t="shared" si="14"/>
        <v>0.99899871978373744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188</v>
      </c>
      <c r="C49" s="46" t="s">
        <v>189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9.6186457475178466E-3</v>
      </c>
      <c r="J49" s="92">
        <f t="shared" si="16"/>
        <v>0.83897219078208807</v>
      </c>
      <c r="K49" s="93">
        <f t="shared" si="17"/>
        <v>0.97491699062261516</v>
      </c>
      <c r="L49" s="93">
        <f t="shared" si="18"/>
        <v>2.733322563271082E-3</v>
      </c>
      <c r="M49" s="93">
        <f t="shared" si="19"/>
        <v>0.99726667743672892</v>
      </c>
      <c r="N49" s="93">
        <f t="shared" si="20"/>
        <v>1.0693025750747667E-3</v>
      </c>
      <c r="O49" s="40">
        <f t="shared" si="21"/>
        <v>9.7581828079025725E-7</v>
      </c>
      <c r="P49" s="40">
        <f t="shared" si="22"/>
        <v>6.7350549069748051E-6</v>
      </c>
      <c r="Q49" s="40">
        <f t="shared" si="23"/>
        <v>7.7494690808479227E-5</v>
      </c>
      <c r="R49" s="9">
        <f t="shared" si="12"/>
        <v>3.9999999999999996E-5</v>
      </c>
      <c r="S49" s="9">
        <f t="shared" si="13"/>
        <v>1.0933290253084327E-7</v>
      </c>
      <c r="T49" s="9">
        <f t="shared" si="10"/>
        <v>3.8996679624904603E-5</v>
      </c>
      <c r="U49" s="9">
        <f t="shared" si="11"/>
        <v>3.9890667097469156E-5</v>
      </c>
      <c r="V49" s="100">
        <f t="shared" si="14"/>
        <v>0.9775890568493083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190</v>
      </c>
      <c r="C50" s="46" t="s">
        <v>191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8.6760595853303396E-2</v>
      </c>
      <c r="J50" s="92">
        <f t="shared" si="16"/>
        <v>1.8013240408300564</v>
      </c>
      <c r="K50" s="93">
        <f t="shared" si="17"/>
        <v>0.80162402307149594</v>
      </c>
      <c r="L50" s="93">
        <f t="shared" si="18"/>
        <v>2.0608473345931855E-2</v>
      </c>
      <c r="M50" s="93">
        <f t="shared" si="19"/>
        <v>0.97939152665406815</v>
      </c>
      <c r="N50" s="93">
        <f t="shared" si="20"/>
        <v>1.0188979703008845E-2</v>
      </c>
      <c r="O50" s="40">
        <f t="shared" si="21"/>
        <v>8.0236510755057416E-7</v>
      </c>
      <c r="P50" s="40">
        <f t="shared" si="22"/>
        <v>5.0780395039680572E-5</v>
      </c>
      <c r="Q50" s="40">
        <f t="shared" si="23"/>
        <v>7.3841759118866042E-4</v>
      </c>
      <c r="R50" s="9">
        <f t="shared" si="12"/>
        <v>3.9999999999999996E-5</v>
      </c>
      <c r="S50" s="9">
        <f t="shared" si="13"/>
        <v>8.2433893383727415E-7</v>
      </c>
      <c r="T50" s="9">
        <f t="shared" si="10"/>
        <v>3.2064960922859834E-5</v>
      </c>
      <c r="U50" s="9">
        <f t="shared" si="11"/>
        <v>3.9175661066162724E-5</v>
      </c>
      <c r="V50" s="100">
        <f t="shared" si="14"/>
        <v>0.81849189139925893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192</v>
      </c>
      <c r="C51" s="46" t="s">
        <v>193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4.6611522076147738</v>
      </c>
      <c r="K51" s="93">
        <f t="shared" ref="K51:K70" si="26">IF(D51=0,"",1/(1+10^D51*$J$15/$J$14+10^E51*$J$16/$J$14+10^J51*$J$19/$J$14))</f>
        <v>8.7269518497479787E-3</v>
      </c>
      <c r="L51" s="93">
        <f t="shared" ref="L51:L70" si="27">IF(D51=0,"",1/(1+10^I51/10^J51*$J$13/$J$19))</f>
        <v>0.16246725537057941</v>
      </c>
      <c r="M51" s="93">
        <f t="shared" ref="M51:M70" si="28">IF(D51=0,"",1-L51)</f>
        <v>0.83753274462942062</v>
      </c>
      <c r="N51" s="93">
        <f t="shared" ref="N51:N70" si="29">IF(D51=0,"",1/(1/10^E51*$J$20/$J$22+10^D51/10^E51*$J$21/$J$22+10^I51/10^E51*$J$13/$J$22+1))</f>
        <v>0.13073400119535172</v>
      </c>
      <c r="O51" s="40">
        <f t="shared" ref="O51:O70" si="30">IF(D51=0,"",F51*K51*$J$7/$J$14)</f>
        <v>8.7350197324203695E-9</v>
      </c>
      <c r="P51" s="40">
        <f t="shared" ref="P51:P70" si="31">IF(D51=0,"",O51*10^J51)</f>
        <v>4.0032812087748758E-4</v>
      </c>
      <c r="Q51" s="40">
        <f t="shared" ref="Q51:Q70" si="32">IF(D51=0,"",F51*N51*$J$7/$J$22)</f>
        <v>9.4745783251113502E-3</v>
      </c>
      <c r="R51" s="9">
        <f t="shared" si="12"/>
        <v>3.9999999999999996E-5</v>
      </c>
      <c r="S51" s="9">
        <f t="shared" si="13"/>
        <v>6.4986902148231758E-6</v>
      </c>
      <c r="T51" s="9">
        <f t="shared" si="10"/>
        <v>3.4907807398991914E-7</v>
      </c>
      <c r="U51" s="9">
        <f t="shared" si="11"/>
        <v>3.3501309785176823E-5</v>
      </c>
      <c r="V51" s="100">
        <f t="shared" si="14"/>
        <v>1.0419833619292525E-2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194</v>
      </c>
      <c r="C52" s="46" t="s">
        <v>195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0.12726341031571042</v>
      </c>
      <c r="J52" s="92">
        <f t="shared" si="25"/>
        <v>2.0682288758066103</v>
      </c>
      <c r="K52" s="93">
        <f t="shared" si="26"/>
        <v>0.72008987502457533</v>
      </c>
      <c r="L52" s="93">
        <f t="shared" si="27"/>
        <v>3.4226826761797446E-2</v>
      </c>
      <c r="M52" s="93">
        <f t="shared" si="28"/>
        <v>0.96577317323820255</v>
      </c>
      <c r="N52" s="93">
        <f t="shared" si="29"/>
        <v>2.1313200863819347E-2</v>
      </c>
      <c r="O52" s="40">
        <f t="shared" si="30"/>
        <v>7.2075558290578047E-7</v>
      </c>
      <c r="P52" s="40">
        <f t="shared" si="31"/>
        <v>8.4336755796706267E-5</v>
      </c>
      <c r="Q52" s="40">
        <f t="shared" si="32"/>
        <v>1.5446141714988454E-3</v>
      </c>
      <c r="R52" s="9">
        <f t="shared" si="12"/>
        <v>3.9999999999999996E-5</v>
      </c>
      <c r="S52" s="9">
        <f t="shared" si="13"/>
        <v>1.3690730704718978E-6</v>
      </c>
      <c r="T52" s="9">
        <f t="shared" si="10"/>
        <v>2.8803595000983012E-5</v>
      </c>
      <c r="U52" s="9">
        <f t="shared" si="11"/>
        <v>3.8630926929528096E-5</v>
      </c>
      <c r="V52" s="100">
        <f t="shared" si="14"/>
        <v>0.74560973008821518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196</v>
      </c>
      <c r="C53" s="46" t="s">
        <v>197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0.47104615060046062</v>
      </c>
      <c r="J53" s="92">
        <f t="shared" si="25"/>
        <v>2.8973705182690765</v>
      </c>
      <c r="K53" s="93">
        <f t="shared" si="26"/>
        <v>0.30482445116149137</v>
      </c>
      <c r="L53" s="93">
        <f t="shared" si="27"/>
        <v>9.7762292069746209E-2</v>
      </c>
      <c r="M53" s="93">
        <f t="shared" si="28"/>
        <v>0.90223770793025382</v>
      </c>
      <c r="N53" s="93">
        <f t="shared" si="29"/>
        <v>7.0327920153276019E-2</v>
      </c>
      <c r="O53" s="40">
        <f t="shared" si="30"/>
        <v>3.0510625492871607E-7</v>
      </c>
      <c r="P53" s="40">
        <f t="shared" si="31"/>
        <v>2.4089158512395707E-4</v>
      </c>
      <c r="Q53" s="40">
        <f t="shared" si="32"/>
        <v>5.0968178273586113E-3</v>
      </c>
      <c r="R53" s="9">
        <f t="shared" si="12"/>
        <v>3.9999999999999996E-5</v>
      </c>
      <c r="S53" s="9">
        <f t="shared" si="13"/>
        <v>3.9104916827898482E-6</v>
      </c>
      <c r="T53" s="9">
        <f t="shared" si="10"/>
        <v>1.2192978046459654E-5</v>
      </c>
      <c r="U53" s="9">
        <f t="shared" si="11"/>
        <v>3.6089508317210148E-5</v>
      </c>
      <c r="V53" s="100">
        <f t="shared" si="14"/>
        <v>0.33785381444626494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198</v>
      </c>
      <c r="C54" s="46" t="s">
        <v>199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0.17835694544431219</v>
      </c>
      <c r="J54" s="92">
        <f t="shared" si="25"/>
        <v>2.2544039273222234</v>
      </c>
      <c r="K54" s="93">
        <f t="shared" si="26"/>
        <v>0.63227147457114219</v>
      </c>
      <c r="L54" s="93">
        <f t="shared" si="27"/>
        <v>4.6137979574976E-2</v>
      </c>
      <c r="M54" s="93">
        <f t="shared" si="28"/>
        <v>0.95386202042502399</v>
      </c>
      <c r="N54" s="93">
        <f t="shared" si="29"/>
        <v>2.9677653651891105E-2</v>
      </c>
      <c r="O54" s="40">
        <f t="shared" si="30"/>
        <v>6.3285599619584751E-7</v>
      </c>
      <c r="P54" s="40">
        <f t="shared" si="31"/>
        <v>1.1368648176030409E-4</v>
      </c>
      <c r="Q54" s="40">
        <f t="shared" si="32"/>
        <v>2.1508043160876397E-3</v>
      </c>
      <c r="R54" s="9">
        <f t="shared" si="12"/>
        <v>3.9999999999999996E-5</v>
      </c>
      <c r="S54" s="9">
        <f t="shared" si="13"/>
        <v>1.8455191829990399E-6</v>
      </c>
      <c r="T54" s="9">
        <f t="shared" si="10"/>
        <v>2.5290858982845685E-5</v>
      </c>
      <c r="U54" s="9">
        <f t="shared" si="11"/>
        <v>3.8154480817000954E-5</v>
      </c>
      <c r="V54" s="100">
        <f t="shared" si="14"/>
        <v>0.6628542294716937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5.9812805986470914E-3</v>
      </c>
      <c r="J55" s="54">
        <f t="shared" si="25"/>
        <v>0.65206362088681824</v>
      </c>
      <c r="K55" s="55">
        <f t="shared" si="26"/>
        <v>0.98404251344627947</v>
      </c>
      <c r="L55" s="55">
        <f t="shared" si="27"/>
        <v>1.7940251990377013E-3</v>
      </c>
      <c r="M55" s="55">
        <f t="shared" si="28"/>
        <v>0.99820597480096229</v>
      </c>
      <c r="N55" s="55">
        <f t="shared" si="29"/>
        <v>5.9168810025652936E-4</v>
      </c>
      <c r="O55" s="56">
        <f t="shared" si="30"/>
        <v>9.8495223996704138E-7</v>
      </c>
      <c r="P55" s="56">
        <f t="shared" si="31"/>
        <v>4.4205753036170224E-6</v>
      </c>
      <c r="Q55" s="56">
        <f t="shared" si="32"/>
        <v>4.2880927674966219E-5</v>
      </c>
      <c r="R55" s="9">
        <f t="shared" si="12"/>
        <v>3.9999999999999996E-5</v>
      </c>
      <c r="S55" s="9">
        <f t="shared" si="13"/>
        <v>7.1761007961508049E-8</v>
      </c>
      <c r="T55" s="9">
        <f t="shared" si="10"/>
        <v>3.9361700537851176E-5</v>
      </c>
      <c r="U55" s="9">
        <f t="shared" si="11"/>
        <v>3.9928238992038488E-5</v>
      </c>
      <c r="V55" s="100">
        <f t="shared" si="14"/>
        <v>0.98581108337133827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200</v>
      </c>
      <c r="C56" s="46" t="s">
        <v>201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0.11910186422699467</v>
      </c>
      <c r="J56" s="54">
        <f t="shared" si="25"/>
        <v>2.0493358233382901</v>
      </c>
      <c r="K56" s="55">
        <f t="shared" si="26"/>
        <v>0.73436370903365678</v>
      </c>
      <c r="L56" s="55">
        <f t="shared" si="27"/>
        <v>3.3419356748638773E-2</v>
      </c>
      <c r="M56" s="55">
        <f t="shared" si="28"/>
        <v>0.96658064325136128</v>
      </c>
      <c r="N56" s="55">
        <f t="shared" si="29"/>
        <v>2.1434392548504235E-2</v>
      </c>
      <c r="O56" s="56">
        <f t="shared" si="30"/>
        <v>7.350426127729408E-7</v>
      </c>
      <c r="P56" s="56">
        <f t="shared" si="31"/>
        <v>8.2347105929750556E-5</v>
      </c>
      <c r="Q56" s="56">
        <f t="shared" si="32"/>
        <v>1.5533971973253355E-3</v>
      </c>
      <c r="R56" s="9">
        <f t="shared" si="12"/>
        <v>3.9999999999999996E-5</v>
      </c>
      <c r="S56" s="9">
        <f t="shared" si="13"/>
        <v>1.3367742699455507E-6</v>
      </c>
      <c r="T56" s="9">
        <f t="shared" si="10"/>
        <v>2.9374548361346267E-5</v>
      </c>
      <c r="U56" s="9">
        <f t="shared" si="11"/>
        <v>3.8663225730054446E-5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3.4503381608646556E-2</v>
      </c>
      <c r="J57" s="54">
        <f t="shared" si="25"/>
        <v>1.4157471407554194</v>
      </c>
      <c r="K57" s="55">
        <f t="shared" si="26"/>
        <v>0.91421920197166651</v>
      </c>
      <c r="L57" s="55">
        <f t="shared" si="27"/>
        <v>9.6727182122077204E-3</v>
      </c>
      <c r="M57" s="55">
        <f t="shared" si="28"/>
        <v>0.99032728178779228</v>
      </c>
      <c r="N57" s="55">
        <f t="shared" si="29"/>
        <v>5.1537139776611472E-3</v>
      </c>
      <c r="O57" s="56">
        <f t="shared" si="30"/>
        <v>9.1506437831563453E-7</v>
      </c>
      <c r="P57" s="56">
        <f t="shared" si="31"/>
        <v>2.3834101812319896E-5</v>
      </c>
      <c r="Q57" s="56">
        <f t="shared" si="32"/>
        <v>3.7350089724254412E-4</v>
      </c>
      <c r="R57" s="9">
        <f t="shared" si="12"/>
        <v>3.9999999999999996E-5</v>
      </c>
      <c r="S57" s="9">
        <f t="shared" si="13"/>
        <v>3.8690872848830878E-7</v>
      </c>
      <c r="T57" s="9">
        <f t="shared" si="10"/>
        <v>3.6568768078866655E-5</v>
      </c>
      <c r="U57" s="9">
        <f t="shared" si="11"/>
        <v>3.9613091271511685E-5</v>
      </c>
      <c r="V57" s="100">
        <f t="shared" si="14"/>
        <v>0.92314855783965544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143</v>
      </c>
      <c r="C58" s="46" t="s">
        <v>144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2.4527660835054643E-2</v>
      </c>
      <c r="J58" s="54">
        <f t="shared" si="25"/>
        <v>1.2270602613474699</v>
      </c>
      <c r="K58" s="55">
        <f t="shared" si="26"/>
        <v>0.93852423051715106</v>
      </c>
      <c r="L58" s="55">
        <f t="shared" si="27"/>
        <v>6.4306786427007698E-3</v>
      </c>
      <c r="M58" s="55">
        <f t="shared" si="28"/>
        <v>0.99356932135729925</v>
      </c>
      <c r="N58" s="55">
        <f t="shared" si="29"/>
        <v>2.9102980145610034E-3</v>
      </c>
      <c r="O58" s="56">
        <f t="shared" si="30"/>
        <v>9.393918763466886E-7</v>
      </c>
      <c r="P58" s="56">
        <f t="shared" si="31"/>
        <v>1.5845540636033762E-5</v>
      </c>
      <c r="Q58" s="56">
        <f t="shared" si="32"/>
        <v>2.109156473163515E-4</v>
      </c>
      <c r="R58" s="9">
        <f t="shared" si="12"/>
        <v>3.9999999999999996E-5</v>
      </c>
      <c r="S58" s="9">
        <f t="shared" si="13"/>
        <v>2.5722714570803077E-7</v>
      </c>
      <c r="T58" s="9">
        <f t="shared" si="10"/>
        <v>3.7540969220686039E-5</v>
      </c>
      <c r="U58" s="9">
        <f t="shared" si="11"/>
        <v>3.9742772854291964E-5</v>
      </c>
      <c r="V58" s="100">
        <f t="shared" si="14"/>
        <v>0.94459864082261324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145</v>
      </c>
      <c r="C59" s="46" t="s">
        <v>146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6.9959414880738915E-3</v>
      </c>
      <c r="J59" s="54">
        <f t="shared" si="25"/>
        <v>0.7518575838149909</v>
      </c>
      <c r="K59" s="55">
        <f t="shared" si="26"/>
        <v>0.98129652632412501</v>
      </c>
      <c r="L59" s="55">
        <f t="shared" si="27"/>
        <v>2.2511731576379109E-3</v>
      </c>
      <c r="M59" s="55">
        <f t="shared" si="28"/>
        <v>0.9977488268423621</v>
      </c>
      <c r="N59" s="55">
        <f t="shared" si="29"/>
        <v>9.6436676518297149E-4</v>
      </c>
      <c r="O59" s="56">
        <f t="shared" si="30"/>
        <v>9.8220371423778758E-7</v>
      </c>
      <c r="P59" s="56">
        <f t="shared" si="31"/>
        <v>5.547012645172198E-6</v>
      </c>
      <c r="Q59" s="56">
        <f t="shared" si="32"/>
        <v>6.9889763698177053E-5</v>
      </c>
      <c r="R59" s="9">
        <f t="shared" si="12"/>
        <v>3.9999999999999996E-5</v>
      </c>
      <c r="S59" s="9">
        <f t="shared" si="13"/>
        <v>9.0046926305516428E-8</v>
      </c>
      <c r="T59" s="9">
        <f t="shared" si="10"/>
        <v>3.9251861052965E-5</v>
      </c>
      <c r="U59" s="9">
        <f t="shared" si="11"/>
        <v>3.9909953073694483E-5</v>
      </c>
      <c r="V59" s="100">
        <f t="shared" si="14"/>
        <v>0.98351057893968696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147</v>
      </c>
      <c r="C60" s="46" t="s">
        <v>148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0.12885708410514962</v>
      </c>
      <c r="J60" s="54">
        <f t="shared" si="25"/>
        <v>2.1032284188661468</v>
      </c>
      <c r="K60" s="55">
        <f t="shared" si="26"/>
        <v>0.71549425891257024</v>
      </c>
      <c r="L60" s="55">
        <f t="shared" si="27"/>
        <v>3.6862571558643753E-2</v>
      </c>
      <c r="M60" s="55">
        <f t="shared" si="28"/>
        <v>0.9631374284413563</v>
      </c>
      <c r="N60" s="55">
        <f t="shared" si="29"/>
        <v>2.4391365234280322E-2</v>
      </c>
      <c r="O60" s="56">
        <f t="shared" si="30"/>
        <v>7.1615571824373893E-7</v>
      </c>
      <c r="P60" s="56">
        <f t="shared" si="31"/>
        <v>9.0831373799745224E-5</v>
      </c>
      <c r="Q60" s="56">
        <f t="shared" si="32"/>
        <v>1.7676954599076678E-3</v>
      </c>
      <c r="R60" s="9">
        <f t="shared" si="12"/>
        <v>3.9999999999999996E-5</v>
      </c>
      <c r="S60" s="9">
        <f t="shared" si="13"/>
        <v>1.47450286234575E-6</v>
      </c>
      <c r="T60" s="9">
        <f t="shared" si="10"/>
        <v>2.8619770356502806E-5</v>
      </c>
      <c r="U60" s="9">
        <f t="shared" si="11"/>
        <v>3.8525497137654246E-5</v>
      </c>
      <c r="V60" s="100">
        <f t="shared" si="14"/>
        <v>0.74287867731446533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149</v>
      </c>
      <c r="C61" s="46" t="s">
        <v>150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0.54169315053805034</v>
      </c>
      <c r="J61" s="54">
        <f t="shared" si="25"/>
        <v>3.0789765751678111</v>
      </c>
      <c r="K61" s="55">
        <f t="shared" si="26"/>
        <v>0.25189299272457188</v>
      </c>
      <c r="L61" s="55">
        <f t="shared" si="27"/>
        <v>0.12272801721222933</v>
      </c>
      <c r="M61" s="55">
        <f t="shared" si="28"/>
        <v>0.87727198278777063</v>
      </c>
      <c r="N61" s="55">
        <f t="shared" si="29"/>
        <v>9.8706565812368474E-2</v>
      </c>
      <c r="O61" s="56">
        <f t="shared" si="30"/>
        <v>2.521258624763808E-7</v>
      </c>
      <c r="P61" s="56">
        <f t="shared" si="31"/>
        <v>3.0240848469758019E-4</v>
      </c>
      <c r="Q61" s="56">
        <f t="shared" si="32"/>
        <v>7.1534801998035585E-3</v>
      </c>
      <c r="R61" s="9">
        <f t="shared" si="12"/>
        <v>3.9999999999999996E-5</v>
      </c>
      <c r="S61" s="9">
        <f t="shared" si="13"/>
        <v>4.9091206884891723E-6</v>
      </c>
      <c r="T61" s="9">
        <f t="shared" si="10"/>
        <v>1.0075719708982875E-5</v>
      </c>
      <c r="U61" s="9">
        <f t="shared" si="11"/>
        <v>3.5090879311510822E-5</v>
      </c>
      <c r="V61" s="100">
        <f t="shared" si="14"/>
        <v>0.2871321524758072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151</v>
      </c>
      <c r="C62" s="46" t="s">
        <v>152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1.2755126419323455</v>
      </c>
      <c r="J62" s="54">
        <f t="shared" si="25"/>
        <v>4.0344435307569677</v>
      </c>
      <c r="K62" s="55">
        <f t="shared" si="26"/>
        <v>4.2981361727975356E-2</v>
      </c>
      <c r="L62" s="55">
        <f t="shared" si="27"/>
        <v>0.18900563734446077</v>
      </c>
      <c r="M62" s="55">
        <f t="shared" si="28"/>
        <v>0.81099436265553926</v>
      </c>
      <c r="N62" s="55">
        <f t="shared" si="29"/>
        <v>0.1683876075769784</v>
      </c>
      <c r="O62" s="56">
        <f t="shared" si="30"/>
        <v>4.3021097089129081E-8</v>
      </c>
      <c r="P62" s="56">
        <f t="shared" si="31"/>
        <v>4.6572013210153374E-4</v>
      </c>
      <c r="Q62" s="56">
        <f t="shared" si="32"/>
        <v>1.2203417338862264E-2</v>
      </c>
      <c r="R62" s="9">
        <f t="shared" si="12"/>
        <v>3.9999999999999996E-5</v>
      </c>
      <c r="S62" s="9">
        <f t="shared" si="13"/>
        <v>7.5602254937784302E-6</v>
      </c>
      <c r="T62" s="9">
        <f t="shared" si="10"/>
        <v>1.7192544691190142E-6</v>
      </c>
      <c r="U62" s="9">
        <f t="shared" si="11"/>
        <v>3.2439774506221566E-5</v>
      </c>
      <c r="V62" s="100">
        <f t="shared" si="14"/>
        <v>5.2998348332824609E-2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153</v>
      </c>
      <c r="C63" s="46" t="s">
        <v>154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2.3278344887119857</v>
      </c>
      <c r="J63" s="54">
        <f t="shared" si="25"/>
        <v>5.1890390659693475</v>
      </c>
      <c r="K63" s="55">
        <f t="shared" si="26"/>
        <v>3.6282026849093459E-3</v>
      </c>
      <c r="L63" s="55">
        <f t="shared" si="27"/>
        <v>0.22776220715928755</v>
      </c>
      <c r="M63" s="55">
        <f t="shared" si="28"/>
        <v>0.77223779284071248</v>
      </c>
      <c r="N63" s="55">
        <f t="shared" si="29"/>
        <v>0.21598395840358978</v>
      </c>
      <c r="O63" s="56">
        <f t="shared" si="30"/>
        <v>3.6315568816641211E-9</v>
      </c>
      <c r="P63" s="56">
        <f t="shared" si="31"/>
        <v>5.6121842023496135E-4</v>
      </c>
      <c r="Q63" s="56">
        <f t="shared" si="32"/>
        <v>1.5652828737373347E-2</v>
      </c>
      <c r="R63" s="9">
        <f t="shared" si="12"/>
        <v>3.9999999999999996E-5</v>
      </c>
      <c r="S63" s="9">
        <f t="shared" si="13"/>
        <v>9.1104882863715014E-6</v>
      </c>
      <c r="T63" s="9">
        <f t="shared" si="10"/>
        <v>1.4512810739637382E-7</v>
      </c>
      <c r="U63" s="9">
        <f t="shared" si="11"/>
        <v>3.0889511713628497E-5</v>
      </c>
      <c r="V63" s="100">
        <f t="shared" si="14"/>
        <v>4.6982972324662257E-3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155</v>
      </c>
      <c r="C64" s="46" t="s">
        <v>156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1.6404345211947193</v>
      </c>
      <c r="J64" s="54">
        <f t="shared" si="25"/>
        <v>4.4465323312018885</v>
      </c>
      <c r="K64" s="55">
        <f t="shared" si="26"/>
        <v>1.815691279741239E-2</v>
      </c>
      <c r="L64" s="55">
        <f t="shared" si="27"/>
        <v>0.20621744199628073</v>
      </c>
      <c r="M64" s="55">
        <f t="shared" si="28"/>
        <v>0.79378255800371922</v>
      </c>
      <c r="N64" s="55">
        <f t="shared" si="29"/>
        <v>0.1889174016779506</v>
      </c>
      <c r="O64" s="56">
        <f t="shared" si="30"/>
        <v>1.8173698479820687E-8</v>
      </c>
      <c r="P64" s="56">
        <f t="shared" si="31"/>
        <v>5.0813095142298367E-4</v>
      </c>
      <c r="Q64" s="56">
        <f t="shared" si="32"/>
        <v>1.3691256312882635E-2</v>
      </c>
      <c r="R64" s="9">
        <f t="shared" si="12"/>
        <v>3.9999999999999996E-5</v>
      </c>
      <c r="S64" s="9">
        <f t="shared" si="13"/>
        <v>8.2486976798512284E-6</v>
      </c>
      <c r="T64" s="9">
        <f t="shared" si="10"/>
        <v>7.262765118964955E-7</v>
      </c>
      <c r="U64" s="9">
        <f t="shared" si="11"/>
        <v>3.1751302320148768E-5</v>
      </c>
      <c r="V64" s="100">
        <f t="shared" si="14"/>
        <v>2.2873912527223001E-2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157</v>
      </c>
      <c r="C65" s="46" t="s">
        <v>158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1.3777282566754774</v>
      </c>
      <c r="J65" s="54">
        <f t="shared" si="25"/>
        <v>4.1518524373281949</v>
      </c>
      <c r="K65" s="55">
        <f t="shared" si="26"/>
        <v>3.374053044156522E-2</v>
      </c>
      <c r="L65" s="55">
        <f t="shared" si="27"/>
        <v>0.19442647378738262</v>
      </c>
      <c r="M65" s="55">
        <f t="shared" si="28"/>
        <v>0.80557352621261735</v>
      </c>
      <c r="N65" s="55">
        <f t="shared" si="29"/>
        <v>0.17473578762669575</v>
      </c>
      <c r="O65" s="56">
        <f t="shared" si="30"/>
        <v>3.3771722849360465E-8</v>
      </c>
      <c r="P65" s="56">
        <f t="shared" si="31"/>
        <v>4.7907736683679923E-4</v>
      </c>
      <c r="Q65" s="56">
        <f t="shared" si="32"/>
        <v>1.2663483798643309E-2</v>
      </c>
      <c r="R65" s="9">
        <f t="shared" si="12"/>
        <v>3.9999999999999996E-5</v>
      </c>
      <c r="S65" s="9">
        <f t="shared" si="13"/>
        <v>7.7770589514953037E-6</v>
      </c>
      <c r="T65" s="9">
        <f t="shared" si="10"/>
        <v>1.3496212176626086E-6</v>
      </c>
      <c r="U65" s="9">
        <f t="shared" si="11"/>
        <v>3.2222941048504689E-5</v>
      </c>
      <c r="V65" s="100">
        <f t="shared" si="14"/>
        <v>4.1883862048192465E-2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159</v>
      </c>
      <c r="C66" s="46" t="s">
        <v>160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1.6404345211947193</v>
      </c>
      <c r="J66" s="54">
        <f t="shared" si="25"/>
        <v>4.4465323312018885</v>
      </c>
      <c r="K66" s="55">
        <f t="shared" si="26"/>
        <v>1.815691279741239E-2</v>
      </c>
      <c r="L66" s="55">
        <f t="shared" si="27"/>
        <v>0.20621744199628073</v>
      </c>
      <c r="M66" s="55">
        <f t="shared" si="28"/>
        <v>0.79378255800371922</v>
      </c>
      <c r="N66" s="55">
        <f t="shared" si="29"/>
        <v>0.1889174016779506</v>
      </c>
      <c r="O66" s="56">
        <f t="shared" si="30"/>
        <v>1.8173698479820687E-8</v>
      </c>
      <c r="P66" s="56">
        <f t="shared" si="31"/>
        <v>5.0813095142298367E-4</v>
      </c>
      <c r="Q66" s="56">
        <f t="shared" si="32"/>
        <v>1.3691256312882635E-2</v>
      </c>
      <c r="R66" s="9">
        <f t="shared" si="12"/>
        <v>3.9999999999999996E-5</v>
      </c>
      <c r="S66" s="9">
        <f t="shared" si="13"/>
        <v>8.2486976798512284E-6</v>
      </c>
      <c r="T66" s="9">
        <f t="shared" si="10"/>
        <v>7.262765118964955E-7</v>
      </c>
      <c r="U66" s="9">
        <f t="shared" si="11"/>
        <v>3.1751302320148768E-5</v>
      </c>
      <c r="V66" s="100">
        <f t="shared" si="14"/>
        <v>2.2873912527223001E-2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113</v>
      </c>
      <c r="C67" s="46" t="s">
        <v>114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-1.8635683569884906E-4</v>
      </c>
      <c r="J67" s="54">
        <f t="shared" si="25"/>
        <v>-4.4959764993656073E-2</v>
      </c>
      <c r="K67" s="55">
        <f t="shared" si="26"/>
        <v>0.99954490998297407</v>
      </c>
      <c r="L67" s="55">
        <f t="shared" si="27"/>
        <v>3.6609483635080022E-4</v>
      </c>
      <c r="M67" s="55">
        <f t="shared" si="28"/>
        <v>0.99963390516364925</v>
      </c>
      <c r="N67" s="55">
        <f t="shared" si="29"/>
        <v>4.1068846118702811E-7</v>
      </c>
      <c r="O67" s="56">
        <f t="shared" si="30"/>
        <v>1.0004689681419247E-6</v>
      </c>
      <c r="P67" s="56">
        <f t="shared" si="31"/>
        <v>9.0207751441960294E-7</v>
      </c>
      <c r="Q67" s="56">
        <f t="shared" si="32"/>
        <v>2.9763488894687782E-8</v>
      </c>
      <c r="R67" s="9">
        <f t="shared" si="12"/>
        <v>3.9999999999999996E-5</v>
      </c>
      <c r="S67" s="9">
        <f t="shared" si="13"/>
        <v>1.4643793454032007E-8</v>
      </c>
      <c r="T67" s="9">
        <f t="shared" si="10"/>
        <v>3.9981796399318958E-5</v>
      </c>
      <c r="U67" s="9">
        <f t="shared" si="11"/>
        <v>3.9985356206545967E-5</v>
      </c>
      <c r="V67" s="100">
        <f t="shared" si="14"/>
        <v>0.99991097222671677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115</v>
      </c>
      <c r="C68" s="46" t="s">
        <v>116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1.7268855172909561</v>
      </c>
      <c r="J68" s="54">
        <f t="shared" si="25"/>
        <v>4.4419747400947829</v>
      </c>
      <c r="K68" s="55">
        <f t="shared" si="26"/>
        <v>1.5483227433836778E-2</v>
      </c>
      <c r="L68" s="55">
        <f t="shared" si="27"/>
        <v>0.17401524195707169</v>
      </c>
      <c r="M68" s="55">
        <f t="shared" si="28"/>
        <v>0.82598475804292826</v>
      </c>
      <c r="N68" s="55">
        <f t="shared" si="29"/>
        <v>0.14644463524503726</v>
      </c>
      <c r="O68" s="56">
        <f t="shared" si="30"/>
        <v>1.5497541350594524E-8</v>
      </c>
      <c r="P68" s="56">
        <f t="shared" si="31"/>
        <v>4.2878298557957228E-4</v>
      </c>
      <c r="Q68" s="56">
        <f t="shared" si="32"/>
        <v>1.0613162254922252E-2</v>
      </c>
      <c r="R68" s="9">
        <f t="shared" si="12"/>
        <v>3.9999999999999996E-5</v>
      </c>
      <c r="S68" s="9">
        <f t="shared" si="13"/>
        <v>6.9606096782828671E-6</v>
      </c>
      <c r="T68" s="9">
        <f t="shared" si="10"/>
        <v>6.1932909735347101E-7</v>
      </c>
      <c r="U68" s="9">
        <f t="shared" si="11"/>
        <v>3.3039390321717127E-5</v>
      </c>
      <c r="V68" s="100">
        <f t="shared" si="14"/>
        <v>1.8745173301408645E-2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117</v>
      </c>
      <c r="C69" s="46" t="s">
        <v>118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5.7919228101834593E-2</v>
      </c>
      <c r="J69" s="54">
        <f t="shared" si="25"/>
        <v>1.6683881238923828</v>
      </c>
      <c r="K69" s="55">
        <f t="shared" si="26"/>
        <v>0.86044635168997063</v>
      </c>
      <c r="L69" s="55">
        <f t="shared" si="27"/>
        <v>1.6287820622549565E-2</v>
      </c>
      <c r="M69" s="55">
        <f t="shared" si="28"/>
        <v>0.98371217937745048</v>
      </c>
      <c r="N69" s="55">
        <f t="shared" si="29"/>
        <v>9.3854208927361075E-3</v>
      </c>
      <c r="O69" s="56">
        <f t="shared" si="30"/>
        <v>8.6124181616953256E-7</v>
      </c>
      <c r="P69" s="56">
        <f t="shared" si="31"/>
        <v>4.0134072605227398E-5</v>
      </c>
      <c r="Q69" s="56">
        <f t="shared" si="32"/>
        <v>6.8018193086196463E-4</v>
      </c>
      <c r="R69" s="9">
        <f t="shared" si="12"/>
        <v>3.9999999999999996E-5</v>
      </c>
      <c r="S69" s="9">
        <f t="shared" si="13"/>
        <v>6.5151282490198258E-7</v>
      </c>
      <c r="T69" s="9">
        <f t="shared" si="10"/>
        <v>3.4417854067598822E-5</v>
      </c>
      <c r="U69" s="9">
        <f t="shared" si="11"/>
        <v>3.9348487175098016E-5</v>
      </c>
      <c r="V69" s="100">
        <f t="shared" si="14"/>
        <v>0.87469319759211528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111</v>
      </c>
      <c r="C70" s="46" t="s">
        <v>112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0.45156382049297444</v>
      </c>
      <c r="J70" s="54">
        <f t="shared" si="25"/>
        <v>2.9309327933636746</v>
      </c>
      <c r="K70" s="55">
        <f t="shared" si="26"/>
        <v>0.3148118780095181</v>
      </c>
      <c r="L70" s="55">
        <f t="shared" si="27"/>
        <v>0.10907744583334188</v>
      </c>
      <c r="M70" s="55">
        <f t="shared" si="28"/>
        <v>0.89092255416665811</v>
      </c>
      <c r="N70" s="55">
        <f t="shared" si="29"/>
        <v>8.6000323241844034E-2</v>
      </c>
      <c r="O70" s="56">
        <f t="shared" si="30"/>
        <v>3.151029149419299E-7</v>
      </c>
      <c r="P70" s="56">
        <f t="shared" si="31"/>
        <v>2.6877273713386764E-4</v>
      </c>
      <c r="Q70" s="56">
        <f t="shared" si="32"/>
        <v>6.2326310759982795E-3</v>
      </c>
      <c r="R70" s="9">
        <f t="shared" si="12"/>
        <v>3.9999999999999996E-5</v>
      </c>
      <c r="S70" s="9">
        <f t="shared" si="13"/>
        <v>4.3630978333336749E-6</v>
      </c>
      <c r="T70" s="9">
        <f t="shared" si="10"/>
        <v>1.2592475120380722E-5</v>
      </c>
      <c r="U70" s="9">
        <f t="shared" si="11"/>
        <v>3.5636902166666319E-5</v>
      </c>
      <c r="V70" s="100">
        <f t="shared" si="14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119</v>
      </c>
      <c r="C71" s="46" t="s">
        <v>120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2.9114243406645763</v>
      </c>
      <c r="J71" s="54">
        <f t="shared" ref="J71:J122" si="34">IF(D71=0,"",LOG($K$21*10^D71+$K$22*10^E71+$K$20))</f>
        <v>5.6426701080559019</v>
      </c>
      <c r="K71" s="55">
        <f t="shared" ref="K71:K122" si="35">IF(D71=0,"",1/(1+10^D71*$J$15/$J$14+10^E71*$J$16/$J$14+10^J71*$J$19/$J$14))</f>
        <v>1.0056981218366911E-3</v>
      </c>
      <c r="L71" s="55">
        <f t="shared" ref="L71:L122" si="36">IF(D71=0,"",1/(1+10^I71/10^J71*$J$13/$J$19))</f>
        <v>0.17942741632743289</v>
      </c>
      <c r="M71" s="55">
        <f t="shared" si="19"/>
        <v>0.82057258367256714</v>
      </c>
      <c r="N71" s="55">
        <f t="shared" ref="N71:N122" si="37">IF(D71=0,"",1/(1/10^E71*$J$20/$J$22+10^D71/10^E71*$J$21/$J$22+10^I71/10^E71*$J$13/$J$22+1))</f>
        <v>0.15234830002531155</v>
      </c>
      <c r="O71" s="56">
        <f t="shared" si="21"/>
        <v>1.0066278685100449E-9</v>
      </c>
      <c r="P71" s="56">
        <f t="shared" ref="P71:P122" si="38">IF(D71=0,"",O71*10^J71)</f>
        <v>4.4211887649867488E-4</v>
      </c>
      <c r="Q71" s="56">
        <f t="shared" ref="Q71:Q122" si="39">IF(D71=0,"",F71*N71*$J$7/$J$22)</f>
        <v>1.1041013723205003E-2</v>
      </c>
      <c r="R71" s="9">
        <f t="shared" si="12"/>
        <v>3.9999999999999996E-5</v>
      </c>
      <c r="S71" s="9">
        <f t="shared" si="13"/>
        <v>7.1770966530973147E-6</v>
      </c>
      <c r="T71" s="9">
        <f t="shared" si="10"/>
        <v>4.0227924873467638E-8</v>
      </c>
      <c r="U71" s="9">
        <f t="shared" si="11"/>
        <v>3.2822903346902684E-5</v>
      </c>
      <c r="V71" s="100">
        <f t="shared" si="14"/>
        <v>1.2256053173694559E-3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121</v>
      </c>
      <c r="C72" s="46" t="s">
        <v>122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2.4659786116205753</v>
      </c>
      <c r="J72" s="54">
        <f t="shared" si="34"/>
        <v>5.1536383853683807</v>
      </c>
      <c r="K72" s="55">
        <f t="shared" si="35"/>
        <v>2.8537685088869829E-3</v>
      </c>
      <c r="L72" s="55">
        <f t="shared" si="36"/>
        <v>0.16512323292222614</v>
      </c>
      <c r="M72" s="55">
        <f t="shared" si="19"/>
        <v>0.83487676707777392</v>
      </c>
      <c r="N72" s="55">
        <f t="shared" si="37"/>
        <v>0.13373303927670135</v>
      </c>
      <c r="O72" s="56">
        <f t="shared" si="21"/>
        <v>2.8564067576020287E-9</v>
      </c>
      <c r="P72" s="56">
        <f t="shared" si="38"/>
        <v>4.0687259348471115E-4</v>
      </c>
      <c r="Q72" s="56">
        <f t="shared" si="39"/>
        <v>9.6919251586965894E-3</v>
      </c>
      <c r="R72" s="9">
        <f t="shared" si="12"/>
        <v>3.9999999999999996E-5</v>
      </c>
      <c r="S72" s="9">
        <f t="shared" si="13"/>
        <v>6.604929316889045E-6</v>
      </c>
      <c r="T72" s="9">
        <f t="shared" si="10"/>
        <v>1.141507403554793E-7</v>
      </c>
      <c r="U72" s="9">
        <f t="shared" si="11"/>
        <v>3.3395070683110957E-5</v>
      </c>
      <c r="V72" s="100">
        <f t="shared" si="14"/>
        <v>3.4181913084918038E-3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123</v>
      </c>
      <c r="C73" s="46" t="s">
        <v>124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2.4593424067669152</v>
      </c>
      <c r="J73" s="54">
        <f t="shared" si="34"/>
        <v>5.1764429441964488</v>
      </c>
      <c r="K73" s="55">
        <f t="shared" si="35"/>
        <v>2.8645336889496736E-3</v>
      </c>
      <c r="L73" s="55">
        <f t="shared" si="36"/>
        <v>0.17468191116947648</v>
      </c>
      <c r="M73" s="55">
        <f t="shared" si="19"/>
        <v>0.82531808883052349</v>
      </c>
      <c r="N73" s="55">
        <f t="shared" si="37"/>
        <v>0.14627560656061181</v>
      </c>
      <c r="O73" s="56">
        <f t="shared" si="21"/>
        <v>2.867181889846328E-9</v>
      </c>
      <c r="P73" s="56">
        <f t="shared" si="38"/>
        <v>4.3042569464387038E-4</v>
      </c>
      <c r="Q73" s="56">
        <f t="shared" si="39"/>
        <v>1.0600912377345367E-2</v>
      </c>
      <c r="R73" s="9">
        <f t="shared" si="12"/>
        <v>3.9999999999999996E-5</v>
      </c>
      <c r="S73" s="9">
        <f t="shared" si="13"/>
        <v>6.9872764467790589E-6</v>
      </c>
      <c r="T73" s="9">
        <f t="shared" si="10"/>
        <v>1.1458134755798694E-7</v>
      </c>
      <c r="U73" s="9">
        <f t="shared" si="11"/>
        <v>3.3012723553220934E-5</v>
      </c>
      <c r="V73" s="100">
        <f t="shared" si="14"/>
        <v>3.4708238286752209E-3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125</v>
      </c>
      <c r="C74" s="46" t="s">
        <v>126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0.12015758400049081</v>
      </c>
      <c r="J74" s="54">
        <f t="shared" si="34"/>
        <v>2.0141119248188848</v>
      </c>
      <c r="K74" s="55">
        <f t="shared" si="35"/>
        <v>0.73454808058558752</v>
      </c>
      <c r="L74" s="55">
        <f t="shared" si="36"/>
        <v>3.0823589303651429E-2</v>
      </c>
      <c r="M74" s="55">
        <f t="shared" si="19"/>
        <v>0.96917641069634852</v>
      </c>
      <c r="N74" s="55">
        <f t="shared" si="37"/>
        <v>1.8043808185479262E-2</v>
      </c>
      <c r="O74" s="56">
        <f t="shared" si="21"/>
        <v>7.3522715477247732E-7</v>
      </c>
      <c r="P74" s="56">
        <f t="shared" si="38"/>
        <v>7.5950994287952498E-5</v>
      </c>
      <c r="Q74" s="56">
        <f t="shared" si="39"/>
        <v>1.3076741503624E-3</v>
      </c>
      <c r="R74" s="9">
        <f t="shared" si="12"/>
        <v>3.9999999999999996E-5</v>
      </c>
      <c r="S74" s="9">
        <f t="shared" si="13"/>
        <v>1.232943572146057E-6</v>
      </c>
      <c r="T74" s="9">
        <f t="shared" si="10"/>
        <v>2.9381923223423497E-5</v>
      </c>
      <c r="U74" s="9">
        <f t="shared" si="11"/>
        <v>3.8767056427853936E-5</v>
      </c>
      <c r="V74" s="100">
        <f t="shared" si="14"/>
        <v>0.75790957402462811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1.0613094291357716</v>
      </c>
      <c r="J75" s="54">
        <f t="shared" si="34"/>
        <v>3.7810877200174948</v>
      </c>
      <c r="K75" s="55">
        <f t="shared" si="35"/>
        <v>7.1551371877025274E-2</v>
      </c>
      <c r="L75" s="55">
        <f t="shared" si="36"/>
        <v>0.17557260038328917</v>
      </c>
      <c r="M75" s="55">
        <f t="shared" si="19"/>
        <v>0.82442739961671085</v>
      </c>
      <c r="N75" s="55">
        <f t="shared" si="37"/>
        <v>0.15312564146209726</v>
      </c>
      <c r="O75" s="56">
        <f t="shared" si="21"/>
        <v>7.1617519609164895E-8</v>
      </c>
      <c r="P75" s="56">
        <f t="shared" si="38"/>
        <v>4.3262040113065245E-4</v>
      </c>
      <c r="Q75" s="56">
        <f t="shared" si="39"/>
        <v>1.1097349353269408E-2</v>
      </c>
      <c r="R75" s="9">
        <f t="shared" si="12"/>
        <v>3.9999999999999996E-5</v>
      </c>
      <c r="S75" s="9">
        <f t="shared" si="13"/>
        <v>7.0229040153315659E-6</v>
      </c>
      <c r="T75" s="9">
        <f t="shared" si="10"/>
        <v>2.8620548750810106E-6</v>
      </c>
      <c r="U75" s="9">
        <f t="shared" si="11"/>
        <v>3.2977095984668428E-5</v>
      </c>
      <c r="V75" s="100">
        <f t="shared" si="14"/>
        <v>8.6789172594567601E-2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127</v>
      </c>
      <c r="C76" s="46" t="s">
        <v>128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1.080392983851221</v>
      </c>
      <c r="J76" s="54">
        <f t="shared" si="34"/>
        <v>3.7332769148114004</v>
      </c>
      <c r="K76" s="55">
        <f t="shared" si="35"/>
        <v>7.023573616624107E-2</v>
      </c>
      <c r="L76" s="55">
        <f t="shared" si="36"/>
        <v>0.15437824873685418</v>
      </c>
      <c r="M76" s="55">
        <f t="shared" si="19"/>
        <v>0.84562175126314587</v>
      </c>
      <c r="N76" s="55">
        <f t="shared" si="37"/>
        <v>0.12520829804491584</v>
      </c>
      <c r="O76" s="56">
        <f t="shared" si="21"/>
        <v>7.0300667620952215E-8</v>
      </c>
      <c r="P76" s="56">
        <f t="shared" si="38"/>
        <v>3.8039637021143212E-4</v>
      </c>
      <c r="Q76" s="56">
        <f t="shared" si="39"/>
        <v>9.0741185608462852E-3</v>
      </c>
      <c r="R76" s="9">
        <f t="shared" si="12"/>
        <v>3.9999999999999996E-5</v>
      </c>
      <c r="S76" s="9">
        <f t="shared" si="13"/>
        <v>6.175129949474167E-6</v>
      </c>
      <c r="T76" s="9">
        <f t="shared" si="10"/>
        <v>2.8094294466496425E-6</v>
      </c>
      <c r="U76" s="9">
        <f t="shared" si="11"/>
        <v>3.3824870050525834E-5</v>
      </c>
      <c r="V76" s="100">
        <f t="shared" si="14"/>
        <v>8.3058100221909584E-2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129</v>
      </c>
      <c r="C77" s="46" t="s">
        <v>130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0.16668848098518507</v>
      </c>
      <c r="J77" s="54">
        <f t="shared" si="34"/>
        <v>2.264683445445602</v>
      </c>
      <c r="K77" s="55">
        <f t="shared" si="35"/>
        <v>0.64793976385957885</v>
      </c>
      <c r="L77" s="55">
        <f t="shared" si="36"/>
        <v>4.8413795916514575E-2</v>
      </c>
      <c r="M77" s="55">
        <f t="shared" si="19"/>
        <v>0.95158620408348538</v>
      </c>
      <c r="N77" s="55">
        <f t="shared" si="37"/>
        <v>3.3959681365701058E-2</v>
      </c>
      <c r="O77" s="56">
        <f t="shared" si="21"/>
        <v>6.4853877048681794E-7</v>
      </c>
      <c r="P77" s="56">
        <f t="shared" si="38"/>
        <v>1.1929421654595242E-4</v>
      </c>
      <c r="Q77" s="56">
        <f t="shared" si="39"/>
        <v>2.4611322077901726E-3</v>
      </c>
      <c r="R77" s="9">
        <f t="shared" si="12"/>
        <v>3.9999999999999996E-5</v>
      </c>
      <c r="S77" s="9">
        <f t="shared" si="13"/>
        <v>1.9365518366605828E-6</v>
      </c>
      <c r="T77" s="9">
        <f t="shared" si="10"/>
        <v>2.5917590554383152E-5</v>
      </c>
      <c r="U77" s="9">
        <f t="shared" si="11"/>
        <v>3.8063448163339411E-5</v>
      </c>
      <c r="V77" s="100">
        <f t="shared" si="14"/>
        <v>0.6809049575110625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0.26960058474961784</v>
      </c>
      <c r="J78" s="54">
        <f t="shared" si="34"/>
        <v>2.5984525990333625</v>
      </c>
      <c r="K78" s="55">
        <f t="shared" si="35"/>
        <v>0.49444254753738687</v>
      </c>
      <c r="L78" s="55">
        <f t="shared" si="36"/>
        <v>7.9674526437406967E-2</v>
      </c>
      <c r="M78" s="55">
        <f t="shared" si="19"/>
        <v>0.92032547356259298</v>
      </c>
      <c r="N78" s="55">
        <f t="shared" si="37"/>
        <v>6.2279599176297912E-2</v>
      </c>
      <c r="O78" s="56">
        <f t="shared" si="21"/>
        <v>4.948996492299882E-7</v>
      </c>
      <c r="P78" s="56">
        <f t="shared" si="38"/>
        <v>1.9632235048064179E-4</v>
      </c>
      <c r="Q78" s="56">
        <f t="shared" si="39"/>
        <v>4.5135384449118731E-3</v>
      </c>
      <c r="R78" s="9">
        <f t="shared" si="12"/>
        <v>3.9999999999999996E-5</v>
      </c>
      <c r="S78" s="9">
        <f t="shared" si="13"/>
        <v>3.1869810574962782E-6</v>
      </c>
      <c r="T78" s="9">
        <f t="shared" si="10"/>
        <v>1.9777701901495473E-5</v>
      </c>
      <c r="U78" s="9">
        <f t="shared" si="11"/>
        <v>3.6813018942503715E-5</v>
      </c>
      <c r="V78" s="100">
        <f t="shared" si="14"/>
        <v>0.53724748661296173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131</v>
      </c>
      <c r="C79" s="46" t="s">
        <v>132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2.5205823295230894</v>
      </c>
      <c r="K79" s="55">
        <f t="shared" si="35"/>
        <v>0.45951898339561481</v>
      </c>
      <c r="L79" s="55">
        <f t="shared" si="36"/>
        <v>6.189233155272815E-2</v>
      </c>
      <c r="M79" s="55">
        <f t="shared" si="19"/>
        <v>0.93810766844727189</v>
      </c>
      <c r="N79" s="55">
        <f t="shared" si="37"/>
        <v>3.6059394581976906E-2</v>
      </c>
      <c r="O79" s="56">
        <f t="shared" si="21"/>
        <v>4.599437989907506E-7</v>
      </c>
      <c r="P79" s="56">
        <f t="shared" si="38"/>
        <v>1.5250605871758267E-4</v>
      </c>
      <c r="Q79" s="56">
        <f t="shared" si="39"/>
        <v>2.6133030060980292E-3</v>
      </c>
      <c r="R79" s="9">
        <f t="shared" si="12"/>
        <v>3.9999999999999996E-5</v>
      </c>
      <c r="S79" s="9">
        <f t="shared" si="13"/>
        <v>2.4756932621091256E-6</v>
      </c>
      <c r="T79" s="9">
        <f t="shared" si="10"/>
        <v>1.8380759335824592E-5</v>
      </c>
      <c r="U79" s="9">
        <f t="shared" si="11"/>
        <v>3.7524306737890874E-5</v>
      </c>
      <c r="V79" s="100">
        <f t="shared" si="14"/>
        <v>0.48983608049617272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133</v>
      </c>
      <c r="C80" s="46" t="s">
        <v>134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2.5993109864972253</v>
      </c>
      <c r="K80" s="55">
        <f t="shared" si="35"/>
        <v>0.40965755612929011</v>
      </c>
      <c r="L80" s="55">
        <f t="shared" si="36"/>
        <v>6.6142866543504181E-2</v>
      </c>
      <c r="M80" s="55">
        <f t="shared" si="19"/>
        <v>0.93385713345649579</v>
      </c>
      <c r="N80" s="55">
        <f t="shared" si="37"/>
        <v>3.7512148870553756E-2</v>
      </c>
      <c r="O80" s="56">
        <f t="shared" si="21"/>
        <v>4.1003627588798855E-7</v>
      </c>
      <c r="P80" s="56">
        <f t="shared" si="38"/>
        <v>1.62979607259411E-4</v>
      </c>
      <c r="Q80" s="56">
        <f t="shared" si="39"/>
        <v>2.7185872792665319E-3</v>
      </c>
      <c r="R80" s="9">
        <f t="shared" si="12"/>
        <v>3.9999999999999996E-5</v>
      </c>
      <c r="S80" s="9">
        <f t="shared" si="13"/>
        <v>2.6457146617401671E-6</v>
      </c>
      <c r="T80" s="9">
        <f t="shared" si="10"/>
        <v>1.6386302245171604E-5</v>
      </c>
      <c r="U80" s="9">
        <f t="shared" si="11"/>
        <v>3.7354285338259831E-5</v>
      </c>
      <c r="V80" s="100">
        <f t="shared" si="14"/>
        <v>0.43867262073912744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135</v>
      </c>
      <c r="C81" s="46" t="s">
        <v>136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1.4796577057346774</v>
      </c>
      <c r="J81" s="54">
        <f t="shared" si="34"/>
        <v>4.2280989480409303</v>
      </c>
      <c r="K81" s="55">
        <f t="shared" si="35"/>
        <v>2.698350668865401E-2</v>
      </c>
      <c r="L81" s="55">
        <f t="shared" si="36"/>
        <v>0.18533113820167282</v>
      </c>
      <c r="M81" s="55">
        <f t="shared" si="19"/>
        <v>0.8146688617983272</v>
      </c>
      <c r="N81" s="55">
        <f t="shared" si="37"/>
        <v>0.16224314710582136</v>
      </c>
      <c r="O81" s="56">
        <f t="shared" si="21"/>
        <v>2.7008452370697628E-8</v>
      </c>
      <c r="P81" s="56">
        <f t="shared" si="38"/>
        <v>4.5666596710291346E-4</v>
      </c>
      <c r="Q81" s="56">
        <f t="shared" si="39"/>
        <v>1.1758114881450765E-2</v>
      </c>
      <c r="R81" s="9">
        <f t="shared" si="12"/>
        <v>3.9999999999999996E-5</v>
      </c>
      <c r="S81" s="9">
        <f t="shared" si="13"/>
        <v>7.4132455280669126E-6</v>
      </c>
      <c r="T81" s="9">
        <f t="shared" si="10"/>
        <v>1.0793402675461603E-6</v>
      </c>
      <c r="U81" s="9">
        <f t="shared" si="11"/>
        <v>3.2586754471933086E-5</v>
      </c>
      <c r="V81" s="100">
        <f t="shared" si="14"/>
        <v>3.312205480529809E-2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137</v>
      </c>
      <c r="C82" s="46" t="s">
        <v>138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3.9256295758213415</v>
      </c>
      <c r="K82" s="55">
        <f t="shared" si="35"/>
        <v>4.714721372372141E-2</v>
      </c>
      <c r="L82" s="55">
        <f t="shared" si="36"/>
        <v>0.16137515202154759</v>
      </c>
      <c r="M82" s="55">
        <f t="shared" si="19"/>
        <v>0.83862484797845238</v>
      </c>
      <c r="N82" s="55">
        <f t="shared" si="37"/>
        <v>0.13247898913375941</v>
      </c>
      <c r="O82" s="56">
        <f t="shared" si="21"/>
        <v>4.7190800327062653E-8</v>
      </c>
      <c r="P82" s="56">
        <f t="shared" si="38"/>
        <v>3.9763711904745907E-4</v>
      </c>
      <c r="Q82" s="56">
        <f t="shared" si="39"/>
        <v>9.6010414085299731E-3</v>
      </c>
      <c r="R82" s="9">
        <f t="shared" si="12"/>
        <v>3.9999999999999996E-5</v>
      </c>
      <c r="S82" s="9">
        <f t="shared" si="13"/>
        <v>6.4550060808619027E-6</v>
      </c>
      <c r="T82" s="9">
        <f t="shared" si="10"/>
        <v>1.8858885489488562E-6</v>
      </c>
      <c r="U82" s="9">
        <f t="shared" si="11"/>
        <v>3.354499391913809E-5</v>
      </c>
      <c r="V82" s="100">
        <f t="shared" si="14"/>
        <v>5.6219671808404141E-2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0.14841008082679896</v>
      </c>
      <c r="J83" s="54">
        <f t="shared" si="34"/>
        <v>2.2086207765897057</v>
      </c>
      <c r="K83" s="55">
        <f t="shared" si="35"/>
        <v>0.67852919686886159</v>
      </c>
      <c r="L83" s="55">
        <f t="shared" si="36"/>
        <v>4.4559506559664147E-2</v>
      </c>
      <c r="M83" s="55">
        <f t="shared" si="19"/>
        <v>0.95544049344033588</v>
      </c>
      <c r="N83" s="55">
        <f t="shared" si="37"/>
        <v>3.1432759769824611E-2</v>
      </c>
      <c r="O83" s="56">
        <f t="shared" si="21"/>
        <v>6.7915648278087078E-7</v>
      </c>
      <c r="P83" s="56">
        <f t="shared" si="38"/>
        <v>1.0979703871755513E-4</v>
      </c>
      <c r="Q83" s="56">
        <f t="shared" si="39"/>
        <v>2.2780006860541272E-3</v>
      </c>
      <c r="R83" s="9">
        <f t="shared" si="12"/>
        <v>3.9999999999999996E-5</v>
      </c>
      <c r="S83" s="9">
        <f t="shared" si="13"/>
        <v>1.7823802623865658E-6</v>
      </c>
      <c r="T83" s="9">
        <f t="shared" si="10"/>
        <v>2.7141167874754462E-5</v>
      </c>
      <c r="U83" s="9">
        <f t="shared" si="11"/>
        <v>3.8217619737613431E-5</v>
      </c>
      <c r="V83" s="100">
        <f t="shared" si="14"/>
        <v>0.71017420920231644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139</v>
      </c>
      <c r="C84" s="46" t="s">
        <v>140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3.9363574076389534</v>
      </c>
      <c r="K84" s="55">
        <f t="shared" si="35"/>
        <v>3.8963668562310552E-2</v>
      </c>
      <c r="L84" s="55">
        <f t="shared" si="36"/>
        <v>0.13669993387280635</v>
      </c>
      <c r="M84" s="55">
        <f t="shared" si="19"/>
        <v>0.86330006612719368</v>
      </c>
      <c r="N84" s="55">
        <f t="shared" si="37"/>
        <v>9.942642266141978E-2</v>
      </c>
      <c r="O84" s="56">
        <f t="shared" si="21"/>
        <v>3.8999689650986055E-8</v>
      </c>
      <c r="P84" s="56">
        <f t="shared" si="38"/>
        <v>3.3683604444817428E-4</v>
      </c>
      <c r="Q84" s="56">
        <f t="shared" si="39"/>
        <v>7.2056497963648462E-3</v>
      </c>
      <c r="R84" s="9">
        <f t="shared" si="12"/>
        <v>3.9999999999999996E-5</v>
      </c>
      <c r="S84" s="9">
        <f t="shared" si="13"/>
        <v>5.4679973549122531E-6</v>
      </c>
      <c r="T84" s="9">
        <f t="shared" si="10"/>
        <v>1.5585467424924219E-6</v>
      </c>
      <c r="U84" s="9">
        <f t="shared" si="11"/>
        <v>3.4532002645087743E-5</v>
      </c>
      <c r="V84" s="100">
        <f t="shared" si="14"/>
        <v>4.5133401572761918E-2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0.12747825886296771</v>
      </c>
      <c r="J85" s="54">
        <f t="shared" si="34"/>
        <v>2.1223563706849542</v>
      </c>
      <c r="K85" s="55">
        <f t="shared" si="35"/>
        <v>0.71649242587030948</v>
      </c>
      <c r="L85" s="55">
        <f t="shared" si="36"/>
        <v>3.8576163245029077E-2</v>
      </c>
      <c r="M85" s="55">
        <f t="shared" si="19"/>
        <v>0.9614238367549709</v>
      </c>
      <c r="N85" s="55">
        <f t="shared" si="37"/>
        <v>2.672228411881427E-2</v>
      </c>
      <c r="O85" s="56">
        <f t="shared" si="21"/>
        <v>7.1715480798574937E-7</v>
      </c>
      <c r="P85" s="56">
        <f t="shared" si="38"/>
        <v>9.5053756569720622E-5</v>
      </c>
      <c r="Q85" s="56">
        <f t="shared" si="39"/>
        <v>1.9366222374794637E-3</v>
      </c>
      <c r="R85" s="9">
        <f t="shared" si="12"/>
        <v>3.9999999999999996E-5</v>
      </c>
      <c r="S85" s="9">
        <f t="shared" si="13"/>
        <v>1.5430465298011629E-6</v>
      </c>
      <c r="T85" s="9">
        <f t="shared" si="10"/>
        <v>2.8659697034812378E-5</v>
      </c>
      <c r="U85" s="9">
        <f t="shared" si="11"/>
        <v>3.845695347019883E-5</v>
      </c>
      <c r="V85" s="100">
        <f t="shared" si="14"/>
        <v>0.74524096291250497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141</v>
      </c>
      <c r="C86" s="46" t="s">
        <v>142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3.0792919353710997</v>
      </c>
      <c r="K86" s="55">
        <f t="shared" si="35"/>
        <v>0.17681405991867985</v>
      </c>
      <c r="L86" s="55">
        <f t="shared" si="36"/>
        <v>8.6210425400399429E-2</v>
      </c>
      <c r="M86" s="55">
        <f t="shared" si="19"/>
        <v>0.91378957459960053</v>
      </c>
      <c r="N86" s="55">
        <f t="shared" si="37"/>
        <v>4.4582741396636788E-2</v>
      </c>
      <c r="O86" s="56">
        <f t="shared" si="21"/>
        <v>1.7697752078277231E-7</v>
      </c>
      <c r="P86" s="56">
        <f t="shared" si="38"/>
        <v>2.1242715968746795E-4</v>
      </c>
      <c r="Q86" s="56">
        <f t="shared" si="39"/>
        <v>3.2310085474966557E-3</v>
      </c>
      <c r="R86" s="9">
        <f t="shared" si="12"/>
        <v>3.9999999999999996E-5</v>
      </c>
      <c r="S86" s="9">
        <f t="shared" si="13"/>
        <v>3.4484170160159769E-6</v>
      </c>
      <c r="T86" s="9">
        <f t="shared" si="10"/>
        <v>7.0725623967471934E-6</v>
      </c>
      <c r="U86" s="9">
        <f t="shared" si="11"/>
        <v>3.6551582983984021E-5</v>
      </c>
      <c r="V86" s="100">
        <f t="shared" si="14"/>
        <v>0.19349537884162807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279</v>
      </c>
      <c r="C87" s="46" t="s">
        <v>280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1.8389380143467116</v>
      </c>
      <c r="K87" s="55">
        <f t="shared" si="35"/>
        <v>0.81245374693712424</v>
      </c>
      <c r="L87" s="55">
        <f t="shared" si="36"/>
        <v>2.2776538211934035E-2</v>
      </c>
      <c r="M87" s="55">
        <f t="shared" si="19"/>
        <v>0.97722346178806596</v>
      </c>
      <c r="N87" s="55">
        <f t="shared" si="37"/>
        <v>1.3929410961769285E-2</v>
      </c>
      <c r="O87" s="56">
        <f t="shared" si="21"/>
        <v>8.1320484326719315E-7</v>
      </c>
      <c r="P87" s="56">
        <f t="shared" si="38"/>
        <v>5.612262435085736E-5</v>
      </c>
      <c r="Q87" s="56">
        <f t="shared" si="39"/>
        <v>1.009494806043159E-3</v>
      </c>
      <c r="R87" s="9">
        <f t="shared" si="12"/>
        <v>3.9999999999999996E-5</v>
      </c>
      <c r="S87" s="9">
        <f t="shared" si="13"/>
        <v>9.1106152847736134E-7</v>
      </c>
      <c r="T87" s="9">
        <f t="shared" si="10"/>
        <v>3.2498149877484968E-5</v>
      </c>
      <c r="U87" s="9">
        <f t="shared" si="11"/>
        <v>3.9088938471522637E-5</v>
      </c>
      <c r="V87" s="100">
        <f t="shared" si="14"/>
        <v>0.83138993148050722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281</v>
      </c>
      <c r="C88" s="46" t="s">
        <v>282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0.9190634048655969</v>
      </c>
      <c r="K88" s="55">
        <f t="shared" si="35"/>
        <v>0.95700801473809394</v>
      </c>
      <c r="L88" s="55">
        <f t="shared" si="36"/>
        <v>3.2264878660815217E-3</v>
      </c>
      <c r="M88" s="55">
        <f t="shared" si="19"/>
        <v>0.99677351213391852</v>
      </c>
      <c r="N88" s="55">
        <f t="shared" si="37"/>
        <v>2.3504204028621729E-4</v>
      </c>
      <c r="O88" s="56">
        <f t="shared" si="21"/>
        <v>9.5789274843576724E-7</v>
      </c>
      <c r="P88" s="56">
        <f t="shared" si="38"/>
        <v>7.9502409363427391E-6</v>
      </c>
      <c r="Q88" s="56">
        <f t="shared" si="39"/>
        <v>1.7034009515689187E-5</v>
      </c>
      <c r="R88" s="9">
        <f t="shared" si="12"/>
        <v>3.9999999999999996E-5</v>
      </c>
      <c r="S88" s="9">
        <f t="shared" si="13"/>
        <v>1.2905951464326086E-7</v>
      </c>
      <c r="T88" s="9">
        <f t="shared" si="10"/>
        <v>3.8280320589523752E-5</v>
      </c>
      <c r="U88" s="9">
        <f t="shared" si="11"/>
        <v>3.9870940485356737E-5</v>
      </c>
      <c r="V88" s="100">
        <f t="shared" si="14"/>
        <v>0.96010578440162042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283</v>
      </c>
      <c r="C89" s="46" t="s">
        <v>284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0.4825735397087883</v>
      </c>
      <c r="K89" s="55">
        <f t="shared" si="35"/>
        <v>0.98937975667564204</v>
      </c>
      <c r="L89" s="55">
        <f t="shared" si="36"/>
        <v>1.220921147809298E-3</v>
      </c>
      <c r="M89" s="55">
        <f t="shared" si="19"/>
        <v>0.99877907885219075</v>
      </c>
      <c r="N89" s="55">
        <f t="shared" si="37"/>
        <v>2.812006897516023E-4</v>
      </c>
      <c r="O89" s="56">
        <f t="shared" si="21"/>
        <v>9.9029441736504732E-7</v>
      </c>
      <c r="P89" s="56">
        <f t="shared" si="38"/>
        <v>3.0084158664909077E-6</v>
      </c>
      <c r="Q89" s="56">
        <f t="shared" si="39"/>
        <v>2.0379227559521989E-5</v>
      </c>
      <c r="R89" s="9">
        <f t="shared" si="12"/>
        <v>3.9999999999999996E-5</v>
      </c>
      <c r="S89" s="9">
        <f t="shared" si="13"/>
        <v>4.883684591237192E-8</v>
      </c>
      <c r="T89" s="9">
        <f t="shared" si="10"/>
        <v>3.9575190267025679E-5</v>
      </c>
      <c r="U89" s="9">
        <f t="shared" si="11"/>
        <v>3.9951163154087629E-5</v>
      </c>
      <c r="V89" s="100">
        <f t="shared" si="14"/>
        <v>0.99058918796401851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285</v>
      </c>
      <c r="C90" s="46" t="s">
        <v>286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1.7294425468926289E-2</v>
      </c>
      <c r="K90" s="55">
        <f t="shared" si="35"/>
        <v>0.99876291960650265</v>
      </c>
      <c r="L90" s="55">
        <f t="shared" si="36"/>
        <v>4.2218995111084211E-4</v>
      </c>
      <c r="M90" s="55">
        <f t="shared" si="19"/>
        <v>0.99957781004888913</v>
      </c>
      <c r="N90" s="55">
        <f t="shared" si="37"/>
        <v>9.3297187418786966E-6</v>
      </c>
      <c r="O90" s="56">
        <f t="shared" si="21"/>
        <v>9.9968625483186581E-7</v>
      </c>
      <c r="P90" s="56">
        <f t="shared" si="38"/>
        <v>1.0402989168251063E-6</v>
      </c>
      <c r="Q90" s="56">
        <f t="shared" si="39"/>
        <v>6.7614507444855847E-7</v>
      </c>
      <c r="R90" s="9">
        <f t="shared" si="12"/>
        <v>3.9999999999999996E-5</v>
      </c>
      <c r="S90" s="9">
        <f t="shared" si="13"/>
        <v>1.6887598044433684E-8</v>
      </c>
      <c r="T90" s="9">
        <f t="shared" si="10"/>
        <v>3.9950516784260101E-5</v>
      </c>
      <c r="U90" s="9">
        <f t="shared" si="11"/>
        <v>3.9983112401955561E-5</v>
      </c>
      <c r="V90" s="100">
        <f t="shared" si="14"/>
        <v>0.99918476537374656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287</v>
      </c>
      <c r="C91" s="46" t="s">
        <v>288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-1.2323623691093346E-2</v>
      </c>
      <c r="K91" s="55">
        <f t="shared" si="35"/>
        <v>0.99914051038660678</v>
      </c>
      <c r="L91" s="55">
        <f t="shared" si="36"/>
        <v>3.9450635234340188E-4</v>
      </c>
      <c r="M91" s="55">
        <f t="shared" si="19"/>
        <v>0.99960549364765661</v>
      </c>
      <c r="N91" s="55">
        <f t="shared" si="37"/>
        <v>4.2390068830594279E-6</v>
      </c>
      <c r="O91" s="56">
        <f t="shared" si="21"/>
        <v>1.0000641946866713E-6</v>
      </c>
      <c r="P91" s="56">
        <f t="shared" si="38"/>
        <v>9.7208502936564844E-7</v>
      </c>
      <c r="Q91" s="56">
        <f t="shared" si="39"/>
        <v>3.0721007822761165E-7</v>
      </c>
      <c r="R91" s="9">
        <f t="shared" si="12"/>
        <v>3.9999999999999996E-5</v>
      </c>
      <c r="S91" s="9">
        <f t="shared" si="13"/>
        <v>1.5780254093736075E-8</v>
      </c>
      <c r="T91" s="9">
        <f t="shared" si="10"/>
        <v>3.9965620415464271E-5</v>
      </c>
      <c r="U91" s="9">
        <f t="shared" si="11"/>
        <v>3.9984219745906261E-5</v>
      </c>
      <c r="V91" s="100">
        <f t="shared" si="14"/>
        <v>0.99953483322770365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289</v>
      </c>
      <c r="C92" s="46" t="s">
        <v>290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0.56590053270295515</v>
      </c>
      <c r="K92" s="55">
        <f t="shared" si="35"/>
        <v>0.98664318475578683</v>
      </c>
      <c r="L92" s="55">
        <f t="shared" si="36"/>
        <v>1.475066871977231E-3</v>
      </c>
      <c r="M92" s="55">
        <f t="shared" si="19"/>
        <v>0.99852493312802282</v>
      </c>
      <c r="N92" s="55">
        <f t="shared" si="37"/>
        <v>3.8830452045634416E-4</v>
      </c>
      <c r="O92" s="56">
        <f t="shared" si="21"/>
        <v>9.8755531554224835E-7</v>
      </c>
      <c r="P92" s="56">
        <f t="shared" si="38"/>
        <v>3.6346447022838764E-6</v>
      </c>
      <c r="Q92" s="56">
        <f t="shared" si="39"/>
        <v>2.814127586870831E-5</v>
      </c>
      <c r="R92" s="9">
        <f t="shared" si="12"/>
        <v>3.9999999999999996E-5</v>
      </c>
      <c r="S92" s="9">
        <f t="shared" si="13"/>
        <v>5.9002674879089238E-8</v>
      </c>
      <c r="T92" s="9">
        <f t="shared" ref="T92:T143" si="40">R92*K92</f>
        <v>3.9465727390231471E-5</v>
      </c>
      <c r="U92" s="9">
        <f t="shared" ref="U92:U143" si="41">$R92*M92</f>
        <v>3.9940997325120906E-5</v>
      </c>
      <c r="V92" s="100">
        <f t="shared" si="14"/>
        <v>0.98810069936359557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291</v>
      </c>
      <c r="C93" s="46" t="s">
        <v>292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-1.113440459384772E-2</v>
      </c>
      <c r="K93" s="55">
        <f t="shared" si="35"/>
        <v>0.99912560345669876</v>
      </c>
      <c r="L93" s="55">
        <f t="shared" si="36"/>
        <v>3.9558219878560463E-4</v>
      </c>
      <c r="M93" s="55">
        <f t="shared" ref="M93:M127" si="42">IF(D93=0,"",1-L93)</f>
        <v>0.99960441780121434</v>
      </c>
      <c r="N93" s="55">
        <f t="shared" si="37"/>
        <v>4.4175783666066318E-6</v>
      </c>
      <c r="O93" s="56">
        <f t="shared" ref="O93:O127" si="43">IF(D93=0,"",F93*K93*$J$7/$J$14)</f>
        <v>1.0000492739756215E-6</v>
      </c>
      <c r="P93" s="56">
        <f t="shared" si="38"/>
        <v>9.7473597329633438E-7</v>
      </c>
      <c r="Q93" s="56">
        <f t="shared" si="39"/>
        <v>3.2015154327901154E-7</v>
      </c>
      <c r="R93" s="9">
        <f t="shared" ref="R93:R143" si="44">F93*$C$14</f>
        <v>3.9999999999999996E-5</v>
      </c>
      <c r="S93" s="9">
        <f t="shared" ref="S93:S143" si="45">$R93*L93</f>
        <v>1.5823287951424184E-8</v>
      </c>
      <c r="T93" s="9">
        <f t="shared" si="40"/>
        <v>3.9965024138267944E-5</v>
      </c>
      <c r="U93" s="9">
        <f t="shared" si="41"/>
        <v>3.9984176712048567E-5</v>
      </c>
      <c r="V93" s="100">
        <f t="shared" ref="V93:V143" si="46">K93/M93</f>
        <v>0.99952099617009615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293</v>
      </c>
      <c r="C94" s="46" t="s">
        <v>294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-4.0985461790256764E-2</v>
      </c>
      <c r="K94" s="55">
        <f t="shared" si="35"/>
        <v>0.99949577642461929</v>
      </c>
      <c r="L94" s="55">
        <f t="shared" si="36"/>
        <v>3.69442247723147E-4</v>
      </c>
      <c r="M94" s="55">
        <f t="shared" si="42"/>
        <v>0.99963055775227683</v>
      </c>
      <c r="N94" s="55">
        <f t="shared" si="37"/>
        <v>7.3868447062456918E-7</v>
      </c>
      <c r="O94" s="56">
        <f t="shared" si="43"/>
        <v>1.0004197891606327E-6</v>
      </c>
      <c r="P94" s="56">
        <f t="shared" si="38"/>
        <v>9.1032571742788833E-7</v>
      </c>
      <c r="Q94" s="56">
        <f t="shared" si="39"/>
        <v>5.353407537812539E-8</v>
      </c>
      <c r="R94" s="9">
        <f t="shared" si="44"/>
        <v>3.9999999999999996E-5</v>
      </c>
      <c r="S94" s="9">
        <f t="shared" si="45"/>
        <v>1.4777689908925878E-8</v>
      </c>
      <c r="T94" s="9">
        <f t="shared" si="40"/>
        <v>3.9979831056984769E-5</v>
      </c>
      <c r="U94" s="9">
        <f t="shared" si="41"/>
        <v>3.9985222310091069E-5</v>
      </c>
      <c r="V94" s="100">
        <f t="shared" si="46"/>
        <v>0.99986516886002308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295</v>
      </c>
      <c r="C95" s="46" t="s">
        <v>296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0.94867954725222925</v>
      </c>
      <c r="J95" s="54">
        <f t="shared" si="34"/>
        <v>3.6424028743761494</v>
      </c>
      <c r="K95" s="55">
        <f t="shared" si="35"/>
        <v>9.3693770918290939E-2</v>
      </c>
      <c r="L95" s="55">
        <f t="shared" si="36"/>
        <v>0.16705698890028992</v>
      </c>
      <c r="M95" s="55">
        <f t="shared" si="42"/>
        <v>0.83294301109971003</v>
      </c>
      <c r="N95" s="55">
        <f t="shared" si="37"/>
        <v>0.14378403746130111</v>
      </c>
      <c r="O95" s="56">
        <f t="shared" si="43"/>
        <v>9.3780388830698064E-8</v>
      </c>
      <c r="P95" s="56">
        <f t="shared" si="38"/>
        <v>4.1163747299946681E-4</v>
      </c>
      <c r="Q95" s="56">
        <f t="shared" si="39"/>
        <v>1.0420342928173747E-2</v>
      </c>
      <c r="R95" s="9">
        <f t="shared" si="44"/>
        <v>3.9999999999999996E-5</v>
      </c>
      <c r="S95" s="9">
        <f t="shared" si="45"/>
        <v>6.6822795560115962E-6</v>
      </c>
      <c r="T95" s="9">
        <f t="shared" si="40"/>
        <v>3.7477508367316373E-6</v>
      </c>
      <c r="U95" s="9">
        <f t="shared" si="41"/>
        <v>3.3317720443988395E-5</v>
      </c>
      <c r="V95" s="100">
        <f t="shared" si="46"/>
        <v>0.11248521167683467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297</v>
      </c>
      <c r="C96" s="46" t="s">
        <v>210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-5.2566219815115577E-2</v>
      </c>
      <c r="K96" s="55">
        <f t="shared" si="35"/>
        <v>0.9996402262922518</v>
      </c>
      <c r="L96" s="55">
        <f t="shared" si="36"/>
        <v>3.5977299432137021E-4</v>
      </c>
      <c r="M96" s="55">
        <f t="shared" si="42"/>
        <v>0.99964022700567867</v>
      </c>
      <c r="N96" s="55">
        <f t="shared" si="37"/>
        <v>2.3554489577495916E-14</v>
      </c>
      <c r="O96" s="56">
        <f t="shared" si="43"/>
        <v>1.0005643725691171E-6</v>
      </c>
      <c r="P96" s="56">
        <f t="shared" si="38"/>
        <v>8.8650015309621842E-7</v>
      </c>
      <c r="Q96" s="56">
        <f t="shared" si="39"/>
        <v>1.7070452550177037E-15</v>
      </c>
      <c r="R96" s="9">
        <f t="shared" si="44"/>
        <v>3.9999999999999996E-5</v>
      </c>
      <c r="S96" s="9">
        <f t="shared" si="45"/>
        <v>1.4390919772854806E-8</v>
      </c>
      <c r="T96" s="9">
        <f t="shared" si="40"/>
        <v>3.9985609051690067E-5</v>
      </c>
      <c r="U96" s="9">
        <f t="shared" si="41"/>
        <v>3.9985609080227142E-5</v>
      </c>
      <c r="V96" s="100">
        <f t="shared" si="46"/>
        <v>0.99999999928631633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298</v>
      </c>
      <c r="C97" s="46" t="s">
        <v>211</v>
      </c>
      <c r="D97" s="47" t="s">
        <v>299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300</v>
      </c>
      <c r="C98" s="46" t="s">
        <v>212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3.5288390603770234</v>
      </c>
      <c r="K98" s="55">
        <f t="shared" si="35"/>
        <v>5.0759265398605147E-2</v>
      </c>
      <c r="L98" s="55">
        <f t="shared" si="36"/>
        <v>6.967956728781742E-2</v>
      </c>
      <c r="M98" s="55">
        <f t="shared" si="42"/>
        <v>0.93032043271218257</v>
      </c>
      <c r="N98" s="55">
        <f t="shared" si="37"/>
        <v>1.2466521825298194E-2</v>
      </c>
      <c r="O98" s="56">
        <f t="shared" si="43"/>
        <v>5.080619126743351E-8</v>
      </c>
      <c r="P98" s="56">
        <f t="shared" si="38"/>
        <v>1.7169422953728153E-4</v>
      </c>
      <c r="Q98" s="56">
        <f t="shared" si="39"/>
        <v>9.0347603833376331E-4</v>
      </c>
      <c r="R98" s="9">
        <f t="shared" si="44"/>
        <v>3.9999999999999996E-5</v>
      </c>
      <c r="S98" s="9">
        <f t="shared" si="45"/>
        <v>2.7871826915126965E-6</v>
      </c>
      <c r="T98" s="9">
        <f t="shared" si="40"/>
        <v>2.0303706159442057E-6</v>
      </c>
      <c r="U98" s="9">
        <f t="shared" si="41"/>
        <v>3.7212817308487303E-5</v>
      </c>
      <c r="V98" s="100">
        <f t="shared" si="46"/>
        <v>5.4561056184292973E-2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301</v>
      </c>
      <c r="C99" s="46" t="s">
        <v>213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1.7929254376502075</v>
      </c>
      <c r="K99" s="55">
        <f t="shared" si="35"/>
        <v>0.73645974177812712</v>
      </c>
      <c r="L99" s="55">
        <f t="shared" si="36"/>
        <v>1.8570581601753646E-2</v>
      </c>
      <c r="M99" s="55">
        <f t="shared" si="42"/>
        <v>0.98142941839824638</v>
      </c>
      <c r="N99" s="55">
        <f t="shared" si="37"/>
        <v>2.1250981086728951E-3</v>
      </c>
      <c r="O99" s="56">
        <f t="shared" si="43"/>
        <v>7.3714058325541521E-7</v>
      </c>
      <c r="P99" s="56">
        <f t="shared" si="38"/>
        <v>4.5758919354393989E-5</v>
      </c>
      <c r="Q99" s="56">
        <f t="shared" si="39"/>
        <v>1.5401049684910293E-4</v>
      </c>
      <c r="R99" s="9">
        <f t="shared" si="44"/>
        <v>3.9999999999999996E-5</v>
      </c>
      <c r="S99" s="9">
        <f t="shared" si="45"/>
        <v>7.4282326407014577E-7</v>
      </c>
      <c r="T99" s="9">
        <f t="shared" si="40"/>
        <v>2.9458389671125081E-5</v>
      </c>
      <c r="U99" s="9">
        <f t="shared" si="41"/>
        <v>3.9257176735929853E-5</v>
      </c>
      <c r="V99" s="100">
        <f t="shared" si="46"/>
        <v>0.75039501361195704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302</v>
      </c>
      <c r="C100" s="46" t="s">
        <v>214</v>
      </c>
      <c r="D100" s="47" t="s">
        <v>299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303</v>
      </c>
      <c r="C101" s="46" t="s">
        <v>215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3.1403147783650343</v>
      </c>
      <c r="K101" s="55">
        <f t="shared" si="35"/>
        <v>0.10754471198376291</v>
      </c>
      <c r="L101" s="55">
        <f t="shared" si="36"/>
        <v>6.034689029287453E-2</v>
      </c>
      <c r="M101" s="55">
        <f t="shared" si="42"/>
        <v>0.93965310970712546</v>
      </c>
      <c r="N101" s="55">
        <f t="shared" si="37"/>
        <v>4.9183455092587265E-3</v>
      </c>
      <c r="O101" s="56">
        <f t="shared" si="43"/>
        <v>1.07644134798654E-7</v>
      </c>
      <c r="P101" s="56">
        <f t="shared" si="38"/>
        <v>1.4869800771018086E-4</v>
      </c>
      <c r="Q101" s="56">
        <f t="shared" si="39"/>
        <v>3.5644323076901524E-4</v>
      </c>
      <c r="R101" s="9">
        <f t="shared" si="44"/>
        <v>3.9999999999999996E-5</v>
      </c>
      <c r="S101" s="9">
        <f t="shared" si="45"/>
        <v>2.413875611714981E-6</v>
      </c>
      <c r="T101" s="9">
        <f t="shared" si="40"/>
        <v>4.3017884793505161E-6</v>
      </c>
      <c r="U101" s="9">
        <f t="shared" si="41"/>
        <v>3.7586124388285014E-5</v>
      </c>
      <c r="V101" s="100">
        <f t="shared" si="46"/>
        <v>0.11445150436130928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304</v>
      </c>
      <c r="C102" s="46" t="s">
        <v>216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2.3448328988321436</v>
      </c>
      <c r="K102" s="55">
        <f t="shared" si="35"/>
        <v>0.41449426473965312</v>
      </c>
      <c r="L102" s="55">
        <f t="shared" si="36"/>
        <v>3.7247959029246748E-2</v>
      </c>
      <c r="M102" s="55">
        <f t="shared" si="42"/>
        <v>0.96275204097075329</v>
      </c>
      <c r="N102" s="55">
        <f t="shared" si="37"/>
        <v>6.5682255901668322E-9</v>
      </c>
      <c r="O102" s="56">
        <f t="shared" si="43"/>
        <v>4.1487745593331088E-7</v>
      </c>
      <c r="P102" s="56">
        <f t="shared" si="38"/>
        <v>9.1780989410375968E-5</v>
      </c>
      <c r="Q102" s="56">
        <f t="shared" si="39"/>
        <v>4.7601364023155916E-10</v>
      </c>
      <c r="R102" s="9">
        <f t="shared" si="44"/>
        <v>3.9999999999999996E-5</v>
      </c>
      <c r="S102" s="9">
        <f t="shared" si="45"/>
        <v>1.4899183611698698E-6</v>
      </c>
      <c r="T102" s="9">
        <f t="shared" si="40"/>
        <v>1.6579770589586124E-5</v>
      </c>
      <c r="U102" s="9">
        <f t="shared" si="41"/>
        <v>3.8510081638830125E-5</v>
      </c>
      <c r="V102" s="100">
        <f t="shared" si="46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305</v>
      </c>
      <c r="C103" s="46" t="s">
        <v>217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3.3932457157943468</v>
      </c>
      <c r="K103" s="55">
        <f t="shared" si="35"/>
        <v>5.9362277628682777E-2</v>
      </c>
      <c r="L103" s="55">
        <f t="shared" si="36"/>
        <v>5.9635838220399653E-2</v>
      </c>
      <c r="M103" s="55">
        <f t="shared" si="42"/>
        <v>0.94036416177960036</v>
      </c>
      <c r="N103" s="55">
        <f t="shared" si="37"/>
        <v>1.5687007006860516E-8</v>
      </c>
      <c r="O103" s="56">
        <f t="shared" si="43"/>
        <v>5.9417156800622747E-8</v>
      </c>
      <c r="P103" s="56">
        <f t="shared" si="38"/>
        <v>1.4694593687368759E-4</v>
      </c>
      <c r="Q103" s="56">
        <f t="shared" si="39"/>
        <v>1.1368716264637283E-9</v>
      </c>
      <c r="R103" s="9">
        <f t="shared" si="44"/>
        <v>3.9999999999999996E-5</v>
      </c>
      <c r="S103" s="9">
        <f t="shared" si="45"/>
        <v>2.3854335288159859E-6</v>
      </c>
      <c r="T103" s="9">
        <f t="shared" si="40"/>
        <v>2.374491105147311E-6</v>
      </c>
      <c r="U103" s="9">
        <f t="shared" si="41"/>
        <v>3.7614566471184009E-5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306</v>
      </c>
      <c r="C104" s="46" t="s">
        <v>218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4.114366029010359</v>
      </c>
      <c r="K104" s="55">
        <f t="shared" si="35"/>
        <v>1.2716472747812355E-2</v>
      </c>
      <c r="L104" s="55">
        <f t="shared" si="36"/>
        <v>6.721771582430866E-2</v>
      </c>
      <c r="M104" s="55">
        <f t="shared" si="42"/>
        <v>0.93278228417569131</v>
      </c>
      <c r="N104" s="55">
        <f t="shared" si="37"/>
        <v>6.0897103768888395E-3</v>
      </c>
      <c r="O104" s="56">
        <f t="shared" si="43"/>
        <v>1.2728228858296565E-8</v>
      </c>
      <c r="P104" s="56">
        <f t="shared" si="38"/>
        <v>1.656280941303778E-4</v>
      </c>
      <c r="Q104" s="56">
        <f t="shared" si="39"/>
        <v>4.4133459861647766E-4</v>
      </c>
      <c r="R104" s="9">
        <f t="shared" si="44"/>
        <v>3.9999999999999996E-5</v>
      </c>
      <c r="S104" s="9">
        <f t="shared" si="45"/>
        <v>2.6887086329723461E-6</v>
      </c>
      <c r="T104" s="9">
        <f t="shared" si="40"/>
        <v>5.086589099124941E-7</v>
      </c>
      <c r="U104" s="9">
        <f t="shared" si="41"/>
        <v>3.7311291367027648E-5</v>
      </c>
      <c r="V104" s="100">
        <f t="shared" si="46"/>
        <v>1.3632841193001457E-2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307</v>
      </c>
      <c r="C105" s="46" t="s">
        <v>219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3.8599571997359581</v>
      </c>
      <c r="K105" s="55">
        <f t="shared" si="35"/>
        <v>2.8961042062442655E-2</v>
      </c>
      <c r="L105" s="55">
        <f t="shared" si="36"/>
        <v>8.5216254251744006E-2</v>
      </c>
      <c r="M105" s="55">
        <f t="shared" si="42"/>
        <v>0.91478374574825594</v>
      </c>
      <c r="N105" s="55">
        <f t="shared" si="37"/>
        <v>3.1048752669877236E-2</v>
      </c>
      <c r="O105" s="56">
        <f t="shared" si="43"/>
        <v>2.8987815934173912E-8</v>
      </c>
      <c r="P105" s="56">
        <f t="shared" si="38"/>
        <v>2.0997746810583808E-4</v>
      </c>
      <c r="Q105" s="56">
        <f t="shared" si="39"/>
        <v>2.2501708536265728E-3</v>
      </c>
      <c r="R105" s="9">
        <f t="shared" si="44"/>
        <v>3.9999999999999996E-5</v>
      </c>
      <c r="S105" s="9">
        <f t="shared" si="45"/>
        <v>3.4086501700697599E-6</v>
      </c>
      <c r="T105" s="9">
        <f t="shared" si="40"/>
        <v>1.1584416824977062E-6</v>
      </c>
      <c r="U105" s="9">
        <f t="shared" si="41"/>
        <v>3.6591349829930231E-5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308</v>
      </c>
      <c r="C106" s="46" t="s">
        <v>220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2.8509111830841749</v>
      </c>
      <c r="K106" s="55">
        <f t="shared" si="35"/>
        <v>0.18495698739854338</v>
      </c>
      <c r="L106" s="55">
        <f t="shared" si="36"/>
        <v>5.330070856377625E-2</v>
      </c>
      <c r="M106" s="55">
        <f t="shared" si="42"/>
        <v>0.94669929143622378</v>
      </c>
      <c r="N106" s="55">
        <f t="shared" si="37"/>
        <v>2.0763507372033581E-3</v>
      </c>
      <c r="O106" s="56">
        <f t="shared" si="43"/>
        <v>1.8512797622711283E-7</v>
      </c>
      <c r="P106" s="56">
        <f t="shared" si="38"/>
        <v>1.3133583411687971E-4</v>
      </c>
      <c r="Q106" s="56">
        <f t="shared" si="39"/>
        <v>1.5047766847309932E-4</v>
      </c>
      <c r="R106" s="9">
        <f t="shared" si="44"/>
        <v>3.9999999999999996E-5</v>
      </c>
      <c r="S106" s="9">
        <f t="shared" si="45"/>
        <v>2.1320283425510498E-6</v>
      </c>
      <c r="T106" s="9">
        <f t="shared" si="40"/>
        <v>7.3982794959417344E-6</v>
      </c>
      <c r="U106" s="9">
        <f t="shared" si="41"/>
        <v>3.7867971657448947E-5</v>
      </c>
      <c r="V106" s="100">
        <f t="shared" si="46"/>
        <v>0.19537036635777746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309</v>
      </c>
      <c r="C107" s="46" t="s">
        <v>221</v>
      </c>
      <c r="D107" s="47" t="s">
        <v>299</v>
      </c>
      <c r="E107" s="47" t="s">
        <v>310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311</v>
      </c>
      <c r="C108" s="46" t="s">
        <v>222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3.5703766155723007</v>
      </c>
      <c r="K108" s="55">
        <f t="shared" si="35"/>
        <v>4.4271719028405196E-2</v>
      </c>
      <c r="L108" s="55">
        <f t="shared" si="36"/>
        <v>6.6873500583018552E-2</v>
      </c>
      <c r="M108" s="55">
        <f t="shared" si="42"/>
        <v>0.93312649941698145</v>
      </c>
      <c r="N108" s="55">
        <f t="shared" si="37"/>
        <v>8.2481463651084899E-3</v>
      </c>
      <c r="O108" s="56">
        <f t="shared" si="43"/>
        <v>4.4312647297630898E-8</v>
      </c>
      <c r="P108" s="56">
        <f t="shared" si="38"/>
        <v>1.6477992912378148E-4</v>
      </c>
      <c r="Q108" s="56">
        <f t="shared" si="39"/>
        <v>5.97761164338795E-4</v>
      </c>
      <c r="R108" s="9">
        <f t="shared" si="44"/>
        <v>3.9999999999999996E-5</v>
      </c>
      <c r="S108" s="9">
        <f t="shared" si="45"/>
        <v>2.6749400233207418E-6</v>
      </c>
      <c r="T108" s="9">
        <f t="shared" si="40"/>
        <v>1.7708687611362077E-6</v>
      </c>
      <c r="U108" s="9">
        <f t="shared" si="41"/>
        <v>3.7325059976679255E-5</v>
      </c>
      <c r="V108" s="100">
        <f t="shared" si="46"/>
        <v>4.7444498742738761E-2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312</v>
      </c>
      <c r="C109" s="46" t="s">
        <v>223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3.8699633913590414</v>
      </c>
      <c r="K109" s="55">
        <f t="shared" si="35"/>
        <v>2.664504741187743E-2</v>
      </c>
      <c r="L109" s="55">
        <f t="shared" si="36"/>
        <v>8.0228919838254142E-2</v>
      </c>
      <c r="M109" s="55">
        <f t="shared" si="42"/>
        <v>0.9197710801617458</v>
      </c>
      <c r="N109" s="55">
        <f t="shared" si="37"/>
        <v>2.431344342768758E-2</v>
      </c>
      <c r="O109" s="56">
        <f t="shared" si="43"/>
        <v>2.6669680195467901E-8</v>
      </c>
      <c r="P109" s="56">
        <f t="shared" si="38"/>
        <v>1.9768840586135105E-4</v>
      </c>
      <c r="Q109" s="56">
        <f t="shared" si="39"/>
        <v>1.7620482965603613E-3</v>
      </c>
      <c r="R109" s="9">
        <f t="shared" si="44"/>
        <v>3.9999999999999996E-5</v>
      </c>
      <c r="S109" s="9">
        <f t="shared" si="45"/>
        <v>3.2091567935301655E-6</v>
      </c>
      <c r="T109" s="9">
        <f t="shared" si="40"/>
        <v>1.0658018964750971E-6</v>
      </c>
      <c r="U109" s="9">
        <f t="shared" si="41"/>
        <v>3.6790843206469828E-5</v>
      </c>
      <c r="V109" s="100">
        <f t="shared" si="46"/>
        <v>2.8969216348041494E-2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202</v>
      </c>
      <c r="C110" s="46" t="s">
        <v>203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2.0991464926918666</v>
      </c>
      <c r="K110" s="55">
        <f t="shared" si="35"/>
        <v>0.55685155191201674</v>
      </c>
      <c r="L110" s="55">
        <f t="shared" si="36"/>
        <v>2.8420844826702828E-2</v>
      </c>
      <c r="M110" s="55">
        <f t="shared" si="42"/>
        <v>0.97157915517329718</v>
      </c>
      <c r="N110" s="55">
        <f t="shared" si="37"/>
        <v>1.9318322317448175E-4</v>
      </c>
      <c r="O110" s="56">
        <f t="shared" si="43"/>
        <v>5.5736634941108792E-7</v>
      </c>
      <c r="P110" s="56">
        <f t="shared" si="38"/>
        <v>7.0030501698774584E-5</v>
      </c>
      <c r="Q110" s="56">
        <f t="shared" si="39"/>
        <v>1.4000409704657392E-5</v>
      </c>
      <c r="R110" s="9">
        <f t="shared" si="44"/>
        <v>3.9999999999999996E-5</v>
      </c>
      <c r="S110" s="9">
        <f t="shared" si="45"/>
        <v>1.136833793068113E-6</v>
      </c>
      <c r="T110" s="9">
        <f t="shared" si="40"/>
        <v>2.2274062076480668E-5</v>
      </c>
      <c r="U110" s="9">
        <f t="shared" si="41"/>
        <v>3.8863166206931882E-5</v>
      </c>
      <c r="V110" s="100">
        <f t="shared" si="46"/>
        <v>0.5731406946587827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204</v>
      </c>
      <c r="C111" s="46" t="s">
        <v>205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2.2537100365210812</v>
      </c>
      <c r="K111" s="55">
        <f t="shared" si="35"/>
        <v>0.64869309528399177</v>
      </c>
      <c r="L111" s="55">
        <f t="shared" si="36"/>
        <v>4.7260723761536172E-2</v>
      </c>
      <c r="M111" s="55">
        <f t="shared" si="42"/>
        <v>0.95273927623846388</v>
      </c>
      <c r="N111" s="55">
        <f t="shared" si="37"/>
        <v>3.2509078652896692E-2</v>
      </c>
      <c r="O111" s="56">
        <f t="shared" si="43"/>
        <v>6.4929279835022239E-7</v>
      </c>
      <c r="P111" s="56">
        <f t="shared" si="38"/>
        <v>1.1645298427434327E-4</v>
      </c>
      <c r="Q111" s="56">
        <f t="shared" si="39"/>
        <v>2.3560038640125886E-3</v>
      </c>
      <c r="R111" s="9">
        <f t="shared" si="44"/>
        <v>3.9999999999999996E-5</v>
      </c>
      <c r="S111" s="9">
        <f t="shared" si="45"/>
        <v>1.8904289504614467E-6</v>
      </c>
      <c r="T111" s="9">
        <f t="shared" si="40"/>
        <v>2.5947723811359669E-5</v>
      </c>
      <c r="U111" s="9">
        <f t="shared" si="41"/>
        <v>3.8109571049538552E-5</v>
      </c>
      <c r="V111" s="100">
        <f t="shared" si="46"/>
        <v>0.68087157889104222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206</v>
      </c>
      <c r="C112" s="46" t="s">
        <v>207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2.5219720041185631</v>
      </c>
      <c r="J112" s="54">
        <f t="shared" si="34"/>
        <v>5.3117367618268752</v>
      </c>
      <c r="K112" s="55">
        <f t="shared" si="35"/>
        <v>2.4033818706689358E-3</v>
      </c>
      <c r="L112" s="55">
        <f t="shared" si="36"/>
        <v>0.20012926440595968</v>
      </c>
      <c r="M112" s="55">
        <f t="shared" si="42"/>
        <v>0.79987073559404032</v>
      </c>
      <c r="N112" s="55">
        <f t="shared" si="37"/>
        <v>0.17962622970778089</v>
      </c>
      <c r="O112" s="56">
        <f t="shared" si="43"/>
        <v>2.4056037464490882E-9</v>
      </c>
      <c r="P112" s="56">
        <f t="shared" si="38"/>
        <v>4.931293519391842E-4</v>
      </c>
      <c r="Q112" s="56">
        <f t="shared" si="39"/>
        <v>1.3017904807087966E-2</v>
      </c>
      <c r="R112" s="9">
        <f t="shared" si="44"/>
        <v>3.9999999999999996E-5</v>
      </c>
      <c r="S112" s="9">
        <f t="shared" si="45"/>
        <v>8.0051705762383864E-6</v>
      </c>
      <c r="T112" s="9">
        <f t="shared" si="40"/>
        <v>9.6135274826757422E-8</v>
      </c>
      <c r="U112" s="9">
        <f t="shared" si="41"/>
        <v>3.1994829423761612E-5</v>
      </c>
      <c r="V112" s="100">
        <f t="shared" si="46"/>
        <v>3.0047128413618176E-3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208</v>
      </c>
      <c r="C113" s="46" t="s">
        <v>209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5.6876254788112171</v>
      </c>
      <c r="K113" s="55">
        <f t="shared" si="35"/>
        <v>1.0697918203161775E-3</v>
      </c>
      <c r="L113" s="55">
        <f t="shared" si="36"/>
        <v>0.21167804125258824</v>
      </c>
      <c r="M113" s="55">
        <f t="shared" si="42"/>
        <v>0.78832195874741173</v>
      </c>
      <c r="N113" s="55">
        <f t="shared" si="37"/>
        <v>0.19466875276535331</v>
      </c>
      <c r="O113" s="56">
        <f t="shared" si="43"/>
        <v>1.0707808202601206E-9</v>
      </c>
      <c r="P113" s="56">
        <f t="shared" si="38"/>
        <v>5.2158616388506653E-4</v>
      </c>
      <c r="Q113" s="56">
        <f t="shared" si="39"/>
        <v>1.4108069275498122E-2</v>
      </c>
      <c r="R113" s="9">
        <f t="shared" si="44"/>
        <v>3.9999999999999996E-5</v>
      </c>
      <c r="S113" s="9">
        <f t="shared" si="45"/>
        <v>8.4671216501035296E-6</v>
      </c>
      <c r="T113" s="9">
        <f t="shared" si="40"/>
        <v>4.2791672812647094E-8</v>
      </c>
      <c r="U113" s="9">
        <f t="shared" si="41"/>
        <v>3.1532878349896467E-5</v>
      </c>
      <c r="V113" s="100">
        <f t="shared" si="46"/>
        <v>1.3570493736036499E-3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6.1146638337723394</v>
      </c>
      <c r="K114" s="55">
        <f t="shared" si="35"/>
        <v>4.1967898476231931E-4</v>
      </c>
      <c r="L114" s="55">
        <f t="shared" si="36"/>
        <v>0.22198933634078991</v>
      </c>
      <c r="M114" s="55">
        <f t="shared" si="42"/>
        <v>0.77801066365921012</v>
      </c>
      <c r="N114" s="55">
        <f t="shared" si="37"/>
        <v>0.20814414366387873</v>
      </c>
      <c r="O114" s="56">
        <f t="shared" si="43"/>
        <v>4.2006696912013705E-10</v>
      </c>
      <c r="P114" s="56">
        <f t="shared" si="38"/>
        <v>5.4699375372252348E-4</v>
      </c>
      <c r="Q114" s="56">
        <f t="shared" si="39"/>
        <v>1.5084660256897009E-2</v>
      </c>
      <c r="R114" s="9">
        <f t="shared" si="44"/>
        <v>3.9999999999999996E-5</v>
      </c>
      <c r="S114" s="9">
        <f t="shared" si="45"/>
        <v>8.879573453631595E-6</v>
      </c>
      <c r="T114" s="9">
        <f t="shared" si="40"/>
        <v>1.6787159390492771E-8</v>
      </c>
      <c r="U114" s="9">
        <f t="shared" si="41"/>
        <v>3.1120426546368403E-5</v>
      </c>
      <c r="V114" s="100">
        <f t="shared" si="46"/>
        <v>5.3942574872746236E-4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1.8739262521806992</v>
      </c>
      <c r="J115" s="54">
        <f t="shared" si="34"/>
        <v>4.7023315490272344</v>
      </c>
      <c r="K115" s="55">
        <f t="shared" si="35"/>
        <v>1.0491929396839092E-2</v>
      </c>
      <c r="L115" s="55">
        <f t="shared" si="36"/>
        <v>0.21475236974314726</v>
      </c>
      <c r="M115" s="55">
        <f t="shared" si="42"/>
        <v>0.78524763025685274</v>
      </c>
      <c r="N115" s="55">
        <f t="shared" si="37"/>
        <v>0.19948183984621043</v>
      </c>
      <c r="O115" s="56">
        <f t="shared" si="43"/>
        <v>1.0501628963977548E-8</v>
      </c>
      <c r="P115" s="56">
        <f t="shared" si="38"/>
        <v>5.291614758750323E-4</v>
      </c>
      <c r="Q115" s="56">
        <f t="shared" si="39"/>
        <v>1.4456884198289483E-2</v>
      </c>
      <c r="R115" s="9">
        <f t="shared" si="44"/>
        <v>3.9999999999999996E-5</v>
      </c>
      <c r="S115" s="9">
        <f t="shared" si="45"/>
        <v>8.5900947897258892E-6</v>
      </c>
      <c r="T115" s="9">
        <f t="shared" si="40"/>
        <v>4.1967717587356364E-7</v>
      </c>
      <c r="U115" s="9">
        <f t="shared" si="41"/>
        <v>3.1409905210274106E-5</v>
      </c>
      <c r="V115" s="100">
        <f t="shared" si="46"/>
        <v>1.3361300298871587E-2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224</v>
      </c>
      <c r="C116" s="46" t="s">
        <v>225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-2.0478153790305816E-2</v>
      </c>
      <c r="K116" s="55">
        <f t="shared" si="35"/>
        <v>0.99924226308576602</v>
      </c>
      <c r="L116" s="55">
        <f t="shared" si="36"/>
        <v>3.872074430684942E-4</v>
      </c>
      <c r="M116" s="55">
        <f t="shared" si="42"/>
        <v>0.99961279255693147</v>
      </c>
      <c r="N116" s="55">
        <f t="shared" si="37"/>
        <v>3.0787173082469621E-6</v>
      </c>
      <c r="O116" s="56">
        <f t="shared" si="43"/>
        <v>1.0001660414540519E-6</v>
      </c>
      <c r="P116" s="56">
        <f t="shared" si="38"/>
        <v>9.5410012140487689E-7</v>
      </c>
      <c r="Q116" s="56">
        <f t="shared" si="39"/>
        <v>2.2312136101666989E-7</v>
      </c>
      <c r="R116" s="9">
        <f t="shared" si="44"/>
        <v>3.9999999999999996E-5</v>
      </c>
      <c r="S116" s="9">
        <f t="shared" si="45"/>
        <v>1.5488297722739768E-8</v>
      </c>
      <c r="T116" s="9">
        <f t="shared" si="40"/>
        <v>3.9969690523430641E-5</v>
      </c>
      <c r="U116" s="9">
        <f t="shared" si="41"/>
        <v>3.9984511702277253E-5</v>
      </c>
      <c r="V116" s="100">
        <f t="shared" si="46"/>
        <v>0.99962932700149054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226</v>
      </c>
      <c r="C117" s="46" t="s">
        <v>227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1.0136234276499627</v>
      </c>
      <c r="K117" s="55">
        <f t="shared" si="35"/>
        <v>0.96072661588350694</v>
      </c>
      <c r="L117" s="55">
        <f t="shared" si="36"/>
        <v>4.0269320977095362E-3</v>
      </c>
      <c r="M117" s="55">
        <f t="shared" si="42"/>
        <v>0.99597306790229045</v>
      </c>
      <c r="N117" s="55">
        <f t="shared" si="37"/>
        <v>1.5928643630884116E-3</v>
      </c>
      <c r="O117" s="56">
        <f t="shared" si="43"/>
        <v>9.6161478734940257E-7</v>
      </c>
      <c r="P117" s="56">
        <f t="shared" si="38"/>
        <v>9.9225788968995204E-6</v>
      </c>
      <c r="Q117" s="56">
        <f t="shared" si="39"/>
        <v>1.1543835598520907E-4</v>
      </c>
      <c r="R117" s="9">
        <f t="shared" si="44"/>
        <v>3.9999999999999996E-5</v>
      </c>
      <c r="S117" s="9">
        <f t="shared" si="45"/>
        <v>1.6107728390838143E-7</v>
      </c>
      <c r="T117" s="9">
        <f t="shared" si="40"/>
        <v>3.8429064635340273E-5</v>
      </c>
      <c r="U117" s="9">
        <f t="shared" si="41"/>
        <v>3.9838922716091617E-5</v>
      </c>
      <c r="V117" s="100">
        <f t="shared" si="46"/>
        <v>0.96461103903841572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228</v>
      </c>
      <c r="C118" s="46" t="s">
        <v>229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2.2667887997146607</v>
      </c>
      <c r="K118" s="55">
        <f t="shared" si="35"/>
        <v>0.64255136949432301</v>
      </c>
      <c r="L118" s="55">
        <f t="shared" si="36"/>
        <v>4.8244488878580884E-2</v>
      </c>
      <c r="M118" s="55">
        <f t="shared" si="42"/>
        <v>0.9517555111214191</v>
      </c>
      <c r="N118" s="55">
        <f t="shared" si="37"/>
        <v>3.3291840826673233E-2</v>
      </c>
      <c r="O118" s="56">
        <f t="shared" si="43"/>
        <v>6.4314539466477407E-7</v>
      </c>
      <c r="P118" s="56">
        <f t="shared" si="38"/>
        <v>1.1887703483021085E-4</v>
      </c>
      <c r="Q118" s="56">
        <f t="shared" si="39"/>
        <v>2.4127323467146387E-3</v>
      </c>
      <c r="R118" s="9">
        <f t="shared" si="44"/>
        <v>3.9999999999999996E-5</v>
      </c>
      <c r="S118" s="9">
        <f t="shared" si="45"/>
        <v>1.9297795551432352E-6</v>
      </c>
      <c r="T118" s="9">
        <f t="shared" si="40"/>
        <v>2.5702054779772917E-5</v>
      </c>
      <c r="U118" s="9">
        <f t="shared" si="41"/>
        <v>3.8070220444856759E-5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230</v>
      </c>
      <c r="C119" s="46" t="s">
        <v>231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-4.8356858500751179E-2</v>
      </c>
      <c r="K119" s="55">
        <f t="shared" si="35"/>
        <v>0.99958712062130484</v>
      </c>
      <c r="L119" s="55">
        <f t="shared" si="36"/>
        <v>3.6325771739905598E-4</v>
      </c>
      <c r="M119" s="55">
        <f t="shared" si="42"/>
        <v>0.99963674228260091</v>
      </c>
      <c r="N119" s="55">
        <f t="shared" si="37"/>
        <v>1.7960825787892589E-7</v>
      </c>
      <c r="O119" s="56">
        <f t="shared" si="43"/>
        <v>1.0005112178030992E-6</v>
      </c>
      <c r="P119" s="56">
        <f t="shared" si="38"/>
        <v>8.9508669958699515E-7</v>
      </c>
      <c r="Q119" s="56">
        <f t="shared" si="39"/>
        <v>1.3016602349436741E-8</v>
      </c>
      <c r="R119" s="9">
        <f t="shared" si="44"/>
        <v>3.9999999999999996E-5</v>
      </c>
      <c r="S119" s="9">
        <f t="shared" si="45"/>
        <v>1.4530308695962238E-8</v>
      </c>
      <c r="T119" s="9">
        <f t="shared" si="40"/>
        <v>3.9983484824852187E-5</v>
      </c>
      <c r="U119" s="9">
        <f t="shared" si="41"/>
        <v>3.9985469691304036E-5</v>
      </c>
      <c r="V119" s="100">
        <f t="shared" si="46"/>
        <v>0.99995036030670226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232</v>
      </c>
      <c r="C120" s="46" t="s">
        <v>233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-5.2566275842329695E-2</v>
      </c>
      <c r="K120" s="55">
        <f t="shared" si="35"/>
        <v>0.99964022702403332</v>
      </c>
      <c r="L120" s="55">
        <f t="shared" si="36"/>
        <v>3.5977294817135465E-4</v>
      </c>
      <c r="M120" s="55">
        <f t="shared" si="42"/>
        <v>0.99964022705182864</v>
      </c>
      <c r="N120" s="55">
        <f t="shared" si="37"/>
        <v>2.3292907277621929E-16</v>
      </c>
      <c r="O120" s="56">
        <f t="shared" si="43"/>
        <v>1.0005643733015753E-6</v>
      </c>
      <c r="P120" s="56">
        <f t="shared" si="38"/>
        <v>8.8650003938007918E-7</v>
      </c>
      <c r="Q120" s="56">
        <f t="shared" si="39"/>
        <v>1.6880878149794732E-17</v>
      </c>
      <c r="R120" s="9">
        <f t="shared" si="44"/>
        <v>3.9999999999999996E-5</v>
      </c>
      <c r="S120" s="9">
        <f t="shared" si="45"/>
        <v>1.4390917926854185E-8</v>
      </c>
      <c r="T120" s="9">
        <f t="shared" si="40"/>
        <v>3.998560908096133E-5</v>
      </c>
      <c r="U120" s="9">
        <f t="shared" si="41"/>
        <v>3.9985609082073139E-5</v>
      </c>
      <c r="V120" s="100">
        <f t="shared" si="46"/>
        <v>0.99999999997219469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234</v>
      </c>
      <c r="C121" s="46" t="s">
        <v>235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0.23901285890737395</v>
      </c>
      <c r="K121" s="55">
        <f t="shared" si="35"/>
        <v>0.99527746683194041</v>
      </c>
      <c r="L121" s="55">
        <f t="shared" si="36"/>
        <v>7.0098397053477187E-4</v>
      </c>
      <c r="M121" s="55">
        <f t="shared" si="42"/>
        <v>0.99929901602946525</v>
      </c>
      <c r="N121" s="55">
        <f t="shared" si="37"/>
        <v>8.6830711407556068E-5</v>
      </c>
      <c r="O121" s="56">
        <f t="shared" si="43"/>
        <v>9.96197579829826E-7</v>
      </c>
      <c r="P121" s="56">
        <f t="shared" si="38"/>
        <v>1.727262487750761E-6</v>
      </c>
      <c r="Q121" s="56">
        <f t="shared" si="39"/>
        <v>6.2928111182546766E-6</v>
      </c>
      <c r="R121" s="9">
        <f t="shared" si="44"/>
        <v>3.9999999999999996E-5</v>
      </c>
      <c r="S121" s="9">
        <f t="shared" si="45"/>
        <v>2.8039358821390873E-8</v>
      </c>
      <c r="T121" s="9">
        <f t="shared" si="40"/>
        <v>3.9811098673277613E-5</v>
      </c>
      <c r="U121" s="9">
        <f t="shared" si="41"/>
        <v>3.9971960641178605E-5</v>
      </c>
      <c r="V121" s="100">
        <f t="shared" si="46"/>
        <v>0.99597562978346188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236</v>
      </c>
      <c r="C122" s="46" t="s">
        <v>237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5.358242977665614</v>
      </c>
      <c r="K122" s="55">
        <f t="shared" si="35"/>
        <v>2.4977692416795938E-3</v>
      </c>
      <c r="L122" s="55">
        <f t="shared" si="36"/>
        <v>0.23149752239348789</v>
      </c>
      <c r="M122" s="55">
        <f t="shared" si="42"/>
        <v>0.76850247760651214</v>
      </c>
      <c r="N122" s="55">
        <f t="shared" si="37"/>
        <v>0.22079145896112559</v>
      </c>
      <c r="O122" s="56">
        <f t="shared" si="43"/>
        <v>2.5000783765907897E-9</v>
      </c>
      <c r="P122" s="56">
        <f t="shared" si="38"/>
        <v>5.7042243937827531E-4</v>
      </c>
      <c r="Q122" s="56">
        <f t="shared" si="39"/>
        <v>1.6001238792629956E-2</v>
      </c>
      <c r="R122" s="9">
        <f t="shared" si="44"/>
        <v>3.9999999999999996E-5</v>
      </c>
      <c r="S122" s="9">
        <f t="shared" si="45"/>
        <v>9.2599008957395144E-6</v>
      </c>
      <c r="T122" s="9">
        <f t="shared" si="40"/>
        <v>9.9910769667183748E-8</v>
      </c>
      <c r="U122" s="9">
        <f t="shared" si="41"/>
        <v>3.0740099104260484E-5</v>
      </c>
      <c r="V122" s="100">
        <f t="shared" si="46"/>
        <v>3.2501772140785461E-3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238</v>
      </c>
      <c r="C123" s="46" t="s">
        <v>239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0.87939054598043731</v>
      </c>
      <c r="K123" s="55">
        <f t="shared" ref="K123:K127" si="49">IF(D123=0,"",1/(1+10^D123*$J$15/$J$14+10^E123*$J$16/$J$14+10^J123*$J$19/$J$14))</f>
        <v>0.97301327101892143</v>
      </c>
      <c r="L123" s="55">
        <f t="shared" ref="L123:L127" si="50">IF(D123=0,"",1/(1+10^I123/10^J123*$J$13/$J$19))</f>
        <v>2.9940590821288843E-3</v>
      </c>
      <c r="M123" s="55">
        <f t="shared" si="42"/>
        <v>0.99700594091787109</v>
      </c>
      <c r="N123" s="55">
        <f t="shared" ref="N123:N127" si="51">IF(D123=0,"",1/(1/10^E123*$J$20/$J$22+10^D123/10^E123*$J$21/$J$22+10^I123/10^E123*$J$13/$J$22+1))</f>
        <v>1.2539428318171268E-3</v>
      </c>
      <c r="O123" s="56">
        <f t="shared" si="43"/>
        <v>9.7391280123799642E-7</v>
      </c>
      <c r="P123" s="56">
        <f t="shared" ref="P123:P127" si="52">IF(D123=0,"",O123*10^J123)</f>
        <v>7.3775238180202711E-6</v>
      </c>
      <c r="Q123" s="56">
        <f t="shared" ref="Q123:Q127" si="53">IF(D123=0,"",F123*N123*$J$7/$J$22)</f>
        <v>9.0875973095251011E-5</v>
      </c>
      <c r="R123" s="9">
        <f t="shared" si="44"/>
        <v>3.9999999999999996E-5</v>
      </c>
      <c r="S123" s="9">
        <f t="shared" si="45"/>
        <v>1.1976236328515537E-7</v>
      </c>
      <c r="T123" s="9">
        <f t="shared" si="40"/>
        <v>3.8920530840756856E-5</v>
      </c>
      <c r="U123" s="9">
        <f t="shared" si="41"/>
        <v>3.9880237636714842E-5</v>
      </c>
      <c r="V123" s="100">
        <f t="shared" si="46"/>
        <v>0.97593527890429488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240</v>
      </c>
      <c r="C124" s="46" t="s">
        <v>241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1.0210151944953776</v>
      </c>
      <c r="K124" s="55">
        <f t="shared" si="49"/>
        <v>0.94958260893578983</v>
      </c>
      <c r="L124" s="55">
        <f t="shared" si="50"/>
        <v>4.0485453001362056E-3</v>
      </c>
      <c r="M124" s="55">
        <f t="shared" si="42"/>
        <v>0.99595145469986379</v>
      </c>
      <c r="N124" s="55">
        <f t="shared" si="51"/>
        <v>6.9945330339337807E-4</v>
      </c>
      <c r="O124" s="56">
        <f t="shared" si="43"/>
        <v>9.504604780026232E-7</v>
      </c>
      <c r="P124" s="56">
        <f t="shared" si="52"/>
        <v>9.9758349988375923E-6</v>
      </c>
      <c r="Q124" s="56">
        <f t="shared" si="53"/>
        <v>5.0690907087406257E-5</v>
      </c>
      <c r="R124" s="9">
        <f t="shared" si="44"/>
        <v>3.9999999999999996E-5</v>
      </c>
      <c r="S124" s="9">
        <f t="shared" si="45"/>
        <v>1.6194181200544821E-7</v>
      </c>
      <c r="T124" s="9">
        <f t="shared" si="40"/>
        <v>3.798330435743159E-5</v>
      </c>
      <c r="U124" s="9">
        <f t="shared" si="41"/>
        <v>3.983805818799455E-5</v>
      </c>
      <c r="V124" s="100">
        <f t="shared" si="46"/>
        <v>0.95344266475513362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242</v>
      </c>
      <c r="C125" s="46" t="s">
        <v>243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9.1475309817773021E-2</v>
      </c>
      <c r="K125" s="55">
        <f t="shared" si="49"/>
        <v>0.99763924104267399</v>
      </c>
      <c r="L125" s="55">
        <f t="shared" si="50"/>
        <v>5.0026473516454127E-4</v>
      </c>
      <c r="M125" s="55">
        <f t="shared" si="42"/>
        <v>0.99949973526483549</v>
      </c>
      <c r="N125" s="55">
        <f t="shared" si="51"/>
        <v>1.8825152226999655E-5</v>
      </c>
      <c r="O125" s="56">
        <f t="shared" si="43"/>
        <v>9.9856153745093682E-7</v>
      </c>
      <c r="P125" s="56">
        <f t="shared" si="52"/>
        <v>1.2326794153867441E-6</v>
      </c>
      <c r="Q125" s="56">
        <f t="shared" si="53"/>
        <v>1.3642998579255159E-6</v>
      </c>
      <c r="R125" s="9">
        <f t="shared" si="44"/>
        <v>3.9999999999999996E-5</v>
      </c>
      <c r="S125" s="9">
        <f t="shared" si="45"/>
        <v>2.0010589406581649E-8</v>
      </c>
      <c r="T125" s="9">
        <f t="shared" si="40"/>
        <v>3.9905569641706958E-5</v>
      </c>
      <c r="U125" s="9">
        <f t="shared" si="41"/>
        <v>3.9979989410593417E-5</v>
      </c>
      <c r="V125" s="100">
        <f t="shared" si="46"/>
        <v>0.9981385745723399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244</v>
      </c>
      <c r="C126" s="46" t="s">
        <v>245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4.2597180047959515</v>
      </c>
      <c r="K126" s="55">
        <f t="shared" si="49"/>
        <v>2.6942090572146409E-2</v>
      </c>
      <c r="L126" s="55">
        <f t="shared" si="50"/>
        <v>0.19902166398859381</v>
      </c>
      <c r="M126" s="55">
        <f t="shared" si="42"/>
        <v>0.80097833601140622</v>
      </c>
      <c r="N126" s="55">
        <f t="shared" si="51"/>
        <v>0.18020268090821567</v>
      </c>
      <c r="O126" s="56">
        <f t="shared" si="43"/>
        <v>2.6966997965865014E-8</v>
      </c>
      <c r="P126" s="56">
        <f t="shared" si="52"/>
        <v>4.9040016449303735E-4</v>
      </c>
      <c r="Q126" s="56">
        <f t="shared" si="53"/>
        <v>1.3059681483386298E-2</v>
      </c>
      <c r="R126" s="9">
        <f t="shared" si="44"/>
        <v>3.9999999999999996E-5</v>
      </c>
      <c r="S126" s="9">
        <f t="shared" si="45"/>
        <v>7.9608665595437518E-6</v>
      </c>
      <c r="T126" s="9">
        <f t="shared" si="40"/>
        <v>1.0776836228858562E-6</v>
      </c>
      <c r="U126" s="9">
        <f t="shared" si="41"/>
        <v>3.2039133440456245E-5</v>
      </c>
      <c r="V126" s="100">
        <f t="shared" si="46"/>
        <v>3.3636478492425473E-2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246</v>
      </c>
      <c r="C127" s="46" t="s">
        <v>247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0.12683662687631944</v>
      </c>
      <c r="J127" s="54">
        <f t="shared" si="48"/>
        <v>2.0941959203200446</v>
      </c>
      <c r="K127" s="55">
        <f t="shared" si="49"/>
        <v>0.71925533625075677</v>
      </c>
      <c r="L127" s="55">
        <f t="shared" si="50"/>
        <v>3.6293601748946747E-2</v>
      </c>
      <c r="M127" s="55">
        <f t="shared" si="42"/>
        <v>0.9637063982510532</v>
      </c>
      <c r="N127" s="55">
        <f t="shared" si="51"/>
        <v>2.3955930731191857E-2</v>
      </c>
      <c r="O127" s="56">
        <f t="shared" si="43"/>
        <v>7.199202726184909E-7</v>
      </c>
      <c r="P127" s="56">
        <f t="shared" si="52"/>
        <v>8.9429401357775439E-5</v>
      </c>
      <c r="Q127" s="56">
        <f t="shared" si="53"/>
        <v>1.7361385713611074E-3</v>
      </c>
      <c r="R127" s="9">
        <f t="shared" si="44"/>
        <v>3.9999999999999996E-5</v>
      </c>
      <c r="S127" s="9">
        <f t="shared" si="45"/>
        <v>1.4517440699578696E-6</v>
      </c>
      <c r="T127" s="9">
        <f t="shared" si="40"/>
        <v>2.8770213450030268E-5</v>
      </c>
      <c r="U127" s="9">
        <f t="shared" si="41"/>
        <v>3.8548255930042124E-5</v>
      </c>
      <c r="V127" s="100">
        <f t="shared" si="46"/>
        <v>0.74634280477546966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248</v>
      </c>
      <c r="C128" s="46" t="s">
        <v>249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3.0076215018515007</v>
      </c>
      <c r="K128" s="55">
        <f t="shared" ref="K128:K134" si="56">IF(D128=0,"",1/(1+10^D128*$J$15/$J$14+10^E128*$J$16/$J$14+10^J128*$J$19/$J$14))</f>
        <v>0.2438093984223679</v>
      </c>
      <c r="L128" s="55">
        <f t="shared" ref="L128:L134" si="57">IF(D128=0,"",1/(1+10^I128/10^J128*$J$13/$J$19))</f>
        <v>0.10079128941848653</v>
      </c>
      <c r="M128" s="55">
        <f t="shared" ref="M128:M134" si="58">IF(D128=0,"",1-L128)</f>
        <v>0.89920871058151342</v>
      </c>
      <c r="N128" s="55">
        <f t="shared" ref="N128:N134" si="59">IF(D128=0,"",1/(1/10^E128*$J$20/$J$22+10^D128/10^E128*$J$21/$J$22+10^I128/10^E128*$J$13/$J$22+1))</f>
        <v>6.9255364017974178E-2</v>
      </c>
      <c r="O128" s="56">
        <f t="shared" ref="O128:O134" si="60">IF(D128=0,"",F128*K128*$J$7/$J$14)</f>
        <v>2.4403479506196948E-7</v>
      </c>
      <c r="P128" s="56">
        <f t="shared" ref="P128:P134" si="61">IF(D128=0,"",O128*10^J128)</f>
        <v>2.4835519872411438E-4</v>
      </c>
      <c r="Q128" s="56">
        <f t="shared" ref="Q128:Q134" si="62">IF(D128=0,"",F128*N128*$J$7/$J$22)</f>
        <v>5.0190873439412845E-3</v>
      </c>
      <c r="R128" s="9">
        <f t="shared" si="44"/>
        <v>3.9999999999999996E-5</v>
      </c>
      <c r="S128" s="9">
        <f t="shared" si="45"/>
        <v>4.031651576739461E-6</v>
      </c>
      <c r="T128" s="9">
        <f t="shared" si="40"/>
        <v>9.7523759368947149E-6</v>
      </c>
      <c r="U128" s="9">
        <f t="shared" si="41"/>
        <v>3.5968348423260531E-5</v>
      </c>
      <c r="V128" s="100">
        <f t="shared" si="46"/>
        <v>0.27113771870014214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250</v>
      </c>
      <c r="C129" s="46" t="s">
        <v>251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-5.0341696429437033E-2</v>
      </c>
      <c r="K129" s="55">
        <f t="shared" si="56"/>
        <v>0.99961197018060566</v>
      </c>
      <c r="L129" s="55">
        <f t="shared" si="57"/>
        <v>3.6161031312918892E-4</v>
      </c>
      <c r="M129" s="55">
        <f t="shared" si="58"/>
        <v>0.9996383896868708</v>
      </c>
      <c r="N129" s="55">
        <f t="shared" si="59"/>
        <v>7.3509583049034007E-8</v>
      </c>
      <c r="O129" s="56">
        <f t="shared" si="60"/>
        <v>1.0005360903352925E-6</v>
      </c>
      <c r="P129" s="56">
        <f t="shared" si="61"/>
        <v>8.9102740619783102E-7</v>
      </c>
      <c r="Q129" s="56">
        <f t="shared" si="62"/>
        <v>5.3273998797270303E-9</v>
      </c>
      <c r="R129" s="9">
        <f t="shared" si="44"/>
        <v>3.9999999999999996E-5</v>
      </c>
      <c r="S129" s="9">
        <f t="shared" si="45"/>
        <v>1.4464412525167556E-8</v>
      </c>
      <c r="T129" s="9">
        <f t="shared" si="40"/>
        <v>3.9984478807224225E-5</v>
      </c>
      <c r="U129" s="9">
        <f t="shared" si="41"/>
        <v>3.9985535587474826E-5</v>
      </c>
      <c r="V129" s="100">
        <f t="shared" si="46"/>
        <v>0.99997357093671302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252</v>
      </c>
      <c r="C130" s="46" t="s">
        <v>253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1.4101942356343717</v>
      </c>
      <c r="K130" s="55">
        <f t="shared" si="56"/>
        <v>0.91368145945877</v>
      </c>
      <c r="L130" s="55">
        <f t="shared" si="57"/>
        <v>9.5442125885767063E-3</v>
      </c>
      <c r="M130" s="55">
        <f t="shared" si="58"/>
        <v>0.99045578741142326</v>
      </c>
      <c r="N130" s="55">
        <f t="shared" si="59"/>
        <v>4.9406262945849771E-3</v>
      </c>
      <c r="O130" s="56">
        <f t="shared" si="60"/>
        <v>9.1452613867114183E-7</v>
      </c>
      <c r="P130" s="56">
        <f t="shared" si="61"/>
        <v>2.3517456992334164E-5</v>
      </c>
      <c r="Q130" s="56">
        <f t="shared" si="62"/>
        <v>3.5805796789775284E-4</v>
      </c>
      <c r="R130" s="9">
        <f t="shared" si="44"/>
        <v>3.9999999999999996E-5</v>
      </c>
      <c r="S130" s="9">
        <f t="shared" si="45"/>
        <v>3.8176850354306822E-7</v>
      </c>
      <c r="T130" s="9">
        <f t="shared" si="40"/>
        <v>3.65472583783508E-5</v>
      </c>
      <c r="U130" s="9">
        <f t="shared" si="41"/>
        <v>3.9618231496456925E-5</v>
      </c>
      <c r="V130" s="100">
        <f t="shared" si="46"/>
        <v>0.92248586062250737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254</v>
      </c>
      <c r="C131" s="46" t="s">
        <v>255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8.1668514409574067E-2</v>
      </c>
      <c r="K131" s="55">
        <f t="shared" si="56"/>
        <v>0.9978841153887853</v>
      </c>
      <c r="L131" s="55">
        <f t="shared" si="57"/>
        <v>4.892149049700599E-4</v>
      </c>
      <c r="M131" s="55">
        <f t="shared" si="58"/>
        <v>0.99951078509502989</v>
      </c>
      <c r="N131" s="55">
        <f t="shared" si="59"/>
        <v>2.4581595360361624E-5</v>
      </c>
      <c r="O131" s="56">
        <f t="shared" si="60"/>
        <v>9.9880663817820939E-7</v>
      </c>
      <c r="P131" s="56">
        <f t="shared" si="61"/>
        <v>1.2054520350282703E-6</v>
      </c>
      <c r="Q131" s="56">
        <f t="shared" si="62"/>
        <v>1.7814818522223947E-6</v>
      </c>
      <c r="R131" s="9">
        <f t="shared" si="44"/>
        <v>3.9999999999999996E-5</v>
      </c>
      <c r="S131" s="9">
        <f t="shared" si="45"/>
        <v>1.9568596198802393E-8</v>
      </c>
      <c r="T131" s="9">
        <f t="shared" si="40"/>
        <v>3.9915364615551408E-5</v>
      </c>
      <c r="U131" s="9">
        <f t="shared" si="41"/>
        <v>3.9980431403801191E-5</v>
      </c>
      <c r="V131" s="100">
        <f t="shared" si="46"/>
        <v>0.99837253411318627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256</v>
      </c>
      <c r="C132" s="46" t="s">
        <v>257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0.25241061974320167</v>
      </c>
      <c r="K132" s="55">
        <f t="shared" si="56"/>
        <v>0.9950189007294914</v>
      </c>
      <c r="L132" s="55">
        <f t="shared" si="57"/>
        <v>7.2275816491801923E-4</v>
      </c>
      <c r="M132" s="55">
        <f t="shared" si="58"/>
        <v>0.99927724183508193</v>
      </c>
      <c r="N132" s="55">
        <f t="shared" si="59"/>
        <v>9.4012904800354235E-5</v>
      </c>
      <c r="O132" s="56">
        <f t="shared" si="60"/>
        <v>9.9593877468847633E-7</v>
      </c>
      <c r="P132" s="56">
        <f t="shared" si="61"/>
        <v>1.7809152825935377E-6</v>
      </c>
      <c r="Q132" s="56">
        <f t="shared" si="62"/>
        <v>6.8133203448060854E-6</v>
      </c>
      <c r="R132" s="9">
        <f t="shared" si="44"/>
        <v>3.9999999999999996E-5</v>
      </c>
      <c r="S132" s="9">
        <f t="shared" si="45"/>
        <v>2.8910326596720765E-8</v>
      </c>
      <c r="T132" s="9">
        <f t="shared" si="40"/>
        <v>3.9800756029179655E-5</v>
      </c>
      <c r="U132" s="9">
        <f t="shared" si="41"/>
        <v>3.9971089673403273E-5</v>
      </c>
      <c r="V132" s="100">
        <f t="shared" si="46"/>
        <v>0.99573857891752793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258</v>
      </c>
      <c r="C133" s="46" t="s">
        <v>259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2.3273007533067842</v>
      </c>
      <c r="K133" s="55">
        <f t="shared" si="56"/>
        <v>0.61354662302414142</v>
      </c>
      <c r="L133" s="55">
        <f t="shared" si="57"/>
        <v>5.295407421918305E-2</v>
      </c>
      <c r="M133" s="55">
        <f t="shared" si="58"/>
        <v>0.94704592578081692</v>
      </c>
      <c r="N133" s="55">
        <f t="shared" si="59"/>
        <v>3.7072048877932862E-2</v>
      </c>
      <c r="O133" s="56">
        <f t="shared" si="60"/>
        <v>6.141138339190593E-7</v>
      </c>
      <c r="P133" s="56">
        <f t="shared" si="61"/>
        <v>1.3048170830866026E-4</v>
      </c>
      <c r="Q133" s="56">
        <f t="shared" si="62"/>
        <v>2.6866922725135691E-3</v>
      </c>
      <c r="R133" s="9">
        <f t="shared" si="44"/>
        <v>3.9999999999999996E-5</v>
      </c>
      <c r="S133" s="9">
        <f t="shared" si="45"/>
        <v>2.1181629687673219E-6</v>
      </c>
      <c r="T133" s="9">
        <f t="shared" si="40"/>
        <v>2.4541864920965653E-5</v>
      </c>
      <c r="U133" s="9">
        <f t="shared" si="41"/>
        <v>3.7881837031232675E-5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260</v>
      </c>
      <c r="C134" s="46" t="s">
        <v>261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-5.1870629923213132E-2</v>
      </c>
      <c r="K134" s="55">
        <f t="shared" si="56"/>
        <v>0.99963130279122392</v>
      </c>
      <c r="L134" s="55">
        <f t="shared" si="57"/>
        <v>3.6034647147725599E-4</v>
      </c>
      <c r="M134" s="55">
        <f t="shared" si="58"/>
        <v>0.9996396535285228</v>
      </c>
      <c r="N134" s="55">
        <f t="shared" si="59"/>
        <v>1.4342039041105508E-8</v>
      </c>
      <c r="O134" s="56">
        <f t="shared" si="60"/>
        <v>1.0005554408185012E-6</v>
      </c>
      <c r="P134" s="56">
        <f t="shared" si="61"/>
        <v>8.8791323188343825E-7</v>
      </c>
      <c r="Q134" s="56">
        <f t="shared" si="62"/>
        <v>1.0393988632973196E-9</v>
      </c>
      <c r="R134" s="9">
        <f t="shared" si="44"/>
        <v>3.9999999999999996E-5</v>
      </c>
      <c r="S134" s="9">
        <f t="shared" si="45"/>
        <v>1.4413858859090238E-8</v>
      </c>
      <c r="T134" s="9">
        <f t="shared" si="40"/>
        <v>3.9985252111648951E-5</v>
      </c>
      <c r="U134" s="9">
        <f t="shared" si="41"/>
        <v>3.9985586141140911E-5</v>
      </c>
      <c r="V134" s="100">
        <f t="shared" si="46"/>
        <v>0.99999164625245762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262</v>
      </c>
      <c r="C135" s="46" t="s">
        <v>263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0.38919526721212155</v>
      </c>
      <c r="K135" s="55">
        <f t="shared" ref="K135:K143" si="65">IF(D135=0,"",1/(1+10^D135*$J$15/$J$14+10^E135*$J$16/$J$14+10^J135*$J$19/$J$14))</f>
        <v>0.99196891456302938</v>
      </c>
      <c r="L135" s="55">
        <f t="shared" ref="L135:L143" si="66">IF(D135=0,"",1/(1+10^I135/10^J135*$J$13/$J$19))</f>
        <v>9.8728920040388286E-4</v>
      </c>
      <c r="M135" s="55">
        <f t="shared" ref="M135:M143" si="67">IF(D135=0,"",1-L135)</f>
        <v>0.99901271079959608</v>
      </c>
      <c r="N135" s="55">
        <f t="shared" ref="N135:N143" si="68">IF(D135=0,"",1/(1/10^E135*$J$20/$J$22+10^D135/10^E135*$J$21/$J$22+10^I135/10^E135*$J$13/$J$22+1))</f>
        <v>1.8881916315621145E-4</v>
      </c>
      <c r="O135" s="56">
        <f t="shared" ref="O135:O143" si="69">IF(D135=0,"",F135*K135*$J$7/$J$14)</f>
        <v>9.9288596887421866E-7</v>
      </c>
      <c r="P135" s="56">
        <f t="shared" ref="P135:P143" si="70">IF(D135=0,"",O135*10^J135)</f>
        <v>2.4327340882247462E-6</v>
      </c>
      <c r="Q135" s="56">
        <f t="shared" ref="Q135:Q143" si="71">IF(D135=0,"",F135*N135*$J$7/$J$22)</f>
        <v>1.3684136752858081E-5</v>
      </c>
      <c r="R135" s="9">
        <f t="shared" si="44"/>
        <v>3.9999999999999996E-5</v>
      </c>
      <c r="S135" s="9">
        <f t="shared" si="45"/>
        <v>3.9491568016155309E-8</v>
      </c>
      <c r="T135" s="9">
        <f t="shared" si="40"/>
        <v>3.967875658252117E-5</v>
      </c>
      <c r="U135" s="9">
        <f t="shared" si="41"/>
        <v>3.9960508431983842E-5</v>
      </c>
      <c r="V135" s="100">
        <f t="shared" si="46"/>
        <v>0.99294924262682405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264</v>
      </c>
      <c r="C136" s="46" t="s">
        <v>265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-2.3506255526432422E-2</v>
      </c>
      <c r="K136" s="55">
        <f t="shared" si="65"/>
        <v>0.99927986339106523</v>
      </c>
      <c r="L136" s="55">
        <f t="shared" si="66"/>
        <v>3.8453151309080424E-4</v>
      </c>
      <c r="M136" s="55">
        <f t="shared" si="67"/>
        <v>0.99961546848690919</v>
      </c>
      <c r="N136" s="55">
        <f t="shared" si="68"/>
        <v>2.6777880521091091E-6</v>
      </c>
      <c r="O136" s="56">
        <f t="shared" si="69"/>
        <v>1.0002036765200394E-6</v>
      </c>
      <c r="P136" s="56">
        <f t="shared" si="70"/>
        <v>9.4750648493871722E-7</v>
      </c>
      <c r="Q136" s="56">
        <f t="shared" si="71"/>
        <v>1.9406514300624936E-7</v>
      </c>
      <c r="R136" s="9">
        <f t="shared" si="44"/>
        <v>3.9999999999999996E-5</v>
      </c>
      <c r="S136" s="9">
        <f t="shared" si="45"/>
        <v>1.5381260523632169E-8</v>
      </c>
      <c r="T136" s="9">
        <f t="shared" si="40"/>
        <v>3.9971194535642607E-5</v>
      </c>
      <c r="U136" s="9">
        <f t="shared" si="41"/>
        <v>3.9984618739476364E-5</v>
      </c>
      <c r="V136" s="100">
        <f t="shared" si="46"/>
        <v>0.99966426580377754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266</v>
      </c>
      <c r="C137" s="46" t="s">
        <v>267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-5.2491799925329249E-2</v>
      </c>
      <c r="K137" s="55">
        <f t="shared" si="65"/>
        <v>0.99963926115646762</v>
      </c>
      <c r="L137" s="55">
        <f t="shared" si="66"/>
        <v>3.5983430221661681E-4</v>
      </c>
      <c r="M137" s="55">
        <f t="shared" si="67"/>
        <v>0.99964016569778336</v>
      </c>
      <c r="N137" s="55">
        <f t="shared" si="68"/>
        <v>6.098477330720868E-10</v>
      </c>
      <c r="O137" s="56">
        <f t="shared" si="69"/>
        <v>1.0005634065410855E-6</v>
      </c>
      <c r="P137" s="56">
        <f t="shared" si="70"/>
        <v>8.8665121907220934E-7</v>
      </c>
      <c r="Q137" s="56">
        <f t="shared" si="71"/>
        <v>4.419699588899698E-11</v>
      </c>
      <c r="R137" s="9">
        <f t="shared" si="44"/>
        <v>3.9999999999999996E-5</v>
      </c>
      <c r="S137" s="9">
        <f t="shared" si="45"/>
        <v>1.4393372088664671E-8</v>
      </c>
      <c r="T137" s="9">
        <f t="shared" si="40"/>
        <v>3.9985570446258702E-5</v>
      </c>
      <c r="U137" s="9">
        <f t="shared" si="41"/>
        <v>3.9985606627911333E-5</v>
      </c>
      <c r="V137" s="100">
        <f t="shared" si="46"/>
        <v>0.99999909513308216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268</v>
      </c>
      <c r="C138" s="46" t="s">
        <v>269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-2.673173603765E-2</v>
      </c>
      <c r="K138" s="55">
        <f t="shared" si="65"/>
        <v>0.99931982294456168</v>
      </c>
      <c r="L138" s="55">
        <f t="shared" si="66"/>
        <v>3.8170146140535584E-4</v>
      </c>
      <c r="M138" s="55">
        <f t="shared" si="67"/>
        <v>0.99961829853859463</v>
      </c>
      <c r="N138" s="55">
        <f t="shared" si="68"/>
        <v>2.269783623944395E-6</v>
      </c>
      <c r="O138" s="56">
        <f t="shared" si="69"/>
        <v>1.000243673015299E-6</v>
      </c>
      <c r="P138" s="56">
        <f t="shared" si="70"/>
        <v>9.4053308423321801E-7</v>
      </c>
      <c r="Q138" s="56">
        <f t="shared" si="71"/>
        <v>1.6449617184118493E-7</v>
      </c>
      <c r="R138" s="9">
        <f t="shared" si="44"/>
        <v>3.9999999999999996E-5</v>
      </c>
      <c r="S138" s="9">
        <f t="shared" si="45"/>
        <v>1.5268058456214232E-8</v>
      </c>
      <c r="T138" s="9">
        <f t="shared" si="40"/>
        <v>3.9972792917782461E-5</v>
      </c>
      <c r="U138" s="9">
        <f t="shared" si="41"/>
        <v>3.9984731941543781E-5</v>
      </c>
      <c r="V138" s="100">
        <f t="shared" si="46"/>
        <v>0.99970141043389327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270</v>
      </c>
      <c r="C139" s="46" t="s">
        <v>271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0.29014500901604634</v>
      </c>
      <c r="K139" s="55">
        <f t="shared" si="65"/>
        <v>0.99385809231979083</v>
      </c>
      <c r="L139" s="55">
        <f t="shared" si="66"/>
        <v>7.8744538789783788E-4</v>
      </c>
      <c r="M139" s="55">
        <f t="shared" si="67"/>
        <v>0.99921255461210212</v>
      </c>
      <c r="N139" s="55">
        <f t="shared" si="68"/>
        <v>8.2871719805247416E-5</v>
      </c>
      <c r="O139" s="56">
        <f t="shared" si="69"/>
        <v>9.9477689313591715E-7</v>
      </c>
      <c r="P139" s="56">
        <f t="shared" si="70"/>
        <v>1.9403081052347899E-6</v>
      </c>
      <c r="Q139" s="56">
        <f t="shared" si="71"/>
        <v>6.0058943584097628E-6</v>
      </c>
      <c r="R139" s="9">
        <f t="shared" si="44"/>
        <v>3.9999999999999996E-5</v>
      </c>
      <c r="S139" s="9">
        <f t="shared" si="45"/>
        <v>3.1497815515913513E-8</v>
      </c>
      <c r="T139" s="9">
        <f t="shared" si="40"/>
        <v>3.9754323692791632E-5</v>
      </c>
      <c r="U139" s="9">
        <f t="shared" si="41"/>
        <v>3.9968502184484082E-5</v>
      </c>
      <c r="V139" s="100">
        <f t="shared" si="46"/>
        <v>0.9946413180382927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272</v>
      </c>
      <c r="C140" s="46" t="s">
        <v>273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-5.199944305503898E-2</v>
      </c>
      <c r="K140" s="55">
        <f t="shared" si="65"/>
        <v>0.99963294508761691</v>
      </c>
      <c r="L140" s="55">
        <f t="shared" si="66"/>
        <v>3.602401992490559E-4</v>
      </c>
      <c r="M140" s="55">
        <f t="shared" si="67"/>
        <v>0.99963975980075093</v>
      </c>
      <c r="N140" s="55">
        <f t="shared" si="68"/>
        <v>1.07466502421538E-8</v>
      </c>
      <c r="O140" s="56">
        <f t="shared" si="69"/>
        <v>1.0005570846331624E-6</v>
      </c>
      <c r="P140" s="56">
        <f t="shared" si="70"/>
        <v>8.876513713545594E-7</v>
      </c>
      <c r="Q140" s="56">
        <f t="shared" si="71"/>
        <v>7.7883319198436093E-10</v>
      </c>
      <c r="R140" s="9">
        <f t="shared" si="44"/>
        <v>3.9999999999999996E-5</v>
      </c>
      <c r="S140" s="9">
        <f t="shared" si="45"/>
        <v>1.4409607969962235E-8</v>
      </c>
      <c r="T140" s="9">
        <f t="shared" si="40"/>
        <v>3.9985317803504674E-5</v>
      </c>
      <c r="U140" s="9">
        <f t="shared" si="41"/>
        <v>3.9985590392030034E-5</v>
      </c>
      <c r="V140" s="100">
        <f t="shared" si="46"/>
        <v>0.99999318283104766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274</v>
      </c>
      <c r="C141" s="46" t="s">
        <v>275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-5.1143990989195053E-2</v>
      </c>
      <c r="K141" s="55">
        <f t="shared" si="65"/>
        <v>0.99962208466490032</v>
      </c>
      <c r="L141" s="55">
        <f t="shared" si="66"/>
        <v>3.6094656060103397E-4</v>
      </c>
      <c r="M141" s="55">
        <f t="shared" si="67"/>
        <v>0.99963905343939896</v>
      </c>
      <c r="N141" s="55">
        <f t="shared" si="68"/>
        <v>3.9231144225390096E-8</v>
      </c>
      <c r="O141" s="56">
        <f t="shared" si="69"/>
        <v>1.0005462141702146E-6</v>
      </c>
      <c r="P141" s="56">
        <f t="shared" si="70"/>
        <v>8.8939188400157157E-7</v>
      </c>
      <c r="Q141" s="56">
        <f t="shared" si="71"/>
        <v>2.8431666234385406E-9</v>
      </c>
      <c r="R141" s="9">
        <f t="shared" si="44"/>
        <v>3.9999999999999996E-5</v>
      </c>
      <c r="S141" s="9">
        <f t="shared" si="45"/>
        <v>1.4437862424041358E-8</v>
      </c>
      <c r="T141" s="9">
        <f t="shared" si="40"/>
        <v>3.9984883386596013E-5</v>
      </c>
      <c r="U141" s="9">
        <f t="shared" si="41"/>
        <v>3.9985562137575953E-5</v>
      </c>
      <c r="V141" s="100">
        <f t="shared" si="46"/>
        <v>0.99998302509846904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276</v>
      </c>
      <c r="C142" s="46" t="s">
        <v>277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1.6018454782426608</v>
      </c>
      <c r="K142" s="55">
        <f t="shared" si="65"/>
        <v>0.87625515553335431</v>
      </c>
      <c r="L142" s="55">
        <f t="shared" si="66"/>
        <v>1.4230728099279298E-2</v>
      </c>
      <c r="M142" s="55">
        <f t="shared" si="67"/>
        <v>0.98576927190072072</v>
      </c>
      <c r="N142" s="55">
        <f t="shared" si="68"/>
        <v>7.9939815218087514E-3</v>
      </c>
      <c r="O142" s="56">
        <f t="shared" si="69"/>
        <v>8.7706523491818851E-7</v>
      </c>
      <c r="P142" s="56">
        <f t="shared" si="70"/>
        <v>3.5065285159821697E-5</v>
      </c>
      <c r="Q142" s="56">
        <f t="shared" si="71"/>
        <v>5.7934128356321407E-4</v>
      </c>
      <c r="R142" s="9">
        <f t="shared" si="44"/>
        <v>3.9999999999999996E-5</v>
      </c>
      <c r="S142" s="9">
        <f t="shared" si="45"/>
        <v>5.6922912397117184E-7</v>
      </c>
      <c r="T142" s="9">
        <f t="shared" si="40"/>
        <v>3.505020622133417E-5</v>
      </c>
      <c r="U142" s="9">
        <f t="shared" si="41"/>
        <v>3.9430770876028823E-5</v>
      </c>
      <c r="V142" s="100">
        <f t="shared" si="46"/>
        <v>0.88890491975246333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278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2.3908284615882098</v>
      </c>
      <c r="K143" s="55">
        <f t="shared" si="65"/>
        <v>0.39984307025892579</v>
      </c>
      <c r="L143" s="55">
        <f t="shared" si="66"/>
        <v>3.9945613130363551E-2</v>
      </c>
      <c r="M143" s="55">
        <f t="shared" si="67"/>
        <v>0.9600543868696364</v>
      </c>
      <c r="N143" s="55">
        <f t="shared" si="68"/>
        <v>2.3276599256186526E-3</v>
      </c>
      <c r="O143" s="56">
        <f t="shared" si="69"/>
        <v>4.0021271673271845E-7</v>
      </c>
      <c r="P143" s="56">
        <f t="shared" si="70"/>
        <v>9.8428155293828768E-5</v>
      </c>
      <c r="Q143" s="56">
        <f t="shared" si="71"/>
        <v>1.6869059370823344E-4</v>
      </c>
      <c r="R143" s="9">
        <f t="shared" si="44"/>
        <v>3.9999999999999996E-5</v>
      </c>
      <c r="S143" s="9">
        <f t="shared" si="45"/>
        <v>1.5978245252145419E-6</v>
      </c>
      <c r="T143" s="9">
        <f t="shared" si="40"/>
        <v>1.599372281035703E-5</v>
      </c>
      <c r="U143" s="9">
        <f t="shared" si="41"/>
        <v>3.8402175474785455E-5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2025-02-02T15:03:30Z</dcterms:modified>
</cp:coreProperties>
</file>