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444FEA7C-483F-4CCC-AC87-AF687C471E8C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U131" i="4"/>
  <c r="T131" i="4"/>
  <c r="R131" i="4"/>
  <c r="S131" i="4" s="1"/>
  <c r="V130" i="4"/>
  <c r="R130" i="4"/>
  <c r="U130" i="4" s="1"/>
  <c r="V127" i="4"/>
  <c r="U127" i="4"/>
  <c r="R127" i="4"/>
  <c r="T127" i="4" s="1"/>
  <c r="V126" i="4"/>
  <c r="R126" i="4"/>
  <c r="U126" i="4" s="1"/>
  <c r="V124" i="4"/>
  <c r="U124" i="4"/>
  <c r="T124" i="4"/>
  <c r="S124" i="4"/>
  <c r="R124" i="4"/>
  <c r="V121" i="4"/>
  <c r="U121" i="4"/>
  <c r="R121" i="4"/>
  <c r="T121" i="4" s="1"/>
  <c r="V120" i="4"/>
  <c r="R120" i="4"/>
  <c r="U120" i="4" s="1"/>
  <c r="V119" i="4"/>
  <c r="U119" i="4"/>
  <c r="T119" i="4"/>
  <c r="S119" i="4"/>
  <c r="R119" i="4"/>
  <c r="V116" i="4"/>
  <c r="R116" i="4"/>
  <c r="U116" i="4" s="1"/>
  <c r="V115" i="4"/>
  <c r="U115" i="4"/>
  <c r="T115" i="4"/>
  <c r="R115" i="4"/>
  <c r="S115" i="4" s="1"/>
  <c r="V114" i="4"/>
  <c r="R114" i="4"/>
  <c r="U114" i="4" s="1"/>
  <c r="V108" i="4"/>
  <c r="R108" i="4"/>
  <c r="V107" i="4"/>
  <c r="U107" i="4"/>
  <c r="T107" i="4"/>
  <c r="R107" i="4"/>
  <c r="S107" i="4" s="1"/>
  <c r="V93" i="4"/>
  <c r="R93" i="4"/>
  <c r="U93" i="4" s="1"/>
  <c r="V92" i="4"/>
  <c r="U92" i="4"/>
  <c r="R92" i="4"/>
  <c r="T92" i="4" s="1"/>
  <c r="V91" i="4"/>
  <c r="R91" i="4"/>
  <c r="S91" i="4" s="1"/>
  <c r="V90" i="4"/>
  <c r="U90" i="4"/>
  <c r="T90" i="4"/>
  <c r="S90" i="4"/>
  <c r="R90" i="4"/>
  <c r="V89" i="4"/>
  <c r="U89" i="4"/>
  <c r="R89" i="4"/>
  <c r="T89" i="4" s="1"/>
  <c r="V88" i="4"/>
  <c r="R88" i="4"/>
  <c r="U88" i="4" s="1"/>
  <c r="V86" i="4"/>
  <c r="U86" i="4"/>
  <c r="T86" i="4"/>
  <c r="S86" i="4"/>
  <c r="R86" i="4"/>
  <c r="V85" i="4"/>
  <c r="R85" i="4"/>
  <c r="U85" i="4" s="1"/>
  <c r="V84" i="4"/>
  <c r="U84" i="4"/>
  <c r="T84" i="4"/>
  <c r="R84" i="4"/>
  <c r="S84" i="4" s="1"/>
  <c r="V83" i="4"/>
  <c r="R83" i="4"/>
  <c r="U83" i="4" s="1"/>
  <c r="V82" i="4"/>
  <c r="R82" i="4"/>
  <c r="V81" i="4"/>
  <c r="U81" i="4"/>
  <c r="T81" i="4"/>
  <c r="R81" i="4"/>
  <c r="S81" i="4" s="1"/>
  <c r="V80" i="4"/>
  <c r="R80" i="4"/>
  <c r="T80" i="4" s="1"/>
  <c r="V79" i="4"/>
  <c r="U79" i="4"/>
  <c r="R79" i="4"/>
  <c r="T79" i="4" s="1"/>
  <c r="V78" i="4"/>
  <c r="R78" i="4"/>
  <c r="T78" i="4" s="1"/>
  <c r="V77" i="4"/>
  <c r="U77" i="4"/>
  <c r="T77" i="4"/>
  <c r="S77" i="4"/>
  <c r="R77" i="4"/>
  <c r="V76" i="4"/>
  <c r="U76" i="4"/>
  <c r="R76" i="4"/>
  <c r="T76" i="4" s="1"/>
  <c r="V75" i="4"/>
  <c r="R75" i="4"/>
  <c r="V74" i="4"/>
  <c r="U74" i="4"/>
  <c r="T74" i="4"/>
  <c r="S74" i="4"/>
  <c r="R74" i="4"/>
  <c r="V73" i="4"/>
  <c r="R73" i="4"/>
  <c r="U73" i="4" s="1"/>
  <c r="V72" i="4"/>
  <c r="U72" i="4"/>
  <c r="T72" i="4"/>
  <c r="R72" i="4"/>
  <c r="S72" i="4" s="1"/>
  <c r="V71" i="4"/>
  <c r="R71" i="4"/>
  <c r="U71" i="4" s="1"/>
  <c r="V70" i="4"/>
  <c r="S70" i="4"/>
  <c r="R70" i="4"/>
  <c r="V69" i="4"/>
  <c r="U69" i="4"/>
  <c r="T69" i="4"/>
  <c r="R69" i="4"/>
  <c r="S69" i="4" s="1"/>
  <c r="V68" i="4"/>
  <c r="R68" i="4"/>
  <c r="T68" i="4" s="1"/>
  <c r="V65" i="4"/>
  <c r="U65" i="4"/>
  <c r="R65" i="4"/>
  <c r="T65" i="4" s="1"/>
  <c r="V64" i="4"/>
  <c r="R64" i="4"/>
  <c r="S64" i="4" s="1"/>
  <c r="V63" i="4"/>
  <c r="U63" i="4"/>
  <c r="T63" i="4"/>
  <c r="S63" i="4"/>
  <c r="R63" i="4"/>
  <c r="V62" i="4"/>
  <c r="U62" i="4"/>
  <c r="R62" i="4"/>
  <c r="T62" i="4" s="1"/>
  <c r="V61" i="4"/>
  <c r="R61" i="4"/>
  <c r="V60" i="4"/>
  <c r="U60" i="4"/>
  <c r="T60" i="4"/>
  <c r="S60" i="4"/>
  <c r="R60" i="4"/>
  <c r="V58" i="4"/>
  <c r="R58" i="4"/>
  <c r="U58" i="4" s="1"/>
  <c r="V57" i="4"/>
  <c r="U57" i="4"/>
  <c r="T57" i="4"/>
  <c r="R57" i="4"/>
  <c r="S57" i="4" s="1"/>
  <c r="V49" i="4"/>
  <c r="R49" i="4"/>
  <c r="U49" i="4" s="1"/>
  <c r="V48" i="4"/>
  <c r="R48" i="4"/>
  <c r="V47" i="4"/>
  <c r="U47" i="4"/>
  <c r="T47" i="4"/>
  <c r="R47" i="4"/>
  <c r="S47" i="4" s="1"/>
  <c r="V46" i="4"/>
  <c r="R46" i="4"/>
  <c r="U46" i="4" s="1"/>
  <c r="V45" i="4"/>
  <c r="U45" i="4"/>
  <c r="R45" i="4"/>
  <c r="T45" i="4" s="1"/>
  <c r="V44" i="4"/>
  <c r="R44" i="4"/>
  <c r="T44" i="4" s="1"/>
  <c r="V43" i="4"/>
  <c r="U43" i="4"/>
  <c r="T43" i="4"/>
  <c r="S43" i="4"/>
  <c r="R43" i="4"/>
  <c r="V42" i="4"/>
  <c r="U42" i="4"/>
  <c r="R42" i="4"/>
  <c r="T42" i="4" s="1"/>
  <c r="V41" i="4"/>
  <c r="R41" i="4"/>
  <c r="V40" i="4"/>
  <c r="U40" i="4"/>
  <c r="T40" i="4"/>
  <c r="S40" i="4"/>
  <c r="R40" i="4"/>
  <c r="V39" i="4"/>
  <c r="R39" i="4"/>
  <c r="U39" i="4" s="1"/>
  <c r="V38" i="4"/>
  <c r="U38" i="4"/>
  <c r="T38" i="4"/>
  <c r="R38" i="4"/>
  <c r="S38" i="4" s="1"/>
  <c r="V37" i="4"/>
  <c r="R37" i="4"/>
  <c r="U37" i="4" s="1"/>
  <c r="V36" i="4"/>
  <c r="R36" i="4"/>
  <c r="V35" i="4"/>
  <c r="U35" i="4"/>
  <c r="T35" i="4"/>
  <c r="R35" i="4"/>
  <c r="S35" i="4" s="1"/>
  <c r="V34" i="4"/>
  <c r="R34" i="4"/>
  <c r="T34" i="4" s="1"/>
  <c r="V33" i="4"/>
  <c r="U33" i="4"/>
  <c r="R33" i="4"/>
  <c r="T33" i="4" s="1"/>
  <c r="V32" i="4"/>
  <c r="R32" i="4"/>
  <c r="S32" i="4" s="1"/>
  <c r="V31" i="4"/>
  <c r="U31" i="4"/>
  <c r="T31" i="4"/>
  <c r="S31" i="4"/>
  <c r="R31" i="4"/>
  <c r="V30" i="4"/>
  <c r="U30" i="4"/>
  <c r="R30" i="4"/>
  <c r="T30" i="4" s="1"/>
  <c r="V29" i="4"/>
  <c r="R29" i="4"/>
  <c r="V28" i="4"/>
  <c r="U28" i="4"/>
  <c r="T28" i="4"/>
  <c r="S28" i="4"/>
  <c r="R28" i="4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O130" i="4" s="1"/>
  <c r="P130" i="4" s="1"/>
  <c r="L130" i="4"/>
  <c r="M130" i="4"/>
  <c r="N130" i="4"/>
  <c r="Q130" i="4" s="1"/>
  <c r="I131" i="4"/>
  <c r="J131" i="4"/>
  <c r="K131" i="4" s="1"/>
  <c r="O131" i="4" s="1"/>
  <c r="P131" i="4" s="1"/>
  <c r="L131" i="4"/>
  <c r="M131" i="4"/>
  <c r="N131" i="4"/>
  <c r="Q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U29" i="4" l="1"/>
  <c r="T29" i="4"/>
  <c r="S29" i="4"/>
  <c r="U82" i="4"/>
  <c r="T82" i="4"/>
  <c r="S82" i="4"/>
  <c r="U108" i="4"/>
  <c r="T108" i="4"/>
  <c r="S108" i="4"/>
  <c r="U61" i="4"/>
  <c r="T61" i="4"/>
  <c r="S61" i="4"/>
  <c r="U75" i="4"/>
  <c r="T75" i="4"/>
  <c r="S75" i="4"/>
  <c r="U41" i="4"/>
  <c r="T41" i="4"/>
  <c r="S41" i="4"/>
  <c r="T36" i="4"/>
  <c r="U36" i="4"/>
  <c r="S36" i="4"/>
  <c r="U48" i="4"/>
  <c r="T48" i="4"/>
  <c r="S48" i="4"/>
  <c r="U70" i="4"/>
  <c r="T70" i="4"/>
  <c r="S46" i="4"/>
  <c r="U34" i="4"/>
  <c r="U68" i="4"/>
  <c r="U80" i="4"/>
  <c r="S126" i="4"/>
  <c r="T32" i="4"/>
  <c r="T64" i="4"/>
  <c r="T91" i="4"/>
  <c r="T126" i="4"/>
  <c r="S30" i="4"/>
  <c r="U32" i="4"/>
  <c r="T37" i="4"/>
  <c r="S42" i="4"/>
  <c r="U44" i="4"/>
  <c r="T49" i="4"/>
  <c r="S62" i="4"/>
  <c r="U64" i="4"/>
  <c r="T71" i="4"/>
  <c r="S76" i="4"/>
  <c r="U78" i="4"/>
  <c r="T83" i="4"/>
  <c r="S89" i="4"/>
  <c r="U91" i="4"/>
  <c r="T114" i="4"/>
  <c r="S121" i="4"/>
  <c r="S88" i="4"/>
  <c r="S120" i="4"/>
  <c r="S34" i="4"/>
  <c r="S68" i="4"/>
  <c r="S80" i="4"/>
  <c r="T88" i="4"/>
  <c r="S93" i="4"/>
  <c r="T120" i="4"/>
  <c r="S130" i="4"/>
  <c r="S39" i="4"/>
  <c r="T46" i="4"/>
  <c r="S58" i="4"/>
  <c r="S73" i="4"/>
  <c r="S85" i="4"/>
  <c r="T93" i="4"/>
  <c r="S116" i="4"/>
  <c r="T130" i="4"/>
  <c r="T39" i="4"/>
  <c r="S44" i="4"/>
  <c r="T58" i="4"/>
  <c r="T73" i="4"/>
  <c r="S78" i="4"/>
  <c r="T85" i="4"/>
  <c r="T116" i="4"/>
  <c r="S37" i="4"/>
  <c r="S49" i="4"/>
  <c r="S71" i="4"/>
  <c r="S83" i="4"/>
  <c r="S114" i="4"/>
  <c r="S33" i="4"/>
  <c r="S45" i="4"/>
  <c r="S65" i="4"/>
  <c r="S79" i="4"/>
  <c r="S92" i="4"/>
  <c r="S127" i="4"/>
  <c r="O15" i="1" l="1"/>
  <c r="L15" i="1"/>
  <c r="N15" i="1"/>
  <c r="M87" i="4"/>
  <c r="M97" i="4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5" i="4"/>
  <c r="J16" i="4"/>
  <c r="J15" i="4"/>
  <c r="J87" i="4"/>
  <c r="K87" i="4" s="1"/>
  <c r="J122" i="4"/>
  <c r="K122" i="4"/>
  <c r="J117" i="4"/>
  <c r="K117" i="4"/>
  <c r="J120" i="4"/>
  <c r="K120" i="4" s="1"/>
  <c r="O120" i="4" s="1"/>
  <c r="P120" i="4" s="1"/>
  <c r="J101" i="4"/>
  <c r="K101" i="4"/>
  <c r="J86" i="4"/>
  <c r="K86" i="4" s="1"/>
  <c r="J85" i="4"/>
  <c r="K85" i="4" s="1"/>
  <c r="J88" i="4"/>
  <c r="K88" i="4" s="1"/>
  <c r="J119" i="4"/>
  <c r="K119" i="4"/>
  <c r="J72" i="4"/>
  <c r="L72" i="4" s="1"/>
  <c r="K72" i="4"/>
  <c r="J103" i="4"/>
  <c r="K103" i="4"/>
  <c r="J118" i="4"/>
  <c r="K118" i="4"/>
  <c r="J104" i="4"/>
  <c r="K104" i="4"/>
  <c r="J90" i="4"/>
  <c r="K90" i="4" s="1"/>
  <c r="J71" i="4"/>
  <c r="K71" i="4"/>
  <c r="O71" i="4" s="1"/>
  <c r="P71" i="4" s="1"/>
  <c r="J110" i="4"/>
  <c r="K110" i="4"/>
  <c r="J82" i="4"/>
  <c r="K82" i="4"/>
  <c r="J113" i="4"/>
  <c r="K113" i="4"/>
  <c r="J97" i="4"/>
  <c r="K97" i="4"/>
  <c r="J81" i="4"/>
  <c r="K81" i="4" s="1"/>
  <c r="J116" i="4"/>
  <c r="K116" i="4"/>
  <c r="O116" i="4" s="1"/>
  <c r="P116" i="4" s="1"/>
  <c r="J100" i="4"/>
  <c r="K100" i="4"/>
  <c r="O100" i="4"/>
  <c r="J84" i="4"/>
  <c r="K84" i="4" s="1"/>
  <c r="J114" i="4"/>
  <c r="K114" i="4"/>
  <c r="O114" i="4" s="1"/>
  <c r="P114" i="4" s="1"/>
  <c r="J78" i="4"/>
  <c r="K78" i="4" s="1"/>
  <c r="J115" i="4"/>
  <c r="K115" i="4"/>
  <c r="O115" i="4"/>
  <c r="P115" i="4" s="1"/>
  <c r="J99" i="4"/>
  <c r="K99" i="4"/>
  <c r="J83" i="4"/>
  <c r="K83" i="4"/>
  <c r="J102" i="4"/>
  <c r="K102" i="4"/>
  <c r="J74" i="4"/>
  <c r="K74" i="4" s="1"/>
  <c r="J125" i="4"/>
  <c r="K125" i="4"/>
  <c r="J109" i="4"/>
  <c r="K109" i="4"/>
  <c r="J93" i="4"/>
  <c r="K93" i="4"/>
  <c r="J77" i="4"/>
  <c r="K77" i="4"/>
  <c r="J112" i="4"/>
  <c r="K112" i="4"/>
  <c r="J96" i="4"/>
  <c r="K96" i="4" s="1"/>
  <c r="J80" i="4"/>
  <c r="K80" i="4" s="1"/>
  <c r="J106" i="4"/>
  <c r="K106" i="4"/>
  <c r="J127" i="4"/>
  <c r="K127" i="4"/>
  <c r="J111" i="4"/>
  <c r="K111" i="4"/>
  <c r="J95" i="4"/>
  <c r="K95" i="4" s="1"/>
  <c r="J79" i="4"/>
  <c r="K79" i="4" s="1"/>
  <c r="J126" i="4"/>
  <c r="L126" i="4" s="1"/>
  <c r="M126" i="4" s="1"/>
  <c r="K126" i="4"/>
  <c r="O126" i="4" s="1"/>
  <c r="P126" i="4" s="1"/>
  <c r="J94" i="4"/>
  <c r="K94" i="4"/>
  <c r="J121" i="4"/>
  <c r="K121" i="4" s="1"/>
  <c r="O121" i="4" s="1"/>
  <c r="P121" i="4" s="1"/>
  <c r="J105" i="4"/>
  <c r="K105" i="4"/>
  <c r="J89" i="4"/>
  <c r="K89" i="4" s="1"/>
  <c r="J73" i="4"/>
  <c r="K73" i="4" s="1"/>
  <c r="J124" i="4"/>
  <c r="K124" i="4"/>
  <c r="O124" i="4" s="1"/>
  <c r="P124" i="4" s="1"/>
  <c r="J108" i="4"/>
  <c r="K108" i="4"/>
  <c r="J92" i="4"/>
  <c r="L92" i="4" s="1"/>
  <c r="K92" i="4"/>
  <c r="J76" i="4"/>
  <c r="K76" i="4" s="1"/>
  <c r="J98" i="4"/>
  <c r="K98" i="4"/>
  <c r="J123" i="4"/>
  <c r="K123" i="4"/>
  <c r="J107" i="4"/>
  <c r="K107" i="4"/>
  <c r="O107" i="4" s="1"/>
  <c r="P107" i="4" s="1"/>
  <c r="J91" i="4"/>
  <c r="K91" i="4"/>
  <c r="O91" i="4" s="1"/>
  <c r="P91" i="4" s="1"/>
  <c r="J75" i="4"/>
  <c r="K75" i="4"/>
  <c r="P100" i="4"/>
  <c r="O112" i="4"/>
  <c r="P112" i="4"/>
  <c r="O98" i="4"/>
  <c r="P98" i="4"/>
  <c r="O108" i="4"/>
  <c r="P108" i="4"/>
  <c r="O105" i="4"/>
  <c r="P105" i="4"/>
  <c r="O111" i="4"/>
  <c r="P111" i="4"/>
  <c r="O104" i="4"/>
  <c r="P104" i="4"/>
  <c r="O127" i="4"/>
  <c r="P127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3" i="4"/>
  <c r="P113" i="4"/>
  <c r="O103" i="4"/>
  <c r="P103" i="4"/>
  <c r="O119" i="4"/>
  <c r="P119" i="4"/>
  <c r="O122" i="4"/>
  <c r="P122" i="4"/>
  <c r="O123" i="4"/>
  <c r="P123" i="4"/>
  <c r="O94" i="4"/>
  <c r="P94" i="4"/>
  <c r="O125" i="4"/>
  <c r="P125" i="4"/>
  <c r="O99" i="4"/>
  <c r="P99" i="4"/>
  <c r="O101" i="4"/>
  <c r="P101" i="4"/>
  <c r="I76" i="4"/>
  <c r="N76" i="4" s="1"/>
  <c r="Q76" i="4" s="1"/>
  <c r="I77" i="4"/>
  <c r="N77" i="4" s="1"/>
  <c r="Q77" i="4" s="1"/>
  <c r="I81" i="4"/>
  <c r="I89" i="4"/>
  <c r="I90" i="4"/>
  <c r="I96" i="4"/>
  <c r="L96" i="4" s="1"/>
  <c r="I99" i="4"/>
  <c r="I102" i="4"/>
  <c r="I104" i="4"/>
  <c r="I108" i="4"/>
  <c r="N108" i="4" s="1"/>
  <c r="Q108" i="4" s="1"/>
  <c r="I111" i="4"/>
  <c r="I113" i="4"/>
  <c r="I115" i="4"/>
  <c r="N115" i="4" s="1"/>
  <c r="Q115" i="4" s="1"/>
  <c r="I119" i="4"/>
  <c r="N119" i="4" s="1"/>
  <c r="Q119" i="4" s="1"/>
  <c r="I120" i="4"/>
  <c r="I123" i="4"/>
  <c r="I125" i="4"/>
  <c r="I79" i="4"/>
  <c r="I92" i="4"/>
  <c r="N92" i="4" s="1"/>
  <c r="Q92" i="4" s="1"/>
  <c r="I100" i="4"/>
  <c r="I103" i="4"/>
  <c r="I107" i="4"/>
  <c r="L107" i="4" s="1"/>
  <c r="M107" i="4" s="1"/>
  <c r="I109" i="4"/>
  <c r="I110" i="4"/>
  <c r="I117" i="4"/>
  <c r="I124" i="4"/>
  <c r="L124" i="4" s="1"/>
  <c r="M124" i="4" s="1"/>
  <c r="I72" i="4"/>
  <c r="I106" i="4"/>
  <c r="I71" i="4"/>
  <c r="I75" i="4"/>
  <c r="I80" i="4"/>
  <c r="I83" i="4"/>
  <c r="I86" i="4"/>
  <c r="L86" i="4" s="1"/>
  <c r="I88" i="4"/>
  <c r="L88" i="4" s="1"/>
  <c r="I94" i="4"/>
  <c r="I95" i="4"/>
  <c r="I98" i="4"/>
  <c r="I101" i="4"/>
  <c r="I118" i="4"/>
  <c r="I127" i="4"/>
  <c r="L127" i="4" s="1"/>
  <c r="M127" i="4" s="1"/>
  <c r="I73" i="4"/>
  <c r="N73" i="4" s="1"/>
  <c r="Q73" i="4" s="1"/>
  <c r="I74" i="4"/>
  <c r="I78" i="4"/>
  <c r="L78" i="4" s="1"/>
  <c r="I82" i="4"/>
  <c r="I85" i="4"/>
  <c r="N85" i="4" s="1"/>
  <c r="Q85" i="4" s="1"/>
  <c r="I93" i="4"/>
  <c r="N93" i="4" s="1"/>
  <c r="Q93" i="4" s="1"/>
  <c r="I112" i="4"/>
  <c r="I114" i="4"/>
  <c r="I121" i="4"/>
  <c r="L121" i="4" s="1"/>
  <c r="M121" i="4" s="1"/>
  <c r="I122" i="4"/>
  <c r="I84" i="4"/>
  <c r="I87" i="4"/>
  <c r="I91" i="4"/>
  <c r="I97" i="4"/>
  <c r="I105" i="4"/>
  <c r="I116" i="4"/>
  <c r="L116" i="4" s="1"/>
  <c r="M116" i="4" s="1"/>
  <c r="I126" i="4"/>
  <c r="N126" i="4" s="1"/>
  <c r="Q126" i="4" s="1"/>
  <c r="L105" i="4"/>
  <c r="N105" i="4"/>
  <c r="Q105" i="4"/>
  <c r="N121" i="4"/>
  <c r="Q121" i="4"/>
  <c r="N101" i="4"/>
  <c r="Q101" i="4"/>
  <c r="L101" i="4"/>
  <c r="N75" i="4"/>
  <c r="Q75" i="4"/>
  <c r="L106" i="4"/>
  <c r="N106" i="4"/>
  <c r="Q106" i="4"/>
  <c r="N79" i="4"/>
  <c r="Q79" i="4"/>
  <c r="L119" i="4"/>
  <c r="M119" i="4" s="1"/>
  <c r="L97" i="4"/>
  <c r="N97" i="4"/>
  <c r="Q97" i="4"/>
  <c r="N114" i="4"/>
  <c r="Q114" i="4"/>
  <c r="L114" i="4"/>
  <c r="M114" i="4" s="1"/>
  <c r="N98" i="4"/>
  <c r="Q98" i="4"/>
  <c r="L98" i="4"/>
  <c r="N71" i="4"/>
  <c r="Q71" i="4"/>
  <c r="L71" i="4"/>
  <c r="M71" i="4" s="1"/>
  <c r="N72" i="4"/>
  <c r="Q72" i="4"/>
  <c r="N117" i="4"/>
  <c r="Q117" i="4"/>
  <c r="L117" i="4"/>
  <c r="N103" i="4"/>
  <c r="Q103" i="4"/>
  <c r="L103" i="4"/>
  <c r="L125" i="4"/>
  <c r="N125" i="4"/>
  <c r="Q125" i="4"/>
  <c r="L104" i="4"/>
  <c r="N104" i="4"/>
  <c r="Q104" i="4"/>
  <c r="N90" i="4"/>
  <c r="Q90" i="4" s="1"/>
  <c r="N91" i="4"/>
  <c r="Q91" i="4"/>
  <c r="L91" i="4"/>
  <c r="M91" i="4" s="1"/>
  <c r="L112" i="4"/>
  <c r="N112" i="4"/>
  <c r="Q112" i="4"/>
  <c r="N127" i="4"/>
  <c r="Q127" i="4"/>
  <c r="N95" i="4"/>
  <c r="Q95" i="4"/>
  <c r="L95" i="4"/>
  <c r="N83" i="4"/>
  <c r="Q83" i="4" s="1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N87" i="4"/>
  <c r="Q87" i="4" s="1"/>
  <c r="L87" i="4"/>
  <c r="N122" i="4"/>
  <c r="Q122" i="4"/>
  <c r="L122" i="4"/>
  <c r="N74" i="4"/>
  <c r="Q74" i="4"/>
  <c r="N118" i="4"/>
  <c r="Q118" i="4"/>
  <c r="L118" i="4"/>
  <c r="L94" i="4"/>
  <c r="N94" i="4"/>
  <c r="Q94" i="4"/>
  <c r="N109" i="4"/>
  <c r="Q109" i="4"/>
  <c r="L109" i="4"/>
  <c r="N120" i="4"/>
  <c r="Q120" i="4"/>
  <c r="N111" i="4"/>
  <c r="Q111" i="4"/>
  <c r="L111" i="4"/>
  <c r="N99" i="4"/>
  <c r="Q99" i="4"/>
  <c r="L99" i="4"/>
  <c r="L81" i="4"/>
  <c r="N81" i="4"/>
  <c r="Q81" i="4"/>
  <c r="O78" i="4" l="1"/>
  <c r="P78" i="4" s="1"/>
  <c r="O76" i="4"/>
  <c r="P76" i="4" s="1"/>
  <c r="M92" i="4"/>
  <c r="M86" i="4"/>
  <c r="O92" i="4"/>
  <c r="P92" i="4" s="1"/>
  <c r="O80" i="4"/>
  <c r="P80" i="4" s="1"/>
  <c r="L115" i="4"/>
  <c r="M115" i="4" s="1"/>
  <c r="O84" i="4"/>
  <c r="P84" i="4" s="1"/>
  <c r="M72" i="4"/>
  <c r="M81" i="4"/>
  <c r="M95" i="4"/>
  <c r="O79" i="4"/>
  <c r="P79" i="4" s="1"/>
  <c r="O77" i="4"/>
  <c r="P77" i="4" s="1"/>
  <c r="L77" i="4"/>
  <c r="L82" i="4"/>
  <c r="O73" i="4"/>
  <c r="P73" i="4" s="1"/>
  <c r="O93" i="4"/>
  <c r="P93" i="4" s="1"/>
  <c r="O88" i="4"/>
  <c r="P88" i="4" s="1"/>
  <c r="L76" i="4"/>
  <c r="N107" i="4"/>
  <c r="Q107" i="4" s="1"/>
  <c r="L73" i="4"/>
  <c r="M78" i="4"/>
  <c r="L80" i="4"/>
  <c r="O89" i="4"/>
  <c r="P89" i="4" s="1"/>
  <c r="O90" i="4"/>
  <c r="P90" i="4" s="1"/>
  <c r="O85" i="4"/>
  <c r="P85" i="4" s="1"/>
  <c r="M94" i="4"/>
  <c r="N86" i="4"/>
  <c r="Q86" i="4" s="1"/>
  <c r="L85" i="4"/>
  <c r="L74" i="4"/>
  <c r="L75" i="4"/>
  <c r="L79" i="4"/>
  <c r="M96" i="4"/>
  <c r="O81" i="4"/>
  <c r="P81" i="4" s="1"/>
  <c r="O86" i="4"/>
  <c r="P86" i="4" s="1"/>
  <c r="N116" i="4"/>
  <c r="Q116" i="4" s="1"/>
  <c r="L90" i="4"/>
  <c r="L108" i="4"/>
  <c r="M108" i="4" s="1"/>
  <c r="N124" i="4"/>
  <c r="Q124" i="4" s="1"/>
  <c r="O97" i="4"/>
  <c r="P97" i="4" s="1"/>
  <c r="O74" i="4"/>
  <c r="P74" i="4" s="1"/>
  <c r="O72" i="4"/>
  <c r="P72" i="4" s="1"/>
  <c r="M88" i="4"/>
  <c r="O82" i="4"/>
  <c r="P82" i="4" s="1"/>
  <c r="O95" i="4"/>
  <c r="P95" i="4" s="1"/>
  <c r="O87" i="4"/>
  <c r="P87" i="4" s="1"/>
  <c r="L83" i="4"/>
  <c r="L89" i="4"/>
  <c r="O75" i="4"/>
  <c r="P75" i="4" s="1"/>
  <c r="O96" i="4"/>
  <c r="P96" i="4" s="1"/>
  <c r="O83" i="4"/>
  <c r="P83" i="4" s="1"/>
  <c r="L120" i="4"/>
  <c r="M120" i="4" s="1"/>
  <c r="L84" i="4"/>
  <c r="N82" i="4"/>
  <c r="Q82" i="4" s="1"/>
  <c r="N96" i="4"/>
  <c r="Q96" i="4" s="1"/>
  <c r="L93" i="4"/>
  <c r="N88" i="4"/>
  <c r="Q88" i="4" s="1"/>
  <c r="N78" i="4"/>
  <c r="Q78" i="4" s="1"/>
  <c r="N84" i="4"/>
  <c r="Q84" i="4" s="1"/>
  <c r="N80" i="4"/>
  <c r="Q80" i="4" s="1"/>
  <c r="J14" i="4"/>
  <c r="J13" i="4" s="1"/>
  <c r="K16" i="4" s="1"/>
  <c r="M75" i="4" l="1"/>
  <c r="M93" i="4"/>
  <c r="M74" i="4"/>
  <c r="M85" i="4"/>
  <c r="M89" i="4"/>
  <c r="M80" i="4"/>
  <c r="M84" i="4"/>
  <c r="M83" i="4"/>
  <c r="M79" i="4"/>
  <c r="M90" i="4"/>
  <c r="M73" i="4"/>
  <c r="M82" i="4"/>
  <c r="M76" i="4"/>
  <c r="M77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64" i="4" l="1"/>
  <c r="O64" i="4"/>
  <c r="P64" i="4" s="1"/>
  <c r="M69" i="4"/>
  <c r="M58" i="4"/>
  <c r="O69" i="4"/>
  <c r="P69" i="4" s="1"/>
  <c r="M57" i="4"/>
  <c r="O67" i="4"/>
  <c r="P67" i="4" s="1"/>
  <c r="M67" i="4"/>
  <c r="M68" i="4"/>
  <c r="O68" i="4"/>
  <c r="P68" i="4" s="1"/>
  <c r="O65" i="4"/>
  <c r="P65" i="4" s="1"/>
  <c r="M65" i="4"/>
  <c r="O66" i="4"/>
  <c r="P66" i="4" s="1"/>
  <c r="M66" i="4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L45" i="4" s="1"/>
  <c r="J30" i="4"/>
  <c r="K30" i="4" s="1"/>
  <c r="J43" i="4"/>
  <c r="L43" i="4" s="1"/>
  <c r="J31" i="4"/>
  <c r="J44" i="4"/>
  <c r="L44" i="4" s="1"/>
  <c r="J36" i="4"/>
  <c r="L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7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O48" i="4" l="1"/>
  <c r="P48" i="4" s="1"/>
  <c r="M48" i="4"/>
  <c r="L30" i="4"/>
  <c r="O49" i="4"/>
  <c r="P49" i="4" s="1"/>
  <c r="M49" i="4"/>
  <c r="O47" i="4"/>
  <c r="P47" i="4" s="1"/>
  <c r="M47" i="4"/>
  <c r="M31" i="4"/>
  <c r="O31" i="4"/>
  <c r="P31" i="4" s="1"/>
  <c r="O35" i="4"/>
  <c r="P35" i="4" s="1"/>
  <c r="O46" i="4"/>
  <c r="P46" i="4" s="1"/>
  <c r="M43" i="4"/>
  <c r="K43" i="4"/>
  <c r="O41" i="4"/>
  <c r="P41" i="4" s="1"/>
  <c r="O39" i="4"/>
  <c r="P39" i="4" s="1"/>
  <c r="M39" i="4"/>
  <c r="O33" i="4"/>
  <c r="P33" i="4" s="1"/>
  <c r="O28" i="4"/>
  <c r="P28" i="4" s="1"/>
  <c r="O30" i="4"/>
  <c r="P30" i="4" s="1"/>
  <c r="M44" i="4"/>
  <c r="L35" i="4"/>
  <c r="M45" i="4"/>
  <c r="K45" i="4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6" i="4"/>
  <c r="K40" i="4"/>
  <c r="K32" i="4"/>
  <c r="L28" i="4"/>
  <c r="M30" i="4" l="1"/>
  <c r="M41" i="4"/>
  <c r="M46" i="4"/>
  <c r="O44" i="4"/>
  <c r="P44" i="4" s="1"/>
  <c r="O43" i="4"/>
  <c r="P43" i="4" s="1"/>
  <c r="O29" i="4"/>
  <c r="P29" i="4" s="1"/>
  <c r="O32" i="4"/>
  <c r="P32" i="4" s="1"/>
  <c r="O38" i="4"/>
  <c r="P38" i="4" s="1"/>
  <c r="M35" i="4"/>
  <c r="O40" i="4"/>
  <c r="P40" i="4" s="1"/>
  <c r="M33" i="4"/>
  <c r="O42" i="4"/>
  <c r="P42" i="4" s="1"/>
  <c r="O37" i="4"/>
  <c r="P37" i="4" s="1"/>
  <c r="O36" i="4"/>
  <c r="P36" i="4" s="1"/>
  <c r="O45" i="4"/>
  <c r="P45" i="4" s="1"/>
  <c r="O34" i="4"/>
  <c r="P34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<sst xmlns="http://schemas.openxmlformats.org/spreadsheetml/2006/main" count="318" uniqueCount="293">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</sst>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30</v>
      </c>
      <c r="K17" s="31" t="s">
        <v>79</v>
      </c>
      <c r="L17" s="81">
        <v>2.5693999999999999E-3</v>
      </c>
      <c r="M17" s="81">
        <v>2.32E-4</v>
      </c>
      <c r="N17" s="81">
        <v>9.8599999999999998E-5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6" zoomScale="70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40.016240000000003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39.993668640000003</v>
      </c>
      <c r="K8" s="39">
        <f>J8/J7</f>
        <v>0.99943594500632738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2.0499199999999999E-2</v>
      </c>
      <c r="K9" s="39">
        <f>J9/J7</f>
        <v>5.1227201756087022E-4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2.07216E-3</v>
      </c>
      <c r="K10" s="39">
        <f>J10/J7</f>
        <v>5.1782976111698644E-5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40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39.979280000000003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1.9199999999999998E-2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1.5200000000000001E-3</v>
      </c>
      <c r="K16" s="39">
        <f>J16/J13</f>
        <v>3.8000000000000002E-5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1.6239999999999997E-2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1.4388639999999999E-2</v>
      </c>
      <c r="K20" s="39">
        <f>J20/J19</f>
        <v>0.88600000000000012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1.2991999999999999E-3</v>
      </c>
      <c r="K21" s="39">
        <f>J21/J19</f>
        <v>0.08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5.5215999999999989E-4</v>
      </c>
      <c r="K22" s="39">
        <f>J22/J19</f>
        <v>3.3999999999999996E-2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113</v>
      </c>
      <c r="C28" s="46" t="s">
        <v>114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0.85273188304651748</v>
      </c>
      <c r="K28" s="95">
        <f t="shared" ref="K28:K47" si="3">IF(D28=0,"",1/(1+10^D28*$J$15/$J$14+10^E28*$J$16/$J$14+10^J28*$J$19/$J$14))</f>
        <v>0.97363881236488781</v>
      </c>
      <c r="L28" s="95">
        <f t="shared" ref="L28:L47" si="4">IF(D28=0,"",1/(1+10^I28/10^J28*$J$13/$J$19))</f>
        <v>2.8176095938989183E-3</v>
      </c>
      <c r="M28" s="95">
        <f t="shared" ref="M28:M47" si="5">IF(D28=0,"",1-L28)</f>
        <v>0.99718239040610113</v>
      </c>
      <c r="N28" s="95">
        <f t="shared" ref="N28:N47" si="6">IF(D28=0,"",1/(1/10^E28*$J$20/$J$22+10^D28/10^E28*$J$21/$J$22+10^I28/10^E28*$J$13/$J$22+1))</f>
        <v>1.0741695854306914E-3</v>
      </c>
      <c r="O28" s="40">
        <f t="shared" ref="O28:O47" si="7">IF(D28=0,"",F28*K28*$J$7/$J$14)</f>
        <v>9.7453892088372566E-7</v>
      </c>
      <c r="P28" s="40">
        <f t="shared" ref="P28:P47" si="8">IF(D28=0,"",O28*10^J28)</f>
        <v>6.9427427177193168E-6</v>
      </c>
      <c r="Q28" s="40">
        <f t="shared" ref="Q28:Q47" si="9">IF(D28=0,"",F28*N28*$J$7/$J$22)</f>
        <v>7.7847413668674051E-5</v>
      </c>
      <c r="R28" s="9">
        <f>F28*$C$14</f>
        <v>3.9999999999999996E-5</v>
      </c>
      <c r="S28" s="9">
        <f>$R28*L28</f>
        <v>1.1270438375595672E-7</v>
      </c>
      <c r="T28" s="9">
        <f>R28*K28</f>
        <v>3.8945552494595512E-5</v>
      </c>
      <c r="U28" s="9">
        <f>$R28*M28</f>
        <v>3.9887295616244041E-5</v>
      </c>
      <c r="V28" s="102">
        <f>K28/M28</f>
        <v>0.97638989790862107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115</v>
      </c>
      <c r="C29" s="46" t="s">
        <v>116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4.4419747400947829</v>
      </c>
      <c r="K29" s="95">
        <f t="shared" si="3"/>
        <v>1.5483227433836778E-2</v>
      </c>
      <c r="L29" s="95">
        <f t="shared" si="4"/>
        <v>0.17401524195707169</v>
      </c>
      <c r="M29" s="95">
        <f t="shared" si="5"/>
        <v>0.82598475804292826</v>
      </c>
      <c r="N29" s="95">
        <f t="shared" si="6"/>
        <v>0.14644463524503726</v>
      </c>
      <c r="O29" s="40">
        <f t="shared" si="7"/>
        <v>1.5497541350594524E-8</v>
      </c>
      <c r="P29" s="40">
        <f t="shared" si="8"/>
        <v>4.2878298557957228E-4</v>
      </c>
      <c r="Q29" s="40">
        <f t="shared" si="9"/>
        <v>1.0613162254922252E-2</v>
      </c>
      <c r="R29" s="9">
        <f>F29*$C$14</f>
        <v>3.9999999999999996E-5</v>
      </c>
      <c r="S29" s="9">
        <f t="shared" ref="S29:S49" si="10">$R29*L29</f>
        <v>6.9606096782828671E-6</v>
      </c>
      <c r="T29" s="9">
        <f t="shared" ref="T29:T49" si="11">R29*K29</f>
        <v>6.1932909735347101E-7</v>
      </c>
      <c r="U29" s="9">
        <f t="shared" ref="U29:U49" si="12">$R29*M29</f>
        <v>3.3039390321717127E-5</v>
      </c>
      <c r="V29" s="102">
        <f t="shared" ref="V29:V49" si="13">K29/M29</f>
        <v>1.8745173301408645E-2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117</v>
      </c>
      <c r="C30" s="46" t="s">
        <v>118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7.8384660336474994</v>
      </c>
      <c r="K30" s="95">
        <f t="shared" si="3"/>
        <v>9.0476283557036303E-6</v>
      </c>
      <c r="L30" s="95">
        <f t="shared" si="4"/>
        <v>0.25336804655634698</v>
      </c>
      <c r="M30" s="95">
        <f t="shared" si="5"/>
        <v>0.74663195344365296</v>
      </c>
      <c r="N30" s="95">
        <f t="shared" si="6"/>
        <v>0.24928131470688322</v>
      </c>
      <c r="O30" s="40">
        <f t="shared" si="7"/>
        <v>9.0559926970331091E-12</v>
      </c>
      <c r="P30" s="40">
        <f t="shared" si="8"/>
        <v>6.2431259601785532E-4</v>
      </c>
      <c r="Q30" s="40">
        <f t="shared" si="9"/>
        <v>1.8065960802713291E-2</v>
      </c>
      <c r="R30" s="9">
        <f t="shared" ref="R30:R49" si="14">F30*$C$14</f>
        <v>3.9999999999999996E-5</v>
      </c>
      <c r="S30" s="9">
        <f t="shared" si="10"/>
        <v>1.0134721862253879E-5</v>
      </c>
      <c r="T30" s="9">
        <f t="shared" si="11"/>
        <v>3.6190513422814519E-10</v>
      </c>
      <c r="U30" s="9">
        <f t="shared" si="12"/>
        <v>2.9865278137746117E-5</v>
      </c>
      <c r="V30" s="102">
        <f t="shared" si="13"/>
        <v>1.2117922778383258E-5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111</v>
      </c>
      <c r="C31" s="46" t="s">
        <v>112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2.9309327933636746</v>
      </c>
      <c r="K31" s="95">
        <f t="shared" si="3"/>
        <v>0.3148118780095181</v>
      </c>
      <c r="L31" s="95">
        <f t="shared" si="4"/>
        <v>0.10907744583334188</v>
      </c>
      <c r="M31" s="95">
        <f t="shared" si="5"/>
        <v>0.89092255416665811</v>
      </c>
      <c r="N31" s="95">
        <f t="shared" si="6"/>
        <v>8.6000323241844034E-2</v>
      </c>
      <c r="O31" s="40">
        <f t="shared" si="7"/>
        <v>3.151029149419299E-7</v>
      </c>
      <c r="P31" s="40">
        <f t="shared" si="8"/>
        <v>2.6877273713386764E-4</v>
      </c>
      <c r="Q31" s="40">
        <f t="shared" si="9"/>
        <v>6.2326310759982795E-3</v>
      </c>
      <c r="R31" s="9">
        <f t="shared" si="14"/>
        <v>3.9999999999999996E-5</v>
      </c>
      <c r="S31" s="9">
        <f t="shared" si="10"/>
        <v>4.3630978333336749E-6</v>
      </c>
      <c r="T31" s="9">
        <f t="shared" si="11"/>
        <v>1.2592475120380722E-5</v>
      </c>
      <c r="U31" s="9">
        <f t="shared" si="12"/>
        <v>3.5636902166666319E-5</v>
      </c>
      <c r="V31" s="102">
        <f t="shared" si="13"/>
        <v>0.35335493139915353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119</v>
      </c>
      <c r="C32" s="46" t="s">
        <v>120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2.9114243406645763</v>
      </c>
      <c r="J32" s="94">
        <f t="shared" si="2"/>
        <v>5.6426701080559019</v>
      </c>
      <c r="K32" s="95">
        <f t="shared" si="3"/>
        <v>1.0056981218366911E-3</v>
      </c>
      <c r="L32" s="95">
        <f t="shared" si="4"/>
        <v>0.17942741632743289</v>
      </c>
      <c r="M32" s="95">
        <f t="shared" si="5"/>
        <v>0.82057258367256714</v>
      </c>
      <c r="N32" s="95">
        <f t="shared" si="6"/>
        <v>0.15234830002531155</v>
      </c>
      <c r="O32" s="40">
        <f t="shared" si="7"/>
        <v>1.0066278685100449E-9</v>
      </c>
      <c r="P32" s="40">
        <f t="shared" si="8"/>
        <v>4.4211887649867488E-4</v>
      </c>
      <c r="Q32" s="40">
        <f t="shared" si="9"/>
        <v>1.1041013723205003E-2</v>
      </c>
      <c r="R32" s="9">
        <f t="shared" si="14"/>
        <v>3.9999999999999996E-5</v>
      </c>
      <c r="S32" s="9">
        <f t="shared" si="10"/>
        <v>7.1770966530973147E-6</v>
      </c>
      <c r="T32" s="9">
        <f t="shared" si="11"/>
        <v>4.0227924873467638E-8</v>
      </c>
      <c r="U32" s="9">
        <f t="shared" si="12"/>
        <v>3.2822903346902684E-5</v>
      </c>
      <c r="V32" s="102">
        <f t="shared" si="13"/>
        <v>1.2256053173694559E-3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121</v>
      </c>
      <c r="C33" s="96" t="s">
        <v>122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5.1536383853683807</v>
      </c>
      <c r="K33" s="95">
        <f t="shared" si="3"/>
        <v>2.8537685088869829E-3</v>
      </c>
      <c r="L33" s="95">
        <f t="shared" si="4"/>
        <v>0.16512323292222614</v>
      </c>
      <c r="M33" s="95">
        <f t="shared" si="5"/>
        <v>0.83487676707777392</v>
      </c>
      <c r="N33" s="95">
        <f t="shared" si="6"/>
        <v>0.13373303927670135</v>
      </c>
      <c r="O33" s="40">
        <f t="shared" si="7"/>
        <v>2.8564067576020287E-9</v>
      </c>
      <c r="P33" s="40">
        <f t="shared" si="8"/>
        <v>4.0687259348471115E-4</v>
      </c>
      <c r="Q33" s="40">
        <f t="shared" si="9"/>
        <v>9.6919251586965894E-3</v>
      </c>
      <c r="R33" s="9">
        <f t="shared" si="14"/>
        <v>3.9999999999999996E-5</v>
      </c>
      <c r="S33" s="9">
        <f t="shared" si="10"/>
        <v>6.604929316889045E-6</v>
      </c>
      <c r="T33" s="9">
        <f t="shared" si="11"/>
        <v>1.141507403554793E-7</v>
      </c>
      <c r="U33" s="9">
        <f t="shared" si="12"/>
        <v>3.3395070683110957E-5</v>
      </c>
      <c r="V33" s="102">
        <f t="shared" si="13"/>
        <v>3.4181913084918038E-3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123</v>
      </c>
      <c r="C34" s="46" t="s">
        <v>124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5.1764429441964488</v>
      </c>
      <c r="K34" s="95">
        <f t="shared" si="3"/>
        <v>2.8645336889496736E-3</v>
      </c>
      <c r="L34" s="95">
        <f t="shared" si="4"/>
        <v>0.17468191116947648</v>
      </c>
      <c r="M34" s="95">
        <f t="shared" si="5"/>
        <v>0.82531808883052349</v>
      </c>
      <c r="N34" s="95">
        <f t="shared" si="6"/>
        <v>0.14627560656061181</v>
      </c>
      <c r="O34" s="40">
        <f t="shared" si="7"/>
        <v>2.867181889846328E-9</v>
      </c>
      <c r="P34" s="40">
        <f t="shared" si="8"/>
        <v>4.3042569464387038E-4</v>
      </c>
      <c r="Q34" s="40">
        <f t="shared" si="9"/>
        <v>1.0600912377345367E-2</v>
      </c>
      <c r="R34" s="9">
        <f t="shared" si="14"/>
        <v>3.9999999999999996E-5</v>
      </c>
      <c r="S34" s="9">
        <f t="shared" si="10"/>
        <v>6.9872764467790589E-6</v>
      </c>
      <c r="T34" s="9">
        <f t="shared" si="11"/>
        <v>1.1458134755798694E-7</v>
      </c>
      <c r="U34" s="9">
        <f t="shared" si="12"/>
        <v>3.3012723553220934E-5</v>
      </c>
      <c r="V34" s="102">
        <f t="shared" si="13"/>
        <v>3.4708238286752209E-3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125</v>
      </c>
      <c r="C35" s="46" t="s">
        <v>126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2.0141119248188848</v>
      </c>
      <c r="K35" s="95">
        <f t="shared" si="3"/>
        <v>0.73454808058558752</v>
      </c>
      <c r="L35" s="95">
        <f t="shared" si="4"/>
        <v>3.0823589303651429E-2</v>
      </c>
      <c r="M35" s="95">
        <f t="shared" si="5"/>
        <v>0.96917641069634852</v>
      </c>
      <c r="N35" s="95">
        <f t="shared" si="6"/>
        <v>1.8043808185479262E-2</v>
      </c>
      <c r="O35" s="40">
        <f t="shared" si="7"/>
        <v>7.3522715477247732E-7</v>
      </c>
      <c r="P35" s="40">
        <f t="shared" si="8"/>
        <v>7.5950994287952498E-5</v>
      </c>
      <c r="Q35" s="40">
        <f t="shared" si="9"/>
        <v>1.3076741503624E-3</v>
      </c>
      <c r="R35" s="9">
        <f t="shared" si="14"/>
        <v>3.9999999999999996E-5</v>
      </c>
      <c r="S35" s="9">
        <f t="shared" si="10"/>
        <v>1.232943572146057E-6</v>
      </c>
      <c r="T35" s="9">
        <f t="shared" si="11"/>
        <v>2.9381923223423497E-5</v>
      </c>
      <c r="U35" s="9">
        <f t="shared" si="12"/>
        <v>3.8767056427853936E-5</v>
      </c>
      <c r="V35" s="102">
        <f t="shared" si="13"/>
        <v>0.75790957402462811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8.2839991745411492</v>
      </c>
      <c r="K36" s="95">
        <f t="shared" si="3"/>
        <v>3.2554080011407734E-6</v>
      </c>
      <c r="L36" s="95">
        <f t="shared" si="4"/>
        <v>0.25430544408393602</v>
      </c>
      <c r="M36" s="95">
        <f t="shared" si="5"/>
        <v>0.74569455591606393</v>
      </c>
      <c r="N36" s="95">
        <f t="shared" si="6"/>
        <v>0.25051076892709212</v>
      </c>
      <c r="O36" s="40">
        <f t="shared" si="7"/>
        <v>3.2584175570838055E-12</v>
      </c>
      <c r="P36" s="40">
        <f t="shared" si="8"/>
        <v>6.2662239432077467E-4</v>
      </c>
      <c r="Q36" s="40">
        <f t="shared" si="9"/>
        <v>1.8155062032691724E-2</v>
      </c>
      <c r="R36" s="9">
        <f t="shared" si="14"/>
        <v>3.9999999999999996E-5</v>
      </c>
      <c r="S36" s="9">
        <f t="shared" si="10"/>
        <v>1.0172217763357439E-5</v>
      </c>
      <c r="T36" s="9">
        <f t="shared" si="11"/>
        <v>1.3021632004563091E-10</v>
      </c>
      <c r="U36" s="9">
        <f t="shared" si="12"/>
        <v>2.9827782236642554E-5</v>
      </c>
      <c r="V36" s="102">
        <f t="shared" si="13"/>
        <v>4.365605160066644E-6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127</v>
      </c>
      <c r="C37" s="96" t="s">
        <v>128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3.7332769148114004</v>
      </c>
      <c r="K37" s="95">
        <f t="shared" si="3"/>
        <v>7.023573616624107E-2</v>
      </c>
      <c r="L37" s="95">
        <f t="shared" si="4"/>
        <v>0.15437824873685418</v>
      </c>
      <c r="M37" s="95">
        <f t="shared" si="5"/>
        <v>0.84562175126314587</v>
      </c>
      <c r="N37" s="95">
        <f t="shared" si="6"/>
        <v>0.12520829804491584</v>
      </c>
      <c r="O37" s="40">
        <f t="shared" si="7"/>
        <v>7.0300667620952215E-8</v>
      </c>
      <c r="P37" s="40">
        <f t="shared" si="8"/>
        <v>3.8039637021143212E-4</v>
      </c>
      <c r="Q37" s="40">
        <f t="shared" si="9"/>
        <v>9.0741185608462852E-3</v>
      </c>
      <c r="R37" s="9">
        <f t="shared" si="14"/>
        <v>3.9999999999999996E-5</v>
      </c>
      <c r="S37" s="9">
        <f t="shared" si="10"/>
        <v>6.175129949474167E-6</v>
      </c>
      <c r="T37" s="9">
        <f t="shared" si="11"/>
        <v>2.8094294466496425E-6</v>
      </c>
      <c r="U37" s="9">
        <f t="shared" si="12"/>
        <v>3.3824870050525834E-5</v>
      </c>
      <c r="V37" s="102">
        <f t="shared" si="13"/>
        <v>8.3058100221909584E-2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129</v>
      </c>
      <c r="C38" s="46" t="s">
        <v>130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2.264683445445602</v>
      </c>
      <c r="K38" s="95">
        <f t="shared" si="3"/>
        <v>0.64793976385957885</v>
      </c>
      <c r="L38" s="95">
        <f t="shared" si="4"/>
        <v>4.8413795916514575E-2</v>
      </c>
      <c r="M38" s="95">
        <f t="shared" si="5"/>
        <v>0.95158620408348538</v>
      </c>
      <c r="N38" s="95">
        <f t="shared" si="6"/>
        <v>3.3959681365701058E-2</v>
      </c>
      <c r="O38" s="40">
        <f t="shared" si="7"/>
        <v>6.4853877048681794E-7</v>
      </c>
      <c r="P38" s="40">
        <f t="shared" si="8"/>
        <v>1.1929421654595242E-4</v>
      </c>
      <c r="Q38" s="40">
        <f t="shared" si="9"/>
        <v>2.4611322077901726E-3</v>
      </c>
      <c r="R38" s="9">
        <f t="shared" si="14"/>
        <v>3.9999999999999996E-5</v>
      </c>
      <c r="S38" s="9">
        <f t="shared" si="10"/>
        <v>1.9365518366605828E-6</v>
      </c>
      <c r="T38" s="9">
        <f t="shared" si="11"/>
        <v>2.5917590554383152E-5</v>
      </c>
      <c r="U38" s="9">
        <f t="shared" si="12"/>
        <v>3.8063448163339411E-5</v>
      </c>
      <c r="V38" s="102">
        <f t="shared" si="13"/>
        <v>0.6809049575110625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-1.4473112501902132E-2</v>
      </c>
      <c r="K39" s="95">
        <f t="shared" si="3"/>
        <v>0.9991283148716037</v>
      </c>
      <c r="L39" s="95">
        <f t="shared" si="4"/>
        <v>3.9255382259314396E-4</v>
      </c>
      <c r="M39" s="95">
        <f t="shared" si="5"/>
        <v>0.99960744617740682</v>
      </c>
      <c r="N39" s="95">
        <f t="shared" si="6"/>
        <v>6.6840276889512654E-7</v>
      </c>
      <c r="O39" s="40">
        <f t="shared" si="7"/>
        <v>1.0000519878971722E-6</v>
      </c>
      <c r="P39" s="40">
        <f t="shared" si="8"/>
        <v>9.6727389025890831E-7</v>
      </c>
      <c r="Q39" s="40">
        <f t="shared" si="9"/>
        <v>4.844060710078949E-8</v>
      </c>
      <c r="R39" s="9">
        <f t="shared" si="14"/>
        <v>3.9999999999999996E-5</v>
      </c>
      <c r="S39" s="9">
        <f t="shared" si="10"/>
        <v>1.5702152903725758E-8</v>
      </c>
      <c r="T39" s="9">
        <f t="shared" si="11"/>
        <v>3.9965132594864146E-5</v>
      </c>
      <c r="U39" s="9">
        <f t="shared" si="12"/>
        <v>3.9984297847096273E-5</v>
      </c>
      <c r="V39" s="102">
        <f t="shared" si="13"/>
        <v>0.9995206805355088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131</v>
      </c>
      <c r="C40" s="46" t="s">
        <v>132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2.5205823295230894</v>
      </c>
      <c r="K40" s="95">
        <f t="shared" si="3"/>
        <v>0.45951898339561481</v>
      </c>
      <c r="L40" s="95">
        <f t="shared" si="4"/>
        <v>6.189233155272815E-2</v>
      </c>
      <c r="M40" s="95">
        <f t="shared" si="5"/>
        <v>0.93810766844727189</v>
      </c>
      <c r="N40" s="95">
        <f t="shared" si="6"/>
        <v>3.6059394581976906E-2</v>
      </c>
      <c r="O40" s="40">
        <f t="shared" si="7"/>
        <v>4.599437989907506E-7</v>
      </c>
      <c r="P40" s="40">
        <f t="shared" si="8"/>
        <v>1.5250605871758267E-4</v>
      </c>
      <c r="Q40" s="40">
        <f t="shared" si="9"/>
        <v>2.6133030060980292E-3</v>
      </c>
      <c r="R40" s="9">
        <f t="shared" si="14"/>
        <v>3.9999999999999996E-5</v>
      </c>
      <c r="S40" s="9">
        <f t="shared" si="10"/>
        <v>2.4756932621091256E-6</v>
      </c>
      <c r="T40" s="9">
        <f t="shared" si="11"/>
        <v>1.8380759335824592E-5</v>
      </c>
      <c r="U40" s="9">
        <f t="shared" si="12"/>
        <v>3.7524306737890874E-5</v>
      </c>
      <c r="V40" s="102">
        <f t="shared" si="13"/>
        <v>0.48983608049617272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133</v>
      </c>
      <c r="C41" s="96" t="s">
        <v>134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2.5993109864972253</v>
      </c>
      <c r="K41" s="95">
        <f t="shared" si="3"/>
        <v>0.40965755612929011</v>
      </c>
      <c r="L41" s="95">
        <f t="shared" si="4"/>
        <v>6.6142866543504181E-2</v>
      </c>
      <c r="M41" s="95">
        <f t="shared" si="5"/>
        <v>0.93385713345649579</v>
      </c>
      <c r="N41" s="95">
        <f t="shared" si="6"/>
        <v>3.7512148870553756E-2</v>
      </c>
      <c r="O41" s="40">
        <f t="shared" si="7"/>
        <v>4.1003627588798855E-7</v>
      </c>
      <c r="P41" s="40">
        <f t="shared" si="8"/>
        <v>1.62979607259411E-4</v>
      </c>
      <c r="Q41" s="40">
        <f t="shared" si="9"/>
        <v>2.7185872792665319E-3</v>
      </c>
      <c r="R41" s="9">
        <f t="shared" si="14"/>
        <v>3.9999999999999996E-5</v>
      </c>
      <c r="S41" s="9">
        <f t="shared" si="10"/>
        <v>2.6457146617401671E-6</v>
      </c>
      <c r="T41" s="9">
        <f t="shared" si="11"/>
        <v>1.6386302245171604E-5</v>
      </c>
      <c r="U41" s="9">
        <f t="shared" si="12"/>
        <v>3.7354285338259831E-5</v>
      </c>
      <c r="V41" s="102">
        <f t="shared" si="13"/>
        <v>0.43867262073912744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135</v>
      </c>
      <c r="C42" s="46" t="s">
        <v>136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1.4796577057346774</v>
      </c>
      <c r="J42" s="94">
        <f t="shared" si="2"/>
        <v>4.2280989480409303</v>
      </c>
      <c r="K42" s="95">
        <f t="shared" si="3"/>
        <v>2.698350668865401E-2</v>
      </c>
      <c r="L42" s="95">
        <f t="shared" si="4"/>
        <v>0.18533113820167282</v>
      </c>
      <c r="M42" s="95">
        <f t="shared" si="5"/>
        <v>0.8146688617983272</v>
      </c>
      <c r="N42" s="95">
        <f t="shared" si="6"/>
        <v>0.16224314710582136</v>
      </c>
      <c r="O42" s="40">
        <f t="shared" si="7"/>
        <v>2.7008452370697628E-8</v>
      </c>
      <c r="P42" s="40">
        <f t="shared" si="8"/>
        <v>4.5666596710291346E-4</v>
      </c>
      <c r="Q42" s="40">
        <f t="shared" si="9"/>
        <v>1.1758114881450765E-2</v>
      </c>
      <c r="R42" s="9">
        <f t="shared" si="14"/>
        <v>3.9999999999999996E-5</v>
      </c>
      <c r="S42" s="9">
        <f t="shared" si="10"/>
        <v>7.4132455280669126E-6</v>
      </c>
      <c r="T42" s="9">
        <f t="shared" si="11"/>
        <v>1.0793402675461603E-6</v>
      </c>
      <c r="U42" s="9">
        <f t="shared" si="12"/>
        <v>3.2586754471933086E-5</v>
      </c>
      <c r="V42" s="102">
        <f t="shared" si="13"/>
        <v>3.312205480529809E-2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137</v>
      </c>
      <c r="C43" s="46" t="s">
        <v>138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3.9256295758213415</v>
      </c>
      <c r="K43" s="95">
        <f t="shared" si="3"/>
        <v>4.714721372372141E-2</v>
      </c>
      <c r="L43" s="95">
        <f t="shared" si="4"/>
        <v>0.16137515202154759</v>
      </c>
      <c r="M43" s="95">
        <f t="shared" si="5"/>
        <v>0.83862484797845238</v>
      </c>
      <c r="N43" s="95">
        <f t="shared" si="6"/>
        <v>0.13247898913375941</v>
      </c>
      <c r="O43" s="40">
        <f t="shared" si="7"/>
        <v>4.7190800327062653E-8</v>
      </c>
      <c r="P43" s="40">
        <f t="shared" si="8"/>
        <v>3.9763711904745907E-4</v>
      </c>
      <c r="Q43" s="40">
        <f t="shared" si="9"/>
        <v>9.6010414085299731E-3</v>
      </c>
      <c r="R43" s="9">
        <f t="shared" si="14"/>
        <v>3.9999999999999996E-5</v>
      </c>
      <c r="S43" s="9">
        <f t="shared" si="10"/>
        <v>6.4550060808619027E-6</v>
      </c>
      <c r="T43" s="9">
        <f t="shared" si="11"/>
        <v>1.8858885489488562E-6</v>
      </c>
      <c r="U43" s="9">
        <f t="shared" si="12"/>
        <v>3.354499391913809E-5</v>
      </c>
      <c r="V43" s="102">
        <f t="shared" si="13"/>
        <v>5.6219671808404141E-2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0.14841008082679896</v>
      </c>
      <c r="J44" s="94">
        <f t="shared" si="2"/>
        <v>2.2086207765897057</v>
      </c>
      <c r="K44" s="95">
        <f t="shared" si="3"/>
        <v>0.67852919686886159</v>
      </c>
      <c r="L44" s="95">
        <f t="shared" si="4"/>
        <v>4.4559506559664147E-2</v>
      </c>
      <c r="M44" s="95">
        <f t="shared" si="5"/>
        <v>0.95544049344033588</v>
      </c>
      <c r="N44" s="95">
        <f t="shared" si="6"/>
        <v>3.1432759769824611E-2</v>
      </c>
      <c r="O44" s="40">
        <f t="shared" si="7"/>
        <v>6.7915648278087078E-7</v>
      </c>
      <c r="P44" s="40">
        <f t="shared" si="8"/>
        <v>1.0979703871755513E-4</v>
      </c>
      <c r="Q44" s="40">
        <f t="shared" si="9"/>
        <v>2.2780006860541272E-3</v>
      </c>
      <c r="R44" s="9">
        <f t="shared" si="14"/>
        <v>3.9999999999999996E-5</v>
      </c>
      <c r="S44" s="9">
        <f t="shared" si="10"/>
        <v>1.7823802623865658E-6</v>
      </c>
      <c r="T44" s="9">
        <f t="shared" si="11"/>
        <v>2.7141167874754462E-5</v>
      </c>
      <c r="U44" s="9">
        <f t="shared" si="12"/>
        <v>3.8217619737613431E-5</v>
      </c>
      <c r="V44" s="102">
        <f t="shared" si="13"/>
        <v>0.71017420920231644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139</v>
      </c>
      <c r="C45" s="46" t="s">
        <v>140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3.9363574076389534</v>
      </c>
      <c r="K45" s="95">
        <f t="shared" si="3"/>
        <v>3.8963668562310552E-2</v>
      </c>
      <c r="L45" s="95">
        <f t="shared" si="4"/>
        <v>0.13669993387280635</v>
      </c>
      <c r="M45" s="95">
        <f t="shared" si="5"/>
        <v>0.86330006612719368</v>
      </c>
      <c r="N45" s="95">
        <f t="shared" si="6"/>
        <v>9.942642266141978E-2</v>
      </c>
      <c r="O45" s="40">
        <f t="shared" si="7"/>
        <v>3.8999689650986055E-8</v>
      </c>
      <c r="P45" s="40">
        <f t="shared" si="8"/>
        <v>3.3683604444817428E-4</v>
      </c>
      <c r="Q45" s="40">
        <f t="shared" si="9"/>
        <v>7.2056497963648462E-3</v>
      </c>
      <c r="R45" s="9">
        <f t="shared" si="14"/>
        <v>3.9999999999999996E-5</v>
      </c>
      <c r="S45" s="9">
        <f t="shared" si="10"/>
        <v>5.4679973549122531E-6</v>
      </c>
      <c r="T45" s="9">
        <f t="shared" si="11"/>
        <v>1.5585467424924219E-6</v>
      </c>
      <c r="U45" s="9">
        <f t="shared" si="12"/>
        <v>3.4532002645087743E-5</v>
      </c>
      <c r="V45" s="102">
        <f t="shared" si="13"/>
        <v>4.5133401572761918E-2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0.12747825886296771</v>
      </c>
      <c r="J46" s="94">
        <f t="shared" si="2"/>
        <v>2.1223563706849542</v>
      </c>
      <c r="K46" s="95">
        <f t="shared" si="3"/>
        <v>0.71649242587030948</v>
      </c>
      <c r="L46" s="95">
        <f t="shared" si="4"/>
        <v>3.8576163245029077E-2</v>
      </c>
      <c r="M46" s="95">
        <f t="shared" si="5"/>
        <v>0.9614238367549709</v>
      </c>
      <c r="N46" s="95">
        <f t="shared" si="6"/>
        <v>2.672228411881427E-2</v>
      </c>
      <c r="O46" s="40">
        <f t="shared" si="7"/>
        <v>7.1715480798574937E-7</v>
      </c>
      <c r="P46" s="40">
        <f t="shared" si="8"/>
        <v>9.5053756569720622E-5</v>
      </c>
      <c r="Q46" s="40">
        <f t="shared" si="9"/>
        <v>1.9366222374794637E-3</v>
      </c>
      <c r="R46" s="9">
        <f t="shared" si="14"/>
        <v>3.9999999999999996E-5</v>
      </c>
      <c r="S46" s="9">
        <f t="shared" si="10"/>
        <v>1.5430465298011629E-6</v>
      </c>
      <c r="T46" s="9">
        <f t="shared" si="11"/>
        <v>2.8659697034812378E-5</v>
      </c>
      <c r="U46" s="9">
        <f t="shared" si="12"/>
        <v>3.845695347019883E-5</v>
      </c>
      <c r="V46" s="102">
        <f t="shared" si="13"/>
        <v>0.74524096291250497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141</v>
      </c>
      <c r="C47" s="46" t="s">
        <v>142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3.0792919353710997</v>
      </c>
      <c r="K47" s="95">
        <f t="shared" si="3"/>
        <v>0.17681405991867985</v>
      </c>
      <c r="L47" s="95">
        <f t="shared" si="4"/>
        <v>8.6210425400399429E-2</v>
      </c>
      <c r="M47" s="95">
        <f t="shared" si="5"/>
        <v>0.91378957459960053</v>
      </c>
      <c r="N47" s="95">
        <f t="shared" si="6"/>
        <v>4.4582741396636788E-2</v>
      </c>
      <c r="O47" s="40">
        <f t="shared" si="7"/>
        <v>1.7697752078277231E-7</v>
      </c>
      <c r="P47" s="40">
        <f t="shared" si="8"/>
        <v>2.1242715968746795E-4</v>
      </c>
      <c r="Q47" s="40">
        <f t="shared" si="9"/>
        <v>3.2310085474966557E-3</v>
      </c>
      <c r="R47" s="9">
        <f t="shared" si="14"/>
        <v>3.9999999999999996E-5</v>
      </c>
      <c r="S47" s="9">
        <f t="shared" si="10"/>
        <v>3.4484170160159769E-6</v>
      </c>
      <c r="T47" s="9">
        <f t="shared" si="11"/>
        <v>7.0725623967471934E-6</v>
      </c>
      <c r="U47" s="9">
        <f t="shared" si="12"/>
        <v>3.6551582983984021E-5</v>
      </c>
      <c r="V47" s="102">
        <f t="shared" si="13"/>
        <v>0.19349537884162807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143</v>
      </c>
      <c r="C48" s="46" t="s">
        <v>144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1.2270602613474699</v>
      </c>
      <c r="K48" s="95">
        <f t="shared" ref="K48:K50" si="17">IF(D48=0,"",1/(1+10^D48*$J$15/$J$14+10^E48*$J$16/$J$14+10^J48*$J$19/$J$14))</f>
        <v>0.93852423051715106</v>
      </c>
      <c r="L48" s="95">
        <f t="shared" ref="L48:L50" si="18">IF(D48=0,"",1/(1+10^I48/10^J48*$J$13/$J$19))</f>
        <v>6.4306786427007698E-3</v>
      </c>
      <c r="M48" s="95">
        <f t="shared" ref="M48:M92" si="19">IF(D48=0,"",1-L48)</f>
        <v>0.99356932135729925</v>
      </c>
      <c r="N48" s="95">
        <f t="shared" ref="N48:N50" si="20">IF(D48=0,"",1/(1/10^E48*$J$20/$J$22+10^D48/10^E48*$J$21/$J$22+10^I48/10^E48*$J$13/$J$22+1))</f>
        <v>2.9102980145610034E-3</v>
      </c>
      <c r="O48" s="40">
        <f t="shared" ref="O48:O92" si="21">IF(D48=0,"",F48*K48*$J$7/$J$14)</f>
        <v>9.393918763466886E-7</v>
      </c>
      <c r="P48" s="40">
        <f t="shared" ref="P48:P50" si="22">IF(D48=0,"",O48*10^J48)</f>
        <v>1.5845540636033762E-5</v>
      </c>
      <c r="Q48" s="40">
        <f t="shared" ref="Q48:Q50" si="23">IF(D48=0,"",F48*N48*$J$7/$J$22)</f>
        <v>2.109156473163515E-4</v>
      </c>
      <c r="R48" s="9">
        <f t="shared" si="14"/>
        <v>3.9999999999999996E-5</v>
      </c>
      <c r="S48" s="9">
        <f t="shared" si="10"/>
        <v>2.5722714570803077E-7</v>
      </c>
      <c r="T48" s="9">
        <f t="shared" si="11"/>
        <v>3.7540969220686039E-5</v>
      </c>
      <c r="U48" s="9">
        <f t="shared" si="12"/>
        <v>3.9742772854291964E-5</v>
      </c>
      <c r="V48" s="102">
        <f t="shared" si="13"/>
        <v>0.94459864082261324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145</v>
      </c>
      <c r="C49" s="46" t="s">
        <v>146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0.7518575838149909</v>
      </c>
      <c r="K49" s="95">
        <f t="shared" si="17"/>
        <v>0.98129652632412501</v>
      </c>
      <c r="L49" s="95">
        <f t="shared" si="18"/>
        <v>2.2511731576379109E-3</v>
      </c>
      <c r="M49" s="95">
        <f t="shared" si="19"/>
        <v>0.9977488268423621</v>
      </c>
      <c r="N49" s="95">
        <f t="shared" si="20"/>
        <v>9.6436676518297149E-4</v>
      </c>
      <c r="O49" s="40">
        <f t="shared" si="21"/>
        <v>9.8220371423778758E-7</v>
      </c>
      <c r="P49" s="40">
        <f t="shared" si="22"/>
        <v>5.547012645172198E-6</v>
      </c>
      <c r="Q49" s="40">
        <f t="shared" si="23"/>
        <v>6.9889763698177053E-5</v>
      </c>
      <c r="R49" s="9">
        <f t="shared" si="14"/>
        <v>3.9999999999999996E-5</v>
      </c>
      <c r="S49" s="9">
        <f t="shared" si="10"/>
        <v>9.0046926305516428E-8</v>
      </c>
      <c r="T49" s="9">
        <f t="shared" si="11"/>
        <v>3.9251861052965E-5</v>
      </c>
      <c r="U49" s="9">
        <f t="shared" si="12"/>
        <v>3.9909953073694483E-5</v>
      </c>
      <c r="V49" s="102">
        <f t="shared" si="13"/>
        <v>0.98351057893968696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147</v>
      </c>
      <c r="C50" s="46" t="s">
        <v>148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149</v>
      </c>
      <c r="C51" s="46" t="s">
        <v>150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151</v>
      </c>
      <c r="C52" s="46" t="s">
        <v>152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153</v>
      </c>
      <c r="C53" s="46" t="s">
        <v>154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155</v>
      </c>
      <c r="C54" s="46" t="s">
        <v>156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157</v>
      </c>
      <c r="C55" s="46" t="s">
        <v>158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159</v>
      </c>
      <c r="C56" s="46" t="s">
        <v>160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8.6236157418987745E-3</v>
      </c>
      <c r="K57" s="55">
        <f t="shared" si="26"/>
        <v>0.99898263266493503</v>
      </c>
      <c r="L57" s="55">
        <f t="shared" si="27"/>
        <v>4.139354391822685E-4</v>
      </c>
      <c r="M57" s="55">
        <f t="shared" si="28"/>
        <v>0.99958606456081778</v>
      </c>
      <c r="N57" s="55">
        <f t="shared" si="29"/>
        <v>1.6672622288582614E-5</v>
      </c>
      <c r="O57" s="56">
        <f t="shared" si="30"/>
        <v>9.9990617101038038E-7</v>
      </c>
      <c r="P57" s="56">
        <f t="shared" si="31"/>
        <v>1.0199593521442774E-6</v>
      </c>
      <c r="Q57" s="56">
        <f t="shared" si="32"/>
        <v>1.2083013165192541E-6</v>
      </c>
      <c r="R57" s="9">
        <f t="shared" ref="R57:R58" si="33">F57*$C$14</f>
        <v>3.9999999999999996E-5</v>
      </c>
      <c r="S57" s="9">
        <f t="shared" ref="S57:S58" si="34">$R57*L57</f>
        <v>1.6557417567290739E-8</v>
      </c>
      <c r="T57" s="9">
        <f t="shared" ref="T57:T58" si="35">R57*K57</f>
        <v>3.9959305306597395E-5</v>
      </c>
      <c r="U57" s="9">
        <f t="shared" ref="U57:U58" si="36">$R57*M57</f>
        <v>3.9983442582432705E-5</v>
      </c>
      <c r="V57" s="102">
        <f t="shared" ref="V57:V58" si="37">K57/M57</f>
        <v>0.99939631821883401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161</v>
      </c>
      <c r="C58" s="46" t="s">
        <v>162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1.4188837414976314</v>
      </c>
      <c r="K58" s="55">
        <f t="shared" si="26"/>
        <v>0.91035476766361789</v>
      </c>
      <c r="L58" s="55">
        <f t="shared" si="27"/>
        <v>9.7016470088497325E-3</v>
      </c>
      <c r="M58" s="55">
        <f t="shared" si="28"/>
        <v>0.99029835299115032</v>
      </c>
      <c r="N58" s="55">
        <f t="shared" si="29"/>
        <v>4.872026529299015E-3</v>
      </c>
      <c r="O58" s="56">
        <f t="shared" si="30"/>
        <v>9.1119637141968473E-7</v>
      </c>
      <c r="P58" s="56">
        <f t="shared" si="31"/>
        <v>2.3905383934816078E-5</v>
      </c>
      <c r="Q58" s="56">
        <f t="shared" si="32"/>
        <v>3.5308639322442135E-4</v>
      </c>
      <c r="R58" s="9">
        <f t="shared" si="33"/>
        <v>3.9999999999999996E-5</v>
      </c>
      <c r="S58" s="9">
        <f t="shared" si="34"/>
        <v>3.8806588035398925E-7</v>
      </c>
      <c r="T58" s="9">
        <f t="shared" si="35"/>
        <v>3.6414190706544714E-5</v>
      </c>
      <c r="U58" s="9">
        <f t="shared" si="36"/>
        <v>3.9611934119646012E-5</v>
      </c>
      <c r="V58" s="102">
        <f t="shared" si="37"/>
        <v>0.91927323206580469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163</v>
      </c>
      <c r="C59" s="46" t="s">
        <v>164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1.5036461500927543</v>
      </c>
      <c r="K60" s="55">
        <f t="shared" si="26"/>
        <v>0.8789419197343995</v>
      </c>
      <c r="L60" s="55">
        <f t="shared" si="27"/>
        <v>1.1385638338255321E-2</v>
      </c>
      <c r="M60" s="55">
        <f t="shared" si="28"/>
        <v>0.98861436166174466</v>
      </c>
      <c r="N60" s="55">
        <f t="shared" si="29"/>
        <v>4.4832520051620072E-3</v>
      </c>
      <c r="O60" s="56">
        <f t="shared" si="30"/>
        <v>8.7975448297599316E-7</v>
      </c>
      <c r="P60" s="56">
        <f t="shared" si="31"/>
        <v>2.8054829821233134E-5</v>
      </c>
      <c r="Q60" s="56">
        <f t="shared" si="32"/>
        <v>3.2491105516343843E-4</v>
      </c>
      <c r="R60" s="9">
        <f t="shared" ref="R60:R65" si="38">F60*$C$14</f>
        <v>3.9999999999999996E-5</v>
      </c>
      <c r="S60" s="9">
        <f t="shared" ref="S60:S93" si="39">$R60*L60</f>
        <v>4.5542553353021281E-7</v>
      </c>
      <c r="T60" s="9">
        <f t="shared" ref="T60:T93" si="40">R60*K60</f>
        <v>3.5157676789375975E-5</v>
      </c>
      <c r="U60" s="9">
        <f t="shared" ref="U60:U93" si="41">$R60*M60</f>
        <v>3.9544574466469782E-5</v>
      </c>
      <c r="V60" s="102">
        <f t="shared" ref="V60:V93" si="42">K60/M60</f>
        <v>0.8890644864363505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2.465978133838072</v>
      </c>
      <c r="K61" s="55">
        <f t="shared" si="26"/>
        <v>0.46129608575072589</v>
      </c>
      <c r="L61" s="55">
        <f t="shared" si="27"/>
        <v>5.4790966295403892E-2</v>
      </c>
      <c r="M61" s="55">
        <f t="shared" si="28"/>
        <v>0.94520903370459608</v>
      </c>
      <c r="N61" s="55">
        <f t="shared" si="29"/>
        <v>2.6888881855343629E-2</v>
      </c>
      <c r="O61" s="56">
        <f t="shared" si="30"/>
        <v>4.6172254423945669E-7</v>
      </c>
      <c r="P61" s="56">
        <f t="shared" si="31"/>
        <v>1.3500790992049217E-4</v>
      </c>
      <c r="Q61" s="56">
        <f t="shared" si="32"/>
        <v>1.948695938958049E-3</v>
      </c>
      <c r="R61" s="9">
        <f t="shared" si="38"/>
        <v>3.9999999999999996E-5</v>
      </c>
      <c r="S61" s="9">
        <f t="shared" si="39"/>
        <v>2.1916386518161557E-6</v>
      </c>
      <c r="T61" s="9">
        <f t="shared" si="40"/>
        <v>1.8451843430029035E-5</v>
      </c>
      <c r="U61" s="9">
        <f t="shared" si="41"/>
        <v>3.7808361348183839E-5</v>
      </c>
      <c r="V61" s="102">
        <f t="shared" si="42"/>
        <v>0.4880360526631336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165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2.1853515861255404</v>
      </c>
      <c r="K62" s="55">
        <f t="shared" si="26"/>
        <v>0.64530567821793283</v>
      </c>
      <c r="L62" s="55">
        <f t="shared" si="27"/>
        <v>4.0166882803912278E-2</v>
      </c>
      <c r="M62" s="55">
        <f t="shared" si="28"/>
        <v>0.95983311719608777</v>
      </c>
      <c r="N62" s="55">
        <f t="shared" si="29"/>
        <v>2.2921258552719995E-2</v>
      </c>
      <c r="O62" s="56">
        <f t="shared" si="30"/>
        <v>6.4590224968862798E-7</v>
      </c>
      <c r="P62" s="56">
        <f t="shared" si="31"/>
        <v>9.897337575943518E-5</v>
      </c>
      <c r="Q62" s="56">
        <f t="shared" si="32"/>
        <v>1.6611536209571434E-3</v>
      </c>
      <c r="R62" s="9">
        <f t="shared" si="38"/>
        <v>3.9999999999999996E-5</v>
      </c>
      <c r="S62" s="9">
        <f t="shared" si="39"/>
        <v>1.6066753121564911E-6</v>
      </c>
      <c r="T62" s="9">
        <f t="shared" si="40"/>
        <v>2.5812227128717313E-5</v>
      </c>
      <c r="U62" s="9">
        <f t="shared" si="41"/>
        <v>3.8393324687843509E-5</v>
      </c>
      <c r="V62" s="102">
        <f t="shared" si="42"/>
        <v>0.67231028671216497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2.1173032596981405</v>
      </c>
      <c r="K63" s="55">
        <f t="shared" si="26"/>
        <v>0.67560550037673295</v>
      </c>
      <c r="L63" s="55">
        <f t="shared" si="27"/>
        <v>3.5954023072413147E-2</v>
      </c>
      <c r="M63" s="55">
        <f t="shared" si="28"/>
        <v>0.96404597692758687</v>
      </c>
      <c r="N63" s="55">
        <f t="shared" si="29"/>
        <v>1.9899911735134397E-2</v>
      </c>
      <c r="O63" s="56">
        <f t="shared" si="30"/>
        <v>6.7623008339308348E-7</v>
      </c>
      <c r="P63" s="56">
        <f t="shared" si="31"/>
        <v>8.8592661097981637E-5</v>
      </c>
      <c r="Q63" s="56">
        <f t="shared" si="32"/>
        <v>1.4421900245797498E-3</v>
      </c>
      <c r="R63" s="9">
        <f t="shared" si="38"/>
        <v>3.9999999999999996E-5</v>
      </c>
      <c r="S63" s="9">
        <f t="shared" si="39"/>
        <v>1.4381609228965257E-6</v>
      </c>
      <c r="T63" s="9">
        <f t="shared" si="40"/>
        <v>2.7024220015069315E-5</v>
      </c>
      <c r="U63" s="9">
        <f t="shared" si="41"/>
        <v>3.8561839077103472E-5</v>
      </c>
      <c r="V63" s="102">
        <f t="shared" si="42"/>
        <v>0.70080215730984807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1.3674698928675459</v>
      </c>
      <c r="K64" s="55">
        <f t="shared" si="26"/>
        <v>0.92477415596759449</v>
      </c>
      <c r="L64" s="55">
        <f t="shared" si="27"/>
        <v>8.7550097402390708E-3</v>
      </c>
      <c r="M64" s="55">
        <f t="shared" si="28"/>
        <v>0.99124499025976098</v>
      </c>
      <c r="N64" s="55">
        <f t="shared" si="29"/>
        <v>4.8226601415141358E-3</v>
      </c>
      <c r="O64" s="56">
        <f t="shared" si="30"/>
        <v>9.2562909014361173E-7</v>
      </c>
      <c r="P64" s="56">
        <f t="shared" si="31"/>
        <v>2.1572818409343865E-5</v>
      </c>
      <c r="Q64" s="56">
        <f t="shared" si="32"/>
        <v>3.4950870338536596E-4</v>
      </c>
      <c r="R64" s="9">
        <f t="shared" si="38"/>
        <v>3.9999999999999996E-5</v>
      </c>
      <c r="S64" s="9">
        <f t="shared" si="39"/>
        <v>3.5020038960956279E-7</v>
      </c>
      <c r="T64" s="9">
        <f t="shared" si="40"/>
        <v>3.6990966238703777E-5</v>
      </c>
      <c r="U64" s="9">
        <f t="shared" si="41"/>
        <v>3.9649799610390433E-5</v>
      </c>
      <c r="V64" s="102">
        <f t="shared" si="42"/>
        <v>0.93294207290293851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166</v>
      </c>
      <c r="C65" s="46" t="s">
        <v>167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2.8233837190602822</v>
      </c>
      <c r="K65" s="55">
        <f t="shared" si="26"/>
        <v>0.32334188000873387</v>
      </c>
      <c r="L65" s="55">
        <f t="shared" si="27"/>
        <v>8.7457434719325308E-2</v>
      </c>
      <c r="M65" s="55">
        <f t="shared" si="28"/>
        <v>0.91254256528067468</v>
      </c>
      <c r="N65" s="55">
        <f t="shared" si="29"/>
        <v>5.8338859225925729E-2</v>
      </c>
      <c r="O65" s="56">
        <f t="shared" si="30"/>
        <v>3.2364080274784073E-7</v>
      </c>
      <c r="P65" s="56">
        <f t="shared" si="31"/>
        <v>2.1549985822123487E-4</v>
      </c>
      <c r="Q65" s="56">
        <f t="shared" si="32"/>
        <v>4.227944422107467E-3</v>
      </c>
      <c r="R65" s="9">
        <f t="shared" si="38"/>
        <v>3.9999999999999996E-5</v>
      </c>
      <c r="S65" s="9">
        <f t="shared" si="39"/>
        <v>3.4982973887730119E-6</v>
      </c>
      <c r="T65" s="9">
        <f t="shared" si="40"/>
        <v>1.2933675200349353E-5</v>
      </c>
      <c r="U65" s="9">
        <f t="shared" si="41"/>
        <v>3.6501702611226986E-5</v>
      </c>
      <c r="V65" s="102">
        <f t="shared" si="42"/>
        <v>0.35433073733857251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168</v>
      </c>
      <c r="C66" s="46" t="s">
        <v>169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170</v>
      </c>
      <c r="C67" s="46" t="s">
        <v>171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1.4569140663004096</v>
      </c>
      <c r="K68" s="55">
        <f t="shared" si="26"/>
        <v>0.88618065334585583</v>
      </c>
      <c r="L68" s="55">
        <f t="shared" si="27"/>
        <v>1.0308308022018375E-2</v>
      </c>
      <c r="M68" s="55">
        <f t="shared" si="28"/>
        <v>0.98969169197798168</v>
      </c>
      <c r="N68" s="55">
        <f t="shared" si="29"/>
        <v>3.668463800710359E-3</v>
      </c>
      <c r="O68" s="56">
        <f t="shared" si="30"/>
        <v>8.8699990864379176E-7</v>
      </c>
      <c r="P68" s="56">
        <f t="shared" si="31"/>
        <v>2.5400229544520487E-5</v>
      </c>
      <c r="Q68" s="56">
        <f t="shared" si="32"/>
        <v>2.6586157613832568E-4</v>
      </c>
      <c r="R68" s="9">
        <f>F68*$C$14</f>
        <v>3.9999999999999996E-5</v>
      </c>
      <c r="S68" s="9">
        <f t="shared" si="39"/>
        <v>4.12332320880735E-7</v>
      </c>
      <c r="T68" s="9">
        <f t="shared" si="40"/>
        <v>3.5447226133834227E-5</v>
      </c>
      <c r="U68" s="9">
        <f t="shared" si="41"/>
        <v>3.9587667679119267E-5</v>
      </c>
      <c r="V68" s="102">
        <f t="shared" si="42"/>
        <v>0.89541082392512528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172</v>
      </c>
      <c r="C69" s="46" t="s">
        <v>173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3.7592307464751822</v>
      </c>
      <c r="K69" s="55">
        <f t="shared" si="26"/>
        <v>5.5200617571459019E-2</v>
      </c>
      <c r="L69" s="55">
        <f t="shared" si="27"/>
        <v>0.12880292910545593</v>
      </c>
      <c r="M69" s="55">
        <f t="shared" si="28"/>
        <v>0.87119707089454401</v>
      </c>
      <c r="N69" s="55">
        <f t="shared" si="29"/>
        <v>9.0408010007357389E-2</v>
      </c>
      <c r="O69" s="56">
        <f t="shared" si="30"/>
        <v>5.5251649376570091E-8</v>
      </c>
      <c r="P69" s="56">
        <f t="shared" si="31"/>
        <v>3.173773967849084E-4</v>
      </c>
      <c r="Q69" s="56">
        <f t="shared" si="32"/>
        <v>6.5520657533628219E-3</v>
      </c>
      <c r="R69" s="9">
        <f>F69*$C$14</f>
        <v>3.9999999999999996E-5</v>
      </c>
      <c r="S69" s="9">
        <f t="shared" si="39"/>
        <v>5.1521171642182365E-6</v>
      </c>
      <c r="T69" s="9">
        <f t="shared" si="40"/>
        <v>2.2080247028583606E-6</v>
      </c>
      <c r="U69" s="9">
        <f t="shared" si="41"/>
        <v>3.4847882835781761E-5</v>
      </c>
      <c r="V69" s="102">
        <f t="shared" si="42"/>
        <v>6.3361803449108356E-2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174</v>
      </c>
      <c r="C70" s="46" t="s">
        <v>175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0.64559866119554743</v>
      </c>
      <c r="K70" s="55">
        <f t="shared" si="26"/>
        <v>0.9826076222834238</v>
      </c>
      <c r="L70" s="55">
        <f t="shared" si="27"/>
        <v>1.7649395952333484E-3</v>
      </c>
      <c r="M70" s="55">
        <f t="shared" si="28"/>
        <v>0.99823506040476662</v>
      </c>
      <c r="N70" s="55">
        <f t="shared" si="29"/>
        <v>4.3483961461377292E-4</v>
      </c>
      <c r="O70" s="56">
        <f t="shared" si="30"/>
        <v>9.8351602227761069E-7</v>
      </c>
      <c r="P70" s="56">
        <f t="shared" si="31"/>
        <v>4.3489067997758955E-6</v>
      </c>
      <c r="Q70" s="56">
        <f t="shared" si="32"/>
        <v>3.15137756807669E-5</v>
      </c>
      <c r="R70" s="9">
        <f t="shared" ref="R70:R86" si="43">F70*$C$14</f>
        <v>3.9999999999999996E-5</v>
      </c>
      <c r="S70" s="9">
        <f t="shared" si="39"/>
        <v>7.0597583809333924E-8</v>
      </c>
      <c r="T70" s="9">
        <f t="shared" si="40"/>
        <v>3.9304304891336951E-5</v>
      </c>
      <c r="U70" s="9">
        <f t="shared" si="41"/>
        <v>3.9929402416190658E-5</v>
      </c>
      <c r="V70" s="102">
        <f t="shared" si="42"/>
        <v>0.98434493162862247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176</v>
      </c>
      <c r="C71" s="46" t="s">
        <v>177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4">IF(D71=0,"",LOG($K$15*10^D71+$K$16*10^E71+$K$14))</f>
        <v>2.8589842167479149E-2</v>
      </c>
      <c r="J71" s="54">
        <f t="shared" ref="J71:J122" si="45">IF(D71=0,"",LOG($K$21*10^D71+$K$22*10^E71+$K$20))</f>
        <v>1.314258680650835</v>
      </c>
      <c r="K71" s="55">
        <f t="shared" ref="K71:K122" si="46">IF(D71=0,"",1/(1+10^D71*$J$15/$J$14+10^E71*$J$16/$J$14+10^J71*$J$19/$J$14))</f>
        <v>0.92852689267424471</v>
      </c>
      <c r="L71" s="55">
        <f t="shared" ref="L71:L122" si="47">IF(D71=0,"",1/(1+10^I71/10^J71*$J$13/$J$19))</f>
        <v>7.7768589768968622E-3</v>
      </c>
      <c r="M71" s="55">
        <f t="shared" si="19"/>
        <v>0.99222314102310316</v>
      </c>
      <c r="N71" s="55">
        <f t="shared" ref="N71:N122" si="48">IF(D71=0,"",1/(1/10^E71*$J$20/$J$22+10^D71/10^E71*$J$21/$J$22+10^I71/10^E71*$J$13/$J$22+1))</f>
        <v>3.8496607580913128E-3</v>
      </c>
      <c r="O71" s="56">
        <f t="shared" si="21"/>
        <v>9.2938529617608965E-7</v>
      </c>
      <c r="P71" s="56">
        <f t="shared" ref="P71:P122" si="49">IF(D71=0,"",O71*10^J71)</f>
        <v>1.9162601925225331E-5</v>
      </c>
      <c r="Q71" s="56">
        <f t="shared" ref="Q71:Q122" si="50">IF(D71=0,"",F71*N71*$J$7/$J$22)</f>
        <v>2.7899331500717898E-4</v>
      </c>
      <c r="R71" s="9">
        <f t="shared" si="43"/>
        <v>3.9999999999999996E-5</v>
      </c>
      <c r="S71" s="9">
        <f t="shared" si="39"/>
        <v>3.1107435907587449E-7</v>
      </c>
      <c r="T71" s="9">
        <f t="shared" si="40"/>
        <v>3.7141075706969782E-5</v>
      </c>
      <c r="U71" s="9">
        <f t="shared" si="41"/>
        <v>3.9688925640924123E-5</v>
      </c>
      <c r="V71" s="102">
        <f t="shared" si="42"/>
        <v>0.93580451239710072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178</v>
      </c>
      <c r="C72" s="46" t="s">
        <v>179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4"/>
        <v>4.5043006346732313E-2</v>
      </c>
      <c r="J72" s="54">
        <f t="shared" si="45"/>
        <v>1.4492878976223589</v>
      </c>
      <c r="K72" s="55">
        <f t="shared" si="46"/>
        <v>0.89183044428131752</v>
      </c>
      <c r="L72" s="55">
        <f t="shared" si="47"/>
        <v>1.0193451190966601E-2</v>
      </c>
      <c r="M72" s="55">
        <f t="shared" si="19"/>
        <v>0.9898065488090334</v>
      </c>
      <c r="N72" s="55">
        <f t="shared" si="48"/>
        <v>3.985082045602272E-3</v>
      </c>
      <c r="O72" s="56">
        <f t="shared" si="21"/>
        <v>8.9265492269165005E-7</v>
      </c>
      <c r="P72" s="56">
        <f t="shared" si="49"/>
        <v>2.5117216089039739E-5</v>
      </c>
      <c r="Q72" s="56">
        <f t="shared" si="50"/>
        <v>2.8880759119912977E-4</v>
      </c>
      <c r="R72" s="9">
        <f t="shared" si="43"/>
        <v>3.9999999999999996E-5</v>
      </c>
      <c r="S72" s="9">
        <f t="shared" si="39"/>
        <v>4.0773804763866399E-7</v>
      </c>
      <c r="T72" s="9">
        <f t="shared" si="40"/>
        <v>3.56732177712527E-5</v>
      </c>
      <c r="U72" s="9">
        <f t="shared" si="41"/>
        <v>3.9592261952361335E-5</v>
      </c>
      <c r="V72" s="102">
        <f t="shared" si="42"/>
        <v>0.90101489564238202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180</v>
      </c>
      <c r="C73" s="46" t="s">
        <v>181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4"/>
        <v>2.829962486439805</v>
      </c>
      <c r="J73" s="54">
        <f t="shared" si="45"/>
        <v>5.6416380635271075</v>
      </c>
      <c r="K73" s="55">
        <f t="shared" si="46"/>
        <v>1.1704636526575221E-3</v>
      </c>
      <c r="L73" s="55">
        <f t="shared" si="47"/>
        <v>0.20832771560808985</v>
      </c>
      <c r="M73" s="55">
        <f t="shared" si="19"/>
        <v>0.79167228439191017</v>
      </c>
      <c r="N73" s="55">
        <f t="shared" si="48"/>
        <v>0.19028121033139975</v>
      </c>
      <c r="O73" s="56">
        <f t="shared" si="21"/>
        <v>1.1715457215842818E-9</v>
      </c>
      <c r="P73" s="56">
        <f t="shared" si="49"/>
        <v>5.1333077995228298E-4</v>
      </c>
      <c r="Q73" s="56">
        <f t="shared" si="50"/>
        <v>1.379009450179617E-2</v>
      </c>
      <c r="R73" s="9">
        <f t="shared" si="43"/>
        <v>3.9999999999999996E-5</v>
      </c>
      <c r="S73" s="9">
        <f t="shared" si="39"/>
        <v>8.3331086243235927E-6</v>
      </c>
      <c r="T73" s="9">
        <f t="shared" si="40"/>
        <v>4.6818546106300879E-8</v>
      </c>
      <c r="U73" s="9">
        <f t="shared" si="41"/>
        <v>3.1666891375676407E-5</v>
      </c>
      <c r="V73" s="102">
        <f t="shared" si="42"/>
        <v>1.4784699120249797E-3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182</v>
      </c>
      <c r="C74" s="46" t="s">
        <v>183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4"/>
        <v>3.957220636313619E-3</v>
      </c>
      <c r="J74" s="54">
        <f t="shared" si="45"/>
        <v>0.50257798213592542</v>
      </c>
      <c r="K74" s="55">
        <f t="shared" si="46"/>
        <v>0.9891503199879873</v>
      </c>
      <c r="L74" s="55">
        <f t="shared" si="47"/>
        <v>1.2781779887124653E-3</v>
      </c>
      <c r="M74" s="55">
        <f t="shared" si="19"/>
        <v>0.99872182201128756</v>
      </c>
      <c r="N74" s="55">
        <f t="shared" si="48"/>
        <v>3.3734810061444251E-4</v>
      </c>
      <c r="O74" s="56">
        <f t="shared" si="21"/>
        <v>9.9006476856802066E-7</v>
      </c>
      <c r="P74" s="56">
        <f t="shared" si="49"/>
        <v>3.14949982506375E-6</v>
      </c>
      <c r="Q74" s="56">
        <f t="shared" si="50"/>
        <v>2.4448352937068392E-5</v>
      </c>
      <c r="R74" s="9">
        <f t="shared" si="43"/>
        <v>3.9999999999999996E-5</v>
      </c>
      <c r="S74" s="9">
        <f t="shared" si="39"/>
        <v>5.1127119548498607E-8</v>
      </c>
      <c r="T74" s="9">
        <f t="shared" si="40"/>
        <v>3.9566012799519488E-5</v>
      </c>
      <c r="U74" s="9">
        <f t="shared" si="41"/>
        <v>3.9948872880451497E-5</v>
      </c>
      <c r="V74" s="102">
        <f t="shared" si="42"/>
        <v>0.99041624823614594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184</v>
      </c>
      <c r="C75" s="46" t="s">
        <v>185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4"/>
        <v>4.1980440605165602E-3</v>
      </c>
      <c r="J75" s="54">
        <f t="shared" si="45"/>
        <v>0.51091120344487984</v>
      </c>
      <c r="K75" s="55">
        <f t="shared" si="46"/>
        <v>0.98857820639094662</v>
      </c>
      <c r="L75" s="55">
        <f t="shared" si="47"/>
        <v>1.3021868096008301E-3</v>
      </c>
      <c r="M75" s="55">
        <f t="shared" si="19"/>
        <v>0.99869781319039919</v>
      </c>
      <c r="N75" s="55">
        <f t="shared" si="48"/>
        <v>3.2152741245910393E-4</v>
      </c>
      <c r="O75" s="56">
        <f t="shared" si="21"/>
        <v>9.894921260640425E-7</v>
      </c>
      <c r="P75" s="56">
        <f t="shared" si="49"/>
        <v>3.2086588607032713E-6</v>
      </c>
      <c r="Q75" s="56">
        <f t="shared" si="50"/>
        <v>2.3301793146085365E-5</v>
      </c>
      <c r="R75" s="9">
        <f t="shared" si="43"/>
        <v>3.9999999999999996E-5</v>
      </c>
      <c r="S75" s="9">
        <f t="shared" si="39"/>
        <v>5.2087472384033198E-8</v>
      </c>
      <c r="T75" s="9">
        <f t="shared" si="40"/>
        <v>3.9543128255637865E-5</v>
      </c>
      <c r="U75" s="9">
        <f t="shared" si="41"/>
        <v>3.9947912527615966E-5</v>
      </c>
      <c r="V75" s="102">
        <f t="shared" si="42"/>
        <v>0.98986719839995951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186</v>
      </c>
      <c r="C76" s="46" t="s">
        <v>187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4"/>
        <v>0.35626551305621779</v>
      </c>
      <c r="J76" s="54">
        <f t="shared" si="45"/>
        <v>2.621107442671748</v>
      </c>
      <c r="K76" s="55">
        <f t="shared" si="46"/>
        <v>0.40946701554958637</v>
      </c>
      <c r="L76" s="55">
        <f t="shared" si="47"/>
        <v>6.9514823139919052E-2</v>
      </c>
      <c r="M76" s="55">
        <f t="shared" si="19"/>
        <v>0.93048517686008092</v>
      </c>
      <c r="N76" s="55">
        <f t="shared" si="48"/>
        <v>4.1920639243270025E-2</v>
      </c>
      <c r="O76" s="56">
        <f t="shared" si="21"/>
        <v>4.0984555915754312E-7</v>
      </c>
      <c r="P76" s="56">
        <f t="shared" si="49"/>
        <v>1.7128829102983716E-4</v>
      </c>
      <c r="Q76" s="56">
        <f t="shared" si="50"/>
        <v>3.0380801957985222E-3</v>
      </c>
      <c r="R76" s="9">
        <f t="shared" si="43"/>
        <v>3.9999999999999996E-5</v>
      </c>
      <c r="S76" s="9">
        <f t="shared" si="39"/>
        <v>2.780592925596762E-6</v>
      </c>
      <c r="T76" s="9">
        <f t="shared" si="40"/>
        <v>1.6378680621983454E-5</v>
      </c>
      <c r="U76" s="9">
        <f t="shared" si="41"/>
        <v>3.7219407074403236E-5</v>
      </c>
      <c r="V76" s="102">
        <f t="shared" si="42"/>
        <v>0.44005753743582615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4"/>
        <v>2.1004549420906745E-4</v>
      </c>
      <c r="J77" s="54">
        <f t="shared" si="45"/>
        <v>3.9402684082655473E-2</v>
      </c>
      <c r="K77" s="55">
        <f t="shared" si="46"/>
        <v>0.99855501851470574</v>
      </c>
      <c r="L77" s="55">
        <f t="shared" si="47"/>
        <v>4.4414598361822096E-4</v>
      </c>
      <c r="M77" s="55">
        <f t="shared" si="19"/>
        <v>0.99955585401638181</v>
      </c>
      <c r="N77" s="55">
        <f t="shared" si="48"/>
        <v>2.0941219652167624E-5</v>
      </c>
      <c r="O77" s="56">
        <f t="shared" si="21"/>
        <v>9.9947816153990028E-7</v>
      </c>
      <c r="P77" s="56">
        <f t="shared" si="49"/>
        <v>1.0943997706590391E-6</v>
      </c>
      <c r="Q77" s="56">
        <f t="shared" si="50"/>
        <v>1.51765588143628E-6</v>
      </c>
      <c r="R77" s="9">
        <f t="shared" si="43"/>
        <v>3.9999999999999996E-5</v>
      </c>
      <c r="S77" s="9">
        <f t="shared" si="39"/>
        <v>1.7765839344728837E-8</v>
      </c>
      <c r="T77" s="9">
        <f t="shared" si="40"/>
        <v>3.9942200740588226E-5</v>
      </c>
      <c r="U77" s="9">
        <f t="shared" si="41"/>
        <v>3.9982234160655266E-5</v>
      </c>
      <c r="V77" s="102">
        <f t="shared" si="42"/>
        <v>0.99899871978373744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188</v>
      </c>
      <c r="C78" s="46" t="s">
        <v>189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9.6186457475178466E-3</v>
      </c>
      <c r="J78" s="54">
        <f t="shared" si="45"/>
        <v>0.83897219078208807</v>
      </c>
      <c r="K78" s="55">
        <f t="shared" si="46"/>
        <v>0.97491699062261516</v>
      </c>
      <c r="L78" s="55">
        <f t="shared" si="47"/>
        <v>2.733322563271082E-3</v>
      </c>
      <c r="M78" s="55">
        <f t="shared" si="19"/>
        <v>0.99726667743672892</v>
      </c>
      <c r="N78" s="55">
        <f t="shared" si="48"/>
        <v>1.0693025750747667E-3</v>
      </c>
      <c r="O78" s="56">
        <f t="shared" si="21"/>
        <v>9.7581828079025725E-7</v>
      </c>
      <c r="P78" s="56">
        <f t="shared" si="49"/>
        <v>6.7350549069748051E-6</v>
      </c>
      <c r="Q78" s="56">
        <f t="shared" si="50"/>
        <v>7.7494690808479227E-5</v>
      </c>
      <c r="R78" s="9">
        <f t="shared" si="43"/>
        <v>3.9999999999999996E-5</v>
      </c>
      <c r="S78" s="9">
        <f t="shared" si="39"/>
        <v>1.0933290253084327E-7</v>
      </c>
      <c r="T78" s="9">
        <f t="shared" si="40"/>
        <v>3.8996679624904603E-5</v>
      </c>
      <c r="U78" s="9">
        <f t="shared" si="41"/>
        <v>3.9890667097469156E-5</v>
      </c>
      <c r="V78" s="102">
        <f t="shared" si="42"/>
        <v>0.9775890568493083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190</v>
      </c>
      <c r="C79" s="46" t="s">
        <v>191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8.6760595853303396E-2</v>
      </c>
      <c r="J79" s="54">
        <f t="shared" si="45"/>
        <v>1.8013240408300564</v>
      </c>
      <c r="K79" s="55">
        <f t="shared" si="46"/>
        <v>0.80162402307149594</v>
      </c>
      <c r="L79" s="55">
        <f t="shared" si="47"/>
        <v>2.0608473345931855E-2</v>
      </c>
      <c r="M79" s="55">
        <f t="shared" si="19"/>
        <v>0.97939152665406815</v>
      </c>
      <c r="N79" s="55">
        <f t="shared" si="48"/>
        <v>1.0188979703008845E-2</v>
      </c>
      <c r="O79" s="56">
        <f t="shared" si="21"/>
        <v>8.0236510755057416E-7</v>
      </c>
      <c r="P79" s="56">
        <f t="shared" si="49"/>
        <v>5.0780395039680572E-5</v>
      </c>
      <c r="Q79" s="56">
        <f t="shared" si="50"/>
        <v>7.3841759118866042E-4</v>
      </c>
      <c r="R79" s="9">
        <f t="shared" si="43"/>
        <v>3.9999999999999996E-5</v>
      </c>
      <c r="S79" s="9">
        <f t="shared" si="39"/>
        <v>8.2433893383727415E-7</v>
      </c>
      <c r="T79" s="9">
        <f t="shared" si="40"/>
        <v>3.2064960922859834E-5</v>
      </c>
      <c r="U79" s="9">
        <f t="shared" si="41"/>
        <v>3.9175661066162724E-5</v>
      </c>
      <c r="V79" s="102">
        <f t="shared" si="42"/>
        <v>0.81849189139925893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192</v>
      </c>
      <c r="C80" s="46" t="s">
        <v>193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1.9819141928346475</v>
      </c>
      <c r="J80" s="54">
        <f t="shared" si="45"/>
        <v>4.6611522076147738</v>
      </c>
      <c r="K80" s="55">
        <f t="shared" si="46"/>
        <v>8.7269518497479787E-3</v>
      </c>
      <c r="L80" s="55">
        <f t="shared" si="47"/>
        <v>0.16246725537057941</v>
      </c>
      <c r="M80" s="55">
        <f t="shared" si="19"/>
        <v>0.83753274462942062</v>
      </c>
      <c r="N80" s="55">
        <f t="shared" si="48"/>
        <v>0.13073400119535172</v>
      </c>
      <c r="O80" s="56">
        <f t="shared" si="21"/>
        <v>8.7350197324203695E-9</v>
      </c>
      <c r="P80" s="56">
        <f t="shared" si="49"/>
        <v>4.0032812087748758E-4</v>
      </c>
      <c r="Q80" s="56">
        <f t="shared" si="50"/>
        <v>9.4745783251113502E-3</v>
      </c>
      <c r="R80" s="9">
        <f t="shared" si="43"/>
        <v>3.9999999999999996E-5</v>
      </c>
      <c r="S80" s="9">
        <f t="shared" si="39"/>
        <v>6.4986902148231758E-6</v>
      </c>
      <c r="T80" s="9">
        <f t="shared" si="40"/>
        <v>3.4907807398991914E-7</v>
      </c>
      <c r="U80" s="9">
        <f t="shared" si="41"/>
        <v>3.3501309785176823E-5</v>
      </c>
      <c r="V80" s="102">
        <f t="shared" si="42"/>
        <v>1.0419833619292525E-2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194</v>
      </c>
      <c r="C81" s="46" t="s">
        <v>195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0.12726341031571042</v>
      </c>
      <c r="J81" s="54">
        <f t="shared" si="45"/>
        <v>2.0682288758066103</v>
      </c>
      <c r="K81" s="55">
        <f t="shared" si="46"/>
        <v>0.72008987502457533</v>
      </c>
      <c r="L81" s="55">
        <f t="shared" si="47"/>
        <v>3.4226826761797446E-2</v>
      </c>
      <c r="M81" s="55">
        <f t="shared" si="19"/>
        <v>0.96577317323820255</v>
      </c>
      <c r="N81" s="55">
        <f t="shared" si="48"/>
        <v>2.1313200863819347E-2</v>
      </c>
      <c r="O81" s="56">
        <f t="shared" si="21"/>
        <v>7.2075558290578047E-7</v>
      </c>
      <c r="P81" s="56">
        <f t="shared" si="49"/>
        <v>8.4336755796706267E-5</v>
      </c>
      <c r="Q81" s="56">
        <f t="shared" si="50"/>
        <v>1.5446141714988454E-3</v>
      </c>
      <c r="R81" s="9">
        <f t="shared" si="43"/>
        <v>3.9999999999999996E-5</v>
      </c>
      <c r="S81" s="9">
        <f t="shared" si="39"/>
        <v>1.3690730704718978E-6</v>
      </c>
      <c r="T81" s="9">
        <f t="shared" si="40"/>
        <v>2.8803595000983012E-5</v>
      </c>
      <c r="U81" s="9">
        <f t="shared" si="41"/>
        <v>3.8630926929528096E-5</v>
      </c>
      <c r="V81" s="102">
        <f t="shared" si="42"/>
        <v>0.74560973008821518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196</v>
      </c>
      <c r="C82" s="46" t="s">
        <v>197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0.47104615060046062</v>
      </c>
      <c r="J82" s="54">
        <f t="shared" si="45"/>
        <v>2.8973705182690765</v>
      </c>
      <c r="K82" s="55">
        <f t="shared" si="46"/>
        <v>0.30482445116149137</v>
      </c>
      <c r="L82" s="55">
        <f t="shared" si="47"/>
        <v>9.7762292069746209E-2</v>
      </c>
      <c r="M82" s="55">
        <f t="shared" si="19"/>
        <v>0.90223770793025382</v>
      </c>
      <c r="N82" s="55">
        <f t="shared" si="48"/>
        <v>7.0327920153276019E-2</v>
      </c>
      <c r="O82" s="56">
        <f t="shared" si="21"/>
        <v>3.0510625492871607E-7</v>
      </c>
      <c r="P82" s="56">
        <f t="shared" si="49"/>
        <v>2.4089158512395707E-4</v>
      </c>
      <c r="Q82" s="56">
        <f t="shared" si="50"/>
        <v>5.0968178273586113E-3</v>
      </c>
      <c r="R82" s="9">
        <f t="shared" si="43"/>
        <v>3.9999999999999996E-5</v>
      </c>
      <c r="S82" s="9">
        <f t="shared" si="39"/>
        <v>3.9104916827898482E-6</v>
      </c>
      <c r="T82" s="9">
        <f t="shared" si="40"/>
        <v>1.2192978046459654E-5</v>
      </c>
      <c r="U82" s="9">
        <f t="shared" si="41"/>
        <v>3.6089508317210148E-5</v>
      </c>
      <c r="V82" s="102">
        <f t="shared" si="42"/>
        <v>0.33785381444626494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198</v>
      </c>
      <c r="C83" s="46" t="s">
        <v>199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0.17835694544431219</v>
      </c>
      <c r="J83" s="54">
        <f t="shared" si="45"/>
        <v>2.2544039273222234</v>
      </c>
      <c r="K83" s="55">
        <f t="shared" si="46"/>
        <v>0.63227147457114219</v>
      </c>
      <c r="L83" s="55">
        <f t="shared" si="47"/>
        <v>4.6137979574976E-2</v>
      </c>
      <c r="M83" s="55">
        <f t="shared" si="19"/>
        <v>0.95386202042502399</v>
      </c>
      <c r="N83" s="55">
        <f t="shared" si="48"/>
        <v>2.9677653651891105E-2</v>
      </c>
      <c r="O83" s="56">
        <f t="shared" si="21"/>
        <v>6.3285599619584751E-7</v>
      </c>
      <c r="P83" s="56">
        <f t="shared" si="49"/>
        <v>1.1368648176030409E-4</v>
      </c>
      <c r="Q83" s="56">
        <f t="shared" si="50"/>
        <v>2.1508043160876397E-3</v>
      </c>
      <c r="R83" s="9">
        <f t="shared" si="43"/>
        <v>3.9999999999999996E-5</v>
      </c>
      <c r="S83" s="9">
        <f t="shared" si="39"/>
        <v>1.8455191829990399E-6</v>
      </c>
      <c r="T83" s="9">
        <f t="shared" si="40"/>
        <v>2.5290858982845685E-5</v>
      </c>
      <c r="U83" s="9">
        <f t="shared" si="41"/>
        <v>3.8154480817000954E-5</v>
      </c>
      <c r="V83" s="102">
        <f t="shared" si="42"/>
        <v>0.6628542294716937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5.9812805986470914E-3</v>
      </c>
      <c r="J84" s="54">
        <f t="shared" si="45"/>
        <v>0.65206362088681824</v>
      </c>
      <c r="K84" s="55">
        <f t="shared" si="46"/>
        <v>0.98404251344627947</v>
      </c>
      <c r="L84" s="55">
        <f t="shared" si="47"/>
        <v>1.7940251990377013E-3</v>
      </c>
      <c r="M84" s="55">
        <f t="shared" si="19"/>
        <v>0.99820597480096229</v>
      </c>
      <c r="N84" s="55">
        <f t="shared" si="48"/>
        <v>5.9168810025652936E-4</v>
      </c>
      <c r="O84" s="56">
        <f t="shared" si="21"/>
        <v>9.8495223996704138E-7</v>
      </c>
      <c r="P84" s="56">
        <f t="shared" si="49"/>
        <v>4.4205753036170224E-6</v>
      </c>
      <c r="Q84" s="56">
        <f t="shared" si="50"/>
        <v>4.2880927674966219E-5</v>
      </c>
      <c r="R84" s="9">
        <f t="shared" si="43"/>
        <v>3.9999999999999996E-5</v>
      </c>
      <c r="S84" s="9">
        <f t="shared" si="39"/>
        <v>7.1761007961508049E-8</v>
      </c>
      <c r="T84" s="9">
        <f t="shared" si="40"/>
        <v>3.9361700537851176E-5</v>
      </c>
      <c r="U84" s="9">
        <f t="shared" si="41"/>
        <v>3.9928238992038488E-5</v>
      </c>
      <c r="V84" s="102">
        <f t="shared" si="42"/>
        <v>0.98581108337133827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200</v>
      </c>
      <c r="C85" s="46" t="s">
        <v>201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0.11910186422699467</v>
      </c>
      <c r="J85" s="54">
        <f t="shared" si="45"/>
        <v>2.0493358233382901</v>
      </c>
      <c r="K85" s="55">
        <f t="shared" si="46"/>
        <v>0.73436370903365678</v>
      </c>
      <c r="L85" s="55">
        <f t="shared" si="47"/>
        <v>3.3419356748638773E-2</v>
      </c>
      <c r="M85" s="55">
        <f t="shared" si="19"/>
        <v>0.96658064325136128</v>
      </c>
      <c r="N85" s="55">
        <f t="shared" si="48"/>
        <v>2.1434392548504235E-2</v>
      </c>
      <c r="O85" s="56">
        <f t="shared" si="21"/>
        <v>7.350426127729408E-7</v>
      </c>
      <c r="P85" s="56">
        <f t="shared" si="49"/>
        <v>8.2347105929750556E-5</v>
      </c>
      <c r="Q85" s="56">
        <f t="shared" si="50"/>
        <v>1.5533971973253355E-3</v>
      </c>
      <c r="R85" s="9">
        <f t="shared" si="43"/>
        <v>3.9999999999999996E-5</v>
      </c>
      <c r="S85" s="9">
        <f t="shared" si="39"/>
        <v>1.3367742699455507E-6</v>
      </c>
      <c r="T85" s="9">
        <f t="shared" si="40"/>
        <v>2.9374548361346267E-5</v>
      </c>
      <c r="U85" s="9">
        <f t="shared" si="41"/>
        <v>3.8663225730054446E-5</v>
      </c>
      <c r="V85" s="102">
        <f t="shared" si="42"/>
        <v>0.75975420588128206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3.4503381608646556E-2</v>
      </c>
      <c r="J86" s="54">
        <f t="shared" si="45"/>
        <v>1.4157471407554194</v>
      </c>
      <c r="K86" s="55">
        <f t="shared" si="46"/>
        <v>0.91421920197166651</v>
      </c>
      <c r="L86" s="55">
        <f t="shared" si="47"/>
        <v>9.6727182122077204E-3</v>
      </c>
      <c r="M86" s="55">
        <f t="shared" si="19"/>
        <v>0.99032728178779228</v>
      </c>
      <c r="N86" s="55">
        <f t="shared" si="48"/>
        <v>5.1537139776611472E-3</v>
      </c>
      <c r="O86" s="56">
        <f t="shared" si="21"/>
        <v>9.1506437831563453E-7</v>
      </c>
      <c r="P86" s="56">
        <f t="shared" si="49"/>
        <v>2.3834101812319896E-5</v>
      </c>
      <c r="Q86" s="56">
        <f t="shared" si="50"/>
        <v>3.7350089724254412E-4</v>
      </c>
      <c r="R86" s="9">
        <f t="shared" si="43"/>
        <v>3.9999999999999996E-5</v>
      </c>
      <c r="S86" s="9">
        <f t="shared" si="39"/>
        <v>3.8690872848830878E-7</v>
      </c>
      <c r="T86" s="9">
        <f t="shared" si="40"/>
        <v>3.6568768078866655E-5</v>
      </c>
      <c r="U86" s="9">
        <f t="shared" si="41"/>
        <v>3.9613091271511685E-5</v>
      </c>
      <c r="V86" s="102">
        <f t="shared" si="42"/>
        <v>0.92314855783965544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202</v>
      </c>
      <c r="C87" s="46" t="s">
        <v>203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204</v>
      </c>
      <c r="C88" s="46" t="s">
        <v>205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1.1640116161103842</v>
      </c>
      <c r="J88" s="54">
        <f t="shared" si="45"/>
        <v>3.853517361878346</v>
      </c>
      <c r="K88" s="55">
        <f t="shared" si="46"/>
        <v>5.715844200838964E-2</v>
      </c>
      <c r="L88" s="55">
        <f t="shared" si="47"/>
        <v>0.16571003186155253</v>
      </c>
      <c r="M88" s="55">
        <f t="shared" si="19"/>
        <v>0.83428996813844747</v>
      </c>
      <c r="N88" s="55">
        <f t="shared" si="48"/>
        <v>0.13899473695650758</v>
      </c>
      <c r="O88" s="56">
        <f t="shared" si="21"/>
        <v>5.7211283780843526E-8</v>
      </c>
      <c r="P88" s="56">
        <f t="shared" si="49"/>
        <v>4.0831849786819813E-4</v>
      </c>
      <c r="Q88" s="56">
        <f t="shared" si="50"/>
        <v>1.0073251870451459E-2</v>
      </c>
      <c r="R88" s="9">
        <f>F88*$C$14</f>
        <v>3.9999999999999996E-5</v>
      </c>
      <c r="S88" s="9">
        <f t="shared" si="39"/>
        <v>6.6284012744621006E-6</v>
      </c>
      <c r="T88" s="9">
        <f t="shared" si="40"/>
        <v>2.2863376803355855E-6</v>
      </c>
      <c r="U88" s="9">
        <f t="shared" si="41"/>
        <v>3.3371598725537894E-5</v>
      </c>
      <c r="V88" s="102">
        <f t="shared" si="42"/>
        <v>6.8511481848364253E-2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206</v>
      </c>
      <c r="C89" s="46" t="s">
        <v>207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2.5219720041185631</v>
      </c>
      <c r="J89" s="54">
        <f t="shared" si="45"/>
        <v>5.3117367618268752</v>
      </c>
      <c r="K89" s="55">
        <f t="shared" si="46"/>
        <v>2.4033818706689358E-3</v>
      </c>
      <c r="L89" s="55">
        <f t="shared" si="47"/>
        <v>0.20012926440595968</v>
      </c>
      <c r="M89" s="55">
        <f t="shared" si="19"/>
        <v>0.79987073559404032</v>
      </c>
      <c r="N89" s="55">
        <f t="shared" si="48"/>
        <v>0.17962622970778089</v>
      </c>
      <c r="O89" s="56">
        <f t="shared" si="21"/>
        <v>2.4056037464490882E-9</v>
      </c>
      <c r="P89" s="56">
        <f t="shared" si="49"/>
        <v>4.931293519391842E-4</v>
      </c>
      <c r="Q89" s="56">
        <f t="shared" si="50"/>
        <v>1.3017904807087966E-2</v>
      </c>
      <c r="R89" s="9">
        <f>F89*$C$14</f>
        <v>3.9999999999999996E-5</v>
      </c>
      <c r="S89" s="9">
        <f t="shared" si="39"/>
        <v>8.0051705762383864E-6</v>
      </c>
      <c r="T89" s="9">
        <f t="shared" si="40"/>
        <v>9.6135274826757422E-8</v>
      </c>
      <c r="U89" s="9">
        <f t="shared" si="41"/>
        <v>3.1994829423761612E-5</v>
      </c>
      <c r="V89" s="102">
        <f t="shared" si="42"/>
        <v>3.0047128413618176E-3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208</v>
      </c>
      <c r="C90" s="46" t="s">
        <v>209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2.8671793282646911</v>
      </c>
      <c r="J90" s="54">
        <f t="shared" si="45"/>
        <v>5.6876254788112171</v>
      </c>
      <c r="K90" s="55">
        <f t="shared" si="46"/>
        <v>1.0697918203161775E-3</v>
      </c>
      <c r="L90" s="55">
        <f t="shared" si="47"/>
        <v>0.21167804125258824</v>
      </c>
      <c r="M90" s="55">
        <f t="shared" si="19"/>
        <v>0.78832195874741173</v>
      </c>
      <c r="N90" s="55">
        <f t="shared" si="48"/>
        <v>0.19466875276535331</v>
      </c>
      <c r="O90" s="56">
        <f t="shared" si="21"/>
        <v>1.0707808202601206E-9</v>
      </c>
      <c r="P90" s="56">
        <f t="shared" si="49"/>
        <v>5.2158616388506653E-4</v>
      </c>
      <c r="Q90" s="56">
        <f t="shared" si="50"/>
        <v>1.4108069275498122E-2</v>
      </c>
      <c r="R90" s="9">
        <f>F90*$C$14</f>
        <v>3.9999999999999996E-5</v>
      </c>
      <c r="S90" s="9">
        <f t="shared" si="39"/>
        <v>8.4671216501035296E-6</v>
      </c>
      <c r="T90" s="9">
        <f t="shared" si="40"/>
        <v>4.2791672812647094E-8</v>
      </c>
      <c r="U90" s="9">
        <f t="shared" si="41"/>
        <v>3.1532878349896467E-5</v>
      </c>
      <c r="V90" s="102">
        <f t="shared" si="42"/>
        <v>1.3570493736036499E-3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3.2678433041260839</v>
      </c>
      <c r="J91" s="54">
        <f t="shared" si="45"/>
        <v>6.1146638337723394</v>
      </c>
      <c r="K91" s="55">
        <f t="shared" si="46"/>
        <v>4.1967898476231931E-4</v>
      </c>
      <c r="L91" s="55">
        <f t="shared" si="47"/>
        <v>0.22198933634078991</v>
      </c>
      <c r="M91" s="55">
        <f t="shared" si="19"/>
        <v>0.77801066365921012</v>
      </c>
      <c r="N91" s="55">
        <f t="shared" si="48"/>
        <v>0.20814414366387873</v>
      </c>
      <c r="O91" s="56">
        <f t="shared" si="21"/>
        <v>4.2006696912013705E-10</v>
      </c>
      <c r="P91" s="56">
        <f t="shared" si="49"/>
        <v>5.4699375372252348E-4</v>
      </c>
      <c r="Q91" s="56">
        <f t="shared" si="50"/>
        <v>1.5084660256897009E-2</v>
      </c>
      <c r="R91" s="9">
        <f t="shared" ref="R91:R92" si="51">F91*$C$14</f>
        <v>3.9999999999999996E-5</v>
      </c>
      <c r="S91" s="9">
        <f t="shared" si="39"/>
        <v>8.879573453631595E-6</v>
      </c>
      <c r="T91" s="9">
        <f t="shared" si="40"/>
        <v>1.6787159390492771E-8</v>
      </c>
      <c r="U91" s="9">
        <f t="shared" si="41"/>
        <v>3.1120426546368403E-5</v>
      </c>
      <c r="V91" s="102">
        <f t="shared" si="42"/>
        <v>5.3942574872746236E-4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4.4880081925943038</v>
      </c>
      <c r="J92" s="54">
        <f t="shared" si="45"/>
        <v>7.3741192893466714</v>
      </c>
      <c r="K92" s="55">
        <f t="shared" si="46"/>
        <v>2.4758147812114391E-5</v>
      </c>
      <c r="L92" s="55">
        <f t="shared" si="47"/>
        <v>0.23800632426056459</v>
      </c>
      <c r="M92" s="55">
        <f t="shared" si="19"/>
        <v>0.76199367573943544</v>
      </c>
      <c r="N92" s="55">
        <f t="shared" si="48"/>
        <v>0.22912692405406526</v>
      </c>
      <c r="O92" s="56">
        <f t="shared" si="21"/>
        <v>2.4781036196876092E-11</v>
      </c>
      <c r="P92" s="56">
        <f t="shared" si="49"/>
        <v>5.8646047987245017E-4</v>
      </c>
      <c r="Q92" s="56">
        <f t="shared" si="50"/>
        <v>1.660532813570206E-2</v>
      </c>
      <c r="R92" s="9">
        <f t="shared" si="51"/>
        <v>3.9999999999999996E-5</v>
      </c>
      <c r="S92" s="9">
        <f t="shared" si="39"/>
        <v>9.5202529704225826E-6</v>
      </c>
      <c r="T92" s="9">
        <f t="shared" si="40"/>
        <v>9.9032591248457553E-10</v>
      </c>
      <c r="U92" s="9">
        <f t="shared" si="41"/>
        <v>3.0479747029577416E-5</v>
      </c>
      <c r="V92" s="102">
        <f t="shared" si="42"/>
        <v>3.2491277290574872E-5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210</v>
      </c>
      <c r="C93" s="46" t="s">
        <v>211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3.2311126461878961E-2</v>
      </c>
      <c r="J93" s="54">
        <f t="shared" si="45"/>
        <v>1.2733489644967995</v>
      </c>
      <c r="K93" s="55">
        <f t="shared" si="46"/>
        <v>0.92130446855395298</v>
      </c>
      <c r="L93" s="55">
        <f t="shared" si="47"/>
        <v>7.0226851580454785E-3</v>
      </c>
      <c r="M93" s="55">
        <f t="shared" ref="M93:M127" si="52">IF(D93=0,"",1-L93)</f>
        <v>0.99297731484195451</v>
      </c>
      <c r="N93" s="55">
        <f t="shared" si="48"/>
        <v>2.2627321681625901E-3</v>
      </c>
      <c r="O93" s="56">
        <f t="shared" ref="O93:O127" si="53">IF(D93=0,"",F93*K93*$J$7/$J$14)</f>
        <v>9.2215619507723581E-7</v>
      </c>
      <c r="P93" s="56">
        <f t="shared" si="49"/>
        <v>1.7304276769013909E-5</v>
      </c>
      <c r="Q93" s="56">
        <f t="shared" si="50"/>
        <v>1.6398513745456857E-4</v>
      </c>
      <c r="R93" s="9">
        <f>F93*$C$14</f>
        <v>3.9999999999999996E-5</v>
      </c>
      <c r="S93" s="9">
        <f t="shared" si="39"/>
        <v>2.8090740632181911E-7</v>
      </c>
      <c r="T93" s="9">
        <f t="shared" si="40"/>
        <v>3.6852178742158118E-5</v>
      </c>
      <c r="U93" s="9">
        <f t="shared" si="41"/>
        <v>3.9719092593678178E-5</v>
      </c>
      <c r="V93" s="102">
        <f t="shared" si="42"/>
        <v>0.92782025810991542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212</v>
      </c>
      <c r="C94" s="46" t="s">
        <v>213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214</v>
      </c>
      <c r="C95" s="46" t="s">
        <v>215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216</v>
      </c>
      <c r="C96" s="46" t="s">
        <v>217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218</v>
      </c>
      <c r="C97" s="46" t="s">
        <v>219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220</v>
      </c>
      <c r="C98" s="46" t="s">
        <v>221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222</v>
      </c>
      <c r="C99" s="46" t="s">
        <v>223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224</v>
      </c>
      <c r="C100" s="46" t="s">
        <v>225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226</v>
      </c>
      <c r="C101" s="46" t="s">
        <v>227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228</v>
      </c>
      <c r="C102" s="46" t="s">
        <v>229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230</v>
      </c>
      <c r="C103" s="46" t="s">
        <v>231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232</v>
      </c>
      <c r="C104" s="46" t="s">
        <v>233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234</v>
      </c>
      <c r="C105" s="46" t="s">
        <v>235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236</v>
      </c>
      <c r="C106" s="46" t="s">
        <v>237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238</v>
      </c>
      <c r="C107" s="46" t="s">
        <v>239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1.9446765022663539E-3</v>
      </c>
      <c r="J107" s="54">
        <f t="shared" si="45"/>
        <v>0.31039088979163149</v>
      </c>
      <c r="K107" s="55">
        <f t="shared" si="46"/>
        <v>0.99419535089529498</v>
      </c>
      <c r="L107" s="55">
        <f t="shared" si="47"/>
        <v>8.2530347574794613E-4</v>
      </c>
      <c r="M107" s="55">
        <f t="shared" si="52"/>
        <v>0.99917469652425206</v>
      </c>
      <c r="N107" s="55">
        <f t="shared" si="48"/>
        <v>1.6044038718783139E-4</v>
      </c>
      <c r="O107" s="56">
        <f t="shared" si="53"/>
        <v>9.9511446349985136E-7</v>
      </c>
      <c r="P107" s="56">
        <f t="shared" si="49"/>
        <v>2.033592485120936E-6</v>
      </c>
      <c r="Q107" s="56">
        <f t="shared" si="50"/>
        <v>1.1627464936614726E-5</v>
      </c>
      <c r="R107" s="9">
        <f>F107*$C$14</f>
        <v>3.9999999999999996E-5</v>
      </c>
      <c r="S107" s="9">
        <f t="shared" ref="S107:S108" si="54">$R107*L107</f>
        <v>3.3012139029917845E-8</v>
      </c>
      <c r="T107" s="9">
        <f t="shared" ref="T107:T108" si="55">R107*K107</f>
        <v>3.9767814035811795E-5</v>
      </c>
      <c r="U107" s="9">
        <f t="shared" ref="U107:U108" si="56">$R107*M107</f>
        <v>3.9966987860970078E-5</v>
      </c>
      <c r="V107" s="102">
        <f t="shared" ref="V107:V108" si="57">K107/M107</f>
        <v>0.99501654150542607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240</v>
      </c>
      <c r="C108" s="46" t="s">
        <v>241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1.5422749478710035E-2</v>
      </c>
      <c r="J108" s="54">
        <f t="shared" si="45"/>
        <v>1.0136234276499627</v>
      </c>
      <c r="K108" s="55">
        <f t="shared" si="46"/>
        <v>0.96072661588350694</v>
      </c>
      <c r="L108" s="55">
        <f t="shared" si="47"/>
        <v>4.0269320977095362E-3</v>
      </c>
      <c r="M108" s="55">
        <f t="shared" si="52"/>
        <v>0.99597306790229045</v>
      </c>
      <c r="N108" s="55">
        <f t="shared" si="48"/>
        <v>1.5928643630884116E-3</v>
      </c>
      <c r="O108" s="56">
        <f t="shared" si="53"/>
        <v>9.6161478734940257E-7</v>
      </c>
      <c r="P108" s="56">
        <f t="shared" si="49"/>
        <v>9.9225788968995204E-6</v>
      </c>
      <c r="Q108" s="56">
        <f t="shared" si="50"/>
        <v>1.1543835598520907E-4</v>
      </c>
      <c r="R108" s="9">
        <f>F108*$C$14</f>
        <v>3.9999999999999996E-5</v>
      </c>
      <c r="S108" s="9">
        <f t="shared" si="54"/>
        <v>1.6107728390838143E-7</v>
      </c>
      <c r="T108" s="9">
        <f t="shared" si="55"/>
        <v>3.8429064635340273E-5</v>
      </c>
      <c r="U108" s="9">
        <f t="shared" si="56"/>
        <v>3.9838922716091617E-5</v>
      </c>
      <c r="V108" s="102">
        <f t="shared" si="57"/>
        <v>0.96461103903841572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242</v>
      </c>
      <c r="C109" s="46" t="s">
        <v>243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244</v>
      </c>
      <c r="C110" s="46" t="s">
        <v>245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246</v>
      </c>
      <c r="C111" s="46" t="s">
        <v>247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248</v>
      </c>
      <c r="C112" s="46" t="s">
        <v>249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250</v>
      </c>
      <c r="C113" s="46" t="s">
        <v>251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252</v>
      </c>
      <c r="C114" s="46" t="s">
        <v>253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1.0353959656071578E-2</v>
      </c>
      <c r="J114" s="54">
        <f t="shared" si="45"/>
        <v>0.87939054598043731</v>
      </c>
      <c r="K114" s="55">
        <f t="shared" si="46"/>
        <v>0.97301327101892143</v>
      </c>
      <c r="L114" s="55">
        <f t="shared" si="47"/>
        <v>2.9940590821288843E-3</v>
      </c>
      <c r="M114" s="55">
        <f t="shared" si="52"/>
        <v>0.99700594091787109</v>
      </c>
      <c r="N114" s="55">
        <f t="shared" si="48"/>
        <v>1.2539428318171268E-3</v>
      </c>
      <c r="O114" s="56">
        <f t="shared" si="53"/>
        <v>9.7391280123799642E-7</v>
      </c>
      <c r="P114" s="56">
        <f t="shared" si="49"/>
        <v>7.3775238180202711E-6</v>
      </c>
      <c r="Q114" s="56">
        <f t="shared" si="50"/>
        <v>9.0875973095251011E-5</v>
      </c>
      <c r="R114" s="9">
        <f>F114*$C$14</f>
        <v>3.9999999999999996E-5</v>
      </c>
      <c r="S114" s="9">
        <f t="shared" ref="S114:S116" si="58">$R114*L114</f>
        <v>1.1976236328515537E-7</v>
      </c>
      <c r="T114" s="9">
        <f t="shared" ref="T114:T116" si="59">R114*K114</f>
        <v>3.8920530840756856E-5</v>
      </c>
      <c r="U114" s="9">
        <f t="shared" ref="U114:U116" si="60">$R114*M114</f>
        <v>3.9880237636714842E-5</v>
      </c>
      <c r="V114" s="102">
        <f t="shared" ref="V114:V116" si="61">K114/M114</f>
        <v>0.97593527890429488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254</v>
      </c>
      <c r="C115" s="46" t="s">
        <v>255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2.0480395290290027E-2</v>
      </c>
      <c r="J115" s="54">
        <f t="shared" si="45"/>
        <v>1.0210151944953776</v>
      </c>
      <c r="K115" s="55">
        <f t="shared" si="46"/>
        <v>0.94958260893578983</v>
      </c>
      <c r="L115" s="55">
        <f t="shared" si="47"/>
        <v>4.0485453001362056E-3</v>
      </c>
      <c r="M115" s="55">
        <f t="shared" si="52"/>
        <v>0.99595145469986379</v>
      </c>
      <c r="N115" s="55">
        <f t="shared" si="48"/>
        <v>6.9945330339337807E-4</v>
      </c>
      <c r="O115" s="56">
        <f t="shared" si="53"/>
        <v>9.504604780026232E-7</v>
      </c>
      <c r="P115" s="56">
        <f t="shared" si="49"/>
        <v>9.9758349988375923E-6</v>
      </c>
      <c r="Q115" s="56">
        <f t="shared" si="50"/>
        <v>5.0690907087406257E-5</v>
      </c>
      <c r="R115" s="9">
        <f>F115*$C$14</f>
        <v>3.9999999999999996E-5</v>
      </c>
      <c r="S115" s="9">
        <f t="shared" si="58"/>
        <v>1.6194181200544821E-7</v>
      </c>
      <c r="T115" s="9">
        <f t="shared" si="59"/>
        <v>3.798330435743159E-5</v>
      </c>
      <c r="U115" s="9">
        <f t="shared" si="60"/>
        <v>3.983805818799455E-5</v>
      </c>
      <c r="V115" s="102">
        <f t="shared" si="61"/>
        <v>0.95344266475513362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256</v>
      </c>
      <c r="C116" s="46" t="s">
        <v>257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5.8413729360461944E-4</v>
      </c>
      <c r="J116" s="54">
        <f t="shared" si="45"/>
        <v>9.1475309817773021E-2</v>
      </c>
      <c r="K116" s="55">
        <f t="shared" si="46"/>
        <v>0.99763924104267399</v>
      </c>
      <c r="L116" s="55">
        <f t="shared" si="47"/>
        <v>5.0026473516454127E-4</v>
      </c>
      <c r="M116" s="55">
        <f t="shared" si="52"/>
        <v>0.99949973526483549</v>
      </c>
      <c r="N116" s="55">
        <f t="shared" si="48"/>
        <v>1.8825152226999655E-5</v>
      </c>
      <c r="O116" s="56">
        <f t="shared" si="53"/>
        <v>9.9856153745093682E-7</v>
      </c>
      <c r="P116" s="56">
        <f t="shared" si="49"/>
        <v>1.2326794153867441E-6</v>
      </c>
      <c r="Q116" s="56">
        <f t="shared" si="50"/>
        <v>1.3642998579255159E-6</v>
      </c>
      <c r="R116" s="9">
        <f>F116*$C$14</f>
        <v>3.9999999999999996E-5</v>
      </c>
      <c r="S116" s="9">
        <f t="shared" si="58"/>
        <v>2.0010589406581649E-8</v>
      </c>
      <c r="T116" s="9">
        <f t="shared" si="59"/>
        <v>3.9905569641706958E-5</v>
      </c>
      <c r="U116" s="9">
        <f t="shared" si="60"/>
        <v>3.9979989410593417E-5</v>
      </c>
      <c r="V116" s="102">
        <f t="shared" si="61"/>
        <v>0.9981385745723399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258</v>
      </c>
      <c r="C117" s="46" t="s">
        <v>259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260</v>
      </c>
      <c r="C118" s="46" t="s">
        <v>261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262</v>
      </c>
      <c r="C119" s="46" t="s">
        <v>263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0.56658503951123784</v>
      </c>
      <c r="J119" s="54">
        <f t="shared" si="45"/>
        <v>3.0076215018515007</v>
      </c>
      <c r="K119" s="55">
        <f t="shared" si="46"/>
        <v>0.2438093984223679</v>
      </c>
      <c r="L119" s="55">
        <f t="shared" si="47"/>
        <v>0.10079128941848653</v>
      </c>
      <c r="M119" s="55">
        <f t="shared" si="52"/>
        <v>0.89920871058151342</v>
      </c>
      <c r="N119" s="55">
        <f t="shared" si="48"/>
        <v>6.9255364017974178E-2</v>
      </c>
      <c r="O119" s="56">
        <f t="shared" si="53"/>
        <v>2.4403479506196948E-7</v>
      </c>
      <c r="P119" s="56">
        <f t="shared" si="49"/>
        <v>2.4835519872411438E-4</v>
      </c>
      <c r="Q119" s="56">
        <f t="shared" si="50"/>
        <v>5.0190873439412845E-3</v>
      </c>
      <c r="R119" s="9">
        <f>F119*$C$14</f>
        <v>3.9999999999999996E-5</v>
      </c>
      <c r="S119" s="9">
        <f t="shared" ref="S119:S121" si="62">$R119*L119</f>
        <v>4.031651576739461E-6</v>
      </c>
      <c r="T119" s="9">
        <f t="shared" ref="T119:T121" si="63">R119*K119</f>
        <v>9.7523759368947149E-6</v>
      </c>
      <c r="U119" s="9">
        <f t="shared" ref="U119:U121" si="64">$R119*M119</f>
        <v>3.5968348423260531E-5</v>
      </c>
      <c r="V119" s="102">
        <f t="shared" ref="V119:V121" si="65">K119/M119</f>
        <v>0.27113771870014214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264</v>
      </c>
      <c r="C120" s="46" t="s">
        <v>265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2.3514137427377815E-2</v>
      </c>
      <c r="J120" s="54">
        <f t="shared" si="45"/>
        <v>1.1701393635089397</v>
      </c>
      <c r="K120" s="55">
        <f t="shared" si="46"/>
        <v>0.94144832554795965</v>
      </c>
      <c r="L120" s="55">
        <f t="shared" si="47"/>
        <v>5.6583122139991912E-3</v>
      </c>
      <c r="M120" s="55">
        <f t="shared" si="52"/>
        <v>0.99434168778600085</v>
      </c>
      <c r="N120" s="55">
        <f t="shared" si="48"/>
        <v>2.1387620075226234E-3</v>
      </c>
      <c r="O120" s="56">
        <f t="shared" si="53"/>
        <v>9.4231867464159648E-7</v>
      </c>
      <c r="P120" s="56">
        <f t="shared" si="49"/>
        <v>1.3942387903345016E-5</v>
      </c>
      <c r="Q120" s="56">
        <f t="shared" si="50"/>
        <v>1.5500074941304537E-4</v>
      </c>
      <c r="R120" s="9">
        <f>F120*$C$14</f>
        <v>3.9999999999999996E-5</v>
      </c>
      <c r="S120" s="9">
        <f t="shared" si="62"/>
        <v>2.2633248855996762E-7</v>
      </c>
      <c r="T120" s="9">
        <f t="shared" si="63"/>
        <v>3.7657933021918381E-5</v>
      </c>
      <c r="U120" s="9">
        <f t="shared" si="64"/>
        <v>3.977366751144003E-5</v>
      </c>
      <c r="V120" s="102">
        <f t="shared" si="65"/>
        <v>0.94680564750753493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266</v>
      </c>
      <c r="C121" s="46" t="s">
        <v>267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1.0322461970770105</v>
      </c>
      <c r="J121" s="54">
        <f t="shared" si="45"/>
        <v>3.4818642141609106</v>
      </c>
      <c r="K121" s="55">
        <f t="shared" si="46"/>
        <v>8.3275378362606831E-2</v>
      </c>
      <c r="L121" s="55">
        <f t="shared" si="47"/>
        <v>0.10259634402357751</v>
      </c>
      <c r="M121" s="55">
        <f t="shared" si="52"/>
        <v>0.89740365597642247</v>
      </c>
      <c r="N121" s="55">
        <f t="shared" si="48"/>
        <v>5.8345261146911943E-2</v>
      </c>
      <c r="O121" s="56">
        <f t="shared" si="53"/>
        <v>8.3352364691132048E-8</v>
      </c>
      <c r="P121" s="56">
        <f t="shared" si="49"/>
        <v>2.5280295108189927E-4</v>
      </c>
      <c r="Q121" s="56">
        <f t="shared" si="50"/>
        <v>4.2284083832901768E-3</v>
      </c>
      <c r="R121" s="9">
        <f>F121*$C$14</f>
        <v>3.9999999999999996E-5</v>
      </c>
      <c r="S121" s="9">
        <f t="shared" si="62"/>
        <v>4.1038537609430998E-6</v>
      </c>
      <c r="T121" s="9">
        <f t="shared" si="63"/>
        <v>3.331015134504273E-6</v>
      </c>
      <c r="U121" s="9">
        <f t="shared" si="64"/>
        <v>3.5896146239056898E-5</v>
      </c>
      <c r="V121" s="102">
        <f t="shared" si="65"/>
        <v>9.2795898264977347E-2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268</v>
      </c>
      <c r="C122" s="46" t="s">
        <v>269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270</v>
      </c>
      <c r="C123" s="46" t="s">
        <v>271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272</v>
      </c>
      <c r="C124" s="46" t="s">
        <v>273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0.13981203375224771</v>
      </c>
      <c r="J124" s="54">
        <f t="shared" si="67"/>
        <v>2.1544017149863013</v>
      </c>
      <c r="K124" s="55">
        <f t="shared" si="68"/>
        <v>0.69518534404822796</v>
      </c>
      <c r="L124" s="55">
        <f t="shared" si="69"/>
        <v>4.0295205884315725E-2</v>
      </c>
      <c r="M124" s="55">
        <f t="shared" si="52"/>
        <v>0.95970479411568432</v>
      </c>
      <c r="N124" s="55">
        <f t="shared" si="70"/>
        <v>2.7215391188210078E-2</v>
      </c>
      <c r="O124" s="56">
        <f t="shared" si="53"/>
        <v>6.9582802821652767E-7</v>
      </c>
      <c r="P124" s="56">
        <f t="shared" si="71"/>
        <v>9.9289570783016681E-5</v>
      </c>
      <c r="Q124" s="56">
        <f t="shared" si="72"/>
        <v>1.9723587827464866E-3</v>
      </c>
      <c r="R124" s="9">
        <f>F124*$C$14</f>
        <v>3.9999999999999996E-5</v>
      </c>
      <c r="S124" s="9">
        <f t="shared" ref="S124:S127" si="73">$R124*L124</f>
        <v>1.6118082353726289E-6</v>
      </c>
      <c r="T124" s="9">
        <f t="shared" ref="T124:T127" si="74">R124*K124</f>
        <v>2.7807413761929117E-5</v>
      </c>
      <c r="U124" s="9">
        <f t="shared" ref="U124:U127" si="75">$R124*M124</f>
        <v>3.838819176462737E-5</v>
      </c>
      <c r="V124" s="102">
        <f t="shared" ref="V124:V127" si="76">K124/M124</f>
        <v>0.72437414954126944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274</v>
      </c>
      <c r="C125" s="46" t="s">
        <v>275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276</v>
      </c>
      <c r="C126" s="46" t="s">
        <v>277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4.9312922410980113E-2</v>
      </c>
      <c r="J126" s="54">
        <f t="shared" si="67"/>
        <v>1.5189883983942118</v>
      </c>
      <c r="K126" s="55">
        <f t="shared" si="68"/>
        <v>0.88164377763932034</v>
      </c>
      <c r="L126" s="55">
        <f t="shared" si="69"/>
        <v>1.1831303674260333E-2</v>
      </c>
      <c r="M126" s="55">
        <f t="shared" si="52"/>
        <v>0.98816869632573967</v>
      </c>
      <c r="N126" s="55">
        <f t="shared" si="70"/>
        <v>5.2914795274334476E-3</v>
      </c>
      <c r="O126" s="56">
        <f t="shared" si="53"/>
        <v>8.8245883869148402E-7</v>
      </c>
      <c r="P126" s="56">
        <f t="shared" si="71"/>
        <v>2.915297335850267E-5</v>
      </c>
      <c r="Q126" s="56">
        <f t="shared" si="72"/>
        <v>3.8348506723569887E-4</v>
      </c>
      <c r="R126" s="9">
        <f>F126*$C$14</f>
        <v>3.9999999999999996E-5</v>
      </c>
      <c r="S126" s="9">
        <f t="shared" si="73"/>
        <v>4.7325214697041328E-7</v>
      </c>
      <c r="T126" s="9">
        <f t="shared" si="74"/>
        <v>3.5265751105572807E-5</v>
      </c>
      <c r="U126" s="9">
        <f t="shared" si="75"/>
        <v>3.9526747853029586E-5</v>
      </c>
      <c r="V126" s="102">
        <f t="shared" si="76"/>
        <v>0.89219966278783591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278</v>
      </c>
      <c r="C127" s="46" t="s">
        <v>279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5.4598878066109929E-5</v>
      </c>
      <c r="J127" s="54">
        <f t="shared" si="67"/>
        <v>1.1217847539260454E-2</v>
      </c>
      <c r="K127" s="55">
        <f t="shared" si="68"/>
        <v>0.99894022469032073</v>
      </c>
      <c r="L127" s="55">
        <f t="shared" si="69"/>
        <v>4.1639777989438604E-4</v>
      </c>
      <c r="M127" s="55">
        <f t="shared" si="52"/>
        <v>0.99958360222010556</v>
      </c>
      <c r="N127" s="55">
        <f t="shared" si="70"/>
        <v>1.6395643809281126E-5</v>
      </c>
      <c r="O127" s="56">
        <f t="shared" si="53"/>
        <v>9.9986372383048908E-7</v>
      </c>
      <c r="P127" s="56">
        <f t="shared" si="71"/>
        <v>1.0260266930862639E-6</v>
      </c>
      <c r="Q127" s="56">
        <f t="shared" si="72"/>
        <v>1.1882280817638147E-6</v>
      </c>
      <c r="R127" s="9">
        <f>F127*$C$14</f>
        <v>3.9999999999999996E-5</v>
      </c>
      <c r="S127" s="9">
        <f t="shared" si="73"/>
        <v>1.6655911195775442E-8</v>
      </c>
      <c r="T127" s="9">
        <f t="shared" si="74"/>
        <v>3.9957608987612824E-5</v>
      </c>
      <c r="U127" s="9">
        <f t="shared" si="75"/>
        <v>3.9983344088804216E-5</v>
      </c>
      <c r="V127" s="102">
        <f t="shared" si="76"/>
        <v>0.99935635445764026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280</v>
      </c>
      <c r="C128" s="46" t="s">
        <v>281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282</v>
      </c>
      <c r="C129" s="46" t="s">
        <v>283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284</v>
      </c>
      <c r="C130" s="46" t="s">
        <v>285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2.1084810301724875E-3</v>
      </c>
      <c r="J130" s="54">
        <f t="shared" si="78"/>
        <v>0.29014500901604634</v>
      </c>
      <c r="K130" s="55">
        <f t="shared" si="79"/>
        <v>0.99385809231979083</v>
      </c>
      <c r="L130" s="55">
        <f t="shared" si="80"/>
        <v>7.8744538789783788E-4</v>
      </c>
      <c r="M130" s="55">
        <f t="shared" si="81"/>
        <v>0.99921255461210212</v>
      </c>
      <c r="N130" s="55">
        <f t="shared" si="82"/>
        <v>8.2871719805247416E-5</v>
      </c>
      <c r="O130" s="56">
        <f t="shared" si="83"/>
        <v>9.9477689313591715E-7</v>
      </c>
      <c r="P130" s="56">
        <f t="shared" si="84"/>
        <v>1.9403081052347899E-6</v>
      </c>
      <c r="Q130" s="56">
        <f t="shared" si="85"/>
        <v>6.0058943584097628E-6</v>
      </c>
      <c r="R130" s="9">
        <f>F130*$C$14</f>
        <v>3.9999999999999996E-5</v>
      </c>
      <c r="S130" s="9">
        <f t="shared" ref="S130:S131" si="86">$R130*L130</f>
        <v>3.1497815515913513E-8</v>
      </c>
      <c r="T130" s="9">
        <f t="shared" ref="T130:T131" si="87">R130*K130</f>
        <v>3.9754323692791632E-5</v>
      </c>
      <c r="U130" s="9">
        <f t="shared" ref="U130:U131" si="88">$R130*M130</f>
        <v>3.9968502184484082E-5</v>
      </c>
      <c r="V130" s="102">
        <f t="shared" ref="V130:V131" si="89">K130/M130</f>
        <v>0.9946413180382927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286</v>
      </c>
      <c r="C131" s="46" t="s">
        <v>287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-5.830329626681688E-5</v>
      </c>
      <c r="J131" s="54">
        <f t="shared" si="78"/>
        <v>-1.5136542625182691E-2</v>
      </c>
      <c r="K131" s="55">
        <f t="shared" si="79"/>
        <v>0.99922434593257881</v>
      </c>
      <c r="L131" s="55">
        <f t="shared" si="80"/>
        <v>3.9199228613083747E-4</v>
      </c>
      <c r="M131" s="55">
        <f t="shared" si="81"/>
        <v>0.99960800771386915</v>
      </c>
      <c r="N131" s="55">
        <f t="shared" si="82"/>
        <v>7.87477185554788E-6</v>
      </c>
      <c r="O131" s="56">
        <f t="shared" si="83"/>
        <v>1.0001481077368351E-6</v>
      </c>
      <c r="P131" s="56">
        <f t="shared" si="84"/>
        <v>9.6589023398770116E-7</v>
      </c>
      <c r="Q131" s="56">
        <f t="shared" si="85"/>
        <v>5.7070189893662955E-7</v>
      </c>
      <c r="R131" s="9">
        <f>F131*$C$14</f>
        <v>3.9999999999999996E-5</v>
      </c>
      <c r="S131" s="9">
        <f t="shared" si="86"/>
        <v>1.5679691445233498E-8</v>
      </c>
      <c r="T131" s="9">
        <f t="shared" si="87"/>
        <v>3.996897383730315E-5</v>
      </c>
      <c r="U131" s="9">
        <f t="shared" si="88"/>
        <v>3.9984320308554761E-5</v>
      </c>
      <c r="V131" s="102">
        <f t="shared" si="89"/>
        <v>0.99961618776727512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288</v>
      </c>
      <c r="C132" s="46" t="s">
        <v>289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290</v>
      </c>
      <c r="C133" s="46" t="s">
        <v>291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292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2024-10-28T22:50:47Z</dcterms:modified>
</cp:coreProperties>
</file>