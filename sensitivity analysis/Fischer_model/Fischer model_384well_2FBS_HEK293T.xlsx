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5C2AE6D7-A3EE-49BE-A43C-E1E10AEC0710}" xr6:coauthVersionLast="47" xr6:coauthVersionMax="47" xr10:uidLastSave="{00000000-0000-0000-0000-000000000000}"/>
  <bookViews>
    <workbookView minimized="1" xWindow="48735" yWindow="4020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U130" i="4" s="1"/>
  <c r="V127" i="4"/>
  <c r="U127" i="4"/>
  <c r="R127" i="4"/>
  <c r="T127" i="4" s="1"/>
  <c r="V126" i="4"/>
  <c r="U126" i="4"/>
  <c r="R126" i="4"/>
  <c r="T126" i="4" s="1"/>
  <c r="V124" i="4"/>
  <c r="U124" i="4"/>
  <c r="T124" i="4"/>
  <c r="S124" i="4"/>
  <c r="R124" i="4"/>
  <c r="V121" i="4"/>
  <c r="U121" i="4"/>
  <c r="T121" i="4"/>
  <c r="S121" i="4"/>
  <c r="R121" i="4"/>
  <c r="V120" i="4"/>
  <c r="R120" i="4"/>
  <c r="S120" i="4" s="1"/>
  <c r="V119" i="4"/>
  <c r="R119" i="4"/>
  <c r="U119" i="4" s="1"/>
  <c r="V116" i="4"/>
  <c r="R116" i="4"/>
  <c r="U116" i="4" s="1"/>
  <c r="V115" i="4"/>
  <c r="U115" i="4"/>
  <c r="T115" i="4"/>
  <c r="R115" i="4"/>
  <c r="S115" i="4" s="1"/>
  <c r="V114" i="4"/>
  <c r="U114" i="4"/>
  <c r="T114" i="4"/>
  <c r="R114" i="4"/>
  <c r="S114" i="4" s="1"/>
  <c r="V108" i="4"/>
  <c r="R108" i="4"/>
  <c r="S108" i="4" s="1"/>
  <c r="V107" i="4"/>
  <c r="R107" i="4"/>
  <c r="U107" i="4" s="1"/>
  <c r="V93" i="4"/>
  <c r="R93" i="4"/>
  <c r="U93" i="4" s="1"/>
  <c r="V92" i="4"/>
  <c r="U92" i="4"/>
  <c r="R92" i="4"/>
  <c r="T92" i="4" s="1"/>
  <c r="V91" i="4"/>
  <c r="U91" i="4"/>
  <c r="R91" i="4"/>
  <c r="T91" i="4" s="1"/>
  <c r="V90" i="4"/>
  <c r="U90" i="4"/>
  <c r="T90" i="4"/>
  <c r="S90" i="4"/>
  <c r="R90" i="4"/>
  <c r="V89" i="4"/>
  <c r="U89" i="4"/>
  <c r="T89" i="4"/>
  <c r="S89" i="4"/>
  <c r="R89" i="4"/>
  <c r="V88" i="4"/>
  <c r="R88" i="4"/>
  <c r="U88" i="4" s="1"/>
  <c r="V86" i="4"/>
  <c r="R86" i="4"/>
  <c r="U86" i="4" s="1"/>
  <c r="V85" i="4"/>
  <c r="R85" i="4"/>
  <c r="U85" i="4" s="1"/>
  <c r="V84" i="4"/>
  <c r="U84" i="4"/>
  <c r="T84" i="4"/>
  <c r="R84" i="4"/>
  <c r="S84" i="4" s="1"/>
  <c r="V83" i="4"/>
  <c r="U83" i="4"/>
  <c r="T83" i="4"/>
  <c r="R83" i="4"/>
  <c r="S83" i="4" s="1"/>
  <c r="V82" i="4"/>
  <c r="R82" i="4"/>
  <c r="S82" i="4" s="1"/>
  <c r="V81" i="4"/>
  <c r="R81" i="4"/>
  <c r="U81" i="4" s="1"/>
  <c r="V80" i="4"/>
  <c r="R80" i="4"/>
  <c r="U80" i="4" s="1"/>
  <c r="V79" i="4"/>
  <c r="U79" i="4"/>
  <c r="R79" i="4"/>
  <c r="T79" i="4" s="1"/>
  <c r="V78" i="4"/>
  <c r="U78" i="4"/>
  <c r="R78" i="4"/>
  <c r="T78" i="4" s="1"/>
  <c r="V77" i="4"/>
  <c r="U77" i="4"/>
  <c r="T77" i="4"/>
  <c r="S77" i="4"/>
  <c r="R77" i="4"/>
  <c r="V76" i="4"/>
  <c r="U76" i="4"/>
  <c r="T76" i="4"/>
  <c r="S76" i="4"/>
  <c r="R76" i="4"/>
  <c r="V75" i="4"/>
  <c r="R75" i="4"/>
  <c r="S75" i="4" s="1"/>
  <c r="V74" i="4"/>
  <c r="R74" i="4"/>
  <c r="U74" i="4" s="1"/>
  <c r="V73" i="4"/>
  <c r="R73" i="4"/>
  <c r="U73" i="4" s="1"/>
  <c r="V72" i="4"/>
  <c r="U72" i="4"/>
  <c r="T72" i="4"/>
  <c r="R72" i="4"/>
  <c r="S72" i="4" s="1"/>
  <c r="V71" i="4"/>
  <c r="U71" i="4"/>
  <c r="T71" i="4"/>
  <c r="R71" i="4"/>
  <c r="S71" i="4" s="1"/>
  <c r="V70" i="4"/>
  <c r="R70" i="4"/>
  <c r="S70" i="4" s="1"/>
  <c r="V69" i="4"/>
  <c r="R69" i="4"/>
  <c r="U69" i="4" s="1"/>
  <c r="V68" i="4"/>
  <c r="R68" i="4"/>
  <c r="U68" i="4" s="1"/>
  <c r="V65" i="4"/>
  <c r="U65" i="4"/>
  <c r="R65" i="4"/>
  <c r="T65" i="4" s="1"/>
  <c r="V64" i="4"/>
  <c r="U64" i="4"/>
  <c r="R64" i="4"/>
  <c r="T64" i="4" s="1"/>
  <c r="V63" i="4"/>
  <c r="U63" i="4"/>
  <c r="T63" i="4"/>
  <c r="S63" i="4"/>
  <c r="R63" i="4"/>
  <c r="V62" i="4"/>
  <c r="U62" i="4"/>
  <c r="T62" i="4"/>
  <c r="S62" i="4"/>
  <c r="R62" i="4"/>
  <c r="V61" i="4"/>
  <c r="R61" i="4"/>
  <c r="S61" i="4" s="1"/>
  <c r="V60" i="4"/>
  <c r="R60" i="4"/>
  <c r="U60" i="4" s="1"/>
  <c r="V58" i="4"/>
  <c r="R58" i="4"/>
  <c r="U58" i="4" s="1"/>
  <c r="V57" i="4"/>
  <c r="U57" i="4"/>
  <c r="T57" i="4"/>
  <c r="R57" i="4"/>
  <c r="S57" i="4" s="1"/>
  <c r="V49" i="4"/>
  <c r="U49" i="4"/>
  <c r="T49" i="4"/>
  <c r="R49" i="4"/>
  <c r="S49" i="4" s="1"/>
  <c r="V48" i="4"/>
  <c r="R48" i="4"/>
  <c r="T48" i="4" s="1"/>
  <c r="V47" i="4"/>
  <c r="R47" i="4"/>
  <c r="U47" i="4" s="1"/>
  <c r="V46" i="4"/>
  <c r="R46" i="4"/>
  <c r="U46" i="4" s="1"/>
  <c r="V45" i="4"/>
  <c r="U45" i="4"/>
  <c r="R45" i="4"/>
  <c r="T45" i="4" s="1"/>
  <c r="V44" i="4"/>
  <c r="U44" i="4"/>
  <c r="R44" i="4"/>
  <c r="T44" i="4" s="1"/>
  <c r="V43" i="4"/>
  <c r="U43" i="4"/>
  <c r="T43" i="4"/>
  <c r="S43" i="4"/>
  <c r="R43" i="4"/>
  <c r="V42" i="4"/>
  <c r="U42" i="4"/>
  <c r="T42" i="4"/>
  <c r="S42" i="4"/>
  <c r="R42" i="4"/>
  <c r="V41" i="4"/>
  <c r="R41" i="4"/>
  <c r="S41" i="4" s="1"/>
  <c r="V40" i="4"/>
  <c r="R40" i="4"/>
  <c r="U40" i="4" s="1"/>
  <c r="V39" i="4"/>
  <c r="R39" i="4"/>
  <c r="U39" i="4" s="1"/>
  <c r="V38" i="4"/>
  <c r="U38" i="4"/>
  <c r="T38" i="4"/>
  <c r="R38" i="4"/>
  <c r="S38" i="4" s="1"/>
  <c r="V37" i="4"/>
  <c r="U37" i="4"/>
  <c r="T37" i="4"/>
  <c r="R37" i="4"/>
  <c r="S37" i="4" s="1"/>
  <c r="V36" i="4"/>
  <c r="R36" i="4"/>
  <c r="S36" i="4" s="1"/>
  <c r="V35" i="4"/>
  <c r="R35" i="4"/>
  <c r="U35" i="4" s="1"/>
  <c r="V34" i="4"/>
  <c r="R34" i="4"/>
  <c r="U34" i="4" s="1"/>
  <c r="V33" i="4"/>
  <c r="U33" i="4"/>
  <c r="R33" i="4"/>
  <c r="T33" i="4" s="1"/>
  <c r="V32" i="4"/>
  <c r="U32" i="4"/>
  <c r="R32" i="4"/>
  <c r="T32" i="4" s="1"/>
  <c r="V31" i="4"/>
  <c r="U31" i="4"/>
  <c r="T31" i="4"/>
  <c r="S31" i="4"/>
  <c r="R31" i="4"/>
  <c r="V30" i="4"/>
  <c r="U30" i="4"/>
  <c r="T30" i="4"/>
  <c r="S30" i="4"/>
  <c r="R30" i="4"/>
  <c r="V29" i="4"/>
  <c r="R29" i="4"/>
  <c r="U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O130" i="4"/>
  <c r="P130" i="4"/>
  <c r="Q130" i="4"/>
  <c r="I131" i="4"/>
  <c r="L131" i="4" s="1"/>
  <c r="M131" i="4" s="1"/>
  <c r="J131" i="4"/>
  <c r="K131" i="4"/>
  <c r="O131" i="4"/>
  <c r="P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S29" i="4" l="1"/>
  <c r="T36" i="4"/>
  <c r="T70" i="4"/>
  <c r="T82" i="4"/>
  <c r="S88" i="4"/>
  <c r="T108" i="4"/>
  <c r="T29" i="4"/>
  <c r="S34" i="4"/>
  <c r="U36" i="4"/>
  <c r="T41" i="4"/>
  <c r="S46" i="4"/>
  <c r="U48" i="4"/>
  <c r="T61" i="4"/>
  <c r="S68" i="4"/>
  <c r="U70" i="4"/>
  <c r="T75" i="4"/>
  <c r="S80" i="4"/>
  <c r="U82" i="4"/>
  <c r="T88" i="4"/>
  <c r="S93" i="4"/>
  <c r="U108" i="4"/>
  <c r="T120" i="4"/>
  <c r="S130" i="4"/>
  <c r="T34" i="4"/>
  <c r="S39" i="4"/>
  <c r="U41" i="4"/>
  <c r="T46" i="4"/>
  <c r="S58" i="4"/>
  <c r="U61" i="4"/>
  <c r="T68" i="4"/>
  <c r="S73" i="4"/>
  <c r="U75" i="4"/>
  <c r="T80" i="4"/>
  <c r="S85" i="4"/>
  <c r="T93" i="4"/>
  <c r="S116" i="4"/>
  <c r="U120" i="4"/>
  <c r="T130" i="4"/>
  <c r="S32" i="4"/>
  <c r="T39" i="4"/>
  <c r="S44" i="4"/>
  <c r="T58" i="4"/>
  <c r="S64" i="4"/>
  <c r="T73" i="4"/>
  <c r="S78" i="4"/>
  <c r="T85" i="4"/>
  <c r="S91" i="4"/>
  <c r="T116" i="4"/>
  <c r="S126" i="4"/>
  <c r="S48" i="4"/>
  <c r="S35" i="4"/>
  <c r="S47" i="4"/>
  <c r="S69" i="4"/>
  <c r="S81" i="4"/>
  <c r="S107" i="4"/>
  <c r="S131" i="4"/>
  <c r="S28" i="4"/>
  <c r="T35" i="4"/>
  <c r="S40" i="4"/>
  <c r="T47" i="4"/>
  <c r="S60" i="4"/>
  <c r="T69" i="4"/>
  <c r="S74" i="4"/>
  <c r="T81" i="4"/>
  <c r="S86" i="4"/>
  <c r="T107" i="4"/>
  <c r="S119" i="4"/>
  <c r="T131" i="4"/>
  <c r="T28" i="4"/>
  <c r="S33" i="4"/>
  <c r="T40" i="4"/>
  <c r="S45" i="4"/>
  <c r="T60" i="4"/>
  <c r="S65" i="4"/>
  <c r="T74" i="4"/>
  <c r="S79" i="4"/>
  <c r="T86" i="4"/>
  <c r="S92" i="4"/>
  <c r="T119" i="4"/>
  <c r="S127" i="4"/>
  <c r="N131" i="4"/>
  <c r="Q131" i="4" s="1"/>
  <c r="O15" i="1" l="1"/>
  <c r="L15" i="1"/>
  <c r="N15" i="1"/>
  <c r="M90" i="4"/>
  <c r="M91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L120" i="4" s="1"/>
  <c r="M120" i="4" s="1"/>
  <c r="K120" i="4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/>
  <c r="O119" i="4" s="1"/>
  <c r="P119" i="4" s="1"/>
  <c r="J72" i="4"/>
  <c r="L72" i="4" s="1"/>
  <c r="K72" i="4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 s="1"/>
  <c r="J113" i="4"/>
  <c r="K113" i="4"/>
  <c r="J97" i="4"/>
  <c r="L97" i="4" s="1"/>
  <c r="K97" i="4"/>
  <c r="J81" i="4"/>
  <c r="K81" i="4" s="1"/>
  <c r="J116" i="4"/>
  <c r="K116" i="4"/>
  <c r="O116" i="4" s="1"/>
  <c r="P116" i="4" s="1"/>
  <c r="J100" i="4"/>
  <c r="K100" i="4"/>
  <c r="O100" i="4"/>
  <c r="J84" i="4"/>
  <c r="K84" i="4" s="1"/>
  <c r="J114" i="4"/>
  <c r="K114" i="4"/>
  <c r="O114" i="4" s="1"/>
  <c r="P114" i="4" s="1"/>
  <c r="J78" i="4"/>
  <c r="K78" i="4" s="1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 s="1"/>
  <c r="J106" i="4"/>
  <c r="K106" i="4"/>
  <c r="J127" i="4"/>
  <c r="L127" i="4" s="1"/>
  <c r="M127" i="4" s="1"/>
  <c r="K127" i="4"/>
  <c r="J111" i="4"/>
  <c r="K111" i="4"/>
  <c r="J95" i="4"/>
  <c r="K95" i="4" s="1"/>
  <c r="J79" i="4"/>
  <c r="L79" i="4" s="1"/>
  <c r="J126" i="4"/>
  <c r="K126" i="4"/>
  <c r="O126" i="4" s="1"/>
  <c r="P126" i="4" s="1"/>
  <c r="J94" i="4"/>
  <c r="K94" i="4" s="1"/>
  <c r="J121" i="4"/>
  <c r="K121" i="4"/>
  <c r="J105" i="4"/>
  <c r="K105" i="4"/>
  <c r="J89" i="4"/>
  <c r="K89" i="4" s="1"/>
  <c r="J73" i="4"/>
  <c r="K73" i="4"/>
  <c r="J124" i="4"/>
  <c r="K124" i="4" s="1"/>
  <c r="O124" i="4" s="1"/>
  <c r="P124" i="4" s="1"/>
  <c r="J108" i="4"/>
  <c r="K108" i="4"/>
  <c r="O108" i="4" s="1"/>
  <c r="P108" i="4" s="1"/>
  <c r="J92" i="4"/>
  <c r="K92" i="4" s="1"/>
  <c r="J76" i="4"/>
  <c r="K76" i="4"/>
  <c r="J98" i="4"/>
  <c r="K98" i="4"/>
  <c r="J123" i="4"/>
  <c r="K123" i="4"/>
  <c r="J107" i="4"/>
  <c r="K107" i="4" s="1"/>
  <c r="O107" i="4" s="1"/>
  <c r="P107" i="4" s="1"/>
  <c r="J91" i="4"/>
  <c r="K91" i="4"/>
  <c r="O91" i="4" s="1"/>
  <c r="P91" i="4" s="1"/>
  <c r="J75" i="4"/>
  <c r="K75" i="4" s="1"/>
  <c r="P100" i="4"/>
  <c r="P115" i="4"/>
  <c r="O112" i="4"/>
  <c r="P112" i="4"/>
  <c r="O98" i="4"/>
  <c r="P98" i="4"/>
  <c r="O105" i="4"/>
  <c r="P105" i="4"/>
  <c r="O111" i="4"/>
  <c r="P111" i="4"/>
  <c r="O74" i="4"/>
  <c r="P74" i="4" s="1"/>
  <c r="O104" i="4"/>
  <c r="P104" i="4"/>
  <c r="O121" i="4"/>
  <c r="P121" i="4"/>
  <c r="O127" i="4"/>
  <c r="P127" i="4" s="1"/>
  <c r="O96" i="4"/>
  <c r="P96" i="4" s="1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71" i="4"/>
  <c r="P71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N76" i="4" s="1"/>
  <c r="Q76" i="4" s="1"/>
  <c r="I77" i="4"/>
  <c r="N77" i="4" s="1"/>
  <c r="Q77" i="4" s="1"/>
  <c r="I81" i="4"/>
  <c r="I89" i="4"/>
  <c r="I90" i="4"/>
  <c r="I96" i="4"/>
  <c r="I99" i="4"/>
  <c r="I102" i="4"/>
  <c r="I104" i="4"/>
  <c r="I108" i="4"/>
  <c r="L108" i="4" s="1"/>
  <c r="M108" i="4" s="1"/>
  <c r="I111" i="4"/>
  <c r="I113" i="4"/>
  <c r="I115" i="4"/>
  <c r="N115" i="4" s="1"/>
  <c r="Q115" i="4" s="1"/>
  <c r="I119" i="4"/>
  <c r="N119" i="4" s="1"/>
  <c r="Q119" i="4" s="1"/>
  <c r="I120" i="4"/>
  <c r="I123" i="4"/>
  <c r="I125" i="4"/>
  <c r="I79" i="4"/>
  <c r="I92" i="4"/>
  <c r="I100" i="4"/>
  <c r="I103" i="4"/>
  <c r="I107" i="4"/>
  <c r="N107" i="4" s="1"/>
  <c r="Q107" i="4" s="1"/>
  <c r="I109" i="4"/>
  <c r="I110" i="4"/>
  <c r="I117" i="4"/>
  <c r="I124" i="4"/>
  <c r="N124" i="4" s="1"/>
  <c r="Q124" i="4" s="1"/>
  <c r="I72" i="4"/>
  <c r="I106" i="4"/>
  <c r="I71" i="4"/>
  <c r="I75" i="4"/>
  <c r="I80" i="4"/>
  <c r="I83" i="4"/>
  <c r="I86" i="4"/>
  <c r="L86" i="4" s="1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I78" i="4"/>
  <c r="N78" i="4" s="1"/>
  <c r="Q78" i="4" s="1"/>
  <c r="I82" i="4"/>
  <c r="I85" i="4"/>
  <c r="L85" i="4" s="1"/>
  <c r="I93" i="4"/>
  <c r="N93" i="4" s="1"/>
  <c r="Q93" i="4" s="1"/>
  <c r="I112" i="4"/>
  <c r="I114" i="4"/>
  <c r="I121" i="4"/>
  <c r="L121" i="4" s="1"/>
  <c r="M121" i="4" s="1"/>
  <c r="I122" i="4"/>
  <c r="I84" i="4"/>
  <c r="I87" i="4"/>
  <c r="L87" i="4" s="1"/>
  <c r="I91" i="4"/>
  <c r="I97" i="4"/>
  <c r="I105" i="4"/>
  <c r="I116" i="4"/>
  <c r="N116" i="4" s="1"/>
  <c r="Q116" i="4" s="1"/>
  <c r="I126" i="4"/>
  <c r="L126" i="4" s="1"/>
  <c r="M126" i="4" s="1"/>
  <c r="L105" i="4"/>
  <c r="N105" i="4"/>
  <c r="Q105" i="4"/>
  <c r="N121" i="4"/>
  <c r="Q121" i="4"/>
  <c r="N101" i="4"/>
  <c r="Q101" i="4"/>
  <c r="L101" i="4"/>
  <c r="N75" i="4"/>
  <c r="Q75" i="4"/>
  <c r="L75" i="4"/>
  <c r="L106" i="4"/>
  <c r="N106" i="4"/>
  <c r="Q106" i="4"/>
  <c r="L124" i="4"/>
  <c r="M124" i="4" s="1"/>
  <c r="N79" i="4"/>
  <c r="Q79" i="4"/>
  <c r="N108" i="4"/>
  <c r="Q108" i="4" s="1"/>
  <c r="L96" i="4"/>
  <c r="N96" i="4"/>
  <c r="Q96" i="4" s="1"/>
  <c r="N97" i="4"/>
  <c r="Q97" i="4" s="1"/>
  <c r="N114" i="4"/>
  <c r="Q114" i="4" s="1"/>
  <c r="L114" i="4"/>
  <c r="M114" i="4" s="1"/>
  <c r="N98" i="4"/>
  <c r="Q98" i="4"/>
  <c r="L98" i="4"/>
  <c r="N71" i="4"/>
  <c r="Q71" i="4"/>
  <c r="L71" i="4"/>
  <c r="M71" i="4" s="1"/>
  <c r="N72" i="4"/>
  <c r="Q72" i="4" s="1"/>
  <c r="N117" i="4"/>
  <c r="Q117" i="4"/>
  <c r="L117" i="4"/>
  <c r="N103" i="4"/>
  <c r="Q103" i="4"/>
  <c r="L103" i="4"/>
  <c r="L125" i="4"/>
  <c r="N125" i="4"/>
  <c r="Q125" i="4"/>
  <c r="L115" i="4"/>
  <c r="M115" i="4" s="1"/>
  <c r="L104" i="4"/>
  <c r="N104" i="4"/>
  <c r="Q104" i="4"/>
  <c r="N90" i="4"/>
  <c r="Q90" i="4" s="1"/>
  <c r="L90" i="4"/>
  <c r="N91" i="4"/>
  <c r="Q91" i="4"/>
  <c r="L91" i="4"/>
  <c r="L112" i="4"/>
  <c r="N112" i="4"/>
  <c r="Q112" i="4"/>
  <c r="L78" i="4"/>
  <c r="N127" i="4"/>
  <c r="Q127" i="4"/>
  <c r="N95" i="4"/>
  <c r="Q95" i="4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N87" i="4"/>
  <c r="Q87" i="4" s="1"/>
  <c r="N122" i="4"/>
  <c r="Q122" i="4"/>
  <c r="L122" i="4"/>
  <c r="N74" i="4"/>
  <c r="Q74" i="4"/>
  <c r="L74" i="4"/>
  <c r="N118" i="4"/>
  <c r="Q118" i="4"/>
  <c r="L118" i="4"/>
  <c r="L94" i="4"/>
  <c r="N94" i="4"/>
  <c r="Q94" i="4" s="1"/>
  <c r="L80" i="4"/>
  <c r="N80" i="4"/>
  <c r="Q80" i="4" s="1"/>
  <c r="N109" i="4"/>
  <c r="Q109" i="4"/>
  <c r="L109" i="4"/>
  <c r="L92" i="4"/>
  <c r="N92" i="4"/>
  <c r="Q92" i="4" s="1"/>
  <c r="N120" i="4"/>
  <c r="Q120" i="4" s="1"/>
  <c r="N111" i="4"/>
  <c r="Q111" i="4"/>
  <c r="L111" i="4"/>
  <c r="N99" i="4"/>
  <c r="Q99" i="4"/>
  <c r="L99" i="4"/>
  <c r="L81" i="4"/>
  <c r="N81" i="4"/>
  <c r="Q81" i="4" s="1"/>
  <c r="O78" i="4" l="1"/>
  <c r="P78" i="4" s="1"/>
  <c r="O92" i="4"/>
  <c r="P92" i="4" s="1"/>
  <c r="O82" i="4"/>
  <c r="P82" i="4" s="1"/>
  <c r="M72" i="4"/>
  <c r="M79" i="4"/>
  <c r="O75" i="4"/>
  <c r="P75" i="4" s="1"/>
  <c r="M92" i="4"/>
  <c r="L119" i="4"/>
  <c r="M119" i="4" s="1"/>
  <c r="M81" i="4"/>
  <c r="K79" i="4"/>
  <c r="M75" i="4"/>
  <c r="O73" i="4"/>
  <c r="P73" i="4" s="1"/>
  <c r="O83" i="4"/>
  <c r="P83" i="4" s="1"/>
  <c r="L77" i="4"/>
  <c r="M86" i="4"/>
  <c r="M80" i="4"/>
  <c r="L82" i="4"/>
  <c r="O89" i="4"/>
  <c r="P89" i="4" s="1"/>
  <c r="L107" i="4"/>
  <c r="M107" i="4" s="1"/>
  <c r="O88" i="4"/>
  <c r="P88" i="4" s="1"/>
  <c r="M78" i="4"/>
  <c r="M94" i="4"/>
  <c r="O76" i="4"/>
  <c r="P76" i="4" s="1"/>
  <c r="O90" i="4"/>
  <c r="P90" i="4" s="1"/>
  <c r="N126" i="4"/>
  <c r="Q126" i="4" s="1"/>
  <c r="N86" i="4"/>
  <c r="Q86" i="4" s="1"/>
  <c r="L76" i="4"/>
  <c r="O81" i="4"/>
  <c r="P81" i="4" s="1"/>
  <c r="O86" i="4"/>
  <c r="P86" i="4" s="1"/>
  <c r="M74" i="4"/>
  <c r="O84" i="4"/>
  <c r="P84" i="4" s="1"/>
  <c r="O77" i="4"/>
  <c r="P77" i="4" s="1"/>
  <c r="M85" i="4"/>
  <c r="L83" i="4"/>
  <c r="O87" i="4"/>
  <c r="P87" i="4" s="1"/>
  <c r="L116" i="4"/>
  <c r="M116" i="4" s="1"/>
  <c r="O85" i="4"/>
  <c r="P85" i="4" s="1"/>
  <c r="M96" i="4"/>
  <c r="L89" i="4"/>
  <c r="L73" i="4"/>
  <c r="M87" i="4"/>
  <c r="O97" i="4"/>
  <c r="P97" i="4" s="1"/>
  <c r="O72" i="4"/>
  <c r="P72" i="4" s="1"/>
  <c r="M95" i="4"/>
  <c r="O95" i="4"/>
  <c r="P95" i="4" s="1"/>
  <c r="O93" i="4"/>
  <c r="P93" i="4" s="1"/>
  <c r="L84" i="4"/>
  <c r="O94" i="4"/>
  <c r="P94" i="4" s="1"/>
  <c r="O80" i="4"/>
  <c r="P80" i="4" s="1"/>
  <c r="M97" i="4"/>
  <c r="N85" i="4"/>
  <c r="Q85" i="4" s="1"/>
  <c r="L93" i="4"/>
  <c r="L88" i="4"/>
  <c r="N82" i="4"/>
  <c r="Q82" i="4" s="1"/>
  <c r="N84" i="4"/>
  <c r="Q84" i="4" s="1"/>
  <c r="J14" i="4"/>
  <c r="J13" i="4" s="1"/>
  <c r="K16" i="4" s="1"/>
  <c r="M77" i="4" l="1"/>
  <c r="M83" i="4"/>
  <c r="M82" i="4"/>
  <c r="M76" i="4"/>
  <c r="M84" i="4"/>
  <c r="M73" i="4"/>
  <c r="M93" i="4"/>
  <c r="M89" i="4"/>
  <c r="O79" i="4"/>
  <c r="P79" i="4" s="1"/>
  <c r="M88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4" i="4" l="1"/>
  <c r="P64" i="4" s="1"/>
  <c r="O69" i="4"/>
  <c r="P69" i="4" s="1"/>
  <c r="M57" i="4"/>
  <c r="O66" i="4"/>
  <c r="P66" i="4" s="1"/>
  <c r="M66" i="4"/>
  <c r="M69" i="4"/>
  <c r="M58" i="4"/>
  <c r="O65" i="4"/>
  <c r="P65" i="4" s="1"/>
  <c r="M65" i="4"/>
  <c r="O67" i="4"/>
  <c r="P67" i="4" s="1"/>
  <c r="M67" i="4"/>
  <c r="M68" i="4"/>
  <c r="O68" i="4"/>
  <c r="P68" i="4" s="1"/>
  <c r="M64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J45" i="4" s="1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L39" i="4" s="1"/>
  <c r="J30" i="4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50" i="4"/>
  <c r="M50" i="4" s="1"/>
  <c r="K50" i="4"/>
  <c r="O50" i="4" s="1"/>
  <c r="P50" i="4" s="1"/>
  <c r="L49" i="4"/>
  <c r="K49" i="4"/>
  <c r="K30" i="4"/>
  <c r="L30" i="4"/>
  <c r="M49" i="4" l="1"/>
  <c r="O48" i="4"/>
  <c r="P48" i="4" s="1"/>
  <c r="M48" i="4"/>
  <c r="O49" i="4"/>
  <c r="P49" i="4" s="1"/>
  <c r="M39" i="4"/>
  <c r="K39" i="4"/>
  <c r="M47" i="4"/>
  <c r="O45" i="4"/>
  <c r="P45" i="4" s="1"/>
  <c r="M45" i="4"/>
  <c r="M31" i="4"/>
  <c r="O47" i="4"/>
  <c r="P47" i="4" s="1"/>
  <c r="O31" i="4"/>
  <c r="P31" i="4" s="1"/>
  <c r="O33" i="4"/>
  <c r="P33" i="4" s="1"/>
  <c r="M35" i="4"/>
  <c r="O28" i="4"/>
  <c r="P28" i="4" s="1"/>
  <c r="O46" i="4"/>
  <c r="P46" i="4" s="1"/>
  <c r="O30" i="4"/>
  <c r="P30" i="4" s="1"/>
  <c r="M44" i="4"/>
  <c r="M43" i="4"/>
  <c r="O41" i="4"/>
  <c r="P41" i="4" s="1"/>
  <c r="K35" i="4"/>
  <c r="K43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0" i="4" l="1"/>
  <c r="P40" i="4" s="1"/>
  <c r="M33" i="4"/>
  <c r="O34" i="4"/>
  <c r="P34" i="4" s="1"/>
  <c r="O42" i="4"/>
  <c r="P42" i="4" s="1"/>
  <c r="M41" i="4"/>
  <c r="O37" i="4"/>
  <c r="P37" i="4" s="1"/>
  <c r="M46" i="4"/>
  <c r="O44" i="4"/>
  <c r="P44" i="4" s="1"/>
  <c r="O36" i="4"/>
  <c r="P36" i="4" s="1"/>
  <c r="O43" i="4"/>
  <c r="P43" i="4" s="1"/>
  <c r="O35" i="4"/>
  <c r="P35" i="4" s="1"/>
  <c r="O29" i="4"/>
  <c r="P29" i="4" s="1"/>
  <c r="O39" i="4"/>
  <c r="P39" i="4" s="1"/>
  <c r="O32" i="4"/>
  <c r="P32" i="4" s="1"/>
  <c r="O38" i="4"/>
  <c r="P38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<sst xmlns="http://schemas.openxmlformats.org/spreadsheetml/2006/main" count="318" uniqueCount="294">
  <si>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</si>
  <si>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</si>
  <si>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</si>
  <si>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</si>
  <si>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</si>
  <si>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</si>
  <si>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</si>
  <si>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</si>
  <si>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</si>
  <si>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</si>
  <si>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</si>
  <si>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</si>
  <si>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</si>
  <si>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</si>
  <si>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</si>
  <si>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</si>
  <si>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</si>
  <si>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</si>
  <si>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</si>
  <si>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</si>
  <si>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</si>
  <si>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</si>
  <si>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</si>
  <si>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</si>
  <si>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</si>
  <si>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</si>
  <si>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</si>
  <si>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</si>
  <si>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</si>
  <si>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</si>
  <si>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</si>
  <si>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</si>
  <si>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</si>
  <si>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</si>
  <si>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</si>
  <si>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</si>
  <si>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</si>
  <si>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</si>
  <si>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</si>
  <si>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</si>
  <si>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</si>
  <si>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</si>
  <si>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</si>
  <si>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</si>
  <si>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</si>
  <si>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</si>
  <si>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</si>
  <si>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</si>
  <si>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</si>
  <si>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</si>
  <si>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</si>
  <si>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</si>
  <si>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</si>
  <si>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</si>
  <si>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</si>
  <si>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</si>
  <si>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</si>
  <si>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</si>
  <si>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</si>
  <si>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</si>
  <si>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</si>
  <si>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</si>
  <si>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</si>
  <si>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</si>
  <si>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</si>
  <si>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</si>
  <si>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</si>
  <si>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</si>
  <si>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</si>
  <si>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</si>
  <si>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</si>
  <si>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</si>
  <si>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</si>
  <si>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</si>
  <si>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</si>
  <si>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</si>
  <si>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</si>
  <si>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</si>
  <si>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</si>
  <si>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</si>
  <si>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</si>
  <si>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</si>
  <si>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</si>
  <si>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</si>
  <si>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</si>
  <si>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</si>
  <si>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</si>
  <si>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</si>
  <si>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</si>
  <si>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</si>
  <si>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</si>
  <si>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</si>
  <si>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</si>
  <si>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</si>
  <si>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</si>
  <si>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</si>
  <si>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</si>
  <si>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</si>
  <si>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</si>
  <si>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</si>
  <si>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</si>
  <si>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</si>
  <si>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</si>
  <si>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</si>
  <si>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</si>
  <si>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</si>
  <si>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</si>
  <si>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</si>
  <si>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</si>
  <si>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</si>
  <si>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</si>
  <si>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HEK293T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</si>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</sst>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6.6116099999999995E-3</v>
      </c>
      <c r="M17" s="81">
        <v>6.1539000000000006E-4</v>
      </c>
      <c r="N17" s="81">
        <v>7.2999999999999999E-5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6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40.040880000000001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40.016305016000004</v>
      </c>
      <c r="K8" s="39">
        <f>J8/J7</f>
        <v>0.99938625264979197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2.2646184E-2</v>
      </c>
      <c r="K9" s="39">
        <f>J9/J7</f>
        <v>5.6557658073448929E-4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1.9288E-3</v>
      </c>
      <c r="K10" s="39">
        <f>J10/J7</f>
        <v>4.8170769473597979E-5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4.0879999999999993E-2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3.7025015999999994E-2</v>
      </c>
      <c r="K20" s="39">
        <f>J20/J19</f>
        <v>0.90570000000000006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3.4461840000000001E-3</v>
      </c>
      <c r="K21" s="39">
        <f>J21/J19</f>
        <v>8.4300000000000014E-2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4.0880000000000002E-4</v>
      </c>
      <c r="K22" s="39">
        <f>J22/J19</f>
        <v>1.0000000000000002E-2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0.73367838445348477</v>
      </c>
      <c r="K28" s="95">
        <f t="shared" ref="K28:K47" si="3">IF(D28=0,"",1/(1+10^D28*$J$15/$J$14+10^E28*$J$16/$J$14+10^J28*$J$19/$J$14))</f>
        <v>0.97113869452531365</v>
      </c>
      <c r="L28" s="95">
        <f t="shared" ref="L28:L47" si="4">IF(D28=0,"",1/(1+10^I28/10^J28*$J$13/$J$19))</f>
        <v>5.3781828289652328E-3</v>
      </c>
      <c r="M28" s="95">
        <f t="shared" ref="M28:M47" si="5">IF(D28=0,"",1-L28)</f>
        <v>0.99462181717103482</v>
      </c>
      <c r="N28" s="95">
        <f t="shared" ref="N28:N47" si="6">IF(D28=0,"",1/(1/10^E28*$J$20/$J$22+10^D28/10^E28*$J$21/$J$22+10^I28/10^E28*$J$13/$J$22+1))</f>
        <v>7.9323556430047494E-4</v>
      </c>
      <c r="O28" s="40">
        <f t="shared" ref="O28:O47" si="7">IF(D28=0,"",F28*K28*$J$7/$J$14)</f>
        <v>9.7263502321314282E-7</v>
      </c>
      <c r="P28" s="40">
        <f t="shared" ref="P28:P47" si="8">IF(D28=0,"",O28*10^J28)</f>
        <v>5.2677879959064933E-6</v>
      </c>
      <c r="Q28" s="40">
        <f t="shared" ref="Q28:Q47" si="9">IF(D28=0,"",F28*N28*$J$7/$J$22)</f>
        <v>7.7695327891114482E-5</v>
      </c>
      <c r="R28" s="9">
        <f>F28*$C$14</f>
        <v>3.9999999999999996E-5</v>
      </c>
      <c r="S28" s="9">
        <f>$R28*L28</f>
        <v>2.1512731315860929E-7</v>
      </c>
      <c r="T28" s="9">
        <f>R28*K28</f>
        <v>3.8845547781012544E-5</v>
      </c>
      <c r="U28" s="9">
        <f>$R28*M28</f>
        <v>3.9784872686841388E-5</v>
      </c>
      <c r="V28" s="102">
        <f>K28/M28</f>
        <v>0.97638989790862085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4.0594690780898786</v>
      </c>
      <c r="K29" s="95">
        <f t="shared" si="3"/>
        <v>1.536737224016313E-2</v>
      </c>
      <c r="L29" s="95">
        <f t="shared" si="4"/>
        <v>0.18019577663716155</v>
      </c>
      <c r="M29" s="95">
        <f t="shared" si="5"/>
        <v>0.81980422336283842</v>
      </c>
      <c r="N29" s="95">
        <f t="shared" si="6"/>
        <v>0.10761121374841377</v>
      </c>
      <c r="O29" s="40">
        <f t="shared" si="7"/>
        <v>1.5391050258626543E-8</v>
      </c>
      <c r="P29" s="40">
        <f t="shared" si="8"/>
        <v>1.7649700266231391E-4</v>
      </c>
      <c r="Q29" s="40">
        <f t="shared" si="9"/>
        <v>1.0540234090886951E-2</v>
      </c>
      <c r="R29" s="9">
        <f>F29*$C$14</f>
        <v>3.9999999999999996E-5</v>
      </c>
      <c r="S29" s="9">
        <f t="shared" ref="S29:S49" si="10">$R29*L29</f>
        <v>7.2078310654864614E-6</v>
      </c>
      <c r="T29" s="9">
        <f t="shared" ref="T29:T50" si="11">R29*K29</f>
        <v>6.1469488960652515E-7</v>
      </c>
      <c r="U29" s="9">
        <f t="shared" ref="U29:U50" si="12">$R29*M29</f>
        <v>3.2792168934513534E-5</v>
      </c>
      <c r="V29" s="102">
        <f t="shared" ref="V29:V49" si="13">K29/M29</f>
        <v>1.8745173301408648E-2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7.3247125997419902</v>
      </c>
      <c r="K30" s="95">
        <f t="shared" si="3"/>
        <v>9.6043811341949356E-6</v>
      </c>
      <c r="L30" s="95">
        <f t="shared" si="4"/>
        <v>0.20742347431625344</v>
      </c>
      <c r="M30" s="95">
        <f t="shared" si="5"/>
        <v>0.79257652568374659</v>
      </c>
      <c r="N30" s="95">
        <f t="shared" si="6"/>
        <v>0.19591618015973661</v>
      </c>
      <c r="O30" s="40">
        <f t="shared" si="7"/>
        <v>9.6191795467192833E-12</v>
      </c>
      <c r="P30" s="40">
        <f t="shared" si="8"/>
        <v>2.0316581321624757E-4</v>
      </c>
      <c r="Q30" s="40">
        <f t="shared" si="9"/>
        <v>1.9189472259868872E-2</v>
      </c>
      <c r="R30" s="9">
        <f t="shared" ref="R30:R49" si="14">F30*$C$14</f>
        <v>3.9999999999999996E-5</v>
      </c>
      <c r="S30" s="9">
        <f t="shared" si="10"/>
        <v>8.2969389726501364E-6</v>
      </c>
      <c r="T30" s="9">
        <f t="shared" si="11"/>
        <v>3.8417524536779741E-10</v>
      </c>
      <c r="U30" s="9">
        <f t="shared" si="12"/>
        <v>3.1703061027349858E-5</v>
      </c>
      <c r="V30" s="102">
        <f t="shared" si="13"/>
        <v>1.2117922778383258E-5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2.588750951841865</v>
      </c>
      <c r="K31" s="95">
        <f t="shared" si="3"/>
        <v>0.30991574627830176</v>
      </c>
      <c r="L31" s="95">
        <f t="shared" si="4"/>
        <v>0.12293357545301205</v>
      </c>
      <c r="M31" s="95">
        <f t="shared" si="5"/>
        <v>0.87706642454698791</v>
      </c>
      <c r="N31" s="95">
        <f t="shared" si="6"/>
        <v>6.268138170238563E-2</v>
      </c>
      <c r="O31" s="40">
        <f t="shared" si="7"/>
        <v>3.1039326388168892E-7</v>
      </c>
      <c r="P31" s="40">
        <f t="shared" si="8"/>
        <v>1.2041018940031806E-4</v>
      </c>
      <c r="Q31" s="40">
        <f t="shared" si="9"/>
        <v>6.1394757411433925E-3</v>
      </c>
      <c r="R31" s="9">
        <f t="shared" si="14"/>
        <v>3.9999999999999996E-5</v>
      </c>
      <c r="S31" s="9">
        <f t="shared" si="10"/>
        <v>4.9173430181204814E-6</v>
      </c>
      <c r="T31" s="9">
        <f t="shared" si="11"/>
        <v>1.239662985113207E-5</v>
      </c>
      <c r="U31" s="9">
        <f t="shared" si="12"/>
        <v>3.508265698187951E-5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5.2541395657856595</v>
      </c>
      <c r="K32" s="95">
        <f t="shared" si="3"/>
        <v>1.0005010747344367E-3</v>
      </c>
      <c r="L32" s="95">
        <f t="shared" si="4"/>
        <v>0.18366780842479177</v>
      </c>
      <c r="M32" s="95">
        <f t="shared" si="5"/>
        <v>0.8163321915752082</v>
      </c>
      <c r="N32" s="95">
        <f t="shared" si="6"/>
        <v>0.11221049497874321</v>
      </c>
      <c r="O32" s="40">
        <f t="shared" si="7"/>
        <v>1.0020426449228853E-9</v>
      </c>
      <c r="P32" s="40">
        <f t="shared" si="8"/>
        <v>1.7989776607143065E-4</v>
      </c>
      <c r="Q32" s="40">
        <f t="shared" si="9"/>
        <v>1.0990721536654743E-2</v>
      </c>
      <c r="R32" s="9">
        <f t="shared" si="14"/>
        <v>3.9999999999999996E-5</v>
      </c>
      <c r="S32" s="9">
        <f t="shared" si="10"/>
        <v>7.3467123369916699E-6</v>
      </c>
      <c r="T32" s="9">
        <f t="shared" si="11"/>
        <v>4.0020042989377467E-8</v>
      </c>
      <c r="U32" s="9">
        <f t="shared" si="12"/>
        <v>3.2653287663008323E-5</v>
      </c>
      <c r="V32" s="102">
        <f t="shared" si="13"/>
        <v>1.2256053173694561E-3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4.7956325345638788</v>
      </c>
      <c r="K33" s="95">
        <f t="shared" si="3"/>
        <v>2.805646608688657E-3</v>
      </c>
      <c r="L33" s="95">
        <f t="shared" si="4"/>
        <v>0.17920140931884185</v>
      </c>
      <c r="M33" s="95">
        <f t="shared" si="5"/>
        <v>0.82079859068115812</v>
      </c>
      <c r="N33" s="95">
        <f t="shared" si="6"/>
        <v>9.7341690957559776E-2</v>
      </c>
      <c r="O33" s="40">
        <f t="shared" si="7"/>
        <v>2.8099695437463969E-9</v>
      </c>
      <c r="P33" s="40">
        <f t="shared" si="8"/>
        <v>1.755230461439979E-4</v>
      </c>
      <c r="Q33" s="40">
        <f t="shared" si="9"/>
        <v>9.5343614643560084E-3</v>
      </c>
      <c r="R33" s="9">
        <f t="shared" si="14"/>
        <v>3.9999999999999996E-5</v>
      </c>
      <c r="S33" s="9">
        <f t="shared" si="10"/>
        <v>7.1680563727536736E-6</v>
      </c>
      <c r="T33" s="9">
        <f t="shared" si="11"/>
        <v>1.1222586434754627E-7</v>
      </c>
      <c r="U33" s="9">
        <f t="shared" si="12"/>
        <v>3.283194362724632E-5</v>
      </c>
      <c r="V33" s="102">
        <f t="shared" si="13"/>
        <v>3.4181913084918047E-3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4.7972521440478495</v>
      </c>
      <c r="K34" s="95">
        <f t="shared" si="3"/>
        <v>2.8390832658756501E-3</v>
      </c>
      <c r="L34" s="95">
        <f t="shared" si="4"/>
        <v>0.18201458615682603</v>
      </c>
      <c r="M34" s="95">
        <f t="shared" si="5"/>
        <v>0.81798541384317391</v>
      </c>
      <c r="N34" s="95">
        <f t="shared" si="6"/>
        <v>0.10733517001086569</v>
      </c>
      <c r="O34" s="40">
        <f t="shared" si="7"/>
        <v>2.8434577200723723E-9</v>
      </c>
      <c r="P34" s="40">
        <f t="shared" si="8"/>
        <v>1.7827847853608449E-4</v>
      </c>
      <c r="Q34" s="40">
        <f t="shared" si="9"/>
        <v>1.0513196336068179E-2</v>
      </c>
      <c r="R34" s="9">
        <f t="shared" si="14"/>
        <v>3.9999999999999996E-5</v>
      </c>
      <c r="S34" s="9">
        <f t="shared" si="10"/>
        <v>7.2805834462730407E-6</v>
      </c>
      <c r="T34" s="9">
        <f t="shared" si="11"/>
        <v>1.1356333063502599E-7</v>
      </c>
      <c r="U34" s="9">
        <f t="shared" si="12"/>
        <v>3.2719416553726953E-5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1.798585736505889</v>
      </c>
      <c r="K35" s="95">
        <f t="shared" si="3"/>
        <v>0.72268636583426826</v>
      </c>
      <c r="L35" s="95">
        <f t="shared" si="4"/>
        <v>4.6474156545243943E-2</v>
      </c>
      <c r="M35" s="95">
        <f t="shared" si="5"/>
        <v>0.95352584345475611</v>
      </c>
      <c r="N35" s="95">
        <f t="shared" si="6"/>
        <v>1.3143280604774892E-2</v>
      </c>
      <c r="O35" s="40">
        <f t="shared" si="7"/>
        <v>7.2379987963780326E-7</v>
      </c>
      <c r="P35" s="40">
        <f t="shared" si="8"/>
        <v>4.5520208545237961E-5</v>
      </c>
      <c r="Q35" s="40">
        <f t="shared" si="9"/>
        <v>1.2873496122850266E-3</v>
      </c>
      <c r="R35" s="9">
        <f t="shared" si="14"/>
        <v>3.9999999999999996E-5</v>
      </c>
      <c r="S35" s="9">
        <f t="shared" si="10"/>
        <v>1.8589662618097576E-6</v>
      </c>
      <c r="T35" s="9">
        <f t="shared" si="11"/>
        <v>2.8907454633370728E-5</v>
      </c>
      <c r="U35" s="9">
        <f t="shared" si="12"/>
        <v>3.814103373819024E-5</v>
      </c>
      <c r="V35" s="102">
        <f t="shared" si="13"/>
        <v>0.75790957402462789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7.7689430999035345</v>
      </c>
      <c r="K36" s="95">
        <f t="shared" si="3"/>
        <v>3.4586760212448698E-6</v>
      </c>
      <c r="L36" s="95">
        <f t="shared" si="4"/>
        <v>0.20774419709727701</v>
      </c>
      <c r="M36" s="95">
        <f t="shared" si="5"/>
        <v>0.79225580290272302</v>
      </c>
      <c r="N36" s="95">
        <f t="shared" si="6"/>
        <v>0.19705016443249571</v>
      </c>
      <c r="O36" s="40">
        <f t="shared" si="7"/>
        <v>3.4640051428025532E-12</v>
      </c>
      <c r="P36" s="40">
        <f t="shared" si="8"/>
        <v>2.0347995270715341E-4</v>
      </c>
      <c r="Q36" s="40">
        <f t="shared" si="9"/>
        <v>1.9300543023536763E-2</v>
      </c>
      <c r="R36" s="9">
        <f t="shared" si="14"/>
        <v>3.9999999999999996E-5</v>
      </c>
      <c r="S36" s="9">
        <f t="shared" si="10"/>
        <v>8.3097678838910805E-6</v>
      </c>
      <c r="T36" s="9">
        <f t="shared" si="11"/>
        <v>1.3834704084979479E-10</v>
      </c>
      <c r="U36" s="9">
        <f t="shared" si="12"/>
        <v>3.1690232116108916E-5</v>
      </c>
      <c r="V36" s="102">
        <f t="shared" si="13"/>
        <v>4.365605160066644E-6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3.3743997874095357</v>
      </c>
      <c r="K37" s="95">
        <f t="shared" si="3"/>
        <v>6.9150477984188011E-2</v>
      </c>
      <c r="L37" s="95">
        <f t="shared" si="4"/>
        <v>0.16744450210833181</v>
      </c>
      <c r="M37" s="95">
        <f t="shared" si="5"/>
        <v>0.83255549789166816</v>
      </c>
      <c r="N37" s="95">
        <f t="shared" si="6"/>
        <v>9.1267489604003632E-2</v>
      </c>
      <c r="O37" s="40">
        <f t="shared" si="7"/>
        <v>6.9257024911592042E-8</v>
      </c>
      <c r="P37" s="40">
        <f t="shared" si="8"/>
        <v>1.6400746613452698E-4</v>
      </c>
      <c r="Q37" s="40">
        <f t="shared" si="9"/>
        <v>8.9394094890781709E-3</v>
      </c>
      <c r="R37" s="9">
        <f t="shared" si="14"/>
        <v>3.9999999999999996E-5</v>
      </c>
      <c r="S37" s="9">
        <f t="shared" si="10"/>
        <v>6.6977800843332717E-6</v>
      </c>
      <c r="T37" s="9">
        <f t="shared" si="11"/>
        <v>2.7660191193675203E-6</v>
      </c>
      <c r="U37" s="9">
        <f t="shared" si="12"/>
        <v>3.3302219915666726E-5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1.9813184321206099</v>
      </c>
      <c r="K38" s="95">
        <f t="shared" si="3"/>
        <v>0.63833258428465867</v>
      </c>
      <c r="L38" s="95">
        <f t="shared" si="4"/>
        <v>6.252322406642509E-2</v>
      </c>
      <c r="M38" s="95">
        <f t="shared" si="5"/>
        <v>0.93747677593357492</v>
      </c>
      <c r="N38" s="95">
        <f t="shared" si="6"/>
        <v>2.4769767640633357E-2</v>
      </c>
      <c r="O38" s="40">
        <f t="shared" si="7"/>
        <v>6.3931612593903407E-7</v>
      </c>
      <c r="P38" s="40">
        <f t="shared" si="8"/>
        <v>6.1239846185343435E-5</v>
      </c>
      <c r="Q38" s="40">
        <f t="shared" si="9"/>
        <v>2.4261333016792645E-3</v>
      </c>
      <c r="R38" s="9">
        <f t="shared" si="14"/>
        <v>3.9999999999999996E-5</v>
      </c>
      <c r="S38" s="9">
        <f t="shared" si="10"/>
        <v>2.5009289626570035E-6</v>
      </c>
      <c r="T38" s="9">
        <f t="shared" si="11"/>
        <v>2.5533303371386346E-5</v>
      </c>
      <c r="U38" s="9">
        <f t="shared" si="12"/>
        <v>3.7499071037342995E-5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-4.3479864956087882E-3</v>
      </c>
      <c r="K39" s="95">
        <f t="shared" si="3"/>
        <v>0.99851032952908325</v>
      </c>
      <c r="L39" s="95">
        <f t="shared" si="4"/>
        <v>1.0108355195654758E-3</v>
      </c>
      <c r="M39" s="95">
        <f t="shared" si="5"/>
        <v>0.99898916448043451</v>
      </c>
      <c r="N39" s="95">
        <f t="shared" si="6"/>
        <v>4.9455600623360837E-7</v>
      </c>
      <c r="O39" s="40">
        <f t="shared" si="7"/>
        <v>1.0000488323810353E-6</v>
      </c>
      <c r="P39" s="40">
        <f t="shared" si="8"/>
        <v>9.9008668636641061E-7</v>
      </c>
      <c r="Q39" s="40">
        <f t="shared" si="9"/>
        <v>4.8440454253618302E-8</v>
      </c>
      <c r="R39" s="9">
        <f t="shared" si="14"/>
        <v>3.9999999999999996E-5</v>
      </c>
      <c r="S39" s="9">
        <f t="shared" si="10"/>
        <v>4.0433420782619027E-8</v>
      </c>
      <c r="T39" s="9">
        <f t="shared" si="11"/>
        <v>3.9940413181163329E-5</v>
      </c>
      <c r="U39" s="9">
        <f t="shared" si="12"/>
        <v>3.9959566579217375E-5</v>
      </c>
      <c r="V39" s="102">
        <f t="shared" si="13"/>
        <v>0.9995206805355088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2.306689397381505</v>
      </c>
      <c r="K40" s="95">
        <f t="shared" si="3"/>
        <v>0.44470383308914402</v>
      </c>
      <c r="L40" s="95">
        <f t="shared" si="4"/>
        <v>9.2137450065566256E-2</v>
      </c>
      <c r="M40" s="95">
        <f t="shared" si="5"/>
        <v>0.90786254993443372</v>
      </c>
      <c r="N40" s="95">
        <f t="shared" si="6"/>
        <v>2.5836387612484548E-2</v>
      </c>
      <c r="O40" s="40">
        <f t="shared" si="7"/>
        <v>4.4538903192509833E-7</v>
      </c>
      <c r="P40" s="40">
        <f t="shared" si="8"/>
        <v>9.0246198179582475E-5</v>
      </c>
      <c r="Q40" s="40">
        <f t="shared" si="9"/>
        <v>2.5306059100415365E-3</v>
      </c>
      <c r="R40" s="9">
        <f t="shared" si="14"/>
        <v>3.9999999999999996E-5</v>
      </c>
      <c r="S40" s="9">
        <f t="shared" si="10"/>
        <v>3.68549800262265E-6</v>
      </c>
      <c r="T40" s="9">
        <f t="shared" si="11"/>
        <v>1.7788153323565761E-5</v>
      </c>
      <c r="U40" s="9">
        <f t="shared" si="12"/>
        <v>3.6314501997377347E-5</v>
      </c>
      <c r="V40" s="102">
        <f t="shared" si="13"/>
        <v>0.48983608049617283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2.3937036559113518</v>
      </c>
      <c r="K41" s="95">
        <f t="shared" si="3"/>
        <v>0.39482693413671588</v>
      </c>
      <c r="L41" s="95">
        <f t="shared" si="4"/>
        <v>9.9950816462023986E-2</v>
      </c>
      <c r="M41" s="95">
        <f t="shared" si="5"/>
        <v>0.90004918353797603</v>
      </c>
      <c r="N41" s="95">
        <f t="shared" si="6"/>
        <v>2.6767245993587079E-2</v>
      </c>
      <c r="O41" s="40">
        <f t="shared" si="7"/>
        <v>3.9543528273986283E-7</v>
      </c>
      <c r="P41" s="40">
        <f t="shared" si="8"/>
        <v>9.7899184145252655E-5</v>
      </c>
      <c r="Q41" s="40">
        <f t="shared" si="9"/>
        <v>2.6217810292556284E-3</v>
      </c>
      <c r="R41" s="9">
        <f t="shared" si="14"/>
        <v>3.9999999999999996E-5</v>
      </c>
      <c r="S41" s="9">
        <f t="shared" si="10"/>
        <v>3.998032658480959E-6</v>
      </c>
      <c r="T41" s="9">
        <f t="shared" si="11"/>
        <v>1.5793077365468635E-5</v>
      </c>
      <c r="U41" s="9">
        <f t="shared" si="12"/>
        <v>3.6001967341519037E-5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3.8177678868718958</v>
      </c>
      <c r="K42" s="95">
        <f t="shared" si="3"/>
        <v>2.7091081345931474E-2</v>
      </c>
      <c r="L42" s="95">
        <f t="shared" si="4"/>
        <v>0.18208331260903304</v>
      </c>
      <c r="M42" s="95">
        <f t="shared" si="5"/>
        <v>0.8179166873909669</v>
      </c>
      <c r="N42" s="95">
        <f t="shared" si="6"/>
        <v>0.12059804260897342</v>
      </c>
      <c r="O42" s="40">
        <f t="shared" si="7"/>
        <v>2.7132823233501965E-8</v>
      </c>
      <c r="P42" s="40">
        <f t="shared" si="8"/>
        <v>1.7834579428035186E-4</v>
      </c>
      <c r="Q42" s="40">
        <f t="shared" si="9"/>
        <v>1.1812259668152622E-2</v>
      </c>
      <c r="R42" s="9">
        <f t="shared" si="14"/>
        <v>3.9999999999999996E-5</v>
      </c>
      <c r="S42" s="9">
        <f t="shared" si="10"/>
        <v>7.2833325043613209E-6</v>
      </c>
      <c r="T42" s="9">
        <f t="shared" si="11"/>
        <v>1.0836432538372588E-6</v>
      </c>
      <c r="U42" s="9">
        <f t="shared" si="12"/>
        <v>3.2716667495638674E-5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3.5592350116770111</v>
      </c>
      <c r="K43" s="95">
        <f t="shared" si="3"/>
        <v>4.6525877334498623E-2</v>
      </c>
      <c r="L43" s="95">
        <f t="shared" si="4"/>
        <v>0.17242709112464813</v>
      </c>
      <c r="M43" s="95">
        <f t="shared" si="5"/>
        <v>0.82757290887535184</v>
      </c>
      <c r="N43" s="95">
        <f t="shared" si="6"/>
        <v>9.6790222890172861E-2</v>
      </c>
      <c r="O43" s="40">
        <f t="shared" si="7"/>
        <v>4.6597564319451956E-8</v>
      </c>
      <c r="P43" s="40">
        <f t="shared" si="8"/>
        <v>1.6888778044205245E-4</v>
      </c>
      <c r="Q43" s="40">
        <f t="shared" si="9"/>
        <v>9.480346624067184E-3</v>
      </c>
      <c r="R43" s="9">
        <f t="shared" si="14"/>
        <v>3.9999999999999996E-5</v>
      </c>
      <c r="S43" s="9">
        <f t="shared" si="10"/>
        <v>6.8970836449859243E-6</v>
      </c>
      <c r="T43" s="9">
        <f t="shared" si="11"/>
        <v>1.8610350933799449E-6</v>
      </c>
      <c r="U43" s="9">
        <f t="shared" si="12"/>
        <v>3.3102916355014068E-5</v>
      </c>
      <c r="V43" s="102">
        <f t="shared" si="13"/>
        <v>5.6219671808404134E-2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1.9227193878324027</v>
      </c>
      <c r="K44" s="95">
        <f t="shared" si="3"/>
        <v>0.66948307414187946</v>
      </c>
      <c r="L44" s="95">
        <f t="shared" si="4"/>
        <v>5.72973990510613E-2</v>
      </c>
      <c r="M44" s="95">
        <f t="shared" si="5"/>
        <v>0.94270260094893865</v>
      </c>
      <c r="N44" s="95">
        <f t="shared" si="6"/>
        <v>2.29614611184129E-2</v>
      </c>
      <c r="O44" s="40">
        <f t="shared" si="7"/>
        <v>6.7051461241288223E-7</v>
      </c>
      <c r="P44" s="40">
        <f t="shared" si="8"/>
        <v>5.612128864275097E-5</v>
      </c>
      <c r="Q44" s="40">
        <f t="shared" si="9"/>
        <v>2.2490144551541992E-3</v>
      </c>
      <c r="R44" s="9">
        <f t="shared" si="14"/>
        <v>3.9999999999999996E-5</v>
      </c>
      <c r="S44" s="9">
        <f t="shared" si="10"/>
        <v>2.2918959620424516E-6</v>
      </c>
      <c r="T44" s="9">
        <f t="shared" si="11"/>
        <v>2.6779322965675175E-5</v>
      </c>
      <c r="U44" s="9">
        <f t="shared" si="12"/>
        <v>3.7708104037957542E-5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3.6364038333307582</v>
      </c>
      <c r="K45" s="95">
        <f t="shared" si="3"/>
        <v>3.7617692359826378E-2</v>
      </c>
      <c r="L45" s="95">
        <f t="shared" si="4"/>
        <v>0.16652210892677946</v>
      </c>
      <c r="M45" s="95">
        <f t="shared" si="5"/>
        <v>0.83347789107322057</v>
      </c>
      <c r="N45" s="95">
        <f t="shared" si="6"/>
        <v>7.1068977819981852E-2</v>
      </c>
      <c r="O45" s="40">
        <f t="shared" si="7"/>
        <v>3.7675653629998461E-8</v>
      </c>
      <c r="P45" s="40">
        <f t="shared" si="8"/>
        <v>1.6310400638170521E-4</v>
      </c>
      <c r="Q45" s="40">
        <f t="shared" si="9"/>
        <v>6.9610186218506719E-3</v>
      </c>
      <c r="R45" s="9">
        <f t="shared" si="14"/>
        <v>3.9999999999999996E-5</v>
      </c>
      <c r="S45" s="9">
        <f t="shared" si="10"/>
        <v>6.6608843570711778E-6</v>
      </c>
      <c r="T45" s="9">
        <f t="shared" si="11"/>
        <v>1.504707694393055E-6</v>
      </c>
      <c r="U45" s="9">
        <f t="shared" si="12"/>
        <v>3.333911564292882E-5</v>
      </c>
      <c r="V45" s="102">
        <f t="shared" si="13"/>
        <v>4.5133401572761918E-2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1.8444393952218296</v>
      </c>
      <c r="K46" s="95">
        <f t="shared" si="3"/>
        <v>0.70755560800662065</v>
      </c>
      <c r="L46" s="95">
        <f t="shared" si="4"/>
        <v>5.0568013275336686E-2</v>
      </c>
      <c r="M46" s="95">
        <f t="shared" si="5"/>
        <v>0.94943198672466333</v>
      </c>
      <c r="N46" s="95">
        <f t="shared" si="6"/>
        <v>1.9537477735326585E-2</v>
      </c>
      <c r="O46" s="40">
        <f t="shared" si="7"/>
        <v>7.0864580836673734E-7</v>
      </c>
      <c r="P46" s="40">
        <f t="shared" si="8"/>
        <v>4.9530033057636105E-5</v>
      </c>
      <c r="Q46" s="40">
        <f t="shared" si="9"/>
        <v>1.9136443285295585E-3</v>
      </c>
      <c r="R46" s="9">
        <f t="shared" si="14"/>
        <v>3.9999999999999996E-5</v>
      </c>
      <c r="S46" s="9">
        <f t="shared" si="10"/>
        <v>2.0227205310134672E-6</v>
      </c>
      <c r="T46" s="9">
        <f t="shared" si="11"/>
        <v>2.8302224320264825E-5</v>
      </c>
      <c r="U46" s="9">
        <f t="shared" si="12"/>
        <v>3.7977279468986533E-5</v>
      </c>
      <c r="V46" s="102">
        <f t="shared" si="13"/>
        <v>0.74524096291250486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2.8994221028694125</v>
      </c>
      <c r="K47" s="95">
        <f t="shared" si="3"/>
        <v>0.16724572166935969</v>
      </c>
      <c r="L47" s="95">
        <f t="shared" si="4"/>
        <v>0.13566038284435283</v>
      </c>
      <c r="M47" s="95">
        <f t="shared" si="5"/>
        <v>0.86433961715564722</v>
      </c>
      <c r="N47" s="95">
        <f t="shared" si="6"/>
        <v>3.1221296629363324E-2</v>
      </c>
      <c r="O47" s="40">
        <f t="shared" si="7"/>
        <v>1.675034135651325E-7</v>
      </c>
      <c r="P47" s="40">
        <f t="shared" si="8"/>
        <v>1.3287576101332659E-4</v>
      </c>
      <c r="Q47" s="40">
        <f t="shared" si="9"/>
        <v>3.0580435219685446E-3</v>
      </c>
      <c r="R47" s="9">
        <f t="shared" si="14"/>
        <v>3.9999999999999996E-5</v>
      </c>
      <c r="S47" s="9">
        <f t="shared" si="10"/>
        <v>5.4264153137741129E-6</v>
      </c>
      <c r="T47" s="9">
        <f t="shared" si="11"/>
        <v>6.6898288667743874E-6</v>
      </c>
      <c r="U47" s="9">
        <f t="shared" si="12"/>
        <v>3.4573584686225884E-5</v>
      </c>
      <c r="V47" s="102">
        <f t="shared" si="13"/>
        <v>0.19349537884162804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1.0772847763604276</v>
      </c>
      <c r="K48" s="95">
        <f t="shared" ref="K48:K50" si="17">IF(D48=0,"",1/(1+10^D48*$J$15/$J$14+10^E48*$J$16/$J$14+10^J48*$J$19/$J$14))</f>
        <v>0.93382227709326582</v>
      </c>
      <c r="L48" s="95">
        <f t="shared" ref="L48:L50" si="18">IF(D48=0,"",1/(1+10^I48/10^J48*$J$13/$J$19))</f>
        <v>1.1408404864909226E-2</v>
      </c>
      <c r="M48" s="95">
        <f t="shared" ref="M48:M92" si="19">IF(D48=0,"",1-L48)</f>
        <v>0.98859159513509076</v>
      </c>
      <c r="N48" s="95">
        <f t="shared" ref="N48:N50" si="20">IF(D48=0,"",1/(1/10^E48*$J$20/$J$22+10^D48/10^E48*$J$21/$J$22+10^I48/10^E48*$J$13/$J$22+1))</f>
        <v>2.143888273438367E-3</v>
      </c>
      <c r="O48" s="40">
        <f t="shared" ref="O48:O92" si="21">IF(D48=0,"",F48*K48*$J$7/$J$14)</f>
        <v>9.3526110871476941E-7</v>
      </c>
      <c r="P48" s="40">
        <f t="shared" ref="P48:P50" si="22">IF(D48=0,"",O48*10^J48)</f>
        <v>1.1174231168963959E-5</v>
      </c>
      <c r="Q48" s="40">
        <f t="shared" ref="Q48:Q50" si="23">IF(D48=0,"",F48*N48*$J$7/$J$22)</f>
        <v>2.0998819249058912E-4</v>
      </c>
      <c r="R48" s="9">
        <f t="shared" si="14"/>
        <v>3.9999999999999996E-5</v>
      </c>
      <c r="S48" s="9">
        <f t="shared" si="10"/>
        <v>4.5633619459636904E-7</v>
      </c>
      <c r="T48" s="9">
        <f t="shared" si="11"/>
        <v>3.7352891083730631E-5</v>
      </c>
      <c r="U48" s="9">
        <f t="shared" si="12"/>
        <v>3.9543663805403627E-5</v>
      </c>
      <c r="V48" s="102">
        <f t="shared" si="13"/>
        <v>0.94459864082261313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0.61123091181973244</v>
      </c>
      <c r="K49" s="95">
        <f t="shared" si="17"/>
        <v>0.97948633547176334</v>
      </c>
      <c r="L49" s="95">
        <f t="shared" si="18"/>
        <v>4.091713453923348E-3</v>
      </c>
      <c r="M49" s="95">
        <f t="shared" si="19"/>
        <v>0.99590828654607666</v>
      </c>
      <c r="N49" s="95">
        <f t="shared" si="20"/>
        <v>7.1266642729843127E-4</v>
      </c>
      <c r="O49" s="40">
        <f t="shared" si="21"/>
        <v>9.8099552618918129E-7</v>
      </c>
      <c r="P49" s="40">
        <f t="shared" si="22"/>
        <v>4.0077252300129732E-6</v>
      </c>
      <c r="Q49" s="40">
        <f t="shared" si="23"/>
        <v>6.9803793775648749E-5</v>
      </c>
      <c r="R49" s="9">
        <f t="shared" si="14"/>
        <v>3.9999999999999996E-5</v>
      </c>
      <c r="S49" s="9">
        <f t="shared" si="10"/>
        <v>1.636685381569339E-7</v>
      </c>
      <c r="T49" s="9">
        <f t="shared" si="11"/>
        <v>3.917945341887053E-5</v>
      </c>
      <c r="U49" s="9">
        <f t="shared" si="12"/>
        <v>3.9836331461843063E-5</v>
      </c>
      <c r="V49" s="102">
        <f t="shared" si="13"/>
        <v>0.98351057893968674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6.7869130147026708E-3</v>
      </c>
      <c r="K57" s="55">
        <f t="shared" si="26"/>
        <v>0.99836001283417464</v>
      </c>
      <c r="L57" s="55">
        <f t="shared" si="27"/>
        <v>1.0369313612306418E-3</v>
      </c>
      <c r="M57" s="55">
        <f t="shared" si="28"/>
        <v>0.99896306863876938</v>
      </c>
      <c r="N57" s="55">
        <f t="shared" si="29"/>
        <v>1.2336134521749988E-5</v>
      </c>
      <c r="O57" s="56">
        <f t="shared" si="30"/>
        <v>9.998982840784438E-7</v>
      </c>
      <c r="P57" s="56">
        <f t="shared" si="31"/>
        <v>1.0156468738569665E-6</v>
      </c>
      <c r="Q57" s="56">
        <f t="shared" si="32"/>
        <v>1.2082917858347572E-6</v>
      </c>
      <c r="R57" s="9">
        <f t="shared" ref="R57:R58" si="33">F57*$C$14</f>
        <v>3.9999999999999996E-5</v>
      </c>
      <c r="S57" s="9">
        <f t="shared" ref="S57:S58" si="34">$R57*L57</f>
        <v>4.1477254449225667E-8</v>
      </c>
      <c r="T57" s="9">
        <f t="shared" ref="T57:T58" si="35">R57*K57</f>
        <v>3.9934400513366979E-5</v>
      </c>
      <c r="U57" s="9">
        <f t="shared" ref="U57:U58" si="36">$R57*M57</f>
        <v>3.9958522745550771E-5</v>
      </c>
      <c r="V57" s="102">
        <f t="shared" ref="V57:V58" si="37">K57/M57</f>
        <v>0.99939631821883412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1.2457417230734267</v>
      </c>
      <c r="K58" s="55">
        <f t="shared" si="26"/>
        <v>0.90430477350746885</v>
      </c>
      <c r="L58" s="55">
        <f t="shared" si="27"/>
        <v>1.628292659484765E-2</v>
      </c>
      <c r="M58" s="55">
        <f t="shared" si="28"/>
        <v>0.98371707340515235</v>
      </c>
      <c r="N58" s="55">
        <f t="shared" si="29"/>
        <v>3.5831067075022959E-3</v>
      </c>
      <c r="O58" s="56">
        <f t="shared" si="30"/>
        <v>9.0569812461454373E-7</v>
      </c>
      <c r="P58" s="56">
        <f t="shared" si="31"/>
        <v>1.5948696424488835E-5</v>
      </c>
      <c r="Q58" s="56">
        <f t="shared" si="32"/>
        <v>3.5095583586666957E-4</v>
      </c>
      <c r="R58" s="9">
        <f t="shared" si="33"/>
        <v>3.9999999999999996E-5</v>
      </c>
      <c r="S58" s="9">
        <f t="shared" si="34"/>
        <v>6.5131706379390595E-7</v>
      </c>
      <c r="T58" s="9">
        <f t="shared" si="35"/>
        <v>3.6172190940298754E-5</v>
      </c>
      <c r="U58" s="9">
        <f t="shared" si="36"/>
        <v>3.9348682936206091E-5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1.3808784807262005</v>
      </c>
      <c r="K60" s="55">
        <f t="shared" si="26"/>
        <v>0.87005225899552574</v>
      </c>
      <c r="L60" s="55">
        <f t="shared" si="27"/>
        <v>2.1384531415748854E-2</v>
      </c>
      <c r="M60" s="55">
        <f t="shared" si="28"/>
        <v>0.97861546858425119</v>
      </c>
      <c r="N60" s="55">
        <f t="shared" si="29"/>
        <v>3.2856723842843369E-3</v>
      </c>
      <c r="O60" s="56">
        <f t="shared" si="30"/>
        <v>8.7139283389217523E-7</v>
      </c>
      <c r="P60" s="56">
        <f t="shared" si="31"/>
        <v>2.0945583568352011E-5</v>
      </c>
      <c r="Q60" s="56">
        <f t="shared" si="32"/>
        <v>3.2182292969286451E-4</v>
      </c>
      <c r="R60" s="9">
        <f t="shared" ref="R60:R65" si="38">F60*$C$14</f>
        <v>3.9999999999999996E-5</v>
      </c>
      <c r="S60" s="9">
        <f t="shared" ref="S60:S93" si="39">$R60*L60</f>
        <v>8.5538125662995405E-7</v>
      </c>
      <c r="T60" s="9">
        <f t="shared" ref="T60:T93" si="40">R60*K60</f>
        <v>3.4802090359821029E-5</v>
      </c>
      <c r="U60" s="9">
        <f t="shared" ref="U60:U93" si="41">$R60*M60</f>
        <v>3.9144618743370047E-5</v>
      </c>
      <c r="V60" s="102">
        <f t="shared" ref="V60:V93" si="42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2.2990371955470583</v>
      </c>
      <c r="K61" s="55">
        <f t="shared" si="26"/>
        <v>0.44393172533057884</v>
      </c>
      <c r="L61" s="55">
        <f t="shared" si="27"/>
        <v>9.0371043474933174E-2</v>
      </c>
      <c r="M61" s="55">
        <f t="shared" si="28"/>
        <v>0.90962895652506681</v>
      </c>
      <c r="N61" s="55">
        <f t="shared" si="29"/>
        <v>1.9158217585945863E-2</v>
      </c>
      <c r="O61" s="56">
        <f t="shared" si="30"/>
        <v>4.4461573450433994E-7</v>
      </c>
      <c r="P61" s="56">
        <f t="shared" si="31"/>
        <v>8.8516049590376325E-5</v>
      </c>
      <c r="Q61" s="56">
        <f t="shared" si="32"/>
        <v>1.8764967988570153E-3</v>
      </c>
      <c r="R61" s="9">
        <f t="shared" si="38"/>
        <v>3.9999999999999996E-5</v>
      </c>
      <c r="S61" s="9">
        <f t="shared" si="39"/>
        <v>3.6148417389973268E-6</v>
      </c>
      <c r="T61" s="9">
        <f t="shared" si="40"/>
        <v>1.7757269013223152E-5</v>
      </c>
      <c r="U61" s="9">
        <f t="shared" si="41"/>
        <v>3.6385158261002669E-5</v>
      </c>
      <c r="V61" s="102">
        <f t="shared" si="42"/>
        <v>0.48803605266313366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1.9778014578217622</v>
      </c>
      <c r="K62" s="55">
        <f t="shared" si="26"/>
        <v>0.63108755670599992</v>
      </c>
      <c r="L62" s="55">
        <f t="shared" si="27"/>
        <v>6.1315036852639615E-2</v>
      </c>
      <c r="M62" s="55">
        <f t="shared" si="28"/>
        <v>0.93868496314736038</v>
      </c>
      <c r="N62" s="55">
        <f t="shared" si="29"/>
        <v>1.659619525969418E-2</v>
      </c>
      <c r="O62" s="56">
        <f t="shared" si="30"/>
        <v>6.3205993523540537E-7</v>
      </c>
      <c r="P62" s="56">
        <f t="shared" si="31"/>
        <v>6.0056458728280848E-5</v>
      </c>
      <c r="Q62" s="56">
        <f t="shared" si="32"/>
        <v>1.6255534805527968E-3</v>
      </c>
      <c r="R62" s="9">
        <f t="shared" si="38"/>
        <v>3.9999999999999996E-5</v>
      </c>
      <c r="S62" s="9">
        <f t="shared" si="39"/>
        <v>2.4526014741055844E-6</v>
      </c>
      <c r="T62" s="9">
        <f t="shared" si="40"/>
        <v>2.5243502268239995E-5</v>
      </c>
      <c r="U62" s="9">
        <f t="shared" si="41"/>
        <v>3.7547398525894412E-5</v>
      </c>
      <c r="V62" s="102">
        <f t="shared" si="42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1.9187713764182222</v>
      </c>
      <c r="K63" s="55">
        <f t="shared" si="26"/>
        <v>0.66148665641766402</v>
      </c>
      <c r="L63" s="55">
        <f t="shared" si="27"/>
        <v>5.6100713278485918E-2</v>
      </c>
      <c r="M63" s="55">
        <f t="shared" si="28"/>
        <v>0.94389928672151413</v>
      </c>
      <c r="N63" s="55">
        <f t="shared" si="29"/>
        <v>1.4425305073559562E-2</v>
      </c>
      <c r="O63" s="56">
        <f t="shared" si="30"/>
        <v>6.6250587382316327E-7</v>
      </c>
      <c r="P63" s="56">
        <f t="shared" si="31"/>
        <v>5.4949166543499544E-5</v>
      </c>
      <c r="Q63" s="56">
        <f t="shared" si="32"/>
        <v>1.4129205220493875E-3</v>
      </c>
      <c r="R63" s="9">
        <f t="shared" si="38"/>
        <v>3.9999999999999996E-5</v>
      </c>
      <c r="S63" s="9">
        <f t="shared" si="39"/>
        <v>2.2440285311394367E-6</v>
      </c>
      <c r="T63" s="9">
        <f t="shared" si="40"/>
        <v>2.6459466256706559E-5</v>
      </c>
      <c r="U63" s="9">
        <f t="shared" si="41"/>
        <v>3.7755971468860563E-5</v>
      </c>
      <c r="V63" s="102">
        <f t="shared" si="42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1.1696356252833553</v>
      </c>
      <c r="K64" s="55">
        <f t="shared" si="26"/>
        <v>0.9199720466744522</v>
      </c>
      <c r="L64" s="55">
        <f t="shared" si="27"/>
        <v>1.390228461680261E-2</v>
      </c>
      <c r="M64" s="55">
        <f t="shared" si="28"/>
        <v>0.98609771538319735</v>
      </c>
      <c r="N64" s="55">
        <f t="shared" si="29"/>
        <v>3.5519884927970799E-3</v>
      </c>
      <c r="O64" s="56">
        <f t="shared" si="30"/>
        <v>9.2138953788677863E-7</v>
      </c>
      <c r="P64" s="56">
        <f t="shared" si="31"/>
        <v>1.3616920500666323E-5</v>
      </c>
      <c r="Q64" s="56">
        <f t="shared" si="32"/>
        <v>3.4790788894684132E-4</v>
      </c>
      <c r="R64" s="9">
        <f t="shared" si="38"/>
        <v>3.9999999999999996E-5</v>
      </c>
      <c r="S64" s="9">
        <f t="shared" si="39"/>
        <v>5.5609138467210438E-7</v>
      </c>
      <c r="T64" s="9">
        <f t="shared" si="40"/>
        <v>3.6798881866978085E-5</v>
      </c>
      <c r="U64" s="9">
        <f t="shared" si="41"/>
        <v>3.944390861532789E-5</v>
      </c>
      <c r="V64" s="102">
        <f t="shared" si="42"/>
        <v>0.93294207290293873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2.5613647148029952</v>
      </c>
      <c r="K65" s="55">
        <f t="shared" si="26"/>
        <v>0.31302347861452146</v>
      </c>
      <c r="L65" s="55">
        <f t="shared" si="27"/>
        <v>0.11657825407503612</v>
      </c>
      <c r="M65" s="55">
        <f t="shared" si="28"/>
        <v>0.88342174592496392</v>
      </c>
      <c r="N65" s="55">
        <f t="shared" si="29"/>
        <v>4.1813722439160525E-2</v>
      </c>
      <c r="O65" s="56">
        <f t="shared" si="30"/>
        <v>3.1350578460609147E-7</v>
      </c>
      <c r="P65" s="56">
        <f t="shared" si="31"/>
        <v>1.1418532001047051E-4</v>
      </c>
      <c r="Q65" s="56">
        <f t="shared" si="32"/>
        <v>4.0955436461343779E-3</v>
      </c>
      <c r="R65" s="9">
        <f t="shared" si="38"/>
        <v>3.9999999999999996E-5</v>
      </c>
      <c r="S65" s="9">
        <f t="shared" si="39"/>
        <v>4.6631301630014447E-6</v>
      </c>
      <c r="T65" s="9">
        <f t="shared" si="40"/>
        <v>1.2520939144580857E-5</v>
      </c>
      <c r="U65" s="9">
        <f t="shared" si="41"/>
        <v>3.5336869836998553E-5</v>
      </c>
      <c r="V65" s="102">
        <f t="shared" si="42"/>
        <v>0.3543307373385724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1.3503657480277556</v>
      </c>
      <c r="K68" s="55">
        <f t="shared" si="26"/>
        <v>0.87741104773872958</v>
      </c>
      <c r="L68" s="55">
        <f t="shared" si="27"/>
        <v>2.0102254412663671E-2</v>
      </c>
      <c r="M68" s="55">
        <f t="shared" si="28"/>
        <v>0.97989774558733633</v>
      </c>
      <c r="N68" s="55">
        <f t="shared" si="29"/>
        <v>2.6891251661224839E-3</v>
      </c>
      <c r="O68" s="56">
        <f t="shared" si="30"/>
        <v>8.7876296104333893E-7</v>
      </c>
      <c r="P68" s="56">
        <f t="shared" si="31"/>
        <v>1.9689627120032693E-5</v>
      </c>
      <c r="Q68" s="56">
        <f t="shared" si="32"/>
        <v>2.6339270567928187E-4</v>
      </c>
      <c r="R68" s="9">
        <f>F68*$C$14</f>
        <v>3.9999999999999996E-5</v>
      </c>
      <c r="S68" s="9">
        <f t="shared" si="39"/>
        <v>8.0409017650654677E-7</v>
      </c>
      <c r="T68" s="9">
        <f t="shared" si="40"/>
        <v>3.509644190954918E-5</v>
      </c>
      <c r="U68" s="9">
        <f t="shared" si="41"/>
        <v>3.9195909823493448E-5</v>
      </c>
      <c r="V68" s="102">
        <f t="shared" si="42"/>
        <v>0.89541082392512528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3.475694792810029</v>
      </c>
      <c r="K69" s="55">
        <f t="shared" si="26"/>
        <v>5.3078812778828893E-2</v>
      </c>
      <c r="L69" s="55">
        <f t="shared" si="27"/>
        <v>0.16229005663544069</v>
      </c>
      <c r="M69" s="55">
        <f t="shared" si="28"/>
        <v>0.83770994336455928</v>
      </c>
      <c r="N69" s="55">
        <f t="shared" si="29"/>
        <v>6.4362087140512322E-2</v>
      </c>
      <c r="O69" s="56">
        <f t="shared" si="30"/>
        <v>5.3160596514483351E-8</v>
      </c>
      <c r="P69" s="56">
        <f t="shared" si="31"/>
        <v>1.589588229680256E-4</v>
      </c>
      <c r="Q69" s="56">
        <f t="shared" si="32"/>
        <v>6.3040963985880553E-3</v>
      </c>
      <c r="R69" s="9">
        <f>F69*$C$14</f>
        <v>3.9999999999999996E-5</v>
      </c>
      <c r="S69" s="9">
        <f t="shared" si="39"/>
        <v>6.4916022654176269E-6</v>
      </c>
      <c r="T69" s="9">
        <f t="shared" si="40"/>
        <v>2.1231525111531555E-6</v>
      </c>
      <c r="U69" s="9">
        <f t="shared" si="41"/>
        <v>3.3508397734582369E-5</v>
      </c>
      <c r="V69" s="102">
        <f t="shared" si="42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0.58023834032426458</v>
      </c>
      <c r="K70" s="55">
        <f t="shared" si="26"/>
        <v>0.9805904565094048</v>
      </c>
      <c r="L70" s="55">
        <f t="shared" si="27"/>
        <v>3.8141864691735835E-3</v>
      </c>
      <c r="M70" s="55">
        <f t="shared" si="28"/>
        <v>0.99618581353082647</v>
      </c>
      <c r="N70" s="55">
        <f t="shared" si="29"/>
        <v>3.2127917863233641E-4</v>
      </c>
      <c r="O70" s="56">
        <f t="shared" si="30"/>
        <v>9.8210134845445679E-7</v>
      </c>
      <c r="P70" s="56">
        <f t="shared" si="31"/>
        <v>3.7358948803767909E-6</v>
      </c>
      <c r="Q70" s="56">
        <f t="shared" si="32"/>
        <v>3.1468446766428436E-5</v>
      </c>
      <c r="R70" s="9">
        <f t="shared" ref="R70:R86" si="43">F70*$C$14</f>
        <v>3.9999999999999996E-5</v>
      </c>
      <c r="S70" s="9">
        <f t="shared" si="39"/>
        <v>1.5256745876694332E-7</v>
      </c>
      <c r="T70" s="9">
        <f t="shared" si="40"/>
        <v>3.9223618260376191E-5</v>
      </c>
      <c r="U70" s="9">
        <f t="shared" si="41"/>
        <v>3.9847432541233055E-5</v>
      </c>
      <c r="V70" s="102">
        <f t="shared" si="42"/>
        <v>0.98434493162862224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1.1444407422837011</v>
      </c>
      <c r="K71" s="55">
        <f t="shared" ref="K71:K122" si="46">IF(D71=0,"",1/(1+10^D71*$J$15/$J$14+10^E71*$J$16/$J$14+10^J71*$J$19/$J$14))</f>
        <v>0.92348113289357792</v>
      </c>
      <c r="L71" s="55">
        <f t="shared" ref="L71:L122" si="47">IF(D71=0,"",1/(1+10^I71/10^J71*$J$13/$J$19))</f>
        <v>1.3168754093689778E-2</v>
      </c>
      <c r="M71" s="55">
        <f t="shared" si="19"/>
        <v>0.98683124590631022</v>
      </c>
      <c r="N71" s="55">
        <f t="shared" ref="N71:N122" si="48">IF(D71=0,"",1/(1/10^E71*$J$20/$J$22+10^D71/10^E71*$J$21/$J$22+10^I71/10^E71*$J$13/$J$22+1))</f>
        <v>2.8346663329992601E-3</v>
      </c>
      <c r="O71" s="56">
        <f t="shared" si="21"/>
        <v>9.2490403089940111E-7</v>
      </c>
      <c r="P71" s="56">
        <f t="shared" ref="P71:P122" si="49">IF(D71=0,"",O71*10^J71)</f>
        <v>1.2898446732263731E-5</v>
      </c>
      <c r="Q71" s="56">
        <f t="shared" ref="Q71:Q122" si="50">IF(D71=0,"",F71*N71*$J$7/$J$22)</f>
        <v>2.7764807847275783E-4</v>
      </c>
      <c r="R71" s="9">
        <f t="shared" si="43"/>
        <v>3.9999999999999996E-5</v>
      </c>
      <c r="S71" s="9">
        <f t="shared" si="39"/>
        <v>5.267501637475911E-7</v>
      </c>
      <c r="T71" s="9">
        <f t="shared" si="40"/>
        <v>3.6939245315743115E-5</v>
      </c>
      <c r="U71" s="9">
        <f t="shared" si="41"/>
        <v>3.9473249836252407E-5</v>
      </c>
      <c r="V71" s="102">
        <f t="shared" si="42"/>
        <v>0.93580451239710061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1.3276849779101709</v>
      </c>
      <c r="K72" s="55">
        <f t="shared" si="46"/>
        <v>0.88370086634260214</v>
      </c>
      <c r="L72" s="55">
        <f t="shared" si="47"/>
        <v>1.9216141024434256E-2</v>
      </c>
      <c r="M72" s="55">
        <f t="shared" si="19"/>
        <v>0.98078385897556575</v>
      </c>
      <c r="N72" s="55">
        <f t="shared" si="48"/>
        <v>2.9235208762058841E-3</v>
      </c>
      <c r="O72" s="56">
        <f t="shared" si="21"/>
        <v>8.8506247098797597E-7</v>
      </c>
      <c r="P72" s="56">
        <f t="shared" si="49"/>
        <v>1.8821702466302573E-5</v>
      </c>
      <c r="Q72" s="56">
        <f t="shared" si="50"/>
        <v>2.8635114623692433E-4</v>
      </c>
      <c r="R72" s="9">
        <f t="shared" si="43"/>
        <v>3.9999999999999996E-5</v>
      </c>
      <c r="S72" s="9">
        <f t="shared" si="39"/>
        <v>7.6864564097737015E-7</v>
      </c>
      <c r="T72" s="9">
        <f t="shared" si="40"/>
        <v>3.5348034653704081E-5</v>
      </c>
      <c r="U72" s="9">
        <f t="shared" si="41"/>
        <v>3.9231354359022625E-5</v>
      </c>
      <c r="V72" s="102">
        <f t="shared" si="42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5.1978454460498824</v>
      </c>
      <c r="K73" s="55">
        <f t="shared" si="46"/>
        <v>1.1938402948636722E-3</v>
      </c>
      <c r="L73" s="55">
        <f t="shared" si="47"/>
        <v>0.19251634060747694</v>
      </c>
      <c r="M73" s="55">
        <f t="shared" si="19"/>
        <v>0.80748365939252309</v>
      </c>
      <c r="N73" s="55">
        <f t="shared" si="48"/>
        <v>0.1436911934409601</v>
      </c>
      <c r="O73" s="56">
        <f t="shared" si="21"/>
        <v>1.1956797617616152E-9</v>
      </c>
      <c r="P73" s="56">
        <f t="shared" si="49"/>
        <v>1.885646695768864E-4</v>
      </c>
      <c r="Q73" s="56">
        <f t="shared" si="50"/>
        <v>1.4074172782843125E-2</v>
      </c>
      <c r="R73" s="9">
        <f t="shared" si="43"/>
        <v>3.9999999999999996E-5</v>
      </c>
      <c r="S73" s="9">
        <f t="shared" si="39"/>
        <v>7.7006536242990765E-6</v>
      </c>
      <c r="T73" s="9">
        <f t="shared" si="40"/>
        <v>4.7753611794546885E-8</v>
      </c>
      <c r="U73" s="9">
        <f t="shared" si="41"/>
        <v>3.2299346375700918E-5</v>
      </c>
      <c r="V73" s="102">
        <f t="shared" si="42"/>
        <v>1.4784699120249795E-3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0.42916913204398671</v>
      </c>
      <c r="K74" s="55">
        <f t="shared" si="46"/>
        <v>0.98772904427117814</v>
      </c>
      <c r="L74" s="55">
        <f t="shared" si="47"/>
        <v>2.7132066641208895E-3</v>
      </c>
      <c r="M74" s="55">
        <f t="shared" si="19"/>
        <v>0.99728679333587911</v>
      </c>
      <c r="N74" s="55">
        <f t="shared" si="48"/>
        <v>2.4940189158504424E-4</v>
      </c>
      <c r="O74" s="56">
        <f t="shared" si="21"/>
        <v>9.8925093533892858E-7</v>
      </c>
      <c r="P74" s="56">
        <f t="shared" si="49"/>
        <v>2.6575142478782983E-6</v>
      </c>
      <c r="Q74" s="56">
        <f t="shared" si="50"/>
        <v>2.4428256391217628E-5</v>
      </c>
      <c r="R74" s="9">
        <f t="shared" si="43"/>
        <v>3.9999999999999996E-5</v>
      </c>
      <c r="S74" s="9">
        <f t="shared" si="39"/>
        <v>1.0852826656483557E-7</v>
      </c>
      <c r="T74" s="9">
        <f t="shared" si="40"/>
        <v>3.9509161770847122E-5</v>
      </c>
      <c r="U74" s="9">
        <f t="shared" si="41"/>
        <v>3.989147173343516E-5</v>
      </c>
      <c r="V74" s="102">
        <f t="shared" si="42"/>
        <v>0.99041624823614605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0.44418370932270096</v>
      </c>
      <c r="K75" s="55">
        <f t="shared" si="46"/>
        <v>0.98708881106799151</v>
      </c>
      <c r="L75" s="55">
        <f t="shared" si="47"/>
        <v>2.806828366935802E-3</v>
      </c>
      <c r="M75" s="55">
        <f t="shared" si="19"/>
        <v>0.9971931716330642</v>
      </c>
      <c r="N75" s="55">
        <f t="shared" si="48"/>
        <v>2.3768903514487011E-4</v>
      </c>
      <c r="O75" s="56">
        <f t="shared" si="21"/>
        <v>9.8860971566561769E-7</v>
      </c>
      <c r="P75" s="56">
        <f t="shared" si="49"/>
        <v>2.7492142324137098E-6</v>
      </c>
      <c r="Q75" s="56">
        <f t="shared" si="50"/>
        <v>2.3281013046848157E-5</v>
      </c>
      <c r="R75" s="9">
        <f t="shared" si="43"/>
        <v>3.9999999999999996E-5</v>
      </c>
      <c r="S75" s="9">
        <f t="shared" si="39"/>
        <v>1.1227313467743207E-7</v>
      </c>
      <c r="T75" s="9">
        <f t="shared" si="40"/>
        <v>3.9483552442719657E-5</v>
      </c>
      <c r="U75" s="9">
        <f t="shared" si="41"/>
        <v>3.9887726865322562E-5</v>
      </c>
      <c r="V75" s="102">
        <f t="shared" si="42"/>
        <v>0.98986719839995974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2.3960547686651839</v>
      </c>
      <c r="K76" s="55">
        <f t="shared" si="46"/>
        <v>0.39573316458655583</v>
      </c>
      <c r="L76" s="55">
        <f t="shared" si="47"/>
        <v>0.10072403965068807</v>
      </c>
      <c r="M76" s="55">
        <f t="shared" si="19"/>
        <v>0.8992759603493119</v>
      </c>
      <c r="N76" s="55">
        <f t="shared" si="48"/>
        <v>2.9995587093204944E-2</v>
      </c>
      <c r="O76" s="56">
        <f t="shared" si="21"/>
        <v>3.9634290950788835E-7</v>
      </c>
      <c r="P76" s="56">
        <f t="shared" si="49"/>
        <v>9.8656535830930677E-5</v>
      </c>
      <c r="Q76" s="56">
        <f t="shared" si="50"/>
        <v>2.93798851107771E-3</v>
      </c>
      <c r="R76" s="9">
        <f t="shared" si="43"/>
        <v>3.9999999999999996E-5</v>
      </c>
      <c r="S76" s="9">
        <f t="shared" si="39"/>
        <v>4.0289615860275227E-6</v>
      </c>
      <c r="T76" s="9">
        <f t="shared" si="40"/>
        <v>1.5829326583462232E-5</v>
      </c>
      <c r="U76" s="9">
        <f t="shared" si="41"/>
        <v>3.5971038413972475E-5</v>
      </c>
      <c r="V76" s="102">
        <f t="shared" si="42"/>
        <v>0.44005753743582615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3.6103930695935905E-2</v>
      </c>
      <c r="K77" s="55">
        <f t="shared" si="46"/>
        <v>0.99789100516052209</v>
      </c>
      <c r="L77" s="55">
        <f t="shared" si="47"/>
        <v>1.1088248676185621E-3</v>
      </c>
      <c r="M77" s="55">
        <f t="shared" si="19"/>
        <v>0.99889117513238146</v>
      </c>
      <c r="N77" s="55">
        <f t="shared" si="48"/>
        <v>1.5493838564864244E-5</v>
      </c>
      <c r="O77" s="56">
        <f t="shared" si="21"/>
        <v>9.9942855375864277E-7</v>
      </c>
      <c r="P77" s="56">
        <f t="shared" si="49"/>
        <v>1.0860646640247243E-6</v>
      </c>
      <c r="Q77" s="56">
        <f t="shared" si="50"/>
        <v>1.5175805545868429E-6</v>
      </c>
      <c r="R77" s="9">
        <f t="shared" si="43"/>
        <v>3.9999999999999996E-5</v>
      </c>
      <c r="S77" s="9">
        <f t="shared" si="39"/>
        <v>4.4352994704742481E-8</v>
      </c>
      <c r="T77" s="9">
        <f t="shared" si="40"/>
        <v>3.9915640206420883E-5</v>
      </c>
      <c r="U77" s="9">
        <f t="shared" si="41"/>
        <v>3.9955647005295253E-5</v>
      </c>
      <c r="V77" s="102">
        <f t="shared" si="42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0.71549530837913433</v>
      </c>
      <c r="K78" s="55">
        <f t="shared" si="46"/>
        <v>0.97253971350081736</v>
      </c>
      <c r="L78" s="55">
        <f t="shared" si="47"/>
        <v>5.1650980676528182E-3</v>
      </c>
      <c r="M78" s="55">
        <f t="shared" si="19"/>
        <v>0.99483490193234714</v>
      </c>
      <c r="N78" s="55">
        <f t="shared" si="48"/>
        <v>7.8974386952446358E-4</v>
      </c>
      <c r="O78" s="56">
        <f t="shared" si="21"/>
        <v>9.7403820087606901E-7</v>
      </c>
      <c r="P78" s="56">
        <f t="shared" si="49"/>
        <v>5.0590771016418395E-6</v>
      </c>
      <c r="Q78" s="56">
        <f t="shared" si="50"/>
        <v>7.7353325612438125E-5</v>
      </c>
      <c r="R78" s="9">
        <f t="shared" si="43"/>
        <v>3.9999999999999996E-5</v>
      </c>
      <c r="S78" s="9">
        <f t="shared" si="39"/>
        <v>2.0660392270611271E-7</v>
      </c>
      <c r="T78" s="9">
        <f t="shared" si="40"/>
        <v>3.8901588540032694E-5</v>
      </c>
      <c r="U78" s="9">
        <f t="shared" si="41"/>
        <v>3.9793396077293884E-5</v>
      </c>
      <c r="V78" s="102">
        <f t="shared" si="42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1.6323878148666418</v>
      </c>
      <c r="K79" s="55">
        <f t="shared" si="46"/>
        <v>0.79012738508079028</v>
      </c>
      <c r="L79" s="55">
        <f t="shared" si="47"/>
        <v>3.4654596602023469E-2</v>
      </c>
      <c r="M79" s="55">
        <f t="shared" si="19"/>
        <v>0.96534540339797648</v>
      </c>
      <c r="N79" s="55">
        <f t="shared" si="48"/>
        <v>7.4353776717941541E-3</v>
      </c>
      <c r="O79" s="56">
        <f t="shared" si="21"/>
        <v>7.9134481188089709E-7</v>
      </c>
      <c r="P79" s="56">
        <f t="shared" si="49"/>
        <v>3.3943261839286435E-5</v>
      </c>
      <c r="Q79" s="56">
        <f t="shared" si="50"/>
        <v>7.2827559958656824E-4</v>
      </c>
      <c r="R79" s="9">
        <f t="shared" si="43"/>
        <v>3.9999999999999996E-5</v>
      </c>
      <c r="S79" s="9">
        <f t="shared" si="39"/>
        <v>1.3861838640809385E-6</v>
      </c>
      <c r="T79" s="9">
        <f t="shared" si="40"/>
        <v>3.1605095403231606E-5</v>
      </c>
      <c r="U79" s="9">
        <f t="shared" si="41"/>
        <v>3.8613816135919057E-5</v>
      </c>
      <c r="V79" s="102">
        <f t="shared" si="42"/>
        <v>0.81849189139925882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4.3070548137368689</v>
      </c>
      <c r="K80" s="55">
        <f t="shared" si="46"/>
        <v>8.5684592312369155E-3</v>
      </c>
      <c r="L80" s="55">
        <f t="shared" si="47"/>
        <v>0.17767792228733426</v>
      </c>
      <c r="M80" s="55">
        <f t="shared" si="19"/>
        <v>0.82232207771266574</v>
      </c>
      <c r="N80" s="55">
        <f t="shared" si="48"/>
        <v>9.5033046836948368E-2</v>
      </c>
      <c r="O80" s="56">
        <f t="shared" si="21"/>
        <v>8.5816614972268025E-9</v>
      </c>
      <c r="P80" s="56">
        <f t="shared" si="49"/>
        <v>1.7403083084531509E-4</v>
      </c>
      <c r="Q80" s="56">
        <f t="shared" si="50"/>
        <v>9.3082358718997778E-3</v>
      </c>
      <c r="R80" s="9">
        <f t="shared" si="43"/>
        <v>3.9999999999999996E-5</v>
      </c>
      <c r="S80" s="9">
        <f t="shared" si="39"/>
        <v>7.1071168914933692E-6</v>
      </c>
      <c r="T80" s="9">
        <f t="shared" si="40"/>
        <v>3.4273836924947658E-7</v>
      </c>
      <c r="U80" s="9">
        <f t="shared" si="41"/>
        <v>3.2892883108506626E-5</v>
      </c>
      <c r="V80" s="102">
        <f t="shared" si="42"/>
        <v>1.0419833619292525E-2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1.8320197616226608</v>
      </c>
      <c r="K81" s="55">
        <f t="shared" si="46"/>
        <v>0.70889911338562217</v>
      </c>
      <c r="L81" s="55">
        <f t="shared" si="47"/>
        <v>4.9235699617613184E-2</v>
      </c>
      <c r="M81" s="55">
        <f t="shared" si="19"/>
        <v>0.9507643003823868</v>
      </c>
      <c r="N81" s="55">
        <f t="shared" si="48"/>
        <v>1.5534323742468258E-2</v>
      </c>
      <c r="O81" s="56">
        <f t="shared" si="21"/>
        <v>7.0999138381631896E-7</v>
      </c>
      <c r="P81" s="56">
        <f t="shared" si="49"/>
        <v>4.8225067028006253E-5</v>
      </c>
      <c r="Q81" s="56">
        <f t="shared" si="50"/>
        <v>1.521545970776229E-3</v>
      </c>
      <c r="R81" s="9">
        <f t="shared" si="43"/>
        <v>3.9999999999999996E-5</v>
      </c>
      <c r="S81" s="9">
        <f t="shared" si="39"/>
        <v>1.9694279847045273E-6</v>
      </c>
      <c r="T81" s="9">
        <f t="shared" si="40"/>
        <v>2.8355964535424883E-5</v>
      </c>
      <c r="U81" s="9">
        <f t="shared" si="41"/>
        <v>3.8030572015295468E-5</v>
      </c>
      <c r="V81" s="102">
        <f t="shared" si="42"/>
        <v>0.74560973008821518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2.6025949535148953</v>
      </c>
      <c r="K82" s="55">
        <f t="shared" si="46"/>
        <v>0.29679085770284935</v>
      </c>
      <c r="L82" s="55">
        <f t="shared" si="47"/>
        <v>0.12154060421285139</v>
      </c>
      <c r="M82" s="55">
        <f t="shared" si="19"/>
        <v>0.8784593957871486</v>
      </c>
      <c r="N82" s="55">
        <f t="shared" si="48"/>
        <v>5.0696086776872151E-2</v>
      </c>
      <c r="O82" s="56">
        <f t="shared" si="21"/>
        <v>2.9724815250241792E-7</v>
      </c>
      <c r="P82" s="56">
        <f t="shared" si="49"/>
        <v>1.1904581087119079E-4</v>
      </c>
      <c r="Q82" s="56">
        <f t="shared" si="50"/>
        <v>4.9655477668843553E-3</v>
      </c>
      <c r="R82" s="9">
        <f t="shared" si="43"/>
        <v>3.9999999999999996E-5</v>
      </c>
      <c r="S82" s="9">
        <f t="shared" si="39"/>
        <v>4.8616241685140547E-6</v>
      </c>
      <c r="T82" s="9">
        <f t="shared" si="40"/>
        <v>1.1871634308113974E-5</v>
      </c>
      <c r="U82" s="9">
        <f t="shared" si="41"/>
        <v>3.5138375831485943E-5</v>
      </c>
      <c r="V82" s="102">
        <f t="shared" si="42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2.0064300527387009</v>
      </c>
      <c r="K83" s="55">
        <f t="shared" si="46"/>
        <v>0.62019139194937811</v>
      </c>
      <c r="L83" s="55">
        <f t="shared" si="47"/>
        <v>6.4362322250426762E-2</v>
      </c>
      <c r="M83" s="55">
        <f t="shared" si="19"/>
        <v>0.93563767774957318</v>
      </c>
      <c r="N83" s="55">
        <f t="shared" si="48"/>
        <v>2.1552499947451842E-2</v>
      </c>
      <c r="O83" s="56">
        <f t="shared" si="21"/>
        <v>6.2114698168846492E-7</v>
      </c>
      <c r="P83" s="56">
        <f t="shared" si="49"/>
        <v>6.3041194269830442E-5</v>
      </c>
      <c r="Q83" s="56">
        <f t="shared" si="50"/>
        <v>2.1110104307630272E-3</v>
      </c>
      <c r="R83" s="9">
        <f t="shared" si="43"/>
        <v>3.9999999999999996E-5</v>
      </c>
      <c r="S83" s="9">
        <f t="shared" si="39"/>
        <v>2.5744928900170702E-6</v>
      </c>
      <c r="T83" s="9">
        <f t="shared" si="40"/>
        <v>2.4807655677975122E-5</v>
      </c>
      <c r="U83" s="9">
        <f t="shared" si="41"/>
        <v>3.7425507109982927E-5</v>
      </c>
      <c r="V83" s="102">
        <f t="shared" si="42"/>
        <v>0.66285422947169359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0.55351864127074724</v>
      </c>
      <c r="K84" s="55">
        <f t="shared" si="46"/>
        <v>0.9822693257378794</v>
      </c>
      <c r="L84" s="55">
        <f t="shared" si="47"/>
        <v>3.5927346458172649E-3</v>
      </c>
      <c r="M84" s="55">
        <f t="shared" si="19"/>
        <v>0.99640726535418278</v>
      </c>
      <c r="N84" s="55">
        <f t="shared" si="48"/>
        <v>4.3727585814884608E-4</v>
      </c>
      <c r="O84" s="56">
        <f t="shared" si="21"/>
        <v>9.8378280448150466E-7</v>
      </c>
      <c r="P84" s="56">
        <f t="shared" si="49"/>
        <v>3.5189886698877608E-6</v>
      </c>
      <c r="Q84" s="56">
        <f t="shared" si="50"/>
        <v>4.2830015075917241E-5</v>
      </c>
      <c r="R84" s="9">
        <f t="shared" si="43"/>
        <v>3.9999999999999996E-5</v>
      </c>
      <c r="S84" s="9">
        <f t="shared" si="39"/>
        <v>1.4370938583269059E-7</v>
      </c>
      <c r="T84" s="9">
        <f t="shared" si="40"/>
        <v>3.9290773029515174E-5</v>
      </c>
      <c r="U84" s="9">
        <f t="shared" si="41"/>
        <v>3.9856290614167306E-5</v>
      </c>
      <c r="V84" s="102">
        <f t="shared" si="42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1.8023749945199008</v>
      </c>
      <c r="K85" s="55">
        <f t="shared" si="46"/>
        <v>0.72406776477119006</v>
      </c>
      <c r="L85" s="55">
        <f t="shared" si="47"/>
        <v>4.6971034623885036E-2</v>
      </c>
      <c r="M85" s="55">
        <f t="shared" si="19"/>
        <v>0.95302896537611492</v>
      </c>
      <c r="N85" s="55">
        <f t="shared" si="48"/>
        <v>1.564678560796634E-2</v>
      </c>
      <c r="O85" s="56">
        <f t="shared" si="21"/>
        <v>7.2518340703162843E-7</v>
      </c>
      <c r="P85" s="56">
        <f t="shared" si="49"/>
        <v>4.6006887496350918E-5</v>
      </c>
      <c r="Q85" s="56">
        <f t="shared" si="50"/>
        <v>1.5325613133911626E-3</v>
      </c>
      <c r="R85" s="9">
        <f t="shared" si="43"/>
        <v>3.9999999999999996E-5</v>
      </c>
      <c r="S85" s="9">
        <f t="shared" si="39"/>
        <v>1.8788413849554012E-6</v>
      </c>
      <c r="T85" s="9">
        <f t="shared" si="40"/>
        <v>2.8962710590847599E-5</v>
      </c>
      <c r="U85" s="9">
        <f t="shared" si="41"/>
        <v>3.8121158615044591E-5</v>
      </c>
      <c r="V85" s="102">
        <f t="shared" si="42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1.2272811321709634</v>
      </c>
      <c r="K86" s="55">
        <f t="shared" si="46"/>
        <v>0.90867296846615875</v>
      </c>
      <c r="L86" s="55">
        <f t="shared" si="47"/>
        <v>1.5680671599999495E-2</v>
      </c>
      <c r="M86" s="55">
        <f t="shared" si="19"/>
        <v>0.98431932840000047</v>
      </c>
      <c r="N86" s="55">
        <f t="shared" si="48"/>
        <v>3.7924819923116494E-3</v>
      </c>
      <c r="O86" s="56">
        <f t="shared" si="21"/>
        <v>9.100730500798724E-7</v>
      </c>
      <c r="P86" s="56">
        <f t="shared" si="49"/>
        <v>1.5358803567881311E-5</v>
      </c>
      <c r="Q86" s="56">
        <f t="shared" si="50"/>
        <v>3.7146359186964693E-4</v>
      </c>
      <c r="R86" s="9">
        <f t="shared" si="43"/>
        <v>3.9999999999999996E-5</v>
      </c>
      <c r="S86" s="9">
        <f t="shared" si="39"/>
        <v>6.2722686399997972E-7</v>
      </c>
      <c r="T86" s="9">
        <f t="shared" si="40"/>
        <v>3.6346918738646346E-5</v>
      </c>
      <c r="U86" s="9">
        <f t="shared" si="41"/>
        <v>3.9372773136000013E-5</v>
      </c>
      <c r="V86" s="102">
        <f t="shared" si="42"/>
        <v>0.92314855783965555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3.4732152339918136</v>
      </c>
      <c r="K88" s="55">
        <f t="shared" si="46"/>
        <v>5.6701503790476962E-2</v>
      </c>
      <c r="L88" s="55">
        <f t="shared" si="47"/>
        <v>0.17237954484806203</v>
      </c>
      <c r="M88" s="55">
        <f t="shared" si="19"/>
        <v>0.82762045515193794</v>
      </c>
      <c r="N88" s="55">
        <f t="shared" si="48"/>
        <v>0.10208419199931279</v>
      </c>
      <c r="O88" s="56">
        <f t="shared" si="21"/>
        <v>5.6788869361680171E-8</v>
      </c>
      <c r="P88" s="56">
        <f t="shared" si="49"/>
        <v>1.6884121012025128E-4</v>
      </c>
      <c r="Q88" s="56">
        <f t="shared" si="50"/>
        <v>9.9988769122833741E-3</v>
      </c>
      <c r="R88" s="9">
        <f>F88*$C$14</f>
        <v>3.9999999999999996E-5</v>
      </c>
      <c r="S88" s="9">
        <f t="shared" si="39"/>
        <v>6.8951817939224807E-6</v>
      </c>
      <c r="T88" s="9">
        <f t="shared" si="40"/>
        <v>2.2680601516190781E-6</v>
      </c>
      <c r="U88" s="9">
        <f t="shared" si="41"/>
        <v>3.3104818206077517E-5</v>
      </c>
      <c r="V88" s="102">
        <f t="shared" si="42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4.8822108795245622</v>
      </c>
      <c r="K89" s="55">
        <f t="shared" si="46"/>
        <v>2.4344334494309787E-3</v>
      </c>
      <c r="L89" s="55">
        <f t="shared" si="47"/>
        <v>0.18979497277762242</v>
      </c>
      <c r="M89" s="55">
        <f t="shared" si="19"/>
        <v>0.81020502722237753</v>
      </c>
      <c r="N89" s="55">
        <f t="shared" si="48"/>
        <v>0.13470720503050251</v>
      </c>
      <c r="O89" s="56">
        <f t="shared" si="21"/>
        <v>2.4381844199458286E-9</v>
      </c>
      <c r="P89" s="56">
        <f t="shared" si="49"/>
        <v>1.8589916168278018E-4</v>
      </c>
      <c r="Q89" s="56">
        <f t="shared" si="50"/>
        <v>1.3194214852646153E-2</v>
      </c>
      <c r="R89" s="9">
        <f>F89*$C$14</f>
        <v>3.9999999999999996E-5</v>
      </c>
      <c r="S89" s="9">
        <f t="shared" si="39"/>
        <v>7.5917989111048964E-6</v>
      </c>
      <c r="T89" s="9">
        <f t="shared" si="40"/>
        <v>9.7377337977239134E-8</v>
      </c>
      <c r="U89" s="9">
        <f t="shared" si="41"/>
        <v>3.24082010888951E-5</v>
      </c>
      <c r="V89" s="102">
        <f t="shared" si="42"/>
        <v>3.0047128413618176E-3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5.2380464528641673</v>
      </c>
      <c r="K90" s="55">
        <f t="shared" si="46"/>
        <v>1.0943425730704261E-3</v>
      </c>
      <c r="L90" s="55">
        <f t="shared" si="47"/>
        <v>0.19358676673318451</v>
      </c>
      <c r="M90" s="55">
        <f t="shared" si="19"/>
        <v>0.80641323326681547</v>
      </c>
      <c r="N90" s="55">
        <f t="shared" si="48"/>
        <v>0.14743351285957165</v>
      </c>
      <c r="O90" s="56">
        <f t="shared" si="21"/>
        <v>1.0960287340643494E-9</v>
      </c>
      <c r="P90" s="56">
        <f t="shared" si="49"/>
        <v>1.8961312368765757E-4</v>
      </c>
      <c r="Q90" s="56">
        <f t="shared" si="50"/>
        <v>1.4440723083142284E-2</v>
      </c>
      <c r="R90" s="9">
        <f>F90*$C$14</f>
        <v>3.9999999999999996E-5</v>
      </c>
      <c r="S90" s="9">
        <f t="shared" si="39"/>
        <v>7.7434706693273789E-6</v>
      </c>
      <c r="T90" s="9">
        <f t="shared" si="40"/>
        <v>4.3773702922817041E-8</v>
      </c>
      <c r="U90" s="9">
        <f t="shared" si="41"/>
        <v>3.2256529330672614E-5</v>
      </c>
      <c r="V90" s="102">
        <f t="shared" si="42"/>
        <v>1.3570493736036501E-3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5.6480480937018527</v>
      </c>
      <c r="K91" s="55">
        <f t="shared" si="46"/>
        <v>4.3317754017205095E-4</v>
      </c>
      <c r="L91" s="55">
        <f t="shared" si="47"/>
        <v>0.19696540034667853</v>
      </c>
      <c r="M91" s="55">
        <f t="shared" si="19"/>
        <v>0.80303459965332147</v>
      </c>
      <c r="N91" s="55">
        <f t="shared" si="48"/>
        <v>0.15905922036956965</v>
      </c>
      <c r="O91" s="56">
        <f t="shared" si="21"/>
        <v>4.3384497931739317E-10</v>
      </c>
      <c r="P91" s="56">
        <f t="shared" si="49"/>
        <v>1.9292240605267425E-4</v>
      </c>
      <c r="Q91" s="56">
        <f t="shared" si="50"/>
        <v>1.5579430420037902E-2</v>
      </c>
      <c r="R91" s="9">
        <f t="shared" ref="R91:R92" si="51">F91*$C$14</f>
        <v>3.9999999999999996E-5</v>
      </c>
      <c r="S91" s="9">
        <f t="shared" si="39"/>
        <v>7.8786160138671405E-6</v>
      </c>
      <c r="T91" s="9">
        <f t="shared" si="40"/>
        <v>1.7327101606882036E-8</v>
      </c>
      <c r="U91" s="9">
        <f t="shared" si="41"/>
        <v>3.2121383986132854E-5</v>
      </c>
      <c r="V91" s="102">
        <f t="shared" si="42"/>
        <v>5.3942574872746236E-4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6.8825918577396417</v>
      </c>
      <c r="K92" s="55">
        <f t="shared" si="46"/>
        <v>2.5919761424937075E-5</v>
      </c>
      <c r="L92" s="55">
        <f t="shared" si="47"/>
        <v>0.20225477154584112</v>
      </c>
      <c r="M92" s="55">
        <f t="shared" si="19"/>
        <v>0.79774522845415885</v>
      </c>
      <c r="N92" s="55">
        <f t="shared" si="48"/>
        <v>0.17759671093060958</v>
      </c>
      <c r="O92" s="56">
        <f t="shared" si="21"/>
        <v>2.5959698544959648E-11</v>
      </c>
      <c r="P92" s="56">
        <f t="shared" si="49"/>
        <v>1.9810320540348457E-4</v>
      </c>
      <c r="Q92" s="56">
        <f t="shared" si="50"/>
        <v>1.7395128646690863E-2</v>
      </c>
      <c r="R92" s="9">
        <f t="shared" si="51"/>
        <v>3.9999999999999996E-5</v>
      </c>
      <c r="S92" s="9">
        <f t="shared" si="39"/>
        <v>8.0901908618336437E-6</v>
      </c>
      <c r="T92" s="9">
        <f t="shared" si="40"/>
        <v>1.0367904569974829E-9</v>
      </c>
      <c r="U92" s="9">
        <f t="shared" si="41"/>
        <v>3.1909809138166349E-5</v>
      </c>
      <c r="V92" s="102">
        <f t="shared" si="42"/>
        <v>3.2491277290574872E-5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1.1804947002134922</v>
      </c>
      <c r="K93" s="55">
        <f t="shared" si="46"/>
        <v>0.9146710558443214</v>
      </c>
      <c r="L93" s="55">
        <f t="shared" si="47"/>
        <v>1.4172143958551325E-2</v>
      </c>
      <c r="M93" s="55">
        <f t="shared" ref="M93:M127" si="52">IF(D93=0,"",1-L93)</f>
        <v>0.98582785604144862</v>
      </c>
      <c r="N93" s="55">
        <f t="shared" si="48"/>
        <v>1.6631861315051029E-3</v>
      </c>
      <c r="O93" s="56">
        <f t="shared" ref="O93:O127" si="53">IF(D93=0,"",F93*K93*$J$7/$J$14)</f>
        <v>9.1608037929987145E-7</v>
      </c>
      <c r="P93" s="56">
        <f t="shared" si="49"/>
        <v>1.3881240596552802E-5</v>
      </c>
      <c r="Q93" s="56">
        <f t="shared" si="50"/>
        <v>1.6290468764496095E-4</v>
      </c>
      <c r="R93" s="9">
        <f>F93*$C$14</f>
        <v>3.9999999999999996E-5</v>
      </c>
      <c r="S93" s="9">
        <f t="shared" si="39"/>
        <v>5.668857583420529E-7</v>
      </c>
      <c r="T93" s="9">
        <f t="shared" si="40"/>
        <v>3.6586842233772855E-5</v>
      </c>
      <c r="U93" s="9">
        <f t="shared" si="41"/>
        <v>3.9433114241657943E-5</v>
      </c>
      <c r="V93" s="102">
        <f t="shared" si="42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0.26095660478938421</v>
      </c>
      <c r="K107" s="55">
        <f t="shared" si="46"/>
        <v>0.9931736997900269</v>
      </c>
      <c r="L107" s="55">
        <f t="shared" si="47"/>
        <v>1.8520714365321878E-3</v>
      </c>
      <c r="M107" s="55">
        <f t="shared" si="52"/>
        <v>0.99814792856346779</v>
      </c>
      <c r="N107" s="55">
        <f t="shared" si="48"/>
        <v>1.186624003357601E-4</v>
      </c>
      <c r="O107" s="56">
        <f t="shared" si="53"/>
        <v>9.9470397997283821E-7</v>
      </c>
      <c r="P107" s="56">
        <f t="shared" si="49"/>
        <v>1.8140550426030571E-6</v>
      </c>
      <c r="Q107" s="56">
        <f t="shared" si="50"/>
        <v>1.162266862122341E-5</v>
      </c>
      <c r="R107" s="9">
        <f>F107*$C$14</f>
        <v>3.9999999999999996E-5</v>
      </c>
      <c r="S107" s="9">
        <f t="shared" ref="S107:S108" si="54">$R107*L107</f>
        <v>7.4082857461287512E-8</v>
      </c>
      <c r="T107" s="9">
        <f t="shared" ref="T107:T108" si="55">R107*K107</f>
        <v>3.9726947991601071E-5</v>
      </c>
      <c r="U107" s="9">
        <f t="shared" ref="U107:U108" si="56">$R107*M107</f>
        <v>3.9925917142538708E-5</v>
      </c>
      <c r="V107" s="102">
        <f t="shared" ref="V107:V108" si="57">K107/M107</f>
        <v>0.99501654150542618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0.88901420040828383</v>
      </c>
      <c r="K108" s="55">
        <f t="shared" si="46"/>
        <v>0.95729814026389903</v>
      </c>
      <c r="L108" s="55">
        <f t="shared" si="47"/>
        <v>7.5811891825401665E-3</v>
      </c>
      <c r="M108" s="55">
        <f t="shared" si="52"/>
        <v>0.99241881081745986</v>
      </c>
      <c r="N108" s="55">
        <f t="shared" si="48"/>
        <v>1.1750927149377847E-3</v>
      </c>
      <c r="O108" s="56">
        <f t="shared" si="53"/>
        <v>9.5877314345155657E-7</v>
      </c>
      <c r="P108" s="56">
        <f t="shared" si="49"/>
        <v>7.4255745184782032E-6</v>
      </c>
      <c r="Q108" s="56">
        <f t="shared" si="50"/>
        <v>1.1509722697577799E-4</v>
      </c>
      <c r="R108" s="9">
        <f>F108*$C$14</f>
        <v>3.9999999999999996E-5</v>
      </c>
      <c r="S108" s="9">
        <f t="shared" si="54"/>
        <v>3.0324756730160666E-7</v>
      </c>
      <c r="T108" s="9">
        <f t="shared" si="55"/>
        <v>3.8291925610555958E-5</v>
      </c>
      <c r="U108" s="9">
        <f t="shared" si="56"/>
        <v>3.969675243269839E-5</v>
      </c>
      <c r="V108" s="102">
        <f t="shared" si="57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0.74385538428887032</v>
      </c>
      <c r="K114" s="55">
        <f t="shared" si="46"/>
        <v>0.97056524465136673</v>
      </c>
      <c r="L114" s="55">
        <f t="shared" si="47"/>
        <v>5.5024491572403566E-3</v>
      </c>
      <c r="M114" s="55">
        <f t="shared" si="52"/>
        <v>0.99449755084275959</v>
      </c>
      <c r="N114" s="55">
        <f t="shared" si="48"/>
        <v>9.2603980333129138E-4</v>
      </c>
      <c r="O114" s="56">
        <f t="shared" si="53"/>
        <v>9.7206068976870039E-7</v>
      </c>
      <c r="P114" s="56">
        <f t="shared" si="49"/>
        <v>5.3895035814863561E-6</v>
      </c>
      <c r="Q114" s="56">
        <f t="shared" si="50"/>
        <v>9.0703152251496677E-5</v>
      </c>
      <c r="R114" s="9">
        <f>F114*$C$14</f>
        <v>3.9999999999999996E-5</v>
      </c>
      <c r="S114" s="9">
        <f t="shared" ref="S114:S116" si="58">$R114*L114</f>
        <v>2.2009796628961425E-7</v>
      </c>
      <c r="T114" s="9">
        <f t="shared" ref="T114:T116" si="59">R114*K114</f>
        <v>3.8822609786054667E-5</v>
      </c>
      <c r="U114" s="9">
        <f t="shared" ref="U114:U116" si="60">$R114*M114</f>
        <v>3.977990203371038E-5</v>
      </c>
      <c r="V114" s="102">
        <f t="shared" ref="V114:V116" si="61">K114/M114</f>
        <v>0.97593527890429488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0.98473247557463439</v>
      </c>
      <c r="K115" s="55">
        <f t="shared" si="46"/>
        <v>0.94455210923824529</v>
      </c>
      <c r="L115" s="55">
        <f t="shared" si="47"/>
        <v>9.324688149099725E-3</v>
      </c>
      <c r="M115" s="55">
        <f t="shared" si="52"/>
        <v>0.9906753118509003</v>
      </c>
      <c r="N115" s="55">
        <f t="shared" si="48"/>
        <v>5.1510746145908785E-4</v>
      </c>
      <c r="O115" s="56">
        <f t="shared" si="53"/>
        <v>9.4600747336508976E-7</v>
      </c>
      <c r="P115" s="56">
        <f t="shared" si="49"/>
        <v>9.133285695095994E-6</v>
      </c>
      <c r="Q115" s="56">
        <f t="shared" si="50"/>
        <v>5.045341499850284E-5</v>
      </c>
      <c r="R115" s="9">
        <f>F115*$C$14</f>
        <v>3.9999999999999996E-5</v>
      </c>
      <c r="S115" s="9">
        <f t="shared" si="58"/>
        <v>3.7298752596398896E-7</v>
      </c>
      <c r="T115" s="9">
        <f t="shared" si="59"/>
        <v>3.7782084369529807E-5</v>
      </c>
      <c r="U115" s="9">
        <f t="shared" si="60"/>
        <v>3.962701247403601E-5</v>
      </c>
      <c r="V115" s="102">
        <f t="shared" si="61"/>
        <v>0.95344266475513351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9.2579382109452407E-2</v>
      </c>
      <c r="K116" s="55">
        <f t="shared" si="46"/>
        <v>0.99687939184211061</v>
      </c>
      <c r="L116" s="55">
        <f t="shared" si="47"/>
        <v>1.2615309760658762E-3</v>
      </c>
      <c r="M116" s="55">
        <f t="shared" si="52"/>
        <v>0.99873846902393415</v>
      </c>
      <c r="N116" s="55">
        <f t="shared" si="48"/>
        <v>1.392687048065684E-5</v>
      </c>
      <c r="O116" s="56">
        <f t="shared" si="53"/>
        <v>9.9841538174831871E-7</v>
      </c>
      <c r="P116" s="56">
        <f t="shared" si="49"/>
        <v>1.2356362629387625E-6</v>
      </c>
      <c r="Q116" s="56">
        <f t="shared" si="50"/>
        <v>1.364100170478285E-6</v>
      </c>
      <c r="R116" s="9">
        <f>F116*$C$14</f>
        <v>3.9999999999999996E-5</v>
      </c>
      <c r="S116" s="9">
        <f t="shared" si="58"/>
        <v>5.0461239042635044E-8</v>
      </c>
      <c r="T116" s="9">
        <f t="shared" si="59"/>
        <v>3.9875175673684421E-5</v>
      </c>
      <c r="U116" s="9">
        <f t="shared" si="60"/>
        <v>3.9949538760957362E-5</v>
      </c>
      <c r="V116" s="102">
        <f t="shared" si="61"/>
        <v>0.99813857457233979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2.733342553277482</v>
      </c>
      <c r="K119" s="55">
        <f t="shared" si="46"/>
        <v>0.23576363292363198</v>
      </c>
      <c r="L119" s="55">
        <f t="shared" si="47"/>
        <v>0.13046538101042005</v>
      </c>
      <c r="M119" s="55">
        <f t="shared" si="52"/>
        <v>0.86953461898957995</v>
      </c>
      <c r="N119" s="55">
        <f t="shared" si="48"/>
        <v>4.9582193241748763E-2</v>
      </c>
      <c r="O119" s="56">
        <f t="shared" si="53"/>
        <v>2.3612689708917211E-7</v>
      </c>
      <c r="P119" s="56">
        <f t="shared" si="49"/>
        <v>1.2778739396263473E-4</v>
      </c>
      <c r="Q119" s="56">
        <f t="shared" si="50"/>
        <v>4.8564448378905899E-3</v>
      </c>
      <c r="R119" s="9">
        <f>F119*$C$14</f>
        <v>3.9999999999999996E-5</v>
      </c>
      <c r="S119" s="9">
        <f t="shared" ref="S119:S121" si="62">$R119*L119</f>
        <v>5.2186152404168017E-6</v>
      </c>
      <c r="T119" s="9">
        <f t="shared" ref="T119:T121" si="63">R119*K119</f>
        <v>9.4305453169452788E-6</v>
      </c>
      <c r="U119" s="9">
        <f t="shared" ref="U119:U121" si="64">$R119*M119</f>
        <v>3.4781384759583194E-5</v>
      </c>
      <c r="V119" s="102">
        <f t="shared" ref="V119:V121" si="65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1.0536489251052004</v>
      </c>
      <c r="K120" s="55">
        <f t="shared" si="46"/>
        <v>0.93654641227092295</v>
      </c>
      <c r="L120" s="55">
        <f t="shared" si="47"/>
        <v>1.0835629533494482E-2</v>
      </c>
      <c r="M120" s="55">
        <f t="shared" si="52"/>
        <v>0.98916437046650552</v>
      </c>
      <c r="N120" s="55">
        <f t="shared" si="48"/>
        <v>1.5752200213382196E-3</v>
      </c>
      <c r="O120" s="56">
        <f t="shared" si="53"/>
        <v>9.3798944123482335E-7</v>
      </c>
      <c r="P120" s="56">
        <f t="shared" si="49"/>
        <v>1.0613212863872521E-5</v>
      </c>
      <c r="Q120" s="56">
        <f t="shared" si="50"/>
        <v>1.5428863954990483E-4</v>
      </c>
      <c r="R120" s="9">
        <f>F120*$C$14</f>
        <v>3.9999999999999996E-5</v>
      </c>
      <c r="S120" s="9">
        <f t="shared" si="62"/>
        <v>4.3342518133977925E-7</v>
      </c>
      <c r="T120" s="9">
        <f t="shared" si="63"/>
        <v>3.7461856490836912E-5</v>
      </c>
      <c r="U120" s="9">
        <f t="shared" si="64"/>
        <v>3.9566574818660221E-5</v>
      </c>
      <c r="V120" s="102">
        <f t="shared" si="65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3.2754781567040245</v>
      </c>
      <c r="K121" s="55">
        <f t="shared" si="46"/>
        <v>7.8711974591207656E-2</v>
      </c>
      <c r="L121" s="55">
        <f t="shared" si="47"/>
        <v>0.15177312722975381</v>
      </c>
      <c r="M121" s="55">
        <f t="shared" si="52"/>
        <v>0.84822687277024622</v>
      </c>
      <c r="N121" s="55">
        <f t="shared" si="48"/>
        <v>4.0829656479078422E-2</v>
      </c>
      <c r="O121" s="56">
        <f t="shared" si="53"/>
        <v>7.8833253854736626E-8</v>
      </c>
      <c r="P121" s="56">
        <f t="shared" si="49"/>
        <v>1.4865776845966996E-4</v>
      </c>
      <c r="Q121" s="56">
        <f t="shared" si="50"/>
        <v>3.9991569851272049E-3</v>
      </c>
      <c r="R121" s="9">
        <f>F121*$C$14</f>
        <v>3.9999999999999996E-5</v>
      </c>
      <c r="S121" s="9">
        <f t="shared" si="62"/>
        <v>6.0709250891901517E-6</v>
      </c>
      <c r="T121" s="9">
        <f t="shared" si="63"/>
        <v>3.148478983648306E-6</v>
      </c>
      <c r="U121" s="9">
        <f t="shared" si="64"/>
        <v>3.3929074910809848E-5</v>
      </c>
      <c r="V121" s="102">
        <f t="shared" si="65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1.8871961709462508</v>
      </c>
      <c r="K124" s="55">
        <f t="shared" si="68"/>
        <v>0.68522961293928042</v>
      </c>
      <c r="L124" s="55">
        <f t="shared" si="69"/>
        <v>5.4039113111336912E-2</v>
      </c>
      <c r="M124" s="55">
        <f t="shared" si="52"/>
        <v>0.94596088688866309</v>
      </c>
      <c r="N124" s="55">
        <f t="shared" si="70"/>
        <v>1.9860768161307121E-2</v>
      </c>
      <c r="O124" s="56">
        <f t="shared" si="53"/>
        <v>6.8628541344787039E-7</v>
      </c>
      <c r="P124" s="56">
        <f t="shared" si="71"/>
        <v>5.2929883644752165E-5</v>
      </c>
      <c r="Q124" s="56">
        <f t="shared" si="72"/>
        <v>1.945309771660272E-3</v>
      </c>
      <c r="R124" s="9">
        <f>F124*$C$14</f>
        <v>3.9999999999999996E-5</v>
      </c>
      <c r="S124" s="9">
        <f t="shared" ref="S124:S127" si="73">$R124*L124</f>
        <v>2.1615645244534763E-6</v>
      </c>
      <c r="T124" s="9">
        <f t="shared" ref="T124:T127" si="74">R124*K124</f>
        <v>2.7409184517571213E-5</v>
      </c>
      <c r="U124" s="9">
        <f t="shared" ref="U124:U127" si="75">$R124*M124</f>
        <v>3.7838435475546519E-5</v>
      </c>
      <c r="V124" s="102">
        <f t="shared" ref="V124:V127" si="76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1.3721776759184094</v>
      </c>
      <c r="K126" s="55">
        <f t="shared" si="68"/>
        <v>0.87342630670917132</v>
      </c>
      <c r="L126" s="55">
        <f t="shared" si="69"/>
        <v>2.104165341197722E-2</v>
      </c>
      <c r="M126" s="55">
        <f t="shared" si="52"/>
        <v>0.97895834658802283</v>
      </c>
      <c r="N126" s="55">
        <f t="shared" si="70"/>
        <v>3.8811121005428478E-3</v>
      </c>
      <c r="O126" s="56">
        <f t="shared" si="53"/>
        <v>8.7477208033224012E-7</v>
      </c>
      <c r="P126" s="56">
        <f t="shared" si="71"/>
        <v>2.0609743622078535E-5</v>
      </c>
      <c r="Q126" s="56">
        <f t="shared" si="72"/>
        <v>3.8014467682090044E-4</v>
      </c>
      <c r="R126" s="9">
        <f>F126*$C$14</f>
        <v>3.9999999999999996E-5</v>
      </c>
      <c r="S126" s="9">
        <f t="shared" si="73"/>
        <v>8.4166613647908872E-7</v>
      </c>
      <c r="T126" s="9">
        <f t="shared" si="74"/>
        <v>3.4937052268366848E-5</v>
      </c>
      <c r="U126" s="9">
        <f t="shared" si="75"/>
        <v>3.9158333863520909E-5</v>
      </c>
      <c r="V126" s="102">
        <f t="shared" si="76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9.7513741218238463E-3</v>
      </c>
      <c r="K127" s="55">
        <f t="shared" si="68"/>
        <v>0.99831304194542936</v>
      </c>
      <c r="L127" s="55">
        <f t="shared" si="69"/>
        <v>1.0439844681599786E-3</v>
      </c>
      <c r="M127" s="55">
        <f t="shared" si="52"/>
        <v>0.99895601553183999</v>
      </c>
      <c r="N127" s="55">
        <f t="shared" si="70"/>
        <v>1.2131141358638748E-5</v>
      </c>
      <c r="O127" s="56">
        <f t="shared" si="53"/>
        <v>9.9985124081704067E-7</v>
      </c>
      <c r="P127" s="56">
        <f t="shared" si="71"/>
        <v>1.022555205759724E-6</v>
      </c>
      <c r="Q127" s="56">
        <f t="shared" si="72"/>
        <v>1.1882132470750759E-6</v>
      </c>
      <c r="R127" s="9">
        <f>F127*$C$14</f>
        <v>3.9999999999999996E-5</v>
      </c>
      <c r="S127" s="9">
        <f t="shared" si="73"/>
        <v>4.1759378726399142E-8</v>
      </c>
      <c r="T127" s="9">
        <f t="shared" si="74"/>
        <v>3.9932521677817172E-5</v>
      </c>
      <c r="U127" s="9">
        <f t="shared" si="75"/>
        <v>3.9958240621273597E-5</v>
      </c>
      <c r="V127" s="102">
        <f t="shared" si="76"/>
        <v>0.99935635445764015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0.27218535628460888</v>
      </c>
      <c r="K130" s="55">
        <f t="shared" si="79"/>
        <v>0.99275172438686266</v>
      </c>
      <c r="L130" s="55">
        <f t="shared" si="80"/>
        <v>1.8997739357507516E-3</v>
      </c>
      <c r="M130" s="55">
        <f t="shared" si="81"/>
        <v>0.9981002260642492</v>
      </c>
      <c r="N130" s="55">
        <f t="shared" si="82"/>
        <v>6.1287029010364557E-5</v>
      </c>
      <c r="O130" s="56">
        <f t="shared" si="83"/>
        <v>9.9428135439076051E-7</v>
      </c>
      <c r="P130" s="56">
        <f t="shared" si="84"/>
        <v>1.860778380345489E-6</v>
      </c>
      <c r="Q130" s="56">
        <f t="shared" si="85"/>
        <v>6.0029025786705625E-6</v>
      </c>
      <c r="R130" s="9">
        <f>F130*$C$14</f>
        <v>3.9999999999999996E-5</v>
      </c>
      <c r="S130" s="9">
        <f t="shared" ref="S130:S131" si="86">$R130*L130</f>
        <v>7.5990957430030063E-8</v>
      </c>
      <c r="T130" s="9">
        <f t="shared" ref="T130:T131" si="87">R130*K130</f>
        <v>3.97100689754745E-5</v>
      </c>
      <c r="U130" s="9">
        <f t="shared" ref="U130:U131" si="88">$R130*M130</f>
        <v>3.9924009042569962E-5</v>
      </c>
      <c r="V130" s="102">
        <f t="shared" ref="V130:V131" si="89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-1.0997170132127058E-2</v>
      </c>
      <c r="K131" s="55">
        <f t="shared" si="79"/>
        <v>0.99862098238548369</v>
      </c>
      <c r="L131" s="55">
        <f t="shared" si="80"/>
        <v>9.9558750045272031E-4</v>
      </c>
      <c r="M131" s="55">
        <f t="shared" si="81"/>
        <v>0.9990044124995473</v>
      </c>
      <c r="N131" s="55">
        <f t="shared" si="82"/>
        <v>5.8266858787146089E-6</v>
      </c>
      <c r="O131" s="56">
        <f t="shared" si="83"/>
        <v>1.0001596557311502E-6</v>
      </c>
      <c r="P131" s="56">
        <f t="shared" si="84"/>
        <v>9.7515165447963109E-7</v>
      </c>
      <c r="Q131" s="56">
        <f t="shared" si="85"/>
        <v>5.7070848842296037E-7</v>
      </c>
      <c r="R131" s="9">
        <f>F131*$C$14</f>
        <v>3.9999999999999996E-5</v>
      </c>
      <c r="S131" s="9">
        <f t="shared" si="86"/>
        <v>3.9823500018108809E-8</v>
      </c>
      <c r="T131" s="9">
        <f t="shared" si="87"/>
        <v>3.9944839295419346E-5</v>
      </c>
      <c r="U131" s="9">
        <f t="shared" si="88"/>
        <v>3.996017649998189E-5</v>
      </c>
      <c r="V131" s="102">
        <f t="shared" si="89"/>
        <v>0.99961618776727501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2024-10-28T22:49:39Z</dcterms:modified>
</cp:coreProperties>
</file>