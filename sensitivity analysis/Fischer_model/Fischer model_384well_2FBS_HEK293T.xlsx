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7713505D-8670-472F-859D-01C33DF63C0C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R143" i="4"/>
  <c r="U143" i="4" s="1"/>
  <c r="V142" i="4"/>
  <c r="R142" i="4"/>
  <c r="T142" i="4" s="1"/>
  <c r="V141" i="4"/>
  <c r="U141" i="4"/>
  <c r="T141" i="4"/>
  <c r="S141" i="4"/>
  <c r="R141" i="4"/>
  <c r="V140" i="4"/>
  <c r="R140" i="4"/>
  <c r="U140" i="4" s="1"/>
  <c r="V139" i="4"/>
  <c r="U139" i="4"/>
  <c r="T139" i="4"/>
  <c r="S139" i="4"/>
  <c r="R139" i="4"/>
  <c r="V138" i="4"/>
  <c r="R138" i="4"/>
  <c r="U138" i="4" s="1"/>
  <c r="V137" i="4"/>
  <c r="U137" i="4"/>
  <c r="T137" i="4"/>
  <c r="S137" i="4"/>
  <c r="R137" i="4"/>
  <c r="V136" i="4"/>
  <c r="R136" i="4"/>
  <c r="U136" i="4" s="1"/>
  <c r="V135" i="4"/>
  <c r="R135" i="4"/>
  <c r="T135" i="4" s="1"/>
  <c r="V134" i="4"/>
  <c r="U134" i="4"/>
  <c r="T134" i="4"/>
  <c r="R134" i="4"/>
  <c r="S134" i="4" s="1"/>
  <c r="V133" i="4"/>
  <c r="R133" i="4"/>
  <c r="U133" i="4" s="1"/>
  <c r="V132" i="4"/>
  <c r="U132" i="4"/>
  <c r="T132" i="4"/>
  <c r="R132" i="4"/>
  <c r="S132" i="4" s="1"/>
  <c r="V131" i="4"/>
  <c r="R131" i="4"/>
  <c r="U131" i="4" s="1"/>
  <c r="V130" i="4"/>
  <c r="R130" i="4"/>
  <c r="T130" i="4" s="1"/>
  <c r="V129" i="4"/>
  <c r="U129" i="4"/>
  <c r="T129" i="4"/>
  <c r="S129" i="4"/>
  <c r="R129" i="4"/>
  <c r="V128" i="4"/>
  <c r="R128" i="4"/>
  <c r="S128" i="4" s="1"/>
  <c r="V127" i="4"/>
  <c r="U127" i="4"/>
  <c r="T127" i="4"/>
  <c r="S127" i="4"/>
  <c r="R127" i="4"/>
  <c r="V126" i="4"/>
  <c r="R126" i="4"/>
  <c r="U126" i="4" s="1"/>
  <c r="V125" i="4"/>
  <c r="U125" i="4"/>
  <c r="T125" i="4"/>
  <c r="S125" i="4"/>
  <c r="R125" i="4"/>
  <c r="V124" i="4"/>
  <c r="R124" i="4"/>
  <c r="U124" i="4" s="1"/>
  <c r="V123" i="4"/>
  <c r="R123" i="4"/>
  <c r="T123" i="4" s="1"/>
  <c r="V122" i="4"/>
  <c r="U122" i="4"/>
  <c r="T122" i="4"/>
  <c r="R122" i="4"/>
  <c r="S122" i="4" s="1"/>
  <c r="V121" i="4"/>
  <c r="R121" i="4"/>
  <c r="U121" i="4" s="1"/>
  <c r="V120" i="4"/>
  <c r="U120" i="4"/>
  <c r="T120" i="4"/>
  <c r="R120" i="4"/>
  <c r="S120" i="4" s="1"/>
  <c r="V119" i="4"/>
  <c r="R119" i="4"/>
  <c r="U119" i="4" s="1"/>
  <c r="V118" i="4"/>
  <c r="R118" i="4"/>
  <c r="U118" i="4" s="1"/>
  <c r="V117" i="4"/>
  <c r="U117" i="4"/>
  <c r="T117" i="4"/>
  <c r="S117" i="4"/>
  <c r="R117" i="4"/>
  <c r="V116" i="4"/>
  <c r="R116" i="4"/>
  <c r="S116" i="4" s="1"/>
  <c r="V115" i="4"/>
  <c r="U115" i="4"/>
  <c r="T115" i="4"/>
  <c r="S115" i="4"/>
  <c r="R115" i="4"/>
  <c r="V114" i="4"/>
  <c r="R114" i="4"/>
  <c r="U114" i="4" s="1"/>
  <c r="V113" i="4"/>
  <c r="U113" i="4"/>
  <c r="T113" i="4"/>
  <c r="S113" i="4"/>
  <c r="R113" i="4"/>
  <c r="V112" i="4"/>
  <c r="R112" i="4"/>
  <c r="U112" i="4" s="1"/>
  <c r="V111" i="4"/>
  <c r="R111" i="4"/>
  <c r="T111" i="4" s="1"/>
  <c r="V110" i="4"/>
  <c r="U110" i="4"/>
  <c r="T110" i="4"/>
  <c r="R110" i="4"/>
  <c r="S110" i="4" s="1"/>
  <c r="V109" i="4"/>
  <c r="R109" i="4"/>
  <c r="U109" i="4" s="1"/>
  <c r="V108" i="4"/>
  <c r="U108" i="4"/>
  <c r="T108" i="4"/>
  <c r="R108" i="4"/>
  <c r="S108" i="4" s="1"/>
  <c r="R107" i="4"/>
  <c r="V106" i="4"/>
  <c r="R106" i="4"/>
  <c r="U106" i="4" s="1"/>
  <c r="V105" i="4"/>
  <c r="U105" i="4"/>
  <c r="T105" i="4"/>
  <c r="S105" i="4"/>
  <c r="R105" i="4"/>
  <c r="V104" i="4"/>
  <c r="R104" i="4"/>
  <c r="U104" i="4" s="1"/>
  <c r="V103" i="4"/>
  <c r="R103" i="4"/>
  <c r="T103" i="4" s="1"/>
  <c r="V102" i="4"/>
  <c r="U102" i="4"/>
  <c r="T102" i="4"/>
  <c r="R102" i="4"/>
  <c r="S102" i="4" s="1"/>
  <c r="V101" i="4"/>
  <c r="R101" i="4"/>
  <c r="U101" i="4" s="1"/>
  <c r="R100" i="4"/>
  <c r="V99" i="4"/>
  <c r="U99" i="4"/>
  <c r="T99" i="4"/>
  <c r="S99" i="4"/>
  <c r="R99" i="4"/>
  <c r="V98" i="4"/>
  <c r="R98" i="4"/>
  <c r="U98" i="4" s="1"/>
  <c r="R97" i="4"/>
  <c r="V96" i="4"/>
  <c r="U96" i="4"/>
  <c r="T96" i="4"/>
  <c r="R96" i="4"/>
  <c r="S96" i="4" s="1"/>
  <c r="V95" i="4"/>
  <c r="R95" i="4"/>
  <c r="U95" i="4" s="1"/>
  <c r="V94" i="4"/>
  <c r="R94" i="4"/>
  <c r="U94" i="4" s="1"/>
  <c r="V93" i="4"/>
  <c r="U93" i="4"/>
  <c r="T93" i="4"/>
  <c r="S93" i="4"/>
  <c r="R93" i="4"/>
  <c r="V92" i="4"/>
  <c r="R92" i="4"/>
  <c r="S92" i="4" s="1"/>
  <c r="V91" i="4"/>
  <c r="U91" i="4"/>
  <c r="T91" i="4"/>
  <c r="S91" i="4"/>
  <c r="R91" i="4"/>
  <c r="V90" i="4"/>
  <c r="R90" i="4"/>
  <c r="U90" i="4" s="1"/>
  <c r="V89" i="4"/>
  <c r="U89" i="4"/>
  <c r="T89" i="4"/>
  <c r="S89" i="4"/>
  <c r="R89" i="4"/>
  <c r="V88" i="4"/>
  <c r="R88" i="4"/>
  <c r="U88" i="4" s="1"/>
  <c r="V87" i="4"/>
  <c r="R87" i="4"/>
  <c r="T87" i="4" s="1"/>
  <c r="V86" i="4"/>
  <c r="U86" i="4"/>
  <c r="T86" i="4"/>
  <c r="R86" i="4"/>
  <c r="S86" i="4" s="1"/>
  <c r="V85" i="4"/>
  <c r="R85" i="4"/>
  <c r="U85" i="4" s="1"/>
  <c r="V84" i="4"/>
  <c r="U84" i="4"/>
  <c r="T84" i="4"/>
  <c r="R84" i="4"/>
  <c r="S84" i="4" s="1"/>
  <c r="V83" i="4"/>
  <c r="R83" i="4"/>
  <c r="U83" i="4" s="1"/>
  <c r="V82" i="4"/>
  <c r="R82" i="4"/>
  <c r="U82" i="4" s="1"/>
  <c r="V81" i="4"/>
  <c r="U81" i="4"/>
  <c r="T81" i="4"/>
  <c r="S81" i="4"/>
  <c r="R81" i="4"/>
  <c r="V80" i="4"/>
  <c r="R80" i="4"/>
  <c r="S80" i="4" s="1"/>
  <c r="V79" i="4"/>
  <c r="U79" i="4"/>
  <c r="T79" i="4"/>
  <c r="S79" i="4"/>
  <c r="R79" i="4"/>
  <c r="V78" i="4"/>
  <c r="R78" i="4"/>
  <c r="U78" i="4" s="1"/>
  <c r="V77" i="4"/>
  <c r="U77" i="4"/>
  <c r="T77" i="4"/>
  <c r="S77" i="4"/>
  <c r="R77" i="4"/>
  <c r="V76" i="4"/>
  <c r="R76" i="4"/>
  <c r="U76" i="4" s="1"/>
  <c r="V75" i="4"/>
  <c r="R75" i="4"/>
  <c r="T75" i="4" s="1"/>
  <c r="V74" i="4"/>
  <c r="U74" i="4"/>
  <c r="T74" i="4"/>
  <c r="R74" i="4"/>
  <c r="S74" i="4" s="1"/>
  <c r="V73" i="4"/>
  <c r="R73" i="4"/>
  <c r="U73" i="4" s="1"/>
  <c r="V72" i="4"/>
  <c r="U72" i="4"/>
  <c r="T72" i="4"/>
  <c r="R72" i="4"/>
  <c r="S72" i="4" s="1"/>
  <c r="V71" i="4"/>
  <c r="R71" i="4"/>
  <c r="U71" i="4" s="1"/>
  <c r="V70" i="4"/>
  <c r="R70" i="4"/>
  <c r="U70" i="4" s="1"/>
  <c r="V69" i="4"/>
  <c r="U69" i="4"/>
  <c r="T69" i="4"/>
  <c r="S69" i="4"/>
  <c r="R69" i="4"/>
  <c r="V68" i="4"/>
  <c r="R68" i="4"/>
  <c r="S68" i="4" s="1"/>
  <c r="V67" i="4"/>
  <c r="U67" i="4"/>
  <c r="T67" i="4"/>
  <c r="S67" i="4"/>
  <c r="R67" i="4"/>
  <c r="V66" i="4"/>
  <c r="R66" i="4"/>
  <c r="U66" i="4" s="1"/>
  <c r="V65" i="4"/>
  <c r="U65" i="4"/>
  <c r="T65" i="4"/>
  <c r="S65" i="4"/>
  <c r="R65" i="4"/>
  <c r="V64" i="4"/>
  <c r="R64" i="4"/>
  <c r="U64" i="4" s="1"/>
  <c r="V63" i="4"/>
  <c r="R63" i="4"/>
  <c r="T63" i="4" s="1"/>
  <c r="V62" i="4"/>
  <c r="U62" i="4"/>
  <c r="T62" i="4"/>
  <c r="R62" i="4"/>
  <c r="S62" i="4" s="1"/>
  <c r="V61" i="4"/>
  <c r="R61" i="4"/>
  <c r="U61" i="4" s="1"/>
  <c r="V60" i="4"/>
  <c r="U60" i="4"/>
  <c r="T60" i="4"/>
  <c r="R60" i="4"/>
  <c r="S60" i="4" s="1"/>
  <c r="V59" i="4"/>
  <c r="R59" i="4"/>
  <c r="U59" i="4" s="1"/>
  <c r="V58" i="4"/>
  <c r="R58" i="4"/>
  <c r="U58" i="4" s="1"/>
  <c r="V57" i="4"/>
  <c r="U57" i="4"/>
  <c r="T57" i="4"/>
  <c r="S57" i="4"/>
  <c r="R57" i="4"/>
  <c r="V56" i="4"/>
  <c r="R56" i="4"/>
  <c r="S56" i="4" s="1"/>
  <c r="V55" i="4"/>
  <c r="U55" i="4"/>
  <c r="T55" i="4"/>
  <c r="S55" i="4"/>
  <c r="R55" i="4"/>
  <c r="V54" i="4"/>
  <c r="R54" i="4"/>
  <c r="U54" i="4" s="1"/>
  <c r="V53" i="4"/>
  <c r="U53" i="4"/>
  <c r="T53" i="4"/>
  <c r="S53" i="4"/>
  <c r="R53" i="4"/>
  <c r="V52" i="4"/>
  <c r="R52" i="4"/>
  <c r="U52" i="4" s="1"/>
  <c r="V51" i="4"/>
  <c r="R51" i="4"/>
  <c r="T51" i="4" s="1"/>
  <c r="V50" i="4"/>
  <c r="U50" i="4"/>
  <c r="T50" i="4"/>
  <c r="R50" i="4"/>
  <c r="S50" i="4" s="1"/>
  <c r="V49" i="4"/>
  <c r="R49" i="4"/>
  <c r="U49" i="4" s="1"/>
  <c r="V48" i="4"/>
  <c r="U48" i="4"/>
  <c r="T48" i="4"/>
  <c r="R48" i="4"/>
  <c r="S48" i="4" s="1"/>
  <c r="V47" i="4"/>
  <c r="R47" i="4"/>
  <c r="U47" i="4" s="1"/>
  <c r="V46" i="4"/>
  <c r="R46" i="4"/>
  <c r="U46" i="4" s="1"/>
  <c r="V45" i="4"/>
  <c r="U45" i="4"/>
  <c r="T45" i="4"/>
  <c r="S45" i="4"/>
  <c r="R45" i="4"/>
  <c r="V44" i="4"/>
  <c r="R44" i="4"/>
  <c r="U44" i="4" s="1"/>
  <c r="V43" i="4"/>
  <c r="U43" i="4"/>
  <c r="T43" i="4"/>
  <c r="S43" i="4"/>
  <c r="R43" i="4"/>
  <c r="V42" i="4"/>
  <c r="R42" i="4"/>
  <c r="U42" i="4" s="1"/>
  <c r="V41" i="4"/>
  <c r="U41" i="4"/>
  <c r="T41" i="4"/>
  <c r="S41" i="4"/>
  <c r="R41" i="4"/>
  <c r="V40" i="4"/>
  <c r="R40" i="4"/>
  <c r="U40" i="4" s="1"/>
  <c r="V39" i="4"/>
  <c r="R39" i="4"/>
  <c r="T39" i="4" s="1"/>
  <c r="V38" i="4"/>
  <c r="U38" i="4"/>
  <c r="T38" i="4"/>
  <c r="R38" i="4"/>
  <c r="S38" i="4" s="1"/>
  <c r="V37" i="4"/>
  <c r="R37" i="4"/>
  <c r="U37" i="4" s="1"/>
  <c r="V36" i="4"/>
  <c r="U36" i="4"/>
  <c r="T36" i="4"/>
  <c r="R36" i="4"/>
  <c r="S36" i="4" s="1"/>
  <c r="V35" i="4"/>
  <c r="R35" i="4"/>
  <c r="U35" i="4" s="1"/>
  <c r="V34" i="4"/>
  <c r="R34" i="4"/>
  <c r="U34" i="4" s="1"/>
  <c r="V33" i="4"/>
  <c r="U33" i="4"/>
  <c r="T33" i="4"/>
  <c r="S33" i="4"/>
  <c r="R33" i="4"/>
  <c r="V32" i="4"/>
  <c r="R32" i="4"/>
  <c r="S32" i="4" s="1"/>
  <c r="V31" i="4"/>
  <c r="U31" i="4"/>
  <c r="T31" i="4"/>
  <c r="S31" i="4"/>
  <c r="R31" i="4"/>
  <c r="V30" i="4"/>
  <c r="R30" i="4"/>
  <c r="U30" i="4" s="1"/>
  <c r="V29" i="4"/>
  <c r="U29" i="4"/>
  <c r="T29" i="4"/>
  <c r="S29" i="4"/>
  <c r="R29" i="4"/>
  <c r="V28" i="4"/>
  <c r="R28" i="4"/>
  <c r="U28" i="4" s="1"/>
  <c r="I135" i="4"/>
  <c r="L135" i="4" s="1"/>
  <c r="M135" i="4" s="1"/>
  <c r="J135" i="4"/>
  <c r="K135" i="4" s="1"/>
  <c r="O135" i="4" s="1"/>
  <c r="P135" i="4" s="1"/>
  <c r="N135" i="4"/>
  <c r="Q135" i="4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J138" i="4"/>
  <c r="K138" i="4"/>
  <c r="L138" i="4"/>
  <c r="M138" i="4"/>
  <c r="N138" i="4"/>
  <c r="O138" i="4"/>
  <c r="P138" i="4"/>
  <c r="Q138" i="4"/>
  <c r="I139" i="4"/>
  <c r="L139" i="4" s="1"/>
  <c r="M139" i="4" s="1"/>
  <c r="J139" i="4"/>
  <c r="K139" i="4" s="1"/>
  <c r="O139" i="4" s="1"/>
  <c r="P139" i="4" s="1"/>
  <c r="N139" i="4"/>
  <c r="Q139" i="4"/>
  <c r="I140" i="4"/>
  <c r="L140" i="4" s="1"/>
  <c r="M140" i="4" s="1"/>
  <c r="J140" i="4"/>
  <c r="K140" i="4"/>
  <c r="O140" i="4" s="1"/>
  <c r="P140" i="4" s="1"/>
  <c r="I141" i="4"/>
  <c r="J141" i="4"/>
  <c r="K141" i="4"/>
  <c r="O141" i="4" s="1"/>
  <c r="P141" i="4" s="1"/>
  <c r="L141" i="4"/>
  <c r="M141" i="4"/>
  <c r="N141" i="4"/>
  <c r="Q141" i="4" s="1"/>
  <c r="I142" i="4"/>
  <c r="J142" i="4"/>
  <c r="K142" i="4"/>
  <c r="L142" i="4"/>
  <c r="M142" i="4"/>
  <c r="N142" i="4"/>
  <c r="O142" i="4"/>
  <c r="P142" i="4"/>
  <c r="Q142" i="4"/>
  <c r="I143" i="4"/>
  <c r="L143" i="4" s="1"/>
  <c r="M143" i="4" s="1"/>
  <c r="J143" i="4"/>
  <c r="K143" i="4" s="1"/>
  <c r="O143" i="4" s="1"/>
  <c r="P143" i="4" s="1"/>
  <c r="N143" i="4"/>
  <c r="Q143" i="4"/>
  <c r="S130" i="4" l="1"/>
  <c r="T46" i="4"/>
  <c r="S140" i="4"/>
  <c r="T32" i="4"/>
  <c r="S37" i="4"/>
  <c r="U39" i="4"/>
  <c r="T44" i="4"/>
  <c r="S49" i="4"/>
  <c r="U51" i="4"/>
  <c r="T56" i="4"/>
  <c r="S61" i="4"/>
  <c r="U63" i="4"/>
  <c r="T68" i="4"/>
  <c r="S73" i="4"/>
  <c r="U75" i="4"/>
  <c r="T80" i="4"/>
  <c r="S85" i="4"/>
  <c r="U87" i="4"/>
  <c r="T92" i="4"/>
  <c r="S101" i="4"/>
  <c r="U103" i="4"/>
  <c r="S109" i="4"/>
  <c r="U111" i="4"/>
  <c r="T116" i="4"/>
  <c r="S121" i="4"/>
  <c r="U123" i="4"/>
  <c r="T128" i="4"/>
  <c r="S133" i="4"/>
  <c r="U135" i="4"/>
  <c r="T140" i="4"/>
  <c r="U130" i="4"/>
  <c r="S30" i="4"/>
  <c r="U32" i="4"/>
  <c r="S42" i="4"/>
  <c r="T49" i="4"/>
  <c r="S54" i="4"/>
  <c r="U56" i="4"/>
  <c r="T61" i="4"/>
  <c r="S66" i="4"/>
  <c r="U68" i="4"/>
  <c r="T73" i="4"/>
  <c r="S78" i="4"/>
  <c r="U80" i="4"/>
  <c r="T85" i="4"/>
  <c r="S90" i="4"/>
  <c r="U92" i="4"/>
  <c r="S98" i="4"/>
  <c r="T101" i="4"/>
  <c r="S106" i="4"/>
  <c r="T109" i="4"/>
  <c r="S114" i="4"/>
  <c r="U116" i="4"/>
  <c r="T121" i="4"/>
  <c r="S126" i="4"/>
  <c r="U128" i="4"/>
  <c r="T133" i="4"/>
  <c r="S138" i="4"/>
  <c r="U142" i="4"/>
  <c r="T37" i="4"/>
  <c r="T30" i="4"/>
  <c r="S35" i="4"/>
  <c r="T42" i="4"/>
  <c r="S47" i="4"/>
  <c r="T54" i="4"/>
  <c r="S59" i="4"/>
  <c r="T66" i="4"/>
  <c r="S71" i="4"/>
  <c r="T78" i="4"/>
  <c r="S83" i="4"/>
  <c r="T90" i="4"/>
  <c r="S95" i="4"/>
  <c r="T98" i="4"/>
  <c r="T106" i="4"/>
  <c r="T114" i="4"/>
  <c r="S119" i="4"/>
  <c r="T126" i="4"/>
  <c r="S131" i="4"/>
  <c r="T138" i="4"/>
  <c r="S143" i="4"/>
  <c r="S34" i="4"/>
  <c r="S46" i="4"/>
  <c r="S58" i="4"/>
  <c r="S70" i="4"/>
  <c r="S82" i="4"/>
  <c r="S94" i="4"/>
  <c r="S118" i="4"/>
  <c r="S142" i="4"/>
  <c r="T34" i="4"/>
  <c r="S39" i="4"/>
  <c r="S51" i="4"/>
  <c r="T58" i="4"/>
  <c r="S63" i="4"/>
  <c r="T70" i="4"/>
  <c r="S75" i="4"/>
  <c r="T82" i="4"/>
  <c r="S87" i="4"/>
  <c r="T94" i="4"/>
  <c r="S103" i="4"/>
  <c r="S111" i="4"/>
  <c r="T118" i="4"/>
  <c r="S123" i="4"/>
  <c r="S44" i="4"/>
  <c r="S28" i="4"/>
  <c r="T35" i="4"/>
  <c r="S40" i="4"/>
  <c r="T47" i="4"/>
  <c r="S52" i="4"/>
  <c r="T59" i="4"/>
  <c r="S64" i="4"/>
  <c r="T71" i="4"/>
  <c r="S76" i="4"/>
  <c r="T83" i="4"/>
  <c r="S88" i="4"/>
  <c r="T95" i="4"/>
  <c r="S104" i="4"/>
  <c r="S112" i="4"/>
  <c r="T119" i="4"/>
  <c r="S124" i="4"/>
  <c r="T131" i="4"/>
  <c r="S136" i="4"/>
  <c r="T143" i="4"/>
  <c r="T28" i="4"/>
  <c r="T40" i="4"/>
  <c r="T52" i="4"/>
  <c r="T64" i="4"/>
  <c r="T76" i="4"/>
  <c r="T88" i="4"/>
  <c r="T104" i="4"/>
  <c r="T112" i="4"/>
  <c r="T124" i="4"/>
  <c r="T136" i="4"/>
  <c r="S135" i="4"/>
  <c r="N140" i="4"/>
  <c r="Q140" i="4" s="1"/>
  <c r="N136" i="4"/>
  <c r="Q136" i="4" s="1"/>
  <c r="I128" i="4" l="1"/>
  <c r="J128" i="4"/>
  <c r="K128" i="4"/>
  <c r="L128" i="4"/>
  <c r="M128" i="4"/>
  <c r="N128" i="4"/>
  <c r="O128" i="4"/>
  <c r="P128" i="4"/>
  <c r="Q128" i="4"/>
  <c r="I129" i="4"/>
  <c r="J129" i="4"/>
  <c r="K129" i="4" s="1"/>
  <c r="O129" i="4" s="1"/>
  <c r="P129" i="4" s="1"/>
  <c r="L129" i="4"/>
  <c r="M129" i="4" s="1"/>
  <c r="N129" i="4"/>
  <c r="Q129" i="4"/>
  <c r="I130" i="4"/>
  <c r="L130" i="4" s="1"/>
  <c r="M130" i="4" s="1"/>
  <c r="J130" i="4"/>
  <c r="K130" i="4"/>
  <c r="O130" i="4" s="1"/>
  <c r="P130" i="4" s="1"/>
  <c r="I131" i="4"/>
  <c r="J131" i="4"/>
  <c r="K131" i="4"/>
  <c r="O131" i="4"/>
  <c r="P131" i="4"/>
  <c r="I132" i="4"/>
  <c r="L132" i="4" s="1"/>
  <c r="M132" i="4" s="1"/>
  <c r="J132" i="4"/>
  <c r="K132" i="4" s="1"/>
  <c r="O132" i="4" s="1"/>
  <c r="P132" i="4" s="1"/>
  <c r="I133" i="4"/>
  <c r="N133" i="4" s="1"/>
  <c r="Q133" i="4" s="1"/>
  <c r="J133" i="4"/>
  <c r="K133" i="4"/>
  <c r="O133" i="4" s="1"/>
  <c r="P133" i="4" s="1"/>
  <c r="L133" i="4"/>
  <c r="M133" i="4" s="1"/>
  <c r="I134" i="4"/>
  <c r="J134" i="4"/>
  <c r="K134" i="4"/>
  <c r="L134" i="4"/>
  <c r="M134" i="4"/>
  <c r="N134" i="4"/>
  <c r="Q134" i="4" s="1"/>
  <c r="O134" i="4"/>
  <c r="P134" i="4" s="1"/>
  <c r="L131" i="4" l="1"/>
  <c r="M131" i="4" s="1"/>
  <c r="N132" i="4"/>
  <c r="Q132" i="4" s="1"/>
  <c r="N130" i="4"/>
  <c r="Q130" i="4" s="1"/>
  <c r="N131" i="4"/>
  <c r="Q131" i="4" s="1"/>
  <c r="O15" i="1" l="1"/>
  <c r="L15" i="1"/>
  <c r="N15" i="1"/>
  <c r="M102" i="4"/>
  <c r="M112" i="4"/>
  <c r="M117" i="4"/>
  <c r="M122" i="4"/>
  <c r="J16" i="4"/>
  <c r="J15" i="4"/>
  <c r="J87" i="4"/>
  <c r="K87" i="4" s="1"/>
  <c r="J122" i="4"/>
  <c r="K122" i="4"/>
  <c r="O122" i="4" s="1"/>
  <c r="P122" i="4" s="1"/>
  <c r="J117" i="4"/>
  <c r="K117" i="4"/>
  <c r="O117" i="4" s="1"/>
  <c r="P117" i="4" s="1"/>
  <c r="J120" i="4"/>
  <c r="L120" i="4" s="1"/>
  <c r="K120" i="4"/>
  <c r="J101" i="4"/>
  <c r="K101" i="4" s="1"/>
  <c r="O101" i="4" s="1"/>
  <c r="P101" i="4" s="1"/>
  <c r="J86" i="4"/>
  <c r="K86" i="4" s="1"/>
  <c r="J85" i="4"/>
  <c r="K85" i="4" s="1"/>
  <c r="J88" i="4"/>
  <c r="K88" i="4" s="1"/>
  <c r="J119" i="4"/>
  <c r="K119" i="4"/>
  <c r="J72" i="4"/>
  <c r="L72" i="4" s="1"/>
  <c r="K72" i="4"/>
  <c r="J103" i="4"/>
  <c r="K103" i="4"/>
  <c r="O103" i="4" s="1"/>
  <c r="P103" i="4" s="1"/>
  <c r="J118" i="4"/>
  <c r="K118" i="4"/>
  <c r="O118" i="4" s="1"/>
  <c r="P118" i="4" s="1"/>
  <c r="J104" i="4"/>
  <c r="K104" i="4"/>
  <c r="J90" i="4"/>
  <c r="K90" i="4" s="1"/>
  <c r="J71" i="4"/>
  <c r="K71" i="4" s="1"/>
  <c r="J110" i="4"/>
  <c r="K110" i="4"/>
  <c r="O110" i="4" s="1"/>
  <c r="P110" i="4" s="1"/>
  <c r="J82" i="4"/>
  <c r="K82" i="4" s="1"/>
  <c r="J113" i="4"/>
  <c r="K113" i="4"/>
  <c r="J97" i="4"/>
  <c r="L97" i="4" s="1"/>
  <c r="K97" i="4"/>
  <c r="J81" i="4"/>
  <c r="K81" i="4" s="1"/>
  <c r="J116" i="4"/>
  <c r="K116" i="4" s="1"/>
  <c r="J100" i="4"/>
  <c r="K100" i="4" s="1"/>
  <c r="O100" i="4" s="1"/>
  <c r="P100" i="4" s="1"/>
  <c r="J84" i="4"/>
  <c r="K84" i="4" s="1"/>
  <c r="J114" i="4"/>
  <c r="K114" i="4"/>
  <c r="J78" i="4"/>
  <c r="K78" i="4" s="1"/>
  <c r="J115" i="4"/>
  <c r="L115" i="4" s="1"/>
  <c r="K115" i="4"/>
  <c r="J99" i="4"/>
  <c r="K99" i="4" s="1"/>
  <c r="O99" i="4" s="1"/>
  <c r="P99" i="4" s="1"/>
  <c r="J83" i="4"/>
  <c r="K83" i="4" s="1"/>
  <c r="J102" i="4"/>
  <c r="K102" i="4"/>
  <c r="J74" i="4"/>
  <c r="K74" i="4"/>
  <c r="O74" i="4" s="1"/>
  <c r="P74" i="4" s="1"/>
  <c r="J125" i="4"/>
  <c r="K125" i="4"/>
  <c r="O125" i="4" s="1"/>
  <c r="P125" i="4" s="1"/>
  <c r="J109" i="4"/>
  <c r="K109" i="4" s="1"/>
  <c r="O109" i="4" s="1"/>
  <c r="P109" i="4" s="1"/>
  <c r="J93" i="4"/>
  <c r="K93" i="4" s="1"/>
  <c r="J77" i="4"/>
  <c r="K77" i="4" s="1"/>
  <c r="J112" i="4"/>
  <c r="K112" i="4"/>
  <c r="J96" i="4"/>
  <c r="K96" i="4"/>
  <c r="J80" i="4"/>
  <c r="K80" i="4" s="1"/>
  <c r="J106" i="4"/>
  <c r="K106" i="4"/>
  <c r="O106" i="4" s="1"/>
  <c r="P106" i="4" s="1"/>
  <c r="J127" i="4"/>
  <c r="K127" i="4"/>
  <c r="J111" i="4"/>
  <c r="K111" i="4"/>
  <c r="O111" i="4" s="1"/>
  <c r="P111" i="4" s="1"/>
  <c r="J95" i="4"/>
  <c r="K95" i="4" s="1"/>
  <c r="J79" i="4"/>
  <c r="J126" i="4"/>
  <c r="K126" i="4"/>
  <c r="J94" i="4"/>
  <c r="K94" i="4" s="1"/>
  <c r="J121" i="4"/>
  <c r="K121" i="4"/>
  <c r="J105" i="4"/>
  <c r="K105" i="4" s="1"/>
  <c r="O105" i="4" s="1"/>
  <c r="P105" i="4" s="1"/>
  <c r="J89" i="4"/>
  <c r="K89" i="4" s="1"/>
  <c r="J73" i="4"/>
  <c r="K73" i="4"/>
  <c r="J124" i="4"/>
  <c r="K124" i="4" s="1"/>
  <c r="J108" i="4"/>
  <c r="K108" i="4"/>
  <c r="J92" i="4"/>
  <c r="K92" i="4" s="1"/>
  <c r="J76" i="4"/>
  <c r="K76" i="4"/>
  <c r="J98" i="4"/>
  <c r="K98" i="4"/>
  <c r="O98" i="4" s="1"/>
  <c r="P98" i="4" s="1"/>
  <c r="J123" i="4"/>
  <c r="K123" i="4"/>
  <c r="J107" i="4"/>
  <c r="K107" i="4" s="1"/>
  <c r="J91" i="4"/>
  <c r="K91" i="4" s="1"/>
  <c r="J75" i="4"/>
  <c r="K75" i="4" s="1"/>
  <c r="O112" i="4"/>
  <c r="P112" i="4"/>
  <c r="O104" i="4"/>
  <c r="P104" i="4"/>
  <c r="O127" i="4"/>
  <c r="P127" i="4" s="1"/>
  <c r="O96" i="4"/>
  <c r="P96" i="4" s="1"/>
  <c r="O102" i="4"/>
  <c r="P102" i="4" s="1"/>
  <c r="O113" i="4"/>
  <c r="P113" i="4" s="1"/>
  <c r="O123" i="4"/>
  <c r="P123" i="4"/>
  <c r="I76" i="4"/>
  <c r="N76" i="4" s="1"/>
  <c r="Q76" i="4" s="1"/>
  <c r="I77" i="4"/>
  <c r="N77" i="4" s="1"/>
  <c r="Q77" i="4" s="1"/>
  <c r="I81" i="4"/>
  <c r="L81" i="4" s="1"/>
  <c r="I89" i="4"/>
  <c r="N89" i="4" s="1"/>
  <c r="Q89" i="4" s="1"/>
  <c r="I90" i="4"/>
  <c r="I96" i="4"/>
  <c r="N96" i="4" s="1"/>
  <c r="Q96" i="4" s="1"/>
  <c r="I99" i="4"/>
  <c r="N99" i="4" s="1"/>
  <c r="Q99" i="4" s="1"/>
  <c r="I102" i="4"/>
  <c r="I104" i="4"/>
  <c r="N104" i="4" s="1"/>
  <c r="Q104" i="4" s="1"/>
  <c r="I108" i="4"/>
  <c r="I111" i="4"/>
  <c r="I113" i="4"/>
  <c r="I115" i="4"/>
  <c r="N115" i="4" s="1"/>
  <c r="Q115" i="4" s="1"/>
  <c r="I119" i="4"/>
  <c r="N119" i="4" s="1"/>
  <c r="Q119" i="4" s="1"/>
  <c r="I120" i="4"/>
  <c r="I123" i="4"/>
  <c r="N123" i="4" s="1"/>
  <c r="Q123" i="4" s="1"/>
  <c r="I125" i="4"/>
  <c r="L125" i="4" s="1"/>
  <c r="M125" i="4" s="1"/>
  <c r="I79" i="4"/>
  <c r="N79" i="4" s="1"/>
  <c r="Q79" i="4" s="1"/>
  <c r="I92" i="4"/>
  <c r="L92" i="4" s="1"/>
  <c r="I100" i="4"/>
  <c r="L100" i="4" s="1"/>
  <c r="M100" i="4" s="1"/>
  <c r="I103" i="4"/>
  <c r="N103" i="4" s="1"/>
  <c r="Q103" i="4" s="1"/>
  <c r="I107" i="4"/>
  <c r="N107" i="4" s="1"/>
  <c r="Q107" i="4" s="1"/>
  <c r="I109" i="4"/>
  <c r="I110" i="4"/>
  <c r="I117" i="4"/>
  <c r="I124" i="4"/>
  <c r="N124" i="4" s="1"/>
  <c r="Q124" i="4" s="1"/>
  <c r="I72" i="4"/>
  <c r="I106" i="4"/>
  <c r="N106" i="4" s="1"/>
  <c r="Q106" i="4" s="1"/>
  <c r="I71" i="4"/>
  <c r="N71" i="4" s="1"/>
  <c r="Q71" i="4" s="1"/>
  <c r="I75" i="4"/>
  <c r="I80" i="4"/>
  <c r="L80" i="4" s="1"/>
  <c r="I83" i="4"/>
  <c r="N83" i="4" s="1"/>
  <c r="Q83" i="4" s="1"/>
  <c r="I86" i="4"/>
  <c r="L86" i="4" s="1"/>
  <c r="I88" i="4"/>
  <c r="N88" i="4" s="1"/>
  <c r="Q88" i="4" s="1"/>
  <c r="I94" i="4"/>
  <c r="I95" i="4"/>
  <c r="I98" i="4"/>
  <c r="L98" i="4" s="1"/>
  <c r="M98" i="4" s="1"/>
  <c r="I101" i="4"/>
  <c r="I118" i="4"/>
  <c r="I127" i="4"/>
  <c r="N127" i="4" s="1"/>
  <c r="Q127" i="4" s="1"/>
  <c r="I73" i="4"/>
  <c r="N73" i="4" s="1"/>
  <c r="Q73" i="4" s="1"/>
  <c r="I74" i="4"/>
  <c r="N74" i="4" s="1"/>
  <c r="Q74" i="4" s="1"/>
  <c r="I78" i="4"/>
  <c r="N78" i="4" s="1"/>
  <c r="Q78" i="4" s="1"/>
  <c r="I82" i="4"/>
  <c r="I85" i="4"/>
  <c r="L85" i="4" s="1"/>
  <c r="I93" i="4"/>
  <c r="N93" i="4" s="1"/>
  <c r="Q93" i="4" s="1"/>
  <c r="I112" i="4"/>
  <c r="I114" i="4"/>
  <c r="I121" i="4"/>
  <c r="I122" i="4"/>
  <c r="I84" i="4"/>
  <c r="I87" i="4"/>
  <c r="L87" i="4" s="1"/>
  <c r="I91" i="4"/>
  <c r="I97" i="4"/>
  <c r="N97" i="4" s="1"/>
  <c r="Q97" i="4" s="1"/>
  <c r="I105" i="4"/>
  <c r="L105" i="4" s="1"/>
  <c r="M105" i="4" s="1"/>
  <c r="I116" i="4"/>
  <c r="N116" i="4" s="1"/>
  <c r="Q116" i="4" s="1"/>
  <c r="I126" i="4"/>
  <c r="L126" i="4" s="1"/>
  <c r="N121" i="4"/>
  <c r="Q121" i="4" s="1"/>
  <c r="N101" i="4"/>
  <c r="Q101" i="4"/>
  <c r="N75" i="4"/>
  <c r="Q75" i="4"/>
  <c r="L75" i="4"/>
  <c r="L106" i="4"/>
  <c r="M106" i="4" s="1"/>
  <c r="N108" i="4"/>
  <c r="Q108" i="4" s="1"/>
  <c r="N114" i="4"/>
  <c r="Q114" i="4" s="1"/>
  <c r="L114" i="4"/>
  <c r="N98" i="4"/>
  <c r="Q98" i="4" s="1"/>
  <c r="N72" i="4"/>
  <c r="Q72" i="4" s="1"/>
  <c r="N117" i="4"/>
  <c r="Q117" i="4"/>
  <c r="L117" i="4"/>
  <c r="L103" i="4"/>
  <c r="M103" i="4" s="1"/>
  <c r="N90" i="4"/>
  <c r="Q90" i="4" s="1"/>
  <c r="L90" i="4"/>
  <c r="N91" i="4"/>
  <c r="Q91" i="4"/>
  <c r="L91" i="4"/>
  <c r="L112" i="4"/>
  <c r="N112" i="4"/>
  <c r="Q112" i="4"/>
  <c r="N95" i="4"/>
  <c r="Q95" i="4"/>
  <c r="L95" i="4"/>
  <c r="N110" i="4"/>
  <c r="Q110" i="4"/>
  <c r="L110" i="4"/>
  <c r="M110" i="4" s="1"/>
  <c r="N113" i="4"/>
  <c r="Q113" i="4"/>
  <c r="L113" i="4"/>
  <c r="M113" i="4" s="1"/>
  <c r="L102" i="4"/>
  <c r="N102" i="4"/>
  <c r="Q102" i="4" s="1"/>
  <c r="N122" i="4"/>
  <c r="Q122" i="4" s="1"/>
  <c r="L122" i="4"/>
  <c r="L74" i="4"/>
  <c r="N118" i="4"/>
  <c r="Q118" i="4"/>
  <c r="L118" i="4"/>
  <c r="M118" i="4" s="1"/>
  <c r="N94" i="4"/>
  <c r="Q94" i="4" s="1"/>
  <c r="N109" i="4"/>
  <c r="Q109" i="4"/>
  <c r="N120" i="4"/>
  <c r="Q120" i="4" s="1"/>
  <c r="N111" i="4"/>
  <c r="Q111" i="4"/>
  <c r="L111" i="4"/>
  <c r="M111" i="4" s="1"/>
  <c r="N81" i="4"/>
  <c r="Q81" i="4" s="1"/>
  <c r="O91" i="4" l="1"/>
  <c r="P91" i="4" s="1"/>
  <c r="O116" i="4"/>
  <c r="P116" i="4" s="1"/>
  <c r="O71" i="4"/>
  <c r="P71" i="4" s="1"/>
  <c r="M115" i="4"/>
  <c r="O114" i="4"/>
  <c r="P114" i="4" s="1"/>
  <c r="L101" i="4"/>
  <c r="M101" i="4" s="1"/>
  <c r="M90" i="4"/>
  <c r="L123" i="4"/>
  <c r="M123" i="4" s="1"/>
  <c r="L104" i="4"/>
  <c r="M104" i="4" s="1"/>
  <c r="L71" i="4"/>
  <c r="O124" i="4"/>
  <c r="P124" i="4" s="1"/>
  <c r="M126" i="4"/>
  <c r="M114" i="4"/>
  <c r="O120" i="4"/>
  <c r="P120" i="4" s="1"/>
  <c r="M120" i="4"/>
  <c r="N92" i="4"/>
  <c r="Q92" i="4" s="1"/>
  <c r="O126" i="4"/>
  <c r="P126" i="4" s="1"/>
  <c r="L109" i="4"/>
  <c r="M109" i="4" s="1"/>
  <c r="L96" i="4"/>
  <c r="O108" i="4"/>
  <c r="P108" i="4" s="1"/>
  <c r="M91" i="4"/>
  <c r="L79" i="4"/>
  <c r="L99" i="4"/>
  <c r="M99" i="4" s="1"/>
  <c r="N80" i="4"/>
  <c r="Q80" i="4" s="1"/>
  <c r="L78" i="4"/>
  <c r="L121" i="4"/>
  <c r="N87" i="4"/>
  <c r="Q87" i="4" s="1"/>
  <c r="N100" i="4"/>
  <c r="Q100" i="4" s="1"/>
  <c r="L124" i="4"/>
  <c r="O107" i="4"/>
  <c r="P107" i="4" s="1"/>
  <c r="O119" i="4"/>
  <c r="P119" i="4" s="1"/>
  <c r="N125" i="4"/>
  <c r="Q125" i="4" s="1"/>
  <c r="N105" i="4"/>
  <c r="Q105" i="4" s="1"/>
  <c r="O121" i="4"/>
  <c r="P121" i="4" s="1"/>
  <c r="L94" i="4"/>
  <c r="L108" i="4"/>
  <c r="L127" i="4"/>
  <c r="O115" i="4"/>
  <c r="P115" i="4" s="1"/>
  <c r="O78" i="4"/>
  <c r="P78" i="4" s="1"/>
  <c r="O92" i="4"/>
  <c r="P92" i="4" s="1"/>
  <c r="O82" i="4"/>
  <c r="P82" i="4" s="1"/>
  <c r="M72" i="4"/>
  <c r="O75" i="4"/>
  <c r="P75" i="4" s="1"/>
  <c r="M92" i="4"/>
  <c r="L119" i="4"/>
  <c r="M81" i="4"/>
  <c r="K79" i="4"/>
  <c r="M75" i="4"/>
  <c r="O73" i="4"/>
  <c r="P73" i="4" s="1"/>
  <c r="O83" i="4"/>
  <c r="P83" i="4" s="1"/>
  <c r="L77" i="4"/>
  <c r="M86" i="4"/>
  <c r="M80" i="4"/>
  <c r="L82" i="4"/>
  <c r="O89" i="4"/>
  <c r="P89" i="4" s="1"/>
  <c r="L107" i="4"/>
  <c r="O88" i="4"/>
  <c r="P88" i="4" s="1"/>
  <c r="M78" i="4"/>
  <c r="M94" i="4"/>
  <c r="O76" i="4"/>
  <c r="P76" i="4" s="1"/>
  <c r="O90" i="4"/>
  <c r="P90" i="4" s="1"/>
  <c r="N126" i="4"/>
  <c r="Q126" i="4" s="1"/>
  <c r="N86" i="4"/>
  <c r="Q86" i="4" s="1"/>
  <c r="L76" i="4"/>
  <c r="O81" i="4"/>
  <c r="P81" i="4" s="1"/>
  <c r="O86" i="4"/>
  <c r="P86" i="4" s="1"/>
  <c r="M74" i="4"/>
  <c r="O84" i="4"/>
  <c r="P84" i="4" s="1"/>
  <c r="O77" i="4"/>
  <c r="P77" i="4" s="1"/>
  <c r="M85" i="4"/>
  <c r="L83" i="4"/>
  <c r="O87" i="4"/>
  <c r="P87" i="4" s="1"/>
  <c r="L116" i="4"/>
  <c r="O85" i="4"/>
  <c r="P85" i="4" s="1"/>
  <c r="M96" i="4"/>
  <c r="L89" i="4"/>
  <c r="L73" i="4"/>
  <c r="M87" i="4"/>
  <c r="O97" i="4"/>
  <c r="P97" i="4" s="1"/>
  <c r="O72" i="4"/>
  <c r="P72" i="4" s="1"/>
  <c r="M95" i="4"/>
  <c r="O95" i="4"/>
  <c r="P95" i="4" s="1"/>
  <c r="O93" i="4"/>
  <c r="P93" i="4" s="1"/>
  <c r="L84" i="4"/>
  <c r="O94" i="4"/>
  <c r="P94" i="4" s="1"/>
  <c r="O80" i="4"/>
  <c r="P80" i="4" s="1"/>
  <c r="M97" i="4"/>
  <c r="N85" i="4"/>
  <c r="Q85" i="4" s="1"/>
  <c r="L93" i="4"/>
  <c r="L88" i="4"/>
  <c r="N82" i="4"/>
  <c r="Q82" i="4" s="1"/>
  <c r="N84" i="4"/>
  <c r="Q84" i="4" s="1"/>
  <c r="J14" i="4"/>
  <c r="J13" i="4" s="1"/>
  <c r="K16" i="4" s="1"/>
  <c r="M108" i="4" l="1"/>
  <c r="M107" i="4"/>
  <c r="M116" i="4"/>
  <c r="M127" i="4"/>
  <c r="M119" i="4"/>
  <c r="M79" i="4"/>
  <c r="M121" i="4"/>
  <c r="M124" i="4"/>
  <c r="M71" i="4"/>
  <c r="M77" i="4"/>
  <c r="M83" i="4"/>
  <c r="M82" i="4"/>
  <c r="M76" i="4"/>
  <c r="M84" i="4"/>
  <c r="M73" i="4"/>
  <c r="M93" i="4"/>
  <c r="M89" i="4"/>
  <c r="O79" i="4"/>
  <c r="P79" i="4" s="1"/>
  <c r="M88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2" i="4" l="1"/>
  <c r="P62" i="4" s="1"/>
  <c r="O61" i="4"/>
  <c r="P61" i="4" s="1"/>
  <c r="O60" i="4"/>
  <c r="P60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0" i="4" l="1"/>
  <c r="M61" i="4"/>
  <c r="M70" i="4"/>
  <c r="M62" i="4"/>
  <c r="M63" i="4"/>
  <c r="O64" i="4"/>
  <c r="P64" i="4" s="1"/>
  <c r="O69" i="4"/>
  <c r="P69" i="4" s="1"/>
  <c r="M57" i="4"/>
  <c r="O66" i="4"/>
  <c r="P66" i="4" s="1"/>
  <c r="M66" i="4"/>
  <c r="M69" i="4"/>
  <c r="M58" i="4"/>
  <c r="O65" i="4"/>
  <c r="P65" i="4" s="1"/>
  <c r="M65" i="4"/>
  <c r="O67" i="4"/>
  <c r="P67" i="4" s="1"/>
  <c r="M67" i="4"/>
  <c r="M68" i="4"/>
  <c r="O68" i="4"/>
  <c r="P68" i="4" s="1"/>
  <c r="M64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J45" i="4" s="1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L39" i="4" s="1"/>
  <c r="J30" i="4"/>
  <c r="J43" i="4"/>
  <c r="L43" i="4" s="1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L47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50" i="4"/>
  <c r="M50" i="4" s="1"/>
  <c r="K50" i="4"/>
  <c r="O50" i="4" s="1"/>
  <c r="P50" i="4" s="1"/>
  <c r="L49" i="4"/>
  <c r="K49" i="4"/>
  <c r="K30" i="4"/>
  <c r="L30" i="4"/>
  <c r="M49" i="4" l="1"/>
  <c r="O48" i="4"/>
  <c r="P48" i="4" s="1"/>
  <c r="M48" i="4"/>
  <c r="O49" i="4"/>
  <c r="P49" i="4" s="1"/>
  <c r="M39" i="4"/>
  <c r="K39" i="4"/>
  <c r="M47" i="4"/>
  <c r="O45" i="4"/>
  <c r="P45" i="4" s="1"/>
  <c r="M45" i="4"/>
  <c r="M31" i="4"/>
  <c r="O47" i="4"/>
  <c r="P47" i="4" s="1"/>
  <c r="O31" i="4"/>
  <c r="P31" i="4" s="1"/>
  <c r="O33" i="4"/>
  <c r="P33" i="4" s="1"/>
  <c r="M35" i="4"/>
  <c r="O28" i="4"/>
  <c r="P28" i="4" s="1"/>
  <c r="O46" i="4"/>
  <c r="P46" i="4" s="1"/>
  <c r="O30" i="4"/>
  <c r="P30" i="4" s="1"/>
  <c r="M44" i="4"/>
  <c r="M43" i="4"/>
  <c r="O41" i="4"/>
  <c r="P41" i="4" s="1"/>
  <c r="K35" i="4"/>
  <c r="K43" i="4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40" i="4" l="1"/>
  <c r="P40" i="4" s="1"/>
  <c r="M33" i="4"/>
  <c r="O34" i="4"/>
  <c r="P34" i="4" s="1"/>
  <c r="O42" i="4"/>
  <c r="P42" i="4" s="1"/>
  <c r="M41" i="4"/>
  <c r="O37" i="4"/>
  <c r="P37" i="4" s="1"/>
  <c r="M46" i="4"/>
  <c r="O44" i="4"/>
  <c r="P44" i="4" s="1"/>
  <c r="O36" i="4"/>
  <c r="P36" i="4" s="1"/>
  <c r="O43" i="4"/>
  <c r="P43" i="4" s="1"/>
  <c r="O35" i="4"/>
  <c r="P35" i="4" s="1"/>
  <c r="O29" i="4"/>
  <c r="P29" i="4" s="1"/>
  <c r="O39" i="4"/>
  <c r="P39" i="4" s="1"/>
  <c r="O32" i="4"/>
  <c r="P32" i="4" s="1"/>
  <c r="O38" i="4"/>
  <c r="P38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<sst xmlns="http://schemas.openxmlformats.org/spreadsheetml/2006/main" count="340" uniqueCount="314">
  <si>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</si>
  <si>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</si>
  <si>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</si>
  <si>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</si>
  <si>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</si>
  <si>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</si>
  <si>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</si>
  <si>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</si>
  <si>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</si>
  <si>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</si>
  <si>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</si>
  <si>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</si>
  <si>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</si>
  <si>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</si>
  <si>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</si>
  <si>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</si>
  <si>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</si>
  <si>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</si>
  <si>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</si>
  <si>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</si>
  <si>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</si>
  <si>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</si>
  <si>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</si>
  <si>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</si>
  <si>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</si>
  <si>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</si>
  <si>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</si>
  <si>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</si>
  <si>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</si>
  <si>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</si>
  <si>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</si>
  <si>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</si>
  <si>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</si>
  <si>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</si>
  <si>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</si>
  <si>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</si>
  <si>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</si>
  <si>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</si>
  <si>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</si>
  <si>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</si>
  <si>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</si>
  <si>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</si>
  <si>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</si>
  <si>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</si>
  <si>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</si>
  <si>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</si>
  <si>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</si>
  <si>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</si>
  <si>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</si>
  <si>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</si>
  <si>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</si>
  <si>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</si>
  <si>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</si>
  <si>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</si>
  <si>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</si>
  <si>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</si>
  <si>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</si>
  <si>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</si>
  <si>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</si>
  <si>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</si>
  <si>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</si>
  <si>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</si>
  <si>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</si>
  <si>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</si>
  <si>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</si>
  <si>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</si>
  <si>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</si>
  <si>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</si>
  <si>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</si>
  <si>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</si>
  <si>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</si>
  <si>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</si>
  <si>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</si>
  <si>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</si>
  <si>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</si>
  <si>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</si>
  <si>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</si>
  <si>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</si>
  <si>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</si>
  <si>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</si>
  <si>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</si>
  <si>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</si>
  <si>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</si>
  <si>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</si>
  <si>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</si>
  <si>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</si>
  <si>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</si>
  <si>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</si>
  <si>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</si>
  <si>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</si>
  <si>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</si>
  <si>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</si>
  <si>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</si>
  <si>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</si>
  <si>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</si>
  <si>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</si>
  <si>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</si>
  <si>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</si>
  <si>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</si>
  <si>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</si>
  <si>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</si>
  <si>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</si>
  <si>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</si>
  <si>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</si>
  <si>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</si>
  <si>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</si>
  <si>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</si>
  <si>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</si>
  <si>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</si>
  <si>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</si>
  <si>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</si>
  <si>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HEK293T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</si>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</sst>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111</v>
      </c>
      <c r="K17" s="31" t="s">
        <v>79</v>
      </c>
      <c r="L17" s="80">
        <v>6.6116099999999995E-3</v>
      </c>
      <c r="M17" s="80">
        <v>6.1539000000000006E-4</v>
      </c>
      <c r="N17" s="80">
        <v>7.2999999999999999E-5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6" zoomScale="70" zoomScaleNormal="70" workbookViewId="0">
      <selection activeCell="R27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40.040880000000001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40.016305016000004</v>
      </c>
      <c r="K8" s="39">
        <f>J8/J7</f>
        <v>0.99938625264979197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2.2646184E-2</v>
      </c>
      <c r="K9" s="39">
        <f>J9/J7</f>
        <v>5.6557658073448929E-4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1.9288E-3</v>
      </c>
      <c r="K10" s="39">
        <f>J10/J7</f>
        <v>4.8170769473597979E-5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4.0879999999999993E-2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3.7025015999999994E-2</v>
      </c>
      <c r="K20" s="39">
        <f>J20/J19</f>
        <v>0.90570000000000006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3.4461840000000001E-3</v>
      </c>
      <c r="K21" s="39">
        <f>J21/J19</f>
        <v>8.4300000000000014E-2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4.0880000000000002E-4</v>
      </c>
      <c r="K22" s="39">
        <f>J22/J19</f>
        <v>1.0000000000000002E-2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6.7869130147026708E-3</v>
      </c>
      <c r="K28" s="93">
        <f t="shared" ref="K28:K47" si="3">IF(D28=0,"",1/(1+10^D28*$J$15/$J$14+10^E28*$J$16/$J$14+10^J28*$J$19/$J$14))</f>
        <v>0.99836001283417464</v>
      </c>
      <c r="L28" s="93">
        <f t="shared" ref="L28:L47" si="4">IF(D28=0,"",1/(1+10^I28/10^J28*$J$13/$J$19))</f>
        <v>1.0369313612306418E-3</v>
      </c>
      <c r="M28" s="93">
        <f t="shared" ref="M28:M47" si="5">IF(D28=0,"",1-L28)</f>
        <v>0.99896306863876938</v>
      </c>
      <c r="N28" s="93">
        <f t="shared" ref="N28:N47" si="6">IF(D28=0,"",1/(1/10^E28*$J$20/$J$22+10^D28/10^E28*$J$21/$J$22+10^I28/10^E28*$J$13/$J$22+1))</f>
        <v>1.2336134521749988E-5</v>
      </c>
      <c r="O28" s="40">
        <f t="shared" ref="O28:O47" si="7">IF(D28=0,"",F28*K28*$J$7/$J$14)</f>
        <v>9.998982840784438E-7</v>
      </c>
      <c r="P28" s="40">
        <f t="shared" ref="P28:P47" si="8">IF(D28=0,"",O28*10^J28)</f>
        <v>1.0156468738569665E-6</v>
      </c>
      <c r="Q28" s="40">
        <f t="shared" ref="Q28:Q47" si="9">IF(D28=0,"",F28*N28*$J$7/$J$22)</f>
        <v>1.2082917858347572E-6</v>
      </c>
      <c r="R28" s="9">
        <f>F28*$C$14</f>
        <v>3.9999999999999996E-5</v>
      </c>
      <c r="S28" s="9">
        <f>$R28*L28</f>
        <v>4.1477254449225667E-8</v>
      </c>
      <c r="T28" s="9">
        <f t="shared" ref="T28:T91" si="10">R28*K28</f>
        <v>3.9934400513366979E-5</v>
      </c>
      <c r="U28" s="9">
        <f t="shared" ref="U28:U91" si="11">$R28*M28</f>
        <v>3.9958522745550771E-5</v>
      </c>
      <c r="V28" s="100">
        <f>K28/M28</f>
        <v>0.99939631821883412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4.6078470391874224E-2</v>
      </c>
      <c r="J29" s="92">
        <f t="shared" si="2"/>
        <v>1.3408295503880299</v>
      </c>
      <c r="K29" s="93">
        <f t="shared" si="3"/>
        <v>0.88111768100976096</v>
      </c>
      <c r="L29" s="93">
        <f t="shared" si="4"/>
        <v>1.9748739679629122E-2</v>
      </c>
      <c r="M29" s="93">
        <f t="shared" si="5"/>
        <v>0.98025126032037091</v>
      </c>
      <c r="N29" s="93">
        <f t="shared" si="6"/>
        <v>3.4253884953760511E-3</v>
      </c>
      <c r="O29" s="40">
        <f t="shared" si="7"/>
        <v>8.824753054879956E-7</v>
      </c>
      <c r="P29" s="40">
        <f t="shared" si="8"/>
        <v>1.934336877845568E-5</v>
      </c>
      <c r="Q29" s="40">
        <f t="shared" si="9"/>
        <v>3.3550775366128428E-4</v>
      </c>
      <c r="R29" s="9">
        <f t="shared" ref="R29:R92" si="12">F29*$C$14</f>
        <v>3.9999999999999996E-5</v>
      </c>
      <c r="S29" s="9">
        <f t="shared" ref="S29:S92" si="13">$R29*L29</f>
        <v>7.8994958718516483E-7</v>
      </c>
      <c r="T29" s="9">
        <f t="shared" si="10"/>
        <v>3.5244707240390435E-5</v>
      </c>
      <c r="U29" s="9">
        <f t="shared" si="11"/>
        <v>3.9210050412814831E-5</v>
      </c>
      <c r="V29" s="100">
        <f t="shared" ref="V29:V92" si="14">K29/M29</f>
        <v>0.89886921514570606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1.116379396238508</v>
      </c>
      <c r="J30" s="92">
        <f t="shared" si="2"/>
        <v>3.3269072622500944</v>
      </c>
      <c r="K30" s="93">
        <f t="shared" si="3"/>
        <v>6.557154851804671E-2</v>
      </c>
      <c r="L30" s="93">
        <f t="shared" si="4"/>
        <v>0.14233071165330285</v>
      </c>
      <c r="M30" s="93">
        <f t="shared" si="5"/>
        <v>0.8576692883466972</v>
      </c>
      <c r="N30" s="93">
        <f t="shared" si="6"/>
        <v>2.9267886257310771E-4</v>
      </c>
      <c r="O30" s="40">
        <f t="shared" si="7"/>
        <v>6.5672581037609623E-8</v>
      </c>
      <c r="P30" s="40">
        <f t="shared" si="8"/>
        <v>1.3940917185969922E-4</v>
      </c>
      <c r="Q30" s="40">
        <f t="shared" si="9"/>
        <v>2.8667121366991918E-5</v>
      </c>
      <c r="R30" s="9">
        <f t="shared" si="12"/>
        <v>3.9999999999999996E-5</v>
      </c>
      <c r="S30" s="9">
        <f t="shared" si="13"/>
        <v>5.693228466132114E-6</v>
      </c>
      <c r="T30" s="9">
        <f t="shared" si="10"/>
        <v>2.6228619407218681E-6</v>
      </c>
      <c r="U30" s="9">
        <f t="shared" si="11"/>
        <v>3.4306771533867888E-5</v>
      </c>
      <c r="V30" s="100">
        <f t="shared" si="14"/>
        <v>7.6453184705315702E-2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-1.9978935919434454E-4</v>
      </c>
      <c r="J31" s="92">
        <f t="shared" si="2"/>
        <v>-3.812667212265184E-2</v>
      </c>
      <c r="K31" s="93">
        <f t="shared" si="3"/>
        <v>0.99900629511776573</v>
      </c>
      <c r="L31" s="93">
        <f t="shared" si="4"/>
        <v>9.3565872426476114E-4</v>
      </c>
      <c r="M31" s="93">
        <f t="shared" si="5"/>
        <v>0.99906434127573529</v>
      </c>
      <c r="N31" s="93">
        <f t="shared" si="6"/>
        <v>1.6608690479478337E-7</v>
      </c>
      <c r="O31" s="40">
        <f t="shared" si="7"/>
        <v>1.0005455621525711E-6</v>
      </c>
      <c r="P31" s="40">
        <f t="shared" si="8"/>
        <v>9.1645300144908026E-7</v>
      </c>
      <c r="Q31" s="40">
        <f t="shared" si="9"/>
        <v>1.6267773543198005E-8</v>
      </c>
      <c r="R31" s="9">
        <f t="shared" si="12"/>
        <v>3.9999999999999996E-5</v>
      </c>
      <c r="S31" s="9">
        <f t="shared" si="13"/>
        <v>3.7426348970590443E-8</v>
      </c>
      <c r="T31" s="9">
        <f t="shared" si="10"/>
        <v>3.9960251804710624E-5</v>
      </c>
      <c r="U31" s="9">
        <f t="shared" si="11"/>
        <v>3.996257365102941E-5</v>
      </c>
      <c r="V31" s="100">
        <f t="shared" si="14"/>
        <v>0.99994189947977186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5.4311668398331027E-4</v>
      </c>
      <c r="J32" s="92">
        <f t="shared" si="2"/>
        <v>8.7462142087006658E-2</v>
      </c>
      <c r="K32" s="93">
        <f t="shared" si="3"/>
        <v>0.99698817030217457</v>
      </c>
      <c r="L32" s="93">
        <f t="shared" si="4"/>
        <v>1.2468897818907942E-3</v>
      </c>
      <c r="M32" s="93">
        <f t="shared" si="5"/>
        <v>0.9987531102181092</v>
      </c>
      <c r="N32" s="93">
        <f t="shared" si="6"/>
        <v>2.0404572753787252E-5</v>
      </c>
      <c r="O32" s="40">
        <f t="shared" si="7"/>
        <v>9.9852432781403095E-7</v>
      </c>
      <c r="P32" s="40">
        <f t="shared" si="8"/>
        <v>1.2212956000468562E-6</v>
      </c>
      <c r="Q32" s="40">
        <f t="shared" si="9"/>
        <v>1.9985739948279473E-6</v>
      </c>
      <c r="R32" s="9">
        <f t="shared" si="12"/>
        <v>3.9999999999999996E-5</v>
      </c>
      <c r="S32" s="9">
        <f t="shared" si="13"/>
        <v>4.9875591275631762E-8</v>
      </c>
      <c r="T32" s="9">
        <f t="shared" si="10"/>
        <v>3.9879526812086978E-5</v>
      </c>
      <c r="U32" s="9">
        <f t="shared" si="11"/>
        <v>3.9950124408724366E-5</v>
      </c>
      <c r="V32" s="100">
        <f t="shared" si="14"/>
        <v>0.99823285665108052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1.0070969156464394E-2</v>
      </c>
      <c r="J33" s="92">
        <f t="shared" si="2"/>
        <v>0.72912228662279288</v>
      </c>
      <c r="K33" s="93">
        <f t="shared" si="3"/>
        <v>0.97137279413141508</v>
      </c>
      <c r="L33" s="93">
        <f t="shared" si="4"/>
        <v>5.3233392116317285E-3</v>
      </c>
      <c r="M33" s="93">
        <f t="shared" si="5"/>
        <v>0.99467666078836825</v>
      </c>
      <c r="N33" s="93">
        <f t="shared" si="6"/>
        <v>7.2443140098158766E-4</v>
      </c>
      <c r="O33" s="40">
        <f t="shared" si="7"/>
        <v>9.7286948351948042E-7</v>
      </c>
      <c r="P33" s="40">
        <f t="shared" si="8"/>
        <v>5.2140701216301537E-6</v>
      </c>
      <c r="Q33" s="40">
        <f t="shared" si="9"/>
        <v>7.0956141866280892E-5</v>
      </c>
      <c r="R33" s="9">
        <f t="shared" si="12"/>
        <v>3.9999999999999996E-5</v>
      </c>
      <c r="S33" s="9">
        <f t="shared" si="13"/>
        <v>2.1293356846526912E-7</v>
      </c>
      <c r="T33" s="9">
        <f t="shared" si="10"/>
        <v>3.8854911765256602E-5</v>
      </c>
      <c r="U33" s="9">
        <f t="shared" si="11"/>
        <v>3.9787066431534729E-5</v>
      </c>
      <c r="V33" s="100">
        <f t="shared" si="14"/>
        <v>0.97657141503804579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3.1711948665398576E-4</v>
      </c>
      <c r="J34" s="92">
        <f t="shared" si="2"/>
        <v>5.2712683038239401E-2</v>
      </c>
      <c r="K34" s="93">
        <f t="shared" si="3"/>
        <v>0.99760216929771039</v>
      </c>
      <c r="L34" s="93">
        <f t="shared" si="4"/>
        <v>1.1517175547719873E-3</v>
      </c>
      <c r="M34" s="93">
        <f t="shared" si="5"/>
        <v>0.99884828244522805</v>
      </c>
      <c r="N34" s="93">
        <f t="shared" si="6"/>
        <v>1.2535992208166869E-5</v>
      </c>
      <c r="O34" s="40">
        <f t="shared" si="7"/>
        <v>9.9913927285807301E-7</v>
      </c>
      <c r="P34" s="40">
        <f t="shared" si="8"/>
        <v>1.1280769179187517E-6</v>
      </c>
      <c r="Q34" s="40">
        <f t="shared" si="9"/>
        <v>1.2278673182195318E-6</v>
      </c>
      <c r="R34" s="9">
        <f t="shared" si="12"/>
        <v>3.9999999999999996E-5</v>
      </c>
      <c r="S34" s="9">
        <f t="shared" si="13"/>
        <v>4.6068702190879488E-8</v>
      </c>
      <c r="T34" s="9">
        <f t="shared" si="10"/>
        <v>3.9904086771908414E-5</v>
      </c>
      <c r="U34" s="9">
        <f t="shared" si="11"/>
        <v>3.9953931297809115E-5</v>
      </c>
      <c r="V34" s="100">
        <f t="shared" si="14"/>
        <v>0.9987524500272783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1.8367979099029661E-4</v>
      </c>
      <c r="J35" s="92">
        <f t="shared" si="2"/>
        <v>3.0890416860471809E-2</v>
      </c>
      <c r="K35" s="93">
        <f t="shared" si="3"/>
        <v>0.99796472630681965</v>
      </c>
      <c r="L35" s="93">
        <f t="shared" si="4"/>
        <v>1.0956744302352988E-3</v>
      </c>
      <c r="M35" s="93">
        <f t="shared" si="5"/>
        <v>0.99890432556976472</v>
      </c>
      <c r="N35" s="93">
        <f t="shared" si="6"/>
        <v>8.4379946419817932E-6</v>
      </c>
      <c r="O35" s="40">
        <f t="shared" si="7"/>
        <v>9.9950238849434527E-7</v>
      </c>
      <c r="P35" s="40">
        <f t="shared" si="8"/>
        <v>1.0731841580264186E-6</v>
      </c>
      <c r="Q35" s="40">
        <f t="shared" si="9"/>
        <v>8.2647928302406036E-7</v>
      </c>
      <c r="R35" s="9">
        <f t="shared" si="12"/>
        <v>3.9999999999999996E-5</v>
      </c>
      <c r="S35" s="9">
        <f t="shared" si="13"/>
        <v>4.3826977209411951E-8</v>
      </c>
      <c r="T35" s="9">
        <f t="shared" si="10"/>
        <v>3.9918589052272779E-5</v>
      </c>
      <c r="U35" s="9">
        <f t="shared" si="11"/>
        <v>3.9956173022790589E-5</v>
      </c>
      <c r="V35" s="100">
        <f t="shared" si="14"/>
        <v>0.99905937011293933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0.45036614920415591</v>
      </c>
      <c r="J36" s="92">
        <f t="shared" si="2"/>
        <v>2.5613647148029952</v>
      </c>
      <c r="K36" s="93">
        <f t="shared" si="3"/>
        <v>0.31302347861452146</v>
      </c>
      <c r="L36" s="93">
        <f t="shared" si="4"/>
        <v>0.11657825407503612</v>
      </c>
      <c r="M36" s="93">
        <f t="shared" si="5"/>
        <v>0.88342174592496392</v>
      </c>
      <c r="N36" s="93">
        <f t="shared" si="6"/>
        <v>4.1813722439160525E-2</v>
      </c>
      <c r="O36" s="40">
        <f t="shared" si="7"/>
        <v>3.1350578460609147E-7</v>
      </c>
      <c r="P36" s="40">
        <f t="shared" si="8"/>
        <v>1.1418532001047051E-4</v>
      </c>
      <c r="Q36" s="40">
        <f t="shared" si="9"/>
        <v>4.0955436461343779E-3</v>
      </c>
      <c r="R36" s="9">
        <f t="shared" si="12"/>
        <v>3.9999999999999996E-5</v>
      </c>
      <c r="S36" s="9">
        <f t="shared" si="13"/>
        <v>4.6631301630014447E-6</v>
      </c>
      <c r="T36" s="9">
        <f t="shared" si="10"/>
        <v>1.2520939144580857E-5</v>
      </c>
      <c r="U36" s="9">
        <f t="shared" si="11"/>
        <v>3.5336869836998553E-5</v>
      </c>
      <c r="V36" s="100">
        <f t="shared" si="14"/>
        <v>0.3543307373385724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2.2002191789801899</v>
      </c>
      <c r="J37" s="92">
        <f t="shared" si="2"/>
        <v>4.5810354638391573</v>
      </c>
      <c r="K37" s="93">
        <f t="shared" si="3"/>
        <v>5.0602216967032387E-3</v>
      </c>
      <c r="L37" s="93">
        <f t="shared" si="4"/>
        <v>0.1971882019301063</v>
      </c>
      <c r="M37" s="93">
        <f t="shared" si="5"/>
        <v>0.80281179806989367</v>
      </c>
      <c r="N37" s="93">
        <f t="shared" si="6"/>
        <v>0.16233320519840158</v>
      </c>
      <c r="O37" s="40">
        <f t="shared" si="7"/>
        <v>5.0680184768482763E-9</v>
      </c>
      <c r="P37" s="40">
        <f t="shared" si="8"/>
        <v>1.9314063431749397E-4</v>
      </c>
      <c r="Q37" s="40">
        <f t="shared" si="9"/>
        <v>1.5900108584551303E-2</v>
      </c>
      <c r="R37" s="9">
        <f t="shared" si="12"/>
        <v>3.9999999999999996E-5</v>
      </c>
      <c r="S37" s="9">
        <f t="shared" si="13"/>
        <v>7.8875280772042514E-6</v>
      </c>
      <c r="T37" s="9">
        <f t="shared" si="10"/>
        <v>2.0240886786812954E-7</v>
      </c>
      <c r="U37" s="9">
        <f t="shared" si="11"/>
        <v>3.2112471922795743E-5</v>
      </c>
      <c r="V37" s="100">
        <f t="shared" si="14"/>
        <v>6.3031232337005224E-3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-1.5970395933982679E-4</v>
      </c>
      <c r="J38" s="92">
        <f t="shared" si="2"/>
        <v>-3.0439469299610111E-2</v>
      </c>
      <c r="K38" s="93">
        <f t="shared" si="3"/>
        <v>0.99889748826040714</v>
      </c>
      <c r="L38" s="93">
        <f t="shared" si="4"/>
        <v>9.522640090457034E-4</v>
      </c>
      <c r="M38" s="93">
        <f t="shared" si="5"/>
        <v>0.99904773599095431</v>
      </c>
      <c r="N38" s="93">
        <f t="shared" si="6"/>
        <v>6.3780838981082726E-7</v>
      </c>
      <c r="O38" s="40">
        <f t="shared" si="7"/>
        <v>1.0004365876458097E-6</v>
      </c>
      <c r="P38" s="40">
        <f t="shared" si="8"/>
        <v>9.3271743920053635E-7</v>
      </c>
      <c r="Q38" s="40">
        <f t="shared" si="9"/>
        <v>6.247164676959041E-8</v>
      </c>
      <c r="R38" s="9">
        <f t="shared" si="12"/>
        <v>3.9999999999999996E-5</v>
      </c>
      <c r="S38" s="9">
        <f t="shared" si="13"/>
        <v>3.8090560361828135E-8</v>
      </c>
      <c r="T38" s="9">
        <f t="shared" si="10"/>
        <v>3.9955899530416279E-5</v>
      </c>
      <c r="U38" s="9">
        <f t="shared" si="11"/>
        <v>3.9961909439638166E-5</v>
      </c>
      <c r="V38" s="100">
        <f t="shared" si="14"/>
        <v>0.99984960905757103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4.7752637245013392E-2</v>
      </c>
      <c r="J39" s="92">
        <f t="shared" si="2"/>
        <v>1.3503657480277556</v>
      </c>
      <c r="K39" s="93">
        <f t="shared" si="3"/>
        <v>0.87741104773872958</v>
      </c>
      <c r="L39" s="93">
        <f t="shared" si="4"/>
        <v>2.0102254412663671E-2</v>
      </c>
      <c r="M39" s="93">
        <f t="shared" si="5"/>
        <v>0.97989774558733633</v>
      </c>
      <c r="N39" s="93">
        <f t="shared" si="6"/>
        <v>2.6891251661224839E-3</v>
      </c>
      <c r="O39" s="40">
        <f t="shared" si="7"/>
        <v>8.7876296104333893E-7</v>
      </c>
      <c r="P39" s="40">
        <f t="shared" si="8"/>
        <v>1.9689627120032693E-5</v>
      </c>
      <c r="Q39" s="40">
        <f t="shared" si="9"/>
        <v>2.6339270567928187E-4</v>
      </c>
      <c r="R39" s="9">
        <f t="shared" si="12"/>
        <v>3.9999999999999996E-5</v>
      </c>
      <c r="S39" s="9">
        <f t="shared" si="13"/>
        <v>8.0409017650654677E-7</v>
      </c>
      <c r="T39" s="9">
        <f t="shared" si="10"/>
        <v>3.509644190954918E-5</v>
      </c>
      <c r="U39" s="9">
        <f t="shared" si="11"/>
        <v>3.9195909823493448E-5</v>
      </c>
      <c r="V39" s="100">
        <f t="shared" si="14"/>
        <v>0.89541082392512528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5.4923561227077443E-2</v>
      </c>
      <c r="J40" s="92">
        <f t="shared" si="2"/>
        <v>1.4331774457412798</v>
      </c>
      <c r="K40" s="93">
        <f t="shared" si="3"/>
        <v>0.85975427044020591</v>
      </c>
      <c r="L40" s="93">
        <f t="shared" si="4"/>
        <v>2.3835688767615309E-2</v>
      </c>
      <c r="M40" s="93">
        <f t="shared" si="5"/>
        <v>0.97616431123238467</v>
      </c>
      <c r="N40" s="93">
        <f t="shared" si="6"/>
        <v>6.4492242750011329E-3</v>
      </c>
      <c r="O40" s="40">
        <f t="shared" si="7"/>
        <v>8.610789782153112E-7</v>
      </c>
      <c r="P40" s="40">
        <f t="shared" si="8"/>
        <v>2.3346427437901971E-5</v>
      </c>
      <c r="Q40" s="40">
        <f t="shared" si="9"/>
        <v>6.3168447966831546E-4</v>
      </c>
      <c r="R40" s="9">
        <f t="shared" si="12"/>
        <v>3.9999999999999996E-5</v>
      </c>
      <c r="S40" s="9">
        <f t="shared" si="13"/>
        <v>9.5342755070461223E-7</v>
      </c>
      <c r="T40" s="9">
        <f t="shared" si="10"/>
        <v>3.4390170817608235E-5</v>
      </c>
      <c r="U40" s="9">
        <f t="shared" si="11"/>
        <v>3.9046572449295383E-5</v>
      </c>
      <c r="V40" s="100">
        <f t="shared" si="14"/>
        <v>0.8807474935800369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6.6276677113325539E-3</v>
      </c>
      <c r="J41" s="92">
        <f t="shared" si="2"/>
        <v>0.58023834032426458</v>
      </c>
      <c r="K41" s="93">
        <f t="shared" si="3"/>
        <v>0.9805904565094048</v>
      </c>
      <c r="L41" s="93">
        <f t="shared" si="4"/>
        <v>3.8141864691735835E-3</v>
      </c>
      <c r="M41" s="93">
        <f t="shared" si="5"/>
        <v>0.99618581353082647</v>
      </c>
      <c r="N41" s="93">
        <f t="shared" si="6"/>
        <v>3.2127917863233641E-4</v>
      </c>
      <c r="O41" s="40">
        <f t="shared" si="7"/>
        <v>9.8210134845445679E-7</v>
      </c>
      <c r="P41" s="40">
        <f t="shared" si="8"/>
        <v>3.7358948803767909E-6</v>
      </c>
      <c r="Q41" s="40">
        <f t="shared" si="9"/>
        <v>3.1468446766428436E-5</v>
      </c>
      <c r="R41" s="9">
        <f t="shared" si="12"/>
        <v>3.9999999999999996E-5</v>
      </c>
      <c r="S41" s="9">
        <f t="shared" si="13"/>
        <v>1.5256745876694332E-7</v>
      </c>
      <c r="T41" s="9">
        <f t="shared" si="10"/>
        <v>3.9223618260376191E-5</v>
      </c>
      <c r="U41" s="9">
        <f t="shared" si="11"/>
        <v>3.9847432541233055E-5</v>
      </c>
      <c r="V41" s="100">
        <f t="shared" si="14"/>
        <v>0.98434493162862224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2.8589842167479149E-2</v>
      </c>
      <c r="J42" s="92">
        <f t="shared" si="2"/>
        <v>1.1444407422837011</v>
      </c>
      <c r="K42" s="93">
        <f t="shared" si="3"/>
        <v>0.92348113289357792</v>
      </c>
      <c r="L42" s="93">
        <f t="shared" si="4"/>
        <v>1.3168754093689778E-2</v>
      </c>
      <c r="M42" s="93">
        <f t="shared" si="5"/>
        <v>0.98683124590631022</v>
      </c>
      <c r="N42" s="93">
        <f t="shared" si="6"/>
        <v>2.8346663329992601E-3</v>
      </c>
      <c r="O42" s="40">
        <f t="shared" si="7"/>
        <v>9.2490403089940111E-7</v>
      </c>
      <c r="P42" s="40">
        <f t="shared" si="8"/>
        <v>1.2898446732263731E-5</v>
      </c>
      <c r="Q42" s="40">
        <f t="shared" si="9"/>
        <v>2.7764807847275783E-4</v>
      </c>
      <c r="R42" s="9">
        <f t="shared" si="12"/>
        <v>3.9999999999999996E-5</v>
      </c>
      <c r="S42" s="9">
        <f t="shared" si="13"/>
        <v>5.267501637475911E-7</v>
      </c>
      <c r="T42" s="9">
        <f t="shared" si="10"/>
        <v>3.6939245315743115E-5</v>
      </c>
      <c r="U42" s="9">
        <f t="shared" si="11"/>
        <v>3.9473249836252407E-5</v>
      </c>
      <c r="V42" s="100">
        <f t="shared" si="14"/>
        <v>0.93580451239710061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4.5043006346732313E-2</v>
      </c>
      <c r="J43" s="92">
        <f t="shared" si="2"/>
        <v>1.3276849779101709</v>
      </c>
      <c r="K43" s="93">
        <f t="shared" si="3"/>
        <v>0.88370086634260214</v>
      </c>
      <c r="L43" s="93">
        <f t="shared" si="4"/>
        <v>1.9216141024434256E-2</v>
      </c>
      <c r="M43" s="93">
        <f t="shared" si="5"/>
        <v>0.98078385897556575</v>
      </c>
      <c r="N43" s="93">
        <f t="shared" si="6"/>
        <v>2.9235208762058841E-3</v>
      </c>
      <c r="O43" s="40">
        <f t="shared" si="7"/>
        <v>8.8506247098797597E-7</v>
      </c>
      <c r="P43" s="40">
        <f t="shared" si="8"/>
        <v>1.8821702466302573E-5</v>
      </c>
      <c r="Q43" s="40">
        <f t="shared" si="9"/>
        <v>2.8635114623692433E-4</v>
      </c>
      <c r="R43" s="9">
        <f t="shared" si="12"/>
        <v>3.9999999999999996E-5</v>
      </c>
      <c r="S43" s="9">
        <f t="shared" si="13"/>
        <v>7.6864564097737015E-7</v>
      </c>
      <c r="T43" s="9">
        <f t="shared" si="10"/>
        <v>3.5348034653704081E-5</v>
      </c>
      <c r="U43" s="9">
        <f t="shared" si="11"/>
        <v>3.9231354359022625E-5</v>
      </c>
      <c r="V43" s="100">
        <f t="shared" si="14"/>
        <v>0.90101489564238202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2.829962486439805</v>
      </c>
      <c r="J44" s="92">
        <f t="shared" si="2"/>
        <v>5.1978454460498824</v>
      </c>
      <c r="K44" s="93">
        <f t="shared" si="3"/>
        <v>1.1938402948636722E-3</v>
      </c>
      <c r="L44" s="93">
        <f t="shared" si="4"/>
        <v>0.19251634060747694</v>
      </c>
      <c r="M44" s="93">
        <f t="shared" si="5"/>
        <v>0.80748365939252309</v>
      </c>
      <c r="N44" s="93">
        <f t="shared" si="6"/>
        <v>0.1436911934409601</v>
      </c>
      <c r="O44" s="40">
        <f t="shared" si="7"/>
        <v>1.1956797617616152E-9</v>
      </c>
      <c r="P44" s="40">
        <f t="shared" si="8"/>
        <v>1.885646695768864E-4</v>
      </c>
      <c r="Q44" s="40">
        <f t="shared" si="9"/>
        <v>1.4074172782843125E-2</v>
      </c>
      <c r="R44" s="9">
        <f t="shared" si="12"/>
        <v>3.9999999999999996E-5</v>
      </c>
      <c r="S44" s="9">
        <f t="shared" si="13"/>
        <v>7.7006536242990765E-6</v>
      </c>
      <c r="T44" s="9">
        <f t="shared" si="10"/>
        <v>4.7753611794546885E-8</v>
      </c>
      <c r="U44" s="9">
        <f t="shared" si="11"/>
        <v>3.2299346375700918E-5</v>
      </c>
      <c r="V44" s="100">
        <f t="shared" si="14"/>
        <v>1.4784699120249795E-3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3.957220636313619E-3</v>
      </c>
      <c r="J45" s="92">
        <f t="shared" si="2"/>
        <v>0.42916913204398671</v>
      </c>
      <c r="K45" s="93">
        <f t="shared" si="3"/>
        <v>0.98772904427117814</v>
      </c>
      <c r="L45" s="93">
        <f t="shared" si="4"/>
        <v>2.7132066641208895E-3</v>
      </c>
      <c r="M45" s="93">
        <f t="shared" si="5"/>
        <v>0.99728679333587911</v>
      </c>
      <c r="N45" s="93">
        <f t="shared" si="6"/>
        <v>2.4940189158504424E-4</v>
      </c>
      <c r="O45" s="40">
        <f t="shared" si="7"/>
        <v>9.8925093533892858E-7</v>
      </c>
      <c r="P45" s="40">
        <f t="shared" si="8"/>
        <v>2.6575142478782983E-6</v>
      </c>
      <c r="Q45" s="40">
        <f t="shared" si="9"/>
        <v>2.4428256391217628E-5</v>
      </c>
      <c r="R45" s="9">
        <f t="shared" si="12"/>
        <v>3.9999999999999996E-5</v>
      </c>
      <c r="S45" s="9">
        <f t="shared" si="13"/>
        <v>1.0852826656483557E-7</v>
      </c>
      <c r="T45" s="9">
        <f t="shared" si="10"/>
        <v>3.9509161770847122E-5</v>
      </c>
      <c r="U45" s="9">
        <f t="shared" si="11"/>
        <v>3.989147173343516E-5</v>
      </c>
      <c r="V45" s="100">
        <f t="shared" si="14"/>
        <v>0.99041624823614605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4.1980440605165602E-3</v>
      </c>
      <c r="J46" s="92">
        <f t="shared" si="2"/>
        <v>0.44418370932270096</v>
      </c>
      <c r="K46" s="93">
        <f t="shared" si="3"/>
        <v>0.98708881106799151</v>
      </c>
      <c r="L46" s="93">
        <f t="shared" si="4"/>
        <v>2.806828366935802E-3</v>
      </c>
      <c r="M46" s="93">
        <f t="shared" si="5"/>
        <v>0.9971931716330642</v>
      </c>
      <c r="N46" s="93">
        <f t="shared" si="6"/>
        <v>2.3768903514487011E-4</v>
      </c>
      <c r="O46" s="40">
        <f t="shared" si="7"/>
        <v>9.8860971566561769E-7</v>
      </c>
      <c r="P46" s="40">
        <f t="shared" si="8"/>
        <v>2.7492142324137098E-6</v>
      </c>
      <c r="Q46" s="40">
        <f t="shared" si="9"/>
        <v>2.3281013046848157E-5</v>
      </c>
      <c r="R46" s="9">
        <f t="shared" si="12"/>
        <v>3.9999999999999996E-5</v>
      </c>
      <c r="S46" s="9">
        <f t="shared" si="13"/>
        <v>1.1227313467743207E-7</v>
      </c>
      <c r="T46" s="9">
        <f t="shared" si="10"/>
        <v>3.9483552442719657E-5</v>
      </c>
      <c r="U46" s="9">
        <f t="shared" si="11"/>
        <v>3.9887726865322562E-5</v>
      </c>
      <c r="V46" s="100">
        <f t="shared" si="14"/>
        <v>0.98986719839995974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8.655050783580702E-2</v>
      </c>
      <c r="J47" s="92">
        <f t="shared" si="2"/>
        <v>1.6468679908029498</v>
      </c>
      <c r="K47" s="93">
        <f t="shared" si="3"/>
        <v>0.78956832524569709</v>
      </c>
      <c r="L47" s="93">
        <f t="shared" si="4"/>
        <v>3.5804171362956515E-2</v>
      </c>
      <c r="M47" s="93">
        <f t="shared" si="5"/>
        <v>0.96419582863704345</v>
      </c>
      <c r="N47" s="93">
        <f t="shared" si="6"/>
        <v>1.1211652140055527E-2</v>
      </c>
      <c r="O47" s="40">
        <f t="shared" si="7"/>
        <v>7.9078489064745361E-7</v>
      </c>
      <c r="P47" s="40">
        <f t="shared" si="8"/>
        <v>3.5069239947249962E-5</v>
      </c>
      <c r="Q47" s="40">
        <f t="shared" si="9"/>
        <v>1.0981517072938026E-3</v>
      </c>
      <c r="R47" s="9">
        <f t="shared" si="12"/>
        <v>3.9999999999999996E-5</v>
      </c>
      <c r="S47" s="9">
        <f t="shared" si="13"/>
        <v>1.4321668545182606E-6</v>
      </c>
      <c r="T47" s="9">
        <f t="shared" si="10"/>
        <v>3.1582733009827881E-5</v>
      </c>
      <c r="U47" s="9">
        <f t="shared" si="11"/>
        <v>3.8567833145481734E-5</v>
      </c>
      <c r="V47" s="100">
        <f t="shared" si="14"/>
        <v>0.81888792898202611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3.6103930695935905E-2</v>
      </c>
      <c r="K48" s="93">
        <f t="shared" ref="K48:K50" si="17">IF(D48=0,"",1/(1+10^D48*$J$15/$J$14+10^E48*$J$16/$J$14+10^J48*$J$19/$J$14))</f>
        <v>0.99789100516052209</v>
      </c>
      <c r="L48" s="93">
        <f t="shared" ref="L48:L50" si="18">IF(D48=0,"",1/(1+10^I48/10^J48*$J$13/$J$19))</f>
        <v>1.1088248676185621E-3</v>
      </c>
      <c r="M48" s="93">
        <f t="shared" ref="M48:M92" si="19">IF(D48=0,"",1-L48)</f>
        <v>0.99889117513238146</v>
      </c>
      <c r="N48" s="93">
        <f t="shared" ref="N48:N50" si="20">IF(D48=0,"",1/(1/10^E48*$J$20/$J$22+10^D48/10^E48*$J$21/$J$22+10^I48/10^E48*$J$13/$J$22+1))</f>
        <v>1.5493838564864244E-5</v>
      </c>
      <c r="O48" s="40">
        <f t="shared" ref="O48:O92" si="21">IF(D48=0,"",F48*K48*$J$7/$J$14)</f>
        <v>9.9942855375864277E-7</v>
      </c>
      <c r="P48" s="40">
        <f t="shared" ref="P48:P50" si="22">IF(D48=0,"",O48*10^J48)</f>
        <v>1.0860646640247243E-6</v>
      </c>
      <c r="Q48" s="40">
        <f t="shared" ref="Q48:Q50" si="23">IF(D48=0,"",F48*N48*$J$7/$J$22)</f>
        <v>1.5175805545868429E-6</v>
      </c>
      <c r="R48" s="9">
        <f t="shared" si="12"/>
        <v>3.9999999999999996E-5</v>
      </c>
      <c r="S48" s="9">
        <f t="shared" si="13"/>
        <v>4.4352994704742481E-8</v>
      </c>
      <c r="T48" s="9">
        <f t="shared" si="10"/>
        <v>3.9915640206420883E-5</v>
      </c>
      <c r="U48" s="9">
        <f t="shared" si="11"/>
        <v>3.9955647005295253E-5</v>
      </c>
      <c r="V48" s="100">
        <f t="shared" si="14"/>
        <v>0.99899871978373733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9.6186457475178466E-3</v>
      </c>
      <c r="J49" s="92">
        <f t="shared" si="16"/>
        <v>0.71549530837913433</v>
      </c>
      <c r="K49" s="93">
        <f t="shared" si="17"/>
        <v>0.97253971350081736</v>
      </c>
      <c r="L49" s="93">
        <f t="shared" si="18"/>
        <v>5.1650980676528182E-3</v>
      </c>
      <c r="M49" s="93">
        <f t="shared" si="19"/>
        <v>0.99483490193234714</v>
      </c>
      <c r="N49" s="93">
        <f t="shared" si="20"/>
        <v>7.8974386952446358E-4</v>
      </c>
      <c r="O49" s="40">
        <f t="shared" si="21"/>
        <v>9.7403820087606901E-7</v>
      </c>
      <c r="P49" s="40">
        <f t="shared" si="22"/>
        <v>5.0590771016418395E-6</v>
      </c>
      <c r="Q49" s="40">
        <f t="shared" si="23"/>
        <v>7.7353325612438125E-5</v>
      </c>
      <c r="R49" s="9">
        <f t="shared" si="12"/>
        <v>3.9999999999999996E-5</v>
      </c>
      <c r="S49" s="9">
        <f t="shared" si="13"/>
        <v>2.0660392270611271E-7</v>
      </c>
      <c r="T49" s="9">
        <f t="shared" si="10"/>
        <v>3.8901588540032694E-5</v>
      </c>
      <c r="U49" s="9">
        <f t="shared" si="11"/>
        <v>3.9793396077293884E-5</v>
      </c>
      <c r="V49" s="100">
        <f t="shared" si="14"/>
        <v>0.9775890568493083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8.6760595853303396E-2</v>
      </c>
      <c r="J50" s="92">
        <f t="shared" si="16"/>
        <v>1.6323878148666418</v>
      </c>
      <c r="K50" s="93">
        <f t="shared" si="17"/>
        <v>0.79012738508079028</v>
      </c>
      <c r="L50" s="93">
        <f t="shared" si="18"/>
        <v>3.4654596602023469E-2</v>
      </c>
      <c r="M50" s="93">
        <f t="shared" si="19"/>
        <v>0.96534540339797648</v>
      </c>
      <c r="N50" s="93">
        <f t="shared" si="20"/>
        <v>7.4353776717941541E-3</v>
      </c>
      <c r="O50" s="40">
        <f t="shared" si="21"/>
        <v>7.9134481188089709E-7</v>
      </c>
      <c r="P50" s="40">
        <f t="shared" si="22"/>
        <v>3.3943261839286435E-5</v>
      </c>
      <c r="Q50" s="40">
        <f t="shared" si="23"/>
        <v>7.2827559958656824E-4</v>
      </c>
      <c r="R50" s="9">
        <f t="shared" si="12"/>
        <v>3.9999999999999996E-5</v>
      </c>
      <c r="S50" s="9">
        <f t="shared" si="13"/>
        <v>1.3861838640809385E-6</v>
      </c>
      <c r="T50" s="9">
        <f t="shared" si="10"/>
        <v>3.1605095403231606E-5</v>
      </c>
      <c r="U50" s="9">
        <f t="shared" si="11"/>
        <v>3.8613816135919057E-5</v>
      </c>
      <c r="V50" s="100">
        <f t="shared" si="14"/>
        <v>0.81849189139925882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4.3070548137368689</v>
      </c>
      <c r="K51" s="93">
        <f t="shared" ref="K51:K70" si="26">IF(D51=0,"",1/(1+10^D51*$J$15/$J$14+10^E51*$J$16/$J$14+10^J51*$J$19/$J$14))</f>
        <v>8.5684592312369155E-3</v>
      </c>
      <c r="L51" s="93">
        <f t="shared" ref="L51:L70" si="27">IF(D51=0,"",1/(1+10^I51/10^J51*$J$13/$J$19))</f>
        <v>0.17767792228733426</v>
      </c>
      <c r="M51" s="93">
        <f t="shared" ref="M51:M70" si="28">IF(D51=0,"",1-L51)</f>
        <v>0.82232207771266574</v>
      </c>
      <c r="N51" s="93">
        <f t="shared" ref="N51:N70" si="29">IF(D51=0,"",1/(1/10^E51*$J$20/$J$22+10^D51/10^E51*$J$21/$J$22+10^I51/10^E51*$J$13/$J$22+1))</f>
        <v>9.5033046836948368E-2</v>
      </c>
      <c r="O51" s="40">
        <f t="shared" ref="O51:O70" si="30">IF(D51=0,"",F51*K51*$J$7/$J$14)</f>
        <v>8.5816614972268025E-9</v>
      </c>
      <c r="P51" s="40">
        <f t="shared" ref="P51:P70" si="31">IF(D51=0,"",O51*10^J51)</f>
        <v>1.7403083084531509E-4</v>
      </c>
      <c r="Q51" s="40">
        <f t="shared" ref="Q51:Q70" si="32">IF(D51=0,"",F51*N51*$J$7/$J$22)</f>
        <v>9.3082358718997778E-3</v>
      </c>
      <c r="R51" s="9">
        <f t="shared" si="12"/>
        <v>3.9999999999999996E-5</v>
      </c>
      <c r="S51" s="9">
        <f t="shared" si="13"/>
        <v>7.1071168914933692E-6</v>
      </c>
      <c r="T51" s="9">
        <f t="shared" si="10"/>
        <v>3.4273836924947658E-7</v>
      </c>
      <c r="U51" s="9">
        <f t="shared" si="11"/>
        <v>3.2892883108506626E-5</v>
      </c>
      <c r="V51" s="100">
        <f t="shared" si="14"/>
        <v>1.0419833619292525E-2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0.12726341031571042</v>
      </c>
      <c r="J52" s="92">
        <f t="shared" si="25"/>
        <v>1.8320197616226608</v>
      </c>
      <c r="K52" s="93">
        <f t="shared" si="26"/>
        <v>0.70889911338562217</v>
      </c>
      <c r="L52" s="93">
        <f t="shared" si="27"/>
        <v>4.9235699617613184E-2</v>
      </c>
      <c r="M52" s="93">
        <f t="shared" si="28"/>
        <v>0.9507643003823868</v>
      </c>
      <c r="N52" s="93">
        <f t="shared" si="29"/>
        <v>1.5534323742468258E-2</v>
      </c>
      <c r="O52" s="40">
        <f t="shared" si="30"/>
        <v>7.0999138381631896E-7</v>
      </c>
      <c r="P52" s="40">
        <f t="shared" si="31"/>
        <v>4.8225067028006253E-5</v>
      </c>
      <c r="Q52" s="40">
        <f t="shared" si="32"/>
        <v>1.521545970776229E-3</v>
      </c>
      <c r="R52" s="9">
        <f t="shared" si="12"/>
        <v>3.9999999999999996E-5</v>
      </c>
      <c r="S52" s="9">
        <f t="shared" si="13"/>
        <v>1.9694279847045273E-6</v>
      </c>
      <c r="T52" s="9">
        <f t="shared" si="10"/>
        <v>2.8355964535424883E-5</v>
      </c>
      <c r="U52" s="9">
        <f t="shared" si="11"/>
        <v>3.8030572015295468E-5</v>
      </c>
      <c r="V52" s="100">
        <f t="shared" si="14"/>
        <v>0.74560973008821518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0.47104615060046062</v>
      </c>
      <c r="J53" s="92">
        <f t="shared" si="25"/>
        <v>2.6025949535148953</v>
      </c>
      <c r="K53" s="93">
        <f t="shared" si="26"/>
        <v>0.29679085770284935</v>
      </c>
      <c r="L53" s="93">
        <f t="shared" si="27"/>
        <v>0.12154060421285139</v>
      </c>
      <c r="M53" s="93">
        <f t="shared" si="28"/>
        <v>0.8784593957871486</v>
      </c>
      <c r="N53" s="93">
        <f t="shared" si="29"/>
        <v>5.0696086776872151E-2</v>
      </c>
      <c r="O53" s="40">
        <f t="shared" si="30"/>
        <v>2.9724815250241792E-7</v>
      </c>
      <c r="P53" s="40">
        <f t="shared" si="31"/>
        <v>1.1904581087119079E-4</v>
      </c>
      <c r="Q53" s="40">
        <f t="shared" si="32"/>
        <v>4.9655477668843553E-3</v>
      </c>
      <c r="R53" s="9">
        <f t="shared" si="12"/>
        <v>3.9999999999999996E-5</v>
      </c>
      <c r="S53" s="9">
        <f t="shared" si="13"/>
        <v>4.8616241685140547E-6</v>
      </c>
      <c r="T53" s="9">
        <f t="shared" si="10"/>
        <v>1.1871634308113974E-5</v>
      </c>
      <c r="U53" s="9">
        <f t="shared" si="11"/>
        <v>3.5138375831485943E-5</v>
      </c>
      <c r="V53" s="100">
        <f t="shared" si="14"/>
        <v>0.337853814446265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0.17835694544431219</v>
      </c>
      <c r="J54" s="92">
        <f t="shared" si="25"/>
        <v>2.0064300527387009</v>
      </c>
      <c r="K54" s="93">
        <f t="shared" si="26"/>
        <v>0.62019139194937811</v>
      </c>
      <c r="L54" s="93">
        <f t="shared" si="27"/>
        <v>6.4362322250426762E-2</v>
      </c>
      <c r="M54" s="93">
        <f t="shared" si="28"/>
        <v>0.93563767774957318</v>
      </c>
      <c r="N54" s="93">
        <f t="shared" si="29"/>
        <v>2.1552499947451842E-2</v>
      </c>
      <c r="O54" s="40">
        <f t="shared" si="30"/>
        <v>6.2114698168846492E-7</v>
      </c>
      <c r="P54" s="40">
        <f t="shared" si="31"/>
        <v>6.3041194269830442E-5</v>
      </c>
      <c r="Q54" s="40">
        <f t="shared" si="32"/>
        <v>2.1110104307630272E-3</v>
      </c>
      <c r="R54" s="9">
        <f t="shared" si="12"/>
        <v>3.9999999999999996E-5</v>
      </c>
      <c r="S54" s="9">
        <f t="shared" si="13"/>
        <v>2.5744928900170702E-6</v>
      </c>
      <c r="T54" s="9">
        <f t="shared" si="10"/>
        <v>2.4807655677975122E-5</v>
      </c>
      <c r="U54" s="9">
        <f t="shared" si="11"/>
        <v>3.7425507109982927E-5</v>
      </c>
      <c r="V54" s="100">
        <f t="shared" si="14"/>
        <v>0.66285422947169359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5.9812805986470914E-3</v>
      </c>
      <c r="J55" s="54">
        <f t="shared" si="25"/>
        <v>0.55351864127074724</v>
      </c>
      <c r="K55" s="55">
        <f t="shared" si="26"/>
        <v>0.9822693257378794</v>
      </c>
      <c r="L55" s="55">
        <f t="shared" si="27"/>
        <v>3.5927346458172649E-3</v>
      </c>
      <c r="M55" s="55">
        <f t="shared" si="28"/>
        <v>0.99640726535418278</v>
      </c>
      <c r="N55" s="55">
        <f t="shared" si="29"/>
        <v>4.3727585814884608E-4</v>
      </c>
      <c r="O55" s="56">
        <f t="shared" si="30"/>
        <v>9.8378280448150466E-7</v>
      </c>
      <c r="P55" s="56">
        <f t="shared" si="31"/>
        <v>3.5189886698877608E-6</v>
      </c>
      <c r="Q55" s="56">
        <f t="shared" si="32"/>
        <v>4.2830015075917241E-5</v>
      </c>
      <c r="R55" s="9">
        <f t="shared" si="12"/>
        <v>3.9999999999999996E-5</v>
      </c>
      <c r="S55" s="9">
        <f t="shared" si="13"/>
        <v>1.4370938583269059E-7</v>
      </c>
      <c r="T55" s="9">
        <f t="shared" si="10"/>
        <v>3.9290773029515174E-5</v>
      </c>
      <c r="U55" s="9">
        <f t="shared" si="11"/>
        <v>3.9856290614167306E-5</v>
      </c>
      <c r="V55" s="100">
        <f t="shared" si="14"/>
        <v>0.98581108337133816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0.11910186422699467</v>
      </c>
      <c r="J56" s="54">
        <f t="shared" si="25"/>
        <v>1.8023749945199008</v>
      </c>
      <c r="K56" s="55">
        <f t="shared" si="26"/>
        <v>0.72406776477119006</v>
      </c>
      <c r="L56" s="55">
        <f t="shared" si="27"/>
        <v>4.6971034623885036E-2</v>
      </c>
      <c r="M56" s="55">
        <f t="shared" si="28"/>
        <v>0.95302896537611492</v>
      </c>
      <c r="N56" s="55">
        <f t="shared" si="29"/>
        <v>1.564678560796634E-2</v>
      </c>
      <c r="O56" s="56">
        <f t="shared" si="30"/>
        <v>7.2518340703162843E-7</v>
      </c>
      <c r="P56" s="56">
        <f t="shared" si="31"/>
        <v>4.6006887496350918E-5</v>
      </c>
      <c r="Q56" s="56">
        <f t="shared" si="32"/>
        <v>1.5325613133911626E-3</v>
      </c>
      <c r="R56" s="9">
        <f t="shared" si="12"/>
        <v>3.9999999999999996E-5</v>
      </c>
      <c r="S56" s="9">
        <f t="shared" si="13"/>
        <v>1.8788413849554012E-6</v>
      </c>
      <c r="T56" s="9">
        <f t="shared" si="10"/>
        <v>2.8962710590847599E-5</v>
      </c>
      <c r="U56" s="9">
        <f t="shared" si="11"/>
        <v>3.8121158615044591E-5</v>
      </c>
      <c r="V56" s="100">
        <f t="shared" si="14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3.4503381608646556E-2</v>
      </c>
      <c r="J57" s="54">
        <f t="shared" si="25"/>
        <v>1.2272811321709634</v>
      </c>
      <c r="K57" s="55">
        <f t="shared" si="26"/>
        <v>0.90867296846615875</v>
      </c>
      <c r="L57" s="55">
        <f t="shared" si="27"/>
        <v>1.5680671599999495E-2</v>
      </c>
      <c r="M57" s="55">
        <f t="shared" si="28"/>
        <v>0.98431932840000047</v>
      </c>
      <c r="N57" s="55">
        <f t="shared" si="29"/>
        <v>3.7924819923116494E-3</v>
      </c>
      <c r="O57" s="56">
        <f t="shared" si="30"/>
        <v>9.100730500798724E-7</v>
      </c>
      <c r="P57" s="56">
        <f t="shared" si="31"/>
        <v>1.5358803567881311E-5</v>
      </c>
      <c r="Q57" s="56">
        <f t="shared" si="32"/>
        <v>3.7146359186964693E-4</v>
      </c>
      <c r="R57" s="9">
        <f t="shared" si="12"/>
        <v>3.9999999999999996E-5</v>
      </c>
      <c r="S57" s="9">
        <f t="shared" si="13"/>
        <v>6.2722686399997972E-7</v>
      </c>
      <c r="T57" s="9">
        <f t="shared" si="10"/>
        <v>3.6346918738646346E-5</v>
      </c>
      <c r="U57" s="9">
        <f t="shared" si="11"/>
        <v>3.9372773136000013E-5</v>
      </c>
      <c r="V57" s="100">
        <f t="shared" si="14"/>
        <v>0.92314855783965555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2.4527660835054643E-2</v>
      </c>
      <c r="J58" s="54">
        <f t="shared" si="25"/>
        <v>1.0772847763604276</v>
      </c>
      <c r="K58" s="55">
        <f t="shared" si="26"/>
        <v>0.93382227709326582</v>
      </c>
      <c r="L58" s="55">
        <f t="shared" si="27"/>
        <v>1.1408404864909226E-2</v>
      </c>
      <c r="M58" s="55">
        <f t="shared" si="28"/>
        <v>0.98859159513509076</v>
      </c>
      <c r="N58" s="55">
        <f t="shared" si="29"/>
        <v>2.143888273438367E-3</v>
      </c>
      <c r="O58" s="56">
        <f t="shared" si="30"/>
        <v>9.3526110871476941E-7</v>
      </c>
      <c r="P58" s="56">
        <f t="shared" si="31"/>
        <v>1.1174231168963959E-5</v>
      </c>
      <c r="Q58" s="56">
        <f t="shared" si="32"/>
        <v>2.0998819249058912E-4</v>
      </c>
      <c r="R58" s="9">
        <f t="shared" si="12"/>
        <v>3.9999999999999996E-5</v>
      </c>
      <c r="S58" s="9">
        <f t="shared" si="13"/>
        <v>4.5633619459636904E-7</v>
      </c>
      <c r="T58" s="9">
        <f t="shared" si="10"/>
        <v>3.7352891083730631E-5</v>
      </c>
      <c r="U58" s="9">
        <f t="shared" si="11"/>
        <v>3.9543663805403627E-5</v>
      </c>
      <c r="V58" s="100">
        <f t="shared" si="14"/>
        <v>0.94459864082261313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6.9959414880738915E-3</v>
      </c>
      <c r="J59" s="54">
        <f t="shared" si="25"/>
        <v>0.61123091181973244</v>
      </c>
      <c r="K59" s="55">
        <f t="shared" si="26"/>
        <v>0.97948633547176334</v>
      </c>
      <c r="L59" s="55">
        <f t="shared" si="27"/>
        <v>4.091713453923348E-3</v>
      </c>
      <c r="M59" s="55">
        <f t="shared" si="28"/>
        <v>0.99590828654607666</v>
      </c>
      <c r="N59" s="55">
        <f t="shared" si="29"/>
        <v>7.1266642729843127E-4</v>
      </c>
      <c r="O59" s="56">
        <f t="shared" si="30"/>
        <v>9.8099552618918129E-7</v>
      </c>
      <c r="P59" s="56">
        <f t="shared" si="31"/>
        <v>4.0077252300129732E-6</v>
      </c>
      <c r="Q59" s="56">
        <f t="shared" si="32"/>
        <v>6.9803793775648749E-5</v>
      </c>
      <c r="R59" s="9">
        <f t="shared" si="12"/>
        <v>3.9999999999999996E-5</v>
      </c>
      <c r="S59" s="9">
        <f t="shared" si="13"/>
        <v>1.636685381569339E-7</v>
      </c>
      <c r="T59" s="9">
        <f t="shared" si="10"/>
        <v>3.917945341887053E-5</v>
      </c>
      <c r="U59" s="9">
        <f t="shared" si="11"/>
        <v>3.9836331461843063E-5</v>
      </c>
      <c r="V59" s="100">
        <f t="shared" si="14"/>
        <v>0.98351057893968674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0.12885708410514962</v>
      </c>
      <c r="J60" s="54">
        <f t="shared" si="25"/>
        <v>1.8442960268411308</v>
      </c>
      <c r="K60" s="55">
        <f t="shared" si="26"/>
        <v>0.70543759131996508</v>
      </c>
      <c r="L60" s="55">
        <f t="shared" si="27"/>
        <v>5.040000088554334E-2</v>
      </c>
      <c r="M60" s="55">
        <f t="shared" si="28"/>
        <v>0.94959999911445669</v>
      </c>
      <c r="N60" s="55">
        <f t="shared" si="29"/>
        <v>1.7804693413384854E-2</v>
      </c>
      <c r="O60" s="56">
        <f t="shared" si="30"/>
        <v>7.0652452824392438E-7</v>
      </c>
      <c r="P60" s="56">
        <f t="shared" si="31"/>
        <v>4.9365469360517004E-5</v>
      </c>
      <c r="Q60" s="56">
        <f t="shared" si="32"/>
        <v>1.7439226820013044E-3</v>
      </c>
      <c r="R60" s="9">
        <f t="shared" si="12"/>
        <v>3.9999999999999996E-5</v>
      </c>
      <c r="S60" s="9">
        <f t="shared" si="13"/>
        <v>2.0160000354217335E-6</v>
      </c>
      <c r="T60" s="9">
        <f t="shared" si="10"/>
        <v>2.8217503652798599E-5</v>
      </c>
      <c r="U60" s="9">
        <f t="shared" si="11"/>
        <v>3.7983999964578262E-5</v>
      </c>
      <c r="V60" s="100">
        <f t="shared" si="14"/>
        <v>0.74287867731446533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0.54169315053805034</v>
      </c>
      <c r="J61" s="54">
        <f t="shared" si="25"/>
        <v>2.7251612045897451</v>
      </c>
      <c r="K61" s="55">
        <f t="shared" si="26"/>
        <v>0.248400084213627</v>
      </c>
      <c r="L61" s="55">
        <f t="shared" si="27"/>
        <v>0.1348928287139268</v>
      </c>
      <c r="M61" s="55">
        <f t="shared" si="28"/>
        <v>0.86510717128607317</v>
      </c>
      <c r="N61" s="55">
        <f t="shared" si="29"/>
        <v>7.2065539116855565E-2</v>
      </c>
      <c r="O61" s="56">
        <f t="shared" si="30"/>
        <v>2.4878281859972795E-7</v>
      </c>
      <c r="P61" s="56">
        <f t="shared" si="31"/>
        <v>1.3212396202042314E-4</v>
      </c>
      <c r="Q61" s="56">
        <f t="shared" si="32"/>
        <v>7.05862916808542E-3</v>
      </c>
      <c r="R61" s="9">
        <f t="shared" si="12"/>
        <v>3.9999999999999996E-5</v>
      </c>
      <c r="S61" s="9">
        <f t="shared" si="13"/>
        <v>5.3957131485570712E-6</v>
      </c>
      <c r="T61" s="9">
        <f t="shared" si="10"/>
        <v>9.9360033685450799E-6</v>
      </c>
      <c r="U61" s="9">
        <f t="shared" si="11"/>
        <v>3.4604286851442924E-5</v>
      </c>
      <c r="V61" s="100">
        <f t="shared" si="14"/>
        <v>0.2871321524758072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1.2755126419323455</v>
      </c>
      <c r="J62" s="54">
        <f t="shared" si="25"/>
        <v>3.6107629570381072</v>
      </c>
      <c r="K62" s="55">
        <f t="shared" si="26"/>
        <v>4.3400100742542067E-2</v>
      </c>
      <c r="L62" s="55">
        <f t="shared" si="27"/>
        <v>0.18110465499804737</v>
      </c>
      <c r="M62" s="55">
        <f t="shared" si="28"/>
        <v>0.8188953450019526</v>
      </c>
      <c r="N62" s="55">
        <f t="shared" si="29"/>
        <v>0.12588287085867947</v>
      </c>
      <c r="O62" s="56">
        <f t="shared" si="30"/>
        <v>4.3466971536756985E-8</v>
      </c>
      <c r="P62" s="56">
        <f t="shared" si="31"/>
        <v>1.77387225005338E-4</v>
      </c>
      <c r="Q62" s="56">
        <f t="shared" si="32"/>
        <v>1.2329894633336305E-2</v>
      </c>
      <c r="R62" s="9">
        <f t="shared" si="12"/>
        <v>3.9999999999999996E-5</v>
      </c>
      <c r="S62" s="9">
        <f t="shared" si="13"/>
        <v>7.2441861999218942E-6</v>
      </c>
      <c r="T62" s="9">
        <f t="shared" si="10"/>
        <v>1.7360040297016826E-6</v>
      </c>
      <c r="U62" s="9">
        <f t="shared" si="11"/>
        <v>3.2755813800078101E-5</v>
      </c>
      <c r="V62" s="100">
        <f t="shared" si="14"/>
        <v>5.2998348332824609E-2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2.3278344887119857</v>
      </c>
      <c r="J63" s="54">
        <f t="shared" si="25"/>
        <v>4.7120050175112098</v>
      </c>
      <c r="K63" s="55">
        <f t="shared" si="26"/>
        <v>3.7660906006840274E-3</v>
      </c>
      <c r="L63" s="55">
        <f t="shared" si="27"/>
        <v>0.19841372004743643</v>
      </c>
      <c r="M63" s="55">
        <f t="shared" si="28"/>
        <v>0.8015862799525636</v>
      </c>
      <c r="N63" s="55">
        <f t="shared" si="29"/>
        <v>0.16598416757642176</v>
      </c>
      <c r="O63" s="56">
        <f t="shared" si="30"/>
        <v>3.7718933860519016E-9</v>
      </c>
      <c r="P63" s="56">
        <f t="shared" si="31"/>
        <v>1.9434099693671722E-4</v>
      </c>
      <c r="Q63" s="56">
        <f t="shared" si="32"/>
        <v>1.6257710704078755E-2</v>
      </c>
      <c r="R63" s="9">
        <f t="shared" si="12"/>
        <v>3.9999999999999996E-5</v>
      </c>
      <c r="S63" s="9">
        <f t="shared" si="13"/>
        <v>7.9365488018974573E-6</v>
      </c>
      <c r="T63" s="9">
        <f t="shared" si="10"/>
        <v>1.5064362402736109E-7</v>
      </c>
      <c r="U63" s="9">
        <f t="shared" si="11"/>
        <v>3.2063451198102543E-5</v>
      </c>
      <c r="V63" s="100">
        <f t="shared" si="14"/>
        <v>4.6982972324662265E-3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1.6404345211947193</v>
      </c>
      <c r="J64" s="54">
        <f t="shared" si="25"/>
        <v>4.0002259467739458</v>
      </c>
      <c r="K64" s="55">
        <f t="shared" si="26"/>
        <v>1.8536181696365908E-2</v>
      </c>
      <c r="L64" s="55">
        <f t="shared" si="27"/>
        <v>0.18963659258968535</v>
      </c>
      <c r="M64" s="55">
        <f t="shared" si="28"/>
        <v>0.81036340741031465</v>
      </c>
      <c r="N64" s="55">
        <f t="shared" si="29"/>
        <v>0.1427894691544572</v>
      </c>
      <c r="O64" s="56">
        <f t="shared" si="30"/>
        <v>1.8564742210524641E-8</v>
      </c>
      <c r="P64" s="56">
        <f t="shared" si="31"/>
        <v>1.8574403247290807E-4</v>
      </c>
      <c r="Q64" s="56">
        <f t="shared" si="32"/>
        <v>1.3985851271226325E-2</v>
      </c>
      <c r="R64" s="9">
        <f t="shared" si="12"/>
        <v>3.9999999999999996E-5</v>
      </c>
      <c r="S64" s="9">
        <f t="shared" si="13"/>
        <v>7.5854637035874129E-6</v>
      </c>
      <c r="T64" s="9">
        <f t="shared" si="10"/>
        <v>7.4144726785463628E-7</v>
      </c>
      <c r="U64" s="9">
        <f t="shared" si="11"/>
        <v>3.2414536296412584E-5</v>
      </c>
      <c r="V64" s="100">
        <f t="shared" si="14"/>
        <v>2.2873912527222994E-2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1.3777282566754774</v>
      </c>
      <c r="J65" s="54">
        <f t="shared" si="25"/>
        <v>3.7212825462629815</v>
      </c>
      <c r="K65" s="55">
        <f t="shared" si="26"/>
        <v>3.4179004774776409E-2</v>
      </c>
      <c r="L65" s="55">
        <f t="shared" si="27"/>
        <v>0.18395766046002829</v>
      </c>
      <c r="M65" s="55">
        <f t="shared" si="28"/>
        <v>0.81604233953997174</v>
      </c>
      <c r="N65" s="55">
        <f t="shared" si="29"/>
        <v>0.13104948359500784</v>
      </c>
      <c r="O65" s="56">
        <f t="shared" si="30"/>
        <v>3.4231667721535985E-8</v>
      </c>
      <c r="P65" s="56">
        <f t="shared" si="31"/>
        <v>1.8018166848240565E-4</v>
      </c>
      <c r="Q65" s="56">
        <f t="shared" si="32"/>
        <v>1.2835950701295687E-2</v>
      </c>
      <c r="R65" s="9">
        <f t="shared" si="12"/>
        <v>3.9999999999999996E-5</v>
      </c>
      <c r="S65" s="9">
        <f t="shared" si="13"/>
        <v>7.3583064184011308E-6</v>
      </c>
      <c r="T65" s="9">
        <f t="shared" si="10"/>
        <v>1.3671601909910563E-6</v>
      </c>
      <c r="U65" s="9">
        <f t="shared" si="11"/>
        <v>3.2641693581598867E-5</v>
      </c>
      <c r="V65" s="100">
        <f t="shared" si="14"/>
        <v>4.1883862048192458E-2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1.6404345211947193</v>
      </c>
      <c r="J66" s="54">
        <f t="shared" si="25"/>
        <v>4.0002259467739458</v>
      </c>
      <c r="K66" s="55">
        <f t="shared" si="26"/>
        <v>1.8536181696365908E-2</v>
      </c>
      <c r="L66" s="55">
        <f t="shared" si="27"/>
        <v>0.18963659258968535</v>
      </c>
      <c r="M66" s="55">
        <f t="shared" si="28"/>
        <v>0.81036340741031465</v>
      </c>
      <c r="N66" s="55">
        <f t="shared" si="29"/>
        <v>0.1427894691544572</v>
      </c>
      <c r="O66" s="56">
        <f t="shared" si="30"/>
        <v>1.8564742210524641E-8</v>
      </c>
      <c r="P66" s="56">
        <f t="shared" si="31"/>
        <v>1.8574403247290807E-4</v>
      </c>
      <c r="Q66" s="56">
        <f t="shared" si="32"/>
        <v>1.3985851271226325E-2</v>
      </c>
      <c r="R66" s="9">
        <f t="shared" si="12"/>
        <v>3.9999999999999996E-5</v>
      </c>
      <c r="S66" s="9">
        <f t="shared" si="13"/>
        <v>7.5854637035874129E-6</v>
      </c>
      <c r="T66" s="9">
        <f t="shared" si="10"/>
        <v>7.4144726785463628E-7</v>
      </c>
      <c r="U66" s="9">
        <f t="shared" si="11"/>
        <v>3.2414536296412584E-5</v>
      </c>
      <c r="V66" s="100">
        <f t="shared" si="14"/>
        <v>2.2873912527222994E-2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-1.8635683569884906E-4</v>
      </c>
      <c r="J67" s="54">
        <f t="shared" si="25"/>
        <v>-3.553871287659581E-2</v>
      </c>
      <c r="K67" s="55">
        <f t="shared" si="26"/>
        <v>0.99896983941251971</v>
      </c>
      <c r="L67" s="55">
        <f t="shared" si="27"/>
        <v>9.412166086157183E-4</v>
      </c>
      <c r="M67" s="55">
        <f t="shared" si="28"/>
        <v>0.99905878339138432</v>
      </c>
      <c r="N67" s="55">
        <f t="shared" si="29"/>
        <v>3.0388447315519774E-7</v>
      </c>
      <c r="O67" s="56">
        <f t="shared" si="30"/>
        <v>1.0005090502764425E-6</v>
      </c>
      <c r="P67" s="56">
        <f t="shared" si="31"/>
        <v>9.2189680233828173E-7</v>
      </c>
      <c r="Q67" s="56">
        <f t="shared" si="32"/>
        <v>2.9764681319644065E-8</v>
      </c>
      <c r="R67" s="9">
        <f t="shared" si="12"/>
        <v>3.9999999999999996E-5</v>
      </c>
      <c r="S67" s="9">
        <f t="shared" si="13"/>
        <v>3.7648664344628729E-8</v>
      </c>
      <c r="T67" s="9">
        <f t="shared" si="10"/>
        <v>3.9958793576500783E-5</v>
      </c>
      <c r="U67" s="9">
        <f t="shared" si="11"/>
        <v>3.9962351335655367E-5</v>
      </c>
      <c r="V67" s="100">
        <f t="shared" si="14"/>
        <v>0.99991097222671654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1.7268855172909561</v>
      </c>
      <c r="J68" s="54">
        <f t="shared" si="25"/>
        <v>4.0594690780898786</v>
      </c>
      <c r="K68" s="55">
        <f t="shared" si="26"/>
        <v>1.536737224016313E-2</v>
      </c>
      <c r="L68" s="55">
        <f t="shared" si="27"/>
        <v>0.18019577663716155</v>
      </c>
      <c r="M68" s="55">
        <f t="shared" si="28"/>
        <v>0.81980422336283842</v>
      </c>
      <c r="N68" s="55">
        <f t="shared" si="29"/>
        <v>0.10761121374841377</v>
      </c>
      <c r="O68" s="56">
        <f t="shared" si="30"/>
        <v>1.5391050258626543E-8</v>
      </c>
      <c r="P68" s="56">
        <f t="shared" si="31"/>
        <v>1.7649700266231391E-4</v>
      </c>
      <c r="Q68" s="56">
        <f t="shared" si="32"/>
        <v>1.0540234090886951E-2</v>
      </c>
      <c r="R68" s="9">
        <f t="shared" si="12"/>
        <v>3.9999999999999996E-5</v>
      </c>
      <c r="S68" s="9">
        <f t="shared" si="13"/>
        <v>7.2078310654864614E-6</v>
      </c>
      <c r="T68" s="9">
        <f t="shared" si="10"/>
        <v>6.1469488960652515E-7</v>
      </c>
      <c r="U68" s="9">
        <f t="shared" si="11"/>
        <v>3.2792168934513534E-5</v>
      </c>
      <c r="V68" s="100">
        <f t="shared" si="14"/>
        <v>1.8745173301408648E-2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5.7919228101834593E-2</v>
      </c>
      <c r="J69" s="54">
        <f t="shared" si="25"/>
        <v>1.4575688941116358</v>
      </c>
      <c r="K69" s="55">
        <f t="shared" si="26"/>
        <v>0.85281775761924994</v>
      </c>
      <c r="L69" s="55">
        <f t="shared" si="27"/>
        <v>2.5009271860218948E-2</v>
      </c>
      <c r="M69" s="55">
        <f t="shared" si="28"/>
        <v>0.97499072813978105</v>
      </c>
      <c r="N69" s="55">
        <f t="shared" si="29"/>
        <v>6.887032555735504E-3</v>
      </c>
      <c r="O69" s="56">
        <f t="shared" si="30"/>
        <v>8.5413177762834828E-7</v>
      </c>
      <c r="P69" s="56">
        <f t="shared" si="31"/>
        <v>2.4495921072465848E-5</v>
      </c>
      <c r="Q69" s="56">
        <f t="shared" si="32"/>
        <v>6.7456664412988889E-4</v>
      </c>
      <c r="R69" s="9">
        <f t="shared" si="12"/>
        <v>3.9999999999999996E-5</v>
      </c>
      <c r="S69" s="9">
        <f t="shared" si="13"/>
        <v>1.0003708744087578E-6</v>
      </c>
      <c r="T69" s="9">
        <f t="shared" si="10"/>
        <v>3.4112710304769993E-5</v>
      </c>
      <c r="U69" s="9">
        <f t="shared" si="11"/>
        <v>3.899962912559124E-5</v>
      </c>
      <c r="V69" s="100">
        <f t="shared" si="14"/>
        <v>0.87469319759211539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0.45156382049297444</v>
      </c>
      <c r="J70" s="54">
        <f t="shared" si="25"/>
        <v>2.588750951841865</v>
      </c>
      <c r="K70" s="55">
        <f t="shared" si="26"/>
        <v>0.30991574627830176</v>
      </c>
      <c r="L70" s="55">
        <f t="shared" si="27"/>
        <v>0.12293357545301205</v>
      </c>
      <c r="M70" s="55">
        <f t="shared" si="28"/>
        <v>0.87706642454698791</v>
      </c>
      <c r="N70" s="55">
        <f t="shared" si="29"/>
        <v>6.268138170238563E-2</v>
      </c>
      <c r="O70" s="56">
        <f t="shared" si="30"/>
        <v>3.1039326388168892E-7</v>
      </c>
      <c r="P70" s="56">
        <f t="shared" si="31"/>
        <v>1.2041018940031806E-4</v>
      </c>
      <c r="Q70" s="56">
        <f t="shared" si="32"/>
        <v>6.1394757411433925E-3</v>
      </c>
      <c r="R70" s="9">
        <f t="shared" si="12"/>
        <v>3.9999999999999996E-5</v>
      </c>
      <c r="S70" s="9">
        <f t="shared" si="13"/>
        <v>4.9173430181204814E-6</v>
      </c>
      <c r="T70" s="9">
        <f t="shared" si="10"/>
        <v>1.239662985113207E-5</v>
      </c>
      <c r="U70" s="9">
        <f t="shared" si="11"/>
        <v>3.508265698187951E-5</v>
      </c>
      <c r="V70" s="100">
        <f t="shared" si="14"/>
        <v>0.35335493139915353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2.9114243406645763</v>
      </c>
      <c r="J71" s="54">
        <f t="shared" ref="J71:J122" si="34">IF(D71=0,"",LOG($K$21*10^D71+$K$22*10^E71+$K$20))</f>
        <v>5.2541395657856595</v>
      </c>
      <c r="K71" s="55">
        <f t="shared" ref="K71:K122" si="35">IF(D71=0,"",1/(1+10^D71*$J$15/$J$14+10^E71*$J$16/$J$14+10^J71*$J$19/$J$14))</f>
        <v>1.0005010747344367E-3</v>
      </c>
      <c r="L71" s="55">
        <f t="shared" ref="L71:L122" si="36">IF(D71=0,"",1/(1+10^I71/10^J71*$J$13/$J$19))</f>
        <v>0.18366780842479177</v>
      </c>
      <c r="M71" s="55">
        <f t="shared" si="19"/>
        <v>0.8163321915752082</v>
      </c>
      <c r="N71" s="55">
        <f t="shared" ref="N71:N122" si="37">IF(D71=0,"",1/(1/10^E71*$J$20/$J$22+10^D71/10^E71*$J$21/$J$22+10^I71/10^E71*$J$13/$J$22+1))</f>
        <v>0.11221049497874321</v>
      </c>
      <c r="O71" s="56">
        <f t="shared" si="21"/>
        <v>1.0020426449228853E-9</v>
      </c>
      <c r="P71" s="56">
        <f t="shared" ref="P71:P122" si="38">IF(D71=0,"",O71*10^J71)</f>
        <v>1.7989776607143065E-4</v>
      </c>
      <c r="Q71" s="56">
        <f t="shared" ref="Q71:Q122" si="39">IF(D71=0,"",F71*N71*$J$7/$J$22)</f>
        <v>1.0990721536654743E-2</v>
      </c>
      <c r="R71" s="9">
        <f t="shared" si="12"/>
        <v>3.9999999999999996E-5</v>
      </c>
      <c r="S71" s="9">
        <f t="shared" si="13"/>
        <v>7.3467123369916699E-6</v>
      </c>
      <c r="T71" s="9">
        <f t="shared" si="10"/>
        <v>4.0020042989377467E-8</v>
      </c>
      <c r="U71" s="9">
        <f t="shared" si="11"/>
        <v>3.2653287663008323E-5</v>
      </c>
      <c r="V71" s="100">
        <f t="shared" si="14"/>
        <v>1.2256053173694561E-3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2.4659786116205753</v>
      </c>
      <c r="J72" s="54">
        <f t="shared" si="34"/>
        <v>4.7956325345638788</v>
      </c>
      <c r="K72" s="55">
        <f t="shared" si="35"/>
        <v>2.805646608688657E-3</v>
      </c>
      <c r="L72" s="55">
        <f t="shared" si="36"/>
        <v>0.17920140931884185</v>
      </c>
      <c r="M72" s="55">
        <f t="shared" si="19"/>
        <v>0.82079859068115812</v>
      </c>
      <c r="N72" s="55">
        <f t="shared" si="37"/>
        <v>9.7341690957559776E-2</v>
      </c>
      <c r="O72" s="56">
        <f t="shared" si="21"/>
        <v>2.8099695437463969E-9</v>
      </c>
      <c r="P72" s="56">
        <f t="shared" si="38"/>
        <v>1.755230461439979E-4</v>
      </c>
      <c r="Q72" s="56">
        <f t="shared" si="39"/>
        <v>9.5343614643560084E-3</v>
      </c>
      <c r="R72" s="9">
        <f t="shared" si="12"/>
        <v>3.9999999999999996E-5</v>
      </c>
      <c r="S72" s="9">
        <f t="shared" si="13"/>
        <v>7.1680563727536736E-6</v>
      </c>
      <c r="T72" s="9">
        <f t="shared" si="10"/>
        <v>1.1222586434754627E-7</v>
      </c>
      <c r="U72" s="9">
        <f t="shared" si="11"/>
        <v>3.283194362724632E-5</v>
      </c>
      <c r="V72" s="100">
        <f t="shared" si="14"/>
        <v>3.4181913084918047E-3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2.4593424067669152</v>
      </c>
      <c r="J73" s="54">
        <f t="shared" si="34"/>
        <v>4.7972521440478495</v>
      </c>
      <c r="K73" s="55">
        <f t="shared" si="35"/>
        <v>2.8390832658756501E-3</v>
      </c>
      <c r="L73" s="55">
        <f t="shared" si="36"/>
        <v>0.18201458615682603</v>
      </c>
      <c r="M73" s="55">
        <f t="shared" si="19"/>
        <v>0.81798541384317391</v>
      </c>
      <c r="N73" s="55">
        <f t="shared" si="37"/>
        <v>0.10733517001086569</v>
      </c>
      <c r="O73" s="56">
        <f t="shared" si="21"/>
        <v>2.8434577200723723E-9</v>
      </c>
      <c r="P73" s="56">
        <f t="shared" si="38"/>
        <v>1.7827847853608449E-4</v>
      </c>
      <c r="Q73" s="56">
        <f t="shared" si="39"/>
        <v>1.0513196336068179E-2</v>
      </c>
      <c r="R73" s="9">
        <f t="shared" si="12"/>
        <v>3.9999999999999996E-5</v>
      </c>
      <c r="S73" s="9">
        <f t="shared" si="13"/>
        <v>7.2805834462730407E-6</v>
      </c>
      <c r="T73" s="9">
        <f t="shared" si="10"/>
        <v>1.1356333063502599E-7</v>
      </c>
      <c r="U73" s="9">
        <f t="shared" si="11"/>
        <v>3.2719416553726953E-5</v>
      </c>
      <c r="V73" s="100">
        <f t="shared" si="14"/>
        <v>3.4708238286752209E-3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0.12015758400049081</v>
      </c>
      <c r="J74" s="54">
        <f t="shared" si="34"/>
        <v>1.798585736505889</v>
      </c>
      <c r="K74" s="55">
        <f t="shared" si="35"/>
        <v>0.72268636583426826</v>
      </c>
      <c r="L74" s="55">
        <f t="shared" si="36"/>
        <v>4.6474156545243943E-2</v>
      </c>
      <c r="M74" s="55">
        <f t="shared" si="19"/>
        <v>0.95352584345475611</v>
      </c>
      <c r="N74" s="55">
        <f t="shared" si="37"/>
        <v>1.3143280604774892E-2</v>
      </c>
      <c r="O74" s="56">
        <f t="shared" si="21"/>
        <v>7.2379987963780326E-7</v>
      </c>
      <c r="P74" s="56">
        <f t="shared" si="38"/>
        <v>4.5520208545237961E-5</v>
      </c>
      <c r="Q74" s="56">
        <f t="shared" si="39"/>
        <v>1.2873496122850266E-3</v>
      </c>
      <c r="R74" s="9">
        <f t="shared" si="12"/>
        <v>3.9999999999999996E-5</v>
      </c>
      <c r="S74" s="9">
        <f t="shared" si="13"/>
        <v>1.8589662618097576E-6</v>
      </c>
      <c r="T74" s="9">
        <f t="shared" si="10"/>
        <v>2.8907454633370728E-5</v>
      </c>
      <c r="U74" s="9">
        <f t="shared" si="11"/>
        <v>3.814103373819024E-5</v>
      </c>
      <c r="V74" s="100">
        <f t="shared" si="14"/>
        <v>0.75790957402462789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1.0613094291357716</v>
      </c>
      <c r="J75" s="54">
        <f t="shared" si="34"/>
        <v>3.3735221225182275</v>
      </c>
      <c r="K75" s="55">
        <f t="shared" si="35"/>
        <v>7.1742510755357355E-2</v>
      </c>
      <c r="L75" s="55">
        <f t="shared" si="36"/>
        <v>0.17337026485435197</v>
      </c>
      <c r="M75" s="55">
        <f t="shared" si="19"/>
        <v>0.82662973514564797</v>
      </c>
      <c r="N75" s="55">
        <f t="shared" si="37"/>
        <v>0.11367173078049143</v>
      </c>
      <c r="O75" s="56">
        <f t="shared" si="21"/>
        <v>7.1853051482017004E-8</v>
      </c>
      <c r="P75" s="56">
        <f t="shared" si="38"/>
        <v>1.698115941927918E-4</v>
      </c>
      <c r="Q75" s="56">
        <f t="shared" si="39"/>
        <v>1.1133845723028286E-2</v>
      </c>
      <c r="R75" s="9">
        <f t="shared" si="12"/>
        <v>3.9999999999999996E-5</v>
      </c>
      <c r="S75" s="9">
        <f t="shared" si="13"/>
        <v>6.9348105941740782E-6</v>
      </c>
      <c r="T75" s="9">
        <f t="shared" si="10"/>
        <v>2.8697004302142941E-6</v>
      </c>
      <c r="U75" s="9">
        <f t="shared" si="11"/>
        <v>3.3065189405825919E-5</v>
      </c>
      <c r="V75" s="100">
        <f t="shared" si="14"/>
        <v>8.6789172594567615E-2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1.080392983851221</v>
      </c>
      <c r="J76" s="54">
        <f t="shared" si="34"/>
        <v>3.3743997874095357</v>
      </c>
      <c r="K76" s="55">
        <f t="shared" si="35"/>
        <v>6.9150477984188011E-2</v>
      </c>
      <c r="L76" s="55">
        <f t="shared" si="36"/>
        <v>0.16744450210833181</v>
      </c>
      <c r="M76" s="55">
        <f t="shared" si="19"/>
        <v>0.83255549789166816</v>
      </c>
      <c r="N76" s="55">
        <f t="shared" si="37"/>
        <v>9.1267489604003632E-2</v>
      </c>
      <c r="O76" s="56">
        <f t="shared" si="21"/>
        <v>6.9257024911592042E-8</v>
      </c>
      <c r="P76" s="56">
        <f t="shared" si="38"/>
        <v>1.6400746613452698E-4</v>
      </c>
      <c r="Q76" s="56">
        <f t="shared" si="39"/>
        <v>8.9394094890781709E-3</v>
      </c>
      <c r="R76" s="9">
        <f t="shared" si="12"/>
        <v>3.9999999999999996E-5</v>
      </c>
      <c r="S76" s="9">
        <f t="shared" si="13"/>
        <v>6.6977800843332717E-6</v>
      </c>
      <c r="T76" s="9">
        <f t="shared" si="10"/>
        <v>2.7660191193675203E-6</v>
      </c>
      <c r="U76" s="9">
        <f t="shared" si="11"/>
        <v>3.3302219915666726E-5</v>
      </c>
      <c r="V76" s="100">
        <f t="shared" si="14"/>
        <v>8.3058100221909584E-2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0.16668848098518507</v>
      </c>
      <c r="J77" s="54">
        <f t="shared" si="34"/>
        <v>1.9813184321206099</v>
      </c>
      <c r="K77" s="55">
        <f t="shared" si="35"/>
        <v>0.63833258428465867</v>
      </c>
      <c r="L77" s="55">
        <f t="shared" si="36"/>
        <v>6.252322406642509E-2</v>
      </c>
      <c r="M77" s="55">
        <f t="shared" si="19"/>
        <v>0.93747677593357492</v>
      </c>
      <c r="N77" s="55">
        <f t="shared" si="37"/>
        <v>2.4769767640633357E-2</v>
      </c>
      <c r="O77" s="56">
        <f t="shared" si="21"/>
        <v>6.3931612593903407E-7</v>
      </c>
      <c r="P77" s="56">
        <f t="shared" si="38"/>
        <v>6.1239846185343435E-5</v>
      </c>
      <c r="Q77" s="56">
        <f t="shared" si="39"/>
        <v>2.4261333016792645E-3</v>
      </c>
      <c r="R77" s="9">
        <f t="shared" si="12"/>
        <v>3.9999999999999996E-5</v>
      </c>
      <c r="S77" s="9">
        <f t="shared" si="13"/>
        <v>2.5009289626570035E-6</v>
      </c>
      <c r="T77" s="9">
        <f t="shared" si="10"/>
        <v>2.5533303371386346E-5</v>
      </c>
      <c r="U77" s="9">
        <f t="shared" si="11"/>
        <v>3.7499071037342995E-5</v>
      </c>
      <c r="V77" s="100">
        <f t="shared" si="14"/>
        <v>0.6809049575110625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0.26960058474961784</v>
      </c>
      <c r="J78" s="54">
        <f t="shared" si="34"/>
        <v>2.2611102115309216</v>
      </c>
      <c r="K78" s="55">
        <f t="shared" si="35"/>
        <v>0.48830851694055571</v>
      </c>
      <c r="L78" s="55">
        <f t="shared" si="36"/>
        <v>9.1092040245619982E-2</v>
      </c>
      <c r="M78" s="55">
        <f t="shared" si="19"/>
        <v>0.90890795975437999</v>
      </c>
      <c r="N78" s="55">
        <f t="shared" si="37"/>
        <v>4.5537608373976447E-2</v>
      </c>
      <c r="O78" s="56">
        <f t="shared" si="21"/>
        <v>4.8906090179199725E-7</v>
      </c>
      <c r="P78" s="56">
        <f t="shared" si="38"/>
        <v>8.9222246879404175E-5</v>
      </c>
      <c r="Q78" s="56">
        <f t="shared" si="39"/>
        <v>4.4602884353947799E-3</v>
      </c>
      <c r="R78" s="9">
        <f t="shared" si="12"/>
        <v>3.9999999999999996E-5</v>
      </c>
      <c r="S78" s="9">
        <f t="shared" si="13"/>
        <v>3.6436816098247988E-6</v>
      </c>
      <c r="T78" s="9">
        <f t="shared" si="10"/>
        <v>1.9532340677622226E-5</v>
      </c>
      <c r="U78" s="9">
        <f t="shared" si="11"/>
        <v>3.6356318390175196E-5</v>
      </c>
      <c r="V78" s="100">
        <f t="shared" si="14"/>
        <v>0.53724748661296184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2.306689397381505</v>
      </c>
      <c r="K79" s="55">
        <f t="shared" si="35"/>
        <v>0.44470383308914402</v>
      </c>
      <c r="L79" s="55">
        <f t="shared" si="36"/>
        <v>9.2137450065566256E-2</v>
      </c>
      <c r="M79" s="55">
        <f t="shared" si="19"/>
        <v>0.90786254993443372</v>
      </c>
      <c r="N79" s="55">
        <f t="shared" si="37"/>
        <v>2.5836387612484548E-2</v>
      </c>
      <c r="O79" s="56">
        <f t="shared" si="21"/>
        <v>4.4538903192509833E-7</v>
      </c>
      <c r="P79" s="56">
        <f t="shared" si="38"/>
        <v>9.0246198179582475E-5</v>
      </c>
      <c r="Q79" s="56">
        <f t="shared" si="39"/>
        <v>2.5306059100415365E-3</v>
      </c>
      <c r="R79" s="9">
        <f t="shared" si="12"/>
        <v>3.9999999999999996E-5</v>
      </c>
      <c r="S79" s="9">
        <f t="shared" si="13"/>
        <v>3.68549800262265E-6</v>
      </c>
      <c r="T79" s="9">
        <f t="shared" si="10"/>
        <v>1.7788153323565761E-5</v>
      </c>
      <c r="U79" s="9">
        <f t="shared" si="11"/>
        <v>3.6314501997377347E-5</v>
      </c>
      <c r="V79" s="100">
        <f t="shared" si="14"/>
        <v>0.48983608049617283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2.3937036559113518</v>
      </c>
      <c r="K80" s="55">
        <f t="shared" si="35"/>
        <v>0.39482693413671588</v>
      </c>
      <c r="L80" s="55">
        <f t="shared" si="36"/>
        <v>9.9950816462023986E-2</v>
      </c>
      <c r="M80" s="55">
        <f t="shared" si="19"/>
        <v>0.90004918353797603</v>
      </c>
      <c r="N80" s="55">
        <f t="shared" si="37"/>
        <v>2.6767245993587079E-2</v>
      </c>
      <c r="O80" s="56">
        <f t="shared" si="21"/>
        <v>3.9543528273986283E-7</v>
      </c>
      <c r="P80" s="56">
        <f t="shared" si="38"/>
        <v>9.7899184145252655E-5</v>
      </c>
      <c r="Q80" s="56">
        <f t="shared" si="39"/>
        <v>2.6217810292556284E-3</v>
      </c>
      <c r="R80" s="9">
        <f t="shared" si="12"/>
        <v>3.9999999999999996E-5</v>
      </c>
      <c r="S80" s="9">
        <f t="shared" si="13"/>
        <v>3.998032658480959E-6</v>
      </c>
      <c r="T80" s="9">
        <f t="shared" si="10"/>
        <v>1.5793077365468635E-5</v>
      </c>
      <c r="U80" s="9">
        <f t="shared" si="11"/>
        <v>3.6001967341519037E-5</v>
      </c>
      <c r="V80" s="100">
        <f t="shared" si="14"/>
        <v>0.43867262073912744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1.4796577057346774</v>
      </c>
      <c r="J81" s="54">
        <f t="shared" si="34"/>
        <v>3.8177678868718958</v>
      </c>
      <c r="K81" s="55">
        <f t="shared" si="35"/>
        <v>2.7091081345931474E-2</v>
      </c>
      <c r="L81" s="55">
        <f t="shared" si="36"/>
        <v>0.18208331260903304</v>
      </c>
      <c r="M81" s="55">
        <f t="shared" si="19"/>
        <v>0.8179166873909669</v>
      </c>
      <c r="N81" s="55">
        <f t="shared" si="37"/>
        <v>0.12059804260897342</v>
      </c>
      <c r="O81" s="56">
        <f t="shared" si="21"/>
        <v>2.7132823233501965E-8</v>
      </c>
      <c r="P81" s="56">
        <f t="shared" si="38"/>
        <v>1.7834579428035186E-4</v>
      </c>
      <c r="Q81" s="56">
        <f t="shared" si="39"/>
        <v>1.1812259668152622E-2</v>
      </c>
      <c r="R81" s="9">
        <f t="shared" si="12"/>
        <v>3.9999999999999996E-5</v>
      </c>
      <c r="S81" s="9">
        <f t="shared" si="13"/>
        <v>7.2833325043613209E-6</v>
      </c>
      <c r="T81" s="9">
        <f t="shared" si="10"/>
        <v>1.0836432538372588E-6</v>
      </c>
      <c r="U81" s="9">
        <f t="shared" si="11"/>
        <v>3.2716667495638674E-5</v>
      </c>
      <c r="V81" s="100">
        <f t="shared" si="14"/>
        <v>3.3122054805298097E-2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3.5592350116770111</v>
      </c>
      <c r="K82" s="55">
        <f t="shared" si="35"/>
        <v>4.6525877334498623E-2</v>
      </c>
      <c r="L82" s="55">
        <f t="shared" si="36"/>
        <v>0.17242709112464813</v>
      </c>
      <c r="M82" s="55">
        <f t="shared" si="19"/>
        <v>0.82757290887535184</v>
      </c>
      <c r="N82" s="55">
        <f t="shared" si="37"/>
        <v>9.6790222890172861E-2</v>
      </c>
      <c r="O82" s="56">
        <f t="shared" si="21"/>
        <v>4.6597564319451956E-8</v>
      </c>
      <c r="P82" s="56">
        <f t="shared" si="38"/>
        <v>1.6888778044205245E-4</v>
      </c>
      <c r="Q82" s="56">
        <f t="shared" si="39"/>
        <v>9.480346624067184E-3</v>
      </c>
      <c r="R82" s="9">
        <f t="shared" si="12"/>
        <v>3.9999999999999996E-5</v>
      </c>
      <c r="S82" s="9">
        <f t="shared" si="13"/>
        <v>6.8970836449859243E-6</v>
      </c>
      <c r="T82" s="9">
        <f t="shared" si="10"/>
        <v>1.8610350933799449E-6</v>
      </c>
      <c r="U82" s="9">
        <f t="shared" si="11"/>
        <v>3.3102916355014068E-5</v>
      </c>
      <c r="V82" s="100">
        <f t="shared" si="14"/>
        <v>5.6219671808404134E-2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0.14841008082679896</v>
      </c>
      <c r="J83" s="54">
        <f t="shared" si="34"/>
        <v>1.9227193878324027</v>
      </c>
      <c r="K83" s="55">
        <f t="shared" si="35"/>
        <v>0.66948307414187946</v>
      </c>
      <c r="L83" s="55">
        <f t="shared" si="36"/>
        <v>5.72973990510613E-2</v>
      </c>
      <c r="M83" s="55">
        <f t="shared" si="19"/>
        <v>0.94270260094893865</v>
      </c>
      <c r="N83" s="55">
        <f t="shared" si="37"/>
        <v>2.29614611184129E-2</v>
      </c>
      <c r="O83" s="56">
        <f t="shared" si="21"/>
        <v>6.7051461241288223E-7</v>
      </c>
      <c r="P83" s="56">
        <f t="shared" si="38"/>
        <v>5.612128864275097E-5</v>
      </c>
      <c r="Q83" s="56">
        <f t="shared" si="39"/>
        <v>2.2490144551541992E-3</v>
      </c>
      <c r="R83" s="9">
        <f t="shared" si="12"/>
        <v>3.9999999999999996E-5</v>
      </c>
      <c r="S83" s="9">
        <f t="shared" si="13"/>
        <v>2.2918959620424516E-6</v>
      </c>
      <c r="T83" s="9">
        <f t="shared" si="10"/>
        <v>2.6779322965675175E-5</v>
      </c>
      <c r="U83" s="9">
        <f t="shared" si="11"/>
        <v>3.7708104037957542E-5</v>
      </c>
      <c r="V83" s="100">
        <f t="shared" si="14"/>
        <v>0.71017420920231655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3.6364038333307582</v>
      </c>
      <c r="K84" s="55">
        <f t="shared" si="35"/>
        <v>3.7617692359826378E-2</v>
      </c>
      <c r="L84" s="55">
        <f t="shared" si="36"/>
        <v>0.16652210892677946</v>
      </c>
      <c r="M84" s="55">
        <f t="shared" si="19"/>
        <v>0.83347789107322057</v>
      </c>
      <c r="N84" s="55">
        <f t="shared" si="37"/>
        <v>7.1068977819981852E-2</v>
      </c>
      <c r="O84" s="56">
        <f t="shared" si="21"/>
        <v>3.7675653629998461E-8</v>
      </c>
      <c r="P84" s="56">
        <f t="shared" si="38"/>
        <v>1.6310400638170521E-4</v>
      </c>
      <c r="Q84" s="56">
        <f t="shared" si="39"/>
        <v>6.9610186218506719E-3</v>
      </c>
      <c r="R84" s="9">
        <f t="shared" si="12"/>
        <v>3.9999999999999996E-5</v>
      </c>
      <c r="S84" s="9">
        <f t="shared" si="13"/>
        <v>6.6608843570711778E-6</v>
      </c>
      <c r="T84" s="9">
        <f t="shared" si="10"/>
        <v>1.504707694393055E-6</v>
      </c>
      <c r="U84" s="9">
        <f t="shared" si="11"/>
        <v>3.333911564292882E-5</v>
      </c>
      <c r="V84" s="100">
        <f t="shared" si="14"/>
        <v>4.5133401572761918E-2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0.12747825886296771</v>
      </c>
      <c r="J85" s="54">
        <f t="shared" si="34"/>
        <v>1.8444393952218296</v>
      </c>
      <c r="K85" s="55">
        <f t="shared" si="35"/>
        <v>0.70755560800662065</v>
      </c>
      <c r="L85" s="55">
        <f t="shared" si="36"/>
        <v>5.0568013275336686E-2</v>
      </c>
      <c r="M85" s="55">
        <f t="shared" si="19"/>
        <v>0.94943198672466333</v>
      </c>
      <c r="N85" s="55">
        <f t="shared" si="37"/>
        <v>1.9537477735326585E-2</v>
      </c>
      <c r="O85" s="56">
        <f t="shared" si="21"/>
        <v>7.0864580836673734E-7</v>
      </c>
      <c r="P85" s="56">
        <f t="shared" si="38"/>
        <v>4.9530033057636105E-5</v>
      </c>
      <c r="Q85" s="56">
        <f t="shared" si="39"/>
        <v>1.9136443285295585E-3</v>
      </c>
      <c r="R85" s="9">
        <f t="shared" si="12"/>
        <v>3.9999999999999996E-5</v>
      </c>
      <c r="S85" s="9">
        <f t="shared" si="13"/>
        <v>2.0227205310134672E-6</v>
      </c>
      <c r="T85" s="9">
        <f t="shared" si="10"/>
        <v>2.8302224320264825E-5</v>
      </c>
      <c r="U85" s="9">
        <f t="shared" si="11"/>
        <v>3.7977279468986533E-5</v>
      </c>
      <c r="V85" s="100">
        <f t="shared" si="14"/>
        <v>0.74524096291250486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2.8994221028694125</v>
      </c>
      <c r="K86" s="55">
        <f t="shared" si="35"/>
        <v>0.16724572166935969</v>
      </c>
      <c r="L86" s="55">
        <f t="shared" si="36"/>
        <v>0.13566038284435283</v>
      </c>
      <c r="M86" s="55">
        <f t="shared" si="19"/>
        <v>0.86433961715564722</v>
      </c>
      <c r="N86" s="55">
        <f t="shared" si="37"/>
        <v>3.1221296629363324E-2</v>
      </c>
      <c r="O86" s="56">
        <f t="shared" si="21"/>
        <v>1.675034135651325E-7</v>
      </c>
      <c r="P86" s="56">
        <f t="shared" si="38"/>
        <v>1.3287576101332659E-4</v>
      </c>
      <c r="Q86" s="56">
        <f t="shared" si="39"/>
        <v>3.0580435219685446E-3</v>
      </c>
      <c r="R86" s="9">
        <f t="shared" si="12"/>
        <v>3.9999999999999996E-5</v>
      </c>
      <c r="S86" s="9">
        <f t="shared" si="13"/>
        <v>5.4264153137741129E-6</v>
      </c>
      <c r="T86" s="9">
        <f t="shared" si="10"/>
        <v>6.6898288667743874E-6</v>
      </c>
      <c r="U86" s="9">
        <f t="shared" si="11"/>
        <v>3.4573584686225884E-5</v>
      </c>
      <c r="V86" s="100">
        <f t="shared" si="14"/>
        <v>0.19349537884162804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1.6088897864595915</v>
      </c>
      <c r="K87" s="55">
        <f t="shared" si="35"/>
        <v>0.80362949231668768</v>
      </c>
      <c r="L87" s="55">
        <f t="shared" si="36"/>
        <v>3.3390396145867356E-2</v>
      </c>
      <c r="M87" s="55">
        <f t="shared" si="19"/>
        <v>0.96660960385413264</v>
      </c>
      <c r="N87" s="55">
        <f t="shared" si="37"/>
        <v>1.0200839569369671E-2</v>
      </c>
      <c r="O87" s="56">
        <f t="shared" si="21"/>
        <v>8.0486772313842099E-7</v>
      </c>
      <c r="P87" s="56">
        <f t="shared" si="38"/>
        <v>3.2705010891123723E-5</v>
      </c>
      <c r="Q87" s="56">
        <f t="shared" si="39"/>
        <v>9.9914528643929232E-4</v>
      </c>
      <c r="R87" s="9">
        <f t="shared" si="12"/>
        <v>3.9999999999999996E-5</v>
      </c>
      <c r="S87" s="9">
        <f t="shared" si="13"/>
        <v>1.3356158458346942E-6</v>
      </c>
      <c r="T87" s="9">
        <f t="shared" si="10"/>
        <v>3.2145179692667502E-5</v>
      </c>
      <c r="U87" s="9">
        <f t="shared" si="11"/>
        <v>3.86643841541653E-5</v>
      </c>
      <c r="V87" s="100">
        <f t="shared" si="14"/>
        <v>0.83138993148050733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0.91690756788413585</v>
      </c>
      <c r="K88" s="55">
        <f t="shared" si="35"/>
        <v>0.95238405305583496</v>
      </c>
      <c r="L88" s="55">
        <f t="shared" si="36"/>
        <v>8.0425839227684388E-3</v>
      </c>
      <c r="M88" s="55">
        <f t="shared" si="19"/>
        <v>0.99195741607723154</v>
      </c>
      <c r="N88" s="55">
        <f t="shared" si="37"/>
        <v>1.7317613133028691E-4</v>
      </c>
      <c r="O88" s="56">
        <f t="shared" si="21"/>
        <v>9.5385148462709477E-7</v>
      </c>
      <c r="P88" s="56">
        <f t="shared" si="38"/>
        <v>7.8774984770425726E-6</v>
      </c>
      <c r="Q88" s="56">
        <f t="shared" si="39"/>
        <v>1.6962144553474213E-5</v>
      </c>
      <c r="R88" s="9">
        <f t="shared" si="12"/>
        <v>3.9999999999999996E-5</v>
      </c>
      <c r="S88" s="9">
        <f t="shared" si="13"/>
        <v>3.2170335691073753E-7</v>
      </c>
      <c r="T88" s="9">
        <f t="shared" si="10"/>
        <v>3.8095362122233397E-5</v>
      </c>
      <c r="U88" s="9">
        <f t="shared" si="11"/>
        <v>3.9678296643089258E-5</v>
      </c>
      <c r="V88" s="100">
        <f t="shared" si="14"/>
        <v>0.96010578440162042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0.42189369931502119</v>
      </c>
      <c r="K89" s="55">
        <f t="shared" si="35"/>
        <v>0.98794558502410124</v>
      </c>
      <c r="L89" s="55">
        <f t="shared" si="36"/>
        <v>2.6687177409545253E-3</v>
      </c>
      <c r="M89" s="55">
        <f t="shared" si="19"/>
        <v>0.99733128225904544</v>
      </c>
      <c r="N89" s="55">
        <f t="shared" si="37"/>
        <v>2.0788939309997889E-4</v>
      </c>
      <c r="O89" s="56">
        <f t="shared" si="21"/>
        <v>9.8946780973743983E-7</v>
      </c>
      <c r="P89" s="56">
        <f t="shared" si="38"/>
        <v>2.6139385229802164E-6</v>
      </c>
      <c r="Q89" s="56">
        <f t="shared" si="39"/>
        <v>2.0362216835589732E-5</v>
      </c>
      <c r="R89" s="9">
        <f t="shared" si="12"/>
        <v>3.9999999999999996E-5</v>
      </c>
      <c r="S89" s="9">
        <f t="shared" si="13"/>
        <v>1.06748709638181E-7</v>
      </c>
      <c r="T89" s="9">
        <f t="shared" si="10"/>
        <v>3.9517823400964044E-5</v>
      </c>
      <c r="U89" s="9">
        <f t="shared" si="11"/>
        <v>3.9893251290361816E-5</v>
      </c>
      <c r="V89" s="100">
        <f t="shared" si="14"/>
        <v>0.99058918796401862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2.1672092685066032E-2</v>
      </c>
      <c r="K90" s="55">
        <f t="shared" si="35"/>
        <v>0.99811281804104457</v>
      </c>
      <c r="L90" s="55">
        <f t="shared" si="36"/>
        <v>1.0728219342904847E-3</v>
      </c>
      <c r="M90" s="55">
        <f t="shared" si="19"/>
        <v>0.99892717806570952</v>
      </c>
      <c r="N90" s="55">
        <f t="shared" si="37"/>
        <v>6.9029021847485839E-6</v>
      </c>
      <c r="O90" s="56">
        <f t="shared" si="21"/>
        <v>9.9965070840803786E-7</v>
      </c>
      <c r="P90" s="56">
        <f t="shared" si="38"/>
        <v>1.0508007419836884E-6</v>
      </c>
      <c r="Q90" s="56">
        <f t="shared" si="39"/>
        <v>6.7612103236608587E-7</v>
      </c>
      <c r="R90" s="9">
        <f t="shared" si="12"/>
        <v>3.9999999999999996E-5</v>
      </c>
      <c r="S90" s="9">
        <f t="shared" si="13"/>
        <v>4.2912877371619386E-8</v>
      </c>
      <c r="T90" s="9">
        <f t="shared" si="10"/>
        <v>3.9924512721641781E-5</v>
      </c>
      <c r="U90" s="9">
        <f t="shared" si="11"/>
        <v>3.9957087122628377E-5</v>
      </c>
      <c r="V90" s="100">
        <f t="shared" si="14"/>
        <v>0.99918476537374645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-5.0618200796578115E-3</v>
      </c>
      <c r="K91" s="55">
        <f t="shared" si="35"/>
        <v>0.99852611130788804</v>
      </c>
      <c r="L91" s="55">
        <f t="shared" si="36"/>
        <v>1.0091913621041945E-3</v>
      </c>
      <c r="M91" s="55">
        <f t="shared" si="19"/>
        <v>0.9989908086378958</v>
      </c>
      <c r="N91" s="55">
        <f t="shared" si="37"/>
        <v>3.1364829072263288E-6</v>
      </c>
      <c r="O91" s="56">
        <f t="shared" si="21"/>
        <v>1.0000646384763754E-6</v>
      </c>
      <c r="P91" s="56">
        <f t="shared" si="38"/>
        <v>9.8847627756973105E-7</v>
      </c>
      <c r="Q91" s="56">
        <f t="shared" si="39"/>
        <v>3.0721021455552978E-7</v>
      </c>
      <c r="R91" s="9">
        <f t="shared" si="12"/>
        <v>3.9999999999999996E-5</v>
      </c>
      <c r="S91" s="9">
        <f t="shared" si="13"/>
        <v>4.0367654484167775E-8</v>
      </c>
      <c r="T91" s="9">
        <f t="shared" si="10"/>
        <v>3.9941044452315516E-5</v>
      </c>
      <c r="U91" s="9">
        <f t="shared" si="11"/>
        <v>3.9959632345515829E-5</v>
      </c>
      <c r="V91" s="100">
        <f t="shared" si="14"/>
        <v>0.99953483322770376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0.49337026250812915</v>
      </c>
      <c r="K92" s="55">
        <f t="shared" si="35"/>
        <v>0.98500125267591965</v>
      </c>
      <c r="L92" s="55">
        <f t="shared" si="36"/>
        <v>3.1367720817039773E-3</v>
      </c>
      <c r="M92" s="55">
        <f t="shared" si="19"/>
        <v>0.99686322791829607</v>
      </c>
      <c r="N92" s="55">
        <f t="shared" si="37"/>
        <v>2.8700869505504862E-4</v>
      </c>
      <c r="O92" s="56">
        <f t="shared" si="21"/>
        <v>9.8651894076747187E-7</v>
      </c>
      <c r="P92" s="56">
        <f t="shared" si="38"/>
        <v>3.0723853843165158E-6</v>
      </c>
      <c r="Q92" s="56">
        <f t="shared" si="39"/>
        <v>2.8111743438492648E-5</v>
      </c>
      <c r="R92" s="9">
        <f t="shared" si="12"/>
        <v>3.9999999999999996E-5</v>
      </c>
      <c r="S92" s="9">
        <f t="shared" si="13"/>
        <v>1.2547088326815909E-7</v>
      </c>
      <c r="T92" s="9">
        <f t="shared" ref="T92:T143" si="40">R92*K92</f>
        <v>3.9400050107036781E-5</v>
      </c>
      <c r="U92" s="9">
        <f t="shared" ref="U92:U143" si="41">$R92*M92</f>
        <v>3.9874529116731838E-5</v>
      </c>
      <c r="V92" s="100">
        <f t="shared" si="14"/>
        <v>0.98810069936359546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-3.9760371235624641E-3</v>
      </c>
      <c r="K93" s="55">
        <f t="shared" si="35"/>
        <v>0.99850977972034893</v>
      </c>
      <c r="L93" s="55">
        <f t="shared" si="36"/>
        <v>1.0117010584289354E-3</v>
      </c>
      <c r="M93" s="55">
        <f t="shared" ref="M93:M127" si="42">IF(D93=0,"",1-L93)</f>
        <v>0.99898829894157104</v>
      </c>
      <c r="N93" s="55">
        <f t="shared" si="37"/>
        <v>3.2686050115569602E-6</v>
      </c>
      <c r="O93" s="56">
        <f t="shared" ref="O93:O127" si="43">IF(D93=0,"",F93*K93*$J$7/$J$14)</f>
        <v>1.0000482817251566E-6</v>
      </c>
      <c r="P93" s="56">
        <f t="shared" si="38"/>
        <v>9.9093445881668287E-7</v>
      </c>
      <c r="Q93" s="56">
        <f t="shared" si="39"/>
        <v>3.2015122562414593E-7</v>
      </c>
      <c r="R93" s="9">
        <f t="shared" ref="R93:R143" si="44">F93*$C$14</f>
        <v>3.9999999999999996E-5</v>
      </c>
      <c r="S93" s="9">
        <f t="shared" ref="S93:S143" si="45">$R93*L93</f>
        <v>4.046804233715741E-8</v>
      </c>
      <c r="T93" s="9">
        <f t="shared" si="40"/>
        <v>3.9940391188813954E-5</v>
      </c>
      <c r="U93" s="9">
        <f t="shared" si="41"/>
        <v>3.9959531957662837E-5</v>
      </c>
      <c r="V93" s="100">
        <f t="shared" ref="V93:V143" si="46">K93/M93</f>
        <v>0.99952099617009615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-3.1727881413346266E-2</v>
      </c>
      <c r="K94" s="55">
        <f t="shared" si="35"/>
        <v>0.99891583630298253</v>
      </c>
      <c r="L94" s="55">
        <f t="shared" si="36"/>
        <v>9.4946057389203985E-4</v>
      </c>
      <c r="M94" s="55">
        <f t="shared" si="42"/>
        <v>0.999050539426108</v>
      </c>
      <c r="N94" s="55">
        <f t="shared" si="37"/>
        <v>5.4657888344435141E-7</v>
      </c>
      <c r="O94" s="56">
        <f t="shared" si="43"/>
        <v>1.0004549639590149E-6</v>
      </c>
      <c r="P94" s="56">
        <f t="shared" si="38"/>
        <v>9.2997154853087823E-7</v>
      </c>
      <c r="Q94" s="56">
        <f t="shared" si="39"/>
        <v>5.3535957638280969E-8</v>
      </c>
      <c r="R94" s="9">
        <f t="shared" si="44"/>
        <v>3.9999999999999996E-5</v>
      </c>
      <c r="S94" s="9">
        <f t="shared" si="45"/>
        <v>3.7978422955681592E-8</v>
      </c>
      <c r="T94" s="9">
        <f t="shared" si="40"/>
        <v>3.9956633452119299E-5</v>
      </c>
      <c r="U94" s="9">
        <f t="shared" si="41"/>
        <v>3.9962021577044318E-5</v>
      </c>
      <c r="V94" s="100">
        <f t="shared" si="46"/>
        <v>0.99986516886002297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0.94867954725222925</v>
      </c>
      <c r="J95" s="54">
        <f t="shared" si="34"/>
        <v>3.2443942098381373</v>
      </c>
      <c r="K95" s="55">
        <f t="shared" si="35"/>
        <v>9.3588434536615431E-2</v>
      </c>
      <c r="L95" s="55">
        <f t="shared" si="36"/>
        <v>0.16799343539050177</v>
      </c>
      <c r="M95" s="55">
        <f t="shared" si="42"/>
        <v>0.83200656460949829</v>
      </c>
      <c r="N95" s="55">
        <f t="shared" si="37"/>
        <v>0.10633300418716501</v>
      </c>
      <c r="O95" s="56">
        <f t="shared" si="43"/>
        <v>9.3732635421860361E-8</v>
      </c>
      <c r="P95" s="56">
        <f t="shared" si="38"/>
        <v>1.6454513178226117E-4</v>
      </c>
      <c r="Q95" s="56">
        <f t="shared" si="39"/>
        <v>1.0415036841237209E-2</v>
      </c>
      <c r="R95" s="9">
        <f t="shared" si="44"/>
        <v>3.9999999999999996E-5</v>
      </c>
      <c r="S95" s="9">
        <f t="shared" si="45"/>
        <v>6.7197374156200697E-6</v>
      </c>
      <c r="T95" s="9">
        <f t="shared" si="40"/>
        <v>3.7435373814646168E-6</v>
      </c>
      <c r="U95" s="9">
        <f t="shared" si="41"/>
        <v>3.3280262584379926E-5</v>
      </c>
      <c r="V95" s="100">
        <f t="shared" si="46"/>
        <v>0.11248521167683466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-4.3015572183228164E-2</v>
      </c>
      <c r="K96" s="55">
        <f t="shared" si="35"/>
        <v>0.99907475091445563</v>
      </c>
      <c r="L96" s="55">
        <f t="shared" si="36"/>
        <v>9.2524837252121964E-4</v>
      </c>
      <c r="M96" s="55">
        <f t="shared" si="42"/>
        <v>0.99907475162747883</v>
      </c>
      <c r="N96" s="55">
        <f t="shared" si="37"/>
        <v>1.7429057473540896E-14</v>
      </c>
      <c r="O96" s="56">
        <f t="shared" si="43"/>
        <v>1.0006141234258245E-6</v>
      </c>
      <c r="P96" s="56">
        <f t="shared" si="38"/>
        <v>9.062563369451432E-7</v>
      </c>
      <c r="Q96" s="56">
        <f t="shared" si="39"/>
        <v>1.7071301340781657E-15</v>
      </c>
      <c r="R96" s="9">
        <f t="shared" si="44"/>
        <v>3.9999999999999996E-5</v>
      </c>
      <c r="S96" s="9">
        <f t="shared" si="45"/>
        <v>3.7009934900848779E-8</v>
      </c>
      <c r="T96" s="9">
        <f t="shared" si="40"/>
        <v>3.9962990036578219E-5</v>
      </c>
      <c r="U96" s="9">
        <f t="shared" si="41"/>
        <v>3.9962990065099147E-5</v>
      </c>
      <c r="V96" s="100">
        <f t="shared" si="46"/>
        <v>0.99999999928631644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3.4916033311365919</v>
      </c>
      <c r="K98" s="55">
        <f t="shared" si="35"/>
        <v>4.6512283216732217E-2</v>
      </c>
      <c r="L98" s="55">
        <f t="shared" si="36"/>
        <v>0.14751864297447076</v>
      </c>
      <c r="M98" s="55">
        <f t="shared" si="42"/>
        <v>0.85248135702552919</v>
      </c>
      <c r="N98" s="55">
        <f t="shared" si="37"/>
        <v>8.4575305948976151E-3</v>
      </c>
      <c r="O98" s="56">
        <f t="shared" si="43"/>
        <v>4.6583949255894267E-8</v>
      </c>
      <c r="P98" s="56">
        <f t="shared" si="38"/>
        <v>1.4449061352993223E-4</v>
      </c>
      <c r="Q98" s="56">
        <f t="shared" si="39"/>
        <v>8.2839277800054805E-4</v>
      </c>
      <c r="R98" s="9">
        <f t="shared" si="44"/>
        <v>3.9999999999999996E-5</v>
      </c>
      <c r="S98" s="9">
        <f t="shared" si="45"/>
        <v>5.9007457189788297E-6</v>
      </c>
      <c r="T98" s="9">
        <f t="shared" si="40"/>
        <v>1.8604913286692885E-6</v>
      </c>
      <c r="U98" s="9">
        <f t="shared" si="41"/>
        <v>3.4099254281021166E-5</v>
      </c>
      <c r="V98" s="100">
        <f t="shared" si="46"/>
        <v>5.4561056184292973E-2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1.7780701090410389</v>
      </c>
      <c r="K99" s="55">
        <f t="shared" si="35"/>
        <v>0.71737463969846538</v>
      </c>
      <c r="L99" s="55">
        <f t="shared" si="36"/>
        <v>4.4003988985149428E-2</v>
      </c>
      <c r="M99" s="55">
        <f t="shared" si="42"/>
        <v>0.95599601101485054</v>
      </c>
      <c r="N99" s="55">
        <f t="shared" si="37"/>
        <v>1.5325757106129977E-3</v>
      </c>
      <c r="O99" s="56">
        <f t="shared" si="43"/>
        <v>7.1847996920428503E-7</v>
      </c>
      <c r="P99" s="56">
        <f t="shared" si="38"/>
        <v>4.310074467895525E-5</v>
      </c>
      <c r="Q99" s="56">
        <f t="shared" si="39"/>
        <v>1.501117419754642E-4</v>
      </c>
      <c r="R99" s="9">
        <f t="shared" si="44"/>
        <v>3.9999999999999996E-5</v>
      </c>
      <c r="S99" s="9">
        <f t="shared" si="45"/>
        <v>1.760159559405977E-6</v>
      </c>
      <c r="T99" s="9">
        <f t="shared" si="40"/>
        <v>2.8694985587938614E-5</v>
      </c>
      <c r="U99" s="9">
        <f t="shared" si="41"/>
        <v>3.8239840440594015E-5</v>
      </c>
      <c r="V99" s="100">
        <f t="shared" si="46"/>
        <v>0.75039501361195704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3.1367471227841328</v>
      </c>
      <c r="K101" s="55">
        <f t="shared" si="35"/>
        <v>9.8636095642015573E-2</v>
      </c>
      <c r="L101" s="55">
        <f t="shared" si="36"/>
        <v>0.13818436732265585</v>
      </c>
      <c r="M101" s="55">
        <f t="shared" si="42"/>
        <v>0.86181563267734418</v>
      </c>
      <c r="N101" s="55">
        <f t="shared" si="37"/>
        <v>3.3397333368598977E-3</v>
      </c>
      <c r="O101" s="56">
        <f t="shared" si="43"/>
        <v>9.8788073954069904E-8</v>
      </c>
      <c r="P101" s="56">
        <f t="shared" si="38"/>
        <v>1.3534793712921685E-4</v>
      </c>
      <c r="Q101" s="56">
        <f t="shared" si="39"/>
        <v>3.2711805717516325E-4</v>
      </c>
      <c r="R101" s="9">
        <f t="shared" si="44"/>
        <v>3.9999999999999996E-5</v>
      </c>
      <c r="S101" s="9">
        <f t="shared" si="45"/>
        <v>5.5273746929062337E-6</v>
      </c>
      <c r="T101" s="9">
        <f t="shared" si="40"/>
        <v>3.9454438256806227E-6</v>
      </c>
      <c r="U101" s="9">
        <f t="shared" si="41"/>
        <v>3.4472625307093761E-5</v>
      </c>
      <c r="V101" s="100">
        <f t="shared" si="46"/>
        <v>0.11445150436130928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2.3675184084017351</v>
      </c>
      <c r="K102" s="55">
        <f t="shared" si="35"/>
        <v>0.39046430619707245</v>
      </c>
      <c r="L102" s="55">
        <f t="shared" si="36"/>
        <v>9.3062703886677617E-2</v>
      </c>
      <c r="M102" s="55">
        <f t="shared" si="42"/>
        <v>0.90693729611332241</v>
      </c>
      <c r="N102" s="55">
        <f t="shared" si="37"/>
        <v>4.5809633744385215E-9</v>
      </c>
      <c r="O102" s="56">
        <f t="shared" si="43"/>
        <v>3.9106593287123314E-7</v>
      </c>
      <c r="P102" s="56">
        <f t="shared" si="38"/>
        <v>9.1152459853277728E-5</v>
      </c>
      <c r="Q102" s="56">
        <f t="shared" si="39"/>
        <v>4.4869326017682953E-10</v>
      </c>
      <c r="R102" s="9">
        <f t="shared" si="44"/>
        <v>3.9999999999999996E-5</v>
      </c>
      <c r="S102" s="9">
        <f t="shared" si="45"/>
        <v>3.7225081554671043E-6</v>
      </c>
      <c r="T102" s="9">
        <f t="shared" si="40"/>
        <v>1.5618572247882898E-5</v>
      </c>
      <c r="U102" s="9">
        <f t="shared" si="41"/>
        <v>3.6277491844532894E-5</v>
      </c>
      <c r="V102" s="100">
        <f t="shared" si="46"/>
        <v>0.43053065285814829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3.415978567809216</v>
      </c>
      <c r="K103" s="55">
        <f t="shared" si="35"/>
        <v>5.403698327403849E-2</v>
      </c>
      <c r="L103" s="55">
        <f t="shared" si="36"/>
        <v>0.14399439321652857</v>
      </c>
      <c r="M103" s="55">
        <f t="shared" si="42"/>
        <v>0.85600560678347137</v>
      </c>
      <c r="N103" s="55">
        <f t="shared" si="37"/>
        <v>1.0572229341404427E-8</v>
      </c>
      <c r="O103" s="56">
        <f t="shared" si="43"/>
        <v>5.4120243357003475E-8</v>
      </c>
      <c r="P103" s="56">
        <f t="shared" si="38"/>
        <v>1.4103870399843042E-4</v>
      </c>
      <c r="Q103" s="56">
        <f t="shared" si="39"/>
        <v>1.0355219334433799E-9</v>
      </c>
      <c r="R103" s="9">
        <f t="shared" si="44"/>
        <v>3.9999999999999996E-5</v>
      </c>
      <c r="S103" s="9">
        <f t="shared" si="45"/>
        <v>5.7597757286611426E-6</v>
      </c>
      <c r="T103" s="9">
        <f t="shared" si="40"/>
        <v>2.1614793309615393E-6</v>
      </c>
      <c r="U103" s="9">
        <f t="shared" si="41"/>
        <v>3.424022427133885E-5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4.1077703317847014</v>
      </c>
      <c r="K104" s="55">
        <f t="shared" si="35"/>
        <v>1.1566368580729375E-2</v>
      </c>
      <c r="L104" s="55">
        <f t="shared" si="36"/>
        <v>0.15158048003470631</v>
      </c>
      <c r="M104" s="55">
        <f t="shared" si="42"/>
        <v>0.84841951996529374</v>
      </c>
      <c r="N104" s="55">
        <f t="shared" si="37"/>
        <v>4.1008411452512807E-3</v>
      </c>
      <c r="O104" s="56">
        <f t="shared" si="43"/>
        <v>1.1584190019849161E-8</v>
      </c>
      <c r="P104" s="56">
        <f t="shared" si="38"/>
        <v>1.4846907562162607E-4</v>
      </c>
      <c r="Q104" s="56">
        <f t="shared" si="39"/>
        <v>4.0166655625261522E-4</v>
      </c>
      <c r="R104" s="9">
        <f t="shared" si="44"/>
        <v>3.9999999999999996E-5</v>
      </c>
      <c r="S104" s="9">
        <f t="shared" si="45"/>
        <v>6.0632192013882523E-6</v>
      </c>
      <c r="T104" s="9">
        <f t="shared" si="40"/>
        <v>4.6265474322917496E-7</v>
      </c>
      <c r="U104" s="9">
        <f t="shared" si="41"/>
        <v>3.3936780798611748E-5</v>
      </c>
      <c r="V104" s="100">
        <f t="shared" si="46"/>
        <v>1.3632841193001453E-2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3.7503626918737711</v>
      </c>
      <c r="K105" s="55">
        <f t="shared" si="35"/>
        <v>2.6779776637083828E-2</v>
      </c>
      <c r="L105" s="55">
        <f t="shared" si="36"/>
        <v>0.15411523074501643</v>
      </c>
      <c r="M105" s="55">
        <f t="shared" si="42"/>
        <v>0.84588476925498357</v>
      </c>
      <c r="N105" s="55">
        <f t="shared" si="37"/>
        <v>2.1256064976921681E-2</v>
      </c>
      <c r="O105" s="56">
        <f t="shared" si="43"/>
        <v>2.6821038866940003E-8</v>
      </c>
      <c r="P105" s="56">
        <f t="shared" si="38"/>
        <v>1.5095179697733647E-4</v>
      </c>
      <c r="Q105" s="56">
        <f t="shared" si="39"/>
        <v>2.0819754085448232E-3</v>
      </c>
      <c r="R105" s="9">
        <f t="shared" si="44"/>
        <v>3.9999999999999996E-5</v>
      </c>
      <c r="S105" s="9">
        <f t="shared" si="45"/>
        <v>6.1646092298006568E-6</v>
      </c>
      <c r="T105" s="9">
        <f t="shared" si="40"/>
        <v>1.0711910654833531E-6</v>
      </c>
      <c r="U105" s="9">
        <f t="shared" si="41"/>
        <v>3.3835390770199338E-5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2.8612615448319914</v>
      </c>
      <c r="K106" s="55">
        <f t="shared" si="35"/>
        <v>0.17060783063422477</v>
      </c>
      <c r="L106" s="55">
        <f t="shared" si="36"/>
        <v>0.12674663095121422</v>
      </c>
      <c r="M106" s="55">
        <f t="shared" si="42"/>
        <v>0.87325336904878581</v>
      </c>
      <c r="N106" s="55">
        <f t="shared" si="37"/>
        <v>1.4179955873026967E-3</v>
      </c>
      <c r="O106" s="56">
        <f t="shared" si="43"/>
        <v>1.7087070286121506E-7</v>
      </c>
      <c r="P106" s="56">
        <f t="shared" si="38"/>
        <v>1.2414497652450725E-4</v>
      </c>
      <c r="Q106" s="56">
        <f t="shared" si="39"/>
        <v>1.388889216040039E-4</v>
      </c>
      <c r="R106" s="9">
        <f t="shared" si="44"/>
        <v>3.9999999999999996E-5</v>
      </c>
      <c r="S106" s="9">
        <f t="shared" si="45"/>
        <v>5.0698652380485679E-6</v>
      </c>
      <c r="T106" s="9">
        <f t="shared" si="40"/>
        <v>6.8243132253689905E-6</v>
      </c>
      <c r="U106" s="9">
        <f t="shared" si="41"/>
        <v>3.4930134761951428E-5</v>
      </c>
      <c r="V106" s="100">
        <f t="shared" si="46"/>
        <v>0.19537036635777752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3.5526703729990983</v>
      </c>
      <c r="K108" s="55">
        <f t="shared" si="35"/>
        <v>4.0440464103778745E-2</v>
      </c>
      <c r="L108" s="55">
        <f t="shared" si="36"/>
        <v>0.14762585388325894</v>
      </c>
      <c r="M108" s="55">
        <f t="shared" si="42"/>
        <v>0.85237414611674112</v>
      </c>
      <c r="N108" s="55">
        <f t="shared" si="37"/>
        <v>5.5781739042278762E-3</v>
      </c>
      <c r="O108" s="56">
        <f t="shared" si="43"/>
        <v>4.0502774695385015E-8</v>
      </c>
      <c r="P108" s="56">
        <f t="shared" si="38"/>
        <v>1.445956237827081E-4</v>
      </c>
      <c r="Q108" s="56">
        <f t="shared" si="39"/>
        <v>5.4636739706046932E-4</v>
      </c>
      <c r="R108" s="9">
        <f t="shared" si="44"/>
        <v>3.9999999999999996E-5</v>
      </c>
      <c r="S108" s="9">
        <f t="shared" si="45"/>
        <v>5.905034155330357E-6</v>
      </c>
      <c r="T108" s="9">
        <f t="shared" si="40"/>
        <v>1.6176185641511496E-6</v>
      </c>
      <c r="U108" s="9">
        <f t="shared" si="41"/>
        <v>3.409496584466964E-5</v>
      </c>
      <c r="V108" s="100">
        <f t="shared" si="46"/>
        <v>4.7444498742738754E-2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3.7856475581586708</v>
      </c>
      <c r="K109" s="55">
        <f t="shared" si="35"/>
        <v>2.4533015874772815E-2</v>
      </c>
      <c r="L109" s="55">
        <f t="shared" si="36"/>
        <v>0.15313498370033027</v>
      </c>
      <c r="M109" s="55">
        <f t="shared" si="42"/>
        <v>0.8468650162996697</v>
      </c>
      <c r="N109" s="55">
        <f t="shared" si="37"/>
        <v>1.6573981833581795E-2</v>
      </c>
      <c r="O109" s="56">
        <f t="shared" si="43"/>
        <v>2.4570816299840147E-8</v>
      </c>
      <c r="P109" s="56">
        <f t="shared" si="38"/>
        <v>1.4999167089400399E-4</v>
      </c>
      <c r="Q109" s="56">
        <f t="shared" si="39"/>
        <v>1.6233777341502654E-3</v>
      </c>
      <c r="R109" s="9">
        <f t="shared" si="44"/>
        <v>3.9999999999999996E-5</v>
      </c>
      <c r="S109" s="9">
        <f t="shared" si="45"/>
        <v>6.1253993480132099E-6</v>
      </c>
      <c r="T109" s="9">
        <f t="shared" si="40"/>
        <v>9.8132063499091242E-7</v>
      </c>
      <c r="U109" s="9">
        <f t="shared" si="41"/>
        <v>3.3874600651986788E-5</v>
      </c>
      <c r="V109" s="100">
        <f t="shared" si="46"/>
        <v>2.896921634804149E-2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2.1196587435524776</v>
      </c>
      <c r="K110" s="55">
        <f t="shared" si="35"/>
        <v>0.53206713507763204</v>
      </c>
      <c r="L110" s="55">
        <f t="shared" si="36"/>
        <v>7.1664008443168697E-2</v>
      </c>
      <c r="M110" s="55">
        <f t="shared" si="42"/>
        <v>0.92833599155683133</v>
      </c>
      <c r="N110" s="55">
        <f t="shared" si="37"/>
        <v>1.3666029463594738E-4</v>
      </c>
      <c r="O110" s="56">
        <f t="shared" si="43"/>
        <v>5.328869431262207E-7</v>
      </c>
      <c r="P110" s="56">
        <f t="shared" si="38"/>
        <v>7.0193002993931136E-5</v>
      </c>
      <c r="Q110" s="56">
        <f t="shared" si="39"/>
        <v>1.3385514819673708E-5</v>
      </c>
      <c r="R110" s="9">
        <f t="shared" si="44"/>
        <v>3.9999999999999996E-5</v>
      </c>
      <c r="S110" s="9">
        <f t="shared" si="45"/>
        <v>2.8665603377267477E-6</v>
      </c>
      <c r="T110" s="9">
        <f t="shared" si="40"/>
        <v>2.1282685403105281E-5</v>
      </c>
      <c r="U110" s="9">
        <f t="shared" si="41"/>
        <v>3.7133439662273248E-5</v>
      </c>
      <c r="V110" s="100">
        <f t="shared" si="46"/>
        <v>0.57314069465878259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1.9788605845819818</v>
      </c>
      <c r="K111" s="55">
        <f t="shared" si="35"/>
        <v>0.63852854005394855</v>
      </c>
      <c r="L111" s="55">
        <f t="shared" si="36"/>
        <v>6.2189464430369108E-2</v>
      </c>
      <c r="M111" s="55">
        <f t="shared" si="42"/>
        <v>0.9378105355696309</v>
      </c>
      <c r="N111" s="55">
        <f t="shared" si="37"/>
        <v>2.3691450149498541E-2</v>
      </c>
      <c r="O111" s="56">
        <f t="shared" si="43"/>
        <v>6.3951238363660731E-7</v>
      </c>
      <c r="P111" s="56">
        <f t="shared" si="38"/>
        <v>6.0912937439351218E-5</v>
      </c>
      <c r="Q111" s="56">
        <f t="shared" si="39"/>
        <v>2.320514952206588E-3</v>
      </c>
      <c r="R111" s="9">
        <f t="shared" si="44"/>
        <v>3.9999999999999996E-5</v>
      </c>
      <c r="S111" s="9">
        <f t="shared" si="45"/>
        <v>2.4875785772147642E-6</v>
      </c>
      <c r="T111" s="9">
        <f t="shared" si="40"/>
        <v>2.5541141602157939E-5</v>
      </c>
      <c r="U111" s="9">
        <f t="shared" si="41"/>
        <v>3.7512421422785234E-5</v>
      </c>
      <c r="V111" s="100">
        <f t="shared" si="46"/>
        <v>0.68087157889104222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2.5219720041185631</v>
      </c>
      <c r="J112" s="54">
        <f t="shared" si="34"/>
        <v>4.8822108795245622</v>
      </c>
      <c r="K112" s="55">
        <f t="shared" si="35"/>
        <v>2.4344334494309787E-3</v>
      </c>
      <c r="L112" s="55">
        <f t="shared" si="36"/>
        <v>0.18979497277762242</v>
      </c>
      <c r="M112" s="55">
        <f t="shared" si="42"/>
        <v>0.81020502722237753</v>
      </c>
      <c r="N112" s="55">
        <f t="shared" si="37"/>
        <v>0.13470720503050251</v>
      </c>
      <c r="O112" s="56">
        <f t="shared" si="43"/>
        <v>2.4381844199458286E-9</v>
      </c>
      <c r="P112" s="56">
        <f t="shared" si="38"/>
        <v>1.8589916168278018E-4</v>
      </c>
      <c r="Q112" s="56">
        <f t="shared" si="39"/>
        <v>1.3194214852646153E-2</v>
      </c>
      <c r="R112" s="9">
        <f t="shared" si="44"/>
        <v>3.9999999999999996E-5</v>
      </c>
      <c r="S112" s="9">
        <f t="shared" si="45"/>
        <v>7.5917989111048964E-6</v>
      </c>
      <c r="T112" s="9">
        <f t="shared" si="40"/>
        <v>9.7377337977239134E-8</v>
      </c>
      <c r="U112" s="9">
        <f t="shared" si="41"/>
        <v>3.24082010888951E-5</v>
      </c>
      <c r="V112" s="100">
        <f t="shared" si="46"/>
        <v>3.0047128413618176E-3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5.2380464528641673</v>
      </c>
      <c r="K113" s="55">
        <f t="shared" si="35"/>
        <v>1.0943425730704261E-3</v>
      </c>
      <c r="L113" s="55">
        <f t="shared" si="36"/>
        <v>0.19358676673318451</v>
      </c>
      <c r="M113" s="55">
        <f t="shared" si="42"/>
        <v>0.80641323326681547</v>
      </c>
      <c r="N113" s="55">
        <f t="shared" si="37"/>
        <v>0.14743351285957165</v>
      </c>
      <c r="O113" s="56">
        <f t="shared" si="43"/>
        <v>1.0960287340643494E-9</v>
      </c>
      <c r="P113" s="56">
        <f t="shared" si="38"/>
        <v>1.8961312368765757E-4</v>
      </c>
      <c r="Q113" s="56">
        <f t="shared" si="39"/>
        <v>1.4440723083142284E-2</v>
      </c>
      <c r="R113" s="9">
        <f t="shared" si="44"/>
        <v>3.9999999999999996E-5</v>
      </c>
      <c r="S113" s="9">
        <f t="shared" si="45"/>
        <v>7.7434706693273789E-6</v>
      </c>
      <c r="T113" s="9">
        <f t="shared" si="40"/>
        <v>4.3773702922817041E-8</v>
      </c>
      <c r="U113" s="9">
        <f t="shared" si="41"/>
        <v>3.2256529330672614E-5</v>
      </c>
      <c r="V113" s="100">
        <f t="shared" si="46"/>
        <v>1.3570493736036501E-3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5.6480480937018527</v>
      </c>
      <c r="K114" s="55">
        <f t="shared" si="35"/>
        <v>4.3317754017205095E-4</v>
      </c>
      <c r="L114" s="55">
        <f t="shared" si="36"/>
        <v>0.19696540034667853</v>
      </c>
      <c r="M114" s="55">
        <f t="shared" si="42"/>
        <v>0.80303459965332147</v>
      </c>
      <c r="N114" s="55">
        <f t="shared" si="37"/>
        <v>0.15905922036956965</v>
      </c>
      <c r="O114" s="56">
        <f t="shared" si="43"/>
        <v>4.3384497931739317E-10</v>
      </c>
      <c r="P114" s="56">
        <f t="shared" si="38"/>
        <v>1.9292240605267425E-4</v>
      </c>
      <c r="Q114" s="56">
        <f t="shared" si="39"/>
        <v>1.5579430420037902E-2</v>
      </c>
      <c r="R114" s="9">
        <f t="shared" si="44"/>
        <v>3.9999999999999996E-5</v>
      </c>
      <c r="S114" s="9">
        <f t="shared" si="45"/>
        <v>7.8786160138671405E-6</v>
      </c>
      <c r="T114" s="9">
        <f t="shared" si="40"/>
        <v>1.7327101606882036E-8</v>
      </c>
      <c r="U114" s="9">
        <f t="shared" si="41"/>
        <v>3.2121383986132854E-5</v>
      </c>
      <c r="V114" s="100">
        <f t="shared" si="46"/>
        <v>5.3942574872746236E-4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1.8739262521806992</v>
      </c>
      <c r="J115" s="54">
        <f t="shared" si="34"/>
        <v>4.2440764192613614</v>
      </c>
      <c r="K115" s="55">
        <f t="shared" si="35"/>
        <v>1.0778171062057073E-2</v>
      </c>
      <c r="L115" s="55">
        <f t="shared" si="36"/>
        <v>0.19332918047150469</v>
      </c>
      <c r="M115" s="55">
        <f t="shared" si="42"/>
        <v>0.80667081952849529</v>
      </c>
      <c r="N115" s="55">
        <f t="shared" si="37"/>
        <v>0.15171866860471364</v>
      </c>
      <c r="O115" s="56">
        <f t="shared" si="43"/>
        <v>1.0794778047911312E-8</v>
      </c>
      <c r="P115" s="56">
        <f t="shared" si="38"/>
        <v>1.893608247494586E-4</v>
      </c>
      <c r="Q115" s="56">
        <f t="shared" si="39"/>
        <v>1.4860442767517383E-2</v>
      </c>
      <c r="R115" s="9">
        <f t="shared" si="44"/>
        <v>3.9999999999999996E-5</v>
      </c>
      <c r="S115" s="9">
        <f t="shared" si="45"/>
        <v>7.7331672188601867E-6</v>
      </c>
      <c r="T115" s="9">
        <f t="shared" si="40"/>
        <v>4.3112684248228288E-7</v>
      </c>
      <c r="U115" s="9">
        <f t="shared" si="41"/>
        <v>3.226683278113981E-5</v>
      </c>
      <c r="V115" s="100">
        <f t="shared" si="46"/>
        <v>1.3361300298871589E-2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-1.2542941534441151E-2</v>
      </c>
      <c r="K116" s="55">
        <f t="shared" si="35"/>
        <v>0.99863762796348221</v>
      </c>
      <c r="L116" s="55">
        <f t="shared" si="36"/>
        <v>9.9206677037297071E-4</v>
      </c>
      <c r="M116" s="55">
        <f t="shared" si="42"/>
        <v>0.999007933229627</v>
      </c>
      <c r="N116" s="55">
        <f t="shared" si="37"/>
        <v>2.2779956481789314E-6</v>
      </c>
      <c r="O116" s="56">
        <f t="shared" si="43"/>
        <v>1.0001763269566245E-6</v>
      </c>
      <c r="P116" s="56">
        <f t="shared" si="38"/>
        <v>9.7170319237993375E-7</v>
      </c>
      <c r="Q116" s="56">
        <f t="shared" si="39"/>
        <v>2.2312365555101468E-7</v>
      </c>
      <c r="R116" s="9">
        <f t="shared" si="44"/>
        <v>3.9999999999999996E-5</v>
      </c>
      <c r="S116" s="9">
        <f t="shared" si="45"/>
        <v>3.9682670814918824E-8</v>
      </c>
      <c r="T116" s="9">
        <f t="shared" si="40"/>
        <v>3.9945505118539286E-5</v>
      </c>
      <c r="U116" s="9">
        <f t="shared" si="41"/>
        <v>3.9960317329185075E-5</v>
      </c>
      <c r="V116" s="100">
        <f t="shared" si="46"/>
        <v>0.99962932700149076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0.88901420040828383</v>
      </c>
      <c r="K117" s="55">
        <f t="shared" si="35"/>
        <v>0.95729814026389903</v>
      </c>
      <c r="L117" s="55">
        <f t="shared" si="36"/>
        <v>7.5811891825401665E-3</v>
      </c>
      <c r="M117" s="55">
        <f t="shared" si="42"/>
        <v>0.99241881081745986</v>
      </c>
      <c r="N117" s="55">
        <f t="shared" si="37"/>
        <v>1.1750927149377847E-3</v>
      </c>
      <c r="O117" s="56">
        <f t="shared" si="43"/>
        <v>9.5877314345155657E-7</v>
      </c>
      <c r="P117" s="56">
        <f t="shared" si="38"/>
        <v>7.4255745184782032E-6</v>
      </c>
      <c r="Q117" s="56">
        <f t="shared" si="39"/>
        <v>1.1509722697577799E-4</v>
      </c>
      <c r="R117" s="9">
        <f t="shared" si="44"/>
        <v>3.9999999999999996E-5</v>
      </c>
      <c r="S117" s="9">
        <f t="shared" si="45"/>
        <v>3.0324756730160666E-7</v>
      </c>
      <c r="T117" s="9">
        <f t="shared" si="40"/>
        <v>3.8291925610555958E-5</v>
      </c>
      <c r="U117" s="9">
        <f t="shared" si="41"/>
        <v>3.969675243269839E-5</v>
      </c>
      <c r="V117" s="100">
        <f t="shared" si="46"/>
        <v>0.96461103903841583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1.990575292064233</v>
      </c>
      <c r="K118" s="55">
        <f t="shared" si="35"/>
        <v>0.63240268119225584</v>
      </c>
      <c r="L118" s="55">
        <f t="shared" si="36"/>
        <v>6.3276859021605306E-2</v>
      </c>
      <c r="M118" s="55">
        <f t="shared" si="42"/>
        <v>0.93672314097839471</v>
      </c>
      <c r="N118" s="55">
        <f t="shared" si="37"/>
        <v>2.4258816182369067E-2</v>
      </c>
      <c r="O118" s="56">
        <f t="shared" si="43"/>
        <v>6.3337708606301485E-7</v>
      </c>
      <c r="P118" s="56">
        <f t="shared" si="38"/>
        <v>6.1978011713821314E-5</v>
      </c>
      <c r="Q118" s="56">
        <f t="shared" si="39"/>
        <v>2.3760869562140362E-3</v>
      </c>
      <c r="R118" s="9">
        <f t="shared" si="44"/>
        <v>3.9999999999999996E-5</v>
      </c>
      <c r="S118" s="9">
        <f t="shared" si="45"/>
        <v>2.531074360864212E-6</v>
      </c>
      <c r="T118" s="9">
        <f t="shared" si="40"/>
        <v>2.5296107247690231E-5</v>
      </c>
      <c r="U118" s="9">
        <f t="shared" si="41"/>
        <v>3.7468925639135783E-5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-3.8836634294089491E-2</v>
      </c>
      <c r="K119" s="55">
        <f t="shared" si="35"/>
        <v>0.99901626694556744</v>
      </c>
      <c r="L119" s="55">
        <f t="shared" si="36"/>
        <v>9.3413973154442915E-4</v>
      </c>
      <c r="M119" s="55">
        <f t="shared" si="42"/>
        <v>0.99906586026845556</v>
      </c>
      <c r="N119" s="55">
        <f t="shared" si="37"/>
        <v>1.3289974686727334E-7</v>
      </c>
      <c r="O119" s="56">
        <f t="shared" si="43"/>
        <v>1.0005555493449466E-6</v>
      </c>
      <c r="P119" s="56">
        <f t="shared" si="38"/>
        <v>9.1496518820945966E-7</v>
      </c>
      <c r="Q119" s="56">
        <f t="shared" si="39"/>
        <v>1.3017179100643021E-8</v>
      </c>
      <c r="R119" s="9">
        <f t="shared" si="44"/>
        <v>3.9999999999999996E-5</v>
      </c>
      <c r="S119" s="9">
        <f t="shared" si="45"/>
        <v>3.7365589261777163E-8</v>
      </c>
      <c r="T119" s="9">
        <f t="shared" si="40"/>
        <v>3.9960650677822695E-5</v>
      </c>
      <c r="U119" s="9">
        <f t="shared" si="41"/>
        <v>3.9962634410738218E-5</v>
      </c>
      <c r="V119" s="100">
        <f t="shared" si="46"/>
        <v>0.99995036030670215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-4.3015629916826628E-2</v>
      </c>
      <c r="K120" s="55">
        <f t="shared" si="35"/>
        <v>0.99907475172195059</v>
      </c>
      <c r="L120" s="55">
        <f t="shared" si="36"/>
        <v>9.2524825026975125E-4</v>
      </c>
      <c r="M120" s="55">
        <f t="shared" si="42"/>
        <v>0.99907475174973026</v>
      </c>
      <c r="N120" s="55">
        <f t="shared" si="37"/>
        <v>1.7235500619225271E-16</v>
      </c>
      <c r="O120" s="56">
        <f t="shared" si="43"/>
        <v>1.000614124234564E-6</v>
      </c>
      <c r="P120" s="56">
        <f t="shared" si="38"/>
        <v>9.0625621720305974E-7</v>
      </c>
      <c r="Q120" s="56">
        <f t="shared" si="39"/>
        <v>1.6881717515516748E-17</v>
      </c>
      <c r="R120" s="9">
        <f t="shared" si="44"/>
        <v>3.9999999999999996E-5</v>
      </c>
      <c r="S120" s="9">
        <f t="shared" si="45"/>
        <v>3.7009930010790044E-8</v>
      </c>
      <c r="T120" s="9">
        <f t="shared" si="40"/>
        <v>3.9962990068878018E-5</v>
      </c>
      <c r="U120" s="9">
        <f t="shared" si="41"/>
        <v>3.9962990069989204E-5</v>
      </c>
      <c r="V120" s="100">
        <f t="shared" si="46"/>
        <v>0.99999999997219458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0.21377788981387841</v>
      </c>
      <c r="K121" s="55">
        <f t="shared" si="35"/>
        <v>0.99431898936132912</v>
      </c>
      <c r="L121" s="55">
        <f t="shared" si="36"/>
        <v>1.6633342951301894E-3</v>
      </c>
      <c r="M121" s="55">
        <f t="shared" si="42"/>
        <v>0.99833666570486979</v>
      </c>
      <c r="N121" s="55">
        <f t="shared" si="37"/>
        <v>6.4224519874569067E-5</v>
      </c>
      <c r="O121" s="56">
        <f t="shared" si="43"/>
        <v>9.9585103420417423E-7</v>
      </c>
      <c r="P121" s="56">
        <f t="shared" si="38"/>
        <v>1.6291919988060791E-6</v>
      </c>
      <c r="Q121" s="56">
        <f t="shared" si="39"/>
        <v>6.2906220483249395E-6</v>
      </c>
      <c r="R121" s="9">
        <f t="shared" si="44"/>
        <v>3.9999999999999996E-5</v>
      </c>
      <c r="S121" s="9">
        <f t="shared" si="45"/>
        <v>6.6533371805207572E-8</v>
      </c>
      <c r="T121" s="9">
        <f t="shared" si="40"/>
        <v>3.9772759574453158E-5</v>
      </c>
      <c r="U121" s="9">
        <f t="shared" si="41"/>
        <v>3.9933466628194789E-5</v>
      </c>
      <c r="V121" s="100">
        <f t="shared" si="46"/>
        <v>0.99597562978346188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4.8757664317973175</v>
      </c>
      <c r="K122" s="55">
        <f t="shared" si="35"/>
        <v>2.6008486931244647E-3</v>
      </c>
      <c r="L122" s="55">
        <f t="shared" si="36"/>
        <v>0.19978249744088855</v>
      </c>
      <c r="M122" s="55">
        <f t="shared" si="42"/>
        <v>0.80021750255911139</v>
      </c>
      <c r="N122" s="55">
        <f t="shared" si="37"/>
        <v>0.17021231897783537</v>
      </c>
      <c r="O122" s="56">
        <f t="shared" si="43"/>
        <v>2.6048560759361724E-9</v>
      </c>
      <c r="P122" s="56">
        <f t="shared" si="38"/>
        <v>1.9568167823216551E-4</v>
      </c>
      <c r="Q122" s="56">
        <f t="shared" si="39"/>
        <v>1.6671846963584216E-2</v>
      </c>
      <c r="R122" s="9">
        <f t="shared" si="44"/>
        <v>3.9999999999999996E-5</v>
      </c>
      <c r="S122" s="9">
        <f t="shared" si="45"/>
        <v>7.9912998976355407E-6</v>
      </c>
      <c r="T122" s="9">
        <f t="shared" si="40"/>
        <v>1.0403394772497858E-7</v>
      </c>
      <c r="U122" s="9">
        <f t="shared" si="41"/>
        <v>3.2008700102364451E-5</v>
      </c>
      <c r="V122" s="100">
        <f t="shared" si="46"/>
        <v>3.2501772140785465E-3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0.74385538428887032</v>
      </c>
      <c r="K123" s="55">
        <f t="shared" ref="K123:K127" si="49">IF(D123=0,"",1/(1+10^D123*$J$15/$J$14+10^E123*$J$16/$J$14+10^J123*$J$19/$J$14))</f>
        <v>0.97056524465136673</v>
      </c>
      <c r="L123" s="55">
        <f t="shared" ref="L123:L127" si="50">IF(D123=0,"",1/(1+10^I123/10^J123*$J$13/$J$19))</f>
        <v>5.5024491572403566E-3</v>
      </c>
      <c r="M123" s="55">
        <f t="shared" si="42"/>
        <v>0.99449755084275959</v>
      </c>
      <c r="N123" s="55">
        <f t="shared" ref="N123:N127" si="51">IF(D123=0,"",1/(1/10^E123*$J$20/$J$22+10^D123/10^E123*$J$21/$J$22+10^I123/10^E123*$J$13/$J$22+1))</f>
        <v>9.2603980333129138E-4</v>
      </c>
      <c r="O123" s="56">
        <f t="shared" si="43"/>
        <v>9.7206068976870039E-7</v>
      </c>
      <c r="P123" s="56">
        <f t="shared" ref="P123:P127" si="52">IF(D123=0,"",O123*10^J123)</f>
        <v>5.3895035814863561E-6</v>
      </c>
      <c r="Q123" s="56">
        <f t="shared" ref="Q123:Q127" si="53">IF(D123=0,"",F123*N123*$J$7/$J$22)</f>
        <v>9.0703152251496677E-5</v>
      </c>
      <c r="R123" s="9">
        <f t="shared" si="44"/>
        <v>3.9999999999999996E-5</v>
      </c>
      <c r="S123" s="9">
        <f t="shared" si="45"/>
        <v>2.2009796628961425E-7</v>
      </c>
      <c r="T123" s="9">
        <f t="shared" si="40"/>
        <v>3.8822609786054667E-5</v>
      </c>
      <c r="U123" s="9">
        <f t="shared" si="41"/>
        <v>3.977990203371038E-5</v>
      </c>
      <c r="V123" s="100">
        <f t="shared" si="46"/>
        <v>0.97593527890429488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0.98473247557463439</v>
      </c>
      <c r="K124" s="55">
        <f t="shared" si="49"/>
        <v>0.94455210923824529</v>
      </c>
      <c r="L124" s="55">
        <f t="shared" si="50"/>
        <v>9.324688149099725E-3</v>
      </c>
      <c r="M124" s="55">
        <f t="shared" si="42"/>
        <v>0.9906753118509003</v>
      </c>
      <c r="N124" s="55">
        <f t="shared" si="51"/>
        <v>5.1510746145908785E-4</v>
      </c>
      <c r="O124" s="56">
        <f t="shared" si="43"/>
        <v>9.4600747336508976E-7</v>
      </c>
      <c r="P124" s="56">
        <f t="shared" si="52"/>
        <v>9.133285695095994E-6</v>
      </c>
      <c r="Q124" s="56">
        <f t="shared" si="53"/>
        <v>5.045341499850284E-5</v>
      </c>
      <c r="R124" s="9">
        <f t="shared" si="44"/>
        <v>3.9999999999999996E-5</v>
      </c>
      <c r="S124" s="9">
        <f t="shared" si="45"/>
        <v>3.7298752596398896E-7</v>
      </c>
      <c r="T124" s="9">
        <f t="shared" si="40"/>
        <v>3.7782084369529807E-5</v>
      </c>
      <c r="U124" s="9">
        <f t="shared" si="41"/>
        <v>3.962701247403601E-5</v>
      </c>
      <c r="V124" s="100">
        <f t="shared" si="46"/>
        <v>0.95344266475513351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9.2579382109452407E-2</v>
      </c>
      <c r="K125" s="55">
        <f t="shared" si="49"/>
        <v>0.99687939184211061</v>
      </c>
      <c r="L125" s="55">
        <f t="shared" si="50"/>
        <v>1.2615309760658762E-3</v>
      </c>
      <c r="M125" s="55">
        <f t="shared" si="42"/>
        <v>0.99873846902393415</v>
      </c>
      <c r="N125" s="55">
        <f t="shared" si="51"/>
        <v>1.392687048065684E-5</v>
      </c>
      <c r="O125" s="56">
        <f t="shared" si="43"/>
        <v>9.9841538174831871E-7</v>
      </c>
      <c r="P125" s="56">
        <f t="shared" si="52"/>
        <v>1.2356362629387625E-6</v>
      </c>
      <c r="Q125" s="56">
        <f t="shared" si="53"/>
        <v>1.364100170478285E-6</v>
      </c>
      <c r="R125" s="9">
        <f t="shared" si="44"/>
        <v>3.9999999999999996E-5</v>
      </c>
      <c r="S125" s="9">
        <f t="shared" si="45"/>
        <v>5.0461239042635044E-8</v>
      </c>
      <c r="T125" s="9">
        <f t="shared" si="40"/>
        <v>3.9875175673684421E-5</v>
      </c>
      <c r="U125" s="9">
        <f t="shared" si="41"/>
        <v>3.9949538760957362E-5</v>
      </c>
      <c r="V125" s="100">
        <f t="shared" si="46"/>
        <v>0.99813857457233979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3.8231338433655377</v>
      </c>
      <c r="K126" s="55">
        <f t="shared" si="49"/>
        <v>2.7371508246333387E-2</v>
      </c>
      <c r="L126" s="55">
        <f t="shared" si="50"/>
        <v>0.18625523618659676</v>
      </c>
      <c r="M126" s="55">
        <f t="shared" si="42"/>
        <v>0.81374476381340322</v>
      </c>
      <c r="N126" s="55">
        <f t="shared" si="51"/>
        <v>0.13554223109338237</v>
      </c>
      <c r="O126" s="56">
        <f t="shared" si="43"/>
        <v>2.7413682215148583E-8</v>
      </c>
      <c r="P126" s="56">
        <f t="shared" si="52"/>
        <v>1.824320832074163E-4</v>
      </c>
      <c r="Q126" s="56">
        <f t="shared" si="53"/>
        <v>1.3276003449467692E-2</v>
      </c>
      <c r="R126" s="9">
        <f t="shared" si="44"/>
        <v>3.9999999999999996E-5</v>
      </c>
      <c r="S126" s="9">
        <f t="shared" si="45"/>
        <v>7.4502094474638695E-6</v>
      </c>
      <c r="T126" s="9">
        <f t="shared" si="40"/>
        <v>1.0948603298533354E-6</v>
      </c>
      <c r="U126" s="9">
        <f t="shared" si="41"/>
        <v>3.2549790552536123E-5</v>
      </c>
      <c r="V126" s="100">
        <f t="shared" si="46"/>
        <v>3.363647849242548E-2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0.12683662687631944</v>
      </c>
      <c r="J127" s="54">
        <f t="shared" si="48"/>
        <v>1.8362315957154518</v>
      </c>
      <c r="K127" s="55">
        <f t="shared" si="49"/>
        <v>0.70922113249735186</v>
      </c>
      <c r="L127" s="55">
        <f t="shared" si="50"/>
        <v>4.9738098954789825E-2</v>
      </c>
      <c r="M127" s="55">
        <f t="shared" si="42"/>
        <v>0.95026190104521013</v>
      </c>
      <c r="N127" s="55">
        <f t="shared" si="51"/>
        <v>1.7488701647012137E-2</v>
      </c>
      <c r="O127" s="56">
        <f t="shared" si="43"/>
        <v>7.1031389909449502E-7</v>
      </c>
      <c r="P127" s="56">
        <f t="shared" si="52"/>
        <v>4.8717153905989855E-5</v>
      </c>
      <c r="Q127" s="56">
        <f t="shared" si="53"/>
        <v>1.7129721232970042E-3</v>
      </c>
      <c r="R127" s="9">
        <f t="shared" si="44"/>
        <v>3.9999999999999996E-5</v>
      </c>
      <c r="S127" s="9">
        <f t="shared" si="45"/>
        <v>1.989523958191593E-6</v>
      </c>
      <c r="T127" s="9">
        <f t="shared" si="40"/>
        <v>2.8368845299894073E-5</v>
      </c>
      <c r="U127" s="9">
        <f t="shared" si="41"/>
        <v>3.80104760418084E-5</v>
      </c>
      <c r="V127" s="100">
        <f t="shared" si="46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2.733342553277482</v>
      </c>
      <c r="K128" s="55">
        <f t="shared" ref="K128:K134" si="56">IF(D128=0,"",1/(1+10^D128*$J$15/$J$14+10^E128*$J$16/$J$14+10^J128*$J$19/$J$14))</f>
        <v>0.23576363292363198</v>
      </c>
      <c r="L128" s="55">
        <f t="shared" ref="L128:L134" si="57">IF(D128=0,"",1/(1+10^I128/10^J128*$J$13/$J$19))</f>
        <v>0.13046538101042005</v>
      </c>
      <c r="M128" s="55">
        <f t="shared" ref="M128:M134" si="58">IF(D128=0,"",1-L128)</f>
        <v>0.86953461898957995</v>
      </c>
      <c r="N128" s="55">
        <f t="shared" ref="N128:N134" si="59">IF(D128=0,"",1/(1/10^E128*$J$20/$J$22+10^D128/10^E128*$J$21/$J$22+10^I128/10^E128*$J$13/$J$22+1))</f>
        <v>4.9582193241748763E-2</v>
      </c>
      <c r="O128" s="56">
        <f t="shared" ref="O128:O134" si="60">IF(D128=0,"",F128*K128*$J$7/$J$14)</f>
        <v>2.3612689708917211E-7</v>
      </c>
      <c r="P128" s="56">
        <f t="shared" ref="P128:P134" si="61">IF(D128=0,"",O128*10^J128)</f>
        <v>1.2778739396263473E-4</v>
      </c>
      <c r="Q128" s="56">
        <f t="shared" ref="Q128:Q134" si="62">IF(D128=0,"",F128*N128*$J$7/$J$22)</f>
        <v>4.8564448378905899E-3</v>
      </c>
      <c r="R128" s="9">
        <f t="shared" si="44"/>
        <v>3.9999999999999996E-5</v>
      </c>
      <c r="S128" s="9">
        <f t="shared" si="45"/>
        <v>5.2186152404168017E-6</v>
      </c>
      <c r="T128" s="9">
        <f t="shared" si="40"/>
        <v>9.4305453169452788E-6</v>
      </c>
      <c r="U128" s="9">
        <f t="shared" si="41"/>
        <v>3.4781384759583194E-5</v>
      </c>
      <c r="V128" s="100">
        <f t="shared" si="46"/>
        <v>0.27113771870014208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-4.0788248152069252E-2</v>
      </c>
      <c r="K129" s="55">
        <f t="shared" si="56"/>
        <v>0.99904361870184377</v>
      </c>
      <c r="L129" s="55">
        <f t="shared" si="57"/>
        <v>9.2997681328525121E-4</v>
      </c>
      <c r="M129" s="55">
        <f t="shared" si="58"/>
        <v>0.99907002318671478</v>
      </c>
      <c r="N129" s="55">
        <f t="shared" si="59"/>
        <v>5.439298672632952E-8</v>
      </c>
      <c r="O129" s="56">
        <f t="shared" si="60"/>
        <v>1.0005829432447579E-6</v>
      </c>
      <c r="P129" s="56">
        <f t="shared" si="61"/>
        <v>9.1088771975384435E-7</v>
      </c>
      <c r="Q129" s="56">
        <f t="shared" si="62"/>
        <v>5.327649350172586E-9</v>
      </c>
      <c r="R129" s="9">
        <f t="shared" si="44"/>
        <v>3.9999999999999996E-5</v>
      </c>
      <c r="S129" s="9">
        <f t="shared" si="45"/>
        <v>3.7199072531410046E-8</v>
      </c>
      <c r="T129" s="9">
        <f t="shared" si="40"/>
        <v>3.996174474807375E-5</v>
      </c>
      <c r="U129" s="9">
        <f t="shared" si="41"/>
        <v>3.9962800927468588E-5</v>
      </c>
      <c r="V129" s="100">
        <f t="shared" si="46"/>
        <v>0.99997357093671291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1.22936645448138</v>
      </c>
      <c r="K130" s="55">
        <f t="shared" si="56"/>
        <v>0.90796240513655835</v>
      </c>
      <c r="L130" s="55">
        <f t="shared" si="57"/>
        <v>1.5743824491952985E-2</v>
      </c>
      <c r="M130" s="55">
        <f t="shared" si="58"/>
        <v>0.984256175508047</v>
      </c>
      <c r="N130" s="55">
        <f t="shared" si="59"/>
        <v>3.6349714567315596E-3</v>
      </c>
      <c r="O130" s="56">
        <f t="shared" si="60"/>
        <v>9.0936139191562001E-7</v>
      </c>
      <c r="P130" s="56">
        <f t="shared" si="61"/>
        <v>1.5420660157126973E-5</v>
      </c>
      <c r="Q130" s="56">
        <f t="shared" si="62"/>
        <v>3.5603585103330127E-4</v>
      </c>
      <c r="R130" s="9">
        <f t="shared" si="44"/>
        <v>3.9999999999999996E-5</v>
      </c>
      <c r="S130" s="9">
        <f t="shared" si="45"/>
        <v>6.2975297967811932E-7</v>
      </c>
      <c r="T130" s="9">
        <f t="shared" si="40"/>
        <v>3.6318496205462333E-5</v>
      </c>
      <c r="U130" s="9">
        <f t="shared" si="41"/>
        <v>3.9370247020321879E-5</v>
      </c>
      <c r="V130" s="100">
        <f t="shared" si="46"/>
        <v>0.92248586062250737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7.8374902987815104E-2</v>
      </c>
      <c r="K131" s="55">
        <f t="shared" si="56"/>
        <v>0.99715324876529843</v>
      </c>
      <c r="L131" s="55">
        <f t="shared" si="57"/>
        <v>1.2212729279164774E-3</v>
      </c>
      <c r="M131" s="55">
        <f t="shared" si="58"/>
        <v>0.99877872707208348</v>
      </c>
      <c r="N131" s="55">
        <f t="shared" si="59"/>
        <v>1.8186026086077039E-5</v>
      </c>
      <c r="O131" s="56">
        <f t="shared" si="60"/>
        <v>9.9868966062974278E-7</v>
      </c>
      <c r="P131" s="56">
        <f t="shared" si="61"/>
        <v>1.1962045683452137E-6</v>
      </c>
      <c r="Q131" s="56">
        <f t="shared" si="62"/>
        <v>1.7812732098568502E-6</v>
      </c>
      <c r="R131" s="9">
        <f t="shared" si="44"/>
        <v>3.9999999999999996E-5</v>
      </c>
      <c r="S131" s="9">
        <f t="shared" si="45"/>
        <v>4.885091711665909E-8</v>
      </c>
      <c r="T131" s="9">
        <f t="shared" si="40"/>
        <v>3.9886129950611934E-5</v>
      </c>
      <c r="U131" s="9">
        <f t="shared" si="41"/>
        <v>3.9951149082883338E-5</v>
      </c>
      <c r="V131" s="100">
        <f t="shared" si="46"/>
        <v>0.99837253411318627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0.22522678638036814</v>
      </c>
      <c r="K132" s="55">
        <f t="shared" si="56"/>
        <v>0.99403856970619298</v>
      </c>
      <c r="L132" s="55">
        <f t="shared" si="57"/>
        <v>1.7072846702223957E-3</v>
      </c>
      <c r="M132" s="55">
        <f t="shared" si="58"/>
        <v>0.99829271532977759</v>
      </c>
      <c r="N132" s="55">
        <f t="shared" si="59"/>
        <v>6.9535298327035185E-5</v>
      </c>
      <c r="O132" s="56">
        <f t="shared" si="60"/>
        <v>9.9557018247895657E-7</v>
      </c>
      <c r="P132" s="56">
        <f t="shared" si="61"/>
        <v>1.6722402300933105E-6</v>
      </c>
      <c r="Q132" s="56">
        <f t="shared" si="62"/>
        <v>6.8107987673116848E-6</v>
      </c>
      <c r="R132" s="9">
        <f t="shared" si="44"/>
        <v>3.9999999999999996E-5</v>
      </c>
      <c r="S132" s="9">
        <f t="shared" si="45"/>
        <v>6.8291386808895828E-8</v>
      </c>
      <c r="T132" s="9">
        <f t="shared" si="40"/>
        <v>3.9761542788247712E-5</v>
      </c>
      <c r="U132" s="9">
        <f t="shared" si="41"/>
        <v>3.9931708613191102E-5</v>
      </c>
      <c r="V132" s="100">
        <f t="shared" si="46"/>
        <v>0.99573857891752793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2.0448179199352046</v>
      </c>
      <c r="K133" s="55">
        <f t="shared" si="56"/>
        <v>0.60352626649740626</v>
      </c>
      <c r="L133" s="55">
        <f t="shared" si="57"/>
        <v>6.8421094112050107E-2</v>
      </c>
      <c r="M133" s="55">
        <f t="shared" si="58"/>
        <v>0.93157890588794989</v>
      </c>
      <c r="N133" s="55">
        <f t="shared" si="59"/>
        <v>2.699859351131818E-2</v>
      </c>
      <c r="O133" s="56">
        <f t="shared" si="60"/>
        <v>6.0445617864230334E-7</v>
      </c>
      <c r="P133" s="56">
        <f t="shared" si="61"/>
        <v>6.7016654080462478E-5</v>
      </c>
      <c r="Q133" s="56">
        <f t="shared" si="62"/>
        <v>2.6444409074253177E-3</v>
      </c>
      <c r="R133" s="9">
        <f t="shared" si="44"/>
        <v>3.9999999999999996E-5</v>
      </c>
      <c r="S133" s="9">
        <f t="shared" si="45"/>
        <v>2.7368437644820042E-6</v>
      </c>
      <c r="T133" s="9">
        <f t="shared" si="40"/>
        <v>2.4141050659896249E-5</v>
      </c>
      <c r="U133" s="9">
        <f t="shared" si="41"/>
        <v>3.7263156235517991E-5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-4.2311399475221889E-2</v>
      </c>
      <c r="K134" s="55">
        <f t="shared" si="56"/>
        <v>0.99906491331625802</v>
      </c>
      <c r="L134" s="55">
        <f t="shared" si="57"/>
        <v>9.2674067795738555E-4</v>
      </c>
      <c r="M134" s="55">
        <f t="shared" si="58"/>
        <v>0.99907325932204261</v>
      </c>
      <c r="N134" s="55">
        <f t="shared" si="59"/>
        <v>1.0612328997446847E-8</v>
      </c>
      <c r="O134" s="56">
        <f t="shared" si="60"/>
        <v>1.0006042706698741E-6</v>
      </c>
      <c r="P134" s="56">
        <f t="shared" si="61"/>
        <v>9.0771801069496895E-7</v>
      </c>
      <c r="Q134" s="56">
        <f t="shared" si="62"/>
        <v>1.039449588814309E-9</v>
      </c>
      <c r="R134" s="9">
        <f t="shared" si="44"/>
        <v>3.9999999999999996E-5</v>
      </c>
      <c r="S134" s="9">
        <f t="shared" si="45"/>
        <v>3.7069627118295421E-8</v>
      </c>
      <c r="T134" s="9">
        <f t="shared" si="40"/>
        <v>3.9962596532650318E-5</v>
      </c>
      <c r="U134" s="9">
        <f t="shared" si="41"/>
        <v>3.9962930372881703E-5</v>
      </c>
      <c r="V134" s="100">
        <f t="shared" si="46"/>
        <v>0.99999164625245773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0.34202356582905674</v>
      </c>
      <c r="K135" s="55">
        <f t="shared" ref="K135:K143" si="65">IF(D135=0,"",1/(1+10^D135*$J$15/$J$14+10^E135*$J$16/$J$14+10^J135*$J$19/$J$14))</f>
        <v>0.99073825929875392</v>
      </c>
      <c r="L135" s="55">
        <f t="shared" ref="L135:L143" si="66">IF(D135=0,"",1/(1+10^I135/10^J135*$J$13/$J$19))</f>
        <v>2.2266831305707995E-3</v>
      </c>
      <c r="M135" s="55">
        <f t="shared" ref="M135:M143" si="67">IF(D135=0,"",1-L135)</f>
        <v>0.99777331686942916</v>
      </c>
      <c r="N135" s="55">
        <f t="shared" ref="N135:N143" si="68">IF(D135=0,"",1/(1/10^E135*$J$20/$J$22+10^D135/10^E135*$J$21/$J$22+10^I135/10^E135*$J$13/$J$22+1))</f>
        <v>1.396216883429992E-4</v>
      </c>
      <c r="O135" s="56">
        <f t="shared" ref="O135:O143" si="69">IF(D135=0,"",F135*K135*$J$7/$J$14)</f>
        <v>9.9226478695940221E-7</v>
      </c>
      <c r="P135" s="56">
        <f t="shared" ref="P135:P143" si="70">IF(D135=0,"",O135*10^J135)</f>
        <v>2.1809773001274397E-6</v>
      </c>
      <c r="Q135" s="56">
        <f t="shared" ref="Q135:Q143" si="71">IF(D135=0,"",F135*N135*$J$7/$J$22)</f>
        <v>1.367557550963657E-5</v>
      </c>
      <c r="R135" s="9">
        <f t="shared" si="44"/>
        <v>3.9999999999999996E-5</v>
      </c>
      <c r="S135" s="9">
        <f t="shared" si="45"/>
        <v>8.9067325222831975E-8</v>
      </c>
      <c r="T135" s="9">
        <f t="shared" si="40"/>
        <v>3.9629530371950151E-5</v>
      </c>
      <c r="U135" s="9">
        <f t="shared" si="41"/>
        <v>3.9910932674777161E-5</v>
      </c>
      <c r="V135" s="100">
        <f t="shared" si="46"/>
        <v>0.99294924262682416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-1.533861821554937E-2</v>
      </c>
      <c r="K136" s="55">
        <f t="shared" si="65"/>
        <v>0.99867885499175735</v>
      </c>
      <c r="L136" s="55">
        <f t="shared" si="66"/>
        <v>9.8574175923767386E-4</v>
      </c>
      <c r="M136" s="55">
        <f t="shared" si="67"/>
        <v>0.99901425824076229</v>
      </c>
      <c r="N136" s="55">
        <f t="shared" si="68"/>
        <v>1.9813484675578044E-6</v>
      </c>
      <c r="O136" s="56">
        <f t="shared" si="69"/>
        <v>1.0002176175074276E-6</v>
      </c>
      <c r="P136" s="56">
        <f t="shared" si="70"/>
        <v>9.6550801107203005E-7</v>
      </c>
      <c r="Q136" s="56">
        <f t="shared" si="71"/>
        <v>1.9406784791503406E-7</v>
      </c>
      <c r="R136" s="9">
        <f t="shared" si="44"/>
        <v>3.9999999999999996E-5</v>
      </c>
      <c r="S136" s="9">
        <f t="shared" si="45"/>
        <v>3.942967036950695E-8</v>
      </c>
      <c r="T136" s="9">
        <f t="shared" si="40"/>
        <v>3.9947154199670287E-5</v>
      </c>
      <c r="U136" s="9">
        <f t="shared" si="41"/>
        <v>3.9960570329630491E-5</v>
      </c>
      <c r="V136" s="100">
        <f t="shared" si="46"/>
        <v>0.99966426580377787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-4.2939405086996389E-2</v>
      </c>
      <c r="K137" s="55">
        <f t="shared" si="65"/>
        <v>0.99907368629863358</v>
      </c>
      <c r="L137" s="55">
        <f t="shared" si="66"/>
        <v>9.2540967182118536E-4</v>
      </c>
      <c r="M137" s="55">
        <f t="shared" si="67"/>
        <v>0.9990745903281788</v>
      </c>
      <c r="N137" s="55">
        <f t="shared" si="68"/>
        <v>4.5125453008364195E-10</v>
      </c>
      <c r="O137" s="56">
        <f t="shared" si="69"/>
        <v>1.0006130571696444E-6</v>
      </c>
      <c r="P137" s="56">
        <f t="shared" si="70"/>
        <v>9.0641432534812799E-7</v>
      </c>
      <c r="Q137" s="56">
        <f t="shared" si="71"/>
        <v>4.4199189061975283E-11</v>
      </c>
      <c r="R137" s="9">
        <f t="shared" si="44"/>
        <v>3.9999999999999996E-5</v>
      </c>
      <c r="S137" s="9">
        <f t="shared" si="45"/>
        <v>3.7016386872847411E-8</v>
      </c>
      <c r="T137" s="9">
        <f t="shared" si="40"/>
        <v>3.9962947451945337E-5</v>
      </c>
      <c r="U137" s="9">
        <f t="shared" si="41"/>
        <v>3.9962983613127147E-5</v>
      </c>
      <c r="V137" s="100">
        <f t="shared" si="46"/>
        <v>0.99999909513308216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-1.8328459527113827E-2</v>
      </c>
      <c r="K138" s="55">
        <f t="shared" si="65"/>
        <v>0.99872268093819705</v>
      </c>
      <c r="L138" s="55">
        <f t="shared" si="66"/>
        <v>9.7902182139708994E-4</v>
      </c>
      <c r="M138" s="55">
        <f t="shared" si="67"/>
        <v>0.99902097817860291</v>
      </c>
      <c r="N138" s="55">
        <f t="shared" si="68"/>
        <v>1.6794644445603461E-6</v>
      </c>
      <c r="O138" s="56">
        <f t="shared" si="69"/>
        <v>1.0002615109808037E-6</v>
      </c>
      <c r="P138" s="56">
        <f t="shared" si="70"/>
        <v>9.5892600948978288E-7</v>
      </c>
      <c r="Q138" s="56">
        <f t="shared" si="71"/>
        <v>1.6449910540339402E-7</v>
      </c>
      <c r="R138" s="9">
        <f t="shared" si="44"/>
        <v>3.9999999999999996E-5</v>
      </c>
      <c r="S138" s="9">
        <f t="shared" si="45"/>
        <v>3.9160872855883596E-8</v>
      </c>
      <c r="T138" s="9">
        <f t="shared" si="40"/>
        <v>3.9948907237527878E-5</v>
      </c>
      <c r="U138" s="9">
        <f t="shared" si="41"/>
        <v>3.9960839127144116E-5</v>
      </c>
      <c r="V138" s="100">
        <f t="shared" si="46"/>
        <v>0.99970141043389327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0.27218535628460888</v>
      </c>
      <c r="K139" s="55">
        <f t="shared" si="65"/>
        <v>0.99275172438686266</v>
      </c>
      <c r="L139" s="55">
        <f t="shared" si="66"/>
        <v>1.8997739357507516E-3</v>
      </c>
      <c r="M139" s="55">
        <f t="shared" si="67"/>
        <v>0.9981002260642492</v>
      </c>
      <c r="N139" s="55">
        <f t="shared" si="68"/>
        <v>6.1287029010364557E-5</v>
      </c>
      <c r="O139" s="56">
        <f t="shared" si="69"/>
        <v>9.9428135439076051E-7</v>
      </c>
      <c r="P139" s="56">
        <f t="shared" si="70"/>
        <v>1.860778380345489E-6</v>
      </c>
      <c r="Q139" s="56">
        <f t="shared" si="71"/>
        <v>6.0029025786705625E-6</v>
      </c>
      <c r="R139" s="9">
        <f t="shared" si="44"/>
        <v>3.9999999999999996E-5</v>
      </c>
      <c r="S139" s="9">
        <f t="shared" si="45"/>
        <v>7.5990957430030063E-8</v>
      </c>
      <c r="T139" s="9">
        <f t="shared" si="40"/>
        <v>3.97100689754745E-5</v>
      </c>
      <c r="U139" s="9">
        <f t="shared" si="41"/>
        <v>3.9924009042569962E-5</v>
      </c>
      <c r="V139" s="100">
        <f t="shared" si="46"/>
        <v>0.99464131803829259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-4.2440960889578133E-2</v>
      </c>
      <c r="K140" s="55">
        <f t="shared" si="65"/>
        <v>0.99906672322035661</v>
      </c>
      <c r="L140" s="55">
        <f t="shared" si="66"/>
        <v>9.264659265658939E-4</v>
      </c>
      <c r="M140" s="55">
        <f t="shared" si="67"/>
        <v>0.99907353407343413</v>
      </c>
      <c r="N140" s="55">
        <f t="shared" si="68"/>
        <v>7.951938138126355E-9</v>
      </c>
      <c r="O140" s="56">
        <f t="shared" si="69"/>
        <v>1.0006060833626696E-6</v>
      </c>
      <c r="P140" s="56">
        <f t="shared" si="70"/>
        <v>9.0744889896560127E-7</v>
      </c>
      <c r="Q140" s="56">
        <f t="shared" si="71"/>
        <v>7.7887133257372993E-10</v>
      </c>
      <c r="R140" s="9">
        <f t="shared" si="44"/>
        <v>3.9999999999999996E-5</v>
      </c>
      <c r="S140" s="9">
        <f t="shared" si="45"/>
        <v>3.7058637062635752E-8</v>
      </c>
      <c r="T140" s="9">
        <f t="shared" si="40"/>
        <v>3.9962668928814258E-5</v>
      </c>
      <c r="U140" s="9">
        <f t="shared" si="41"/>
        <v>3.9962941362937364E-5</v>
      </c>
      <c r="V140" s="100">
        <f t="shared" si="46"/>
        <v>0.99999318283104777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-4.1584645415536546E-2</v>
      </c>
      <c r="K141" s="55">
        <f t="shared" si="65"/>
        <v>0.99905475749616612</v>
      </c>
      <c r="L141" s="55">
        <f t="shared" si="66"/>
        <v>9.2828335982172256E-4</v>
      </c>
      <c r="M141" s="55">
        <f t="shared" si="67"/>
        <v>0.99907171664017824</v>
      </c>
      <c r="N141" s="55">
        <f t="shared" si="68"/>
        <v>2.9028886013607086E-8</v>
      </c>
      <c r="O141" s="56">
        <f t="shared" si="69"/>
        <v>1.0005940992017136E-6</v>
      </c>
      <c r="P141" s="56">
        <f t="shared" si="70"/>
        <v>9.0922902682530397E-7</v>
      </c>
      <c r="Q141" s="56">
        <f t="shared" si="71"/>
        <v>2.8433026942380616E-9</v>
      </c>
      <c r="R141" s="9">
        <f t="shared" si="44"/>
        <v>3.9999999999999996E-5</v>
      </c>
      <c r="S141" s="9">
        <f t="shared" si="45"/>
        <v>3.71313343928689E-8</v>
      </c>
      <c r="T141" s="9">
        <f t="shared" si="40"/>
        <v>3.9962190299846642E-5</v>
      </c>
      <c r="U141" s="9">
        <f t="shared" si="41"/>
        <v>3.9962868665607125E-5</v>
      </c>
      <c r="V141" s="100">
        <f t="shared" si="46"/>
        <v>0.99998302509846926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1.3986521988501153</v>
      </c>
      <c r="K142" s="55">
        <f t="shared" si="65"/>
        <v>0.86912316769557396</v>
      </c>
      <c r="L142" s="55">
        <f t="shared" si="66"/>
        <v>2.2254069718050586E-2</v>
      </c>
      <c r="M142" s="55">
        <f t="shared" si="67"/>
        <v>0.97774593028194945</v>
      </c>
      <c r="N142" s="55">
        <f t="shared" si="68"/>
        <v>5.8702936406747879E-3</v>
      </c>
      <c r="O142" s="56">
        <f t="shared" si="69"/>
        <v>8.7046231105008267E-7</v>
      </c>
      <c r="P142" s="56">
        <f t="shared" si="70"/>
        <v>2.1797273363309631E-5</v>
      </c>
      <c r="Q142" s="56">
        <f t="shared" si="71"/>
        <v>5.7497975350054374E-4</v>
      </c>
      <c r="R142" s="9">
        <f t="shared" si="44"/>
        <v>3.9999999999999996E-5</v>
      </c>
      <c r="S142" s="9">
        <f t="shared" si="45"/>
        <v>8.9016278872202335E-7</v>
      </c>
      <c r="T142" s="9">
        <f t="shared" si="40"/>
        <v>3.4764926707822955E-5</v>
      </c>
      <c r="U142" s="9">
        <f t="shared" si="41"/>
        <v>3.9109837211277973E-5</v>
      </c>
      <c r="V142" s="100">
        <f t="shared" si="46"/>
        <v>0.88890491975246344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2.394879773509194</v>
      </c>
      <c r="K143" s="55">
        <f t="shared" si="65"/>
        <v>0.37665983403135717</v>
      </c>
      <c r="L143" s="55">
        <f t="shared" si="66"/>
        <v>9.5610370875694128E-2</v>
      </c>
      <c r="M143" s="55">
        <f t="shared" si="67"/>
        <v>0.90438962912430587</v>
      </c>
      <c r="N143" s="55">
        <f t="shared" si="68"/>
        <v>1.6233987673376438E-3</v>
      </c>
      <c r="O143" s="56">
        <f t="shared" si="69"/>
        <v>3.7724019080057182E-7</v>
      </c>
      <c r="P143" s="56">
        <f t="shared" si="70"/>
        <v>9.3647832362748611E-5</v>
      </c>
      <c r="Q143" s="56">
        <f t="shared" si="71"/>
        <v>1.5900762043814706E-4</v>
      </c>
      <c r="R143" s="9">
        <f t="shared" si="44"/>
        <v>3.9999999999999996E-5</v>
      </c>
      <c r="S143" s="9">
        <f t="shared" si="45"/>
        <v>3.8244148350277648E-6</v>
      </c>
      <c r="T143" s="9">
        <f t="shared" si="40"/>
        <v>1.5066393361254285E-5</v>
      </c>
      <c r="U143" s="9">
        <f t="shared" si="41"/>
        <v>3.6175585164972228E-5</v>
      </c>
      <c r="V143" s="100">
        <f t="shared" si="46"/>
        <v>0.4164796033719072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2025-02-02T15:03:27Z</dcterms:modified>
</cp:coreProperties>
</file>