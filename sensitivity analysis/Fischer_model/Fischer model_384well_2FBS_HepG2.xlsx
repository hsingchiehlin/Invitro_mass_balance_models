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D3ADC754-E2D6-446A-BB81-FF5E46BD19D3}" xr6:coauthVersionLast="47" xr6:coauthVersionMax="47" xr10:uidLastSave="{00000000-0000-0000-0000-000000000000}"/>
  <bookViews>
    <workbookView minimized="1" xWindow="48630" yWindow="3615" windowWidth="16200" windowHeight="999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V127" i="4"/>
  <c r="U127" i="4"/>
  <c r="T127" i="4"/>
  <c r="S127" i="4"/>
  <c r="R127" i="4"/>
  <c r="V126" i="4"/>
  <c r="R126" i="4"/>
  <c r="V124" i="4"/>
  <c r="U124" i="4"/>
  <c r="T124" i="4"/>
  <c r="S124" i="4"/>
  <c r="R124" i="4"/>
  <c r="V121" i="4"/>
  <c r="R121" i="4"/>
  <c r="T121" i="4" s="1"/>
  <c r="V120" i="4"/>
  <c r="R120" i="4"/>
  <c r="U120" i="4" s="1"/>
  <c r="V119" i="4"/>
  <c r="R119" i="4"/>
  <c r="U119" i="4" s="1"/>
  <c r="V116" i="4"/>
  <c r="R116" i="4"/>
  <c r="V115" i="4"/>
  <c r="U115" i="4"/>
  <c r="T115" i="4"/>
  <c r="R115" i="4"/>
  <c r="S115" i="4" s="1"/>
  <c r="V114" i="4"/>
  <c r="R114" i="4"/>
  <c r="U114" i="4" s="1"/>
  <c r="V108" i="4"/>
  <c r="U108" i="4"/>
  <c r="T108" i="4"/>
  <c r="S108" i="4"/>
  <c r="R108" i="4"/>
  <c r="V107" i="4"/>
  <c r="R107" i="4"/>
  <c r="U107" i="4" s="1"/>
  <c r="V93" i="4"/>
  <c r="R93" i="4"/>
  <c r="U93" i="4" s="1"/>
  <c r="V92" i="4"/>
  <c r="U92" i="4"/>
  <c r="T92" i="4"/>
  <c r="S92" i="4"/>
  <c r="R92" i="4"/>
  <c r="V91" i="4"/>
  <c r="R91" i="4"/>
  <c r="U91" i="4" s="1"/>
  <c r="V90" i="4"/>
  <c r="U90" i="4"/>
  <c r="T90" i="4"/>
  <c r="S90" i="4"/>
  <c r="R90" i="4"/>
  <c r="V89" i="4"/>
  <c r="R89" i="4"/>
  <c r="U89" i="4" s="1"/>
  <c r="V88" i="4"/>
  <c r="T88" i="4"/>
  <c r="S88" i="4"/>
  <c r="R88" i="4"/>
  <c r="U88" i="4" s="1"/>
  <c r="V86" i="4"/>
  <c r="R86" i="4"/>
  <c r="U86" i="4" s="1"/>
  <c r="V85" i="4"/>
  <c r="R85" i="4"/>
  <c r="V84" i="4"/>
  <c r="U84" i="4"/>
  <c r="T84" i="4"/>
  <c r="R84" i="4"/>
  <c r="S84" i="4" s="1"/>
  <c r="V83" i="4"/>
  <c r="R83" i="4"/>
  <c r="U83" i="4" s="1"/>
  <c r="V82" i="4"/>
  <c r="R82" i="4"/>
  <c r="U82" i="4" s="1"/>
  <c r="V81" i="4"/>
  <c r="R81" i="4"/>
  <c r="U81" i="4" s="1"/>
  <c r="V80" i="4"/>
  <c r="R80" i="4"/>
  <c r="U80" i="4" s="1"/>
  <c r="V79" i="4"/>
  <c r="U79" i="4"/>
  <c r="T79" i="4"/>
  <c r="S79" i="4"/>
  <c r="R79" i="4"/>
  <c r="V78" i="4"/>
  <c r="R78" i="4"/>
  <c r="V77" i="4"/>
  <c r="U77" i="4"/>
  <c r="T77" i="4"/>
  <c r="S77" i="4"/>
  <c r="R77" i="4"/>
  <c r="V76" i="4"/>
  <c r="R76" i="4"/>
  <c r="U76" i="4" s="1"/>
  <c r="V75" i="4"/>
  <c r="R75" i="4"/>
  <c r="U75" i="4" s="1"/>
  <c r="V74" i="4"/>
  <c r="R74" i="4"/>
  <c r="U74" i="4" s="1"/>
  <c r="V73" i="4"/>
  <c r="R73" i="4"/>
  <c r="V72" i="4"/>
  <c r="U72" i="4"/>
  <c r="T72" i="4"/>
  <c r="R72" i="4"/>
  <c r="S72" i="4" s="1"/>
  <c r="V71" i="4"/>
  <c r="R71" i="4"/>
  <c r="U71" i="4" s="1"/>
  <c r="V70" i="4"/>
  <c r="R70" i="4"/>
  <c r="U70" i="4" s="1"/>
  <c r="V69" i="4"/>
  <c r="R69" i="4"/>
  <c r="U69" i="4" s="1"/>
  <c r="V68" i="4"/>
  <c r="R68" i="4"/>
  <c r="U68" i="4" s="1"/>
  <c r="V65" i="4"/>
  <c r="U65" i="4"/>
  <c r="T65" i="4"/>
  <c r="S65" i="4"/>
  <c r="R65" i="4"/>
  <c r="V64" i="4"/>
  <c r="R64" i="4"/>
  <c r="V63" i="4"/>
  <c r="U63" i="4"/>
  <c r="T63" i="4"/>
  <c r="S63" i="4"/>
  <c r="R63" i="4"/>
  <c r="V62" i="4"/>
  <c r="R62" i="4"/>
  <c r="U62" i="4" s="1"/>
  <c r="V61" i="4"/>
  <c r="R61" i="4"/>
  <c r="U61" i="4" s="1"/>
  <c r="V60" i="4"/>
  <c r="R60" i="4"/>
  <c r="U60" i="4" s="1"/>
  <c r="V58" i="4"/>
  <c r="R58" i="4"/>
  <c r="V57" i="4"/>
  <c r="U57" i="4"/>
  <c r="T57" i="4"/>
  <c r="R57" i="4"/>
  <c r="S57" i="4" s="1"/>
  <c r="V49" i="4"/>
  <c r="R49" i="4"/>
  <c r="U49" i="4" s="1"/>
  <c r="V48" i="4"/>
  <c r="R48" i="4"/>
  <c r="U48" i="4" s="1"/>
  <c r="V47" i="4"/>
  <c r="R47" i="4"/>
  <c r="U47" i="4" s="1"/>
  <c r="V46" i="4"/>
  <c r="R46" i="4"/>
  <c r="U46" i="4" s="1"/>
  <c r="V45" i="4"/>
  <c r="U45" i="4"/>
  <c r="T45" i="4"/>
  <c r="S45" i="4"/>
  <c r="R45" i="4"/>
  <c r="V44" i="4"/>
  <c r="R44" i="4"/>
  <c r="V43" i="4"/>
  <c r="U43" i="4"/>
  <c r="T43" i="4"/>
  <c r="S43" i="4"/>
  <c r="R43" i="4"/>
  <c r="V42" i="4"/>
  <c r="R42" i="4"/>
  <c r="U42" i="4" s="1"/>
  <c r="V41" i="4"/>
  <c r="R41" i="4"/>
  <c r="U41" i="4" s="1"/>
  <c r="V40" i="4"/>
  <c r="R40" i="4"/>
  <c r="U40" i="4" s="1"/>
  <c r="V39" i="4"/>
  <c r="R39" i="4"/>
  <c r="V38" i="4"/>
  <c r="U38" i="4"/>
  <c r="T38" i="4"/>
  <c r="R38" i="4"/>
  <c r="S38" i="4" s="1"/>
  <c r="V37" i="4"/>
  <c r="R37" i="4"/>
  <c r="U37" i="4" s="1"/>
  <c r="V36" i="4"/>
  <c r="R36" i="4"/>
  <c r="U36" i="4" s="1"/>
  <c r="V35" i="4"/>
  <c r="R35" i="4"/>
  <c r="U35" i="4" s="1"/>
  <c r="V34" i="4"/>
  <c r="R34" i="4"/>
  <c r="U34" i="4" s="1"/>
  <c r="V33" i="4"/>
  <c r="U33" i="4"/>
  <c r="T33" i="4"/>
  <c r="S33" i="4"/>
  <c r="R33" i="4"/>
  <c r="V32" i="4"/>
  <c r="R32" i="4"/>
  <c r="V31" i="4"/>
  <c r="U31" i="4"/>
  <c r="T31" i="4"/>
  <c r="S31" i="4"/>
  <c r="R31" i="4"/>
  <c r="V30" i="4"/>
  <c r="R30" i="4"/>
  <c r="U30" i="4" s="1"/>
  <c r="V29" i="4"/>
  <c r="R29" i="4"/>
  <c r="U29" i="4" s="1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L130" i="4"/>
  <c r="M130" i="4" s="1"/>
  <c r="N130" i="4"/>
  <c r="O130" i="4"/>
  <c r="P130" i="4"/>
  <c r="Q130" i="4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64" i="4" l="1"/>
  <c r="T64" i="4"/>
  <c r="S64" i="4"/>
  <c r="U73" i="4"/>
  <c r="T73" i="4"/>
  <c r="U126" i="4"/>
  <c r="T126" i="4"/>
  <c r="S126" i="4"/>
  <c r="S61" i="4"/>
  <c r="S73" i="4"/>
  <c r="S80" i="4"/>
  <c r="U32" i="4"/>
  <c r="T32" i="4"/>
  <c r="S32" i="4"/>
  <c r="U39" i="4"/>
  <c r="T39" i="4"/>
  <c r="T61" i="4"/>
  <c r="S70" i="4"/>
  <c r="T80" i="4"/>
  <c r="S29" i="4"/>
  <c r="S39" i="4"/>
  <c r="S46" i="4"/>
  <c r="T70" i="4"/>
  <c r="T29" i="4"/>
  <c r="S36" i="4"/>
  <c r="T46" i="4"/>
  <c r="T36" i="4"/>
  <c r="U78" i="4"/>
  <c r="T78" i="4"/>
  <c r="S78" i="4"/>
  <c r="U85" i="4"/>
  <c r="T85" i="4"/>
  <c r="S93" i="4"/>
  <c r="S75" i="4"/>
  <c r="S85" i="4"/>
  <c r="T93" i="4"/>
  <c r="U44" i="4"/>
  <c r="T44" i="4"/>
  <c r="S44" i="4"/>
  <c r="U58" i="4"/>
  <c r="T58" i="4"/>
  <c r="T75" i="4"/>
  <c r="S82" i="4"/>
  <c r="U130" i="4"/>
  <c r="T130" i="4"/>
  <c r="S41" i="4"/>
  <c r="S58" i="4"/>
  <c r="S68" i="4"/>
  <c r="T82" i="4"/>
  <c r="S130" i="4"/>
  <c r="T41" i="4"/>
  <c r="U116" i="4"/>
  <c r="T116" i="4"/>
  <c r="S116" i="4"/>
  <c r="S34" i="4"/>
  <c r="T48" i="4"/>
  <c r="S120" i="4"/>
  <c r="T120" i="4"/>
  <c r="S48" i="4"/>
  <c r="T68" i="4"/>
  <c r="T34" i="4"/>
  <c r="S91" i="4"/>
  <c r="S37" i="4"/>
  <c r="S49" i="4"/>
  <c r="S71" i="4"/>
  <c r="S83" i="4"/>
  <c r="T91" i="4"/>
  <c r="S114" i="4"/>
  <c r="S30" i="4"/>
  <c r="T37" i="4"/>
  <c r="S42" i="4"/>
  <c r="T49" i="4"/>
  <c r="S62" i="4"/>
  <c r="T71" i="4"/>
  <c r="S76" i="4"/>
  <c r="T83" i="4"/>
  <c r="S89" i="4"/>
  <c r="T114" i="4"/>
  <c r="T30" i="4"/>
  <c r="S35" i="4"/>
  <c r="T42" i="4"/>
  <c r="S47" i="4"/>
  <c r="T62" i="4"/>
  <c r="S69" i="4"/>
  <c r="T76" i="4"/>
  <c r="S81" i="4"/>
  <c r="T89" i="4"/>
  <c r="S107" i="4"/>
  <c r="S131" i="4"/>
  <c r="S28" i="4"/>
  <c r="T35" i="4"/>
  <c r="S40" i="4"/>
  <c r="T47" i="4"/>
  <c r="S60" i="4"/>
  <c r="T69" i="4"/>
  <c r="S74" i="4"/>
  <c r="T81" i="4"/>
  <c r="S86" i="4"/>
  <c r="T107" i="4"/>
  <c r="S119" i="4"/>
  <c r="U121" i="4"/>
  <c r="T131" i="4"/>
  <c r="S121" i="4"/>
  <c r="T28" i="4"/>
  <c r="T40" i="4"/>
  <c r="T60" i="4"/>
  <c r="T74" i="4"/>
  <c r="T86" i="4"/>
  <c r="T119" i="4"/>
  <c r="O15" i="1" l="1"/>
  <c r="L15" i="1"/>
  <c r="N15" i="1"/>
  <c r="M96" i="4"/>
  <c r="M98" i="4"/>
  <c r="M99" i="4"/>
  <c r="M100" i="4"/>
  <c r="M101" i="4"/>
  <c r="M102" i="4"/>
  <c r="M103" i="4"/>
  <c r="M104" i="4"/>
  <c r="M105" i="4"/>
  <c r="M106" i="4"/>
  <c r="M107" i="4"/>
  <c r="M109" i="4"/>
  <c r="M110" i="4"/>
  <c r="M111" i="4"/>
  <c r="M112" i="4"/>
  <c r="M113" i="4"/>
  <c r="M117" i="4"/>
  <c r="M118" i="4"/>
  <c r="M121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L120" i="4" s="1"/>
  <c r="M120" i="4" s="1"/>
  <c r="J101" i="4"/>
  <c r="K101" i="4"/>
  <c r="J86" i="4"/>
  <c r="K86" i="4" s="1"/>
  <c r="J85" i="4"/>
  <c r="K85" i="4" s="1"/>
  <c r="J88" i="4"/>
  <c r="K88" i="4" s="1"/>
  <c r="J119" i="4"/>
  <c r="K119" i="4"/>
  <c r="O119" i="4" s="1"/>
  <c r="P119" i="4" s="1"/>
  <c r="J72" i="4"/>
  <c r="K72" i="4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L114" i="4" s="1"/>
  <c r="M114" i="4" s="1"/>
  <c r="J78" i="4"/>
  <c r="K78" i="4" s="1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 s="1"/>
  <c r="J106" i="4"/>
  <c r="K106" i="4"/>
  <c r="J127" i="4"/>
  <c r="K127" i="4" s="1"/>
  <c r="O127" i="4" s="1"/>
  <c r="P127" i="4" s="1"/>
  <c r="J111" i="4"/>
  <c r="K111" i="4"/>
  <c r="J95" i="4"/>
  <c r="K95" i="4"/>
  <c r="J79" i="4"/>
  <c r="K79" i="4" s="1"/>
  <c r="J126" i="4"/>
  <c r="K126" i="4" s="1"/>
  <c r="O126" i="4" s="1"/>
  <c r="P126" i="4" s="1"/>
  <c r="J94" i="4"/>
  <c r="K94" i="4" s="1"/>
  <c r="J121" i="4"/>
  <c r="K121" i="4"/>
  <c r="J105" i="4"/>
  <c r="K105" i="4"/>
  <c r="J89" i="4"/>
  <c r="K89" i="4"/>
  <c r="J73" i="4"/>
  <c r="K73" i="4" s="1"/>
  <c r="J124" i="4"/>
  <c r="K124" i="4"/>
  <c r="O124" i="4" s="1"/>
  <c r="P124" i="4" s="1"/>
  <c r="J108" i="4"/>
  <c r="K108" i="4"/>
  <c r="J92" i="4"/>
  <c r="K92" i="4"/>
  <c r="J76" i="4"/>
  <c r="K76" i="4"/>
  <c r="J98" i="4"/>
  <c r="K98" i="4"/>
  <c r="J123" i="4"/>
  <c r="K123" i="4"/>
  <c r="J107" i="4"/>
  <c r="K107" i="4"/>
  <c r="O107" i="4" s="1"/>
  <c r="P107" i="4" s="1"/>
  <c r="J91" i="4"/>
  <c r="K91" i="4"/>
  <c r="J75" i="4"/>
  <c r="K75" i="4"/>
  <c r="P100" i="4"/>
  <c r="P115" i="4"/>
  <c r="O112" i="4"/>
  <c r="P112" i="4"/>
  <c r="O75" i="4"/>
  <c r="P75" i="4" s="1"/>
  <c r="O98" i="4"/>
  <c r="P98" i="4"/>
  <c r="O108" i="4"/>
  <c r="P108" i="4" s="1"/>
  <c r="O105" i="4"/>
  <c r="P105" i="4"/>
  <c r="O111" i="4"/>
  <c r="P111" i="4"/>
  <c r="O74" i="4"/>
  <c r="P74" i="4" s="1"/>
  <c r="O104" i="4"/>
  <c r="P104" i="4"/>
  <c r="O91" i="4"/>
  <c r="P91" i="4"/>
  <c r="O121" i="4"/>
  <c r="P121" i="4" s="1"/>
  <c r="O96" i="4"/>
  <c r="P96" i="4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71" i="4"/>
  <c r="P71" i="4" s="1"/>
  <c r="O103" i="4"/>
  <c r="P103" i="4"/>
  <c r="O122" i="4"/>
  <c r="P122" i="4"/>
  <c r="O123" i="4"/>
  <c r="P123" i="4"/>
  <c r="O92" i="4"/>
  <c r="P92" i="4" s="1"/>
  <c r="O125" i="4"/>
  <c r="P125" i="4"/>
  <c r="O99" i="4"/>
  <c r="P99" i="4"/>
  <c r="O101" i="4"/>
  <c r="P101" i="4"/>
  <c r="I76" i="4"/>
  <c r="I77" i="4"/>
  <c r="N77" i="4" s="1"/>
  <c r="Q77" i="4" s="1"/>
  <c r="I81" i="4"/>
  <c r="L81" i="4" s="1"/>
  <c r="I89" i="4"/>
  <c r="N89" i="4" s="1"/>
  <c r="Q89" i="4" s="1"/>
  <c r="I90" i="4"/>
  <c r="L90" i="4" s="1"/>
  <c r="I96" i="4"/>
  <c r="I99" i="4"/>
  <c r="I102" i="4"/>
  <c r="I104" i="4"/>
  <c r="I108" i="4"/>
  <c r="I111" i="4"/>
  <c r="I113" i="4"/>
  <c r="I115" i="4"/>
  <c r="I119" i="4"/>
  <c r="N119" i="4" s="1"/>
  <c r="Q119" i="4" s="1"/>
  <c r="I120" i="4"/>
  <c r="N120" i="4" s="1"/>
  <c r="Q120" i="4" s="1"/>
  <c r="I123" i="4"/>
  <c r="I125" i="4"/>
  <c r="I79" i="4"/>
  <c r="N79" i="4" s="1"/>
  <c r="Q79" i="4" s="1"/>
  <c r="I92" i="4"/>
  <c r="I100" i="4"/>
  <c r="I103" i="4"/>
  <c r="I107" i="4"/>
  <c r="I109" i="4"/>
  <c r="I110" i="4"/>
  <c r="I117" i="4"/>
  <c r="I124" i="4"/>
  <c r="I72" i="4"/>
  <c r="I106" i="4"/>
  <c r="I71" i="4"/>
  <c r="L71" i="4" s="1"/>
  <c r="M71" i="4" s="1"/>
  <c r="I75" i="4"/>
  <c r="N75" i="4" s="1"/>
  <c r="Q75" i="4" s="1"/>
  <c r="I80" i="4"/>
  <c r="I83" i="4"/>
  <c r="N83" i="4" s="1"/>
  <c r="Q83" i="4" s="1"/>
  <c r="I86" i="4"/>
  <c r="I88" i="4"/>
  <c r="N88" i="4" s="1"/>
  <c r="Q88" i="4" s="1"/>
  <c r="I94" i="4"/>
  <c r="L94" i="4" s="1"/>
  <c r="I95" i="4"/>
  <c r="N95" i="4" s="1"/>
  <c r="Q95" i="4" s="1"/>
  <c r="I98" i="4"/>
  <c r="I101" i="4"/>
  <c r="I118" i="4"/>
  <c r="I127" i="4"/>
  <c r="N127" i="4" s="1"/>
  <c r="Q127" i="4" s="1"/>
  <c r="I73" i="4"/>
  <c r="L73" i="4" s="1"/>
  <c r="I74" i="4"/>
  <c r="L74" i="4" s="1"/>
  <c r="I78" i="4"/>
  <c r="I82" i="4"/>
  <c r="L82" i="4" s="1"/>
  <c r="I85" i="4"/>
  <c r="L85" i="4" s="1"/>
  <c r="I93" i="4"/>
  <c r="N93" i="4" s="1"/>
  <c r="Q93" i="4" s="1"/>
  <c r="I112" i="4"/>
  <c r="I114" i="4"/>
  <c r="I121" i="4"/>
  <c r="I122" i="4"/>
  <c r="I84" i="4"/>
  <c r="I87" i="4"/>
  <c r="I91" i="4"/>
  <c r="N91" i="4" s="1"/>
  <c r="Q91" i="4" s="1"/>
  <c r="I97" i="4"/>
  <c r="L97" i="4" s="1"/>
  <c r="I105" i="4"/>
  <c r="I116" i="4"/>
  <c r="N116" i="4" s="1"/>
  <c r="Q116" i="4" s="1"/>
  <c r="I126" i="4"/>
  <c r="L105" i="4"/>
  <c r="N105" i="4"/>
  <c r="Q105" i="4"/>
  <c r="N121" i="4"/>
  <c r="Q121" i="4"/>
  <c r="L121" i="4"/>
  <c r="N73" i="4"/>
  <c r="Q73" i="4"/>
  <c r="N101" i="4"/>
  <c r="Q101" i="4"/>
  <c r="L101" i="4"/>
  <c r="L106" i="4"/>
  <c r="N106" i="4"/>
  <c r="Q106" i="4"/>
  <c r="L124" i="4"/>
  <c r="M124" i="4" s="1"/>
  <c r="N124" i="4"/>
  <c r="Q124" i="4"/>
  <c r="N107" i="4"/>
  <c r="Q107" i="4"/>
  <c r="L107" i="4"/>
  <c r="L119" i="4"/>
  <c r="M119" i="4" s="1"/>
  <c r="N108" i="4"/>
  <c r="Q108" i="4"/>
  <c r="L108" i="4"/>
  <c r="M108" i="4" s="1"/>
  <c r="L96" i="4"/>
  <c r="N96" i="4"/>
  <c r="Q96" i="4" s="1"/>
  <c r="N114" i="4"/>
  <c r="Q114" i="4" s="1"/>
  <c r="N98" i="4"/>
  <c r="Q98" i="4"/>
  <c r="L98" i="4"/>
  <c r="N86" i="4"/>
  <c r="Q86" i="4" s="1"/>
  <c r="L86" i="4"/>
  <c r="N71" i="4"/>
  <c r="Q71" i="4" s="1"/>
  <c r="N117" i="4"/>
  <c r="Q117" i="4"/>
  <c r="L117" i="4"/>
  <c r="N103" i="4"/>
  <c r="Q103" i="4"/>
  <c r="L103" i="4"/>
  <c r="L125" i="4"/>
  <c r="N125" i="4"/>
  <c r="Q125" i="4"/>
  <c r="N115" i="4"/>
  <c r="Q115" i="4" s="1"/>
  <c r="L115" i="4"/>
  <c r="M115" i="4" s="1"/>
  <c r="L104" i="4"/>
  <c r="N104" i="4"/>
  <c r="Q104" i="4"/>
  <c r="N76" i="4"/>
  <c r="Q76" i="4"/>
  <c r="N126" i="4"/>
  <c r="Q126" i="4" s="1"/>
  <c r="L126" i="4"/>
  <c r="M126" i="4" s="1"/>
  <c r="L112" i="4"/>
  <c r="N112" i="4"/>
  <c r="Q112" i="4"/>
  <c r="N78" i="4"/>
  <c r="Q78" i="4"/>
  <c r="L127" i="4"/>
  <c r="M127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L116" i="4"/>
  <c r="M116" i="4" s="1"/>
  <c r="N87" i="4"/>
  <c r="Q87" i="4" s="1"/>
  <c r="L87" i="4"/>
  <c r="N122" i="4"/>
  <c r="Q122" i="4"/>
  <c r="L122" i="4"/>
  <c r="N118" i="4"/>
  <c r="Q118" i="4"/>
  <c r="L118" i="4"/>
  <c r="N80" i="4"/>
  <c r="Q80" i="4" s="1"/>
  <c r="N109" i="4"/>
  <c r="Q109" i="4"/>
  <c r="L109" i="4"/>
  <c r="L92" i="4"/>
  <c r="N92" i="4"/>
  <c r="Q92" i="4"/>
  <c r="N111" i="4"/>
  <c r="Q111" i="4"/>
  <c r="L111" i="4"/>
  <c r="N99" i="4"/>
  <c r="Q99" i="4"/>
  <c r="L99" i="4"/>
  <c r="M81" i="4" l="1"/>
  <c r="O86" i="4"/>
  <c r="P86" i="4" s="1"/>
  <c r="O78" i="4"/>
  <c r="P78" i="4" s="1"/>
  <c r="O73" i="4"/>
  <c r="P73" i="4" s="1"/>
  <c r="O79" i="4"/>
  <c r="P79" i="4" s="1"/>
  <c r="M74" i="4"/>
  <c r="M73" i="4"/>
  <c r="M90" i="4"/>
  <c r="M87" i="4"/>
  <c r="M82" i="4"/>
  <c r="M86" i="4"/>
  <c r="K114" i="4"/>
  <c r="O114" i="4" s="1"/>
  <c r="P114" i="4" s="1"/>
  <c r="K120" i="4"/>
  <c r="O120" i="4" s="1"/>
  <c r="P120" i="4" s="1"/>
  <c r="O82" i="4"/>
  <c r="P82" i="4" s="1"/>
  <c r="L78" i="4"/>
  <c r="L84" i="4"/>
  <c r="O76" i="4"/>
  <c r="P76" i="4" s="1"/>
  <c r="L76" i="4"/>
  <c r="O88" i="4"/>
  <c r="P88" i="4" s="1"/>
  <c r="O87" i="4"/>
  <c r="P87" i="4" s="1"/>
  <c r="O84" i="4"/>
  <c r="P84" i="4" s="1"/>
  <c r="L72" i="4"/>
  <c r="N90" i="4"/>
  <c r="Q90" i="4" s="1"/>
  <c r="N74" i="4"/>
  <c r="Q74" i="4" s="1"/>
  <c r="L79" i="4"/>
  <c r="L75" i="4"/>
  <c r="O90" i="4"/>
  <c r="P90" i="4" s="1"/>
  <c r="O85" i="4"/>
  <c r="P85" i="4" s="1"/>
  <c r="O72" i="4"/>
  <c r="P72" i="4" s="1"/>
  <c r="O77" i="4"/>
  <c r="P77" i="4" s="1"/>
  <c r="O93" i="4"/>
  <c r="P93" i="4" s="1"/>
  <c r="N81" i="4"/>
  <c r="Q81" i="4" s="1"/>
  <c r="L91" i="4"/>
  <c r="M91" i="4" s="1"/>
  <c r="L77" i="4"/>
  <c r="M94" i="4"/>
  <c r="O81" i="4"/>
  <c r="P81" i="4" s="1"/>
  <c r="O83" i="4"/>
  <c r="P83" i="4" s="1"/>
  <c r="L89" i="4"/>
  <c r="O94" i="4"/>
  <c r="P94" i="4" s="1"/>
  <c r="M97" i="4"/>
  <c r="O95" i="4"/>
  <c r="P95" i="4" s="1"/>
  <c r="O89" i="4"/>
  <c r="P89" i="4" s="1"/>
  <c r="M92" i="4"/>
  <c r="L83" i="4"/>
  <c r="M85" i="4"/>
  <c r="O80" i="4"/>
  <c r="P80" i="4" s="1"/>
  <c r="N97" i="4"/>
  <c r="Q97" i="4" s="1"/>
  <c r="N85" i="4"/>
  <c r="Q85" i="4" s="1"/>
  <c r="L95" i="4"/>
  <c r="L93" i="4"/>
  <c r="L88" i="4"/>
  <c r="N72" i="4"/>
  <c r="Q72" i="4" s="1"/>
  <c r="N82" i="4"/>
  <c r="Q82" i="4" s="1"/>
  <c r="L80" i="4"/>
  <c r="N84" i="4"/>
  <c r="Q84" i="4" s="1"/>
  <c r="N94" i="4"/>
  <c r="Q94" i="4" s="1"/>
  <c r="J14" i="4"/>
  <c r="J13" i="4" s="1"/>
  <c r="K16" i="4" s="1"/>
  <c r="M77" i="4" l="1"/>
  <c r="M76" i="4"/>
  <c r="M93" i="4"/>
  <c r="M72" i="4"/>
  <c r="M78" i="4"/>
  <c r="M83" i="4"/>
  <c r="M79" i="4"/>
  <c r="M80" i="4"/>
  <c r="M75" i="4"/>
  <c r="M88" i="4"/>
  <c r="M95" i="4"/>
  <c r="M89" i="4"/>
  <c r="M84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6" i="4" l="1"/>
  <c r="P66" i="4" s="1"/>
  <c r="M64" i="4"/>
  <c r="M66" i="4"/>
  <c r="O65" i="4"/>
  <c r="P65" i="4" s="1"/>
  <c r="M69" i="4"/>
  <c r="M57" i="4"/>
  <c r="M67" i="4"/>
  <c r="M68" i="4"/>
  <c r="O68" i="4"/>
  <c r="P68" i="4" s="1"/>
  <c r="M58" i="4"/>
  <c r="M65" i="4"/>
  <c r="O64" i="4"/>
  <c r="P64" i="4" s="1"/>
  <c r="O69" i="4"/>
  <c r="P69" i="4" s="1"/>
  <c r="O67" i="4"/>
  <c r="P67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L45" i="4" s="1"/>
  <c r="J30" i="4"/>
  <c r="K30" i="4" s="1"/>
  <c r="J43" i="4"/>
  <c r="K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44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8" i="4" l="1"/>
  <c r="P48" i="4" s="1"/>
  <c r="O49" i="4"/>
  <c r="P49" i="4" s="1"/>
  <c r="M49" i="4"/>
  <c r="M48" i="4"/>
  <c r="O47" i="4"/>
  <c r="P47" i="4" s="1"/>
  <c r="M39" i="4"/>
  <c r="M35" i="4"/>
  <c r="O46" i="4"/>
  <c r="P46" i="4" s="1"/>
  <c r="O44" i="4"/>
  <c r="P44" i="4" s="1"/>
  <c r="O33" i="4"/>
  <c r="P33" i="4" s="1"/>
  <c r="M44" i="4"/>
  <c r="O31" i="4"/>
  <c r="P31" i="4" s="1"/>
  <c r="O30" i="4"/>
  <c r="P30" i="4" s="1"/>
  <c r="O39" i="4"/>
  <c r="P39" i="4" s="1"/>
  <c r="L47" i="4"/>
  <c r="O28" i="4"/>
  <c r="P28" i="4" s="1"/>
  <c r="O43" i="4"/>
  <c r="P43" i="4" s="1"/>
  <c r="O41" i="4"/>
  <c r="P41" i="4" s="1"/>
  <c r="M45" i="4"/>
  <c r="L30" i="4"/>
  <c r="K45" i="4"/>
  <c r="L43" i="4"/>
  <c r="L31" i="4"/>
  <c r="K3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O37" i="4" l="1"/>
  <c r="P37" i="4" s="1"/>
  <c r="O35" i="4"/>
  <c r="P35" i="4" s="1"/>
  <c r="M31" i="4"/>
  <c r="M43" i="4"/>
  <c r="M46" i="4"/>
  <c r="O29" i="4"/>
  <c r="P29" i="4" s="1"/>
  <c r="M41" i="4"/>
  <c r="O36" i="4"/>
  <c r="P36" i="4" s="1"/>
  <c r="O45" i="4"/>
  <c r="P45" i="4" s="1"/>
  <c r="O38" i="4"/>
  <c r="P38" i="4" s="1"/>
  <c r="M30" i="4"/>
  <c r="M47" i="4"/>
  <c r="O32" i="4"/>
  <c r="P32" i="4" s="1"/>
  <c r="M33" i="4"/>
  <c r="O40" i="4"/>
  <c r="P40" i="4" s="1"/>
  <c r="O34" i="4"/>
  <c r="P34" i="4" s="1"/>
  <c r="O42" i="4"/>
  <c r="P42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<sst xmlns="http://schemas.openxmlformats.org/spreadsheetml/2006/main" count="318" uniqueCount="293">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</sst>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N25" sqref="N25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79</v>
      </c>
      <c r="K17" s="31" t="s">
        <v>79</v>
      </c>
      <c r="L17" s="81">
        <v>2.6205E-3</v>
      </c>
      <c r="M17" s="81">
        <v>2.8380000000000001E-4</v>
      </c>
      <c r="N17" s="81">
        <v>9.5699999999999995E-5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9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40.016800000000003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39.993954800000004</v>
      </c>
      <c r="K8" s="39">
        <f>J8/J7</f>
        <v>0.99942910977389499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2.0789279999999997E-2</v>
      </c>
      <c r="K9" s="39">
        <f>J9/J7</f>
        <v>5.1951380420223495E-4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2.0559200000000001E-3</v>
      </c>
      <c r="K10" s="39">
        <f>J10/J7</f>
        <v>5.137642190280082E-5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1.6799999999999999E-2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1.46748E-2</v>
      </c>
      <c r="K20" s="39">
        <f>J20/J19</f>
        <v>0.87350000000000005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1.58928E-3</v>
      </c>
      <c r="K21" s="39">
        <f>J21/J19</f>
        <v>9.4600000000000004E-2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5.3591999999999995E-4</v>
      </c>
      <c r="K22" s="39">
        <f>J22/J19</f>
        <v>3.1899999999999998E-2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113</v>
      </c>
      <c r="C28" s="46" t="s">
        <v>114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0.88005151635701673</v>
      </c>
      <c r="K28" s="95">
        <f t="shared" ref="K28:K47" si="3">IF(D28=0,"",1/(1+10^D28*$J$15/$J$14+10^E28*$J$16/$J$14+10^J28*$J$19/$J$14))</f>
        <v>0.97336003751002953</v>
      </c>
      <c r="L28" s="95">
        <f t="shared" ref="L28:L47" si="4">IF(D28=0,"",1/(1+10^I28/10^J28*$J$13/$J$19))</f>
        <v>3.1031255086531174E-3</v>
      </c>
      <c r="M28" s="95">
        <f t="shared" ref="M28:M47" si="5">IF(D28=0,"",1-L28)</f>
        <v>0.9968968744913469</v>
      </c>
      <c r="N28" s="95">
        <f t="shared" ref="N28:N47" si="6">IF(D28=0,"",1/(1/10^E28*$J$20/$J$22+10^D28/10^E28*$J$21/$J$22+10^I28/10^E28*$J$13/$J$22+1))</f>
        <v>1.0422778490922352E-3</v>
      </c>
      <c r="O28" s="40">
        <f t="shared" ref="O28:O47" si="7">IF(D28=0,"",F28*K28*$J$7/$J$14)</f>
        <v>9.7427352241039235E-7</v>
      </c>
      <c r="P28" s="40">
        <f t="shared" ref="P28:P47" si="8">IF(D28=0,"",O28*10^J28)</f>
        <v>7.3914971937303632E-6</v>
      </c>
      <c r="Q28" s="40">
        <f t="shared" ref="Q28:Q47" si="9">IF(D28=0,"",F28*N28*$J$7/$J$22)</f>
        <v>7.7826213299660713E-5</v>
      </c>
      <c r="R28" s="9">
        <f>F28*$C$14</f>
        <v>3.9999999999999996E-5</v>
      </c>
      <c r="S28" s="9">
        <f>$R28*L28</f>
        <v>1.2412502034612469E-7</v>
      </c>
      <c r="T28" s="9">
        <f>R28*K28</f>
        <v>3.893440150040118E-5</v>
      </c>
      <c r="U28" s="9">
        <f>$R28*M28</f>
        <v>3.9875874979653869E-5</v>
      </c>
      <c r="V28" s="102">
        <f>K28/M28</f>
        <v>0.97638989790862096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115</v>
      </c>
      <c r="C29" s="46" t="s">
        <v>116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1.7268855172909561</v>
      </c>
      <c r="J29" s="94">
        <f t="shared" si="2"/>
        <v>4.4318380891863303</v>
      </c>
      <c r="K29" s="95">
        <f t="shared" si="3"/>
        <v>1.545467457548204E-2</v>
      </c>
      <c r="L29" s="95">
        <f t="shared" si="4"/>
        <v>0.17553845318033592</v>
      </c>
      <c r="M29" s="95">
        <f t="shared" si="5"/>
        <v>0.8244615468196641</v>
      </c>
      <c r="N29" s="95">
        <f t="shared" si="6"/>
        <v>0.14187532224672644</v>
      </c>
      <c r="O29" s="40">
        <f t="shared" si="7"/>
        <v>1.5469178573304716E-8</v>
      </c>
      <c r="P29" s="40">
        <f t="shared" si="8"/>
        <v>4.1812423650159947E-4</v>
      </c>
      <c r="Q29" s="40">
        <f t="shared" si="9"/>
        <v>1.0593738608902082E-2</v>
      </c>
      <c r="R29" s="9">
        <f>F29*$C$14</f>
        <v>3.9999999999999996E-5</v>
      </c>
      <c r="S29" s="9">
        <f t="shared" ref="S29:S49" si="10">$R29*L29</f>
        <v>7.0215381272134366E-6</v>
      </c>
      <c r="T29" s="9">
        <f t="shared" ref="T29:T50" si="11">R29*K29</f>
        <v>6.1818698301928151E-7</v>
      </c>
      <c r="U29" s="9">
        <f t="shared" ref="U29:U50" si="12">$R29*M29</f>
        <v>3.297846187278656E-5</v>
      </c>
      <c r="V29" s="102">
        <f t="shared" ref="V29:V49" si="13">K29/M29</f>
        <v>1.8745173301408645E-2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117</v>
      </c>
      <c r="C30" s="46" t="s">
        <v>118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4.916346796550199</v>
      </c>
      <c r="J30" s="94">
        <f t="shared" si="2"/>
        <v>7.8125976975428566</v>
      </c>
      <c r="K30" s="95">
        <f t="shared" si="3"/>
        <v>9.1060833595085156E-6</v>
      </c>
      <c r="L30" s="95">
        <f t="shared" si="4"/>
        <v>0.24854419969134142</v>
      </c>
      <c r="M30" s="95">
        <f t="shared" si="5"/>
        <v>0.75145580030865855</v>
      </c>
      <c r="N30" s="95">
        <f t="shared" si="6"/>
        <v>0.24351270104978603</v>
      </c>
      <c r="O30" s="40">
        <f t="shared" si="7"/>
        <v>9.1146292924930192E-12</v>
      </c>
      <c r="P30" s="40">
        <f t="shared" si="8"/>
        <v>5.9202044822669552E-4</v>
      </c>
      <c r="Q30" s="40">
        <f t="shared" si="9"/>
        <v>1.818293598926907E-2</v>
      </c>
      <c r="R30" s="9">
        <f t="shared" ref="R30:R49" si="14">F30*$C$14</f>
        <v>3.9999999999999996E-5</v>
      </c>
      <c r="S30" s="9">
        <f t="shared" si="10"/>
        <v>9.9417679876536556E-6</v>
      </c>
      <c r="T30" s="9">
        <f t="shared" si="11"/>
        <v>3.6424333438034059E-10</v>
      </c>
      <c r="U30" s="9">
        <f t="shared" si="12"/>
        <v>3.0058232012346339E-5</v>
      </c>
      <c r="V30" s="102">
        <f t="shared" si="13"/>
        <v>1.2117922778383259E-5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111</v>
      </c>
      <c r="C31" s="46" t="s">
        <v>112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0.45156382049297444</v>
      </c>
      <c r="J31" s="94">
        <f t="shared" si="2"/>
        <v>2.9264404342876054</v>
      </c>
      <c r="K31" s="95">
        <f t="shared" si="3"/>
        <v>0.31399545873225287</v>
      </c>
      <c r="L31" s="95">
        <f t="shared" si="4"/>
        <v>0.11138792519762454</v>
      </c>
      <c r="M31" s="95">
        <f t="shared" si="5"/>
        <v>0.88861207480237547</v>
      </c>
      <c r="N31" s="95">
        <f t="shared" si="6"/>
        <v>8.3254432204367193E-2</v>
      </c>
      <c r="O31" s="40">
        <f t="shared" si="7"/>
        <v>3.14290139116983E-7</v>
      </c>
      <c r="P31" s="40">
        <f t="shared" si="8"/>
        <v>2.6532073363382756E-4</v>
      </c>
      <c r="Q31" s="40">
        <f t="shared" si="9"/>
        <v>6.2165546399382777E-3</v>
      </c>
      <c r="R31" s="9">
        <f t="shared" si="14"/>
        <v>3.9999999999999996E-5</v>
      </c>
      <c r="S31" s="9">
        <f t="shared" si="10"/>
        <v>4.4555170079049813E-6</v>
      </c>
      <c r="T31" s="9">
        <f t="shared" si="11"/>
        <v>1.2559818349290115E-5</v>
      </c>
      <c r="U31" s="9">
        <f t="shared" si="12"/>
        <v>3.5544482992095013E-5</v>
      </c>
      <c r="V31" s="102">
        <f t="shared" si="13"/>
        <v>0.35335493139915353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119</v>
      </c>
      <c r="C32" s="46" t="s">
        <v>120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2.9114243406645763</v>
      </c>
      <c r="J32" s="94">
        <f t="shared" si="2"/>
        <v>5.6317189226525786</v>
      </c>
      <c r="K32" s="95">
        <f t="shared" si="3"/>
        <v>1.0041264560127659E-3</v>
      </c>
      <c r="L32" s="95">
        <f t="shared" si="4"/>
        <v>0.18070977517628187</v>
      </c>
      <c r="M32" s="95">
        <f t="shared" si="5"/>
        <v>0.81929022482371816</v>
      </c>
      <c r="N32" s="95">
        <f t="shared" si="6"/>
        <v>0.14763638615684149</v>
      </c>
      <c r="O32" s="40">
        <f t="shared" si="7"/>
        <v>1.0050688147703421E-9</v>
      </c>
      <c r="P32" s="40">
        <f t="shared" si="8"/>
        <v>4.3044207924251442E-4</v>
      </c>
      <c r="Q32" s="40">
        <f t="shared" si="9"/>
        <v>1.1023913527319552E-2</v>
      </c>
      <c r="R32" s="9">
        <f t="shared" si="14"/>
        <v>3.9999999999999996E-5</v>
      </c>
      <c r="S32" s="9">
        <f t="shared" si="10"/>
        <v>7.2283910070512737E-6</v>
      </c>
      <c r="T32" s="9">
        <f t="shared" si="11"/>
        <v>4.0165058240510633E-8</v>
      </c>
      <c r="U32" s="9">
        <f t="shared" si="12"/>
        <v>3.2771608992948723E-5</v>
      </c>
      <c r="V32" s="102">
        <f t="shared" si="13"/>
        <v>1.2256053173694559E-3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121</v>
      </c>
      <c r="C33" s="96" t="s">
        <v>122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2.4659786116205753</v>
      </c>
      <c r="J33" s="94">
        <f t="shared" si="2"/>
        <v>5.1469287331716504</v>
      </c>
      <c r="K33" s="95">
        <f t="shared" si="3"/>
        <v>2.8450196780138858E-3</v>
      </c>
      <c r="L33" s="95">
        <f t="shared" si="4"/>
        <v>0.16768272420972741</v>
      </c>
      <c r="M33" s="95">
        <f t="shared" si="5"/>
        <v>0.83231727579027259</v>
      </c>
      <c r="N33" s="95">
        <f t="shared" si="6"/>
        <v>0.12940178611723333</v>
      </c>
      <c r="O33" s="40">
        <f t="shared" si="7"/>
        <v>2.847689689537832E-9</v>
      </c>
      <c r="P33" s="40">
        <f t="shared" si="8"/>
        <v>3.99412264175942E-4</v>
      </c>
      <c r="Q33" s="40">
        <f t="shared" si="9"/>
        <v>9.6623477285716231E-3</v>
      </c>
      <c r="R33" s="9">
        <f t="shared" si="14"/>
        <v>3.9999999999999996E-5</v>
      </c>
      <c r="S33" s="9">
        <f t="shared" si="10"/>
        <v>6.7073089683890961E-6</v>
      </c>
      <c r="T33" s="9">
        <f t="shared" si="11"/>
        <v>1.1380078712055542E-7</v>
      </c>
      <c r="U33" s="9">
        <f t="shared" si="12"/>
        <v>3.32926910316109E-5</v>
      </c>
      <c r="V33" s="102">
        <f t="shared" si="13"/>
        <v>3.4181913084918043E-3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123</v>
      </c>
      <c r="C34" s="46" t="s">
        <v>124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2.4593424067669152</v>
      </c>
      <c r="J34" s="94">
        <f t="shared" si="2"/>
        <v>5.1667621736278413</v>
      </c>
      <c r="K34" s="95">
        <f t="shared" si="3"/>
        <v>2.8587019120525289E-3</v>
      </c>
      <c r="L34" s="95">
        <f t="shared" si="4"/>
        <v>0.176362139606588</v>
      </c>
      <c r="M34" s="95">
        <f t="shared" si="5"/>
        <v>0.82363786039341202</v>
      </c>
      <c r="N34" s="95">
        <f t="shared" si="6"/>
        <v>0.14168434553445933</v>
      </c>
      <c r="O34" s="40">
        <f t="shared" si="7"/>
        <v>2.8613847641634275E-9</v>
      </c>
      <c r="P34" s="40">
        <f t="shared" si="8"/>
        <v>4.2008621834576846E-4</v>
      </c>
      <c r="Q34" s="40">
        <f t="shared" si="9"/>
        <v>1.0579478501237782E-2</v>
      </c>
      <c r="R34" s="9">
        <f t="shared" si="14"/>
        <v>3.9999999999999996E-5</v>
      </c>
      <c r="S34" s="9">
        <f t="shared" si="10"/>
        <v>7.0544855842635198E-6</v>
      </c>
      <c r="T34" s="9">
        <f t="shared" si="11"/>
        <v>1.1434807648210115E-7</v>
      </c>
      <c r="U34" s="9">
        <f t="shared" si="12"/>
        <v>3.2945514415736479E-5</v>
      </c>
      <c r="V34" s="102">
        <f t="shared" si="13"/>
        <v>3.4708238286752205E-3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125</v>
      </c>
      <c r="C35" s="46" t="s">
        <v>126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0.12015758400049081</v>
      </c>
      <c r="J35" s="94">
        <f t="shared" si="2"/>
        <v>2.03023552063889</v>
      </c>
      <c r="K35" s="95">
        <f t="shared" si="3"/>
        <v>0.73288520244974464</v>
      </c>
      <c r="L35" s="95">
        <f t="shared" si="4"/>
        <v>3.3017621669561056E-2</v>
      </c>
      <c r="M35" s="95">
        <f t="shared" si="5"/>
        <v>0.96698237833043899</v>
      </c>
      <c r="N35" s="95">
        <f t="shared" si="6"/>
        <v>1.747346157567432E-2</v>
      </c>
      <c r="O35" s="40">
        <f t="shared" si="7"/>
        <v>7.335730050513902E-7</v>
      </c>
      <c r="P35" s="40">
        <f t="shared" si="8"/>
        <v>7.8646402549195914E-5</v>
      </c>
      <c r="Q35" s="40">
        <f t="shared" si="9"/>
        <v>1.3047320816193539E-3</v>
      </c>
      <c r="R35" s="9">
        <f t="shared" si="14"/>
        <v>3.9999999999999996E-5</v>
      </c>
      <c r="S35" s="9">
        <f t="shared" si="10"/>
        <v>1.3207048667824422E-6</v>
      </c>
      <c r="T35" s="9">
        <f t="shared" si="11"/>
        <v>2.9315408097989785E-5</v>
      </c>
      <c r="U35" s="9">
        <f t="shared" si="12"/>
        <v>3.8679295133217554E-5</v>
      </c>
      <c r="V35" s="102">
        <f t="shared" si="13"/>
        <v>0.757909574024628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5.3597305230687828</v>
      </c>
      <c r="J36" s="94">
        <f t="shared" si="2"/>
        <v>8.2579948157300773</v>
      </c>
      <c r="K36" s="95">
        <f t="shared" si="3"/>
        <v>3.2767748823971757E-6</v>
      </c>
      <c r="L36" s="95">
        <f t="shared" si="4"/>
        <v>0.24941107538292509</v>
      </c>
      <c r="M36" s="95">
        <f t="shared" si="5"/>
        <v>0.75058892461707494</v>
      </c>
      <c r="N36" s="95">
        <f t="shared" si="6"/>
        <v>0.24473867374631922</v>
      </c>
      <c r="O36" s="40">
        <f t="shared" si="7"/>
        <v>3.2798500901945029E-12</v>
      </c>
      <c r="P36" s="40">
        <f t="shared" si="8"/>
        <v>5.9408530484425319E-4</v>
      </c>
      <c r="Q36" s="40">
        <f t="shared" si="9"/>
        <v>1.8274478578093202E-2</v>
      </c>
      <c r="R36" s="9">
        <f t="shared" si="14"/>
        <v>3.9999999999999996E-5</v>
      </c>
      <c r="S36" s="9">
        <f t="shared" si="10"/>
        <v>9.9764430153170027E-6</v>
      </c>
      <c r="T36" s="9">
        <f t="shared" si="11"/>
        <v>1.3107099529588701E-10</v>
      </c>
      <c r="U36" s="9">
        <f t="shared" si="12"/>
        <v>3.0023556984682996E-5</v>
      </c>
      <c r="V36" s="102">
        <f t="shared" si="13"/>
        <v>4.365605160066644E-6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127</v>
      </c>
      <c r="C37" s="96" t="s">
        <v>128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1.080392983851221</v>
      </c>
      <c r="J37" s="94">
        <f t="shared" si="2"/>
        <v>3.7264296384905324</v>
      </c>
      <c r="K37" s="95">
        <f t="shared" si="3"/>
        <v>7.0037864655726048E-2</v>
      </c>
      <c r="L37" s="95">
        <f t="shared" si="4"/>
        <v>0.15676057520454786</v>
      </c>
      <c r="M37" s="95">
        <f t="shared" si="5"/>
        <v>0.84323942479545211</v>
      </c>
      <c r="N37" s="95">
        <f t="shared" si="6"/>
        <v>0.1211833329651144</v>
      </c>
      <c r="O37" s="40">
        <f t="shared" si="7"/>
        <v>7.0103594220687764E-8</v>
      </c>
      <c r="P37" s="40">
        <f t="shared" si="8"/>
        <v>3.733962253479377E-4</v>
      </c>
      <c r="Q37" s="40">
        <f t="shared" si="9"/>
        <v>9.0486811438244327E-3</v>
      </c>
      <c r="R37" s="9">
        <f t="shared" si="14"/>
        <v>3.9999999999999996E-5</v>
      </c>
      <c r="S37" s="9">
        <f t="shared" si="10"/>
        <v>6.2704230081819136E-6</v>
      </c>
      <c r="T37" s="9">
        <f t="shared" si="11"/>
        <v>2.8015145862290415E-6</v>
      </c>
      <c r="U37" s="9">
        <f t="shared" si="12"/>
        <v>3.3729576991818082E-5</v>
      </c>
      <c r="V37" s="102">
        <f t="shared" si="13"/>
        <v>8.3058100221909584E-2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129</v>
      </c>
      <c r="C38" s="46" t="s">
        <v>130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0.16668848098518507</v>
      </c>
      <c r="J38" s="94">
        <f t="shared" si="2"/>
        <v>2.2690970019934102</v>
      </c>
      <c r="K38" s="95">
        <f t="shared" si="3"/>
        <v>0.64652967510191317</v>
      </c>
      <c r="L38" s="95">
        <f t="shared" si="4"/>
        <v>5.0484699854150772E-2</v>
      </c>
      <c r="M38" s="95">
        <f t="shared" si="5"/>
        <v>0.94951530014584917</v>
      </c>
      <c r="N38" s="95">
        <f t="shared" si="6"/>
        <v>3.2889135619727727E-2</v>
      </c>
      <c r="O38" s="40">
        <f t="shared" si="7"/>
        <v>6.4713643423839143E-7</v>
      </c>
      <c r="P38" s="40">
        <f t="shared" si="8"/>
        <v>1.2025215101926079E-4</v>
      </c>
      <c r="Q38" s="40">
        <f t="shared" si="9"/>
        <v>2.4558104983346779E-3</v>
      </c>
      <c r="R38" s="9">
        <f t="shared" si="14"/>
        <v>3.9999999999999996E-5</v>
      </c>
      <c r="S38" s="9">
        <f t="shared" si="10"/>
        <v>2.0193879941660307E-6</v>
      </c>
      <c r="T38" s="9">
        <f t="shared" si="11"/>
        <v>2.5861187004076526E-5</v>
      </c>
      <c r="U38" s="9">
        <f t="shared" si="12"/>
        <v>3.7980612005833963E-5</v>
      </c>
      <c r="V38" s="102">
        <f t="shared" si="13"/>
        <v>0.6809049575110625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-1.6807124166640264E-5</v>
      </c>
      <c r="J39" s="94">
        <f t="shared" si="2"/>
        <v>-1.3611403546582255E-2</v>
      </c>
      <c r="K39" s="95">
        <f t="shared" si="3"/>
        <v>0.99911398469389467</v>
      </c>
      <c r="L39" s="95">
        <f t="shared" si="4"/>
        <v>4.0689087232926262E-4</v>
      </c>
      <c r="M39" s="95">
        <f t="shared" si="5"/>
        <v>0.99959310912767074</v>
      </c>
      <c r="N39" s="95">
        <f t="shared" si="6"/>
        <v>6.4873455920197419E-7</v>
      </c>
      <c r="O39" s="40">
        <f t="shared" si="7"/>
        <v>1.0000516393166321E-6</v>
      </c>
      <c r="P39" s="40">
        <f t="shared" si="8"/>
        <v>9.6919468213247844E-7</v>
      </c>
      <c r="Q39" s="40">
        <f t="shared" si="9"/>
        <v>4.844059021621429E-8</v>
      </c>
      <c r="R39" s="9">
        <f t="shared" si="14"/>
        <v>3.9999999999999996E-5</v>
      </c>
      <c r="S39" s="9">
        <f t="shared" si="10"/>
        <v>1.6275634893170503E-8</v>
      </c>
      <c r="T39" s="9">
        <f t="shared" si="11"/>
        <v>3.9964559387755781E-5</v>
      </c>
      <c r="U39" s="9">
        <f t="shared" si="12"/>
        <v>3.9983724365106823E-5</v>
      </c>
      <c r="V39" s="102">
        <f t="shared" si="13"/>
        <v>0.99952068053550891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131</v>
      </c>
      <c r="C40" s="46" t="s">
        <v>132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0.30972420580945559</v>
      </c>
      <c r="J40" s="94">
        <f t="shared" si="2"/>
        <v>2.5374746618878143</v>
      </c>
      <c r="K40" s="95">
        <f t="shared" si="3"/>
        <v>0.45738133664545944</v>
      </c>
      <c r="L40" s="95">
        <f t="shared" si="4"/>
        <v>6.6256335829403823E-2</v>
      </c>
      <c r="M40" s="95">
        <f t="shared" si="5"/>
        <v>0.93374366417059618</v>
      </c>
      <c r="N40" s="95">
        <f t="shared" si="6"/>
        <v>3.4836012331574219E-2</v>
      </c>
      <c r="O40" s="40">
        <f t="shared" si="7"/>
        <v>4.578105826886832E-7</v>
      </c>
      <c r="P40" s="40">
        <f t="shared" si="8"/>
        <v>1.5781943688202897E-4</v>
      </c>
      <c r="Q40" s="40">
        <f t="shared" si="9"/>
        <v>2.6011825240150385E-3</v>
      </c>
      <c r="R40" s="9">
        <f t="shared" si="14"/>
        <v>3.9999999999999996E-5</v>
      </c>
      <c r="S40" s="9">
        <f t="shared" si="10"/>
        <v>2.6502534331761526E-6</v>
      </c>
      <c r="T40" s="9">
        <f t="shared" si="11"/>
        <v>1.8295253465818375E-5</v>
      </c>
      <c r="U40" s="9">
        <f t="shared" si="12"/>
        <v>3.7349746566823842E-5</v>
      </c>
      <c r="V40" s="102">
        <f t="shared" si="13"/>
        <v>0.48983608049617272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133</v>
      </c>
      <c r="C41" s="96" t="s">
        <v>134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0.35763444792585858</v>
      </c>
      <c r="J41" s="94">
        <f t="shared" si="2"/>
        <v>2.6178158804762943</v>
      </c>
      <c r="K41" s="95">
        <f t="shared" si="3"/>
        <v>0.40751433116061742</v>
      </c>
      <c r="L41" s="95">
        <f t="shared" si="4"/>
        <v>7.1028571434458038E-2</v>
      </c>
      <c r="M41" s="95">
        <f t="shared" si="5"/>
        <v>0.92897142856554193</v>
      </c>
      <c r="N41" s="95">
        <f t="shared" si="6"/>
        <v>3.6218368455901352E-2</v>
      </c>
      <c r="O41" s="40">
        <f t="shared" si="7"/>
        <v>4.0789677771055895E-7</v>
      </c>
      <c r="P41" s="40">
        <f t="shared" si="8"/>
        <v>1.6918667484395366E-4</v>
      </c>
      <c r="Q41" s="40">
        <f t="shared" si="9"/>
        <v>2.7044021623117507E-3</v>
      </c>
      <c r="R41" s="9">
        <f t="shared" si="14"/>
        <v>3.9999999999999996E-5</v>
      </c>
      <c r="S41" s="9">
        <f t="shared" si="10"/>
        <v>2.841142857378321E-6</v>
      </c>
      <c r="T41" s="9">
        <f t="shared" si="11"/>
        <v>1.6300573246424694E-5</v>
      </c>
      <c r="U41" s="9">
        <f t="shared" si="12"/>
        <v>3.7158857142621676E-5</v>
      </c>
      <c r="V41" s="102">
        <f t="shared" si="13"/>
        <v>0.43867262073912744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135</v>
      </c>
      <c r="C42" s="46" t="s">
        <v>136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1.4796577057346774</v>
      </c>
      <c r="J42" s="94">
        <f t="shared" si="2"/>
        <v>4.2142679595923802</v>
      </c>
      <c r="K42" s="95">
        <f t="shared" si="3"/>
        <v>2.6973225610130418E-2</v>
      </c>
      <c r="L42" s="95">
        <f t="shared" si="4"/>
        <v>0.18564153798163893</v>
      </c>
      <c r="M42" s="95">
        <f t="shared" si="5"/>
        <v>0.81435846201836104</v>
      </c>
      <c r="N42" s="95">
        <f t="shared" si="6"/>
        <v>0.15741129116122932</v>
      </c>
      <c r="O42" s="40">
        <f t="shared" si="7"/>
        <v>2.6998539608403829E-8</v>
      </c>
      <c r="P42" s="40">
        <f t="shared" si="8"/>
        <v>4.421893033990271E-4</v>
      </c>
      <c r="Q42" s="40">
        <f t="shared" si="9"/>
        <v>1.1753799365839458E-2</v>
      </c>
      <c r="R42" s="9">
        <f t="shared" si="14"/>
        <v>3.9999999999999996E-5</v>
      </c>
      <c r="S42" s="9">
        <f t="shared" si="10"/>
        <v>7.4256615192655564E-6</v>
      </c>
      <c r="T42" s="9">
        <f t="shared" si="11"/>
        <v>1.0789290244052167E-6</v>
      </c>
      <c r="U42" s="9">
        <f t="shared" si="12"/>
        <v>3.2574338480734438E-5</v>
      </c>
      <c r="V42" s="102">
        <f t="shared" si="13"/>
        <v>3.312205480529809E-2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137</v>
      </c>
      <c r="C43" s="46" t="s">
        <v>138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1.2498866711591912</v>
      </c>
      <c r="J43" s="94">
        <f t="shared" si="2"/>
        <v>3.9177203460984957</v>
      </c>
      <c r="K43" s="95">
        <f t="shared" si="3"/>
        <v>4.7027203889689596E-2</v>
      </c>
      <c r="L43" s="95">
        <f t="shared" si="4"/>
        <v>0.16350981112167187</v>
      </c>
      <c r="M43" s="95">
        <f t="shared" si="5"/>
        <v>0.83649018887832816</v>
      </c>
      <c r="N43" s="95">
        <f t="shared" si="6"/>
        <v>0.12825525066883206</v>
      </c>
      <c r="O43" s="40">
        <f t="shared" si="7"/>
        <v>4.707133826854637E-8</v>
      </c>
      <c r="P43" s="40">
        <f t="shared" si="8"/>
        <v>3.8947258391034063E-4</v>
      </c>
      <c r="Q43" s="40">
        <f t="shared" si="9"/>
        <v>9.5767366677200309E-3</v>
      </c>
      <c r="R43" s="9">
        <f t="shared" si="14"/>
        <v>3.9999999999999996E-5</v>
      </c>
      <c r="S43" s="9">
        <f t="shared" si="10"/>
        <v>6.5403924448668741E-6</v>
      </c>
      <c r="T43" s="9">
        <f t="shared" si="11"/>
        <v>1.8810881555875838E-6</v>
      </c>
      <c r="U43" s="9">
        <f t="shared" si="12"/>
        <v>3.3459607555133122E-5</v>
      </c>
      <c r="V43" s="102">
        <f t="shared" si="13"/>
        <v>5.6219671808404134E-2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0.14841008082679896</v>
      </c>
      <c r="J44" s="94">
        <f t="shared" si="2"/>
        <v>2.2125616665002772</v>
      </c>
      <c r="K44" s="95">
        <f t="shared" si="3"/>
        <v>0.67720409498551137</v>
      </c>
      <c r="L44" s="95">
        <f t="shared" si="4"/>
        <v>4.6425389417954092E-2</v>
      </c>
      <c r="M44" s="95">
        <f t="shared" si="5"/>
        <v>0.95357461058204596</v>
      </c>
      <c r="N44" s="95">
        <f t="shared" si="6"/>
        <v>3.0448687141533173E-2</v>
      </c>
      <c r="O44" s="40">
        <f t="shared" si="7"/>
        <v>6.7783964163977469E-7</v>
      </c>
      <c r="P44" s="40">
        <f t="shared" si="8"/>
        <v>1.1058306686073725E-4</v>
      </c>
      <c r="Q44" s="40">
        <f t="shared" si="9"/>
        <v>2.2735837878886866E-3</v>
      </c>
      <c r="R44" s="9">
        <f t="shared" si="14"/>
        <v>3.9999999999999996E-5</v>
      </c>
      <c r="S44" s="9">
        <f t="shared" si="10"/>
        <v>1.8570155767181636E-6</v>
      </c>
      <c r="T44" s="9">
        <f t="shared" si="11"/>
        <v>2.7088163799420454E-5</v>
      </c>
      <c r="U44" s="9">
        <f t="shared" si="12"/>
        <v>3.8142984423281832E-5</v>
      </c>
      <c r="V44" s="102">
        <f t="shared" si="13"/>
        <v>0.71017420920231644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139</v>
      </c>
      <c r="C45" s="46" t="s">
        <v>140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1.3452769109111</v>
      </c>
      <c r="J45" s="94">
        <f t="shared" si="2"/>
        <v>3.9384447971611571</v>
      </c>
      <c r="K45" s="95">
        <f t="shared" si="3"/>
        <v>3.8754583065339923E-2</v>
      </c>
      <c r="L45" s="95">
        <f t="shared" si="4"/>
        <v>0.14133254496979075</v>
      </c>
      <c r="M45" s="95">
        <f t="shared" si="5"/>
        <v>0.85866745503020925</v>
      </c>
      <c r="N45" s="95">
        <f t="shared" si="6"/>
        <v>9.5984269779018319E-2</v>
      </c>
      <c r="O45" s="40">
        <f t="shared" si="7"/>
        <v>3.8790953704246169E-8</v>
      </c>
      <c r="P45" s="40">
        <f t="shared" si="8"/>
        <v>3.3664739199685276E-4</v>
      </c>
      <c r="Q45" s="40">
        <f t="shared" si="9"/>
        <v>7.167083383514369E-3</v>
      </c>
      <c r="R45" s="9">
        <f t="shared" si="14"/>
        <v>3.9999999999999996E-5</v>
      </c>
      <c r="S45" s="9">
        <f t="shared" si="10"/>
        <v>5.6533017987916299E-6</v>
      </c>
      <c r="T45" s="9">
        <f t="shared" si="11"/>
        <v>1.5501833226135969E-6</v>
      </c>
      <c r="U45" s="9">
        <f t="shared" si="12"/>
        <v>3.4346698201208369E-5</v>
      </c>
      <c r="V45" s="102">
        <f t="shared" si="13"/>
        <v>4.5133401572761925E-2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0.12747825886296771</v>
      </c>
      <c r="J46" s="94">
        <f t="shared" si="2"/>
        <v>2.1275282735995251</v>
      </c>
      <c r="K46" s="95">
        <f t="shared" si="3"/>
        <v>0.71519913953895886</v>
      </c>
      <c r="L46" s="95">
        <f t="shared" si="4"/>
        <v>4.0311556756271662E-2</v>
      </c>
      <c r="M46" s="95">
        <f t="shared" si="5"/>
        <v>0.95968844324372837</v>
      </c>
      <c r="N46" s="95">
        <f t="shared" si="6"/>
        <v>2.5889518868401191E-2</v>
      </c>
      <c r="O46" s="40">
        <f t="shared" si="7"/>
        <v>7.1587034401576529E-7</v>
      </c>
      <c r="P46" s="40">
        <f t="shared" si="8"/>
        <v>9.6020208595498315E-5</v>
      </c>
      <c r="Q46" s="40">
        <f t="shared" si="9"/>
        <v>1.9331536398213109E-3</v>
      </c>
      <c r="R46" s="9">
        <f t="shared" si="14"/>
        <v>3.9999999999999996E-5</v>
      </c>
      <c r="S46" s="9">
        <f t="shared" si="10"/>
        <v>1.6124622702508663E-6</v>
      </c>
      <c r="T46" s="9">
        <f t="shared" si="11"/>
        <v>2.8607965581558353E-5</v>
      </c>
      <c r="U46" s="9">
        <f t="shared" si="12"/>
        <v>3.8387537729749132E-5</v>
      </c>
      <c r="V46" s="102">
        <f t="shared" si="13"/>
        <v>0.74524096291250486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141</v>
      </c>
      <c r="C47" s="46" t="s">
        <v>142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0.71310437974280194</v>
      </c>
      <c r="J47" s="94">
        <f t="shared" si="2"/>
        <v>3.1029707241226632</v>
      </c>
      <c r="K47" s="95">
        <f t="shared" si="3"/>
        <v>0.17541594968706739</v>
      </c>
      <c r="L47" s="95">
        <f t="shared" si="4"/>
        <v>9.3435973834591068E-2</v>
      </c>
      <c r="M47" s="95">
        <f t="shared" si="5"/>
        <v>0.90656402616540888</v>
      </c>
      <c r="N47" s="95">
        <f t="shared" si="6"/>
        <v>4.2929326523987621E-2</v>
      </c>
      <c r="O47" s="40">
        <f t="shared" si="7"/>
        <v>1.755805751238501E-7</v>
      </c>
      <c r="P47" s="40">
        <f t="shared" si="8"/>
        <v>2.2256004034190851E-4</v>
      </c>
      <c r="Q47" s="40">
        <f t="shared" si="9"/>
        <v>3.205505063526474E-3</v>
      </c>
      <c r="R47" s="9">
        <f t="shared" si="14"/>
        <v>3.9999999999999996E-5</v>
      </c>
      <c r="S47" s="9">
        <f t="shared" si="10"/>
        <v>3.7374389533836426E-6</v>
      </c>
      <c r="T47" s="9">
        <f t="shared" si="11"/>
        <v>7.016637987482695E-6</v>
      </c>
      <c r="U47" s="9">
        <f t="shared" si="12"/>
        <v>3.6262561046616351E-5</v>
      </c>
      <c r="V47" s="102">
        <f t="shared" si="13"/>
        <v>0.19349537884162804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143</v>
      </c>
      <c r="C48" s="46" t="s">
        <v>144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1.2530323770467107</v>
      </c>
      <c r="K48" s="95">
        <f t="shared" ref="K48:K50" si="17">IF(D48=0,"",1/(1+10^D48*$J$15/$J$14+10^E48*$J$16/$J$14+10^J48*$J$19/$J$14))</f>
        <v>0.93793172102499689</v>
      </c>
      <c r="L48" s="95">
        <f t="shared" ref="L48:L50" si="18">IF(D48=0,"",1/(1+10^I48/10^J48*$J$13/$J$19))</f>
        <v>7.0579392235949083E-3</v>
      </c>
      <c r="M48" s="95">
        <f t="shared" ref="M48:M92" si="19">IF(D48=0,"",1-L48)</f>
        <v>0.99294206077640512</v>
      </c>
      <c r="N48" s="95">
        <f t="shared" ref="N48:N50" si="20">IF(D48=0,"",1/(1/10^E48*$J$20/$J$22+10^D48/10^E48*$J$21/$J$22+10^I48/10^E48*$J$13/$J$22+1))</f>
        <v>2.8229177227600175E-3</v>
      </c>
      <c r="O48" s="40">
        <f t="shared" ref="O48:O92" si="21">IF(D48=0,"",F48*K48*$J$7/$J$14)</f>
        <v>9.3881195694152305E-7</v>
      </c>
      <c r="P48" s="40">
        <f t="shared" ref="P48:P50" si="22">IF(D48=0,"",O48*10^J48)</f>
        <v>1.6811675138259096E-5</v>
      </c>
      <c r="Q48" s="40">
        <f t="shared" ref="Q48:Q50" si="23">IF(D48=0,"",F48*N48*$J$7/$J$22)</f>
        <v>2.1078544172291216E-4</v>
      </c>
      <c r="R48" s="9">
        <f t="shared" si="14"/>
        <v>3.9999999999999996E-5</v>
      </c>
      <c r="S48" s="9">
        <f t="shared" si="10"/>
        <v>2.8231756894379632E-7</v>
      </c>
      <c r="T48" s="9">
        <f t="shared" si="11"/>
        <v>3.751726884099987E-5</v>
      </c>
      <c r="U48" s="9">
        <f t="shared" si="12"/>
        <v>3.9717682431056204E-5</v>
      </c>
      <c r="V48" s="102">
        <f t="shared" si="13"/>
        <v>0.94459864082261324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145</v>
      </c>
      <c r="C49" s="46" t="s">
        <v>146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6.9959414880738915E-3</v>
      </c>
      <c r="J49" s="94">
        <f t="shared" si="16"/>
        <v>0.77181105160959218</v>
      </c>
      <c r="K49" s="95">
        <f t="shared" si="17"/>
        <v>0.98111294208770938</v>
      </c>
      <c r="L49" s="95">
        <f t="shared" si="18"/>
        <v>2.4378353454645217E-3</v>
      </c>
      <c r="M49" s="95">
        <f t="shared" si="19"/>
        <v>0.99756216465453551</v>
      </c>
      <c r="N49" s="95">
        <f t="shared" si="20"/>
        <v>9.3582792621634198E-4</v>
      </c>
      <c r="O49" s="40">
        <f t="shared" si="21"/>
        <v>9.8203370298153071E-7</v>
      </c>
      <c r="P49" s="40">
        <f t="shared" si="22"/>
        <v>5.8068077054990891E-6</v>
      </c>
      <c r="Q49" s="40">
        <f t="shared" si="23"/>
        <v>6.9877666364035899E-5</v>
      </c>
      <c r="R49" s="9">
        <f t="shared" si="14"/>
        <v>3.9999999999999996E-5</v>
      </c>
      <c r="S49" s="9">
        <f t="shared" si="10"/>
        <v>9.7513413818580856E-8</v>
      </c>
      <c r="T49" s="9">
        <f t="shared" si="11"/>
        <v>3.9244517683508371E-5</v>
      </c>
      <c r="U49" s="9">
        <f t="shared" si="12"/>
        <v>3.9902486586181414E-5</v>
      </c>
      <c r="V49" s="102">
        <f t="shared" si="13"/>
        <v>0.98351057893968674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147</v>
      </c>
      <c r="C50" s="46" t="s">
        <v>148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149</v>
      </c>
      <c r="C51" s="46" t="s">
        <v>150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151</v>
      </c>
      <c r="C52" s="46" t="s">
        <v>152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153</v>
      </c>
      <c r="C53" s="46" t="s">
        <v>154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155</v>
      </c>
      <c r="C54" s="46" t="s">
        <v>156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157</v>
      </c>
      <c r="C55" s="46" t="s">
        <v>158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159</v>
      </c>
      <c r="C56" s="46" t="s">
        <v>160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3.7232006014196545E-5</v>
      </c>
      <c r="J57" s="54">
        <f t="shared" si="25"/>
        <v>9.4441934040065591E-3</v>
      </c>
      <c r="K57" s="55">
        <f t="shared" si="26"/>
        <v>0.99896756475738779</v>
      </c>
      <c r="L57" s="55">
        <f t="shared" si="27"/>
        <v>4.2901244844536601E-4</v>
      </c>
      <c r="M57" s="55">
        <f t="shared" si="28"/>
        <v>0.9995709875515546</v>
      </c>
      <c r="N57" s="55">
        <f t="shared" si="29"/>
        <v>1.6182006963818104E-5</v>
      </c>
      <c r="O57" s="56">
        <f t="shared" si="30"/>
        <v>9.9990508196704487E-7</v>
      </c>
      <c r="P57" s="56">
        <f t="shared" si="31"/>
        <v>1.0218872230326502E-6</v>
      </c>
      <c r="Q57" s="56">
        <f t="shared" si="32"/>
        <v>1.2083000005032773E-6</v>
      </c>
      <c r="R57" s="9">
        <f t="shared" ref="R57:R58" si="33">F57*$C$14</f>
        <v>3.9999999999999996E-5</v>
      </c>
      <c r="S57" s="9">
        <f t="shared" ref="S57:S58" si="34">$R57*L57</f>
        <v>1.7160497937814639E-8</v>
      </c>
      <c r="T57" s="9">
        <f t="shared" ref="T57:T58" si="35">R57*K57</f>
        <v>3.9958702590295505E-5</v>
      </c>
      <c r="U57" s="9">
        <f t="shared" ref="U57:U58" si="36">$R57*M57</f>
        <v>3.9982839502062184E-5</v>
      </c>
      <c r="V57" s="102">
        <f t="shared" ref="V57:V58" si="37">K57/M57</f>
        <v>0.99939631821883412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161</v>
      </c>
      <c r="C58" s="46" t="s">
        <v>162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3.6330362911661196E-2</v>
      </c>
      <c r="J58" s="54">
        <f t="shared" si="25"/>
        <v>1.4413921389547872</v>
      </c>
      <c r="K58" s="55">
        <f t="shared" si="26"/>
        <v>0.90956489698175813</v>
      </c>
      <c r="L58" s="55">
        <f t="shared" si="27"/>
        <v>1.0560880862624357E-2</v>
      </c>
      <c r="M58" s="55">
        <f t="shared" si="28"/>
        <v>0.98943911913737559</v>
      </c>
      <c r="N58" s="55">
        <f t="shared" si="29"/>
        <v>4.7246287402741517E-3</v>
      </c>
      <c r="O58" s="56">
        <f t="shared" si="30"/>
        <v>9.1041851102720259E-7</v>
      </c>
      <c r="P58" s="56">
        <f t="shared" si="31"/>
        <v>2.5155515315682523E-5</v>
      </c>
      <c r="Q58" s="56">
        <f t="shared" si="32"/>
        <v>3.5278497420100521E-4</v>
      </c>
      <c r="R58" s="9">
        <f t="shared" si="33"/>
        <v>3.9999999999999996E-5</v>
      </c>
      <c r="S58" s="9">
        <f t="shared" si="34"/>
        <v>4.2243523450497424E-7</v>
      </c>
      <c r="T58" s="9">
        <f t="shared" si="35"/>
        <v>3.6382595879270323E-5</v>
      </c>
      <c r="U58" s="9">
        <f t="shared" si="36"/>
        <v>3.9577564765495022E-5</v>
      </c>
      <c r="V58" s="102">
        <f t="shared" si="37"/>
        <v>0.9192732320658048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163</v>
      </c>
      <c r="C59" s="46" t="s">
        <v>164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5.084171441621077E-2</v>
      </c>
      <c r="J60" s="54">
        <f t="shared" si="25"/>
        <v>1.5374135578346044</v>
      </c>
      <c r="K60" s="55">
        <f t="shared" si="26"/>
        <v>0.87776138551548488</v>
      </c>
      <c r="L60" s="55">
        <f t="shared" si="27"/>
        <v>1.2713477023665544E-2</v>
      </c>
      <c r="M60" s="55">
        <f t="shared" si="28"/>
        <v>0.98728652297633446</v>
      </c>
      <c r="N60" s="55">
        <f t="shared" si="29"/>
        <v>4.3455471626552824E-3</v>
      </c>
      <c r="O60" s="56">
        <f t="shared" si="30"/>
        <v>8.7858515240634793E-7</v>
      </c>
      <c r="P60" s="56">
        <f t="shared" si="31"/>
        <v>3.0282896866703532E-5</v>
      </c>
      <c r="Q60" s="56">
        <f t="shared" si="32"/>
        <v>3.2447919782531708E-4</v>
      </c>
      <c r="R60" s="9">
        <f t="shared" ref="R60:R65" si="38">F60*$C$14</f>
        <v>3.9999999999999996E-5</v>
      </c>
      <c r="S60" s="9">
        <f t="shared" ref="S60:S93" si="39">$R60*L60</f>
        <v>5.0853908094662176E-7</v>
      </c>
      <c r="T60" s="9">
        <f t="shared" ref="T60:T93" si="40">R60*K60</f>
        <v>3.5110455420619389E-5</v>
      </c>
      <c r="U60" s="9">
        <f t="shared" ref="U60:U93" si="41">$R60*M60</f>
        <v>3.9491460919053377E-5</v>
      </c>
      <c r="V60" s="102">
        <f t="shared" ref="V60:V93" si="42">K60/M60</f>
        <v>0.88906448643635039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0.31132307136990117</v>
      </c>
      <c r="J61" s="54">
        <f t="shared" si="25"/>
        <v>2.4921150802892003</v>
      </c>
      <c r="K61" s="55">
        <f t="shared" si="26"/>
        <v>0.45881607214907821</v>
      </c>
      <c r="L61" s="55">
        <f t="shared" si="27"/>
        <v>5.9872585958776481E-2</v>
      </c>
      <c r="M61" s="55">
        <f t="shared" si="28"/>
        <v>0.94012741404122346</v>
      </c>
      <c r="N61" s="55">
        <f t="shared" si="29"/>
        <v>2.5957724510187109E-2</v>
      </c>
      <c r="O61" s="56">
        <f t="shared" si="30"/>
        <v>4.5924666467168072E-7</v>
      </c>
      <c r="P61" s="56">
        <f t="shared" si="31"/>
        <v>1.4261364867828376E-4</v>
      </c>
      <c r="Q61" s="56">
        <f t="shared" si="32"/>
        <v>1.9382465110077171E-3</v>
      </c>
      <c r="R61" s="9">
        <f t="shared" si="38"/>
        <v>3.9999999999999996E-5</v>
      </c>
      <c r="S61" s="9">
        <f t="shared" si="39"/>
        <v>2.3949034383510589E-6</v>
      </c>
      <c r="T61" s="9">
        <f t="shared" si="40"/>
        <v>1.8352642885963126E-5</v>
      </c>
      <c r="U61" s="9">
        <f t="shared" si="41"/>
        <v>3.7605096561648932E-5</v>
      </c>
      <c r="V61" s="102">
        <f t="shared" si="42"/>
        <v>0.48803605266313366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165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0.17220522092565899</v>
      </c>
      <c r="J62" s="54">
        <f t="shared" si="25"/>
        <v>2.20320821086194</v>
      </c>
      <c r="K62" s="55">
        <f t="shared" si="26"/>
        <v>0.64329272477057786</v>
      </c>
      <c r="L62" s="55">
        <f t="shared" si="27"/>
        <v>4.3160966766540527E-2</v>
      </c>
      <c r="M62" s="55">
        <f t="shared" si="28"/>
        <v>0.95683903323345942</v>
      </c>
      <c r="N62" s="55">
        <f t="shared" si="29"/>
        <v>2.2177706724650924E-2</v>
      </c>
      <c r="O62" s="56">
        <f t="shared" si="30"/>
        <v>6.4389644607404785E-7</v>
      </c>
      <c r="P62" s="56">
        <f t="shared" si="31"/>
        <v>1.028073675537678E-4</v>
      </c>
      <c r="Q62" s="56">
        <f t="shared" si="32"/>
        <v>1.655995026233414E-3</v>
      </c>
      <c r="R62" s="9">
        <f t="shared" si="38"/>
        <v>3.9999999999999996E-5</v>
      </c>
      <c r="S62" s="9">
        <f t="shared" si="39"/>
        <v>1.726438670661621E-6</v>
      </c>
      <c r="T62" s="9">
        <f t="shared" si="40"/>
        <v>2.5731708990823114E-5</v>
      </c>
      <c r="U62" s="9">
        <f t="shared" si="41"/>
        <v>3.8273561329338376E-5</v>
      </c>
      <c r="V62" s="102">
        <f t="shared" si="42"/>
        <v>0.67231028671216497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0.15417954710270029</v>
      </c>
      <c r="J63" s="54">
        <f t="shared" si="25"/>
        <v>2.1368242314772878</v>
      </c>
      <c r="K63" s="55">
        <f t="shared" si="26"/>
        <v>0.67361849433916965</v>
      </c>
      <c r="L63" s="55">
        <f t="shared" si="27"/>
        <v>3.8789354009736349E-2</v>
      </c>
      <c r="M63" s="55">
        <f t="shared" si="28"/>
        <v>0.96121064599026362</v>
      </c>
      <c r="N63" s="55">
        <f t="shared" si="29"/>
        <v>1.9257814478574151E-2</v>
      </c>
      <c r="O63" s="56">
        <f t="shared" si="30"/>
        <v>6.7425067595693775E-7</v>
      </c>
      <c r="P63" s="56">
        <f t="shared" si="31"/>
        <v>9.2394394139096303E-5</v>
      </c>
      <c r="Q63" s="56">
        <f t="shared" si="32"/>
        <v>1.43796855953539E-3</v>
      </c>
      <c r="R63" s="9">
        <f t="shared" si="38"/>
        <v>3.9999999999999996E-5</v>
      </c>
      <c r="S63" s="9">
        <f t="shared" si="39"/>
        <v>1.5515741603894539E-6</v>
      </c>
      <c r="T63" s="9">
        <f t="shared" si="40"/>
        <v>2.6944739773566784E-5</v>
      </c>
      <c r="U63" s="9">
        <f t="shared" si="41"/>
        <v>3.8448425839610544E-5</v>
      </c>
      <c r="V63" s="102">
        <f t="shared" si="42"/>
        <v>0.70080215730984829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2.9920298270100572E-2</v>
      </c>
      <c r="J64" s="54">
        <f t="shared" si="25"/>
        <v>1.3847009580887457</v>
      </c>
      <c r="K64" s="55">
        <f t="shared" si="26"/>
        <v>0.92415639207367362</v>
      </c>
      <c r="L64" s="55">
        <f t="shared" si="27"/>
        <v>9.4171772122222941E-3</v>
      </c>
      <c r="M64" s="55">
        <f t="shared" si="28"/>
        <v>0.99058282278777776</v>
      </c>
      <c r="N64" s="55">
        <f t="shared" si="29"/>
        <v>4.6776903355910046E-3</v>
      </c>
      <c r="O64" s="56">
        <f t="shared" si="30"/>
        <v>9.2502370003496259E-7</v>
      </c>
      <c r="P64" s="56">
        <f t="shared" si="31"/>
        <v>2.2431267682503404E-5</v>
      </c>
      <c r="Q64" s="56">
        <f t="shared" si="32"/>
        <v>3.4928011386266262E-4</v>
      </c>
      <c r="R64" s="9">
        <f t="shared" si="38"/>
        <v>3.9999999999999996E-5</v>
      </c>
      <c r="S64" s="9">
        <f t="shared" si="39"/>
        <v>3.7668708848889174E-7</v>
      </c>
      <c r="T64" s="9">
        <f t="shared" si="40"/>
        <v>3.696625568294694E-5</v>
      </c>
      <c r="U64" s="9">
        <f t="shared" si="41"/>
        <v>3.9623312911511104E-5</v>
      </c>
      <c r="V64" s="102">
        <f t="shared" si="42"/>
        <v>0.93294207290293851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166</v>
      </c>
      <c r="C65" s="46" t="s">
        <v>167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0.45036614920415591</v>
      </c>
      <c r="J65" s="54">
        <f t="shared" si="25"/>
        <v>2.8316859841390225</v>
      </c>
      <c r="K65" s="55">
        <f t="shared" si="26"/>
        <v>0.32180943708889109</v>
      </c>
      <c r="L65" s="55">
        <f t="shared" si="27"/>
        <v>9.1782328831964563E-2</v>
      </c>
      <c r="M65" s="55">
        <f t="shared" si="28"/>
        <v>0.90821767116803542</v>
      </c>
      <c r="N65" s="55">
        <f t="shared" si="29"/>
        <v>5.6354651957575039E-2</v>
      </c>
      <c r="O65" s="56">
        <f t="shared" si="30"/>
        <v>3.221114507839745E-7</v>
      </c>
      <c r="P65" s="56">
        <f t="shared" si="31"/>
        <v>2.1862113669065237E-4</v>
      </c>
      <c r="Q65" s="56">
        <f t="shared" si="32"/>
        <v>4.2079654359902397E-3</v>
      </c>
      <c r="R65" s="9">
        <f t="shared" si="38"/>
        <v>3.9999999999999996E-5</v>
      </c>
      <c r="S65" s="9">
        <f t="shared" si="39"/>
        <v>3.6712931532785823E-6</v>
      </c>
      <c r="T65" s="9">
        <f t="shared" si="40"/>
        <v>1.2872377483555642E-5</v>
      </c>
      <c r="U65" s="9">
        <f t="shared" si="41"/>
        <v>3.6328706846721415E-5</v>
      </c>
      <c r="V65" s="102">
        <f t="shared" si="42"/>
        <v>0.3543307373385724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168</v>
      </c>
      <c r="C66" s="46" t="s">
        <v>169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170</v>
      </c>
      <c r="C67" s="46" t="s">
        <v>171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4.7752637245013392E-2</v>
      </c>
      <c r="J68" s="54">
        <f t="shared" si="25"/>
        <v>1.4941370637576192</v>
      </c>
      <c r="K68" s="55">
        <f t="shared" si="26"/>
        <v>0.88502149406659025</v>
      </c>
      <c r="L68" s="55">
        <f t="shared" si="27"/>
        <v>1.1602863826229335E-2</v>
      </c>
      <c r="M68" s="55">
        <f t="shared" si="28"/>
        <v>0.98839713617377067</v>
      </c>
      <c r="N68" s="55">
        <f t="shared" si="29"/>
        <v>3.5559104433165291E-3</v>
      </c>
      <c r="O68" s="56">
        <f t="shared" si="30"/>
        <v>8.8585207446867303E-7</v>
      </c>
      <c r="P68" s="56">
        <f t="shared" si="31"/>
        <v>2.7637469116753215E-5</v>
      </c>
      <c r="Q68" s="56">
        <f t="shared" si="32"/>
        <v>2.6551753438593237E-4</v>
      </c>
      <c r="R68" s="9">
        <f>F68*$C$14</f>
        <v>3.9999999999999996E-5</v>
      </c>
      <c r="S68" s="9">
        <f t="shared" si="39"/>
        <v>4.6411455304917332E-7</v>
      </c>
      <c r="T68" s="9">
        <f t="shared" si="40"/>
        <v>3.540085976266361E-5</v>
      </c>
      <c r="U68" s="9">
        <f t="shared" si="41"/>
        <v>3.953588544695082E-5</v>
      </c>
      <c r="V68" s="102">
        <f t="shared" si="42"/>
        <v>0.89541082392512528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172</v>
      </c>
      <c r="C69" s="46" t="s">
        <v>173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1.1979474472139457</v>
      </c>
      <c r="J69" s="54">
        <f t="shared" si="25"/>
        <v>3.7639896073264434</v>
      </c>
      <c r="K69" s="55">
        <f t="shared" si="26"/>
        <v>5.4876322711949838E-2</v>
      </c>
      <c r="L69" s="55">
        <f t="shared" si="27"/>
        <v>0.1339210735056488</v>
      </c>
      <c r="M69" s="55">
        <f t="shared" si="28"/>
        <v>0.86607892649435114</v>
      </c>
      <c r="N69" s="55">
        <f t="shared" si="29"/>
        <v>8.7233439742105998E-2</v>
      </c>
      <c r="O69" s="56">
        <f t="shared" si="30"/>
        <v>5.49278233799997E-8</v>
      </c>
      <c r="P69" s="56">
        <f t="shared" si="31"/>
        <v>3.1899361989647915E-4</v>
      </c>
      <c r="Q69" s="56">
        <f t="shared" si="32"/>
        <v>6.5136645608895125E-3</v>
      </c>
      <c r="R69" s="9">
        <f>F69*$C$14</f>
        <v>3.9999999999999996E-5</v>
      </c>
      <c r="S69" s="9">
        <f t="shared" si="39"/>
        <v>5.3568429402259516E-6</v>
      </c>
      <c r="T69" s="9">
        <f t="shared" si="40"/>
        <v>2.1950529084779932E-6</v>
      </c>
      <c r="U69" s="9">
        <f t="shared" si="41"/>
        <v>3.4643157059774041E-5</v>
      </c>
      <c r="V69" s="102">
        <f t="shared" si="42"/>
        <v>6.3361803449108356E-2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174</v>
      </c>
      <c r="C70" s="46" t="s">
        <v>175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6.6276677113325539E-3</v>
      </c>
      <c r="J70" s="54">
        <f t="shared" si="25"/>
        <v>0.68019675641126665</v>
      </c>
      <c r="K70" s="55">
        <f t="shared" si="26"/>
        <v>0.98239909518565727</v>
      </c>
      <c r="L70" s="55">
        <f t="shared" si="27"/>
        <v>1.9767831178300163E-3</v>
      </c>
      <c r="M70" s="55">
        <f t="shared" si="28"/>
        <v>0.99802321688216999</v>
      </c>
      <c r="N70" s="55">
        <f t="shared" si="29"/>
        <v>4.2196064750008396E-4</v>
      </c>
      <c r="O70" s="56">
        <f t="shared" si="30"/>
        <v>9.8332106311632964E-7</v>
      </c>
      <c r="P70" s="56">
        <f t="shared" si="31"/>
        <v>4.7086032541416784E-6</v>
      </c>
      <c r="Q70" s="56">
        <f t="shared" si="32"/>
        <v>3.1507528808182866E-5</v>
      </c>
      <c r="R70" s="9">
        <f t="shared" ref="R70:R86" si="43">F70*$C$14</f>
        <v>3.9999999999999996E-5</v>
      </c>
      <c r="S70" s="9">
        <f t="shared" si="39"/>
        <v>7.9071324713200648E-8</v>
      </c>
      <c r="T70" s="9">
        <f t="shared" si="40"/>
        <v>3.9295963807426286E-5</v>
      </c>
      <c r="U70" s="9">
        <f t="shared" si="41"/>
        <v>3.9920928675286794E-5</v>
      </c>
      <c r="V70" s="102">
        <f t="shared" si="42"/>
        <v>0.98434493162862224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176</v>
      </c>
      <c r="C71" s="46" t="s">
        <v>177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2.8589842167479149E-2</v>
      </c>
      <c r="J71" s="54">
        <f t="shared" ref="J71:J122" si="45">IF(D71=0,"",LOG($K$21*10^D71+$K$22*10^E71+$K$20))</f>
        <v>1.3367435070507094</v>
      </c>
      <c r="K71" s="55">
        <f t="shared" ref="K71:K122" si="46">IF(D71=0,"",1/(1+10^D71*$J$15/$J$14+10^E71*$J$16/$J$14+10^J71*$J$19/$J$14))</f>
        <v>0.92788140709987266</v>
      </c>
      <c r="L71" s="55">
        <f t="shared" ref="L71:L122" si="47">IF(D71=0,"",1/(1+10^I71/10^J71*$J$13/$J$19))</f>
        <v>8.4666243774917001E-3</v>
      </c>
      <c r="M71" s="55">
        <f t="shared" si="19"/>
        <v>0.99153337562250832</v>
      </c>
      <c r="N71" s="55">
        <f t="shared" ref="N71:N122" si="48">IF(D71=0,"",1/(1/10^E71*$J$20/$J$22+10^D71/10^E71*$J$21/$J$22+10^I71/10^E71*$J$13/$J$22+1))</f>
        <v>3.7338379776764088E-3</v>
      </c>
      <c r="O71" s="56">
        <f t="shared" si="21"/>
        <v>9.2875221093611961E-7</v>
      </c>
      <c r="P71" s="56">
        <f t="shared" ref="P71:P122" si="49">IF(D71=0,"",O71*10^J71)</f>
        <v>2.0167096094595831E-5</v>
      </c>
      <c r="Q71" s="56">
        <f t="shared" ref="Q71:Q122" si="50">IF(D71=0,"",F71*N71*$J$7/$J$22)</f>
        <v>2.7880326837043091E-4</v>
      </c>
      <c r="R71" s="9">
        <f t="shared" si="43"/>
        <v>3.9999999999999996E-5</v>
      </c>
      <c r="S71" s="9">
        <f t="shared" si="39"/>
        <v>3.3866497509966797E-7</v>
      </c>
      <c r="T71" s="9">
        <f t="shared" si="40"/>
        <v>3.71152562839949E-5</v>
      </c>
      <c r="U71" s="9">
        <f t="shared" si="41"/>
        <v>3.9661335024900331E-5</v>
      </c>
      <c r="V71" s="102">
        <f t="shared" si="42"/>
        <v>0.93580451239710072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178</v>
      </c>
      <c r="C72" s="46" t="s">
        <v>179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4.5043006346732313E-2</v>
      </c>
      <c r="J72" s="54">
        <f t="shared" si="45"/>
        <v>1.483039277776858</v>
      </c>
      <c r="K72" s="55">
        <f t="shared" si="46"/>
        <v>0.89075824850798635</v>
      </c>
      <c r="L72" s="55">
        <f t="shared" si="47"/>
        <v>1.1383437925388739E-2</v>
      </c>
      <c r="M72" s="55">
        <f t="shared" si="19"/>
        <v>0.98861656207461124</v>
      </c>
      <c r="N72" s="55">
        <f t="shared" si="48"/>
        <v>3.8632236309270279E-3</v>
      </c>
      <c r="O72" s="56">
        <f t="shared" si="21"/>
        <v>8.9159421277457683E-7</v>
      </c>
      <c r="P72" s="56">
        <f t="shared" si="49"/>
        <v>2.7114807069803334E-5</v>
      </c>
      <c r="Q72" s="56">
        <f t="shared" si="50"/>
        <v>2.8846441146828023E-4</v>
      </c>
      <c r="R72" s="9">
        <f t="shared" si="43"/>
        <v>3.9999999999999996E-5</v>
      </c>
      <c r="S72" s="9">
        <f t="shared" si="39"/>
        <v>4.5533751701554956E-7</v>
      </c>
      <c r="T72" s="9">
        <f t="shared" si="40"/>
        <v>3.5630329940319453E-5</v>
      </c>
      <c r="U72" s="9">
        <f t="shared" si="41"/>
        <v>3.9544662482984445E-5</v>
      </c>
      <c r="V72" s="102">
        <f t="shared" si="42"/>
        <v>0.90101489564238202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180</v>
      </c>
      <c r="C73" s="46" t="s">
        <v>181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2.829962486439805</v>
      </c>
      <c r="J73" s="54">
        <f t="shared" si="45"/>
        <v>5.6236352715565152</v>
      </c>
      <c r="K73" s="55">
        <f t="shared" si="46"/>
        <v>1.1723009329020618E-3</v>
      </c>
      <c r="L73" s="55">
        <f t="shared" si="47"/>
        <v>0.20708502529048756</v>
      </c>
      <c r="M73" s="55">
        <f t="shared" si="19"/>
        <v>0.79291497470951244</v>
      </c>
      <c r="N73" s="55">
        <f t="shared" si="48"/>
        <v>0.18497460426948259</v>
      </c>
      <c r="O73" s="56">
        <f t="shared" si="21"/>
        <v>1.1734011210745975E-9</v>
      </c>
      <c r="P73" s="56">
        <f t="shared" si="49"/>
        <v>4.9326666905026128E-4</v>
      </c>
      <c r="Q73" s="56">
        <f t="shared" si="50"/>
        <v>1.3811934139668292E-2</v>
      </c>
      <c r="R73" s="9">
        <f t="shared" si="43"/>
        <v>3.9999999999999996E-5</v>
      </c>
      <c r="S73" s="9">
        <f t="shared" si="39"/>
        <v>8.2834010116195018E-6</v>
      </c>
      <c r="T73" s="9">
        <f t="shared" si="40"/>
        <v>4.689203731608247E-8</v>
      </c>
      <c r="U73" s="9">
        <f t="shared" si="41"/>
        <v>3.1716598988380495E-5</v>
      </c>
      <c r="V73" s="102">
        <f t="shared" si="42"/>
        <v>1.4784699120249797E-3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182</v>
      </c>
      <c r="C74" s="46" t="s">
        <v>183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3.957220636313619E-3</v>
      </c>
      <c r="J74" s="54">
        <f t="shared" si="45"/>
        <v>0.52922244534276219</v>
      </c>
      <c r="K74" s="55">
        <f t="shared" si="46"/>
        <v>0.98902398505251476</v>
      </c>
      <c r="L74" s="55">
        <f t="shared" si="47"/>
        <v>1.405735402777094E-3</v>
      </c>
      <c r="M74" s="55">
        <f t="shared" si="19"/>
        <v>0.99859426459722289</v>
      </c>
      <c r="N74" s="55">
        <f t="shared" si="48"/>
        <v>3.2738427857665437E-4</v>
      </c>
      <c r="O74" s="56">
        <f t="shared" si="21"/>
        <v>9.8995217035047828E-7</v>
      </c>
      <c r="P74" s="56">
        <f t="shared" si="49"/>
        <v>3.3483947896339534E-6</v>
      </c>
      <c r="Q74" s="56">
        <f t="shared" si="50"/>
        <v>2.4445572471537287E-5</v>
      </c>
      <c r="R74" s="9">
        <f t="shared" si="43"/>
        <v>3.9999999999999996E-5</v>
      </c>
      <c r="S74" s="9">
        <f t="shared" si="39"/>
        <v>5.6229416111083752E-8</v>
      </c>
      <c r="T74" s="9">
        <f t="shared" si="40"/>
        <v>3.9560959402100585E-5</v>
      </c>
      <c r="U74" s="9">
        <f t="shared" si="41"/>
        <v>3.9943770583888915E-5</v>
      </c>
      <c r="V74" s="102">
        <f t="shared" si="42"/>
        <v>0.99041624823614605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184</v>
      </c>
      <c r="C75" s="46" t="s">
        <v>185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4.1980440605165602E-3</v>
      </c>
      <c r="J75" s="54">
        <f t="shared" si="45"/>
        <v>0.53967320644667971</v>
      </c>
      <c r="K75" s="55">
        <f t="shared" si="46"/>
        <v>0.98844265419289623</v>
      </c>
      <c r="L75" s="55">
        <f t="shared" si="47"/>
        <v>1.4391265912902878E-3</v>
      </c>
      <c r="M75" s="55">
        <f t="shared" si="19"/>
        <v>0.99856087340870969</v>
      </c>
      <c r="N75" s="55">
        <f t="shared" si="48"/>
        <v>3.1202793323919045E-4</v>
      </c>
      <c r="O75" s="56">
        <f t="shared" si="21"/>
        <v>9.8937029391990777E-7</v>
      </c>
      <c r="P75" s="56">
        <f t="shared" si="49"/>
        <v>3.4279310106157856E-6</v>
      </c>
      <c r="Q75" s="56">
        <f t="shared" si="50"/>
        <v>2.3298924090994992E-5</v>
      </c>
      <c r="R75" s="9">
        <f t="shared" si="43"/>
        <v>3.9999999999999996E-5</v>
      </c>
      <c r="S75" s="9">
        <f t="shared" si="39"/>
        <v>5.7565063651611504E-8</v>
      </c>
      <c r="T75" s="9">
        <f t="shared" si="40"/>
        <v>3.9537706167715846E-5</v>
      </c>
      <c r="U75" s="9">
        <f t="shared" si="41"/>
        <v>3.9942434936348382E-5</v>
      </c>
      <c r="V75" s="102">
        <f t="shared" si="42"/>
        <v>0.98986719839995962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186</v>
      </c>
      <c r="C76" s="46" t="s">
        <v>187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0.35626551305621779</v>
      </c>
      <c r="J76" s="54">
        <f t="shared" si="45"/>
        <v>2.6359556091931937</v>
      </c>
      <c r="K76" s="55">
        <f t="shared" si="46"/>
        <v>0.40747114758304354</v>
      </c>
      <c r="L76" s="55">
        <f t="shared" si="47"/>
        <v>7.405029361083193E-2</v>
      </c>
      <c r="M76" s="55">
        <f t="shared" si="19"/>
        <v>0.92594970638916807</v>
      </c>
      <c r="N76" s="55">
        <f t="shared" si="48"/>
        <v>4.0489355023047735E-2</v>
      </c>
      <c r="O76" s="56">
        <f t="shared" si="21"/>
        <v>4.0785355360579618E-7</v>
      </c>
      <c r="P76" s="56">
        <f t="shared" si="49"/>
        <v>1.7638427317654402E-4</v>
      </c>
      <c r="Q76" s="56">
        <f t="shared" si="50"/>
        <v>3.0233139686637869E-3</v>
      </c>
      <c r="R76" s="9">
        <f t="shared" si="43"/>
        <v>3.9999999999999996E-5</v>
      </c>
      <c r="S76" s="9">
        <f t="shared" si="39"/>
        <v>2.9620117444332768E-6</v>
      </c>
      <c r="T76" s="9">
        <f t="shared" si="40"/>
        <v>1.6298845903321739E-5</v>
      </c>
      <c r="U76" s="9">
        <f t="shared" si="41"/>
        <v>3.703798825556672E-5</v>
      </c>
      <c r="V76" s="102">
        <f t="shared" si="42"/>
        <v>0.44005753743582615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2.1004549420906745E-4</v>
      </c>
      <c r="J77" s="54">
        <f t="shared" si="45"/>
        <v>4.4538856592537125E-2</v>
      </c>
      <c r="K77" s="55">
        <f t="shared" si="46"/>
        <v>0.99853426752958796</v>
      </c>
      <c r="L77" s="55">
        <f t="shared" si="47"/>
        <v>4.6491776711184558E-4</v>
      </c>
      <c r="M77" s="55">
        <f t="shared" si="19"/>
        <v>0.99953508223288812</v>
      </c>
      <c r="N77" s="55">
        <f t="shared" si="48"/>
        <v>2.0324879046744647E-5</v>
      </c>
      <c r="O77" s="56">
        <f t="shared" si="21"/>
        <v>9.9947137809580373E-7</v>
      </c>
      <c r="P77" s="56">
        <f t="shared" si="49"/>
        <v>1.107411982319125E-6</v>
      </c>
      <c r="Q77" s="56">
        <f t="shared" si="50"/>
        <v>1.5176455811273535E-6</v>
      </c>
      <c r="R77" s="9">
        <f t="shared" si="43"/>
        <v>3.9999999999999996E-5</v>
      </c>
      <c r="S77" s="9">
        <f t="shared" si="39"/>
        <v>1.8596710684473823E-8</v>
      </c>
      <c r="T77" s="9">
        <f t="shared" si="40"/>
        <v>3.9941370701183518E-5</v>
      </c>
      <c r="U77" s="9">
        <f t="shared" si="41"/>
        <v>3.9981403289315519E-5</v>
      </c>
      <c r="V77" s="102">
        <f t="shared" si="42"/>
        <v>0.99899871978373744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188</v>
      </c>
      <c r="C78" s="46" t="s">
        <v>189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9.6186457475178466E-3</v>
      </c>
      <c r="J78" s="54">
        <f t="shared" si="45"/>
        <v>0.8649751353960996</v>
      </c>
      <c r="K78" s="55">
        <f t="shared" si="46"/>
        <v>0.97465507967624787</v>
      </c>
      <c r="L78" s="55">
        <f t="shared" si="47"/>
        <v>3.0012377414661028E-3</v>
      </c>
      <c r="M78" s="55">
        <f t="shared" si="19"/>
        <v>0.9969987622585339</v>
      </c>
      <c r="N78" s="55">
        <f t="shared" si="48"/>
        <v>1.0375736807989716E-3</v>
      </c>
      <c r="O78" s="56">
        <f t="shared" si="21"/>
        <v>9.7556977995572886E-7</v>
      </c>
      <c r="P78" s="56">
        <f t="shared" si="49"/>
        <v>7.1488053840893316E-6</v>
      </c>
      <c r="Q78" s="56">
        <f t="shared" si="50"/>
        <v>7.7474956093813059E-5</v>
      </c>
      <c r="R78" s="9">
        <f t="shared" si="43"/>
        <v>3.9999999999999996E-5</v>
      </c>
      <c r="S78" s="9">
        <f t="shared" si="39"/>
        <v>1.200495096586441E-7</v>
      </c>
      <c r="T78" s="9">
        <f t="shared" si="40"/>
        <v>3.8986203187049911E-5</v>
      </c>
      <c r="U78" s="9">
        <f t="shared" si="41"/>
        <v>3.987995049034135E-5</v>
      </c>
      <c r="V78" s="102">
        <f t="shared" si="42"/>
        <v>0.9775890568493083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190</v>
      </c>
      <c r="C79" s="46" t="s">
        <v>191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8.6760595853303396E-2</v>
      </c>
      <c r="J79" s="54">
        <f t="shared" si="45"/>
        <v>1.8262123505679773</v>
      </c>
      <c r="K79" s="55">
        <f t="shared" si="46"/>
        <v>0.80004947225109524</v>
      </c>
      <c r="L79" s="55">
        <f t="shared" si="47"/>
        <v>2.2532195299620226E-2</v>
      </c>
      <c r="M79" s="55">
        <f t="shared" si="19"/>
        <v>0.97746780470037975</v>
      </c>
      <c r="N79" s="55">
        <f t="shared" si="48"/>
        <v>9.8698792475301091E-3</v>
      </c>
      <c r="O79" s="56">
        <f t="shared" si="21"/>
        <v>8.0080030758877173E-7</v>
      </c>
      <c r="P79" s="56">
        <f t="shared" si="49"/>
        <v>5.3670616242014468E-5</v>
      </c>
      <c r="Q79" s="56">
        <f t="shared" si="50"/>
        <v>7.3697750386729911E-4</v>
      </c>
      <c r="R79" s="9">
        <f t="shared" si="43"/>
        <v>3.9999999999999996E-5</v>
      </c>
      <c r="S79" s="9">
        <f t="shared" si="39"/>
        <v>9.0128781198480899E-7</v>
      </c>
      <c r="T79" s="9">
        <f t="shared" si="40"/>
        <v>3.2001978890043806E-5</v>
      </c>
      <c r="U79" s="9">
        <f t="shared" si="41"/>
        <v>3.9098712188015183E-5</v>
      </c>
      <c r="V79" s="102">
        <f t="shared" si="42"/>
        <v>0.81849189139925893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192</v>
      </c>
      <c r="C80" s="46" t="s">
        <v>193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1.9819141928346475</v>
      </c>
      <c r="J80" s="54">
        <f t="shared" si="45"/>
        <v>4.65500335522374</v>
      </c>
      <c r="K80" s="55">
        <f t="shared" si="46"/>
        <v>8.6987720629243901E-3</v>
      </c>
      <c r="L80" s="55">
        <f t="shared" si="47"/>
        <v>0.16517169268245857</v>
      </c>
      <c r="M80" s="55">
        <f t="shared" si="19"/>
        <v>0.83482830731754143</v>
      </c>
      <c r="N80" s="55">
        <f t="shared" si="48"/>
        <v>0.1264791526300911</v>
      </c>
      <c r="O80" s="56">
        <f t="shared" si="21"/>
        <v>8.7069357399040869E-9</v>
      </c>
      <c r="P80" s="56">
        <f t="shared" si="49"/>
        <v>3.9343110665091729E-4</v>
      </c>
      <c r="Q80" s="56">
        <f t="shared" si="50"/>
        <v>9.4441165751750836E-3</v>
      </c>
      <c r="R80" s="9">
        <f t="shared" si="43"/>
        <v>3.9999999999999996E-5</v>
      </c>
      <c r="S80" s="9">
        <f t="shared" si="39"/>
        <v>6.606867707298342E-6</v>
      </c>
      <c r="T80" s="9">
        <f t="shared" si="40"/>
        <v>3.4795088251697556E-7</v>
      </c>
      <c r="U80" s="9">
        <f t="shared" si="41"/>
        <v>3.3393132292701652E-5</v>
      </c>
      <c r="V80" s="102">
        <f t="shared" si="42"/>
        <v>1.0419833619292525E-2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194</v>
      </c>
      <c r="C81" s="46" t="s">
        <v>195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0.12726341031571042</v>
      </c>
      <c r="J81" s="54">
        <f t="shared" si="45"/>
        <v>2.0806048106090933</v>
      </c>
      <c r="K81" s="55">
        <f t="shared" si="46"/>
        <v>0.71850647954880509</v>
      </c>
      <c r="L81" s="55">
        <f t="shared" si="47"/>
        <v>3.6350451778846091E-2</v>
      </c>
      <c r="M81" s="55">
        <f t="shared" si="19"/>
        <v>0.9636495482211539</v>
      </c>
      <c r="N81" s="55">
        <f t="shared" si="48"/>
        <v>2.0640855109022624E-2</v>
      </c>
      <c r="O81" s="56">
        <f t="shared" si="21"/>
        <v>7.1918078791835715E-7</v>
      </c>
      <c r="P81" s="56">
        <f t="shared" si="49"/>
        <v>8.6585045163317149E-5</v>
      </c>
      <c r="Q81" s="56">
        <f t="shared" si="50"/>
        <v>1.5412393094617418E-3</v>
      </c>
      <c r="R81" s="9">
        <f t="shared" si="43"/>
        <v>3.9999999999999996E-5</v>
      </c>
      <c r="S81" s="9">
        <f t="shared" si="39"/>
        <v>1.4540180711538434E-6</v>
      </c>
      <c r="T81" s="9">
        <f t="shared" si="40"/>
        <v>2.8740259181952202E-5</v>
      </c>
      <c r="U81" s="9">
        <f t="shared" si="41"/>
        <v>3.8545981928846153E-5</v>
      </c>
      <c r="V81" s="102">
        <f t="shared" si="42"/>
        <v>0.74560973008821518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196</v>
      </c>
      <c r="C82" s="46" t="s">
        <v>197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0.47104615060046062</v>
      </c>
      <c r="J82" s="54">
        <f t="shared" si="45"/>
        <v>2.9002106257320843</v>
      </c>
      <c r="K82" s="55">
        <f t="shared" si="46"/>
        <v>0.30359953278859353</v>
      </c>
      <c r="L82" s="55">
        <f t="shared" si="47"/>
        <v>0.10138787899675912</v>
      </c>
      <c r="M82" s="55">
        <f t="shared" si="19"/>
        <v>0.89861212100324084</v>
      </c>
      <c r="N82" s="55">
        <f t="shared" si="48"/>
        <v>6.7985155489895713E-2</v>
      </c>
      <c r="O82" s="56">
        <f t="shared" si="21"/>
        <v>3.0388445674095659E-7</v>
      </c>
      <c r="P82" s="56">
        <f t="shared" si="49"/>
        <v>2.415010997760423E-4</v>
      </c>
      <c r="Q82" s="56">
        <f t="shared" si="50"/>
        <v>5.0764076171967067E-3</v>
      </c>
      <c r="R82" s="9">
        <f t="shared" si="43"/>
        <v>3.9999999999999996E-5</v>
      </c>
      <c r="S82" s="9">
        <f t="shared" si="39"/>
        <v>4.0555151598703645E-6</v>
      </c>
      <c r="T82" s="9">
        <f t="shared" si="40"/>
        <v>1.214398131154374E-5</v>
      </c>
      <c r="U82" s="9">
        <f t="shared" si="41"/>
        <v>3.5944484840129633E-5</v>
      </c>
      <c r="V82" s="102">
        <f t="shared" si="42"/>
        <v>0.33785381444626494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198</v>
      </c>
      <c r="C83" s="46" t="s">
        <v>199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0.17835694544431219</v>
      </c>
      <c r="J83" s="54">
        <f t="shared" si="45"/>
        <v>2.2648778324590841</v>
      </c>
      <c r="K83" s="55">
        <f t="shared" si="46"/>
        <v>0.6305336990190521</v>
      </c>
      <c r="L83" s="55">
        <f t="shared" si="47"/>
        <v>4.8759635249520129E-2</v>
      </c>
      <c r="M83" s="55">
        <f t="shared" si="19"/>
        <v>0.95124036475047991</v>
      </c>
      <c r="N83" s="55">
        <f t="shared" si="48"/>
        <v>2.8725612573155052E-2</v>
      </c>
      <c r="O83" s="56">
        <f t="shared" si="21"/>
        <v>6.3112544615374777E-7</v>
      </c>
      <c r="P83" s="56">
        <f t="shared" si="49"/>
        <v>1.1614312927696415E-4</v>
      </c>
      <c r="Q83" s="56">
        <f t="shared" si="50"/>
        <v>2.1449229236032083E-3</v>
      </c>
      <c r="R83" s="9">
        <f t="shared" si="43"/>
        <v>3.9999999999999996E-5</v>
      </c>
      <c r="S83" s="9">
        <f t="shared" si="39"/>
        <v>1.9503854099808052E-6</v>
      </c>
      <c r="T83" s="9">
        <f t="shared" si="40"/>
        <v>2.5221347960762083E-5</v>
      </c>
      <c r="U83" s="9">
        <f t="shared" si="41"/>
        <v>3.8049614590019191E-5</v>
      </c>
      <c r="V83" s="102">
        <f t="shared" si="42"/>
        <v>0.66285422947169359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5.9812805986470914E-3</v>
      </c>
      <c r="J84" s="54">
        <f t="shared" si="45"/>
        <v>0.678648535608118</v>
      </c>
      <c r="K84" s="55">
        <f t="shared" si="46"/>
        <v>0.98386638313399044</v>
      </c>
      <c r="L84" s="55">
        <f t="shared" si="47"/>
        <v>1.9726905795146516E-3</v>
      </c>
      <c r="M84" s="55">
        <f t="shared" si="19"/>
        <v>0.99802730942048534</v>
      </c>
      <c r="N84" s="55">
        <f t="shared" si="48"/>
        <v>5.7418271972685679E-4</v>
      </c>
      <c r="O84" s="56">
        <f t="shared" si="21"/>
        <v>9.8478972809405929E-7</v>
      </c>
      <c r="P84" s="56">
        <f t="shared" si="49"/>
        <v>4.6988550227572573E-6</v>
      </c>
      <c r="Q84" s="56">
        <f t="shared" si="50"/>
        <v>4.2873852550316626E-5</v>
      </c>
      <c r="R84" s="9">
        <f t="shared" si="43"/>
        <v>3.9999999999999996E-5</v>
      </c>
      <c r="S84" s="9">
        <f t="shared" si="39"/>
        <v>7.8907623180586051E-8</v>
      </c>
      <c r="T84" s="9">
        <f t="shared" si="40"/>
        <v>3.9354655325359614E-5</v>
      </c>
      <c r="U84" s="9">
        <f t="shared" si="41"/>
        <v>3.9921092376819409E-5</v>
      </c>
      <c r="V84" s="102">
        <f t="shared" si="42"/>
        <v>0.98581108337133827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200</v>
      </c>
      <c r="C85" s="46" t="s">
        <v>201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0.11910186422699467</v>
      </c>
      <c r="J85" s="54">
        <f t="shared" si="45"/>
        <v>2.0597542825278099</v>
      </c>
      <c r="K85" s="55">
        <f t="shared" si="46"/>
        <v>0.73290392959225514</v>
      </c>
      <c r="L85" s="55">
        <f t="shared" si="47"/>
        <v>3.5340740572645891E-2</v>
      </c>
      <c r="M85" s="55">
        <f t="shared" si="19"/>
        <v>0.96465925942735409</v>
      </c>
      <c r="N85" s="55">
        <f t="shared" si="48"/>
        <v>2.0762614789198455E-2</v>
      </c>
      <c r="O85" s="56">
        <f t="shared" si="21"/>
        <v>7.3359174976906429E-7</v>
      </c>
      <c r="P85" s="56">
        <f t="shared" si="49"/>
        <v>8.4179961151634297E-5</v>
      </c>
      <c r="Q85" s="56">
        <f t="shared" si="50"/>
        <v>1.5503310260792597E-3</v>
      </c>
      <c r="R85" s="9">
        <f t="shared" si="43"/>
        <v>3.9999999999999996E-5</v>
      </c>
      <c r="S85" s="9">
        <f t="shared" si="39"/>
        <v>1.4136296229058354E-6</v>
      </c>
      <c r="T85" s="9">
        <f t="shared" si="40"/>
        <v>2.9316157183690202E-5</v>
      </c>
      <c r="U85" s="9">
        <f t="shared" si="41"/>
        <v>3.858637037709416E-5</v>
      </c>
      <c r="V85" s="102">
        <f t="shared" si="42"/>
        <v>0.75975420588128217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3.4503381608646556E-2</v>
      </c>
      <c r="J86" s="54">
        <f t="shared" si="45"/>
        <v>1.435139969210834</v>
      </c>
      <c r="K86" s="55">
        <f t="shared" si="46"/>
        <v>0.91349709707342197</v>
      </c>
      <c r="L86" s="55">
        <f t="shared" si="47"/>
        <v>1.045493781501413E-2</v>
      </c>
      <c r="M86" s="55">
        <f t="shared" si="19"/>
        <v>0.98954506218498584</v>
      </c>
      <c r="N86" s="55">
        <f t="shared" si="48"/>
        <v>4.9981831706406923E-3</v>
      </c>
      <c r="O86" s="56">
        <f t="shared" si="21"/>
        <v>9.1435440143413568E-7</v>
      </c>
      <c r="P86" s="56">
        <f t="shared" si="49"/>
        <v>2.4903164021182001E-5</v>
      </c>
      <c r="Q86" s="56">
        <f t="shared" si="50"/>
        <v>3.732111067004301E-4</v>
      </c>
      <c r="R86" s="9">
        <f t="shared" si="43"/>
        <v>3.9999999999999996E-5</v>
      </c>
      <c r="S86" s="9">
        <f t="shared" si="39"/>
        <v>4.1819751260056515E-7</v>
      </c>
      <c r="T86" s="9">
        <f t="shared" si="40"/>
        <v>3.6539883882936877E-5</v>
      </c>
      <c r="U86" s="9">
        <f t="shared" si="41"/>
        <v>3.9581802487399427E-5</v>
      </c>
      <c r="V86" s="102">
        <f t="shared" si="42"/>
        <v>0.92314855783965555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202</v>
      </c>
      <c r="C87" s="46" t="s">
        <v>203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204</v>
      </c>
      <c r="C88" s="46" t="s">
        <v>205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1.1640116161103842</v>
      </c>
      <c r="J88" s="54">
        <f t="shared" si="45"/>
        <v>3.8436743524136028</v>
      </c>
      <c r="K88" s="55">
        <f t="shared" si="46"/>
        <v>5.7051606256882534E-2</v>
      </c>
      <c r="L88" s="55">
        <f t="shared" si="47"/>
        <v>0.16726941648767349</v>
      </c>
      <c r="M88" s="55">
        <f t="shared" si="19"/>
        <v>0.83273058351232654</v>
      </c>
      <c r="N88" s="55">
        <f t="shared" si="48"/>
        <v>0.13465450028418319</v>
      </c>
      <c r="O88" s="56">
        <f t="shared" si="21"/>
        <v>5.7105148398380786E-8</v>
      </c>
      <c r="P88" s="56">
        <f t="shared" si="49"/>
        <v>3.9842778486332946E-4</v>
      </c>
      <c r="Q88" s="56">
        <f t="shared" si="50"/>
        <v>1.0054564500246495E-2</v>
      </c>
      <c r="R88" s="9">
        <f>F88*$C$14</f>
        <v>3.9999999999999996E-5</v>
      </c>
      <c r="S88" s="9">
        <f t="shared" si="39"/>
        <v>6.6907766595069387E-6</v>
      </c>
      <c r="T88" s="9">
        <f t="shared" si="40"/>
        <v>2.2820642502753012E-6</v>
      </c>
      <c r="U88" s="9">
        <f t="shared" si="41"/>
        <v>3.3309223340493061E-5</v>
      </c>
      <c r="V88" s="102">
        <f t="shared" si="42"/>
        <v>6.8511481848364253E-2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206</v>
      </c>
      <c r="C89" s="46" t="s">
        <v>207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2.5219720041185631</v>
      </c>
      <c r="J89" s="54">
        <f t="shared" si="45"/>
        <v>5.2954798864379393</v>
      </c>
      <c r="K89" s="55">
        <f t="shared" si="46"/>
        <v>2.4050785756386606E-3</v>
      </c>
      <c r="L89" s="55">
        <f t="shared" si="47"/>
        <v>0.1995645831670842</v>
      </c>
      <c r="M89" s="55">
        <f t="shared" si="19"/>
        <v>0.80043541683291575</v>
      </c>
      <c r="N89" s="55">
        <f t="shared" si="48"/>
        <v>0.17446618554284421</v>
      </c>
      <c r="O89" s="56">
        <f t="shared" si="21"/>
        <v>2.407335708537451E-9</v>
      </c>
      <c r="P89" s="56">
        <f t="shared" si="49"/>
        <v>4.7535333402860613E-4</v>
      </c>
      <c r="Q89" s="56">
        <f t="shared" si="50"/>
        <v>1.3027277305625633E-2</v>
      </c>
      <c r="R89" s="9">
        <f>F89*$C$14</f>
        <v>3.9999999999999996E-5</v>
      </c>
      <c r="S89" s="9">
        <f t="shared" si="39"/>
        <v>7.9825833266833679E-6</v>
      </c>
      <c r="T89" s="9">
        <f t="shared" si="40"/>
        <v>9.6203143025546415E-8</v>
      </c>
      <c r="U89" s="9">
        <f t="shared" si="41"/>
        <v>3.2017416673316627E-5</v>
      </c>
      <c r="V89" s="102">
        <f t="shared" si="42"/>
        <v>3.0047128413618171E-3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208</v>
      </c>
      <c r="C90" s="46" t="s">
        <v>209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2.8671793282646911</v>
      </c>
      <c r="J90" s="54">
        <f t="shared" si="45"/>
        <v>5.6689287455654798</v>
      </c>
      <c r="K90" s="55">
        <f t="shared" si="46"/>
        <v>1.0718582196673149E-3</v>
      </c>
      <c r="L90" s="55">
        <f t="shared" si="47"/>
        <v>0.210155326315806</v>
      </c>
      <c r="M90" s="55">
        <f t="shared" si="19"/>
        <v>0.78984467368419398</v>
      </c>
      <c r="N90" s="55">
        <f t="shared" si="48"/>
        <v>0.18930816204129941</v>
      </c>
      <c r="O90" s="56">
        <f t="shared" si="21"/>
        <v>1.0728641437460355E-9</v>
      </c>
      <c r="P90" s="56">
        <f t="shared" si="49"/>
        <v>5.0057997988775917E-4</v>
      </c>
      <c r="Q90" s="56">
        <f t="shared" si="50"/>
        <v>1.4135518097429226E-2</v>
      </c>
      <c r="R90" s="9">
        <f>F90*$C$14</f>
        <v>3.9999999999999996E-5</v>
      </c>
      <c r="S90" s="9">
        <f t="shared" si="39"/>
        <v>8.4062130526322385E-6</v>
      </c>
      <c r="T90" s="9">
        <f t="shared" si="40"/>
        <v>4.2874328786692592E-8</v>
      </c>
      <c r="U90" s="9">
        <f t="shared" si="41"/>
        <v>3.1593786947367758E-5</v>
      </c>
      <c r="V90" s="102">
        <f t="shared" si="42"/>
        <v>1.3570493736036501E-3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3.2678433041260839</v>
      </c>
      <c r="J91" s="54">
        <f t="shared" si="45"/>
        <v>6.0939707025144498</v>
      </c>
      <c r="K91" s="55">
        <f t="shared" si="46"/>
        <v>4.2095473859887848E-4</v>
      </c>
      <c r="L91" s="55">
        <f t="shared" si="47"/>
        <v>0.21962431420462247</v>
      </c>
      <c r="M91" s="55">
        <f t="shared" si="19"/>
        <v>0.78037568579537753</v>
      </c>
      <c r="N91" s="55">
        <f t="shared" si="48"/>
        <v>0.20263637091754116</v>
      </c>
      <c r="O91" s="56">
        <f t="shared" si="21"/>
        <v>4.2134979878486055E-10</v>
      </c>
      <c r="P91" s="56">
        <f t="shared" si="49"/>
        <v>5.2313465813473494E-4</v>
      </c>
      <c r="Q91" s="56">
        <f t="shared" si="50"/>
        <v>1.5130726839328746E-2</v>
      </c>
      <c r="R91" s="9">
        <f t="shared" ref="R91:R92" si="51">F91*$C$14</f>
        <v>3.9999999999999996E-5</v>
      </c>
      <c r="S91" s="9">
        <f t="shared" si="39"/>
        <v>8.7849725681848982E-6</v>
      </c>
      <c r="T91" s="9">
        <f t="shared" si="40"/>
        <v>1.6838189543955138E-8</v>
      </c>
      <c r="U91" s="9">
        <f t="shared" si="41"/>
        <v>3.1215027431815098E-5</v>
      </c>
      <c r="V91" s="102">
        <f t="shared" si="42"/>
        <v>5.3942574872746236E-4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4.4880081925943038</v>
      </c>
      <c r="J92" s="54">
        <f t="shared" si="45"/>
        <v>7.3506289103249456</v>
      </c>
      <c r="K92" s="55">
        <f t="shared" si="46"/>
        <v>2.4876472086261271E-5</v>
      </c>
      <c r="L92" s="55">
        <f t="shared" si="47"/>
        <v>0.23436459995749426</v>
      </c>
      <c r="M92" s="55">
        <f t="shared" si="19"/>
        <v>0.76563540004250574</v>
      </c>
      <c r="N92" s="55">
        <f t="shared" si="48"/>
        <v>0.22345073431750448</v>
      </c>
      <c r="O92" s="56">
        <f t="shared" si="21"/>
        <v>2.4899818310422299E-11</v>
      </c>
      <c r="P92" s="56">
        <f t="shared" si="49"/>
        <v>5.5824531687970625E-4</v>
      </c>
      <c r="Q92" s="56">
        <f t="shared" si="50"/>
        <v>1.6684921900725323E-2</v>
      </c>
      <c r="R92" s="9">
        <f t="shared" si="51"/>
        <v>3.9999999999999996E-5</v>
      </c>
      <c r="S92" s="9">
        <f t="shared" si="39"/>
        <v>9.374583998299769E-6</v>
      </c>
      <c r="T92" s="9">
        <f t="shared" si="40"/>
        <v>9.950588834504508E-10</v>
      </c>
      <c r="U92" s="9">
        <f t="shared" si="41"/>
        <v>3.0625416001700229E-5</v>
      </c>
      <c r="V92" s="102">
        <f t="shared" si="42"/>
        <v>3.2491277290574865E-5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210</v>
      </c>
      <c r="C93" s="46" t="s">
        <v>211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3.2311126461878961E-2</v>
      </c>
      <c r="J93" s="54">
        <f t="shared" si="45"/>
        <v>1.3125703435581537</v>
      </c>
      <c r="K93" s="55">
        <f t="shared" si="46"/>
        <v>0.92044956204939865</v>
      </c>
      <c r="L93" s="55">
        <f t="shared" si="47"/>
        <v>7.9440990817894463E-3</v>
      </c>
      <c r="M93" s="55">
        <f t="shared" ref="M93:M127" si="52">IF(D93=0,"",1-L93)</f>
        <v>0.99205590091821061</v>
      </c>
      <c r="N93" s="55">
        <f t="shared" si="48"/>
        <v>2.1941433185283629E-3</v>
      </c>
      <c r="O93" s="56">
        <f t="shared" ref="O93:O127" si="53">IF(D93=0,"",F93*K93*$J$7/$J$14)</f>
        <v>9.2131339120210201E-7</v>
      </c>
      <c r="P93" s="56">
        <f t="shared" si="49"/>
        <v>1.8922465722389994E-5</v>
      </c>
      <c r="Q93" s="56">
        <f t="shared" si="50"/>
        <v>1.6383526337678347E-4</v>
      </c>
      <c r="R93" s="9">
        <f>F93*$C$14</f>
        <v>3.9999999999999996E-5</v>
      </c>
      <c r="S93" s="9">
        <f t="shared" si="39"/>
        <v>3.1776396327157781E-7</v>
      </c>
      <c r="T93" s="9">
        <f t="shared" si="40"/>
        <v>3.6817982481975939E-5</v>
      </c>
      <c r="U93" s="9">
        <f t="shared" si="41"/>
        <v>3.9682236036728422E-5</v>
      </c>
      <c r="V93" s="102">
        <f t="shared" si="42"/>
        <v>0.9278202581099152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212</v>
      </c>
      <c r="C94" s="46" t="s">
        <v>213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214</v>
      </c>
      <c r="C95" s="46" t="s">
        <v>215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216</v>
      </c>
      <c r="C96" s="46" t="s">
        <v>217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218</v>
      </c>
      <c r="C97" s="46" t="s">
        <v>219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220</v>
      </c>
      <c r="C98" s="46" t="s">
        <v>221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222</v>
      </c>
      <c r="C99" s="46" t="s">
        <v>223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224</v>
      </c>
      <c r="C100" s="46" t="s">
        <v>225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226</v>
      </c>
      <c r="C101" s="46" t="s">
        <v>227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228</v>
      </c>
      <c r="C102" s="46" t="s">
        <v>229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230</v>
      </c>
      <c r="C103" s="46" t="s">
        <v>231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232</v>
      </c>
      <c r="C104" s="46" t="s">
        <v>233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234</v>
      </c>
      <c r="C105" s="46" t="s">
        <v>235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236</v>
      </c>
      <c r="C106" s="46" t="s">
        <v>237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238</v>
      </c>
      <c r="C107" s="46" t="s">
        <v>239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1.9446765022663539E-3</v>
      </c>
      <c r="J107" s="54">
        <f t="shared" si="45"/>
        <v>0.33148681110620515</v>
      </c>
      <c r="K107" s="55">
        <f t="shared" si="46"/>
        <v>0.99412481363792049</v>
      </c>
      <c r="L107" s="55">
        <f t="shared" si="47"/>
        <v>8.9619401317342102E-4</v>
      </c>
      <c r="M107" s="55">
        <f t="shared" si="52"/>
        <v>0.99910380598682658</v>
      </c>
      <c r="N107" s="55">
        <f t="shared" si="48"/>
        <v>1.5571050396781039E-4</v>
      </c>
      <c r="O107" s="56">
        <f t="shared" si="53"/>
        <v>9.9505778599279279E-7</v>
      </c>
      <c r="P107" s="56">
        <f t="shared" si="49"/>
        <v>2.1346914634736999E-6</v>
      </c>
      <c r="Q107" s="56">
        <f t="shared" si="50"/>
        <v>1.1626802685436399E-5</v>
      </c>
      <c r="R107" s="9">
        <f>F107*$C$14</f>
        <v>3.9999999999999996E-5</v>
      </c>
      <c r="S107" s="9">
        <f t="shared" ref="S107:S108" si="54">$R107*L107</f>
        <v>3.5847760526936835E-8</v>
      </c>
      <c r="T107" s="9">
        <f t="shared" ref="T107:T108" si="55">R107*K107</f>
        <v>3.9764992545516819E-5</v>
      </c>
      <c r="U107" s="9">
        <f t="shared" ref="U107:U108" si="56">$R107*M107</f>
        <v>3.9964152239473061E-5</v>
      </c>
      <c r="V107" s="102">
        <f t="shared" ref="V107:V108" si="57">K107/M107</f>
        <v>0.99501654150542618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240</v>
      </c>
      <c r="C108" s="46" t="s">
        <v>241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1.5422749478710035E-2</v>
      </c>
      <c r="J108" s="54">
        <f t="shared" si="45"/>
        <v>1.0426006689905334</v>
      </c>
      <c r="K108" s="55">
        <f t="shared" si="46"/>
        <v>0.96031723782404155</v>
      </c>
      <c r="L108" s="55">
        <f t="shared" si="47"/>
        <v>4.4513291270797343E-3</v>
      </c>
      <c r="M108" s="55">
        <f t="shared" si="52"/>
        <v>0.99554867087292032</v>
      </c>
      <c r="N108" s="55">
        <f t="shared" si="48"/>
        <v>1.5453566340339351E-3</v>
      </c>
      <c r="O108" s="56">
        <f t="shared" si="53"/>
        <v>9.6121848223772692E-7</v>
      </c>
      <c r="P108" s="56">
        <f t="shared" si="49"/>
        <v>1.060285401265026E-5</v>
      </c>
      <c r="Q108" s="56">
        <f t="shared" si="50"/>
        <v>1.1539078099867364E-4</v>
      </c>
      <c r="R108" s="9">
        <f>F108*$C$14</f>
        <v>3.9999999999999996E-5</v>
      </c>
      <c r="S108" s="9">
        <f t="shared" si="54"/>
        <v>1.7805316508318936E-7</v>
      </c>
      <c r="T108" s="9">
        <f t="shared" si="55"/>
        <v>3.8412689512961658E-5</v>
      </c>
      <c r="U108" s="9">
        <f t="shared" si="56"/>
        <v>3.982194683491681E-5</v>
      </c>
      <c r="V108" s="102">
        <f t="shared" si="57"/>
        <v>0.96461103903841583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242</v>
      </c>
      <c r="C109" s="46" t="s">
        <v>243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244</v>
      </c>
      <c r="C110" s="46" t="s">
        <v>245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246</v>
      </c>
      <c r="C111" s="46" t="s">
        <v>247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248</v>
      </c>
      <c r="C112" s="46" t="s">
        <v>249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250</v>
      </c>
      <c r="C113" s="46" t="s">
        <v>251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252</v>
      </c>
      <c r="C114" s="46" t="s">
        <v>253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1.0353959656071578E-2</v>
      </c>
      <c r="J114" s="54">
        <f t="shared" si="45"/>
        <v>0.90354926162364302</v>
      </c>
      <c r="K114" s="55">
        <f t="shared" si="46"/>
        <v>0.97274049426329912</v>
      </c>
      <c r="L114" s="55">
        <f t="shared" si="47"/>
        <v>3.2735619974540234E-3</v>
      </c>
      <c r="M114" s="55">
        <f t="shared" si="52"/>
        <v>0.99672643800254601</v>
      </c>
      <c r="N114" s="55">
        <f t="shared" si="48"/>
        <v>1.2167209663162351E-3</v>
      </c>
      <c r="O114" s="56">
        <f t="shared" si="53"/>
        <v>9.7365339773091439E-7</v>
      </c>
      <c r="P114" s="56">
        <f t="shared" si="49"/>
        <v>7.7974687940308451E-6</v>
      </c>
      <c r="Q114" s="56">
        <f t="shared" si="50"/>
        <v>9.0851768108828781E-5</v>
      </c>
      <c r="R114" s="9">
        <f>F114*$C$14</f>
        <v>3.9999999999999996E-5</v>
      </c>
      <c r="S114" s="9">
        <f t="shared" ref="S114:S116" si="58">$R114*L114</f>
        <v>1.3094247989816091E-7</v>
      </c>
      <c r="T114" s="9">
        <f t="shared" ref="T114:T116" si="59">R114*K114</f>
        <v>3.8909619770531963E-5</v>
      </c>
      <c r="U114" s="9">
        <f t="shared" ref="U114:U116" si="60">$R114*M114</f>
        <v>3.9869057520101835E-5</v>
      </c>
      <c r="V114" s="102">
        <f t="shared" ref="V114:V116" si="61">K114/M114</f>
        <v>0.97593527890429488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254</v>
      </c>
      <c r="C115" s="46" t="s">
        <v>255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2.0480395290290027E-2</v>
      </c>
      <c r="J115" s="54">
        <f t="shared" si="45"/>
        <v>1.0716665691586713</v>
      </c>
      <c r="K115" s="55">
        <f t="shared" si="46"/>
        <v>0.9489584884530855</v>
      </c>
      <c r="L115" s="55">
        <f t="shared" si="47"/>
        <v>4.7031420638173685E-3</v>
      </c>
      <c r="M115" s="55">
        <f t="shared" si="52"/>
        <v>0.99529685793618261</v>
      </c>
      <c r="N115" s="55">
        <f t="shared" si="48"/>
        <v>6.7843494754884462E-4</v>
      </c>
      <c r="O115" s="56">
        <f t="shared" si="53"/>
        <v>9.498490728379659E-7</v>
      </c>
      <c r="P115" s="56">
        <f t="shared" si="49"/>
        <v>1.1202660436867076E-5</v>
      </c>
      <c r="Q115" s="56">
        <f t="shared" si="50"/>
        <v>5.0658299016779756E-5</v>
      </c>
      <c r="R115" s="9">
        <f>F115*$C$14</f>
        <v>3.9999999999999996E-5</v>
      </c>
      <c r="S115" s="9">
        <f t="shared" si="58"/>
        <v>1.8812568255269473E-7</v>
      </c>
      <c r="T115" s="9">
        <f t="shared" si="59"/>
        <v>3.7958339538123418E-5</v>
      </c>
      <c r="U115" s="9">
        <f t="shared" si="60"/>
        <v>3.9811874317447301E-5</v>
      </c>
      <c r="V115" s="102">
        <f t="shared" si="61"/>
        <v>0.95344266475513351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256</v>
      </c>
      <c r="C116" s="46" t="s">
        <v>257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5.8413729360461944E-4</v>
      </c>
      <c r="J116" s="54">
        <f t="shared" si="45"/>
        <v>0.1052380650673532</v>
      </c>
      <c r="K116" s="55">
        <f t="shared" si="46"/>
        <v>0.99760540910420015</v>
      </c>
      <c r="L116" s="55">
        <f t="shared" si="47"/>
        <v>5.3415976671210513E-4</v>
      </c>
      <c r="M116" s="55">
        <f t="shared" si="52"/>
        <v>0.99946584023328788</v>
      </c>
      <c r="N116" s="55">
        <f t="shared" si="48"/>
        <v>1.8270851657076228E-5</v>
      </c>
      <c r="O116" s="56">
        <f t="shared" si="53"/>
        <v>9.9854164794966183E-7</v>
      </c>
      <c r="P116" s="56">
        <f t="shared" si="49"/>
        <v>1.2723431281288676E-6</v>
      </c>
      <c r="Q116" s="56">
        <f t="shared" si="50"/>
        <v>1.3642726835924916E-6</v>
      </c>
      <c r="R116" s="9">
        <f>F116*$C$14</f>
        <v>3.9999999999999996E-5</v>
      </c>
      <c r="S116" s="9">
        <f t="shared" si="58"/>
        <v>2.1366390668484205E-8</v>
      </c>
      <c r="T116" s="9">
        <f t="shared" si="59"/>
        <v>3.9904216364167999E-5</v>
      </c>
      <c r="U116" s="9">
        <f t="shared" si="60"/>
        <v>3.9978633609331515E-5</v>
      </c>
      <c r="V116" s="102">
        <f t="shared" si="61"/>
        <v>0.99813857457234012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258</v>
      </c>
      <c r="C117" s="46" t="s">
        <v>259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260</v>
      </c>
      <c r="C118" s="46" t="s">
        <v>261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262</v>
      </c>
      <c r="C119" s="46" t="s">
        <v>263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0.56658503951123784</v>
      </c>
      <c r="J119" s="54">
        <f t="shared" si="45"/>
        <v>3.013869491074634</v>
      </c>
      <c r="K119" s="55">
        <f t="shared" si="46"/>
        <v>0.24259968922643316</v>
      </c>
      <c r="L119" s="55">
        <f t="shared" si="47"/>
        <v>0.1052528936605454</v>
      </c>
      <c r="M119" s="55">
        <f t="shared" si="52"/>
        <v>0.89474710633945465</v>
      </c>
      <c r="N119" s="55">
        <f t="shared" si="48"/>
        <v>6.6884923776821342E-2</v>
      </c>
      <c r="O119" s="56">
        <f t="shared" si="53"/>
        <v>2.42827365671326E-7</v>
      </c>
      <c r="P119" s="56">
        <f t="shared" si="49"/>
        <v>2.5070738065686386E-4</v>
      </c>
      <c r="Q119" s="56">
        <f t="shared" si="50"/>
        <v>4.9942540263328578E-3</v>
      </c>
      <c r="R119" s="9">
        <f>F119*$C$14</f>
        <v>3.9999999999999996E-5</v>
      </c>
      <c r="S119" s="9">
        <f t="shared" ref="S119:S121" si="62">$R119*L119</f>
        <v>4.2101157464218155E-6</v>
      </c>
      <c r="T119" s="9">
        <f t="shared" ref="T119:T121" si="63">R119*K119</f>
        <v>9.7039875690573254E-6</v>
      </c>
      <c r="U119" s="9">
        <f t="shared" ref="U119:U121" si="64">$R119*M119</f>
        <v>3.5789884253578182E-5</v>
      </c>
      <c r="V119" s="102">
        <f t="shared" ref="V119:V121" si="65">K119/M119</f>
        <v>0.27113771870014208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264</v>
      </c>
      <c r="C120" s="46" t="s">
        <v>265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2.3514137427377815E-2</v>
      </c>
      <c r="J120" s="54">
        <f t="shared" si="45"/>
        <v>1.2029184961851247</v>
      </c>
      <c r="K120" s="55">
        <f t="shared" si="46"/>
        <v>0.94083300947362702</v>
      </c>
      <c r="L120" s="55">
        <f t="shared" si="47"/>
        <v>6.3081985723583501E-3</v>
      </c>
      <c r="M120" s="55">
        <f t="shared" si="52"/>
        <v>0.99369180142764169</v>
      </c>
      <c r="N120" s="55">
        <f t="shared" si="48"/>
        <v>2.0745004943866622E-3</v>
      </c>
      <c r="O120" s="56">
        <f t="shared" si="53"/>
        <v>9.4171596820913829E-7</v>
      </c>
      <c r="P120" s="56">
        <f t="shared" si="49"/>
        <v>1.5025828608949383E-5</v>
      </c>
      <c r="Q120" s="56">
        <f t="shared" si="50"/>
        <v>1.5490161103107219E-4</v>
      </c>
      <c r="R120" s="9">
        <f>F120*$C$14</f>
        <v>3.9999999999999996E-5</v>
      </c>
      <c r="S120" s="9">
        <f t="shared" si="62"/>
        <v>2.52327942894334E-7</v>
      </c>
      <c r="T120" s="9">
        <f t="shared" si="63"/>
        <v>3.7633320378945077E-5</v>
      </c>
      <c r="U120" s="9">
        <f t="shared" si="64"/>
        <v>3.9747672057105663E-5</v>
      </c>
      <c r="V120" s="102">
        <f t="shared" si="65"/>
        <v>0.94680564750753482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266</v>
      </c>
      <c r="C121" s="46" t="s">
        <v>267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1.0322461970770105</v>
      </c>
      <c r="J121" s="54">
        <f t="shared" si="45"/>
        <v>3.500370099559007</v>
      </c>
      <c r="K121" s="55">
        <f t="shared" si="46"/>
        <v>8.2601509806976225E-2</v>
      </c>
      <c r="L121" s="55">
        <f t="shared" si="47"/>
        <v>0.10985817960284397</v>
      </c>
      <c r="M121" s="55">
        <f t="shared" si="52"/>
        <v>0.89014182039715606</v>
      </c>
      <c r="N121" s="55">
        <f t="shared" si="48"/>
        <v>5.6170977521342959E-2</v>
      </c>
      <c r="O121" s="56">
        <f t="shared" si="53"/>
        <v>8.2679030178727735E-8</v>
      </c>
      <c r="P121" s="56">
        <f t="shared" si="49"/>
        <v>2.6167695247208852E-4</v>
      </c>
      <c r="Q121" s="56">
        <f t="shared" si="50"/>
        <v>4.1942505845575413E-3</v>
      </c>
      <c r="R121" s="9">
        <f>F121*$C$14</f>
        <v>3.9999999999999996E-5</v>
      </c>
      <c r="S121" s="9">
        <f t="shared" si="62"/>
        <v>4.3943271841137582E-6</v>
      </c>
      <c r="T121" s="9">
        <f t="shared" si="63"/>
        <v>3.3040603922790488E-6</v>
      </c>
      <c r="U121" s="9">
        <f t="shared" si="64"/>
        <v>3.5605672815886238E-5</v>
      </c>
      <c r="V121" s="102">
        <f t="shared" si="65"/>
        <v>9.2795898264977347E-2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268</v>
      </c>
      <c r="C122" s="46" t="s">
        <v>269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270</v>
      </c>
      <c r="C123" s="46" t="s">
        <v>271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272</v>
      </c>
      <c r="C124" s="46" t="s">
        <v>273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0.13981203375224771</v>
      </c>
      <c r="J124" s="54">
        <f t="shared" si="67"/>
        <v>2.1614248336382942</v>
      </c>
      <c r="K124" s="55">
        <f t="shared" si="68"/>
        <v>0.6937499291165069</v>
      </c>
      <c r="L124" s="55">
        <f t="shared" si="69"/>
        <v>4.2276799143310569E-2</v>
      </c>
      <c r="M124" s="55">
        <f t="shared" si="52"/>
        <v>0.95772320085668938</v>
      </c>
      <c r="N124" s="55">
        <f t="shared" si="70"/>
        <v>2.6360397084298336E-2</v>
      </c>
      <c r="O124" s="56">
        <f t="shared" si="53"/>
        <v>6.9440100380670762E-7</v>
      </c>
      <c r="P124" s="56">
        <f t="shared" si="71"/>
        <v>1.007013223784542E-4</v>
      </c>
      <c r="Q124" s="56">
        <f t="shared" si="72"/>
        <v>1.9683138118430921E-3</v>
      </c>
      <c r="R124" s="9">
        <f>F124*$C$14</f>
        <v>3.9999999999999996E-5</v>
      </c>
      <c r="S124" s="9">
        <f t="shared" ref="S124:S127" si="73">$R124*L124</f>
        <v>1.6910719657324227E-6</v>
      </c>
      <c r="T124" s="9">
        <f t="shared" ref="T124:T127" si="74">R124*K124</f>
        <v>2.7749997164660273E-5</v>
      </c>
      <c r="U124" s="9">
        <f t="shared" ref="U124:U127" si="75">$R124*M124</f>
        <v>3.830892803426757E-5</v>
      </c>
      <c r="V124" s="102">
        <f t="shared" ref="V124:V127" si="76">K124/M124</f>
        <v>0.72437414954126955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274</v>
      </c>
      <c r="C125" s="46" t="s">
        <v>275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276</v>
      </c>
      <c r="C126" s="46" t="s">
        <v>277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4.9312922410980113E-2</v>
      </c>
      <c r="J126" s="54">
        <f t="shared" si="67"/>
        <v>1.5475520078740366</v>
      </c>
      <c r="K126" s="55">
        <f t="shared" si="68"/>
        <v>0.88055187837621407</v>
      </c>
      <c r="L126" s="55">
        <f t="shared" si="69"/>
        <v>1.3055132048835605E-2</v>
      </c>
      <c r="M126" s="55">
        <f t="shared" si="52"/>
        <v>0.98694486795116443</v>
      </c>
      <c r="N126" s="55">
        <f t="shared" si="70"/>
        <v>5.1294871255961405E-3</v>
      </c>
      <c r="O126" s="56">
        <f t="shared" si="53"/>
        <v>8.8137826410593891E-7</v>
      </c>
      <c r="P126" s="56">
        <f t="shared" si="71"/>
        <v>3.1096702867371708E-5</v>
      </c>
      <c r="Q126" s="56">
        <f t="shared" si="72"/>
        <v>3.8301548814665559E-4</v>
      </c>
      <c r="R126" s="9">
        <f>F126*$C$14</f>
        <v>3.9999999999999996E-5</v>
      </c>
      <c r="S126" s="9">
        <f t="shared" si="73"/>
        <v>5.2220528195342415E-7</v>
      </c>
      <c r="T126" s="9">
        <f t="shared" si="74"/>
        <v>3.5222075135048562E-5</v>
      </c>
      <c r="U126" s="9">
        <f t="shared" si="75"/>
        <v>3.9477794718046574E-5</v>
      </c>
      <c r="V126" s="102">
        <f t="shared" si="76"/>
        <v>0.8921996627878358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278</v>
      </c>
      <c r="C127" s="46" t="s">
        <v>279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5.4598878066109929E-5</v>
      </c>
      <c r="J127" s="54">
        <f t="shared" si="67"/>
        <v>1.2574607383316736E-2</v>
      </c>
      <c r="K127" s="55">
        <f t="shared" si="68"/>
        <v>0.99892453522715241</v>
      </c>
      <c r="L127" s="55">
        <f t="shared" si="69"/>
        <v>4.3209734801983701E-4</v>
      </c>
      <c r="M127" s="55">
        <f t="shared" si="52"/>
        <v>0.99956790265198014</v>
      </c>
      <c r="N127" s="55">
        <f t="shared" si="70"/>
        <v>1.5913169053481956E-5</v>
      </c>
      <c r="O127" s="56">
        <f t="shared" si="53"/>
        <v>9.9986201205419211E-7</v>
      </c>
      <c r="P127" s="56">
        <f t="shared" si="71"/>
        <v>1.0292353069190606E-6</v>
      </c>
      <c r="Q127" s="56">
        <f t="shared" si="72"/>
        <v>1.1882260475059278E-6</v>
      </c>
      <c r="R127" s="9">
        <f>F127*$C$14</f>
        <v>3.9999999999999996E-5</v>
      </c>
      <c r="S127" s="9">
        <f t="shared" si="73"/>
        <v>1.728389392079348E-8</v>
      </c>
      <c r="T127" s="9">
        <f t="shared" si="74"/>
        <v>3.9956981409086094E-5</v>
      </c>
      <c r="U127" s="9">
        <f t="shared" si="75"/>
        <v>3.9982716106079204E-5</v>
      </c>
      <c r="V127" s="102">
        <f t="shared" si="76"/>
        <v>0.99935635445764037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280</v>
      </c>
      <c r="C128" s="46" t="s">
        <v>281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282</v>
      </c>
      <c r="C129" s="46" t="s">
        <v>283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284</v>
      </c>
      <c r="C130" s="46" t="s">
        <v>285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2.1084810301724875E-3</v>
      </c>
      <c r="J130" s="54">
        <f t="shared" si="78"/>
        <v>0.3185068789023815</v>
      </c>
      <c r="K130" s="55">
        <f t="shared" si="79"/>
        <v>0.99377647677833125</v>
      </c>
      <c r="L130" s="55">
        <f t="shared" si="80"/>
        <v>8.6950063734246043E-4</v>
      </c>
      <c r="M130" s="55">
        <f t="shared" si="81"/>
        <v>0.99913049936265752</v>
      </c>
      <c r="N130" s="55">
        <f t="shared" si="82"/>
        <v>8.0427711022396418E-5</v>
      </c>
      <c r="O130" s="56">
        <f t="shared" si="83"/>
        <v>9.9470912222389033E-7</v>
      </c>
      <c r="P130" s="56">
        <f t="shared" si="84"/>
        <v>2.0711091133574876E-6</v>
      </c>
      <c r="Q130" s="56">
        <f t="shared" si="85"/>
        <v>6.0054851963745211E-6</v>
      </c>
      <c r="R130" s="9">
        <f>F130*$C$14</f>
        <v>3.9999999999999996E-5</v>
      </c>
      <c r="S130" s="9">
        <f t="shared" ref="S130:S131" si="86">$R130*L130</f>
        <v>3.4780025493698417E-8</v>
      </c>
      <c r="T130" s="9">
        <f t="shared" ref="T130:T131" si="87">R130*K130</f>
        <v>3.9751059071133245E-5</v>
      </c>
      <c r="U130" s="9">
        <f t="shared" ref="U130:U131" si="88">$R130*M130</f>
        <v>3.9965219974506297E-5</v>
      </c>
      <c r="V130" s="102">
        <f t="shared" ref="V130:V131" si="89">K130/M130</f>
        <v>0.9946413180382927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286</v>
      </c>
      <c r="C131" s="46" t="s">
        <v>287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-5.830329626681688E-5</v>
      </c>
      <c r="J131" s="54">
        <f t="shared" si="78"/>
        <v>-1.6345714255076655E-2</v>
      </c>
      <c r="K131" s="55">
        <f t="shared" si="79"/>
        <v>0.99921196617750896</v>
      </c>
      <c r="L131" s="55">
        <f t="shared" si="80"/>
        <v>4.0437679452647951E-4</v>
      </c>
      <c r="M131" s="55">
        <f t="shared" si="81"/>
        <v>0.99959562320547357</v>
      </c>
      <c r="N131" s="55">
        <f t="shared" si="82"/>
        <v>7.643066224710155E-6</v>
      </c>
      <c r="O131" s="56">
        <f t="shared" si="83"/>
        <v>1.0001497127545104E-6</v>
      </c>
      <c r="P131" s="56">
        <f t="shared" si="84"/>
        <v>9.6320626852423972E-7</v>
      </c>
      <c r="Q131" s="56">
        <f t="shared" si="85"/>
        <v>5.7070281478762019E-7</v>
      </c>
      <c r="R131" s="9">
        <f>F131*$C$14</f>
        <v>3.9999999999999996E-5</v>
      </c>
      <c r="S131" s="9">
        <f t="shared" si="86"/>
        <v>1.6175071781059179E-8</v>
      </c>
      <c r="T131" s="9">
        <f t="shared" si="87"/>
        <v>3.9968478647100356E-5</v>
      </c>
      <c r="U131" s="9">
        <f t="shared" si="88"/>
        <v>3.9983824928218942E-5</v>
      </c>
      <c r="V131" s="102">
        <f t="shared" si="89"/>
        <v>0.99961618776727501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288</v>
      </c>
      <c r="C132" s="46" t="s">
        <v>289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290</v>
      </c>
      <c r="C133" s="46" t="s">
        <v>291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292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2024-10-28T22:49:42Z</dcterms:modified>
</cp:coreProperties>
</file>