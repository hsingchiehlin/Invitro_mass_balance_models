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D6D940A0-9FD5-4017-9AEE-1C3C19377D60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R143" i="4"/>
  <c r="T143" i="4" s="1"/>
  <c r="V142" i="4"/>
  <c r="R142" i="4"/>
  <c r="U142" i="4" s="1"/>
  <c r="V141" i="4"/>
  <c r="U141" i="4"/>
  <c r="S141" i="4"/>
  <c r="R141" i="4"/>
  <c r="T141" i="4" s="1"/>
  <c r="V140" i="4"/>
  <c r="R140" i="4"/>
  <c r="S140" i="4" s="1"/>
  <c r="V139" i="4"/>
  <c r="U139" i="4"/>
  <c r="T139" i="4"/>
  <c r="S139" i="4"/>
  <c r="R139" i="4"/>
  <c r="V138" i="4"/>
  <c r="R138" i="4"/>
  <c r="U138" i="4" s="1"/>
  <c r="V137" i="4"/>
  <c r="R137" i="4"/>
  <c r="T137" i="4" s="1"/>
  <c r="V136" i="4"/>
  <c r="U136" i="4"/>
  <c r="T136" i="4"/>
  <c r="S136" i="4"/>
  <c r="R136" i="4"/>
  <c r="V135" i="4"/>
  <c r="R135" i="4"/>
  <c r="S135" i="4" s="1"/>
  <c r="V134" i="4"/>
  <c r="U134" i="4"/>
  <c r="T134" i="4"/>
  <c r="R134" i="4"/>
  <c r="S134" i="4" s="1"/>
  <c r="V133" i="4"/>
  <c r="R133" i="4"/>
  <c r="U133" i="4" s="1"/>
  <c r="V132" i="4"/>
  <c r="R132" i="4"/>
  <c r="T132" i="4" s="1"/>
  <c r="V131" i="4"/>
  <c r="U131" i="4"/>
  <c r="R131" i="4"/>
  <c r="T131" i="4" s="1"/>
  <c r="V130" i="4"/>
  <c r="T130" i="4"/>
  <c r="S130" i="4"/>
  <c r="R130" i="4"/>
  <c r="U130" i="4" s="1"/>
  <c r="V129" i="4"/>
  <c r="U129" i="4"/>
  <c r="S129" i="4"/>
  <c r="R129" i="4"/>
  <c r="T129" i="4" s="1"/>
  <c r="V128" i="4"/>
  <c r="R128" i="4"/>
  <c r="V127" i="4"/>
  <c r="U127" i="4"/>
  <c r="T127" i="4"/>
  <c r="S127" i="4"/>
  <c r="R127" i="4"/>
  <c r="V126" i="4"/>
  <c r="R126" i="4"/>
  <c r="U126" i="4" s="1"/>
  <c r="V125" i="4"/>
  <c r="R125" i="4"/>
  <c r="S125" i="4" s="1"/>
  <c r="V124" i="4"/>
  <c r="U124" i="4"/>
  <c r="T124" i="4"/>
  <c r="S124" i="4"/>
  <c r="R124" i="4"/>
  <c r="V123" i="4"/>
  <c r="R123" i="4"/>
  <c r="U123" i="4" s="1"/>
  <c r="V122" i="4"/>
  <c r="U122" i="4"/>
  <c r="T122" i="4"/>
  <c r="R122" i="4"/>
  <c r="S122" i="4" s="1"/>
  <c r="V121" i="4"/>
  <c r="R121" i="4"/>
  <c r="V120" i="4"/>
  <c r="R120" i="4"/>
  <c r="U120" i="4" s="1"/>
  <c r="V119" i="4"/>
  <c r="U119" i="4"/>
  <c r="R119" i="4"/>
  <c r="T119" i="4" s="1"/>
  <c r="V118" i="4"/>
  <c r="R118" i="4"/>
  <c r="U118" i="4" s="1"/>
  <c r="V117" i="4"/>
  <c r="U117" i="4"/>
  <c r="S117" i="4"/>
  <c r="R117" i="4"/>
  <c r="T117" i="4" s="1"/>
  <c r="V116" i="4"/>
  <c r="R116" i="4"/>
  <c r="S116" i="4" s="1"/>
  <c r="V115" i="4"/>
  <c r="U115" i="4"/>
  <c r="T115" i="4"/>
  <c r="S115" i="4"/>
  <c r="R115" i="4"/>
  <c r="V114" i="4"/>
  <c r="R114" i="4"/>
  <c r="U114" i="4" s="1"/>
  <c r="V113" i="4"/>
  <c r="R113" i="4"/>
  <c r="U113" i="4" s="1"/>
  <c r="V112" i="4"/>
  <c r="U112" i="4"/>
  <c r="T112" i="4"/>
  <c r="S112" i="4"/>
  <c r="R112" i="4"/>
  <c r="V111" i="4"/>
  <c r="R111" i="4"/>
  <c r="U111" i="4" s="1"/>
  <c r="V110" i="4"/>
  <c r="U110" i="4"/>
  <c r="T110" i="4"/>
  <c r="R110" i="4"/>
  <c r="S110" i="4" s="1"/>
  <c r="V109" i="4"/>
  <c r="R109" i="4"/>
  <c r="V108" i="4"/>
  <c r="U108" i="4"/>
  <c r="S108" i="4"/>
  <c r="R108" i="4"/>
  <c r="T108" i="4" s="1"/>
  <c r="R107" i="4"/>
  <c r="V106" i="4"/>
  <c r="R106" i="4"/>
  <c r="U106" i="4" s="1"/>
  <c r="V105" i="4"/>
  <c r="R105" i="4"/>
  <c r="U105" i="4" s="1"/>
  <c r="V104" i="4"/>
  <c r="U104" i="4"/>
  <c r="T104" i="4"/>
  <c r="S104" i="4"/>
  <c r="R104" i="4"/>
  <c r="V103" i="4"/>
  <c r="R103" i="4"/>
  <c r="U103" i="4" s="1"/>
  <c r="V102" i="4"/>
  <c r="U102" i="4"/>
  <c r="T102" i="4"/>
  <c r="R102" i="4"/>
  <c r="S102" i="4" s="1"/>
  <c r="V101" i="4"/>
  <c r="R101" i="4"/>
  <c r="R100" i="4"/>
  <c r="V99" i="4"/>
  <c r="U99" i="4"/>
  <c r="T99" i="4"/>
  <c r="S99" i="4"/>
  <c r="R99" i="4"/>
  <c r="V98" i="4"/>
  <c r="R98" i="4"/>
  <c r="U98" i="4" s="1"/>
  <c r="R97" i="4"/>
  <c r="V96" i="4"/>
  <c r="R96" i="4"/>
  <c r="U96" i="4" s="1"/>
  <c r="V95" i="4"/>
  <c r="U95" i="4"/>
  <c r="R95" i="4"/>
  <c r="T95" i="4" s="1"/>
  <c r="V94" i="4"/>
  <c r="R94" i="4"/>
  <c r="U94" i="4" s="1"/>
  <c r="V93" i="4"/>
  <c r="U93" i="4"/>
  <c r="S93" i="4"/>
  <c r="R93" i="4"/>
  <c r="T93" i="4" s="1"/>
  <c r="V92" i="4"/>
  <c r="R92" i="4"/>
  <c r="S92" i="4" s="1"/>
  <c r="V91" i="4"/>
  <c r="U91" i="4"/>
  <c r="T91" i="4"/>
  <c r="S91" i="4"/>
  <c r="R91" i="4"/>
  <c r="V90" i="4"/>
  <c r="R90" i="4"/>
  <c r="U90" i="4" s="1"/>
  <c r="V89" i="4"/>
  <c r="R89" i="4"/>
  <c r="U89" i="4" s="1"/>
  <c r="V88" i="4"/>
  <c r="U88" i="4"/>
  <c r="T88" i="4"/>
  <c r="S88" i="4"/>
  <c r="R88" i="4"/>
  <c r="V87" i="4"/>
  <c r="R87" i="4"/>
  <c r="U87" i="4" s="1"/>
  <c r="V86" i="4"/>
  <c r="U86" i="4"/>
  <c r="T86" i="4"/>
  <c r="R86" i="4"/>
  <c r="S86" i="4" s="1"/>
  <c r="V85" i="4"/>
  <c r="R85" i="4"/>
  <c r="V84" i="4"/>
  <c r="U84" i="4"/>
  <c r="S84" i="4"/>
  <c r="R84" i="4"/>
  <c r="T84" i="4" s="1"/>
  <c r="V83" i="4"/>
  <c r="U83" i="4"/>
  <c r="R83" i="4"/>
  <c r="T83" i="4" s="1"/>
  <c r="V82" i="4"/>
  <c r="R82" i="4"/>
  <c r="U82" i="4" s="1"/>
  <c r="V81" i="4"/>
  <c r="U81" i="4"/>
  <c r="T81" i="4"/>
  <c r="S81" i="4"/>
  <c r="R81" i="4"/>
  <c r="V80" i="4"/>
  <c r="R80" i="4"/>
  <c r="S80" i="4" s="1"/>
  <c r="V79" i="4"/>
  <c r="U79" i="4"/>
  <c r="T79" i="4"/>
  <c r="S79" i="4"/>
  <c r="R79" i="4"/>
  <c r="V78" i="4"/>
  <c r="R78" i="4"/>
  <c r="U78" i="4" s="1"/>
  <c r="V77" i="4"/>
  <c r="R77" i="4"/>
  <c r="U77" i="4" s="1"/>
  <c r="V76" i="4"/>
  <c r="U76" i="4"/>
  <c r="T76" i="4"/>
  <c r="S76" i="4"/>
  <c r="R76" i="4"/>
  <c r="V75" i="4"/>
  <c r="R75" i="4"/>
  <c r="U75" i="4" s="1"/>
  <c r="V74" i="4"/>
  <c r="U74" i="4"/>
  <c r="T74" i="4"/>
  <c r="R74" i="4"/>
  <c r="S74" i="4" s="1"/>
  <c r="V73" i="4"/>
  <c r="R73" i="4"/>
  <c r="V72" i="4"/>
  <c r="U72" i="4"/>
  <c r="S72" i="4"/>
  <c r="R72" i="4"/>
  <c r="T72" i="4" s="1"/>
  <c r="V71" i="4"/>
  <c r="U71" i="4"/>
  <c r="R71" i="4"/>
  <c r="T71" i="4" s="1"/>
  <c r="V70" i="4"/>
  <c r="R70" i="4"/>
  <c r="U70" i="4" s="1"/>
  <c r="V69" i="4"/>
  <c r="U69" i="4"/>
  <c r="S69" i="4"/>
  <c r="R69" i="4"/>
  <c r="T69" i="4" s="1"/>
  <c r="V68" i="4"/>
  <c r="R68" i="4"/>
  <c r="S68" i="4" s="1"/>
  <c r="V67" i="4"/>
  <c r="U67" i="4"/>
  <c r="T67" i="4"/>
  <c r="S67" i="4"/>
  <c r="R67" i="4"/>
  <c r="V66" i="4"/>
  <c r="R66" i="4"/>
  <c r="U66" i="4" s="1"/>
  <c r="V65" i="4"/>
  <c r="R65" i="4"/>
  <c r="T65" i="4" s="1"/>
  <c r="V64" i="4"/>
  <c r="U64" i="4"/>
  <c r="T64" i="4"/>
  <c r="S64" i="4"/>
  <c r="R64" i="4"/>
  <c r="V63" i="4"/>
  <c r="S63" i="4"/>
  <c r="R63" i="4"/>
  <c r="U63" i="4" s="1"/>
  <c r="V62" i="4"/>
  <c r="U62" i="4"/>
  <c r="T62" i="4"/>
  <c r="R62" i="4"/>
  <c r="S62" i="4" s="1"/>
  <c r="V61" i="4"/>
  <c r="R61" i="4"/>
  <c r="V60" i="4"/>
  <c r="U60" i="4"/>
  <c r="T60" i="4"/>
  <c r="R60" i="4"/>
  <c r="S60" i="4" s="1"/>
  <c r="V59" i="4"/>
  <c r="U59" i="4"/>
  <c r="R59" i="4"/>
  <c r="T59" i="4" s="1"/>
  <c r="V58" i="4"/>
  <c r="R58" i="4"/>
  <c r="U58" i="4" s="1"/>
  <c r="V57" i="4"/>
  <c r="U57" i="4"/>
  <c r="S57" i="4"/>
  <c r="R57" i="4"/>
  <c r="T57" i="4" s="1"/>
  <c r="V56" i="4"/>
  <c r="R56" i="4"/>
  <c r="V55" i="4"/>
  <c r="U55" i="4"/>
  <c r="T55" i="4"/>
  <c r="S55" i="4"/>
  <c r="R55" i="4"/>
  <c r="V54" i="4"/>
  <c r="R54" i="4"/>
  <c r="U54" i="4" s="1"/>
  <c r="V53" i="4"/>
  <c r="R53" i="4"/>
  <c r="U53" i="4" s="1"/>
  <c r="V52" i="4"/>
  <c r="U52" i="4"/>
  <c r="T52" i="4"/>
  <c r="S52" i="4"/>
  <c r="R52" i="4"/>
  <c r="V51" i="4"/>
  <c r="T51" i="4"/>
  <c r="R51" i="4"/>
  <c r="U51" i="4" s="1"/>
  <c r="V50" i="4"/>
  <c r="U50" i="4"/>
  <c r="T50" i="4"/>
  <c r="R50" i="4"/>
  <c r="S50" i="4" s="1"/>
  <c r="V49" i="4"/>
  <c r="R49" i="4"/>
  <c r="V48" i="4"/>
  <c r="U48" i="4"/>
  <c r="T48" i="4"/>
  <c r="S48" i="4"/>
  <c r="R48" i="4"/>
  <c r="V47" i="4"/>
  <c r="U47" i="4"/>
  <c r="R47" i="4"/>
  <c r="T47" i="4" s="1"/>
  <c r="V46" i="4"/>
  <c r="R46" i="4"/>
  <c r="T46" i="4" s="1"/>
  <c r="V45" i="4"/>
  <c r="U45" i="4"/>
  <c r="T45" i="4"/>
  <c r="S45" i="4"/>
  <c r="R45" i="4"/>
  <c r="V44" i="4"/>
  <c r="R44" i="4"/>
  <c r="V43" i="4"/>
  <c r="U43" i="4"/>
  <c r="T43" i="4"/>
  <c r="S43" i="4"/>
  <c r="R43" i="4"/>
  <c r="V42" i="4"/>
  <c r="R42" i="4"/>
  <c r="U42" i="4" s="1"/>
  <c r="V41" i="4"/>
  <c r="R41" i="4"/>
  <c r="U41" i="4" s="1"/>
  <c r="V40" i="4"/>
  <c r="U40" i="4"/>
  <c r="T40" i="4"/>
  <c r="S40" i="4"/>
  <c r="R40" i="4"/>
  <c r="V39" i="4"/>
  <c r="T39" i="4"/>
  <c r="R39" i="4"/>
  <c r="U39" i="4" s="1"/>
  <c r="V38" i="4"/>
  <c r="U38" i="4"/>
  <c r="T38" i="4"/>
  <c r="R38" i="4"/>
  <c r="S38" i="4" s="1"/>
  <c r="V37" i="4"/>
  <c r="R37" i="4"/>
  <c r="V36" i="4"/>
  <c r="U36" i="4"/>
  <c r="T36" i="4"/>
  <c r="S36" i="4"/>
  <c r="R36" i="4"/>
  <c r="V35" i="4"/>
  <c r="U35" i="4"/>
  <c r="R35" i="4"/>
  <c r="T35" i="4" s="1"/>
  <c r="V34" i="4"/>
  <c r="R34" i="4"/>
  <c r="T34" i="4" s="1"/>
  <c r="V33" i="4"/>
  <c r="U33" i="4"/>
  <c r="S33" i="4"/>
  <c r="R33" i="4"/>
  <c r="T33" i="4" s="1"/>
  <c r="V32" i="4"/>
  <c r="R32" i="4"/>
  <c r="S32" i="4" s="1"/>
  <c r="V31" i="4"/>
  <c r="U31" i="4"/>
  <c r="T31" i="4"/>
  <c r="S31" i="4"/>
  <c r="R31" i="4"/>
  <c r="V30" i="4"/>
  <c r="R30" i="4"/>
  <c r="U30" i="4" s="1"/>
  <c r="V29" i="4"/>
  <c r="R29" i="4"/>
  <c r="U29" i="4" s="1"/>
  <c r="V28" i="4"/>
  <c r="U28" i="4"/>
  <c r="T28" i="4"/>
  <c r="S28" i="4"/>
  <c r="R28" i="4"/>
  <c r="I135" i="4"/>
  <c r="L135" i="4" s="1"/>
  <c r="M135" i="4" s="1"/>
  <c r="J135" i="4"/>
  <c r="K135" i="4"/>
  <c r="O135" i="4"/>
  <c r="P135" i="4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J138" i="4"/>
  <c r="K138" i="4"/>
  <c r="L138" i="4"/>
  <c r="M138" i="4"/>
  <c r="N138" i="4"/>
  <c r="O138" i="4"/>
  <c r="P138" i="4"/>
  <c r="Q138" i="4"/>
  <c r="I139" i="4"/>
  <c r="L139" i="4" s="1"/>
  <c r="M139" i="4" s="1"/>
  <c r="J139" i="4"/>
  <c r="K139" i="4"/>
  <c r="O139" i="4"/>
  <c r="P139" i="4"/>
  <c r="I140" i="4"/>
  <c r="L140" i="4" s="1"/>
  <c r="M140" i="4" s="1"/>
  <c r="J140" i="4"/>
  <c r="K140" i="4"/>
  <c r="O140" i="4" s="1"/>
  <c r="P140" i="4" s="1"/>
  <c r="I141" i="4"/>
  <c r="J141" i="4"/>
  <c r="K141" i="4"/>
  <c r="L141" i="4"/>
  <c r="M141" i="4"/>
  <c r="N141" i="4"/>
  <c r="Q141" i="4" s="1"/>
  <c r="O141" i="4"/>
  <c r="P141" i="4" s="1"/>
  <c r="I142" i="4"/>
  <c r="J142" i="4"/>
  <c r="K142" i="4"/>
  <c r="L142" i="4"/>
  <c r="M142" i="4"/>
  <c r="N142" i="4"/>
  <c r="O142" i="4"/>
  <c r="P142" i="4"/>
  <c r="Q142" i="4"/>
  <c r="I143" i="4"/>
  <c r="L143" i="4" s="1"/>
  <c r="M143" i="4" s="1"/>
  <c r="J143" i="4"/>
  <c r="K143" i="4"/>
  <c r="O143" i="4"/>
  <c r="P143" i="4"/>
  <c r="S94" i="4" l="1"/>
  <c r="S118" i="4"/>
  <c r="U121" i="4"/>
  <c r="T121" i="4"/>
  <c r="S121" i="4"/>
  <c r="S70" i="4"/>
  <c r="U73" i="4"/>
  <c r="T73" i="4"/>
  <c r="S73" i="4"/>
  <c r="S82" i="4"/>
  <c r="U85" i="4"/>
  <c r="T85" i="4"/>
  <c r="S85" i="4"/>
  <c r="T94" i="4"/>
  <c r="S105" i="4"/>
  <c r="U109" i="4"/>
  <c r="T109" i="4"/>
  <c r="S109" i="4"/>
  <c r="T118" i="4"/>
  <c r="S137" i="4"/>
  <c r="S58" i="4"/>
  <c r="U61" i="4"/>
  <c r="T61" i="4"/>
  <c r="S61" i="4"/>
  <c r="T70" i="4"/>
  <c r="T82" i="4"/>
  <c r="T105" i="4"/>
  <c r="S34" i="4"/>
  <c r="U128" i="4"/>
  <c r="T128" i="4"/>
  <c r="U137" i="4"/>
  <c r="S29" i="4"/>
  <c r="T41" i="4"/>
  <c r="T53" i="4"/>
  <c r="U65" i="4"/>
  <c r="S75" i="4"/>
  <c r="S87" i="4"/>
  <c r="S96" i="4"/>
  <c r="S111" i="4"/>
  <c r="S120" i="4"/>
  <c r="T123" i="4"/>
  <c r="U132" i="4"/>
  <c r="S142" i="4"/>
  <c r="U34" i="4"/>
  <c r="U46" i="4"/>
  <c r="S77" i="4"/>
  <c r="S89" i="4"/>
  <c r="T103" i="4"/>
  <c r="S113" i="4"/>
  <c r="T125" i="4"/>
  <c r="U44" i="4"/>
  <c r="T44" i="4"/>
  <c r="T56" i="4"/>
  <c r="U56" i="4"/>
  <c r="S65" i="4"/>
  <c r="T77" i="4"/>
  <c r="T89" i="4"/>
  <c r="T113" i="4"/>
  <c r="U125" i="4"/>
  <c r="S132" i="4"/>
  <c r="U32" i="4"/>
  <c r="T32" i="4"/>
  <c r="S41" i="4"/>
  <c r="S44" i="4"/>
  <c r="S53" i="4"/>
  <c r="S56" i="4"/>
  <c r="S123" i="4"/>
  <c r="T29" i="4"/>
  <c r="T75" i="4"/>
  <c r="T87" i="4"/>
  <c r="T96" i="4"/>
  <c r="U101" i="4"/>
  <c r="T101" i="4"/>
  <c r="S101" i="4"/>
  <c r="T111" i="4"/>
  <c r="T120" i="4"/>
  <c r="T142" i="4"/>
  <c r="T140" i="4"/>
  <c r="U140" i="4"/>
  <c r="U37" i="4"/>
  <c r="T37" i="4"/>
  <c r="S37" i="4"/>
  <c r="S46" i="4"/>
  <c r="U49" i="4"/>
  <c r="T49" i="4"/>
  <c r="S49" i="4"/>
  <c r="T58" i="4"/>
  <c r="U80" i="4"/>
  <c r="T80" i="4"/>
  <c r="U92" i="4"/>
  <c r="T92" i="4"/>
  <c r="S103" i="4"/>
  <c r="T116" i="4"/>
  <c r="U116" i="4"/>
  <c r="S128" i="4"/>
  <c r="U135" i="4"/>
  <c r="T135" i="4"/>
  <c r="U68" i="4"/>
  <c r="T68" i="4"/>
  <c r="S39" i="4"/>
  <c r="S51" i="4"/>
  <c r="T63" i="4"/>
  <c r="S133" i="4"/>
  <c r="S30" i="4"/>
  <c r="S42" i="4"/>
  <c r="S54" i="4"/>
  <c r="S66" i="4"/>
  <c r="S78" i="4"/>
  <c r="S90" i="4"/>
  <c r="S98" i="4"/>
  <c r="S106" i="4"/>
  <c r="S114" i="4"/>
  <c r="S126" i="4"/>
  <c r="T133" i="4"/>
  <c r="S138" i="4"/>
  <c r="T30" i="4"/>
  <c r="S35" i="4"/>
  <c r="T42" i="4"/>
  <c r="S47" i="4"/>
  <c r="T54" i="4"/>
  <c r="S59" i="4"/>
  <c r="T66" i="4"/>
  <c r="S71" i="4"/>
  <c r="T78" i="4"/>
  <c r="S83" i="4"/>
  <c r="T90" i="4"/>
  <c r="S95" i="4"/>
  <c r="T98" i="4"/>
  <c r="T106" i="4"/>
  <c r="T114" i="4"/>
  <c r="S119" i="4"/>
  <c r="T126" i="4"/>
  <c r="S131" i="4"/>
  <c r="T138" i="4"/>
  <c r="S143" i="4"/>
  <c r="N143" i="4"/>
  <c r="Q143" i="4" s="1"/>
  <c r="N139" i="4"/>
  <c r="Q139" i="4" s="1"/>
  <c r="N135" i="4"/>
  <c r="Q135" i="4" s="1"/>
  <c r="N140" i="4"/>
  <c r="Q140" i="4" s="1"/>
  <c r="N136" i="4"/>
  <c r="Q136" i="4" s="1"/>
  <c r="I128" i="4" l="1"/>
  <c r="J128" i="4"/>
  <c r="K128" i="4" s="1"/>
  <c r="O128" i="4" s="1"/>
  <c r="P128" i="4" s="1"/>
  <c r="L128" i="4"/>
  <c r="M128" i="4"/>
  <c r="N128" i="4"/>
  <c r="Q128" i="4"/>
  <c r="I129" i="4"/>
  <c r="J129" i="4"/>
  <c r="K129" i="4"/>
  <c r="O129" i="4" s="1"/>
  <c r="P129" i="4" s="1"/>
  <c r="I130" i="4"/>
  <c r="J130" i="4"/>
  <c r="K130" i="4"/>
  <c r="L130" i="4"/>
  <c r="M130" i="4" s="1"/>
  <c r="N130" i="4"/>
  <c r="Q130" i="4" s="1"/>
  <c r="O130" i="4"/>
  <c r="P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 s="1"/>
  <c r="O132" i="4" s="1"/>
  <c r="P132" i="4" s="1"/>
  <c r="I133" i="4"/>
  <c r="N133" i="4" s="1"/>
  <c r="Q133" i="4" s="1"/>
  <c r="J133" i="4"/>
  <c r="K133" i="4"/>
  <c r="O133" i="4" s="1"/>
  <c r="P133" i="4" s="1"/>
  <c r="L133" i="4"/>
  <c r="M133" i="4" s="1"/>
  <c r="I134" i="4"/>
  <c r="J134" i="4"/>
  <c r="K134" i="4"/>
  <c r="L134" i="4"/>
  <c r="M134" i="4"/>
  <c r="N134" i="4"/>
  <c r="Q134" i="4" s="1"/>
  <c r="O134" i="4"/>
  <c r="P134" i="4" s="1"/>
  <c r="L129" i="4" l="1"/>
  <c r="M129" i="4" s="1"/>
  <c r="N132" i="4"/>
  <c r="Q132" i="4" s="1"/>
  <c r="L132" i="4"/>
  <c r="M132" i="4" s="1"/>
  <c r="N129" i="4"/>
  <c r="Q129" i="4" s="1"/>
  <c r="O15" i="1" l="1"/>
  <c r="L15" i="1"/>
  <c r="N15" i="1"/>
  <c r="M100" i="4"/>
  <c r="M103" i="4"/>
  <c r="J16" i="4"/>
  <c r="J15" i="4"/>
  <c r="J87" i="4"/>
  <c r="K87" i="4" s="1"/>
  <c r="J122" i="4"/>
  <c r="K122" i="4"/>
  <c r="J117" i="4"/>
  <c r="K117" i="4"/>
  <c r="J120" i="4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/>
  <c r="J72" i="4"/>
  <c r="K72" i="4"/>
  <c r="J103" i="4"/>
  <c r="K103" i="4"/>
  <c r="J118" i="4"/>
  <c r="K118" i="4"/>
  <c r="O118" i="4" s="1"/>
  <c r="P118" i="4" s="1"/>
  <c r="J104" i="4"/>
  <c r="K104" i="4"/>
  <c r="O104" i="4" s="1"/>
  <c r="P104" i="4" s="1"/>
  <c r="J90" i="4"/>
  <c r="K90" i="4" s="1"/>
  <c r="J71" i="4"/>
  <c r="K71" i="4" s="1"/>
  <c r="J110" i="4"/>
  <c r="K110" i="4"/>
  <c r="J82" i="4"/>
  <c r="K82" i="4"/>
  <c r="J113" i="4"/>
  <c r="K113" i="4"/>
  <c r="O113" i="4" s="1"/>
  <c r="P113" i="4" s="1"/>
  <c r="J97" i="4"/>
  <c r="K97" i="4"/>
  <c r="O97" i="4" s="1"/>
  <c r="P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J78" i="4"/>
  <c r="K78" i="4" s="1"/>
  <c r="J115" i="4"/>
  <c r="K115" i="4"/>
  <c r="O115" i="4"/>
  <c r="P115" i="4" s="1"/>
  <c r="J99" i="4"/>
  <c r="L99" i="4" s="1"/>
  <c r="M99" i="4" s="1"/>
  <c r="K99" i="4"/>
  <c r="O99" i="4" s="1"/>
  <c r="P99" i="4" s="1"/>
  <c r="J83" i="4"/>
  <c r="K83" i="4"/>
  <c r="J102" i="4"/>
  <c r="K102" i="4"/>
  <c r="O102" i="4" s="1"/>
  <c r="P102" i="4" s="1"/>
  <c r="J74" i="4"/>
  <c r="K74" i="4"/>
  <c r="J125" i="4"/>
  <c r="K125" i="4"/>
  <c r="O125" i="4" s="1"/>
  <c r="P125" i="4" s="1"/>
  <c r="J109" i="4"/>
  <c r="K109" i="4"/>
  <c r="O109" i="4" s="1"/>
  <c r="P109" i="4" s="1"/>
  <c r="J93" i="4"/>
  <c r="K93" i="4"/>
  <c r="J77" i="4"/>
  <c r="K77" i="4"/>
  <c r="J112" i="4"/>
  <c r="K112" i="4"/>
  <c r="J96" i="4"/>
  <c r="K96" i="4"/>
  <c r="O96" i="4" s="1"/>
  <c r="P96" i="4" s="1"/>
  <c r="J80" i="4"/>
  <c r="K80" i="4" s="1"/>
  <c r="J106" i="4"/>
  <c r="K106" i="4"/>
  <c r="O106" i="4" s="1"/>
  <c r="P106" i="4" s="1"/>
  <c r="J127" i="4"/>
  <c r="K127" i="4" s="1"/>
  <c r="J111" i="4"/>
  <c r="K111" i="4"/>
  <c r="O111" i="4" s="1"/>
  <c r="P111" i="4" s="1"/>
  <c r="J95" i="4"/>
  <c r="K95" i="4"/>
  <c r="J79" i="4"/>
  <c r="K79" i="4" s="1"/>
  <c r="J126" i="4"/>
  <c r="K126" i="4" s="1"/>
  <c r="J94" i="4"/>
  <c r="K94" i="4" s="1"/>
  <c r="J121" i="4"/>
  <c r="K121" i="4"/>
  <c r="J105" i="4"/>
  <c r="L105" i="4" s="1"/>
  <c r="M105" i="4" s="1"/>
  <c r="K105" i="4"/>
  <c r="O105" i="4" s="1"/>
  <c r="P105" i="4" s="1"/>
  <c r="J89" i="4"/>
  <c r="K89" i="4"/>
  <c r="J73" i="4"/>
  <c r="K73" i="4" s="1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O112" i="4"/>
  <c r="P112" i="4"/>
  <c r="O75" i="4"/>
  <c r="P75" i="4" s="1"/>
  <c r="O98" i="4"/>
  <c r="P98" i="4" s="1"/>
  <c r="O74" i="4"/>
  <c r="P74" i="4" s="1"/>
  <c r="O91" i="4"/>
  <c r="P91" i="4"/>
  <c r="O121" i="4"/>
  <c r="P121" i="4" s="1"/>
  <c r="O110" i="4"/>
  <c r="P110" i="4"/>
  <c r="O117" i="4"/>
  <c r="P117" i="4"/>
  <c r="O103" i="4"/>
  <c r="P103" i="4"/>
  <c r="O122" i="4"/>
  <c r="P122" i="4"/>
  <c r="O123" i="4"/>
  <c r="P123" i="4" s="1"/>
  <c r="I76" i="4"/>
  <c r="N76" i="4" s="1"/>
  <c r="Q76" i="4" s="1"/>
  <c r="I77" i="4"/>
  <c r="N77" i="4" s="1"/>
  <c r="Q77" i="4" s="1"/>
  <c r="I81" i="4"/>
  <c r="I89" i="4"/>
  <c r="N89" i="4" s="1"/>
  <c r="Q89" i="4" s="1"/>
  <c r="I90" i="4"/>
  <c r="L90" i="4" s="1"/>
  <c r="I96" i="4"/>
  <c r="I99" i="4"/>
  <c r="I102" i="4"/>
  <c r="L102" i="4" s="1"/>
  <c r="M102" i="4" s="1"/>
  <c r="I104" i="4"/>
  <c r="L104" i="4" s="1"/>
  <c r="M104" i="4" s="1"/>
  <c r="I108" i="4"/>
  <c r="N108" i="4" s="1"/>
  <c r="Q108" i="4" s="1"/>
  <c r="I111" i="4"/>
  <c r="I113" i="4"/>
  <c r="L113" i="4" s="1"/>
  <c r="M113" i="4" s="1"/>
  <c r="I115" i="4"/>
  <c r="L115" i="4" s="1"/>
  <c r="I119" i="4"/>
  <c r="N119" i="4" s="1"/>
  <c r="Q119" i="4" s="1"/>
  <c r="I120" i="4"/>
  <c r="N120" i="4" s="1"/>
  <c r="Q120" i="4" s="1"/>
  <c r="I123" i="4"/>
  <c r="L123" i="4" s="1"/>
  <c r="M123" i="4" s="1"/>
  <c r="I125" i="4"/>
  <c r="I79" i="4"/>
  <c r="N79" i="4" s="1"/>
  <c r="Q79" i="4" s="1"/>
  <c r="I92" i="4"/>
  <c r="I100" i="4"/>
  <c r="I103" i="4"/>
  <c r="I107" i="4"/>
  <c r="L107" i="4" s="1"/>
  <c r="I109" i="4"/>
  <c r="N109" i="4" s="1"/>
  <c r="Q109" i="4" s="1"/>
  <c r="I110" i="4"/>
  <c r="L110" i="4" s="1"/>
  <c r="M110" i="4" s="1"/>
  <c r="I117" i="4"/>
  <c r="L117" i="4" s="1"/>
  <c r="M117" i="4" s="1"/>
  <c r="I124" i="4"/>
  <c r="N124" i="4" s="1"/>
  <c r="Q124" i="4" s="1"/>
  <c r="I72" i="4"/>
  <c r="I106" i="4"/>
  <c r="L106" i="4" s="1"/>
  <c r="M106" i="4" s="1"/>
  <c r="I71" i="4"/>
  <c r="L71" i="4" s="1"/>
  <c r="I75" i="4"/>
  <c r="N75" i="4" s="1"/>
  <c r="Q75" i="4" s="1"/>
  <c r="I80" i="4"/>
  <c r="I83" i="4"/>
  <c r="N83" i="4" s="1"/>
  <c r="Q83" i="4" s="1"/>
  <c r="I86" i="4"/>
  <c r="L86" i="4" s="1"/>
  <c r="I88" i="4"/>
  <c r="N88" i="4" s="1"/>
  <c r="Q88" i="4" s="1"/>
  <c r="I94" i="4"/>
  <c r="L94" i="4" s="1"/>
  <c r="I95" i="4"/>
  <c r="N95" i="4" s="1"/>
  <c r="Q95" i="4" s="1"/>
  <c r="I98" i="4"/>
  <c r="I101" i="4"/>
  <c r="N101" i="4" s="1"/>
  <c r="Q101" i="4" s="1"/>
  <c r="I118" i="4"/>
  <c r="L118" i="4" s="1"/>
  <c r="M118" i="4" s="1"/>
  <c r="I127" i="4"/>
  <c r="N127" i="4" s="1"/>
  <c r="Q127" i="4" s="1"/>
  <c r="I73" i="4"/>
  <c r="I74" i="4"/>
  <c r="I78" i="4"/>
  <c r="I82" i="4"/>
  <c r="I85" i="4"/>
  <c r="L85" i="4" s="1"/>
  <c r="I93" i="4"/>
  <c r="N93" i="4" s="1"/>
  <c r="Q93" i="4" s="1"/>
  <c r="I112" i="4"/>
  <c r="I114" i="4"/>
  <c r="I121" i="4"/>
  <c r="I122" i="4"/>
  <c r="N122" i="4" s="1"/>
  <c r="Q122" i="4" s="1"/>
  <c r="I84" i="4"/>
  <c r="I87" i="4"/>
  <c r="N87" i="4" s="1"/>
  <c r="Q87" i="4" s="1"/>
  <c r="I91" i="4"/>
  <c r="N91" i="4" s="1"/>
  <c r="Q91" i="4" s="1"/>
  <c r="I97" i="4"/>
  <c r="I105" i="4"/>
  <c r="I116" i="4"/>
  <c r="N116" i="4" s="1"/>
  <c r="Q116" i="4" s="1"/>
  <c r="I126" i="4"/>
  <c r="N105" i="4"/>
  <c r="Q105" i="4"/>
  <c r="N121" i="4"/>
  <c r="Q121" i="4"/>
  <c r="L121" i="4"/>
  <c r="N73" i="4"/>
  <c r="Q73" i="4" s="1"/>
  <c r="N107" i="4"/>
  <c r="Q107" i="4"/>
  <c r="L96" i="4"/>
  <c r="M96" i="4" s="1"/>
  <c r="N96" i="4"/>
  <c r="Q96" i="4" s="1"/>
  <c r="N114" i="4"/>
  <c r="Q114" i="4" s="1"/>
  <c r="N98" i="4"/>
  <c r="Q98" i="4"/>
  <c r="L98" i="4"/>
  <c r="M98" i="4" s="1"/>
  <c r="N86" i="4"/>
  <c r="Q86" i="4" s="1"/>
  <c r="N71" i="4"/>
  <c r="Q71" i="4" s="1"/>
  <c r="N103" i="4"/>
  <c r="Q103" i="4"/>
  <c r="L103" i="4"/>
  <c r="L125" i="4"/>
  <c r="M125" i="4" s="1"/>
  <c r="N125" i="4"/>
  <c r="Q125" i="4"/>
  <c r="N115" i="4"/>
  <c r="Q115" i="4" s="1"/>
  <c r="N126" i="4"/>
  <c r="Q126" i="4" s="1"/>
  <c r="L126" i="4"/>
  <c r="L112" i="4"/>
  <c r="M112" i="4" s="1"/>
  <c r="N112" i="4"/>
  <c r="Q112" i="4"/>
  <c r="N78" i="4"/>
  <c r="Q78" i="4" s="1"/>
  <c r="L100" i="4"/>
  <c r="N100" i="4"/>
  <c r="Q100" i="4"/>
  <c r="N113" i="4"/>
  <c r="Q113" i="4" s="1"/>
  <c r="N102" i="4"/>
  <c r="Q102" i="4"/>
  <c r="L116" i="4"/>
  <c r="L122" i="4"/>
  <c r="M122" i="4" s="1"/>
  <c r="N118" i="4"/>
  <c r="Q118" i="4" s="1"/>
  <c r="N80" i="4"/>
  <c r="Q80" i="4" s="1"/>
  <c r="L92" i="4"/>
  <c r="N92" i="4"/>
  <c r="Q92" i="4"/>
  <c r="N111" i="4"/>
  <c r="Q111" i="4"/>
  <c r="L111" i="4"/>
  <c r="M111" i="4" s="1"/>
  <c r="N99" i="4"/>
  <c r="Q99" i="4"/>
  <c r="M107" i="4" l="1"/>
  <c r="O71" i="4"/>
  <c r="P71" i="4" s="1"/>
  <c r="M115" i="4"/>
  <c r="M126" i="4"/>
  <c r="L124" i="4"/>
  <c r="L109" i="4"/>
  <c r="M109" i="4" s="1"/>
  <c r="N106" i="4"/>
  <c r="Q106" i="4" s="1"/>
  <c r="L114" i="4"/>
  <c r="L108" i="4"/>
  <c r="L101" i="4"/>
  <c r="M101" i="4" s="1"/>
  <c r="L82" i="4"/>
  <c r="O126" i="4"/>
  <c r="P126" i="4" s="1"/>
  <c r="O119" i="4"/>
  <c r="P119" i="4" s="1"/>
  <c r="N110" i="4"/>
  <c r="Q110" i="4" s="1"/>
  <c r="N104" i="4"/>
  <c r="Q104" i="4" s="1"/>
  <c r="N117" i="4"/>
  <c r="Q117" i="4" s="1"/>
  <c r="N123" i="4"/>
  <c r="Q123" i="4" s="1"/>
  <c r="O127" i="4"/>
  <c r="P127" i="4" s="1"/>
  <c r="L87" i="4"/>
  <c r="M87" i="4" s="1"/>
  <c r="M116" i="4"/>
  <c r="L127" i="4"/>
  <c r="L97" i="4"/>
  <c r="M97" i="4" s="1"/>
  <c r="L74" i="4"/>
  <c r="O92" i="4"/>
  <c r="P92" i="4" s="1"/>
  <c r="O108" i="4"/>
  <c r="P108" i="4" s="1"/>
  <c r="O107" i="4"/>
  <c r="P107" i="4" s="1"/>
  <c r="O124" i="4"/>
  <c r="P124" i="4" s="1"/>
  <c r="L81" i="4"/>
  <c r="M121" i="4"/>
  <c r="L120" i="4"/>
  <c r="L119" i="4"/>
  <c r="L73" i="4"/>
  <c r="M71" i="4"/>
  <c r="O116" i="4"/>
  <c r="P116" i="4" s="1"/>
  <c r="M81" i="4"/>
  <c r="O86" i="4"/>
  <c r="P86" i="4" s="1"/>
  <c r="O78" i="4"/>
  <c r="P78" i="4" s="1"/>
  <c r="O73" i="4"/>
  <c r="P73" i="4" s="1"/>
  <c r="O79" i="4"/>
  <c r="P79" i="4" s="1"/>
  <c r="M74" i="4"/>
  <c r="M73" i="4"/>
  <c r="M90" i="4"/>
  <c r="M86" i="4"/>
  <c r="K114" i="4"/>
  <c r="K120" i="4"/>
  <c r="O82" i="4"/>
  <c r="P82" i="4" s="1"/>
  <c r="L78" i="4"/>
  <c r="L84" i="4"/>
  <c r="O76" i="4"/>
  <c r="P76" i="4" s="1"/>
  <c r="L76" i="4"/>
  <c r="O88" i="4"/>
  <c r="P88" i="4" s="1"/>
  <c r="O87" i="4"/>
  <c r="P87" i="4" s="1"/>
  <c r="O84" i="4"/>
  <c r="P84" i="4" s="1"/>
  <c r="L72" i="4"/>
  <c r="N90" i="4"/>
  <c r="Q90" i="4" s="1"/>
  <c r="N74" i="4"/>
  <c r="Q74" i="4" s="1"/>
  <c r="L79" i="4"/>
  <c r="L75" i="4"/>
  <c r="O90" i="4"/>
  <c r="P90" i="4" s="1"/>
  <c r="O85" i="4"/>
  <c r="P85" i="4" s="1"/>
  <c r="O72" i="4"/>
  <c r="P72" i="4" s="1"/>
  <c r="O77" i="4"/>
  <c r="P77" i="4" s="1"/>
  <c r="O93" i="4"/>
  <c r="P93" i="4" s="1"/>
  <c r="N81" i="4"/>
  <c r="Q81" i="4" s="1"/>
  <c r="L91" i="4"/>
  <c r="L77" i="4"/>
  <c r="M94" i="4"/>
  <c r="O81" i="4"/>
  <c r="P81" i="4" s="1"/>
  <c r="O83" i="4"/>
  <c r="P83" i="4" s="1"/>
  <c r="L89" i="4"/>
  <c r="O94" i="4"/>
  <c r="P94" i="4" s="1"/>
  <c r="O95" i="4"/>
  <c r="P95" i="4" s="1"/>
  <c r="O89" i="4"/>
  <c r="P89" i="4" s="1"/>
  <c r="M92" i="4"/>
  <c r="L83" i="4"/>
  <c r="M85" i="4"/>
  <c r="O80" i="4"/>
  <c r="P80" i="4" s="1"/>
  <c r="N97" i="4"/>
  <c r="Q97" i="4" s="1"/>
  <c r="N85" i="4"/>
  <c r="Q85" i="4" s="1"/>
  <c r="L95" i="4"/>
  <c r="L93" i="4"/>
  <c r="L88" i="4"/>
  <c r="N72" i="4"/>
  <c r="Q72" i="4" s="1"/>
  <c r="N82" i="4"/>
  <c r="Q82" i="4" s="1"/>
  <c r="L80" i="4"/>
  <c r="N84" i="4"/>
  <c r="Q84" i="4" s="1"/>
  <c r="N94" i="4"/>
  <c r="Q94" i="4" s="1"/>
  <c r="J14" i="4"/>
  <c r="J13" i="4" s="1"/>
  <c r="K16" i="4" s="1"/>
  <c r="M127" i="4" l="1"/>
  <c r="M119" i="4"/>
  <c r="O120" i="4"/>
  <c r="P120" i="4" s="1"/>
  <c r="M108" i="4"/>
  <c r="M82" i="4"/>
  <c r="M114" i="4"/>
  <c r="M120" i="4"/>
  <c r="O114" i="4"/>
  <c r="P114" i="4" s="1"/>
  <c r="M91" i="4"/>
  <c r="M124" i="4"/>
  <c r="M77" i="4"/>
  <c r="M76" i="4"/>
  <c r="M93" i="4"/>
  <c r="M72" i="4"/>
  <c r="M78" i="4"/>
  <c r="M83" i="4"/>
  <c r="M79" i="4"/>
  <c r="M80" i="4"/>
  <c r="M75" i="4"/>
  <c r="M88" i="4"/>
  <c r="M95" i="4"/>
  <c r="M89" i="4"/>
  <c r="M84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2" i="4" l="1"/>
  <c r="P62" i="4" s="1"/>
  <c r="O61" i="4"/>
  <c r="P61" i="4" s="1"/>
  <c r="O60" i="4"/>
  <c r="P60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1" i="4" l="1"/>
  <c r="M70" i="4"/>
  <c r="M60" i="4"/>
  <c r="M62" i="4"/>
  <c r="M63" i="4"/>
  <c r="O66" i="4"/>
  <c r="P66" i="4" s="1"/>
  <c r="M64" i="4"/>
  <c r="M66" i="4"/>
  <c r="O65" i="4"/>
  <c r="P65" i="4" s="1"/>
  <c r="M69" i="4"/>
  <c r="M57" i="4"/>
  <c r="M67" i="4"/>
  <c r="M68" i="4"/>
  <c r="O68" i="4"/>
  <c r="P68" i="4" s="1"/>
  <c r="M58" i="4"/>
  <c r="M65" i="4"/>
  <c r="O64" i="4"/>
  <c r="P64" i="4" s="1"/>
  <c r="O69" i="4"/>
  <c r="P69" i="4" s="1"/>
  <c r="O67" i="4"/>
  <c r="P67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K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8" i="4" l="1"/>
  <c r="P48" i="4" s="1"/>
  <c r="O49" i="4"/>
  <c r="P49" i="4" s="1"/>
  <c r="M49" i="4"/>
  <c r="M48" i="4"/>
  <c r="O47" i="4"/>
  <c r="P47" i="4" s="1"/>
  <c r="M39" i="4"/>
  <c r="M35" i="4"/>
  <c r="O46" i="4"/>
  <c r="P46" i="4" s="1"/>
  <c r="O44" i="4"/>
  <c r="P44" i="4" s="1"/>
  <c r="O33" i="4"/>
  <c r="P33" i="4" s="1"/>
  <c r="M44" i="4"/>
  <c r="O31" i="4"/>
  <c r="P31" i="4" s="1"/>
  <c r="O30" i="4"/>
  <c r="P30" i="4" s="1"/>
  <c r="O39" i="4"/>
  <c r="P39" i="4" s="1"/>
  <c r="L47" i="4"/>
  <c r="O28" i="4"/>
  <c r="P28" i="4" s="1"/>
  <c r="O43" i="4"/>
  <c r="P43" i="4" s="1"/>
  <c r="O41" i="4"/>
  <c r="P41" i="4" s="1"/>
  <c r="M45" i="4"/>
  <c r="L30" i="4"/>
  <c r="K45" i="4"/>
  <c r="L43" i="4"/>
  <c r="L31" i="4"/>
  <c r="K3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37" i="4" l="1"/>
  <c r="P37" i="4" s="1"/>
  <c r="O35" i="4"/>
  <c r="P35" i="4" s="1"/>
  <c r="M31" i="4"/>
  <c r="M43" i="4"/>
  <c r="M46" i="4"/>
  <c r="O29" i="4"/>
  <c r="P29" i="4" s="1"/>
  <c r="M41" i="4"/>
  <c r="O36" i="4"/>
  <c r="P36" i="4" s="1"/>
  <c r="O45" i="4"/>
  <c r="P45" i="4" s="1"/>
  <c r="O38" i="4"/>
  <c r="P38" i="4" s="1"/>
  <c r="M30" i="4"/>
  <c r="M47" i="4"/>
  <c r="O32" i="4"/>
  <c r="P32" i="4" s="1"/>
  <c r="M33" i="4"/>
  <c r="O40" i="4"/>
  <c r="P40" i="4" s="1"/>
  <c r="O34" i="4"/>
  <c r="P34" i="4" s="1"/>
  <c r="O42" i="4"/>
  <c r="P42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<sst xmlns="http://schemas.openxmlformats.org/spreadsheetml/2006/main" count="340" uniqueCount="313">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</sst>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5" sqref="N2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79</v>
      </c>
      <c r="K17" s="31" t="s">
        <v>79</v>
      </c>
      <c r="L17" s="80">
        <v>2.6205E-3</v>
      </c>
      <c r="M17" s="80">
        <v>2.8380000000000001E-4</v>
      </c>
      <c r="N17" s="80">
        <v>9.5699999999999995E-5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7" zoomScale="70" zoomScaleNormal="70" workbookViewId="0">
      <selection activeCell="R27" sqref="R27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40.016800000000003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39.993954800000004</v>
      </c>
      <c r="K8" s="39">
        <f>J8/J7</f>
        <v>0.99942910977389499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2.0789279999999997E-2</v>
      </c>
      <c r="K9" s="39">
        <f>J9/J7</f>
        <v>5.1951380420223495E-4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2.0559200000000001E-3</v>
      </c>
      <c r="K10" s="39">
        <f>J10/J7</f>
        <v>5.137642190280082E-5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1.6799999999999999E-2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1.46748E-2</v>
      </c>
      <c r="K20" s="39">
        <f>J20/J19</f>
        <v>0.87350000000000005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1.58928E-3</v>
      </c>
      <c r="K21" s="39">
        <f>J21/J19</f>
        <v>9.4600000000000004E-2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5.3591999999999995E-4</v>
      </c>
      <c r="K22" s="39">
        <f>J22/J19</f>
        <v>3.1899999999999998E-2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9.4441934040065591E-3</v>
      </c>
      <c r="K28" s="93">
        <f t="shared" ref="K28:K47" si="3">IF(D28=0,"",1/(1+10^D28*$J$15/$J$14+10^E28*$J$16/$J$14+10^J28*$J$19/$J$14))</f>
        <v>0.99896756475738779</v>
      </c>
      <c r="L28" s="93">
        <f t="shared" ref="L28:L47" si="4">IF(D28=0,"",1/(1+10^I28/10^J28*$J$13/$J$19))</f>
        <v>4.2901244844536601E-4</v>
      </c>
      <c r="M28" s="93">
        <f t="shared" ref="M28:M47" si="5">IF(D28=0,"",1-L28)</f>
        <v>0.9995709875515546</v>
      </c>
      <c r="N28" s="93">
        <f t="shared" ref="N28:N47" si="6">IF(D28=0,"",1/(1/10^E28*$J$20/$J$22+10^D28/10^E28*$J$21/$J$22+10^I28/10^E28*$J$13/$J$22+1))</f>
        <v>1.6182006963818104E-5</v>
      </c>
      <c r="O28" s="40">
        <f t="shared" ref="O28:O47" si="7">IF(D28=0,"",F28*K28*$J$7/$J$14)</f>
        <v>9.9990508196704487E-7</v>
      </c>
      <c r="P28" s="40">
        <f t="shared" ref="P28:P47" si="8">IF(D28=0,"",O28*10^J28)</f>
        <v>1.0218872230326502E-6</v>
      </c>
      <c r="Q28" s="40">
        <f t="shared" ref="Q28:Q47" si="9">IF(D28=0,"",F28*N28*$J$7/$J$22)</f>
        <v>1.2083000005032773E-6</v>
      </c>
      <c r="R28" s="9">
        <f>F28*$C$14</f>
        <v>3.9999999999999996E-5</v>
      </c>
      <c r="S28" s="9">
        <f>$R28*L28</f>
        <v>1.7160497937814639E-8</v>
      </c>
      <c r="T28" s="9">
        <f t="shared" ref="T28:T91" si="10">R28*K28</f>
        <v>3.9958702590295505E-5</v>
      </c>
      <c r="U28" s="9">
        <f t="shared" ref="U28:U91" si="11">$R28*M28</f>
        <v>3.9982839502062184E-5</v>
      </c>
      <c r="V28" s="100">
        <f>K28/M28</f>
        <v>0.99939631821883412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161</v>
      </c>
      <c r="C29" s="46" t="s">
        <v>162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4.6078470391874224E-2</v>
      </c>
      <c r="J29" s="92">
        <f t="shared" si="2"/>
        <v>1.5094227425203597</v>
      </c>
      <c r="K29" s="93">
        <f t="shared" si="3"/>
        <v>0.88802942390374517</v>
      </c>
      <c r="L29" s="93">
        <f t="shared" si="4"/>
        <v>1.205936420929018E-2</v>
      </c>
      <c r="M29" s="93">
        <f t="shared" si="5"/>
        <v>0.98794063579070979</v>
      </c>
      <c r="N29" s="93">
        <f t="shared" si="6"/>
        <v>4.5257686753233765E-3</v>
      </c>
      <c r="O29" s="40">
        <f t="shared" si="7"/>
        <v>8.8886282720627763E-7</v>
      </c>
      <c r="P29" s="40">
        <f t="shared" si="8"/>
        <v>2.8724831291090677E-5</v>
      </c>
      <c r="Q29" s="40">
        <f t="shared" si="9"/>
        <v>3.3793622168734231E-4</v>
      </c>
      <c r="R29" s="9">
        <f t="shared" ref="R29:R92" si="12">F29*$C$14</f>
        <v>3.9999999999999996E-5</v>
      </c>
      <c r="S29" s="9">
        <f t="shared" ref="S29:S92" si="13">$R29*L29</f>
        <v>4.8237456837160712E-7</v>
      </c>
      <c r="T29" s="9">
        <f t="shared" si="10"/>
        <v>3.5521176956149801E-5</v>
      </c>
      <c r="U29" s="9">
        <f t="shared" si="11"/>
        <v>3.9517625431628391E-5</v>
      </c>
      <c r="V29" s="100">
        <f t="shared" ref="V29:V92" si="14">K29/M29</f>
        <v>0.89886921514570606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163</v>
      </c>
      <c r="C30" s="46" t="s">
        <v>164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1.116379396238508</v>
      </c>
      <c r="J30" s="92">
        <f t="shared" si="2"/>
        <v>3.3785873717782535</v>
      </c>
      <c r="K30" s="93">
        <f t="shared" si="3"/>
        <v>7.099923725583672E-2</v>
      </c>
      <c r="L30" s="93">
        <f t="shared" si="4"/>
        <v>7.1337086486336701E-2</v>
      </c>
      <c r="M30" s="93">
        <f t="shared" si="5"/>
        <v>0.92866291351366326</v>
      </c>
      <c r="N30" s="93">
        <f t="shared" si="6"/>
        <v>4.1544991974073819E-4</v>
      </c>
      <c r="O30" s="40">
        <f t="shared" si="7"/>
        <v>7.1065869055654998E-8</v>
      </c>
      <c r="P30" s="40">
        <f t="shared" si="8"/>
        <v>1.6992154300633574E-4</v>
      </c>
      <c r="Q30" s="40">
        <f t="shared" si="9"/>
        <v>3.1021376974699903E-5</v>
      </c>
      <c r="R30" s="9">
        <f t="shared" si="12"/>
        <v>3.9999999999999996E-5</v>
      </c>
      <c r="S30" s="9">
        <f t="shared" si="13"/>
        <v>2.8534834594534677E-6</v>
      </c>
      <c r="T30" s="9">
        <f t="shared" si="10"/>
        <v>2.8399694902334685E-6</v>
      </c>
      <c r="U30" s="9">
        <f t="shared" si="11"/>
        <v>3.7146516540546528E-5</v>
      </c>
      <c r="V30" s="100">
        <f t="shared" si="14"/>
        <v>7.6453184705315702E-2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-1.9978935919434454E-4</v>
      </c>
      <c r="J31" s="92">
        <f t="shared" si="2"/>
        <v>-5.2888799671809497E-2</v>
      </c>
      <c r="K31" s="93">
        <f t="shared" si="3"/>
        <v>0.99957004457632581</v>
      </c>
      <c r="L31" s="93">
        <f t="shared" si="4"/>
        <v>3.7187650966465785E-4</v>
      </c>
      <c r="M31" s="93">
        <f t="shared" si="5"/>
        <v>0.99962812349033536</v>
      </c>
      <c r="N31" s="93">
        <f t="shared" si="6"/>
        <v>2.1785597571327538E-7</v>
      </c>
      <c r="O31" s="40">
        <f t="shared" si="7"/>
        <v>1.00050812720494E-6</v>
      </c>
      <c r="P31" s="40">
        <f t="shared" si="8"/>
        <v>8.8579213761599308E-7</v>
      </c>
      <c r="Q31" s="40">
        <f t="shared" si="9"/>
        <v>1.62671648920044E-8</v>
      </c>
      <c r="R31" s="9">
        <f t="shared" si="12"/>
        <v>3.9999999999999996E-5</v>
      </c>
      <c r="S31" s="9">
        <f t="shared" si="13"/>
        <v>1.4875060386586312E-8</v>
      </c>
      <c r="T31" s="9">
        <f t="shared" si="10"/>
        <v>3.9982801783053027E-5</v>
      </c>
      <c r="U31" s="9">
        <f t="shared" si="11"/>
        <v>3.9985124939613408E-5</v>
      </c>
      <c r="V31" s="100">
        <f t="shared" si="14"/>
        <v>0.99994189947977175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5.4311668398331027E-4</v>
      </c>
      <c r="J32" s="92">
        <f t="shared" si="2"/>
        <v>0.1041692201893632</v>
      </c>
      <c r="K32" s="93">
        <f t="shared" si="3"/>
        <v>0.99770090059421068</v>
      </c>
      <c r="L32" s="93">
        <f t="shared" si="4"/>
        <v>5.328977636083821E-4</v>
      </c>
      <c r="M32" s="93">
        <f t="shared" si="5"/>
        <v>0.99946710223639157</v>
      </c>
      <c r="N32" s="93">
        <f t="shared" si="6"/>
        <v>2.6768679149886979E-5</v>
      </c>
      <c r="O32" s="40">
        <f t="shared" si="7"/>
        <v>9.9863722905711173E-7</v>
      </c>
      <c r="P32" s="40">
        <f t="shared" si="8"/>
        <v>1.2693370968311851E-6</v>
      </c>
      <c r="Q32" s="40">
        <f t="shared" si="9"/>
        <v>1.9987999697813058E-6</v>
      </c>
      <c r="R32" s="9">
        <f t="shared" si="12"/>
        <v>3.9999999999999996E-5</v>
      </c>
      <c r="S32" s="9">
        <f t="shared" si="13"/>
        <v>2.1315910544335283E-8</v>
      </c>
      <c r="T32" s="9">
        <f t="shared" si="10"/>
        <v>3.9908036023768425E-5</v>
      </c>
      <c r="U32" s="9">
        <f t="shared" si="11"/>
        <v>3.9978684089455658E-5</v>
      </c>
      <c r="V32" s="100">
        <f t="shared" si="14"/>
        <v>0.99823285665108052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165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1.0070969156464394E-2</v>
      </c>
      <c r="J33" s="92">
        <f t="shared" si="2"/>
        <v>0.86803342541667639</v>
      </c>
      <c r="K33" s="93">
        <f t="shared" si="3"/>
        <v>0.97362290555258535</v>
      </c>
      <c r="L33" s="93">
        <f t="shared" si="4"/>
        <v>3.0192461504164976E-3</v>
      </c>
      <c r="M33" s="93">
        <f t="shared" si="5"/>
        <v>0.99698075384958351</v>
      </c>
      <c r="N33" s="93">
        <f t="shared" si="6"/>
        <v>9.5189970309671602E-4</v>
      </c>
      <c r="O33" s="40">
        <f t="shared" si="7"/>
        <v>9.7453663715096157E-7</v>
      </c>
      <c r="P33" s="40">
        <f t="shared" si="8"/>
        <v>7.1917005566658865E-6</v>
      </c>
      <c r="Q33" s="40">
        <f t="shared" si="9"/>
        <v>7.1077735555457293E-5</v>
      </c>
      <c r="R33" s="9">
        <f t="shared" si="12"/>
        <v>3.9999999999999996E-5</v>
      </c>
      <c r="S33" s="9">
        <f t="shared" si="13"/>
        <v>1.2076984601665988E-7</v>
      </c>
      <c r="T33" s="9">
        <f t="shared" si="10"/>
        <v>3.8944916222103414E-5</v>
      </c>
      <c r="U33" s="9">
        <f t="shared" si="11"/>
        <v>3.9879230153983337E-5</v>
      </c>
      <c r="V33" s="100">
        <f t="shared" si="14"/>
        <v>0.97657141503804579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3.1711948665398576E-4</v>
      </c>
      <c r="J34" s="92">
        <f t="shared" si="2"/>
        <v>6.0527862782966999E-2</v>
      </c>
      <c r="K34" s="93">
        <f t="shared" si="3"/>
        <v>0.99827082570288295</v>
      </c>
      <c r="L34" s="93">
        <f t="shared" si="4"/>
        <v>4.8222592533551635E-4</v>
      </c>
      <c r="M34" s="93">
        <f t="shared" si="5"/>
        <v>0.99951777407466447</v>
      </c>
      <c r="N34" s="93">
        <f t="shared" si="6"/>
        <v>1.6445185833232255E-5</v>
      </c>
      <c r="O34" s="40">
        <f t="shared" si="7"/>
        <v>9.9920768903259716E-7</v>
      </c>
      <c r="P34" s="40">
        <f t="shared" si="8"/>
        <v>1.1486391910098987E-6</v>
      </c>
      <c r="Q34" s="40">
        <f t="shared" si="9"/>
        <v>1.227951396572788E-6</v>
      </c>
      <c r="R34" s="9">
        <f t="shared" si="12"/>
        <v>3.9999999999999996E-5</v>
      </c>
      <c r="S34" s="9">
        <f t="shared" si="13"/>
        <v>1.9289037013420651E-8</v>
      </c>
      <c r="T34" s="9">
        <f t="shared" si="10"/>
        <v>3.9930833028115311E-5</v>
      </c>
      <c r="U34" s="9">
        <f t="shared" si="11"/>
        <v>3.9980710962986576E-5</v>
      </c>
      <c r="V34" s="100">
        <f t="shared" si="14"/>
        <v>0.99875245002727853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1.8367979099029661E-4</v>
      </c>
      <c r="J35" s="92">
        <f t="shared" si="2"/>
        <v>3.308020042167574E-2</v>
      </c>
      <c r="K35" s="93">
        <f t="shared" si="3"/>
        <v>0.99860695157075186</v>
      </c>
      <c r="L35" s="93">
        <f t="shared" si="4"/>
        <v>4.5284450125957745E-4</v>
      </c>
      <c r="M35" s="93">
        <f t="shared" si="5"/>
        <v>0.9995471554987404</v>
      </c>
      <c r="N35" s="93">
        <f t="shared" si="6"/>
        <v>1.1068982905893127E-5</v>
      </c>
      <c r="O35" s="40">
        <f t="shared" si="7"/>
        <v>9.9954413034993272E-7</v>
      </c>
      <c r="P35" s="40">
        <f t="shared" si="8"/>
        <v>1.0786540379764441E-6</v>
      </c>
      <c r="Q35" s="40">
        <f t="shared" si="9"/>
        <v>8.2651379897847469E-7</v>
      </c>
      <c r="R35" s="9">
        <f t="shared" si="12"/>
        <v>3.9999999999999996E-5</v>
      </c>
      <c r="S35" s="9">
        <f t="shared" si="13"/>
        <v>1.8113780050383097E-8</v>
      </c>
      <c r="T35" s="9">
        <f t="shared" si="10"/>
        <v>3.9944278062830068E-5</v>
      </c>
      <c r="U35" s="9">
        <f t="shared" si="11"/>
        <v>3.9981886219949614E-5</v>
      </c>
      <c r="V35" s="100">
        <f t="shared" si="14"/>
        <v>0.99905937011293933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166</v>
      </c>
      <c r="C36" s="46" t="s">
        <v>167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0.45036614920415591</v>
      </c>
      <c r="J36" s="92">
        <f t="shared" si="2"/>
        <v>2.8316859841390225</v>
      </c>
      <c r="K36" s="93">
        <f t="shared" si="3"/>
        <v>0.32180943708889109</v>
      </c>
      <c r="L36" s="93">
        <f t="shared" si="4"/>
        <v>9.1782328831964563E-2</v>
      </c>
      <c r="M36" s="93">
        <f t="shared" si="5"/>
        <v>0.90821767116803542</v>
      </c>
      <c r="N36" s="93">
        <f t="shared" si="6"/>
        <v>5.6354651957575039E-2</v>
      </c>
      <c r="O36" s="40">
        <f t="shared" si="7"/>
        <v>3.221114507839745E-7</v>
      </c>
      <c r="P36" s="40">
        <f t="shared" si="8"/>
        <v>2.1862113669065237E-4</v>
      </c>
      <c r="Q36" s="40">
        <f t="shared" si="9"/>
        <v>4.2079654359902397E-3</v>
      </c>
      <c r="R36" s="9">
        <f t="shared" si="12"/>
        <v>3.9999999999999996E-5</v>
      </c>
      <c r="S36" s="9">
        <f t="shared" si="13"/>
        <v>3.6712931532785823E-6</v>
      </c>
      <c r="T36" s="9">
        <f t="shared" si="10"/>
        <v>1.2872377483555642E-5</v>
      </c>
      <c r="U36" s="9">
        <f t="shared" si="11"/>
        <v>3.6328706846721415E-5</v>
      </c>
      <c r="V36" s="100">
        <f t="shared" si="14"/>
        <v>0.3543307373385724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168</v>
      </c>
      <c r="C37" s="94" t="s">
        <v>169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2.2002191789801899</v>
      </c>
      <c r="J37" s="92">
        <f t="shared" si="2"/>
        <v>5.0319753139522181</v>
      </c>
      <c r="K37" s="93">
        <f t="shared" si="3"/>
        <v>4.904752007682635E-3</v>
      </c>
      <c r="L37" s="93">
        <f t="shared" si="4"/>
        <v>0.22185370239015809</v>
      </c>
      <c r="M37" s="93">
        <f t="shared" si="5"/>
        <v>0.77814629760984189</v>
      </c>
      <c r="N37" s="93">
        <f t="shared" si="6"/>
        <v>0.20627374361122833</v>
      </c>
      <c r="O37" s="40">
        <f t="shared" si="7"/>
        <v>4.9093550494414721E-9</v>
      </c>
      <c r="P37" s="40">
        <f t="shared" si="8"/>
        <v>5.2844495463133783E-4</v>
      </c>
      <c r="Q37" s="40">
        <f t="shared" si="9"/>
        <v>1.5402327107295499E-2</v>
      </c>
      <c r="R37" s="9">
        <f t="shared" si="12"/>
        <v>3.9999999999999996E-5</v>
      </c>
      <c r="S37" s="9">
        <f t="shared" si="13"/>
        <v>8.8741480956063231E-6</v>
      </c>
      <c r="T37" s="9">
        <f t="shared" si="10"/>
        <v>1.9619008030730539E-7</v>
      </c>
      <c r="U37" s="9">
        <f t="shared" si="11"/>
        <v>3.1125851904393672E-5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170</v>
      </c>
      <c r="C38" s="46" t="s">
        <v>171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-1.5970395933982679E-4</v>
      </c>
      <c r="J38" s="92">
        <f t="shared" si="2"/>
        <v>-4.3517986531337434E-2</v>
      </c>
      <c r="K38" s="93">
        <f t="shared" si="3"/>
        <v>0.9994697166205655</v>
      </c>
      <c r="L38" s="93">
        <f t="shared" si="4"/>
        <v>3.7994957798080431E-4</v>
      </c>
      <c r="M38" s="93">
        <f t="shared" si="5"/>
        <v>0.99962005042201918</v>
      </c>
      <c r="N38" s="93">
        <f t="shared" si="6"/>
        <v>8.3661957918938475E-7</v>
      </c>
      <c r="O38" s="40">
        <f t="shared" si="7"/>
        <v>1.0004077050927843E-6</v>
      </c>
      <c r="P38" s="40">
        <f t="shared" si="8"/>
        <v>9.0502180191322922E-7</v>
      </c>
      <c r="Q38" s="40">
        <f t="shared" si="9"/>
        <v>6.2469843216349039E-8</v>
      </c>
      <c r="R38" s="9">
        <f t="shared" si="12"/>
        <v>3.9999999999999996E-5</v>
      </c>
      <c r="S38" s="9">
        <f t="shared" si="13"/>
        <v>1.5197983119232172E-8</v>
      </c>
      <c r="T38" s="9">
        <f t="shared" si="10"/>
        <v>3.9978788664822619E-5</v>
      </c>
      <c r="U38" s="9">
        <f t="shared" si="11"/>
        <v>3.9984802016880766E-5</v>
      </c>
      <c r="V38" s="100">
        <f t="shared" si="14"/>
        <v>0.99984960905757125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4.7752637245013392E-2</v>
      </c>
      <c r="J39" s="92">
        <f t="shared" si="2"/>
        <v>1.4941370637576192</v>
      </c>
      <c r="K39" s="93">
        <f t="shared" si="3"/>
        <v>0.88502149406659025</v>
      </c>
      <c r="L39" s="93">
        <f t="shared" si="4"/>
        <v>1.1602863826229335E-2</v>
      </c>
      <c r="M39" s="93">
        <f t="shared" si="5"/>
        <v>0.98839713617377067</v>
      </c>
      <c r="N39" s="93">
        <f t="shared" si="6"/>
        <v>3.5559104433165291E-3</v>
      </c>
      <c r="O39" s="40">
        <f t="shared" si="7"/>
        <v>8.8585207446867303E-7</v>
      </c>
      <c r="P39" s="40">
        <f t="shared" si="8"/>
        <v>2.7637469116753215E-5</v>
      </c>
      <c r="Q39" s="40">
        <f t="shared" si="9"/>
        <v>2.6551753438593237E-4</v>
      </c>
      <c r="R39" s="9">
        <f t="shared" si="12"/>
        <v>3.9999999999999996E-5</v>
      </c>
      <c r="S39" s="9">
        <f t="shared" si="13"/>
        <v>4.6411455304917332E-7</v>
      </c>
      <c r="T39" s="9">
        <f t="shared" si="10"/>
        <v>3.540085976266361E-5</v>
      </c>
      <c r="U39" s="9">
        <f t="shared" si="11"/>
        <v>3.953588544695082E-5</v>
      </c>
      <c r="V39" s="100">
        <f t="shared" si="14"/>
        <v>0.89541082392512528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172</v>
      </c>
      <c r="C40" s="46" t="s">
        <v>173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5.4923561227077443E-2</v>
      </c>
      <c r="J40" s="92">
        <f t="shared" si="2"/>
        <v>1.6575558987283585</v>
      </c>
      <c r="K40" s="93">
        <f t="shared" si="3"/>
        <v>0.86617653768509184</v>
      </c>
      <c r="L40" s="93">
        <f t="shared" si="4"/>
        <v>1.6543851672762205E-2</v>
      </c>
      <c r="M40" s="93">
        <f t="shared" si="5"/>
        <v>0.98345614832723782</v>
      </c>
      <c r="N40" s="93">
        <f t="shared" si="6"/>
        <v>8.5178234023744765E-3</v>
      </c>
      <c r="O40" s="40">
        <f t="shared" si="7"/>
        <v>8.6698943235688041E-7</v>
      </c>
      <c r="P40" s="40">
        <f t="shared" si="8"/>
        <v>3.9406666882058976E-5</v>
      </c>
      <c r="Q40" s="40">
        <f t="shared" si="9"/>
        <v>6.3602036783127884E-4</v>
      </c>
      <c r="R40" s="9">
        <f t="shared" si="12"/>
        <v>3.9999999999999996E-5</v>
      </c>
      <c r="S40" s="9">
        <f t="shared" si="13"/>
        <v>6.6175406691048819E-7</v>
      </c>
      <c r="T40" s="9">
        <f t="shared" si="10"/>
        <v>3.4647061507403671E-5</v>
      </c>
      <c r="U40" s="9">
        <f t="shared" si="11"/>
        <v>3.9338245933089508E-5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174</v>
      </c>
      <c r="C41" s="94" t="s">
        <v>175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6.6276677113325539E-3</v>
      </c>
      <c r="J41" s="92">
        <f t="shared" si="2"/>
        <v>0.68019675641126665</v>
      </c>
      <c r="K41" s="93">
        <f t="shared" si="3"/>
        <v>0.98239909518565727</v>
      </c>
      <c r="L41" s="93">
        <f t="shared" si="4"/>
        <v>1.9767831178300163E-3</v>
      </c>
      <c r="M41" s="93">
        <f t="shared" si="5"/>
        <v>0.99802321688216999</v>
      </c>
      <c r="N41" s="93">
        <f t="shared" si="6"/>
        <v>4.2196064750008396E-4</v>
      </c>
      <c r="O41" s="40">
        <f t="shared" si="7"/>
        <v>9.8332106311632964E-7</v>
      </c>
      <c r="P41" s="40">
        <f t="shared" si="8"/>
        <v>4.7086032541416784E-6</v>
      </c>
      <c r="Q41" s="40">
        <f t="shared" si="9"/>
        <v>3.1507528808182866E-5</v>
      </c>
      <c r="R41" s="9">
        <f t="shared" si="12"/>
        <v>3.9999999999999996E-5</v>
      </c>
      <c r="S41" s="9">
        <f t="shared" si="13"/>
        <v>7.9071324713200648E-8</v>
      </c>
      <c r="T41" s="9">
        <f t="shared" si="10"/>
        <v>3.9295963807426286E-5</v>
      </c>
      <c r="U41" s="9">
        <f t="shared" si="11"/>
        <v>3.9920928675286794E-5</v>
      </c>
      <c r="V41" s="100">
        <f t="shared" si="14"/>
        <v>0.98434493162862224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176</v>
      </c>
      <c r="C42" s="46" t="s">
        <v>177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2.8589842167479149E-2</v>
      </c>
      <c r="J42" s="92">
        <f t="shared" si="2"/>
        <v>1.3367435070507094</v>
      </c>
      <c r="K42" s="93">
        <f t="shared" si="3"/>
        <v>0.92788140709987266</v>
      </c>
      <c r="L42" s="93">
        <f t="shared" si="4"/>
        <v>8.4666243774917001E-3</v>
      </c>
      <c r="M42" s="93">
        <f t="shared" si="5"/>
        <v>0.99153337562250832</v>
      </c>
      <c r="N42" s="93">
        <f t="shared" si="6"/>
        <v>3.7338379776764088E-3</v>
      </c>
      <c r="O42" s="40">
        <f t="shared" si="7"/>
        <v>9.2875221093611961E-7</v>
      </c>
      <c r="P42" s="40">
        <f t="shared" si="8"/>
        <v>2.0167096094595831E-5</v>
      </c>
      <c r="Q42" s="40">
        <f t="shared" si="9"/>
        <v>2.7880326837043091E-4</v>
      </c>
      <c r="R42" s="9">
        <f t="shared" si="12"/>
        <v>3.9999999999999996E-5</v>
      </c>
      <c r="S42" s="9">
        <f t="shared" si="13"/>
        <v>3.3866497509966797E-7</v>
      </c>
      <c r="T42" s="9">
        <f t="shared" si="10"/>
        <v>3.71152562839949E-5</v>
      </c>
      <c r="U42" s="9">
        <f t="shared" si="11"/>
        <v>3.9661335024900331E-5</v>
      </c>
      <c r="V42" s="100">
        <f t="shared" si="14"/>
        <v>0.93580451239710072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178</v>
      </c>
      <c r="C43" s="46" t="s">
        <v>179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4.5043006346732313E-2</v>
      </c>
      <c r="J43" s="92">
        <f t="shared" si="2"/>
        <v>1.483039277776858</v>
      </c>
      <c r="K43" s="93">
        <f t="shared" si="3"/>
        <v>0.89075824850798635</v>
      </c>
      <c r="L43" s="93">
        <f t="shared" si="4"/>
        <v>1.1383437925388739E-2</v>
      </c>
      <c r="M43" s="93">
        <f t="shared" si="5"/>
        <v>0.98861656207461124</v>
      </c>
      <c r="N43" s="93">
        <f t="shared" si="6"/>
        <v>3.8632236309270279E-3</v>
      </c>
      <c r="O43" s="40">
        <f t="shared" si="7"/>
        <v>8.9159421277457683E-7</v>
      </c>
      <c r="P43" s="40">
        <f t="shared" si="8"/>
        <v>2.7114807069803334E-5</v>
      </c>
      <c r="Q43" s="40">
        <f t="shared" si="9"/>
        <v>2.8846441146828023E-4</v>
      </c>
      <c r="R43" s="9">
        <f t="shared" si="12"/>
        <v>3.9999999999999996E-5</v>
      </c>
      <c r="S43" s="9">
        <f t="shared" si="13"/>
        <v>4.5533751701554956E-7</v>
      </c>
      <c r="T43" s="9">
        <f t="shared" si="10"/>
        <v>3.5630329940319453E-5</v>
      </c>
      <c r="U43" s="9">
        <f t="shared" si="11"/>
        <v>3.9544662482984445E-5</v>
      </c>
      <c r="V43" s="100">
        <f t="shared" si="14"/>
        <v>0.90101489564238202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180</v>
      </c>
      <c r="C44" s="46" t="s">
        <v>181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2.829962486439805</v>
      </c>
      <c r="J44" s="92">
        <f t="shared" si="2"/>
        <v>5.6236352715565152</v>
      </c>
      <c r="K44" s="93">
        <f t="shared" si="3"/>
        <v>1.1723009329020618E-3</v>
      </c>
      <c r="L44" s="93">
        <f t="shared" si="4"/>
        <v>0.20708502529048756</v>
      </c>
      <c r="M44" s="93">
        <f t="shared" si="5"/>
        <v>0.79291497470951244</v>
      </c>
      <c r="N44" s="93">
        <f t="shared" si="6"/>
        <v>0.18497460426948259</v>
      </c>
      <c r="O44" s="40">
        <f t="shared" si="7"/>
        <v>1.1734011210745975E-9</v>
      </c>
      <c r="P44" s="40">
        <f t="shared" si="8"/>
        <v>4.9326666905026128E-4</v>
      </c>
      <c r="Q44" s="40">
        <f t="shared" si="9"/>
        <v>1.3811934139668292E-2</v>
      </c>
      <c r="R44" s="9">
        <f t="shared" si="12"/>
        <v>3.9999999999999996E-5</v>
      </c>
      <c r="S44" s="9">
        <f t="shared" si="13"/>
        <v>8.2834010116195018E-6</v>
      </c>
      <c r="T44" s="9">
        <f t="shared" si="10"/>
        <v>4.689203731608247E-8</v>
      </c>
      <c r="U44" s="9">
        <f t="shared" si="11"/>
        <v>3.1716598988380495E-5</v>
      </c>
      <c r="V44" s="100">
        <f t="shared" si="14"/>
        <v>1.4784699120249797E-3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182</v>
      </c>
      <c r="C45" s="46" t="s">
        <v>183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3.957220636313619E-3</v>
      </c>
      <c r="J45" s="92">
        <f t="shared" si="2"/>
        <v>0.52922244534276219</v>
      </c>
      <c r="K45" s="93">
        <f t="shared" si="3"/>
        <v>0.98902398505251476</v>
      </c>
      <c r="L45" s="93">
        <f t="shared" si="4"/>
        <v>1.405735402777094E-3</v>
      </c>
      <c r="M45" s="93">
        <f t="shared" si="5"/>
        <v>0.99859426459722289</v>
      </c>
      <c r="N45" s="93">
        <f t="shared" si="6"/>
        <v>3.2738427857665437E-4</v>
      </c>
      <c r="O45" s="40">
        <f t="shared" si="7"/>
        <v>9.8995217035047828E-7</v>
      </c>
      <c r="P45" s="40">
        <f t="shared" si="8"/>
        <v>3.3483947896339534E-6</v>
      </c>
      <c r="Q45" s="40">
        <f t="shared" si="9"/>
        <v>2.4445572471537287E-5</v>
      </c>
      <c r="R45" s="9">
        <f t="shared" si="12"/>
        <v>3.9999999999999996E-5</v>
      </c>
      <c r="S45" s="9">
        <f t="shared" si="13"/>
        <v>5.6229416111083752E-8</v>
      </c>
      <c r="T45" s="9">
        <f t="shared" si="10"/>
        <v>3.9560959402100585E-5</v>
      </c>
      <c r="U45" s="9">
        <f t="shared" si="11"/>
        <v>3.9943770583888915E-5</v>
      </c>
      <c r="V45" s="100">
        <f t="shared" si="14"/>
        <v>0.99041624823614605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184</v>
      </c>
      <c r="C46" s="46" t="s">
        <v>185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4.1980440605165602E-3</v>
      </c>
      <c r="J46" s="92">
        <f t="shared" si="2"/>
        <v>0.53967320644667971</v>
      </c>
      <c r="K46" s="93">
        <f t="shared" si="3"/>
        <v>0.98844265419289623</v>
      </c>
      <c r="L46" s="93">
        <f t="shared" si="4"/>
        <v>1.4391265912902878E-3</v>
      </c>
      <c r="M46" s="93">
        <f t="shared" si="5"/>
        <v>0.99856087340870969</v>
      </c>
      <c r="N46" s="93">
        <f t="shared" si="6"/>
        <v>3.1202793323919045E-4</v>
      </c>
      <c r="O46" s="40">
        <f t="shared" si="7"/>
        <v>9.8937029391990777E-7</v>
      </c>
      <c r="P46" s="40">
        <f t="shared" si="8"/>
        <v>3.4279310106157856E-6</v>
      </c>
      <c r="Q46" s="40">
        <f t="shared" si="9"/>
        <v>2.3298924090994992E-5</v>
      </c>
      <c r="R46" s="9">
        <f t="shared" si="12"/>
        <v>3.9999999999999996E-5</v>
      </c>
      <c r="S46" s="9">
        <f t="shared" si="13"/>
        <v>5.7565063651611504E-8</v>
      </c>
      <c r="T46" s="9">
        <f t="shared" si="10"/>
        <v>3.9537706167715846E-5</v>
      </c>
      <c r="U46" s="9">
        <f t="shared" si="11"/>
        <v>3.9942434936348382E-5</v>
      </c>
      <c r="V46" s="100">
        <f t="shared" si="14"/>
        <v>0.98986719839995962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186</v>
      </c>
      <c r="C47" s="46" t="s">
        <v>187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8.655050783580702E-2</v>
      </c>
      <c r="J47" s="92">
        <f t="shared" si="2"/>
        <v>1.8939751851989683</v>
      </c>
      <c r="K47" s="93">
        <f t="shared" si="3"/>
        <v>0.79739250011697727</v>
      </c>
      <c r="L47" s="93">
        <f t="shared" si="4"/>
        <v>2.6249536846599128E-2</v>
      </c>
      <c r="M47" s="93">
        <f t="shared" si="5"/>
        <v>0.97375046315340086</v>
      </c>
      <c r="N47" s="93">
        <f t="shared" si="6"/>
        <v>1.4843664208109061E-2</v>
      </c>
      <c r="O47" s="40">
        <f t="shared" si="7"/>
        <v>7.9814084192314252E-7</v>
      </c>
      <c r="P47" s="40">
        <f t="shared" si="8"/>
        <v>6.2525146790654043E-5</v>
      </c>
      <c r="Q47" s="40">
        <f t="shared" si="9"/>
        <v>1.1083668119925712E-3</v>
      </c>
      <c r="R47" s="9">
        <f t="shared" si="12"/>
        <v>3.9999999999999996E-5</v>
      </c>
      <c r="S47" s="9">
        <f t="shared" si="13"/>
        <v>1.0499814738639651E-6</v>
      </c>
      <c r="T47" s="9">
        <f t="shared" si="10"/>
        <v>3.1895700004679085E-5</v>
      </c>
      <c r="U47" s="9">
        <f t="shared" si="11"/>
        <v>3.8950018526136034E-5</v>
      </c>
      <c r="V47" s="100">
        <f t="shared" si="14"/>
        <v>0.81888792898202623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4.4538856592537125E-2</v>
      </c>
      <c r="K48" s="93">
        <f t="shared" ref="K48:K50" si="17">IF(D48=0,"",1/(1+10^D48*$J$15/$J$14+10^E48*$J$16/$J$14+10^J48*$J$19/$J$14))</f>
        <v>0.99853426752958796</v>
      </c>
      <c r="L48" s="93">
        <f t="shared" ref="L48:L50" si="18">IF(D48=0,"",1/(1+10^I48/10^J48*$J$13/$J$19))</f>
        <v>4.6491776711184558E-4</v>
      </c>
      <c r="M48" s="93">
        <f t="shared" ref="M48:M92" si="19">IF(D48=0,"",1-L48)</f>
        <v>0.99953508223288812</v>
      </c>
      <c r="N48" s="93">
        <f t="shared" ref="N48:N50" si="20">IF(D48=0,"",1/(1/10^E48*$J$20/$J$22+10^D48/10^E48*$J$21/$J$22+10^I48/10^E48*$J$13/$J$22+1))</f>
        <v>2.0324879046744647E-5</v>
      </c>
      <c r="O48" s="40">
        <f t="shared" ref="O48:O92" si="21">IF(D48=0,"",F48*K48*$J$7/$J$14)</f>
        <v>9.9947137809580373E-7</v>
      </c>
      <c r="P48" s="40">
        <f t="shared" ref="P48:P50" si="22">IF(D48=0,"",O48*10^J48)</f>
        <v>1.107411982319125E-6</v>
      </c>
      <c r="Q48" s="40">
        <f t="shared" ref="Q48:Q50" si="23">IF(D48=0,"",F48*N48*$J$7/$J$22)</f>
        <v>1.5176455811273535E-6</v>
      </c>
      <c r="R48" s="9">
        <f t="shared" si="12"/>
        <v>3.9999999999999996E-5</v>
      </c>
      <c r="S48" s="9">
        <f t="shared" si="13"/>
        <v>1.8596710684473823E-8</v>
      </c>
      <c r="T48" s="9">
        <f t="shared" si="10"/>
        <v>3.9941370701183518E-5</v>
      </c>
      <c r="U48" s="9">
        <f t="shared" si="11"/>
        <v>3.9981403289315519E-5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188</v>
      </c>
      <c r="C49" s="46" t="s">
        <v>189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9.6186457475178466E-3</v>
      </c>
      <c r="J49" s="92">
        <f t="shared" si="16"/>
        <v>0.8649751353960996</v>
      </c>
      <c r="K49" s="93">
        <f t="shared" si="17"/>
        <v>0.97465507967624787</v>
      </c>
      <c r="L49" s="93">
        <f t="shared" si="18"/>
        <v>3.0012377414661028E-3</v>
      </c>
      <c r="M49" s="93">
        <f t="shared" si="19"/>
        <v>0.9969987622585339</v>
      </c>
      <c r="N49" s="93">
        <f t="shared" si="20"/>
        <v>1.0375736807989716E-3</v>
      </c>
      <c r="O49" s="40">
        <f t="shared" si="21"/>
        <v>9.7556977995572886E-7</v>
      </c>
      <c r="P49" s="40">
        <f t="shared" si="22"/>
        <v>7.1488053840893316E-6</v>
      </c>
      <c r="Q49" s="40">
        <f t="shared" si="23"/>
        <v>7.7474956093813059E-5</v>
      </c>
      <c r="R49" s="9">
        <f t="shared" si="12"/>
        <v>3.9999999999999996E-5</v>
      </c>
      <c r="S49" s="9">
        <f t="shared" si="13"/>
        <v>1.200495096586441E-7</v>
      </c>
      <c r="T49" s="9">
        <f t="shared" si="10"/>
        <v>3.8986203187049911E-5</v>
      </c>
      <c r="U49" s="9">
        <f t="shared" si="11"/>
        <v>3.987995049034135E-5</v>
      </c>
      <c r="V49" s="100">
        <f t="shared" si="14"/>
        <v>0.9775890568493083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190</v>
      </c>
      <c r="C50" s="46" t="s">
        <v>191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8.6760595853303396E-2</v>
      </c>
      <c r="J50" s="92">
        <f t="shared" si="16"/>
        <v>1.8262123505679773</v>
      </c>
      <c r="K50" s="93">
        <f t="shared" si="17"/>
        <v>0.80004947225109524</v>
      </c>
      <c r="L50" s="93">
        <f t="shared" si="18"/>
        <v>2.2532195299620226E-2</v>
      </c>
      <c r="M50" s="93">
        <f t="shared" si="19"/>
        <v>0.97746780470037975</v>
      </c>
      <c r="N50" s="93">
        <f t="shared" si="20"/>
        <v>9.8698792475301091E-3</v>
      </c>
      <c r="O50" s="40">
        <f t="shared" si="21"/>
        <v>8.0080030758877173E-7</v>
      </c>
      <c r="P50" s="40">
        <f t="shared" si="22"/>
        <v>5.3670616242014468E-5</v>
      </c>
      <c r="Q50" s="40">
        <f t="shared" si="23"/>
        <v>7.3697750386729911E-4</v>
      </c>
      <c r="R50" s="9">
        <f t="shared" si="12"/>
        <v>3.9999999999999996E-5</v>
      </c>
      <c r="S50" s="9">
        <f t="shared" si="13"/>
        <v>9.0128781198480899E-7</v>
      </c>
      <c r="T50" s="9">
        <f t="shared" si="10"/>
        <v>3.2001978890043806E-5</v>
      </c>
      <c r="U50" s="9">
        <f t="shared" si="11"/>
        <v>3.9098712188015183E-5</v>
      </c>
      <c r="V50" s="100">
        <f t="shared" si="14"/>
        <v>0.81849189139925893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192</v>
      </c>
      <c r="C51" s="46" t="s">
        <v>193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4.65500335522374</v>
      </c>
      <c r="K51" s="93">
        <f t="shared" ref="K51:K70" si="26">IF(D51=0,"",1/(1+10^D51*$J$15/$J$14+10^E51*$J$16/$J$14+10^J51*$J$19/$J$14))</f>
        <v>8.6987720629243901E-3</v>
      </c>
      <c r="L51" s="93">
        <f t="shared" ref="L51:L70" si="27">IF(D51=0,"",1/(1+10^I51/10^J51*$J$13/$J$19))</f>
        <v>0.16517169268245857</v>
      </c>
      <c r="M51" s="93">
        <f t="shared" ref="M51:M70" si="28">IF(D51=0,"",1-L51)</f>
        <v>0.83482830731754143</v>
      </c>
      <c r="N51" s="93">
        <f t="shared" ref="N51:N70" si="29">IF(D51=0,"",1/(1/10^E51*$J$20/$J$22+10^D51/10^E51*$J$21/$J$22+10^I51/10^E51*$J$13/$J$22+1))</f>
        <v>0.1264791526300911</v>
      </c>
      <c r="O51" s="40">
        <f t="shared" ref="O51:O70" si="30">IF(D51=0,"",F51*K51*$J$7/$J$14)</f>
        <v>8.7069357399040869E-9</v>
      </c>
      <c r="P51" s="40">
        <f t="shared" ref="P51:P70" si="31">IF(D51=0,"",O51*10^J51)</f>
        <v>3.9343110665091729E-4</v>
      </c>
      <c r="Q51" s="40">
        <f t="shared" ref="Q51:Q70" si="32">IF(D51=0,"",F51*N51*$J$7/$J$22)</f>
        <v>9.4441165751750836E-3</v>
      </c>
      <c r="R51" s="9">
        <f t="shared" si="12"/>
        <v>3.9999999999999996E-5</v>
      </c>
      <c r="S51" s="9">
        <f t="shared" si="13"/>
        <v>6.606867707298342E-6</v>
      </c>
      <c r="T51" s="9">
        <f t="shared" si="10"/>
        <v>3.4795088251697556E-7</v>
      </c>
      <c r="U51" s="9">
        <f t="shared" si="11"/>
        <v>3.3393132292701652E-5</v>
      </c>
      <c r="V51" s="100">
        <f t="shared" si="14"/>
        <v>1.0419833619292525E-2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194</v>
      </c>
      <c r="C52" s="46" t="s">
        <v>195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0.12726341031571042</v>
      </c>
      <c r="J52" s="92">
        <f t="shared" si="25"/>
        <v>2.0806048106090933</v>
      </c>
      <c r="K52" s="93">
        <f t="shared" si="26"/>
        <v>0.71850647954880509</v>
      </c>
      <c r="L52" s="93">
        <f t="shared" si="27"/>
        <v>3.6350451778846091E-2</v>
      </c>
      <c r="M52" s="93">
        <f t="shared" si="28"/>
        <v>0.9636495482211539</v>
      </c>
      <c r="N52" s="93">
        <f t="shared" si="29"/>
        <v>2.0640855109022624E-2</v>
      </c>
      <c r="O52" s="40">
        <f t="shared" si="30"/>
        <v>7.1918078791835715E-7</v>
      </c>
      <c r="P52" s="40">
        <f t="shared" si="31"/>
        <v>8.6585045163317149E-5</v>
      </c>
      <c r="Q52" s="40">
        <f t="shared" si="32"/>
        <v>1.5412393094617418E-3</v>
      </c>
      <c r="R52" s="9">
        <f t="shared" si="12"/>
        <v>3.9999999999999996E-5</v>
      </c>
      <c r="S52" s="9">
        <f t="shared" si="13"/>
        <v>1.4540180711538434E-6</v>
      </c>
      <c r="T52" s="9">
        <f t="shared" si="10"/>
        <v>2.8740259181952202E-5</v>
      </c>
      <c r="U52" s="9">
        <f t="shared" si="11"/>
        <v>3.8545981928846153E-5</v>
      </c>
      <c r="V52" s="100">
        <f t="shared" si="14"/>
        <v>0.74560973008821518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196</v>
      </c>
      <c r="C53" s="46" t="s">
        <v>197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0.47104615060046062</v>
      </c>
      <c r="J53" s="92">
        <f t="shared" si="25"/>
        <v>2.9002106257320843</v>
      </c>
      <c r="K53" s="93">
        <f t="shared" si="26"/>
        <v>0.30359953278859353</v>
      </c>
      <c r="L53" s="93">
        <f t="shared" si="27"/>
        <v>0.10138787899675912</v>
      </c>
      <c r="M53" s="93">
        <f t="shared" si="28"/>
        <v>0.89861212100324084</v>
      </c>
      <c r="N53" s="93">
        <f t="shared" si="29"/>
        <v>6.7985155489895713E-2</v>
      </c>
      <c r="O53" s="40">
        <f t="shared" si="30"/>
        <v>3.0388445674095659E-7</v>
      </c>
      <c r="P53" s="40">
        <f t="shared" si="31"/>
        <v>2.415010997760423E-4</v>
      </c>
      <c r="Q53" s="40">
        <f t="shared" si="32"/>
        <v>5.0764076171967067E-3</v>
      </c>
      <c r="R53" s="9">
        <f t="shared" si="12"/>
        <v>3.9999999999999996E-5</v>
      </c>
      <c r="S53" s="9">
        <f t="shared" si="13"/>
        <v>4.0555151598703645E-6</v>
      </c>
      <c r="T53" s="9">
        <f t="shared" si="10"/>
        <v>1.214398131154374E-5</v>
      </c>
      <c r="U53" s="9">
        <f t="shared" si="11"/>
        <v>3.5944484840129633E-5</v>
      </c>
      <c r="V53" s="100">
        <f t="shared" si="14"/>
        <v>0.33785381444626494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198</v>
      </c>
      <c r="C54" s="46" t="s">
        <v>199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0.17835694544431219</v>
      </c>
      <c r="J54" s="92">
        <f t="shared" si="25"/>
        <v>2.2648778324590841</v>
      </c>
      <c r="K54" s="93">
        <f t="shared" si="26"/>
        <v>0.6305336990190521</v>
      </c>
      <c r="L54" s="93">
        <f t="shared" si="27"/>
        <v>4.8759635249520129E-2</v>
      </c>
      <c r="M54" s="93">
        <f t="shared" si="28"/>
        <v>0.95124036475047991</v>
      </c>
      <c r="N54" s="93">
        <f t="shared" si="29"/>
        <v>2.8725612573155052E-2</v>
      </c>
      <c r="O54" s="40">
        <f t="shared" si="30"/>
        <v>6.3112544615374777E-7</v>
      </c>
      <c r="P54" s="40">
        <f t="shared" si="31"/>
        <v>1.1614312927696415E-4</v>
      </c>
      <c r="Q54" s="40">
        <f t="shared" si="32"/>
        <v>2.1449229236032083E-3</v>
      </c>
      <c r="R54" s="9">
        <f t="shared" si="12"/>
        <v>3.9999999999999996E-5</v>
      </c>
      <c r="S54" s="9">
        <f t="shared" si="13"/>
        <v>1.9503854099808052E-6</v>
      </c>
      <c r="T54" s="9">
        <f t="shared" si="10"/>
        <v>2.5221347960762083E-5</v>
      </c>
      <c r="U54" s="9">
        <f t="shared" si="11"/>
        <v>3.8049614590019191E-5</v>
      </c>
      <c r="V54" s="100">
        <f t="shared" si="14"/>
        <v>0.66285422947169359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5.9812805986470914E-3</v>
      </c>
      <c r="J55" s="54">
        <f t="shared" si="25"/>
        <v>0.678648535608118</v>
      </c>
      <c r="K55" s="55">
        <f t="shared" si="26"/>
        <v>0.98386638313399044</v>
      </c>
      <c r="L55" s="55">
        <f t="shared" si="27"/>
        <v>1.9726905795146516E-3</v>
      </c>
      <c r="M55" s="55">
        <f t="shared" si="28"/>
        <v>0.99802730942048534</v>
      </c>
      <c r="N55" s="55">
        <f t="shared" si="29"/>
        <v>5.7418271972685679E-4</v>
      </c>
      <c r="O55" s="56">
        <f t="shared" si="30"/>
        <v>9.8478972809405929E-7</v>
      </c>
      <c r="P55" s="56">
        <f t="shared" si="31"/>
        <v>4.6988550227572573E-6</v>
      </c>
      <c r="Q55" s="56">
        <f t="shared" si="32"/>
        <v>4.2873852550316626E-5</v>
      </c>
      <c r="R55" s="9">
        <f t="shared" si="12"/>
        <v>3.9999999999999996E-5</v>
      </c>
      <c r="S55" s="9">
        <f t="shared" si="13"/>
        <v>7.8907623180586051E-8</v>
      </c>
      <c r="T55" s="9">
        <f t="shared" si="10"/>
        <v>3.9354655325359614E-5</v>
      </c>
      <c r="U55" s="9">
        <f t="shared" si="11"/>
        <v>3.9921092376819409E-5</v>
      </c>
      <c r="V55" s="100">
        <f t="shared" si="14"/>
        <v>0.98581108337133827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200</v>
      </c>
      <c r="C56" s="46" t="s">
        <v>201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0.11910186422699467</v>
      </c>
      <c r="J56" s="54">
        <f t="shared" si="25"/>
        <v>2.0597542825278099</v>
      </c>
      <c r="K56" s="55">
        <f t="shared" si="26"/>
        <v>0.73290392959225514</v>
      </c>
      <c r="L56" s="55">
        <f t="shared" si="27"/>
        <v>3.5340740572645891E-2</v>
      </c>
      <c r="M56" s="55">
        <f t="shared" si="28"/>
        <v>0.96465925942735409</v>
      </c>
      <c r="N56" s="55">
        <f t="shared" si="29"/>
        <v>2.0762614789198455E-2</v>
      </c>
      <c r="O56" s="56">
        <f t="shared" si="30"/>
        <v>7.3359174976906429E-7</v>
      </c>
      <c r="P56" s="56">
        <f t="shared" si="31"/>
        <v>8.4179961151634297E-5</v>
      </c>
      <c r="Q56" s="56">
        <f t="shared" si="32"/>
        <v>1.5503310260792597E-3</v>
      </c>
      <c r="R56" s="9">
        <f t="shared" si="12"/>
        <v>3.9999999999999996E-5</v>
      </c>
      <c r="S56" s="9">
        <f t="shared" si="13"/>
        <v>1.4136296229058354E-6</v>
      </c>
      <c r="T56" s="9">
        <f t="shared" si="10"/>
        <v>2.9316157183690202E-5</v>
      </c>
      <c r="U56" s="9">
        <f t="shared" si="11"/>
        <v>3.858637037709416E-5</v>
      </c>
      <c r="V56" s="100">
        <f t="shared" si="14"/>
        <v>0.75975420588128217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3.4503381608646556E-2</v>
      </c>
      <c r="J57" s="54">
        <f t="shared" si="25"/>
        <v>1.435139969210834</v>
      </c>
      <c r="K57" s="55">
        <f t="shared" si="26"/>
        <v>0.91349709707342197</v>
      </c>
      <c r="L57" s="55">
        <f t="shared" si="27"/>
        <v>1.045493781501413E-2</v>
      </c>
      <c r="M57" s="55">
        <f t="shared" si="28"/>
        <v>0.98954506218498584</v>
      </c>
      <c r="N57" s="55">
        <f t="shared" si="29"/>
        <v>4.9981831706406923E-3</v>
      </c>
      <c r="O57" s="56">
        <f t="shared" si="30"/>
        <v>9.1435440143413568E-7</v>
      </c>
      <c r="P57" s="56">
        <f t="shared" si="31"/>
        <v>2.4903164021182001E-5</v>
      </c>
      <c r="Q57" s="56">
        <f t="shared" si="32"/>
        <v>3.732111067004301E-4</v>
      </c>
      <c r="R57" s="9">
        <f t="shared" si="12"/>
        <v>3.9999999999999996E-5</v>
      </c>
      <c r="S57" s="9">
        <f t="shared" si="13"/>
        <v>4.1819751260056515E-7</v>
      </c>
      <c r="T57" s="9">
        <f t="shared" si="10"/>
        <v>3.6539883882936877E-5</v>
      </c>
      <c r="U57" s="9">
        <f t="shared" si="11"/>
        <v>3.9581802487399427E-5</v>
      </c>
      <c r="V57" s="100">
        <f t="shared" si="14"/>
        <v>0.92314855783965555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143</v>
      </c>
      <c r="C58" s="46" t="s">
        <v>144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2.4527660835054643E-2</v>
      </c>
      <c r="J58" s="54">
        <f t="shared" si="25"/>
        <v>1.2530323770467107</v>
      </c>
      <c r="K58" s="55">
        <f t="shared" si="26"/>
        <v>0.93793172102499689</v>
      </c>
      <c r="L58" s="55">
        <f t="shared" si="27"/>
        <v>7.0579392235949083E-3</v>
      </c>
      <c r="M58" s="55">
        <f t="shared" si="28"/>
        <v>0.99294206077640512</v>
      </c>
      <c r="N58" s="55">
        <f t="shared" si="29"/>
        <v>2.8229177227600175E-3</v>
      </c>
      <c r="O58" s="56">
        <f t="shared" si="30"/>
        <v>9.3881195694152305E-7</v>
      </c>
      <c r="P58" s="56">
        <f t="shared" si="31"/>
        <v>1.6811675138259096E-5</v>
      </c>
      <c r="Q58" s="56">
        <f t="shared" si="32"/>
        <v>2.1078544172291216E-4</v>
      </c>
      <c r="R58" s="9">
        <f t="shared" si="12"/>
        <v>3.9999999999999996E-5</v>
      </c>
      <c r="S58" s="9">
        <f t="shared" si="13"/>
        <v>2.8231756894379632E-7</v>
      </c>
      <c r="T58" s="9">
        <f t="shared" si="10"/>
        <v>3.751726884099987E-5</v>
      </c>
      <c r="U58" s="9">
        <f t="shared" si="11"/>
        <v>3.9717682431056204E-5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145</v>
      </c>
      <c r="C59" s="46" t="s">
        <v>146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6.9959414880738915E-3</v>
      </c>
      <c r="J59" s="54">
        <f t="shared" si="25"/>
        <v>0.77181105160959218</v>
      </c>
      <c r="K59" s="55">
        <f t="shared" si="26"/>
        <v>0.98111294208770938</v>
      </c>
      <c r="L59" s="55">
        <f t="shared" si="27"/>
        <v>2.4378353454645217E-3</v>
      </c>
      <c r="M59" s="55">
        <f t="shared" si="28"/>
        <v>0.99756216465453551</v>
      </c>
      <c r="N59" s="55">
        <f t="shared" si="29"/>
        <v>9.3582792621634198E-4</v>
      </c>
      <c r="O59" s="56">
        <f t="shared" si="30"/>
        <v>9.8203370298153071E-7</v>
      </c>
      <c r="P59" s="56">
        <f t="shared" si="31"/>
        <v>5.8068077054990891E-6</v>
      </c>
      <c r="Q59" s="56">
        <f t="shared" si="32"/>
        <v>6.9877666364035899E-5</v>
      </c>
      <c r="R59" s="9">
        <f t="shared" si="12"/>
        <v>3.9999999999999996E-5</v>
      </c>
      <c r="S59" s="9">
        <f t="shared" si="13"/>
        <v>9.7513413818580856E-8</v>
      </c>
      <c r="T59" s="9">
        <f t="shared" si="10"/>
        <v>3.9244517683508371E-5</v>
      </c>
      <c r="U59" s="9">
        <f t="shared" si="11"/>
        <v>3.9902486586181414E-5</v>
      </c>
      <c r="V59" s="100">
        <f t="shared" si="14"/>
        <v>0.98351057893968674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147</v>
      </c>
      <c r="C60" s="46" t="s">
        <v>148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0.12885708410514962</v>
      </c>
      <c r="J60" s="54">
        <f t="shared" si="25"/>
        <v>2.1116158946803365</v>
      </c>
      <c r="K60" s="55">
        <f t="shared" si="26"/>
        <v>0.71405561379460669</v>
      </c>
      <c r="L60" s="55">
        <f t="shared" si="27"/>
        <v>3.8799153078474688E-2</v>
      </c>
      <c r="M60" s="55">
        <f t="shared" si="28"/>
        <v>0.9612008469215253</v>
      </c>
      <c r="N60" s="55">
        <f t="shared" si="29"/>
        <v>2.362637085652141E-2</v>
      </c>
      <c r="O60" s="56">
        <f t="shared" si="30"/>
        <v>7.1472574508835625E-7</v>
      </c>
      <c r="P60" s="56">
        <f t="shared" si="31"/>
        <v>9.241773505420871E-5</v>
      </c>
      <c r="Q60" s="56">
        <f t="shared" si="32"/>
        <v>1.7641658405942043E-3</v>
      </c>
      <c r="R60" s="9">
        <f t="shared" si="12"/>
        <v>3.9999999999999996E-5</v>
      </c>
      <c r="S60" s="9">
        <f t="shared" si="13"/>
        <v>1.5519661231389875E-6</v>
      </c>
      <c r="T60" s="9">
        <f t="shared" si="10"/>
        <v>2.8562224551784267E-5</v>
      </c>
      <c r="U60" s="9">
        <f t="shared" si="11"/>
        <v>3.8448033876861008E-5</v>
      </c>
      <c r="V60" s="100">
        <f t="shared" si="14"/>
        <v>0.74287867731446544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149</v>
      </c>
      <c r="C61" s="46" t="s">
        <v>150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0.54169315053805034</v>
      </c>
      <c r="J61" s="54">
        <f t="shared" si="25"/>
        <v>3.0728093485084504</v>
      </c>
      <c r="K61" s="55">
        <f t="shared" si="26"/>
        <v>0.25127940925019981</v>
      </c>
      <c r="L61" s="55">
        <f t="shared" si="27"/>
        <v>0.12486495474806933</v>
      </c>
      <c r="M61" s="55">
        <f t="shared" si="28"/>
        <v>0.87513504525193064</v>
      </c>
      <c r="N61" s="55">
        <f t="shared" si="29"/>
        <v>9.5570064959121084E-2</v>
      </c>
      <c r="O61" s="56">
        <f t="shared" si="30"/>
        <v>2.5151523149199774E-7</v>
      </c>
      <c r="P61" s="56">
        <f t="shared" si="31"/>
        <v>2.9742237625967515E-4</v>
      </c>
      <c r="Q61" s="56">
        <f t="shared" si="32"/>
        <v>7.1361549773401945E-3</v>
      </c>
      <c r="R61" s="9">
        <f t="shared" si="12"/>
        <v>3.9999999999999996E-5</v>
      </c>
      <c r="S61" s="9">
        <f t="shared" si="13"/>
        <v>4.9945981899227726E-6</v>
      </c>
      <c r="T61" s="9">
        <f t="shared" si="10"/>
        <v>1.0051176370007992E-5</v>
      </c>
      <c r="U61" s="9">
        <f t="shared" si="11"/>
        <v>3.5005401810077223E-5</v>
      </c>
      <c r="V61" s="100">
        <f t="shared" si="14"/>
        <v>0.28713215247580726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151</v>
      </c>
      <c r="C62" s="46" t="s">
        <v>152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1.2755126419323455</v>
      </c>
      <c r="J62" s="54">
        <f t="shared" si="25"/>
        <v>4.0189102052984715</v>
      </c>
      <c r="K62" s="55">
        <f t="shared" si="26"/>
        <v>4.2996505722923517E-2</v>
      </c>
      <c r="L62" s="55">
        <f t="shared" si="27"/>
        <v>0.18871989268590916</v>
      </c>
      <c r="M62" s="55">
        <f t="shared" si="28"/>
        <v>0.81128010731409084</v>
      </c>
      <c r="N62" s="55">
        <f t="shared" si="29"/>
        <v>0.1634926153616128</v>
      </c>
      <c r="O62" s="56">
        <f t="shared" si="30"/>
        <v>4.3036857347433116E-8</v>
      </c>
      <c r="P62" s="56">
        <f t="shared" si="31"/>
        <v>4.4952179771627941E-4</v>
      </c>
      <c r="Q62" s="56">
        <f t="shared" si="32"/>
        <v>1.2207887913126192E-2</v>
      </c>
      <c r="R62" s="9">
        <f t="shared" si="12"/>
        <v>3.9999999999999996E-5</v>
      </c>
      <c r="S62" s="9">
        <f t="shared" si="13"/>
        <v>7.5487957074363662E-6</v>
      </c>
      <c r="T62" s="9">
        <f t="shared" si="10"/>
        <v>1.7198602289169405E-6</v>
      </c>
      <c r="U62" s="9">
        <f t="shared" si="11"/>
        <v>3.2451204292563631E-5</v>
      </c>
      <c r="V62" s="100">
        <f t="shared" si="14"/>
        <v>5.2998348332824609E-2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153</v>
      </c>
      <c r="C63" s="46" t="s">
        <v>154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2.3278344887119857</v>
      </c>
      <c r="J63" s="54">
        <f t="shared" si="25"/>
        <v>5.1671582969725547</v>
      </c>
      <c r="K63" s="55">
        <f t="shared" si="26"/>
        <v>3.6417607281345812E-3</v>
      </c>
      <c r="L63" s="55">
        <f t="shared" si="27"/>
        <v>0.22487647163545871</v>
      </c>
      <c r="M63" s="55">
        <f t="shared" si="28"/>
        <v>0.77512352836454124</v>
      </c>
      <c r="N63" s="55">
        <f t="shared" si="29"/>
        <v>0.2104148501232016</v>
      </c>
      <c r="O63" s="56">
        <f t="shared" si="30"/>
        <v>3.6451784700879033E-9</v>
      </c>
      <c r="P63" s="56">
        <f t="shared" si="31"/>
        <v>5.3564504703225153E-4</v>
      </c>
      <c r="Q63" s="56">
        <f t="shared" si="32"/>
        <v>1.5711540853877694E-2</v>
      </c>
      <c r="R63" s="9">
        <f t="shared" si="12"/>
        <v>3.9999999999999996E-5</v>
      </c>
      <c r="S63" s="9">
        <f t="shared" si="13"/>
        <v>8.9950588654183477E-6</v>
      </c>
      <c r="T63" s="9">
        <f t="shared" si="10"/>
        <v>1.4567042912538324E-7</v>
      </c>
      <c r="U63" s="9">
        <f t="shared" si="11"/>
        <v>3.1004941134581647E-5</v>
      </c>
      <c r="V63" s="100">
        <f t="shared" si="14"/>
        <v>4.6982972324662274E-3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155</v>
      </c>
      <c r="C64" s="46" t="s">
        <v>156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1.6404345211947193</v>
      </c>
      <c r="J64" s="54">
        <f t="shared" si="25"/>
        <v>4.4282245597152992</v>
      </c>
      <c r="K64" s="55">
        <f t="shared" si="26"/>
        <v>1.8187741780592834E-2</v>
      </c>
      <c r="L64" s="55">
        <f t="shared" si="27"/>
        <v>0.20486966281142316</v>
      </c>
      <c r="M64" s="55">
        <f t="shared" si="28"/>
        <v>0.79513033718857684</v>
      </c>
      <c r="N64" s="55">
        <f t="shared" si="29"/>
        <v>0.18367233981064279</v>
      </c>
      <c r="O64" s="56">
        <f t="shared" si="30"/>
        <v>1.8204810724095762E-8</v>
      </c>
      <c r="P64" s="56">
        <f t="shared" si="31"/>
        <v>4.8798978111858104E-4</v>
      </c>
      <c r="Q64" s="56">
        <f t="shared" si="32"/>
        <v>1.3714694894265061E-2</v>
      </c>
      <c r="R64" s="9">
        <f t="shared" si="12"/>
        <v>3.9999999999999996E-5</v>
      </c>
      <c r="S64" s="9">
        <f t="shared" si="13"/>
        <v>8.1947865124569252E-6</v>
      </c>
      <c r="T64" s="9">
        <f t="shared" si="10"/>
        <v>7.2750967122371332E-7</v>
      </c>
      <c r="U64" s="9">
        <f t="shared" si="11"/>
        <v>3.1805213487543071E-5</v>
      </c>
      <c r="V64" s="100">
        <f t="shared" si="14"/>
        <v>2.2873912527222998E-2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157</v>
      </c>
      <c r="C65" s="46" t="s">
        <v>158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1.3777282566754774</v>
      </c>
      <c r="J65" s="54">
        <f t="shared" si="25"/>
        <v>4.1354611831278669</v>
      </c>
      <c r="K65" s="55">
        <f t="shared" si="26"/>
        <v>3.3765696107553832E-2</v>
      </c>
      <c r="L65" s="55">
        <f t="shared" si="27"/>
        <v>0.19382562981650772</v>
      </c>
      <c r="M65" s="55">
        <f t="shared" si="28"/>
        <v>0.80617437018349225</v>
      </c>
      <c r="N65" s="55">
        <f t="shared" si="29"/>
        <v>0.1697229947691774</v>
      </c>
      <c r="O65" s="56">
        <f t="shared" si="30"/>
        <v>3.3797384745217024E-8</v>
      </c>
      <c r="P65" s="56">
        <f t="shared" si="31"/>
        <v>4.6168342043102556E-4</v>
      </c>
      <c r="Q65" s="56">
        <f t="shared" si="32"/>
        <v>1.267310631638905E-2</v>
      </c>
      <c r="R65" s="9">
        <f t="shared" si="12"/>
        <v>3.9999999999999996E-5</v>
      </c>
      <c r="S65" s="9">
        <f t="shared" si="13"/>
        <v>7.7530251926603088E-6</v>
      </c>
      <c r="T65" s="9">
        <f t="shared" si="10"/>
        <v>1.3506278443021532E-6</v>
      </c>
      <c r="U65" s="9">
        <f t="shared" si="11"/>
        <v>3.2246974807339689E-5</v>
      </c>
      <c r="V65" s="100">
        <f t="shared" si="14"/>
        <v>4.1883862048192465E-2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159</v>
      </c>
      <c r="C66" s="46" t="s">
        <v>160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1.6404345211947193</v>
      </c>
      <c r="J66" s="54">
        <f t="shared" si="25"/>
        <v>4.4282245597152992</v>
      </c>
      <c r="K66" s="55">
        <f t="shared" si="26"/>
        <v>1.8187741780592834E-2</v>
      </c>
      <c r="L66" s="55">
        <f t="shared" si="27"/>
        <v>0.20486966281142316</v>
      </c>
      <c r="M66" s="55">
        <f t="shared" si="28"/>
        <v>0.79513033718857684</v>
      </c>
      <c r="N66" s="55">
        <f t="shared" si="29"/>
        <v>0.18367233981064279</v>
      </c>
      <c r="O66" s="56">
        <f t="shared" si="30"/>
        <v>1.8204810724095762E-8</v>
      </c>
      <c r="P66" s="56">
        <f t="shared" si="31"/>
        <v>4.8798978111858104E-4</v>
      </c>
      <c r="Q66" s="56">
        <f t="shared" si="32"/>
        <v>1.3714694894265061E-2</v>
      </c>
      <c r="R66" s="9">
        <f t="shared" si="12"/>
        <v>3.9999999999999996E-5</v>
      </c>
      <c r="S66" s="9">
        <f t="shared" si="13"/>
        <v>8.1947865124569252E-6</v>
      </c>
      <c r="T66" s="9">
        <f t="shared" si="10"/>
        <v>7.2750967122371332E-7</v>
      </c>
      <c r="U66" s="9">
        <f t="shared" si="11"/>
        <v>3.1805213487543071E-5</v>
      </c>
      <c r="V66" s="100">
        <f t="shared" si="14"/>
        <v>2.2873912527222998E-2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113</v>
      </c>
      <c r="C67" s="46" t="s">
        <v>114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-1.8635683569884906E-4</v>
      </c>
      <c r="J67" s="54">
        <f t="shared" si="25"/>
        <v>-4.9749784336411765E-2</v>
      </c>
      <c r="K67" s="55">
        <f t="shared" si="26"/>
        <v>0.99953644404993436</v>
      </c>
      <c r="L67" s="55">
        <f t="shared" si="27"/>
        <v>3.7456152316075011E-4</v>
      </c>
      <c r="M67" s="55">
        <f t="shared" si="28"/>
        <v>0.99962543847683927</v>
      </c>
      <c r="N67" s="55">
        <f t="shared" si="29"/>
        <v>3.9860601266233363E-7</v>
      </c>
      <c r="O67" s="56">
        <f t="shared" si="30"/>
        <v>1.0004744951449203E-6</v>
      </c>
      <c r="P67" s="56">
        <f t="shared" si="31"/>
        <v>8.921877119058992E-7</v>
      </c>
      <c r="Q67" s="56">
        <f t="shared" si="32"/>
        <v>2.9763653320469611E-8</v>
      </c>
      <c r="R67" s="9">
        <f t="shared" si="12"/>
        <v>3.9999999999999996E-5</v>
      </c>
      <c r="S67" s="9">
        <f t="shared" si="13"/>
        <v>1.4982460926430003E-8</v>
      </c>
      <c r="T67" s="9">
        <f t="shared" si="10"/>
        <v>3.9981457761997371E-5</v>
      </c>
      <c r="U67" s="9">
        <f t="shared" si="11"/>
        <v>3.9985017539073564E-5</v>
      </c>
      <c r="V67" s="100">
        <f t="shared" si="14"/>
        <v>0.99991097222671677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115</v>
      </c>
      <c r="C68" s="46" t="s">
        <v>116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1.7268855172909561</v>
      </c>
      <c r="J68" s="54">
        <f t="shared" si="25"/>
        <v>4.4318380891863303</v>
      </c>
      <c r="K68" s="55">
        <f t="shared" si="26"/>
        <v>1.545467457548204E-2</v>
      </c>
      <c r="L68" s="55">
        <f t="shared" si="27"/>
        <v>0.17553845318033592</v>
      </c>
      <c r="M68" s="55">
        <f t="shared" si="28"/>
        <v>0.8244615468196641</v>
      </c>
      <c r="N68" s="55">
        <f t="shared" si="29"/>
        <v>0.14187532224672644</v>
      </c>
      <c r="O68" s="56">
        <f t="shared" si="30"/>
        <v>1.5469178573304716E-8</v>
      </c>
      <c r="P68" s="56">
        <f t="shared" si="31"/>
        <v>4.1812423650159947E-4</v>
      </c>
      <c r="Q68" s="56">
        <f t="shared" si="32"/>
        <v>1.0593738608902082E-2</v>
      </c>
      <c r="R68" s="9">
        <f t="shared" si="12"/>
        <v>3.9999999999999996E-5</v>
      </c>
      <c r="S68" s="9">
        <f t="shared" si="13"/>
        <v>7.0215381272134366E-6</v>
      </c>
      <c r="T68" s="9">
        <f t="shared" si="10"/>
        <v>6.1818698301928151E-7</v>
      </c>
      <c r="U68" s="9">
        <f t="shared" si="11"/>
        <v>3.297846187278656E-5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117</v>
      </c>
      <c r="C69" s="46" t="s">
        <v>118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5.7919228101834593E-2</v>
      </c>
      <c r="J69" s="54">
        <f t="shared" si="25"/>
        <v>1.6845900491093684</v>
      </c>
      <c r="K69" s="55">
        <f t="shared" si="26"/>
        <v>0.8594132399107689</v>
      </c>
      <c r="L69" s="55">
        <f t="shared" si="27"/>
        <v>1.7468933934103464E-2</v>
      </c>
      <c r="M69" s="55">
        <f t="shared" si="28"/>
        <v>0.98253106606589657</v>
      </c>
      <c r="N69" s="55">
        <f t="shared" si="29"/>
        <v>9.0984417471865944E-3</v>
      </c>
      <c r="O69" s="56">
        <f t="shared" si="30"/>
        <v>8.602197873213638E-7</v>
      </c>
      <c r="P69" s="56">
        <f t="shared" si="31"/>
        <v>4.1610168777037576E-5</v>
      </c>
      <c r="Q69" s="56">
        <f t="shared" si="32"/>
        <v>6.7937476434694831E-4</v>
      </c>
      <c r="R69" s="9">
        <f t="shared" si="12"/>
        <v>3.9999999999999996E-5</v>
      </c>
      <c r="S69" s="9">
        <f t="shared" si="13"/>
        <v>6.987573573641385E-7</v>
      </c>
      <c r="T69" s="9">
        <f t="shared" si="10"/>
        <v>3.4376529596430753E-5</v>
      </c>
      <c r="U69" s="9">
        <f t="shared" si="11"/>
        <v>3.9301242642635858E-5</v>
      </c>
      <c r="V69" s="100">
        <f t="shared" si="14"/>
        <v>0.87469319759211528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111</v>
      </c>
      <c r="C70" s="46" t="s">
        <v>112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0.45156382049297444</v>
      </c>
      <c r="J70" s="54">
        <f t="shared" si="25"/>
        <v>2.9264404342876054</v>
      </c>
      <c r="K70" s="55">
        <f t="shared" si="26"/>
        <v>0.31399545873225287</v>
      </c>
      <c r="L70" s="55">
        <f t="shared" si="27"/>
        <v>0.11138792519762454</v>
      </c>
      <c r="M70" s="55">
        <f t="shared" si="28"/>
        <v>0.88861207480237547</v>
      </c>
      <c r="N70" s="55">
        <f t="shared" si="29"/>
        <v>8.3254432204367193E-2</v>
      </c>
      <c r="O70" s="56">
        <f t="shared" si="30"/>
        <v>3.14290139116983E-7</v>
      </c>
      <c r="P70" s="56">
        <f t="shared" si="31"/>
        <v>2.6532073363382756E-4</v>
      </c>
      <c r="Q70" s="56">
        <f t="shared" si="32"/>
        <v>6.2165546399382777E-3</v>
      </c>
      <c r="R70" s="9">
        <f t="shared" si="12"/>
        <v>3.9999999999999996E-5</v>
      </c>
      <c r="S70" s="9">
        <f t="shared" si="13"/>
        <v>4.4555170079049813E-6</v>
      </c>
      <c r="T70" s="9">
        <f t="shared" si="10"/>
        <v>1.2559818349290115E-5</v>
      </c>
      <c r="U70" s="9">
        <f t="shared" si="11"/>
        <v>3.5544482992095013E-5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119</v>
      </c>
      <c r="C71" s="46" t="s">
        <v>120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2.9114243406645763</v>
      </c>
      <c r="J71" s="54">
        <f t="shared" ref="J71:J122" si="34">IF(D71=0,"",LOG($K$21*10^D71+$K$22*10^E71+$K$20))</f>
        <v>5.6317189226525786</v>
      </c>
      <c r="K71" s="55">
        <f t="shared" ref="K71:K122" si="35">IF(D71=0,"",1/(1+10^D71*$J$15/$J$14+10^E71*$J$16/$J$14+10^J71*$J$19/$J$14))</f>
        <v>1.0041264560127659E-3</v>
      </c>
      <c r="L71" s="55">
        <f t="shared" ref="L71:L122" si="36">IF(D71=0,"",1/(1+10^I71/10^J71*$J$13/$J$19))</f>
        <v>0.18070977517628187</v>
      </c>
      <c r="M71" s="55">
        <f t="shared" si="19"/>
        <v>0.81929022482371816</v>
      </c>
      <c r="N71" s="55">
        <f t="shared" ref="N71:N122" si="37">IF(D71=0,"",1/(1/10^E71*$J$20/$J$22+10^D71/10^E71*$J$21/$J$22+10^I71/10^E71*$J$13/$J$22+1))</f>
        <v>0.14763638615684149</v>
      </c>
      <c r="O71" s="56">
        <f t="shared" si="21"/>
        <v>1.0050688147703421E-9</v>
      </c>
      <c r="P71" s="56">
        <f t="shared" ref="P71:P122" si="38">IF(D71=0,"",O71*10^J71)</f>
        <v>4.3044207924251442E-4</v>
      </c>
      <c r="Q71" s="56">
        <f t="shared" ref="Q71:Q122" si="39">IF(D71=0,"",F71*N71*$J$7/$J$22)</f>
        <v>1.1023913527319552E-2</v>
      </c>
      <c r="R71" s="9">
        <f t="shared" si="12"/>
        <v>3.9999999999999996E-5</v>
      </c>
      <c r="S71" s="9">
        <f t="shared" si="13"/>
        <v>7.2283910070512737E-6</v>
      </c>
      <c r="T71" s="9">
        <f t="shared" si="10"/>
        <v>4.0165058240510633E-8</v>
      </c>
      <c r="U71" s="9">
        <f t="shared" si="11"/>
        <v>3.2771608992948723E-5</v>
      </c>
      <c r="V71" s="100">
        <f t="shared" si="14"/>
        <v>1.2256053173694559E-3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121</v>
      </c>
      <c r="C72" s="46" t="s">
        <v>122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2.4659786116205753</v>
      </c>
      <c r="J72" s="54">
        <f t="shared" si="34"/>
        <v>5.1469287331716504</v>
      </c>
      <c r="K72" s="55">
        <f t="shared" si="35"/>
        <v>2.8450196780138858E-3</v>
      </c>
      <c r="L72" s="55">
        <f t="shared" si="36"/>
        <v>0.16768272420972741</v>
      </c>
      <c r="M72" s="55">
        <f t="shared" si="19"/>
        <v>0.83231727579027259</v>
      </c>
      <c r="N72" s="55">
        <f t="shared" si="37"/>
        <v>0.12940178611723333</v>
      </c>
      <c r="O72" s="56">
        <f t="shared" si="21"/>
        <v>2.847689689537832E-9</v>
      </c>
      <c r="P72" s="56">
        <f t="shared" si="38"/>
        <v>3.99412264175942E-4</v>
      </c>
      <c r="Q72" s="56">
        <f t="shared" si="39"/>
        <v>9.6623477285716231E-3</v>
      </c>
      <c r="R72" s="9">
        <f t="shared" si="12"/>
        <v>3.9999999999999996E-5</v>
      </c>
      <c r="S72" s="9">
        <f t="shared" si="13"/>
        <v>6.7073089683890961E-6</v>
      </c>
      <c r="T72" s="9">
        <f t="shared" si="10"/>
        <v>1.1380078712055542E-7</v>
      </c>
      <c r="U72" s="9">
        <f t="shared" si="11"/>
        <v>3.32926910316109E-5</v>
      </c>
      <c r="V72" s="100">
        <f t="shared" si="14"/>
        <v>3.4181913084918043E-3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123</v>
      </c>
      <c r="C73" s="46" t="s">
        <v>124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2.4593424067669152</v>
      </c>
      <c r="J73" s="54">
        <f t="shared" si="34"/>
        <v>5.1667621736278413</v>
      </c>
      <c r="K73" s="55">
        <f t="shared" si="35"/>
        <v>2.8587019120525289E-3</v>
      </c>
      <c r="L73" s="55">
        <f t="shared" si="36"/>
        <v>0.176362139606588</v>
      </c>
      <c r="M73" s="55">
        <f t="shared" si="19"/>
        <v>0.82363786039341202</v>
      </c>
      <c r="N73" s="55">
        <f t="shared" si="37"/>
        <v>0.14168434553445933</v>
      </c>
      <c r="O73" s="56">
        <f t="shared" si="21"/>
        <v>2.8613847641634275E-9</v>
      </c>
      <c r="P73" s="56">
        <f t="shared" si="38"/>
        <v>4.2008621834576846E-4</v>
      </c>
      <c r="Q73" s="56">
        <f t="shared" si="39"/>
        <v>1.0579478501237782E-2</v>
      </c>
      <c r="R73" s="9">
        <f t="shared" si="12"/>
        <v>3.9999999999999996E-5</v>
      </c>
      <c r="S73" s="9">
        <f t="shared" si="13"/>
        <v>7.0544855842635198E-6</v>
      </c>
      <c r="T73" s="9">
        <f t="shared" si="10"/>
        <v>1.1434807648210115E-7</v>
      </c>
      <c r="U73" s="9">
        <f t="shared" si="11"/>
        <v>3.2945514415736479E-5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125</v>
      </c>
      <c r="C74" s="46" t="s">
        <v>126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0.12015758400049081</v>
      </c>
      <c r="J74" s="54">
        <f t="shared" si="34"/>
        <v>2.03023552063889</v>
      </c>
      <c r="K74" s="55">
        <f t="shared" si="35"/>
        <v>0.73288520244974464</v>
      </c>
      <c r="L74" s="55">
        <f t="shared" si="36"/>
        <v>3.3017621669561056E-2</v>
      </c>
      <c r="M74" s="55">
        <f t="shared" si="19"/>
        <v>0.96698237833043899</v>
      </c>
      <c r="N74" s="55">
        <f t="shared" si="37"/>
        <v>1.747346157567432E-2</v>
      </c>
      <c r="O74" s="56">
        <f t="shared" si="21"/>
        <v>7.335730050513902E-7</v>
      </c>
      <c r="P74" s="56">
        <f t="shared" si="38"/>
        <v>7.8646402549195914E-5</v>
      </c>
      <c r="Q74" s="56">
        <f t="shared" si="39"/>
        <v>1.3047320816193539E-3</v>
      </c>
      <c r="R74" s="9">
        <f t="shared" si="12"/>
        <v>3.9999999999999996E-5</v>
      </c>
      <c r="S74" s="9">
        <f t="shared" si="13"/>
        <v>1.3207048667824422E-6</v>
      </c>
      <c r="T74" s="9">
        <f t="shared" si="10"/>
        <v>2.9315408097989785E-5</v>
      </c>
      <c r="U74" s="9">
        <f t="shared" si="11"/>
        <v>3.8679295133217554E-5</v>
      </c>
      <c r="V74" s="100">
        <f t="shared" si="14"/>
        <v>0.757909574024628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1.0613094291357716</v>
      </c>
      <c r="J75" s="54">
        <f t="shared" si="34"/>
        <v>3.7676067300109843</v>
      </c>
      <c r="K75" s="55">
        <f t="shared" si="35"/>
        <v>7.1515404547405251E-2</v>
      </c>
      <c r="L75" s="55">
        <f t="shared" si="36"/>
        <v>0.17598702223505686</v>
      </c>
      <c r="M75" s="55">
        <f t="shared" si="19"/>
        <v>0.8240129777649432</v>
      </c>
      <c r="N75" s="55">
        <f t="shared" si="37"/>
        <v>0.14854723708188206</v>
      </c>
      <c r="O75" s="56">
        <f t="shared" si="21"/>
        <v>7.1582520763070428E-8</v>
      </c>
      <c r="P75" s="56">
        <f t="shared" si="38"/>
        <v>4.1919270662951351E-4</v>
      </c>
      <c r="Q75" s="56">
        <f t="shared" si="39"/>
        <v>1.1091926177150057E-2</v>
      </c>
      <c r="R75" s="9">
        <f t="shared" si="12"/>
        <v>3.9999999999999996E-5</v>
      </c>
      <c r="S75" s="9">
        <f t="shared" si="13"/>
        <v>7.0394808894022734E-6</v>
      </c>
      <c r="T75" s="9">
        <f t="shared" si="10"/>
        <v>2.8606161818962099E-6</v>
      </c>
      <c r="U75" s="9">
        <f t="shared" si="11"/>
        <v>3.2960519110597725E-5</v>
      </c>
      <c r="V75" s="100">
        <f t="shared" si="14"/>
        <v>8.6789172594567601E-2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127</v>
      </c>
      <c r="C76" s="46" t="s">
        <v>128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1.080392983851221</v>
      </c>
      <c r="J76" s="54">
        <f t="shared" si="34"/>
        <v>3.7264296384905324</v>
      </c>
      <c r="K76" s="55">
        <f t="shared" si="35"/>
        <v>7.0037864655726048E-2</v>
      </c>
      <c r="L76" s="55">
        <f t="shared" si="36"/>
        <v>0.15676057520454786</v>
      </c>
      <c r="M76" s="55">
        <f t="shared" si="19"/>
        <v>0.84323942479545211</v>
      </c>
      <c r="N76" s="55">
        <f t="shared" si="37"/>
        <v>0.1211833329651144</v>
      </c>
      <c r="O76" s="56">
        <f t="shared" si="21"/>
        <v>7.0103594220687764E-8</v>
      </c>
      <c r="P76" s="56">
        <f t="shared" si="38"/>
        <v>3.733962253479377E-4</v>
      </c>
      <c r="Q76" s="56">
        <f t="shared" si="39"/>
        <v>9.0486811438244327E-3</v>
      </c>
      <c r="R76" s="9">
        <f t="shared" si="12"/>
        <v>3.9999999999999996E-5</v>
      </c>
      <c r="S76" s="9">
        <f t="shared" si="13"/>
        <v>6.2704230081819136E-6</v>
      </c>
      <c r="T76" s="9">
        <f t="shared" si="10"/>
        <v>2.8015145862290415E-6</v>
      </c>
      <c r="U76" s="9">
        <f t="shared" si="11"/>
        <v>3.3729576991818082E-5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129</v>
      </c>
      <c r="C77" s="46" t="s">
        <v>130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0.16668848098518507</v>
      </c>
      <c r="J77" s="54">
        <f t="shared" si="34"/>
        <v>2.2690970019934102</v>
      </c>
      <c r="K77" s="55">
        <f t="shared" si="35"/>
        <v>0.64652967510191317</v>
      </c>
      <c r="L77" s="55">
        <f t="shared" si="36"/>
        <v>5.0484699854150772E-2</v>
      </c>
      <c r="M77" s="55">
        <f t="shared" si="19"/>
        <v>0.94951530014584917</v>
      </c>
      <c r="N77" s="55">
        <f t="shared" si="37"/>
        <v>3.2889135619727727E-2</v>
      </c>
      <c r="O77" s="56">
        <f t="shared" si="21"/>
        <v>6.4713643423839143E-7</v>
      </c>
      <c r="P77" s="56">
        <f t="shared" si="38"/>
        <v>1.2025215101926079E-4</v>
      </c>
      <c r="Q77" s="56">
        <f t="shared" si="39"/>
        <v>2.4558104983346779E-3</v>
      </c>
      <c r="R77" s="9">
        <f t="shared" si="12"/>
        <v>3.9999999999999996E-5</v>
      </c>
      <c r="S77" s="9">
        <f t="shared" si="13"/>
        <v>2.0193879941660307E-6</v>
      </c>
      <c r="T77" s="9">
        <f t="shared" si="10"/>
        <v>2.5861187004076526E-5</v>
      </c>
      <c r="U77" s="9">
        <f t="shared" si="11"/>
        <v>3.7980612005833963E-5</v>
      </c>
      <c r="V77" s="100">
        <f t="shared" si="14"/>
        <v>0.6809049575110625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0.26960058474961784</v>
      </c>
      <c r="J78" s="54">
        <f t="shared" si="34"/>
        <v>2.5945811280852147</v>
      </c>
      <c r="K78" s="55">
        <f t="shared" si="35"/>
        <v>0.49344779558688234</v>
      </c>
      <c r="L78" s="55">
        <f t="shared" si="36"/>
        <v>8.1526097594632654E-2</v>
      </c>
      <c r="M78" s="55">
        <f t="shared" si="19"/>
        <v>0.9184739024053673</v>
      </c>
      <c r="N78" s="55">
        <f t="shared" si="37"/>
        <v>6.0326233317116847E-2</v>
      </c>
      <c r="O78" s="56">
        <f t="shared" si="21"/>
        <v>4.9391088950179074E-7</v>
      </c>
      <c r="P78" s="56">
        <f t="shared" si="38"/>
        <v>1.9419128227529146E-4</v>
      </c>
      <c r="Q78" s="56">
        <f t="shared" si="39"/>
        <v>4.5045208490155277E-3</v>
      </c>
      <c r="R78" s="9">
        <f t="shared" si="12"/>
        <v>3.9999999999999996E-5</v>
      </c>
      <c r="S78" s="9">
        <f t="shared" si="13"/>
        <v>3.2610439037853057E-6</v>
      </c>
      <c r="T78" s="9">
        <f t="shared" si="10"/>
        <v>1.9737911823475294E-5</v>
      </c>
      <c r="U78" s="9">
        <f t="shared" si="11"/>
        <v>3.6738956096214691E-5</v>
      </c>
      <c r="V78" s="100">
        <f t="shared" si="14"/>
        <v>0.53724748661296173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131</v>
      </c>
      <c r="C79" s="46" t="s">
        <v>132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2.5374746618878143</v>
      </c>
      <c r="K79" s="55">
        <f t="shared" si="35"/>
        <v>0.45738133664545944</v>
      </c>
      <c r="L79" s="55">
        <f t="shared" si="36"/>
        <v>6.6256335829403823E-2</v>
      </c>
      <c r="M79" s="55">
        <f t="shared" si="19"/>
        <v>0.93374366417059618</v>
      </c>
      <c r="N79" s="55">
        <f t="shared" si="37"/>
        <v>3.4836012331574219E-2</v>
      </c>
      <c r="O79" s="56">
        <f t="shared" si="21"/>
        <v>4.578105826886832E-7</v>
      </c>
      <c r="P79" s="56">
        <f t="shared" si="38"/>
        <v>1.5781943688202897E-4</v>
      </c>
      <c r="Q79" s="56">
        <f t="shared" si="39"/>
        <v>2.6011825240150385E-3</v>
      </c>
      <c r="R79" s="9">
        <f t="shared" si="12"/>
        <v>3.9999999999999996E-5</v>
      </c>
      <c r="S79" s="9">
        <f t="shared" si="13"/>
        <v>2.6502534331761526E-6</v>
      </c>
      <c r="T79" s="9">
        <f t="shared" si="10"/>
        <v>1.8295253465818375E-5</v>
      </c>
      <c r="U79" s="9">
        <f t="shared" si="11"/>
        <v>3.7349746566823842E-5</v>
      </c>
      <c r="V79" s="100">
        <f t="shared" si="14"/>
        <v>0.48983608049617272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133</v>
      </c>
      <c r="C80" s="46" t="s">
        <v>134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2.6178158804762943</v>
      </c>
      <c r="K80" s="55">
        <f t="shared" si="35"/>
        <v>0.40751433116061742</v>
      </c>
      <c r="L80" s="55">
        <f t="shared" si="36"/>
        <v>7.1028571434458038E-2</v>
      </c>
      <c r="M80" s="55">
        <f t="shared" si="19"/>
        <v>0.92897142856554193</v>
      </c>
      <c r="N80" s="55">
        <f t="shared" si="37"/>
        <v>3.6218368455901352E-2</v>
      </c>
      <c r="O80" s="56">
        <f t="shared" si="21"/>
        <v>4.0789677771055895E-7</v>
      </c>
      <c r="P80" s="56">
        <f t="shared" si="38"/>
        <v>1.6918667484395366E-4</v>
      </c>
      <c r="Q80" s="56">
        <f t="shared" si="39"/>
        <v>2.7044021623117507E-3</v>
      </c>
      <c r="R80" s="9">
        <f t="shared" si="12"/>
        <v>3.9999999999999996E-5</v>
      </c>
      <c r="S80" s="9">
        <f t="shared" si="13"/>
        <v>2.841142857378321E-6</v>
      </c>
      <c r="T80" s="9">
        <f t="shared" si="10"/>
        <v>1.6300573246424694E-5</v>
      </c>
      <c r="U80" s="9">
        <f t="shared" si="11"/>
        <v>3.7158857142621676E-5</v>
      </c>
      <c r="V80" s="100">
        <f t="shared" si="14"/>
        <v>0.43867262073912744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135</v>
      </c>
      <c r="C81" s="46" t="s">
        <v>136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1.4796577057346774</v>
      </c>
      <c r="J81" s="54">
        <f t="shared" si="34"/>
        <v>4.2142679595923802</v>
      </c>
      <c r="K81" s="55">
        <f t="shared" si="35"/>
        <v>2.6973225610130418E-2</v>
      </c>
      <c r="L81" s="55">
        <f t="shared" si="36"/>
        <v>0.18564153798163893</v>
      </c>
      <c r="M81" s="55">
        <f t="shared" si="19"/>
        <v>0.81435846201836104</v>
      </c>
      <c r="N81" s="55">
        <f t="shared" si="37"/>
        <v>0.15741129116122932</v>
      </c>
      <c r="O81" s="56">
        <f t="shared" si="21"/>
        <v>2.6998539608403829E-8</v>
      </c>
      <c r="P81" s="56">
        <f t="shared" si="38"/>
        <v>4.421893033990271E-4</v>
      </c>
      <c r="Q81" s="56">
        <f t="shared" si="39"/>
        <v>1.1753799365839458E-2</v>
      </c>
      <c r="R81" s="9">
        <f t="shared" si="12"/>
        <v>3.9999999999999996E-5</v>
      </c>
      <c r="S81" s="9">
        <f t="shared" si="13"/>
        <v>7.4256615192655564E-6</v>
      </c>
      <c r="T81" s="9">
        <f t="shared" si="10"/>
        <v>1.0789290244052167E-6</v>
      </c>
      <c r="U81" s="9">
        <f t="shared" si="11"/>
        <v>3.2574338480734438E-5</v>
      </c>
      <c r="V81" s="100">
        <f t="shared" si="14"/>
        <v>3.312205480529809E-2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137</v>
      </c>
      <c r="C82" s="46" t="s">
        <v>138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3.9177203460984957</v>
      </c>
      <c r="K82" s="55">
        <f t="shared" si="35"/>
        <v>4.7027203889689596E-2</v>
      </c>
      <c r="L82" s="55">
        <f t="shared" si="36"/>
        <v>0.16350981112167187</v>
      </c>
      <c r="M82" s="55">
        <f t="shared" si="19"/>
        <v>0.83649018887832816</v>
      </c>
      <c r="N82" s="55">
        <f t="shared" si="37"/>
        <v>0.12825525066883206</v>
      </c>
      <c r="O82" s="56">
        <f t="shared" si="21"/>
        <v>4.707133826854637E-8</v>
      </c>
      <c r="P82" s="56">
        <f t="shared" si="38"/>
        <v>3.8947258391034063E-4</v>
      </c>
      <c r="Q82" s="56">
        <f t="shared" si="39"/>
        <v>9.5767366677200309E-3</v>
      </c>
      <c r="R82" s="9">
        <f t="shared" si="12"/>
        <v>3.9999999999999996E-5</v>
      </c>
      <c r="S82" s="9">
        <f t="shared" si="13"/>
        <v>6.5403924448668741E-6</v>
      </c>
      <c r="T82" s="9">
        <f t="shared" si="10"/>
        <v>1.8810881555875838E-6</v>
      </c>
      <c r="U82" s="9">
        <f t="shared" si="11"/>
        <v>3.3459607555133122E-5</v>
      </c>
      <c r="V82" s="100">
        <f t="shared" si="14"/>
        <v>5.6219671808404134E-2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0.14841008082679896</v>
      </c>
      <c r="J83" s="54">
        <f t="shared" si="34"/>
        <v>2.2125616665002772</v>
      </c>
      <c r="K83" s="55">
        <f t="shared" si="35"/>
        <v>0.67720409498551137</v>
      </c>
      <c r="L83" s="55">
        <f t="shared" si="36"/>
        <v>4.6425389417954092E-2</v>
      </c>
      <c r="M83" s="55">
        <f t="shared" si="19"/>
        <v>0.95357461058204596</v>
      </c>
      <c r="N83" s="55">
        <f t="shared" si="37"/>
        <v>3.0448687141533173E-2</v>
      </c>
      <c r="O83" s="56">
        <f t="shared" si="21"/>
        <v>6.7783964163977469E-7</v>
      </c>
      <c r="P83" s="56">
        <f t="shared" si="38"/>
        <v>1.1058306686073725E-4</v>
      </c>
      <c r="Q83" s="56">
        <f t="shared" si="39"/>
        <v>2.2735837878886866E-3</v>
      </c>
      <c r="R83" s="9">
        <f t="shared" si="12"/>
        <v>3.9999999999999996E-5</v>
      </c>
      <c r="S83" s="9">
        <f t="shared" si="13"/>
        <v>1.8570155767181636E-6</v>
      </c>
      <c r="T83" s="9">
        <f t="shared" si="10"/>
        <v>2.7088163799420454E-5</v>
      </c>
      <c r="U83" s="9">
        <f t="shared" si="11"/>
        <v>3.8142984423281832E-5</v>
      </c>
      <c r="V83" s="100">
        <f t="shared" si="14"/>
        <v>0.71017420920231644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139</v>
      </c>
      <c r="C84" s="46" t="s">
        <v>140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3.9384447971611571</v>
      </c>
      <c r="K84" s="55">
        <f t="shared" si="35"/>
        <v>3.8754583065339923E-2</v>
      </c>
      <c r="L84" s="55">
        <f t="shared" si="36"/>
        <v>0.14133254496979075</v>
      </c>
      <c r="M84" s="55">
        <f t="shared" si="19"/>
        <v>0.85866745503020925</v>
      </c>
      <c r="N84" s="55">
        <f t="shared" si="37"/>
        <v>9.5984269779018319E-2</v>
      </c>
      <c r="O84" s="56">
        <f t="shared" si="21"/>
        <v>3.8790953704246169E-8</v>
      </c>
      <c r="P84" s="56">
        <f t="shared" si="38"/>
        <v>3.3664739199685276E-4</v>
      </c>
      <c r="Q84" s="56">
        <f t="shared" si="39"/>
        <v>7.167083383514369E-3</v>
      </c>
      <c r="R84" s="9">
        <f t="shared" si="12"/>
        <v>3.9999999999999996E-5</v>
      </c>
      <c r="S84" s="9">
        <f t="shared" si="13"/>
        <v>5.6533017987916299E-6</v>
      </c>
      <c r="T84" s="9">
        <f t="shared" si="10"/>
        <v>1.5501833226135969E-6</v>
      </c>
      <c r="U84" s="9">
        <f t="shared" si="11"/>
        <v>3.4346698201208369E-5</v>
      </c>
      <c r="V84" s="100">
        <f t="shared" si="14"/>
        <v>4.5133401572761925E-2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0.12747825886296771</v>
      </c>
      <c r="J85" s="54">
        <f t="shared" si="34"/>
        <v>2.1275282735995251</v>
      </c>
      <c r="K85" s="55">
        <f t="shared" si="35"/>
        <v>0.71519913953895886</v>
      </c>
      <c r="L85" s="55">
        <f t="shared" si="36"/>
        <v>4.0311556756271662E-2</v>
      </c>
      <c r="M85" s="55">
        <f t="shared" si="19"/>
        <v>0.95968844324372837</v>
      </c>
      <c r="N85" s="55">
        <f t="shared" si="37"/>
        <v>2.5889518868401191E-2</v>
      </c>
      <c r="O85" s="56">
        <f t="shared" si="21"/>
        <v>7.1587034401576529E-7</v>
      </c>
      <c r="P85" s="56">
        <f t="shared" si="38"/>
        <v>9.6020208595498315E-5</v>
      </c>
      <c r="Q85" s="56">
        <f t="shared" si="39"/>
        <v>1.9331536398213109E-3</v>
      </c>
      <c r="R85" s="9">
        <f t="shared" si="12"/>
        <v>3.9999999999999996E-5</v>
      </c>
      <c r="S85" s="9">
        <f t="shared" si="13"/>
        <v>1.6124622702508663E-6</v>
      </c>
      <c r="T85" s="9">
        <f t="shared" si="10"/>
        <v>2.8607965581558353E-5</v>
      </c>
      <c r="U85" s="9">
        <f t="shared" si="11"/>
        <v>3.8387537729749132E-5</v>
      </c>
      <c r="V85" s="100">
        <f t="shared" si="14"/>
        <v>0.74524096291250486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141</v>
      </c>
      <c r="C86" s="46" t="s">
        <v>142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3.1029707241226632</v>
      </c>
      <c r="K86" s="55">
        <f t="shared" si="35"/>
        <v>0.17541594968706739</v>
      </c>
      <c r="L86" s="55">
        <f t="shared" si="36"/>
        <v>9.3435973834591068E-2</v>
      </c>
      <c r="M86" s="55">
        <f t="shared" si="19"/>
        <v>0.90656402616540888</v>
      </c>
      <c r="N86" s="55">
        <f t="shared" si="37"/>
        <v>4.2929326523987621E-2</v>
      </c>
      <c r="O86" s="56">
        <f t="shared" si="21"/>
        <v>1.755805751238501E-7</v>
      </c>
      <c r="P86" s="56">
        <f t="shared" si="38"/>
        <v>2.2256004034190851E-4</v>
      </c>
      <c r="Q86" s="56">
        <f t="shared" si="39"/>
        <v>3.205505063526474E-3</v>
      </c>
      <c r="R86" s="9">
        <f t="shared" si="12"/>
        <v>3.9999999999999996E-5</v>
      </c>
      <c r="S86" s="9">
        <f t="shared" si="13"/>
        <v>3.7374389533836426E-6</v>
      </c>
      <c r="T86" s="9">
        <f t="shared" si="10"/>
        <v>7.016637987482695E-6</v>
      </c>
      <c r="U86" s="9">
        <f t="shared" si="11"/>
        <v>3.6262561046616351E-5</v>
      </c>
      <c r="V86" s="100">
        <f t="shared" si="14"/>
        <v>0.19349537884162804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279</v>
      </c>
      <c r="C87" s="46" t="s">
        <v>280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1.8520245187455604</v>
      </c>
      <c r="K87" s="55">
        <f t="shared" si="35"/>
        <v>0.81123187764408411</v>
      </c>
      <c r="L87" s="55">
        <f t="shared" si="36"/>
        <v>2.4246208756132506E-2</v>
      </c>
      <c r="M87" s="55">
        <f t="shared" si="19"/>
        <v>0.97575379124386752</v>
      </c>
      <c r="N87" s="55">
        <f t="shared" si="37"/>
        <v>1.349938975902026E-2</v>
      </c>
      <c r="O87" s="56">
        <f t="shared" si="21"/>
        <v>8.1199320751418684E-7</v>
      </c>
      <c r="P87" s="56">
        <f t="shared" si="38"/>
        <v>5.7753314675738287E-5</v>
      </c>
      <c r="Q87" s="56">
        <f t="shared" si="39"/>
        <v>1.0079907077712384E-3</v>
      </c>
      <c r="R87" s="9">
        <f t="shared" si="12"/>
        <v>3.9999999999999996E-5</v>
      </c>
      <c r="S87" s="9">
        <f t="shared" si="13"/>
        <v>9.6984835024530017E-7</v>
      </c>
      <c r="T87" s="9">
        <f t="shared" si="10"/>
        <v>3.2449275105763359E-5</v>
      </c>
      <c r="U87" s="9">
        <f t="shared" si="11"/>
        <v>3.9030151649754695E-5</v>
      </c>
      <c r="V87" s="100">
        <f t="shared" si="14"/>
        <v>0.83138993148050722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281</v>
      </c>
      <c r="C88" s="46" t="s">
        <v>282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0.97738229738140237</v>
      </c>
      <c r="K88" s="55">
        <f t="shared" si="35"/>
        <v>0.95644280311103635</v>
      </c>
      <c r="L88" s="55">
        <f t="shared" si="36"/>
        <v>3.815185107823282E-3</v>
      </c>
      <c r="M88" s="55">
        <f t="shared" si="19"/>
        <v>0.9961848148921767</v>
      </c>
      <c r="N88" s="55">
        <f t="shared" si="37"/>
        <v>2.2799430544875329E-4</v>
      </c>
      <c r="O88" s="56">
        <f t="shared" si="21"/>
        <v>9.5734041142145911E-7</v>
      </c>
      <c r="P88" s="56">
        <f t="shared" si="38"/>
        <v>9.0875892513537346E-6</v>
      </c>
      <c r="Q88" s="56">
        <f t="shared" si="39"/>
        <v>1.7024187420289729E-5</v>
      </c>
      <c r="R88" s="9">
        <f t="shared" si="12"/>
        <v>3.9999999999999996E-5</v>
      </c>
      <c r="S88" s="9">
        <f t="shared" si="13"/>
        <v>1.5260740431293126E-7</v>
      </c>
      <c r="T88" s="9">
        <f t="shared" si="10"/>
        <v>3.825771212444145E-5</v>
      </c>
      <c r="U88" s="9">
        <f t="shared" si="11"/>
        <v>3.9847392595687066E-5</v>
      </c>
      <c r="V88" s="100">
        <f t="shared" si="14"/>
        <v>0.96010578440162042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283</v>
      </c>
      <c r="C89" s="46" t="s">
        <v>284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0.51151091680566108</v>
      </c>
      <c r="K89" s="55">
        <f t="shared" si="35"/>
        <v>0.98925202062710271</v>
      </c>
      <c r="L89" s="55">
        <f t="shared" si="36"/>
        <v>1.3498707165017416E-3</v>
      </c>
      <c r="M89" s="55">
        <f t="shared" si="19"/>
        <v>0.99865012928349828</v>
      </c>
      <c r="N89" s="55">
        <f t="shared" si="37"/>
        <v>2.7289484399134939E-4</v>
      </c>
      <c r="O89" s="56">
        <f t="shared" si="21"/>
        <v>9.9018041993329169E-7</v>
      </c>
      <c r="P89" s="56">
        <f t="shared" si="38"/>
        <v>3.2153277671492209E-6</v>
      </c>
      <c r="Q89" s="56">
        <f t="shared" si="39"/>
        <v>2.0376881611122988E-5</v>
      </c>
      <c r="R89" s="9">
        <f t="shared" si="12"/>
        <v>3.9999999999999996E-5</v>
      </c>
      <c r="S89" s="9">
        <f t="shared" si="13"/>
        <v>5.3994828660069661E-8</v>
      </c>
      <c r="T89" s="9">
        <f t="shared" si="10"/>
        <v>3.9570080825084102E-5</v>
      </c>
      <c r="U89" s="9">
        <f t="shared" si="11"/>
        <v>3.9946005171339926E-5</v>
      </c>
      <c r="V89" s="100">
        <f t="shared" si="14"/>
        <v>0.99058918796401851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285</v>
      </c>
      <c r="C90" s="46" t="s">
        <v>286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2.1490056662363401E-2</v>
      </c>
      <c r="K90" s="55">
        <f t="shared" si="35"/>
        <v>0.9987441451567769</v>
      </c>
      <c r="L90" s="55">
        <f t="shared" si="36"/>
        <v>4.4097971890613404E-4</v>
      </c>
      <c r="M90" s="55">
        <f t="shared" si="19"/>
        <v>0.99955902028109389</v>
      </c>
      <c r="N90" s="55">
        <f t="shared" si="37"/>
        <v>9.0551450303348423E-6</v>
      </c>
      <c r="O90" s="56">
        <f t="shared" si="21"/>
        <v>9.9968145269023634E-7</v>
      </c>
      <c r="P90" s="56">
        <f t="shared" si="38"/>
        <v>1.050392691400178E-6</v>
      </c>
      <c r="Q90" s="56">
        <f t="shared" si="39"/>
        <v>6.7614182648511596E-7</v>
      </c>
      <c r="R90" s="9">
        <f t="shared" si="12"/>
        <v>3.9999999999999996E-5</v>
      </c>
      <c r="S90" s="9">
        <f t="shared" si="13"/>
        <v>1.7639188756245359E-8</v>
      </c>
      <c r="T90" s="9">
        <f t="shared" si="10"/>
        <v>3.9949765806271071E-5</v>
      </c>
      <c r="U90" s="9">
        <f t="shared" si="11"/>
        <v>3.9982360811243755E-5</v>
      </c>
      <c r="V90" s="100">
        <f t="shared" si="14"/>
        <v>0.99918476537374668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287</v>
      </c>
      <c r="C91" s="46" t="s">
        <v>288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-1.2034235561148411E-2</v>
      </c>
      <c r="K91" s="55">
        <f t="shared" si="35"/>
        <v>0.99912664680669294</v>
      </c>
      <c r="L91" s="55">
        <f t="shared" si="36"/>
        <v>4.0837638413527709E-4</v>
      </c>
      <c r="M91" s="55">
        <f t="shared" si="19"/>
        <v>0.99959162361586473</v>
      </c>
      <c r="N91" s="55">
        <f t="shared" si="37"/>
        <v>4.1142731216157116E-6</v>
      </c>
      <c r="O91" s="56">
        <f t="shared" si="21"/>
        <v>1.0000643133126477E-6</v>
      </c>
      <c r="P91" s="56">
        <f t="shared" si="38"/>
        <v>9.7273310051574737E-7</v>
      </c>
      <c r="Q91" s="56">
        <f t="shared" si="39"/>
        <v>3.072101146683677E-7</v>
      </c>
      <c r="R91" s="9">
        <f t="shared" si="12"/>
        <v>3.9999999999999996E-5</v>
      </c>
      <c r="S91" s="9">
        <f t="shared" si="13"/>
        <v>1.6335055365411084E-8</v>
      </c>
      <c r="T91" s="9">
        <f t="shared" si="10"/>
        <v>3.9965065872267711E-5</v>
      </c>
      <c r="U91" s="9">
        <f t="shared" si="11"/>
        <v>3.9983664944634585E-5</v>
      </c>
      <c r="V91" s="100">
        <f t="shared" si="14"/>
        <v>0.99953483322770376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289</v>
      </c>
      <c r="C92" s="46" t="s">
        <v>290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0.59563671510665284</v>
      </c>
      <c r="K92" s="55">
        <f t="shared" si="35"/>
        <v>0.98648632851818918</v>
      </c>
      <c r="L92" s="55">
        <f t="shared" si="36"/>
        <v>1.6338120663674043E-3</v>
      </c>
      <c r="M92" s="55">
        <f t="shared" si="19"/>
        <v>0.99836618793363263</v>
      </c>
      <c r="N92" s="55">
        <f t="shared" si="37"/>
        <v>3.768238823930797E-4</v>
      </c>
      <c r="O92" s="56">
        <f t="shared" si="21"/>
        <v>9.8741213226067781E-7</v>
      </c>
      <c r="P92" s="56">
        <f t="shared" si="38"/>
        <v>3.8916625415125683E-6</v>
      </c>
      <c r="Q92" s="56">
        <f t="shared" si="39"/>
        <v>2.8137195732473867E-5</v>
      </c>
      <c r="R92" s="9">
        <f t="shared" si="12"/>
        <v>3.9999999999999996E-5</v>
      </c>
      <c r="S92" s="9">
        <f t="shared" si="13"/>
        <v>6.535248265469616E-8</v>
      </c>
      <c r="T92" s="9">
        <f t="shared" ref="T92:T143" si="40">R92*K92</f>
        <v>3.9459453140727567E-5</v>
      </c>
      <c r="U92" s="9">
        <f t="shared" ref="U92:U143" si="41">$R92*M92</f>
        <v>3.9934647517345299E-5</v>
      </c>
      <c r="V92" s="100">
        <f t="shared" si="14"/>
        <v>0.98810069936359546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291</v>
      </c>
      <c r="C93" s="46" t="s">
        <v>292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-1.067712111790353E-2</v>
      </c>
      <c r="K93" s="55">
        <f t="shared" si="35"/>
        <v>0.99911154408171998</v>
      </c>
      <c r="L93" s="55">
        <f t="shared" si="36"/>
        <v>4.0964831148623392E-4</v>
      </c>
      <c r="M93" s="55">
        <f t="shared" ref="M93:M127" si="42">IF(D93=0,"",1-L93)</f>
        <v>0.99959035168851373</v>
      </c>
      <c r="N93" s="55">
        <f t="shared" si="37"/>
        <v>4.287589256688605E-6</v>
      </c>
      <c r="O93" s="56">
        <f t="shared" ref="O93:O127" si="43">IF(D93=0,"",F93*K93*$J$7/$J$14)</f>
        <v>1.0000491964139767E-6</v>
      </c>
      <c r="P93" s="56">
        <f t="shared" si="38"/>
        <v>9.757627708977574E-7</v>
      </c>
      <c r="Q93" s="56">
        <f t="shared" si="39"/>
        <v>3.2015151844875463E-7</v>
      </c>
      <c r="R93" s="9">
        <f t="shared" ref="R93:R143" si="44">F93*$C$14</f>
        <v>3.9999999999999996E-5</v>
      </c>
      <c r="S93" s="9">
        <f t="shared" ref="S93:S143" si="45">$R93*L93</f>
        <v>1.6385932459449355E-8</v>
      </c>
      <c r="T93" s="9">
        <f t="shared" si="40"/>
        <v>3.9964461763268795E-5</v>
      </c>
      <c r="U93" s="9">
        <f t="shared" si="41"/>
        <v>3.9983614067540543E-5</v>
      </c>
      <c r="V93" s="100">
        <f t="shared" ref="V93:V143" si="46">K93/M93</f>
        <v>0.99952099617009615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293</v>
      </c>
      <c r="C94" s="46" t="s">
        <v>294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-4.5097358117664625E-2</v>
      </c>
      <c r="K94" s="55">
        <f t="shared" si="35"/>
        <v>0.99948664314417213</v>
      </c>
      <c r="L94" s="55">
        <f t="shared" si="36"/>
        <v>3.7857675978700668E-4</v>
      </c>
      <c r="M94" s="55">
        <f t="shared" si="42"/>
        <v>0.99962142324021297</v>
      </c>
      <c r="N94" s="55">
        <f t="shared" si="37"/>
        <v>7.1695190529660161E-7</v>
      </c>
      <c r="O94" s="56">
        <f t="shared" si="43"/>
        <v>1.0004246475016986E-6</v>
      </c>
      <c r="P94" s="56">
        <f t="shared" si="38"/>
        <v>9.0175181434789845E-7</v>
      </c>
      <c r="Q94" s="56">
        <f t="shared" si="39"/>
        <v>5.3534335355786408E-8</v>
      </c>
      <c r="R94" s="9">
        <f t="shared" si="44"/>
        <v>3.9999999999999996E-5</v>
      </c>
      <c r="S94" s="9">
        <f t="shared" si="45"/>
        <v>1.5143070391480266E-8</v>
      </c>
      <c r="T94" s="9">
        <f t="shared" si="40"/>
        <v>3.9979465725766882E-5</v>
      </c>
      <c r="U94" s="9">
        <f t="shared" si="41"/>
        <v>3.9984856929608512E-5</v>
      </c>
      <c r="V94" s="100">
        <f t="shared" si="46"/>
        <v>0.99986516886002308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295</v>
      </c>
      <c r="C95" s="46" t="s">
        <v>296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0.94867954725222925</v>
      </c>
      <c r="J95" s="54">
        <f t="shared" si="34"/>
        <v>3.6301694260723134</v>
      </c>
      <c r="K95" s="55">
        <f t="shared" si="35"/>
        <v>9.3603865561406041E-2</v>
      </c>
      <c r="L95" s="55">
        <f t="shared" si="36"/>
        <v>0.16785625269278909</v>
      </c>
      <c r="M95" s="55">
        <f t="shared" si="42"/>
        <v>0.83214374730721086</v>
      </c>
      <c r="N95" s="55">
        <f t="shared" si="37"/>
        <v>0.13942118285871224</v>
      </c>
      <c r="O95" s="56">
        <f t="shared" si="43"/>
        <v>9.3691711491494428E-8</v>
      </c>
      <c r="P95" s="56">
        <f t="shared" si="38"/>
        <v>3.9982560075933364E-4</v>
      </c>
      <c r="Q95" s="56">
        <f t="shared" si="39"/>
        <v>1.0410489607069185E-2</v>
      </c>
      <c r="R95" s="9">
        <f t="shared" si="44"/>
        <v>3.9999999999999996E-5</v>
      </c>
      <c r="S95" s="9">
        <f t="shared" si="45"/>
        <v>6.7142501077115625E-6</v>
      </c>
      <c r="T95" s="9">
        <f t="shared" si="40"/>
        <v>3.7441546224562412E-6</v>
      </c>
      <c r="U95" s="9">
        <f t="shared" si="41"/>
        <v>3.3285749892288433E-5</v>
      </c>
      <c r="V95" s="100">
        <f t="shared" si="46"/>
        <v>0.11248521167683467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297</v>
      </c>
      <c r="C96" s="46" t="s">
        <v>210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-5.8737020764399468E-2</v>
      </c>
      <c r="K96" s="55">
        <f t="shared" si="35"/>
        <v>0.99963307377434696</v>
      </c>
      <c r="L96" s="55">
        <f t="shared" si="36"/>
        <v>3.669255122313121E-4</v>
      </c>
      <c r="M96" s="55">
        <f t="shared" si="42"/>
        <v>0.99963307448776872</v>
      </c>
      <c r="N96" s="55">
        <f t="shared" si="37"/>
        <v>2.2861546894631024E-14</v>
      </c>
      <c r="O96" s="56">
        <f t="shared" si="43"/>
        <v>1.0005712155549896E-6</v>
      </c>
      <c r="P96" s="56">
        <f t="shared" si="38"/>
        <v>8.7399909749154595E-7</v>
      </c>
      <c r="Q96" s="56">
        <f t="shared" si="39"/>
        <v>1.7070569297153886E-15</v>
      </c>
      <c r="R96" s="9">
        <f t="shared" si="44"/>
        <v>3.9999999999999996E-5</v>
      </c>
      <c r="S96" s="9">
        <f t="shared" si="45"/>
        <v>1.4677020489252483E-8</v>
      </c>
      <c r="T96" s="9">
        <f t="shared" si="40"/>
        <v>3.9985322950973876E-5</v>
      </c>
      <c r="U96" s="9">
        <f t="shared" si="41"/>
        <v>3.9985322979510748E-5</v>
      </c>
      <c r="V96" s="100">
        <f t="shared" si="46"/>
        <v>0.99999999928631633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298</v>
      </c>
      <c r="C97" s="46" t="s">
        <v>211</v>
      </c>
      <c r="D97" s="47" t="s">
        <v>299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300</v>
      </c>
      <c r="C98" s="46" t="s">
        <v>212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3.5852661261702856</v>
      </c>
      <c r="K98" s="55">
        <f t="shared" si="35"/>
        <v>5.0137365821180613E-2</v>
      </c>
      <c r="L98" s="55">
        <f t="shared" si="36"/>
        <v>8.1077799303779896E-2</v>
      </c>
      <c r="M98" s="55">
        <f t="shared" si="42"/>
        <v>0.9189222006962201</v>
      </c>
      <c r="N98" s="55">
        <f t="shared" si="37"/>
        <v>1.1951612642437404E-2</v>
      </c>
      <c r="O98" s="56">
        <f t="shared" si="43"/>
        <v>5.0184419043890242E-8</v>
      </c>
      <c r="P98" s="56">
        <f t="shared" si="38"/>
        <v>1.9312345709401792E-4</v>
      </c>
      <c r="Q98" s="56">
        <f t="shared" si="39"/>
        <v>8.9241919090515224E-4</v>
      </c>
      <c r="R98" s="9">
        <f t="shared" si="44"/>
        <v>3.9999999999999996E-5</v>
      </c>
      <c r="S98" s="9">
        <f t="shared" si="45"/>
        <v>3.2431119721511955E-6</v>
      </c>
      <c r="T98" s="9">
        <f t="shared" si="40"/>
        <v>2.0054946328472245E-6</v>
      </c>
      <c r="U98" s="9">
        <f t="shared" si="41"/>
        <v>3.6756888027848798E-5</v>
      </c>
      <c r="V98" s="100">
        <f t="shared" si="46"/>
        <v>5.456105618429298E-2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301</v>
      </c>
      <c r="C99" s="46" t="s">
        <v>213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1.8542805551315384</v>
      </c>
      <c r="K99" s="55">
        <f t="shared" si="35"/>
        <v>0.73385055966996215</v>
      </c>
      <c r="L99" s="55">
        <f t="shared" si="36"/>
        <v>2.2047659755039709E-2</v>
      </c>
      <c r="M99" s="55">
        <f t="shared" si="42"/>
        <v>0.97795234024496025</v>
      </c>
      <c r="N99" s="55">
        <f t="shared" si="37"/>
        <v>2.0552877136329941E-3</v>
      </c>
      <c r="O99" s="56">
        <f t="shared" si="43"/>
        <v>7.3453926824597482E-7</v>
      </c>
      <c r="P99" s="56">
        <f t="shared" si="38"/>
        <v>5.2516475647944822E-5</v>
      </c>
      <c r="Q99" s="56">
        <f t="shared" si="39"/>
        <v>1.5346700511066727E-4</v>
      </c>
      <c r="R99" s="9">
        <f t="shared" si="44"/>
        <v>3.9999999999999996E-5</v>
      </c>
      <c r="S99" s="9">
        <f t="shared" si="45"/>
        <v>8.819063902015883E-7</v>
      </c>
      <c r="T99" s="9">
        <f t="shared" si="40"/>
        <v>2.9354022386798484E-5</v>
      </c>
      <c r="U99" s="9">
        <f t="shared" si="41"/>
        <v>3.9118093609798407E-5</v>
      </c>
      <c r="V99" s="100">
        <f t="shared" si="46"/>
        <v>0.75039501361195704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302</v>
      </c>
      <c r="C100" s="46" t="s">
        <v>214</v>
      </c>
      <c r="D100" s="47" t="s">
        <v>299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303</v>
      </c>
      <c r="C101" s="46" t="s">
        <v>215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3.2056950473044594</v>
      </c>
      <c r="K101" s="55">
        <f t="shared" si="35"/>
        <v>0.10624603202946378</v>
      </c>
      <c r="L101" s="55">
        <f t="shared" si="36"/>
        <v>7.1693879234141292E-2</v>
      </c>
      <c r="M101" s="55">
        <f t="shared" si="42"/>
        <v>0.92830612076585872</v>
      </c>
      <c r="N101" s="55">
        <f t="shared" si="37"/>
        <v>4.7160425597160324E-3</v>
      </c>
      <c r="O101" s="56">
        <f t="shared" si="43"/>
        <v>1.0634574245750915E-7</v>
      </c>
      <c r="P101" s="56">
        <f t="shared" si="38"/>
        <v>1.7077140634147531E-4</v>
      </c>
      <c r="Q101" s="56">
        <f t="shared" si="39"/>
        <v>3.5214384964853812E-4</v>
      </c>
      <c r="R101" s="9">
        <f t="shared" si="44"/>
        <v>3.9999999999999996E-5</v>
      </c>
      <c r="S101" s="9">
        <f t="shared" si="45"/>
        <v>2.8677551693656516E-6</v>
      </c>
      <c r="T101" s="9">
        <f t="shared" si="40"/>
        <v>4.2498412811785508E-6</v>
      </c>
      <c r="U101" s="9">
        <f t="shared" si="41"/>
        <v>3.7132244830634346E-5</v>
      </c>
      <c r="V101" s="100">
        <f t="shared" si="46"/>
        <v>0.11445150436130928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304</v>
      </c>
      <c r="C102" s="46" t="s">
        <v>216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2.4173447443020346</v>
      </c>
      <c r="K102" s="55">
        <f t="shared" si="35"/>
        <v>0.41108789686332914</v>
      </c>
      <c r="L102" s="55">
        <f t="shared" si="36"/>
        <v>4.5159980748746213E-2</v>
      </c>
      <c r="M102" s="55">
        <f t="shared" si="42"/>
        <v>0.95484001925125384</v>
      </c>
      <c r="N102" s="55">
        <f t="shared" si="37"/>
        <v>6.3226515547660314E-9</v>
      </c>
      <c r="O102" s="56">
        <f t="shared" si="43"/>
        <v>4.1147369715513809E-7</v>
      </c>
      <c r="P102" s="56">
        <f t="shared" si="38"/>
        <v>1.0756892366823974E-4</v>
      </c>
      <c r="Q102" s="56">
        <f t="shared" si="39"/>
        <v>4.7210830485289103E-10</v>
      </c>
      <c r="R102" s="9">
        <f t="shared" si="44"/>
        <v>3.9999999999999996E-5</v>
      </c>
      <c r="S102" s="9">
        <f t="shared" si="45"/>
        <v>1.8063992299498484E-6</v>
      </c>
      <c r="T102" s="9">
        <f t="shared" si="40"/>
        <v>1.6443515874533163E-5</v>
      </c>
      <c r="U102" s="9">
        <f t="shared" si="41"/>
        <v>3.8193600770050147E-5</v>
      </c>
      <c r="V102" s="100">
        <f t="shared" si="46"/>
        <v>0.43053065285814823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305</v>
      </c>
      <c r="C103" s="46" t="s">
        <v>217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3.4660209722219997</v>
      </c>
      <c r="K103" s="55">
        <f t="shared" si="35"/>
        <v>5.8582492288434242E-2</v>
      </c>
      <c r="L103" s="55">
        <f t="shared" si="36"/>
        <v>7.1988500839539532E-2</v>
      </c>
      <c r="M103" s="55">
        <f t="shared" si="42"/>
        <v>0.92801149916046044</v>
      </c>
      <c r="N103" s="55">
        <f t="shared" si="37"/>
        <v>1.5025620013793498E-8</v>
      </c>
      <c r="O103" s="56">
        <f t="shared" si="43"/>
        <v>5.863747114524862E-8</v>
      </c>
      <c r="P103" s="56">
        <f t="shared" si="38"/>
        <v>1.714731809759337E-4</v>
      </c>
      <c r="Q103" s="56">
        <f t="shared" si="39"/>
        <v>1.1219533343931403E-9</v>
      </c>
      <c r="R103" s="9">
        <f t="shared" si="44"/>
        <v>3.9999999999999996E-5</v>
      </c>
      <c r="S103" s="9">
        <f t="shared" si="45"/>
        <v>2.8795400335815808E-6</v>
      </c>
      <c r="T103" s="9">
        <f t="shared" si="40"/>
        <v>2.3432996915373695E-6</v>
      </c>
      <c r="U103" s="9">
        <f t="shared" si="41"/>
        <v>3.7120459966418412E-5</v>
      </c>
      <c r="V103" s="100">
        <f t="shared" si="46"/>
        <v>6.3126903428924935E-2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306</v>
      </c>
      <c r="C104" s="46" t="s">
        <v>218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4.1789576597323235</v>
      </c>
      <c r="K104" s="55">
        <f t="shared" si="35"/>
        <v>1.2547478685637695E-2</v>
      </c>
      <c r="L104" s="55">
        <f t="shared" si="36"/>
        <v>7.961381578485198E-2</v>
      </c>
      <c r="M104" s="55">
        <f t="shared" si="42"/>
        <v>0.92038618421514806</v>
      </c>
      <c r="N104" s="55">
        <f t="shared" si="37"/>
        <v>5.8320530111865866E-3</v>
      </c>
      <c r="O104" s="56">
        <f t="shared" si="43"/>
        <v>1.2559254320423644E-8</v>
      </c>
      <c r="P104" s="56">
        <f t="shared" si="38"/>
        <v>1.8963631806543247E-4</v>
      </c>
      <c r="Q104" s="56">
        <f t="shared" si="39"/>
        <v>4.3547562870960483E-4</v>
      </c>
      <c r="R104" s="9">
        <f t="shared" si="44"/>
        <v>3.9999999999999996E-5</v>
      </c>
      <c r="S104" s="9">
        <f t="shared" si="45"/>
        <v>3.1845526313940789E-6</v>
      </c>
      <c r="T104" s="9">
        <f t="shared" si="40"/>
        <v>5.0189914742550773E-7</v>
      </c>
      <c r="U104" s="9">
        <f t="shared" si="41"/>
        <v>3.6815447368605918E-5</v>
      </c>
      <c r="V104" s="100">
        <f t="shared" si="46"/>
        <v>1.3632841193001453E-2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307</v>
      </c>
      <c r="C105" s="46" t="s">
        <v>219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3.8987670522081364</v>
      </c>
      <c r="K105" s="55">
        <f t="shared" si="35"/>
        <v>2.8640866473135684E-2</v>
      </c>
      <c r="L105" s="55">
        <f t="shared" si="36"/>
        <v>9.5329544521199128E-2</v>
      </c>
      <c r="M105" s="55">
        <f t="shared" si="42"/>
        <v>0.90467045547880087</v>
      </c>
      <c r="N105" s="55">
        <f t="shared" si="37"/>
        <v>2.980239378545272E-2</v>
      </c>
      <c r="O105" s="56">
        <f t="shared" si="43"/>
        <v>2.8667745529238547E-8</v>
      </c>
      <c r="P105" s="56">
        <f t="shared" si="38"/>
        <v>2.2707043554737633E-4</v>
      </c>
      <c r="Q105" s="56">
        <f t="shared" si="39"/>
        <v>2.2253254807316474E-3</v>
      </c>
      <c r="R105" s="9">
        <f t="shared" si="44"/>
        <v>3.9999999999999996E-5</v>
      </c>
      <c r="S105" s="9">
        <f t="shared" si="45"/>
        <v>3.8131817808479648E-6</v>
      </c>
      <c r="T105" s="9">
        <f t="shared" si="40"/>
        <v>1.1456346589254274E-6</v>
      </c>
      <c r="U105" s="9">
        <f t="shared" si="41"/>
        <v>3.6186818219152035E-5</v>
      </c>
      <c r="V105" s="100">
        <f t="shared" si="46"/>
        <v>3.1658894462268446E-2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308</v>
      </c>
      <c r="C106" s="46" t="s">
        <v>220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2.9201125615030872</v>
      </c>
      <c r="K106" s="55">
        <f t="shared" si="35"/>
        <v>0.18287901459255734</v>
      </c>
      <c r="L106" s="55">
        <f t="shared" si="36"/>
        <v>6.3936778120920412E-2</v>
      </c>
      <c r="M106" s="55">
        <f t="shared" si="42"/>
        <v>0.93606322187907964</v>
      </c>
      <c r="N106" s="55">
        <f t="shared" si="37"/>
        <v>1.9926401155720063E-3</v>
      </c>
      <c r="O106" s="56">
        <f t="shared" si="43"/>
        <v>1.8305064401228459E-7</v>
      </c>
      <c r="P106" s="56">
        <f t="shared" si="38"/>
        <v>1.5229436087555053E-4</v>
      </c>
      <c r="Q106" s="56">
        <f t="shared" si="39"/>
        <v>1.4878914945667615E-4</v>
      </c>
      <c r="R106" s="9">
        <f t="shared" si="44"/>
        <v>3.9999999999999996E-5</v>
      </c>
      <c r="S106" s="9">
        <f t="shared" si="45"/>
        <v>2.5574711248368164E-6</v>
      </c>
      <c r="T106" s="9">
        <f t="shared" si="40"/>
        <v>7.3151605837022934E-6</v>
      </c>
      <c r="U106" s="9">
        <f t="shared" si="41"/>
        <v>3.7442528875163185E-5</v>
      </c>
      <c r="V106" s="100">
        <f t="shared" si="46"/>
        <v>0.19537036635777749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309</v>
      </c>
      <c r="C107" s="46" t="s">
        <v>221</v>
      </c>
      <c r="D107" s="47" t="s">
        <v>299</v>
      </c>
      <c r="E107" s="47" t="s">
        <v>310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311</v>
      </c>
      <c r="C108" s="46" t="s">
        <v>222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3.6319518486565139</v>
      </c>
      <c r="K108" s="55">
        <f t="shared" si="35"/>
        <v>4.371031280650562E-2</v>
      </c>
      <c r="L108" s="55">
        <f t="shared" si="36"/>
        <v>7.8706405066712712E-2</v>
      </c>
      <c r="M108" s="55">
        <f t="shared" si="42"/>
        <v>0.92129359493328733</v>
      </c>
      <c r="N108" s="55">
        <f t="shared" si="37"/>
        <v>7.9040360202350998E-3</v>
      </c>
      <c r="O108" s="56">
        <f t="shared" si="43"/>
        <v>4.3751334329066807E-8</v>
      </c>
      <c r="P108" s="56">
        <f t="shared" si="38"/>
        <v>1.8747490894485892E-4</v>
      </c>
      <c r="Q108" s="56">
        <f t="shared" si="39"/>
        <v>5.9018926073769215E-4</v>
      </c>
      <c r="R108" s="9">
        <f t="shared" si="44"/>
        <v>3.9999999999999996E-5</v>
      </c>
      <c r="S108" s="9">
        <f t="shared" si="45"/>
        <v>3.1482562026685082E-6</v>
      </c>
      <c r="T108" s="9">
        <f t="shared" si="40"/>
        <v>1.7484125122602248E-6</v>
      </c>
      <c r="U108" s="9">
        <f t="shared" si="41"/>
        <v>3.6851743797331489E-5</v>
      </c>
      <c r="V108" s="100">
        <f t="shared" si="46"/>
        <v>4.7444498742738754E-2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312</v>
      </c>
      <c r="C109" s="46" t="s">
        <v>223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3.9146802316515763</v>
      </c>
      <c r="K109" s="55">
        <f t="shared" si="35"/>
        <v>2.6335147913367343E-2</v>
      </c>
      <c r="L109" s="55">
        <f t="shared" si="36"/>
        <v>9.092646494223261E-2</v>
      </c>
      <c r="M109" s="55">
        <f t="shared" si="42"/>
        <v>0.90907353505776745</v>
      </c>
      <c r="N109" s="55">
        <f t="shared" si="37"/>
        <v>2.3323877846210074E-2</v>
      </c>
      <c r="O109" s="56">
        <f t="shared" si="43"/>
        <v>2.6359863084568764E-8</v>
      </c>
      <c r="P109" s="56">
        <f t="shared" si="38"/>
        <v>2.1658250966073432E-4</v>
      </c>
      <c r="Q109" s="56">
        <f t="shared" si="39"/>
        <v>1.7415788830351909E-3</v>
      </c>
      <c r="R109" s="9">
        <f t="shared" si="44"/>
        <v>3.9999999999999996E-5</v>
      </c>
      <c r="S109" s="9">
        <f t="shared" si="45"/>
        <v>3.6370585976893039E-6</v>
      </c>
      <c r="T109" s="9">
        <f t="shared" si="40"/>
        <v>1.0534059165346936E-6</v>
      </c>
      <c r="U109" s="9">
        <f t="shared" si="41"/>
        <v>3.6362941402310695E-5</v>
      </c>
      <c r="V109" s="100">
        <f t="shared" si="46"/>
        <v>2.8969216348041487E-2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202</v>
      </c>
      <c r="C110" s="46" t="s">
        <v>203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2.1708272325180951</v>
      </c>
      <c r="K110" s="55">
        <f t="shared" si="35"/>
        <v>0.55338948520931042</v>
      </c>
      <c r="L110" s="55">
        <f t="shared" si="36"/>
        <v>3.4461362861750763E-2</v>
      </c>
      <c r="M110" s="55">
        <f t="shared" si="42"/>
        <v>0.96553863713824928</v>
      </c>
      <c r="N110" s="55">
        <f t="shared" si="37"/>
        <v>1.8633562708184691E-4</v>
      </c>
      <c r="O110" s="56">
        <f t="shared" si="43"/>
        <v>5.5390883356888698E-7</v>
      </c>
      <c r="P110" s="56">
        <f t="shared" si="38"/>
        <v>8.2085325319411191E-5</v>
      </c>
      <c r="Q110" s="56">
        <f t="shared" si="39"/>
        <v>1.3913560833349851E-5</v>
      </c>
      <c r="R110" s="9">
        <f t="shared" si="44"/>
        <v>3.9999999999999996E-5</v>
      </c>
      <c r="S110" s="9">
        <f t="shared" si="45"/>
        <v>1.3784545144700304E-6</v>
      </c>
      <c r="T110" s="9">
        <f t="shared" si="40"/>
        <v>2.2135579408372413E-5</v>
      </c>
      <c r="U110" s="9">
        <f t="shared" si="41"/>
        <v>3.8621545485529971E-5</v>
      </c>
      <c r="V110" s="100">
        <f t="shared" si="46"/>
        <v>0.57314069465878259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204</v>
      </c>
      <c r="C111" s="46" t="s">
        <v>205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2.259536875659184</v>
      </c>
      <c r="K111" s="55">
        <f t="shared" si="35"/>
        <v>0.6472109481111229</v>
      </c>
      <c r="L111" s="55">
        <f t="shared" si="36"/>
        <v>4.9437561830299279E-2</v>
      </c>
      <c r="M111" s="55">
        <f t="shared" si="42"/>
        <v>0.95056243816970076</v>
      </c>
      <c r="N111" s="55">
        <f t="shared" si="37"/>
        <v>3.1480836506420425E-2</v>
      </c>
      <c r="O111" s="56">
        <f t="shared" si="43"/>
        <v>6.4781834661287495E-7</v>
      </c>
      <c r="P111" s="56">
        <f t="shared" si="38"/>
        <v>1.1775791811016194E-4</v>
      </c>
      <c r="Q111" s="56">
        <f t="shared" si="39"/>
        <v>2.3506537138194596E-3</v>
      </c>
      <c r="R111" s="9">
        <f t="shared" si="44"/>
        <v>3.9999999999999996E-5</v>
      </c>
      <c r="S111" s="9">
        <f t="shared" si="45"/>
        <v>1.9775024732119709E-6</v>
      </c>
      <c r="T111" s="9">
        <f t="shared" si="40"/>
        <v>2.5888437924444913E-5</v>
      </c>
      <c r="U111" s="9">
        <f t="shared" si="41"/>
        <v>3.8022497526788027E-5</v>
      </c>
      <c r="V111" s="100">
        <f t="shared" si="46"/>
        <v>0.68087157889104222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206</v>
      </c>
      <c r="C112" s="46" t="s">
        <v>207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2.5219720041185631</v>
      </c>
      <c r="J112" s="54">
        <f t="shared" si="34"/>
        <v>5.2954798864379393</v>
      </c>
      <c r="K112" s="55">
        <f t="shared" si="35"/>
        <v>2.4050785756386606E-3</v>
      </c>
      <c r="L112" s="55">
        <f t="shared" si="36"/>
        <v>0.1995645831670842</v>
      </c>
      <c r="M112" s="55">
        <f t="shared" si="42"/>
        <v>0.80043541683291575</v>
      </c>
      <c r="N112" s="55">
        <f t="shared" si="37"/>
        <v>0.17446618554284421</v>
      </c>
      <c r="O112" s="56">
        <f t="shared" si="43"/>
        <v>2.407335708537451E-9</v>
      </c>
      <c r="P112" s="56">
        <f t="shared" si="38"/>
        <v>4.7535333402860613E-4</v>
      </c>
      <c r="Q112" s="56">
        <f t="shared" si="39"/>
        <v>1.3027277305625633E-2</v>
      </c>
      <c r="R112" s="9">
        <f t="shared" si="44"/>
        <v>3.9999999999999996E-5</v>
      </c>
      <c r="S112" s="9">
        <f t="shared" si="45"/>
        <v>7.9825833266833679E-6</v>
      </c>
      <c r="T112" s="9">
        <f t="shared" si="40"/>
        <v>9.6203143025546415E-8</v>
      </c>
      <c r="U112" s="9">
        <f t="shared" si="41"/>
        <v>3.2017416673316627E-5</v>
      </c>
      <c r="V112" s="100">
        <f t="shared" si="46"/>
        <v>3.0047128413618171E-3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208</v>
      </c>
      <c r="C113" s="46" t="s">
        <v>209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5.6689287455654798</v>
      </c>
      <c r="K113" s="55">
        <f t="shared" si="35"/>
        <v>1.0718582196673149E-3</v>
      </c>
      <c r="L113" s="55">
        <f t="shared" si="36"/>
        <v>0.210155326315806</v>
      </c>
      <c r="M113" s="55">
        <f t="shared" si="42"/>
        <v>0.78984467368419398</v>
      </c>
      <c r="N113" s="55">
        <f t="shared" si="37"/>
        <v>0.18930816204129941</v>
      </c>
      <c r="O113" s="56">
        <f t="shared" si="43"/>
        <v>1.0728641437460355E-9</v>
      </c>
      <c r="P113" s="56">
        <f t="shared" si="38"/>
        <v>5.0057997988775917E-4</v>
      </c>
      <c r="Q113" s="56">
        <f t="shared" si="39"/>
        <v>1.4135518097429226E-2</v>
      </c>
      <c r="R113" s="9">
        <f t="shared" si="44"/>
        <v>3.9999999999999996E-5</v>
      </c>
      <c r="S113" s="9">
        <f t="shared" si="45"/>
        <v>8.4062130526322385E-6</v>
      </c>
      <c r="T113" s="9">
        <f t="shared" si="40"/>
        <v>4.2874328786692592E-8</v>
      </c>
      <c r="U113" s="9">
        <f t="shared" si="41"/>
        <v>3.1593786947367758E-5</v>
      </c>
      <c r="V113" s="100">
        <f t="shared" si="46"/>
        <v>1.3570493736036501E-3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6.0939707025144498</v>
      </c>
      <c r="K114" s="55">
        <f t="shared" si="35"/>
        <v>4.2095473859887848E-4</v>
      </c>
      <c r="L114" s="55">
        <f t="shared" si="36"/>
        <v>0.21962431420462247</v>
      </c>
      <c r="M114" s="55">
        <f t="shared" si="42"/>
        <v>0.78037568579537753</v>
      </c>
      <c r="N114" s="55">
        <f t="shared" si="37"/>
        <v>0.20263637091754116</v>
      </c>
      <c r="O114" s="56">
        <f t="shared" si="43"/>
        <v>4.2134979878486055E-10</v>
      </c>
      <c r="P114" s="56">
        <f t="shared" si="38"/>
        <v>5.2313465813473494E-4</v>
      </c>
      <c r="Q114" s="56">
        <f t="shared" si="39"/>
        <v>1.5130726839328746E-2</v>
      </c>
      <c r="R114" s="9">
        <f t="shared" si="44"/>
        <v>3.9999999999999996E-5</v>
      </c>
      <c r="S114" s="9">
        <f t="shared" si="45"/>
        <v>8.7849725681848982E-6</v>
      </c>
      <c r="T114" s="9">
        <f t="shared" si="40"/>
        <v>1.6838189543955138E-8</v>
      </c>
      <c r="U114" s="9">
        <f t="shared" si="41"/>
        <v>3.1215027431815098E-5</v>
      </c>
      <c r="V114" s="100">
        <f t="shared" si="46"/>
        <v>5.3942574872746236E-4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1.8739262521806992</v>
      </c>
      <c r="J115" s="54">
        <f t="shared" si="34"/>
        <v>4.6826081077472583</v>
      </c>
      <c r="K115" s="55">
        <f t="shared" si="35"/>
        <v>1.0517785692400316E-2</v>
      </c>
      <c r="L115" s="55">
        <f t="shared" si="36"/>
        <v>0.21281720662407505</v>
      </c>
      <c r="M115" s="55">
        <f t="shared" si="42"/>
        <v>0.78718279337592501</v>
      </c>
      <c r="N115" s="55">
        <f t="shared" si="37"/>
        <v>0.19409187076123882</v>
      </c>
      <c r="O115" s="56">
        <f t="shared" si="43"/>
        <v>1.0527656488452143E-8</v>
      </c>
      <c r="P115" s="56">
        <f t="shared" si="38"/>
        <v>5.0692045202585078E-4</v>
      </c>
      <c r="Q115" s="56">
        <f t="shared" si="39"/>
        <v>1.4492714535524597E-2</v>
      </c>
      <c r="R115" s="9">
        <f t="shared" si="44"/>
        <v>3.9999999999999996E-5</v>
      </c>
      <c r="S115" s="9">
        <f t="shared" si="45"/>
        <v>8.5126882649630015E-6</v>
      </c>
      <c r="T115" s="9">
        <f t="shared" si="40"/>
        <v>4.2071142769601259E-7</v>
      </c>
      <c r="U115" s="9">
        <f t="shared" si="41"/>
        <v>3.1487311735037E-5</v>
      </c>
      <c r="V115" s="100">
        <f t="shared" si="46"/>
        <v>1.3361300298871585E-2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224</v>
      </c>
      <c r="C116" s="46" t="s">
        <v>225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-2.1368353720901772E-2</v>
      </c>
      <c r="K116" s="55">
        <f t="shared" si="35"/>
        <v>0.99922974096789663</v>
      </c>
      <c r="L116" s="55">
        <f t="shared" si="36"/>
        <v>3.997342042700314E-4</v>
      </c>
      <c r="M116" s="55">
        <f t="shared" si="42"/>
        <v>0.99960026579572991</v>
      </c>
      <c r="N116" s="55">
        <f t="shared" si="37"/>
        <v>2.9881293526293675E-6</v>
      </c>
      <c r="O116" s="56">
        <f t="shared" si="43"/>
        <v>1.0001675042262923E-6</v>
      </c>
      <c r="P116" s="56">
        <f t="shared" si="38"/>
        <v>9.5214783960910664E-7</v>
      </c>
      <c r="Q116" s="56">
        <f t="shared" si="39"/>
        <v>2.2312168733822005E-7</v>
      </c>
      <c r="R116" s="9">
        <f t="shared" si="44"/>
        <v>3.9999999999999996E-5</v>
      </c>
      <c r="S116" s="9">
        <f t="shared" si="45"/>
        <v>1.5989368170801256E-8</v>
      </c>
      <c r="T116" s="9">
        <f t="shared" si="40"/>
        <v>3.996918963871586E-5</v>
      </c>
      <c r="U116" s="9">
        <f t="shared" si="41"/>
        <v>3.9984010631829193E-5</v>
      </c>
      <c r="V116" s="100">
        <f t="shared" si="46"/>
        <v>0.99962932700149065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226</v>
      </c>
      <c r="C117" s="46" t="s">
        <v>227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1.0426006689905334</v>
      </c>
      <c r="K117" s="55">
        <f t="shared" si="35"/>
        <v>0.96031723782404155</v>
      </c>
      <c r="L117" s="55">
        <f t="shared" si="36"/>
        <v>4.4513291270797343E-3</v>
      </c>
      <c r="M117" s="55">
        <f t="shared" si="42"/>
        <v>0.99554867087292032</v>
      </c>
      <c r="N117" s="55">
        <f t="shared" si="37"/>
        <v>1.5453566340339351E-3</v>
      </c>
      <c r="O117" s="56">
        <f t="shared" si="43"/>
        <v>9.6121848223772692E-7</v>
      </c>
      <c r="P117" s="56">
        <f t="shared" si="38"/>
        <v>1.060285401265026E-5</v>
      </c>
      <c r="Q117" s="56">
        <f t="shared" si="39"/>
        <v>1.1539078099867364E-4</v>
      </c>
      <c r="R117" s="9">
        <f t="shared" si="44"/>
        <v>3.9999999999999996E-5</v>
      </c>
      <c r="S117" s="9">
        <f t="shared" si="45"/>
        <v>1.7805316508318936E-7</v>
      </c>
      <c r="T117" s="9">
        <f t="shared" si="40"/>
        <v>3.8412689512961658E-5</v>
      </c>
      <c r="U117" s="9">
        <f t="shared" si="41"/>
        <v>3.982194683491681E-5</v>
      </c>
      <c r="V117" s="100">
        <f t="shared" si="46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228</v>
      </c>
      <c r="C118" s="46" t="s">
        <v>229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2.2723978215081706</v>
      </c>
      <c r="K118" s="55">
        <f t="shared" si="35"/>
        <v>0.64106898788134681</v>
      </c>
      <c r="L118" s="55">
        <f t="shared" si="36"/>
        <v>5.0440211954925041E-2</v>
      </c>
      <c r="M118" s="55">
        <f t="shared" si="42"/>
        <v>0.94955978804507502</v>
      </c>
      <c r="N118" s="55">
        <f t="shared" si="37"/>
        <v>3.2238122925510988E-2</v>
      </c>
      <c r="O118" s="56">
        <f t="shared" si="43"/>
        <v>6.4167062223857655E-7</v>
      </c>
      <c r="P118" s="56">
        <f t="shared" si="38"/>
        <v>1.2014618296177646E-4</v>
      </c>
      <c r="Q118" s="56">
        <f t="shared" si="39"/>
        <v>2.4071998012494184E-3</v>
      </c>
      <c r="R118" s="9">
        <f t="shared" si="44"/>
        <v>3.9999999999999996E-5</v>
      </c>
      <c r="S118" s="9">
        <f t="shared" si="45"/>
        <v>2.0176084781970012E-6</v>
      </c>
      <c r="T118" s="9">
        <f t="shared" si="40"/>
        <v>2.5642759515253871E-5</v>
      </c>
      <c r="U118" s="9">
        <f t="shared" si="41"/>
        <v>3.7982391521802998E-5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230</v>
      </c>
      <c r="C119" s="46" t="s">
        <v>231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-5.374618131365505E-2</v>
      </c>
      <c r="K119" s="55">
        <f t="shared" si="35"/>
        <v>0.99957923224146705</v>
      </c>
      <c r="L119" s="55">
        <f t="shared" si="36"/>
        <v>3.7114648883290827E-4</v>
      </c>
      <c r="M119" s="55">
        <f t="shared" si="42"/>
        <v>0.99962885351116704</v>
      </c>
      <c r="N119" s="55">
        <f t="shared" si="37"/>
        <v>1.7432428634391536E-7</v>
      </c>
      <c r="O119" s="56">
        <f t="shared" si="43"/>
        <v>1.0005173234925777E-6</v>
      </c>
      <c r="P119" s="56">
        <f t="shared" si="38"/>
        <v>8.8405326275766219E-7</v>
      </c>
      <c r="Q119" s="56">
        <f t="shared" si="39"/>
        <v>1.3016681784160308E-8</v>
      </c>
      <c r="R119" s="9">
        <f t="shared" si="44"/>
        <v>3.9999999999999996E-5</v>
      </c>
      <c r="S119" s="9">
        <f t="shared" si="45"/>
        <v>1.4845859553316329E-8</v>
      </c>
      <c r="T119" s="9">
        <f t="shared" si="40"/>
        <v>3.998316928965868E-5</v>
      </c>
      <c r="U119" s="9">
        <f t="shared" si="41"/>
        <v>3.9985154140446681E-5</v>
      </c>
      <c r="V119" s="100">
        <f t="shared" si="46"/>
        <v>0.99995036030670215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232</v>
      </c>
      <c r="C120" s="46" t="s">
        <v>233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-5.8737087957689227E-2</v>
      </c>
      <c r="K120" s="55">
        <f t="shared" si="35"/>
        <v>0.99963307451647132</v>
      </c>
      <c r="L120" s="55">
        <f t="shared" si="36"/>
        <v>3.6692545573364135E-4</v>
      </c>
      <c r="M120" s="55">
        <f t="shared" si="42"/>
        <v>0.99963307454426631</v>
      </c>
      <c r="N120" s="55">
        <f t="shared" si="37"/>
        <v>2.2607660008643242E-16</v>
      </c>
      <c r="O120" s="56">
        <f t="shared" si="43"/>
        <v>1.0005712162978104E-6</v>
      </c>
      <c r="P120" s="56">
        <f t="shared" si="38"/>
        <v>8.7399896291678427E-7</v>
      </c>
      <c r="Q120" s="56">
        <f t="shared" si="39"/>
        <v>1.6880993600423103E-17</v>
      </c>
      <c r="R120" s="9">
        <f t="shared" si="44"/>
        <v>3.9999999999999996E-5</v>
      </c>
      <c r="S120" s="9">
        <f t="shared" si="45"/>
        <v>1.4677018229345652E-8</v>
      </c>
      <c r="T120" s="9">
        <f t="shared" si="40"/>
        <v>3.9985322980658851E-5</v>
      </c>
      <c r="U120" s="9">
        <f t="shared" si="41"/>
        <v>3.9985322981770646E-5</v>
      </c>
      <c r="V120" s="100">
        <f t="shared" si="46"/>
        <v>0.9999999999721948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234</v>
      </c>
      <c r="C121" s="46" t="s">
        <v>235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0.26093616996066504</v>
      </c>
      <c r="K121" s="55">
        <f t="shared" si="35"/>
        <v>0.99521604446133272</v>
      </c>
      <c r="L121" s="55">
        <f t="shared" si="36"/>
        <v>7.6265452629025582E-4</v>
      </c>
      <c r="M121" s="55">
        <f t="shared" si="42"/>
        <v>0.99923734547370979</v>
      </c>
      <c r="N121" s="55">
        <f t="shared" si="37"/>
        <v>8.4271665907319635E-5</v>
      </c>
      <c r="O121" s="56">
        <f t="shared" si="43"/>
        <v>9.9615004092120352E-7</v>
      </c>
      <c r="P121" s="56">
        <f t="shared" si="38"/>
        <v>1.8166067647411848E-6</v>
      </c>
      <c r="Q121" s="56">
        <f t="shared" si="39"/>
        <v>6.2925108230333421E-6</v>
      </c>
      <c r="R121" s="9">
        <f t="shared" si="44"/>
        <v>3.9999999999999996E-5</v>
      </c>
      <c r="S121" s="9">
        <f t="shared" si="45"/>
        <v>3.050618105161023E-8</v>
      </c>
      <c r="T121" s="9">
        <f t="shared" si="40"/>
        <v>3.9808641778453307E-5</v>
      </c>
      <c r="U121" s="9">
        <f t="shared" si="41"/>
        <v>3.9969493818948389E-5</v>
      </c>
      <c r="V121" s="100">
        <f t="shared" si="46"/>
        <v>0.99597562978346177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236</v>
      </c>
      <c r="C122" s="46" t="s">
        <v>237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5.3357521430084338</v>
      </c>
      <c r="K122" s="55">
        <f t="shared" si="35"/>
        <v>2.5080614322607274E-3</v>
      </c>
      <c r="L122" s="55">
        <f t="shared" si="36"/>
        <v>0.22833086719187251</v>
      </c>
      <c r="M122" s="55">
        <f t="shared" si="42"/>
        <v>0.77166913280812754</v>
      </c>
      <c r="N122" s="55">
        <f t="shared" si="37"/>
        <v>0.21518061711219616</v>
      </c>
      <c r="O122" s="56">
        <f t="shared" si="43"/>
        <v>2.510415213142685E-9</v>
      </c>
      <c r="P122" s="56">
        <f t="shared" si="38"/>
        <v>5.4387325275260287E-4</v>
      </c>
      <c r="Q122" s="56">
        <f t="shared" si="39"/>
        <v>1.6067397594520326E-2</v>
      </c>
      <c r="R122" s="9">
        <f t="shared" si="44"/>
        <v>3.9999999999999996E-5</v>
      </c>
      <c r="S122" s="9">
        <f t="shared" si="45"/>
        <v>9.1332346876749E-6</v>
      </c>
      <c r="T122" s="9">
        <f t="shared" si="40"/>
        <v>1.0032245729042909E-7</v>
      </c>
      <c r="U122" s="9">
        <f t="shared" si="41"/>
        <v>3.0866765312325102E-5</v>
      </c>
      <c r="V122" s="100">
        <f t="shared" si="46"/>
        <v>3.2501772140785461E-3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238</v>
      </c>
      <c r="C123" s="46" t="s">
        <v>239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0.90354926162364302</v>
      </c>
      <c r="K123" s="55">
        <f t="shared" ref="K123:K127" si="49">IF(D123=0,"",1/(1+10^D123*$J$15/$J$14+10^E123*$J$16/$J$14+10^J123*$J$19/$J$14))</f>
        <v>0.97274049426329912</v>
      </c>
      <c r="L123" s="55">
        <f t="shared" ref="L123:L127" si="50">IF(D123=0,"",1/(1+10^I123/10^J123*$J$13/$J$19))</f>
        <v>3.2735619974540234E-3</v>
      </c>
      <c r="M123" s="55">
        <f t="shared" si="42"/>
        <v>0.99672643800254601</v>
      </c>
      <c r="N123" s="55">
        <f t="shared" ref="N123:N127" si="51">IF(D123=0,"",1/(1/10^E123*$J$20/$J$22+10^D123/10^E123*$J$21/$J$22+10^I123/10^E123*$J$13/$J$22+1))</f>
        <v>1.2167209663162351E-3</v>
      </c>
      <c r="O123" s="56">
        <f t="shared" si="43"/>
        <v>9.7365339773091439E-7</v>
      </c>
      <c r="P123" s="56">
        <f t="shared" ref="P123:P127" si="52">IF(D123=0,"",O123*10^J123)</f>
        <v>7.7974687940308451E-6</v>
      </c>
      <c r="Q123" s="56">
        <f t="shared" ref="Q123:Q127" si="53">IF(D123=0,"",F123*N123*$J$7/$J$22)</f>
        <v>9.0851768108828781E-5</v>
      </c>
      <c r="R123" s="9">
        <f t="shared" si="44"/>
        <v>3.9999999999999996E-5</v>
      </c>
      <c r="S123" s="9">
        <f t="shared" si="45"/>
        <v>1.3094247989816091E-7</v>
      </c>
      <c r="T123" s="9">
        <f t="shared" si="40"/>
        <v>3.8909619770531963E-5</v>
      </c>
      <c r="U123" s="9">
        <f t="shared" si="41"/>
        <v>3.9869057520101835E-5</v>
      </c>
      <c r="V123" s="100">
        <f t="shared" si="46"/>
        <v>0.97593527890429488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240</v>
      </c>
      <c r="C124" s="46" t="s">
        <v>241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1.0716665691586713</v>
      </c>
      <c r="K124" s="55">
        <f t="shared" si="49"/>
        <v>0.9489584884530855</v>
      </c>
      <c r="L124" s="55">
        <f t="shared" si="50"/>
        <v>4.7031420638173685E-3</v>
      </c>
      <c r="M124" s="55">
        <f t="shared" si="42"/>
        <v>0.99529685793618261</v>
      </c>
      <c r="N124" s="55">
        <f t="shared" si="51"/>
        <v>6.7843494754884462E-4</v>
      </c>
      <c r="O124" s="56">
        <f t="shared" si="43"/>
        <v>9.498490728379659E-7</v>
      </c>
      <c r="P124" s="56">
        <f t="shared" si="52"/>
        <v>1.1202660436867076E-5</v>
      </c>
      <c r="Q124" s="56">
        <f t="shared" si="53"/>
        <v>5.0658299016779756E-5</v>
      </c>
      <c r="R124" s="9">
        <f t="shared" si="44"/>
        <v>3.9999999999999996E-5</v>
      </c>
      <c r="S124" s="9">
        <f t="shared" si="45"/>
        <v>1.8812568255269473E-7</v>
      </c>
      <c r="T124" s="9">
        <f t="shared" si="40"/>
        <v>3.7958339538123418E-5</v>
      </c>
      <c r="U124" s="9">
        <f t="shared" si="41"/>
        <v>3.9811874317447301E-5</v>
      </c>
      <c r="V124" s="100">
        <f t="shared" si="46"/>
        <v>0.95344266475513351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242</v>
      </c>
      <c r="C125" s="46" t="s">
        <v>243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0.1052380650673532</v>
      </c>
      <c r="K125" s="55">
        <f t="shared" si="49"/>
        <v>0.99760540910420015</v>
      </c>
      <c r="L125" s="55">
        <f t="shared" si="50"/>
        <v>5.3415976671210513E-4</v>
      </c>
      <c r="M125" s="55">
        <f t="shared" si="42"/>
        <v>0.99946584023328788</v>
      </c>
      <c r="N125" s="55">
        <f t="shared" si="51"/>
        <v>1.8270851657076228E-5</v>
      </c>
      <c r="O125" s="56">
        <f t="shared" si="43"/>
        <v>9.9854164794966183E-7</v>
      </c>
      <c r="P125" s="56">
        <f t="shared" si="52"/>
        <v>1.2723431281288676E-6</v>
      </c>
      <c r="Q125" s="56">
        <f t="shared" si="53"/>
        <v>1.3642726835924916E-6</v>
      </c>
      <c r="R125" s="9">
        <f t="shared" si="44"/>
        <v>3.9999999999999996E-5</v>
      </c>
      <c r="S125" s="9">
        <f t="shared" si="45"/>
        <v>2.1366390668484205E-8</v>
      </c>
      <c r="T125" s="9">
        <f t="shared" si="40"/>
        <v>3.9904216364167999E-5</v>
      </c>
      <c r="U125" s="9">
        <f t="shared" si="41"/>
        <v>3.9978633609331515E-5</v>
      </c>
      <c r="V125" s="100">
        <f t="shared" si="46"/>
        <v>0.99813857457234012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244</v>
      </c>
      <c r="C126" s="46" t="s">
        <v>245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4.2425872318946825</v>
      </c>
      <c r="K126" s="55">
        <f t="shared" si="49"/>
        <v>2.6971765619004065E-2</v>
      </c>
      <c r="L126" s="55">
        <f t="shared" si="50"/>
        <v>0.19813943587828978</v>
      </c>
      <c r="M126" s="55">
        <f t="shared" si="42"/>
        <v>0.80186056412171025</v>
      </c>
      <c r="N126" s="55">
        <f t="shared" si="51"/>
        <v>0.17509524645940594</v>
      </c>
      <c r="O126" s="56">
        <f t="shared" si="43"/>
        <v>2.699707824709604E-8</v>
      </c>
      <c r="P126" s="56">
        <f t="shared" si="52"/>
        <v>4.7195870105085395E-4</v>
      </c>
      <c r="Q126" s="56">
        <f t="shared" si="53"/>
        <v>1.3074248877662255E-2</v>
      </c>
      <c r="R126" s="9">
        <f t="shared" si="44"/>
        <v>3.9999999999999996E-5</v>
      </c>
      <c r="S126" s="9">
        <f t="shared" si="45"/>
        <v>7.9255774351315903E-6</v>
      </c>
      <c r="T126" s="9">
        <f t="shared" si="40"/>
        <v>1.0788706247601624E-6</v>
      </c>
      <c r="U126" s="9">
        <f t="shared" si="41"/>
        <v>3.207442256486841E-5</v>
      </c>
      <c r="V126" s="100">
        <f t="shared" si="46"/>
        <v>3.3636478492425473E-2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246</v>
      </c>
      <c r="C127" s="46" t="s">
        <v>247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0.12683662687631944</v>
      </c>
      <c r="J127" s="54">
        <f t="shared" si="48"/>
        <v>2.1027401001650152</v>
      </c>
      <c r="K127" s="55">
        <f t="shared" si="49"/>
        <v>0.71782151034133135</v>
      </c>
      <c r="L127" s="55">
        <f t="shared" si="50"/>
        <v>3.8214737586595382E-2</v>
      </c>
      <c r="M127" s="55">
        <f t="shared" si="42"/>
        <v>0.96178526241340467</v>
      </c>
      <c r="N127" s="55">
        <f t="shared" si="51"/>
        <v>2.3204993288337167E-2</v>
      </c>
      <c r="O127" s="56">
        <f t="shared" si="43"/>
        <v>7.1849517587677889E-7</v>
      </c>
      <c r="P127" s="56">
        <f t="shared" si="52"/>
        <v>9.1025685181861325E-5</v>
      </c>
      <c r="Q127" s="56">
        <f t="shared" si="53"/>
        <v>1.7327018499416534E-3</v>
      </c>
      <c r="R127" s="9">
        <f t="shared" si="44"/>
        <v>3.9999999999999996E-5</v>
      </c>
      <c r="S127" s="9">
        <f t="shared" si="45"/>
        <v>1.5285895034638151E-6</v>
      </c>
      <c r="T127" s="9">
        <f t="shared" si="40"/>
        <v>2.8712860413653251E-5</v>
      </c>
      <c r="U127" s="9">
        <f t="shared" si="41"/>
        <v>3.8471410496536182E-5</v>
      </c>
      <c r="V127" s="100">
        <f t="shared" si="46"/>
        <v>0.74634280477546944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248</v>
      </c>
      <c r="C128" s="46" t="s">
        <v>249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3.013869491074634</v>
      </c>
      <c r="K128" s="55">
        <f t="shared" ref="K128:K134" si="56">IF(D128=0,"",1/(1+10^D128*$J$15/$J$14+10^E128*$J$16/$J$14+10^J128*$J$19/$J$14))</f>
        <v>0.24259968922643316</v>
      </c>
      <c r="L128" s="55">
        <f t="shared" ref="L128:L134" si="57">IF(D128=0,"",1/(1+10^I128/10^J128*$J$13/$J$19))</f>
        <v>0.1052528936605454</v>
      </c>
      <c r="M128" s="55">
        <f t="shared" ref="M128:M134" si="58">IF(D128=0,"",1-L128)</f>
        <v>0.89474710633945465</v>
      </c>
      <c r="N128" s="55">
        <f t="shared" ref="N128:N134" si="59">IF(D128=0,"",1/(1/10^E128*$J$20/$J$22+10^D128/10^E128*$J$21/$J$22+10^I128/10^E128*$J$13/$J$22+1))</f>
        <v>6.6884923776821342E-2</v>
      </c>
      <c r="O128" s="56">
        <f t="shared" ref="O128:O134" si="60">IF(D128=0,"",F128*K128*$J$7/$J$14)</f>
        <v>2.42827365671326E-7</v>
      </c>
      <c r="P128" s="56">
        <f t="shared" ref="P128:P134" si="61">IF(D128=0,"",O128*10^J128)</f>
        <v>2.5070738065686386E-4</v>
      </c>
      <c r="Q128" s="56">
        <f t="shared" ref="Q128:Q134" si="62">IF(D128=0,"",F128*N128*$J$7/$J$22)</f>
        <v>4.9942540263328578E-3</v>
      </c>
      <c r="R128" s="9">
        <f t="shared" si="44"/>
        <v>3.9999999999999996E-5</v>
      </c>
      <c r="S128" s="9">
        <f t="shared" si="45"/>
        <v>4.2101157464218155E-6</v>
      </c>
      <c r="T128" s="9">
        <f t="shared" si="40"/>
        <v>9.7039875690573254E-6</v>
      </c>
      <c r="U128" s="9">
        <f t="shared" si="41"/>
        <v>3.5789884253578182E-5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250</v>
      </c>
      <c r="C129" s="46" t="s">
        <v>251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-5.6092090125515102E-2</v>
      </c>
      <c r="K129" s="55">
        <f t="shared" si="56"/>
        <v>0.99960442430111196</v>
      </c>
      <c r="L129" s="55">
        <f t="shared" si="57"/>
        <v>3.691563920585455E-4</v>
      </c>
      <c r="M129" s="55">
        <f t="shared" si="58"/>
        <v>0.99963084360794141</v>
      </c>
      <c r="N129" s="55">
        <f t="shared" si="59"/>
        <v>7.1346997899867249E-8</v>
      </c>
      <c r="O129" s="56">
        <f t="shared" si="60"/>
        <v>1.0005425391946211E-6</v>
      </c>
      <c r="P129" s="56">
        <f t="shared" si="61"/>
        <v>8.7931294700764294E-7</v>
      </c>
      <c r="Q129" s="56">
        <f t="shared" si="62"/>
        <v>5.3274342169715787E-9</v>
      </c>
      <c r="R129" s="9">
        <f t="shared" si="44"/>
        <v>3.9999999999999996E-5</v>
      </c>
      <c r="S129" s="9">
        <f t="shared" si="45"/>
        <v>1.4766255682341818E-8</v>
      </c>
      <c r="T129" s="9">
        <f t="shared" si="40"/>
        <v>3.9984176972044477E-5</v>
      </c>
      <c r="U129" s="9">
        <f t="shared" si="41"/>
        <v>3.9985233744317654E-5</v>
      </c>
      <c r="V129" s="100">
        <f t="shared" si="46"/>
        <v>0.99997357093671291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252</v>
      </c>
      <c r="C130" s="46" t="s">
        <v>253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1.4310859529846958</v>
      </c>
      <c r="K130" s="55">
        <f t="shared" si="56"/>
        <v>0.91293679896454272</v>
      </c>
      <c r="L130" s="55">
        <f t="shared" si="57"/>
        <v>1.0351445009163157E-2</v>
      </c>
      <c r="M130" s="55">
        <f t="shared" si="58"/>
        <v>0.98964855499083682</v>
      </c>
      <c r="N130" s="55">
        <f t="shared" si="59"/>
        <v>4.7914055227641032E-3</v>
      </c>
      <c r="O130" s="56">
        <f t="shared" si="60"/>
        <v>9.1379357749324935E-7</v>
      </c>
      <c r="P130" s="56">
        <f t="shared" si="61"/>
        <v>2.4656649085873828E-5</v>
      </c>
      <c r="Q130" s="56">
        <f t="shared" si="62"/>
        <v>3.5777115338734623E-4</v>
      </c>
      <c r="R130" s="9">
        <f t="shared" si="44"/>
        <v>3.9999999999999996E-5</v>
      </c>
      <c r="S130" s="9">
        <f t="shared" si="45"/>
        <v>4.1405780036652625E-7</v>
      </c>
      <c r="T130" s="9">
        <f t="shared" si="40"/>
        <v>3.6517471958581702E-5</v>
      </c>
      <c r="U130" s="9">
        <f t="shared" si="41"/>
        <v>3.9585942199633466E-5</v>
      </c>
      <c r="V130" s="100">
        <f t="shared" si="46"/>
        <v>0.92248586062250715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254</v>
      </c>
      <c r="C131" s="46" t="s">
        <v>255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9.2770544988280301E-2</v>
      </c>
      <c r="K131" s="55">
        <f t="shared" si="56"/>
        <v>0.99785420622617882</v>
      </c>
      <c r="L131" s="55">
        <f t="shared" si="57"/>
        <v>5.1917282306624779E-4</v>
      </c>
      <c r="M131" s="55">
        <f t="shared" si="58"/>
        <v>0.99948082717693376</v>
      </c>
      <c r="N131" s="55">
        <f t="shared" si="59"/>
        <v>2.3857892157485674E-5</v>
      </c>
      <c r="O131" s="56">
        <f t="shared" si="60"/>
        <v>9.9879067856428989E-7</v>
      </c>
      <c r="P131" s="56">
        <f t="shared" si="61"/>
        <v>1.2366449420284181E-6</v>
      </c>
      <c r="Q131" s="56">
        <f t="shared" si="62"/>
        <v>1.7814533864899106E-6</v>
      </c>
      <c r="R131" s="9">
        <f t="shared" si="44"/>
        <v>3.9999999999999996E-5</v>
      </c>
      <c r="S131" s="9">
        <f t="shared" si="45"/>
        <v>2.0766912922649909E-8</v>
      </c>
      <c r="T131" s="9">
        <f t="shared" si="40"/>
        <v>3.9914168249047152E-5</v>
      </c>
      <c r="U131" s="9">
        <f t="shared" si="41"/>
        <v>3.9979233087077347E-5</v>
      </c>
      <c r="V131" s="100">
        <f t="shared" si="46"/>
        <v>0.99837253411318616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256</v>
      </c>
      <c r="C132" s="46" t="s">
        <v>257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0.27496781452008184</v>
      </c>
      <c r="K132" s="55">
        <f t="shared" si="56"/>
        <v>0.99495444424491752</v>
      </c>
      <c r="L132" s="55">
        <f t="shared" si="57"/>
        <v>7.8749050123456846E-4</v>
      </c>
      <c r="M132" s="55">
        <f t="shared" si="58"/>
        <v>0.99921250949876539</v>
      </c>
      <c r="N132" s="55">
        <f t="shared" si="59"/>
        <v>9.1241908408326184E-5</v>
      </c>
      <c r="O132" s="56">
        <f t="shared" si="60"/>
        <v>9.9588819519661215E-7</v>
      </c>
      <c r="P132" s="56">
        <f t="shared" si="61"/>
        <v>1.8757648743930645E-6</v>
      </c>
      <c r="Q132" s="56">
        <f t="shared" si="62"/>
        <v>6.8129743252618075E-6</v>
      </c>
      <c r="R132" s="9">
        <f t="shared" si="44"/>
        <v>3.9999999999999996E-5</v>
      </c>
      <c r="S132" s="9">
        <f t="shared" si="45"/>
        <v>3.1499620049382738E-8</v>
      </c>
      <c r="T132" s="9">
        <f t="shared" si="40"/>
        <v>3.97981777697967E-5</v>
      </c>
      <c r="U132" s="9">
        <f t="shared" si="41"/>
        <v>3.996850037995061E-5</v>
      </c>
      <c r="V132" s="100">
        <f t="shared" si="46"/>
        <v>0.99573857891752793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258</v>
      </c>
      <c r="C133" s="46" t="s">
        <v>259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2.3319124893564669</v>
      </c>
      <c r="K133" s="55">
        <f t="shared" si="56"/>
        <v>0.61207103786938699</v>
      </c>
      <c r="L133" s="55">
        <f t="shared" si="57"/>
        <v>5.5231728200986187E-2</v>
      </c>
      <c r="M133" s="55">
        <f t="shared" si="58"/>
        <v>0.94476827179901379</v>
      </c>
      <c r="N133" s="55">
        <f t="shared" si="59"/>
        <v>3.5895158199802719E-2</v>
      </c>
      <c r="O133" s="56">
        <f t="shared" si="60"/>
        <v>6.1264545805256338E-7</v>
      </c>
      <c r="P133" s="56">
        <f t="shared" si="61"/>
        <v>1.3155934649245385E-4</v>
      </c>
      <c r="Q133" s="56">
        <f t="shared" si="62"/>
        <v>2.6802682614007044E-3</v>
      </c>
      <c r="R133" s="9">
        <f t="shared" si="44"/>
        <v>3.9999999999999996E-5</v>
      </c>
      <c r="S133" s="9">
        <f t="shared" si="45"/>
        <v>2.2092691280394472E-6</v>
      </c>
      <c r="T133" s="9">
        <f t="shared" si="40"/>
        <v>2.4482841514775479E-5</v>
      </c>
      <c r="U133" s="9">
        <f t="shared" si="41"/>
        <v>3.779073087196055E-5</v>
      </c>
      <c r="V133" s="100">
        <f t="shared" si="46"/>
        <v>0.64785308327923663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260</v>
      </c>
      <c r="C134" s="46" t="s">
        <v>261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-5.7907129439144098E-2</v>
      </c>
      <c r="K134" s="55">
        <f t="shared" si="56"/>
        <v>0.9996240253123313</v>
      </c>
      <c r="L134" s="55">
        <f t="shared" si="57"/>
        <v>3.6762401116473758E-4</v>
      </c>
      <c r="M134" s="55">
        <f t="shared" si="58"/>
        <v>0.99963237598883525</v>
      </c>
      <c r="N134" s="55">
        <f t="shared" si="59"/>
        <v>1.3920113021995417E-8</v>
      </c>
      <c r="O134" s="56">
        <f t="shared" si="60"/>
        <v>1.0005621586011178E-6</v>
      </c>
      <c r="P134" s="56">
        <f t="shared" si="61"/>
        <v>8.7566288868911169E-7</v>
      </c>
      <c r="Q134" s="56">
        <f t="shared" si="62"/>
        <v>1.0394058418767472E-9</v>
      </c>
      <c r="R134" s="9">
        <f t="shared" si="44"/>
        <v>3.9999999999999996E-5</v>
      </c>
      <c r="S134" s="9">
        <f t="shared" si="45"/>
        <v>1.4704960446589503E-8</v>
      </c>
      <c r="T134" s="9">
        <f t="shared" si="40"/>
        <v>3.9984961012493246E-5</v>
      </c>
      <c r="U134" s="9">
        <f t="shared" si="41"/>
        <v>3.9985295039553407E-5</v>
      </c>
      <c r="V134" s="100">
        <f t="shared" si="46"/>
        <v>0.99999164625245784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262</v>
      </c>
      <c r="C135" s="46" t="s">
        <v>263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0.41641808606377456</v>
      </c>
      <c r="K135" s="55">
        <f t="shared" ref="K135:K143" si="65">IF(D135=0,"",1/(1+10^D135*$J$15/$J$14+10^E135*$J$16/$J$14+10^J135*$J$19/$J$14))</f>
        <v>0.99186961488787107</v>
      </c>
      <c r="L135" s="55">
        <f t="shared" ref="L135:L143" si="66">IF(D135=0,"",1/(1+10^I135/10^J135*$J$13/$J$19))</f>
        <v>1.0872939850348053E-3</v>
      </c>
      <c r="M135" s="55">
        <f t="shared" ref="M135:M143" si="67">IF(D135=0,"",1-L135)</f>
        <v>0.99891270601496518</v>
      </c>
      <c r="N135" s="55">
        <f t="shared" ref="N135:N143" si="68">IF(D135=0,"",1/(1/10^E135*$J$20/$J$22+10^D135/10^E135*$J$21/$J$22+10^I135/10^E135*$J$13/$J$22+1))</f>
        <v>1.8324731280243667E-4</v>
      </c>
      <c r="O135" s="56">
        <f t="shared" ref="O135:O143" si="69">IF(D135=0,"",F135*K135*$J$7/$J$14)</f>
        <v>9.9280047076998266E-7</v>
      </c>
      <c r="P135" s="56">
        <f t="shared" ref="P135:P143" si="70">IF(D135=0,"",O135*10^J135)</f>
        <v>2.5898824964488563E-6</v>
      </c>
      <c r="Q135" s="56">
        <f t="shared" ref="Q135:Q143" si="71">IF(D135=0,"",F135*N135*$J$7/$J$22)</f>
        <v>1.3682958402284947E-5</v>
      </c>
      <c r="R135" s="9">
        <f t="shared" si="44"/>
        <v>3.9999999999999996E-5</v>
      </c>
      <c r="S135" s="9">
        <f t="shared" si="45"/>
        <v>4.3491759401392207E-8</v>
      </c>
      <c r="T135" s="9">
        <f t="shared" si="40"/>
        <v>3.9674784595514839E-5</v>
      </c>
      <c r="U135" s="9">
        <f t="shared" si="41"/>
        <v>3.9956508240598602E-5</v>
      </c>
      <c r="V135" s="100">
        <f t="shared" si="46"/>
        <v>0.99294924262682405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264</v>
      </c>
      <c r="C136" s="46" t="s">
        <v>265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-2.4847756824831816E-2</v>
      </c>
      <c r="K136" s="55">
        <f t="shared" si="65"/>
        <v>0.99926783934351726</v>
      </c>
      <c r="L136" s="55">
        <f t="shared" si="66"/>
        <v>3.9655959887867234E-4</v>
      </c>
      <c r="M136" s="55">
        <f t="shared" si="67"/>
        <v>0.99960344040112137</v>
      </c>
      <c r="N136" s="55">
        <f t="shared" si="68"/>
        <v>2.5989983066119013E-6</v>
      </c>
      <c r="O136" s="56">
        <f t="shared" si="69"/>
        <v>1.0002056383567102E-6</v>
      </c>
      <c r="P136" s="56">
        <f t="shared" si="70"/>
        <v>9.4458608073857486E-7</v>
      </c>
      <c r="Q136" s="56">
        <f t="shared" si="71"/>
        <v>1.9406552365283463E-7</v>
      </c>
      <c r="R136" s="9">
        <f t="shared" si="44"/>
        <v>3.9999999999999996E-5</v>
      </c>
      <c r="S136" s="9">
        <f t="shared" si="45"/>
        <v>1.5862383955146892E-8</v>
      </c>
      <c r="T136" s="9">
        <f t="shared" si="40"/>
        <v>3.997071357374069E-5</v>
      </c>
      <c r="U136" s="9">
        <f t="shared" si="41"/>
        <v>3.998413761604485E-5</v>
      </c>
      <c r="V136" s="100">
        <f t="shared" si="46"/>
        <v>0.99966426580377776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266</v>
      </c>
      <c r="C137" s="46" t="s">
        <v>267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-5.8647943797627743E-2</v>
      </c>
      <c r="K137" s="55">
        <f t="shared" si="65"/>
        <v>0.99963209504544526</v>
      </c>
      <c r="L137" s="55">
        <f t="shared" si="66"/>
        <v>3.6700041972339968E-4</v>
      </c>
      <c r="M137" s="55">
        <f t="shared" si="67"/>
        <v>0.99963299958027663</v>
      </c>
      <c r="N137" s="55">
        <f t="shared" si="68"/>
        <v>5.9190679180966423E-10</v>
      </c>
      <c r="O137" s="56">
        <f t="shared" si="69"/>
        <v>1.0005702359075644E-6</v>
      </c>
      <c r="P137" s="56">
        <f t="shared" si="70"/>
        <v>8.7417752357067513E-7</v>
      </c>
      <c r="Q137" s="56">
        <f t="shared" si="71"/>
        <v>4.4197297556517723E-11</v>
      </c>
      <c r="R137" s="9">
        <f t="shared" si="44"/>
        <v>3.9999999999999996E-5</v>
      </c>
      <c r="S137" s="9">
        <f t="shared" si="45"/>
        <v>1.4680016788935986E-8</v>
      </c>
      <c r="T137" s="9">
        <f t="shared" si="40"/>
        <v>3.9985283801817805E-5</v>
      </c>
      <c r="U137" s="9">
        <f t="shared" si="41"/>
        <v>3.9985319983211061E-5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268</v>
      </c>
      <c r="C138" s="46" t="s">
        <v>269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-2.8562424368517695E-2</v>
      </c>
      <c r="K138" s="55">
        <f t="shared" si="65"/>
        <v>0.99930832975162165</v>
      </c>
      <c r="L138" s="55">
        <f t="shared" si="66"/>
        <v>3.9319808711788494E-4</v>
      </c>
      <c r="M138" s="55">
        <f t="shared" si="67"/>
        <v>0.99960680191288209</v>
      </c>
      <c r="N138" s="55">
        <f t="shared" si="68"/>
        <v>2.2029999450353942E-6</v>
      </c>
      <c r="O138" s="56">
        <f t="shared" si="69"/>
        <v>1.0002461667645012E-6</v>
      </c>
      <c r="P138" s="56">
        <f t="shared" si="70"/>
        <v>9.365791197963678E-7</v>
      </c>
      <c r="Q138" s="56">
        <f t="shared" si="71"/>
        <v>1.6449658195344899E-7</v>
      </c>
      <c r="R138" s="9">
        <f t="shared" si="44"/>
        <v>3.9999999999999996E-5</v>
      </c>
      <c r="S138" s="9">
        <f t="shared" si="45"/>
        <v>1.5727923484715397E-8</v>
      </c>
      <c r="T138" s="9">
        <f t="shared" si="40"/>
        <v>3.9972333190064863E-5</v>
      </c>
      <c r="U138" s="9">
        <f t="shared" si="41"/>
        <v>3.9984272076515277E-5</v>
      </c>
      <c r="V138" s="100">
        <f t="shared" si="46"/>
        <v>0.99970141043389338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270</v>
      </c>
      <c r="C139" s="46" t="s">
        <v>271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0.3185068789023815</v>
      </c>
      <c r="K139" s="55">
        <f t="shared" si="65"/>
        <v>0.99377647677833125</v>
      </c>
      <c r="L139" s="55">
        <f t="shared" si="66"/>
        <v>8.6950063734246043E-4</v>
      </c>
      <c r="M139" s="55">
        <f t="shared" si="67"/>
        <v>0.99913049936265752</v>
      </c>
      <c r="N139" s="55">
        <f t="shared" si="68"/>
        <v>8.0427711022396418E-5</v>
      </c>
      <c r="O139" s="56">
        <f t="shared" si="69"/>
        <v>9.9470912222389033E-7</v>
      </c>
      <c r="P139" s="56">
        <f t="shared" si="70"/>
        <v>2.0711091133574876E-6</v>
      </c>
      <c r="Q139" s="56">
        <f t="shared" si="71"/>
        <v>6.0054851963745211E-6</v>
      </c>
      <c r="R139" s="9">
        <f t="shared" si="44"/>
        <v>3.9999999999999996E-5</v>
      </c>
      <c r="S139" s="9">
        <f t="shared" si="45"/>
        <v>3.4780025493698417E-8</v>
      </c>
      <c r="T139" s="9">
        <f t="shared" si="40"/>
        <v>3.9751059071133245E-5</v>
      </c>
      <c r="U139" s="9">
        <f t="shared" si="41"/>
        <v>3.9965219974506297E-5</v>
      </c>
      <c r="V139" s="100">
        <f t="shared" si="46"/>
        <v>0.9946413180382927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272</v>
      </c>
      <c r="C140" s="46" t="s">
        <v>273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-5.8060513860230811E-2</v>
      </c>
      <c r="K140" s="55">
        <f t="shared" si="65"/>
        <v>0.99962569052774342</v>
      </c>
      <c r="L140" s="55">
        <f t="shared" si="66"/>
        <v>3.6749480857849274E-4</v>
      </c>
      <c r="M140" s="55">
        <f t="shared" si="67"/>
        <v>0.99963250519142155</v>
      </c>
      <c r="N140" s="55">
        <f t="shared" si="68"/>
        <v>1.0430496596858984E-8</v>
      </c>
      <c r="O140" s="56">
        <f t="shared" si="69"/>
        <v>1.0005638253793115E-6</v>
      </c>
      <c r="P140" s="56">
        <f t="shared" si="70"/>
        <v>8.7535513428118042E-7</v>
      </c>
      <c r="Q140" s="56">
        <f t="shared" si="71"/>
        <v>7.7883843897818084E-10</v>
      </c>
      <c r="R140" s="9">
        <f t="shared" si="44"/>
        <v>3.9999999999999996E-5</v>
      </c>
      <c r="S140" s="9">
        <f t="shared" si="45"/>
        <v>1.4699792343139708E-8</v>
      </c>
      <c r="T140" s="9">
        <f t="shared" si="40"/>
        <v>3.9985027621109736E-5</v>
      </c>
      <c r="U140" s="9">
        <f t="shared" si="41"/>
        <v>3.9985300207656861E-5</v>
      </c>
      <c r="V140" s="100">
        <f t="shared" si="46"/>
        <v>0.99999318283104766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274</v>
      </c>
      <c r="C141" s="46" t="s">
        <v>275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-5.7043412255376839E-2</v>
      </c>
      <c r="K141" s="55">
        <f t="shared" si="65"/>
        <v>0.99961467893250266</v>
      </c>
      <c r="L141" s="55">
        <f t="shared" si="66"/>
        <v>3.6835241871245079E-4</v>
      </c>
      <c r="M141" s="55">
        <f t="shared" si="67"/>
        <v>0.99963164758128753</v>
      </c>
      <c r="N141" s="55">
        <f t="shared" si="68"/>
        <v>3.807700494548342E-8</v>
      </c>
      <c r="O141" s="56">
        <f t="shared" si="69"/>
        <v>1.0005528034498414E-6</v>
      </c>
      <c r="P141" s="56">
        <f t="shared" si="70"/>
        <v>8.7739792078169085E-7</v>
      </c>
      <c r="Q141" s="56">
        <f t="shared" si="71"/>
        <v>2.8431853476310289E-9</v>
      </c>
      <c r="R141" s="9">
        <f t="shared" si="44"/>
        <v>3.9999999999999996E-5</v>
      </c>
      <c r="S141" s="9">
        <f t="shared" si="45"/>
        <v>1.473409674849803E-8</v>
      </c>
      <c r="T141" s="9">
        <f t="shared" si="40"/>
        <v>3.9984587157300105E-5</v>
      </c>
      <c r="U141" s="9">
        <f t="shared" si="41"/>
        <v>3.9985265903251495E-5</v>
      </c>
      <c r="V141" s="100">
        <f t="shared" si="46"/>
        <v>0.99998302509846915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276</v>
      </c>
      <c r="C142" s="46" t="s">
        <v>277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1.619266797430863</v>
      </c>
      <c r="K142" s="55">
        <f t="shared" si="65"/>
        <v>0.87529823036208498</v>
      </c>
      <c r="L142" s="55">
        <f t="shared" si="66"/>
        <v>1.5307249502193712E-2</v>
      </c>
      <c r="M142" s="55">
        <f t="shared" si="67"/>
        <v>0.98469275049780625</v>
      </c>
      <c r="N142" s="55">
        <f t="shared" si="68"/>
        <v>7.7503912553404438E-3</v>
      </c>
      <c r="O142" s="56">
        <f t="shared" si="69"/>
        <v>8.7611968561598619E-7</v>
      </c>
      <c r="P142" s="56">
        <f t="shared" si="70"/>
        <v>3.6461139397582468E-5</v>
      </c>
      <c r="Q142" s="56">
        <f t="shared" si="71"/>
        <v>5.7871670545362646E-4</v>
      </c>
      <c r="R142" s="9">
        <f t="shared" si="44"/>
        <v>3.9999999999999996E-5</v>
      </c>
      <c r="S142" s="9">
        <f t="shared" si="45"/>
        <v>6.122899800877484E-7</v>
      </c>
      <c r="T142" s="9">
        <f t="shared" si="40"/>
        <v>3.5011929214483395E-5</v>
      </c>
      <c r="U142" s="9">
        <f t="shared" si="41"/>
        <v>3.9387710019912243E-5</v>
      </c>
      <c r="V142" s="100">
        <f t="shared" si="46"/>
        <v>0.88890491975246344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278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2.4581070126707267</v>
      </c>
      <c r="K143" s="55">
        <f t="shared" si="65"/>
        <v>0.39655112020656269</v>
      </c>
      <c r="L143" s="55">
        <f t="shared" si="66"/>
        <v>4.7849841874606301E-2</v>
      </c>
      <c r="M143" s="55">
        <f t="shared" si="67"/>
        <v>0.95215015812539372</v>
      </c>
      <c r="N143" s="55">
        <f t="shared" si="68"/>
        <v>2.2405991137890075E-3</v>
      </c>
      <c r="O143" s="56">
        <f t="shared" si="69"/>
        <v>3.9692327793501978E-7</v>
      </c>
      <c r="P143" s="56">
        <f t="shared" si="70"/>
        <v>1.1397604478141339E-4</v>
      </c>
      <c r="Q143" s="56">
        <f t="shared" si="71"/>
        <v>1.673040875814897E-4</v>
      </c>
      <c r="R143" s="9">
        <f t="shared" si="44"/>
        <v>3.9999999999999996E-5</v>
      </c>
      <c r="S143" s="9">
        <f t="shared" si="45"/>
        <v>1.9139936749842518E-6</v>
      </c>
      <c r="T143" s="9">
        <f t="shared" si="40"/>
        <v>1.5862044808262506E-5</v>
      </c>
      <c r="U143" s="9">
        <f t="shared" si="41"/>
        <v>3.8086006325015748E-5</v>
      </c>
      <c r="V143" s="100">
        <f t="shared" si="46"/>
        <v>0.4164796033719072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2025-02-02T15:03:21Z</dcterms:modified>
</cp:coreProperties>
</file>