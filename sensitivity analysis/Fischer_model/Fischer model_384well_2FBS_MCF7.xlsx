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F4E4798D-04F3-49E2-8403-E21573B9E18D}" xr6:coauthVersionLast="47" xr6:coauthVersionMax="47" xr10:uidLastSave="{00000000-0000-0000-0000-000000000000}"/>
  <bookViews>
    <workbookView minimized="1" xWindow="47340" yWindow="3270" windowWidth="16200" windowHeight="999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R131" i="4"/>
  <c r="U131" i="4" s="1"/>
  <c r="V130" i="4"/>
  <c r="R130" i="4"/>
  <c r="V127" i="4"/>
  <c r="U127" i="4"/>
  <c r="R127" i="4"/>
  <c r="T127" i="4" s="1"/>
  <c r="V126" i="4"/>
  <c r="R126" i="4"/>
  <c r="U126" i="4" s="1"/>
  <c r="V124" i="4"/>
  <c r="U124" i="4"/>
  <c r="T124" i="4"/>
  <c r="S124" i="4"/>
  <c r="R124" i="4"/>
  <c r="V121" i="4"/>
  <c r="R121" i="4"/>
  <c r="T121" i="4" s="1"/>
  <c r="V120" i="4"/>
  <c r="R120" i="4"/>
  <c r="U120" i="4" s="1"/>
  <c r="V119" i="4"/>
  <c r="R119" i="4"/>
  <c r="U119" i="4" s="1"/>
  <c r="V116" i="4"/>
  <c r="R116" i="4"/>
  <c r="V115" i="4"/>
  <c r="U115" i="4"/>
  <c r="T115" i="4"/>
  <c r="R115" i="4"/>
  <c r="S115" i="4" s="1"/>
  <c r="V114" i="4"/>
  <c r="R114" i="4"/>
  <c r="U114" i="4" s="1"/>
  <c r="V108" i="4"/>
  <c r="R108" i="4"/>
  <c r="U108" i="4" s="1"/>
  <c r="V107" i="4"/>
  <c r="R107" i="4"/>
  <c r="S107" i="4" s="1"/>
  <c r="V93" i="4"/>
  <c r="R93" i="4"/>
  <c r="V92" i="4"/>
  <c r="U92" i="4"/>
  <c r="R92" i="4"/>
  <c r="T92" i="4" s="1"/>
  <c r="V91" i="4"/>
  <c r="R91" i="4"/>
  <c r="U91" i="4" s="1"/>
  <c r="V90" i="4"/>
  <c r="U90" i="4"/>
  <c r="T90" i="4"/>
  <c r="S90" i="4"/>
  <c r="R90" i="4"/>
  <c r="V89" i="4"/>
  <c r="R89" i="4"/>
  <c r="T89" i="4" s="1"/>
  <c r="V88" i="4"/>
  <c r="R88" i="4"/>
  <c r="U88" i="4" s="1"/>
  <c r="V86" i="4"/>
  <c r="R86" i="4"/>
  <c r="U86" i="4" s="1"/>
  <c r="V85" i="4"/>
  <c r="R85" i="4"/>
  <c r="V84" i="4"/>
  <c r="U84" i="4"/>
  <c r="T84" i="4"/>
  <c r="R84" i="4"/>
  <c r="S84" i="4" s="1"/>
  <c r="V83" i="4"/>
  <c r="R83" i="4"/>
  <c r="U83" i="4" s="1"/>
  <c r="V82" i="4"/>
  <c r="R82" i="4"/>
  <c r="U82" i="4" s="1"/>
  <c r="V81" i="4"/>
  <c r="R81" i="4"/>
  <c r="S81" i="4" s="1"/>
  <c r="V80" i="4"/>
  <c r="R80" i="4"/>
  <c r="V79" i="4"/>
  <c r="U79" i="4"/>
  <c r="R79" i="4"/>
  <c r="T79" i="4" s="1"/>
  <c r="V78" i="4"/>
  <c r="R78" i="4"/>
  <c r="U78" i="4" s="1"/>
  <c r="V77" i="4"/>
  <c r="U77" i="4"/>
  <c r="T77" i="4"/>
  <c r="S77" i="4"/>
  <c r="R77" i="4"/>
  <c r="V76" i="4"/>
  <c r="R76" i="4"/>
  <c r="S76" i="4" s="1"/>
  <c r="V75" i="4"/>
  <c r="R75" i="4"/>
  <c r="U75" i="4" s="1"/>
  <c r="V74" i="4"/>
  <c r="R74" i="4"/>
  <c r="U74" i="4" s="1"/>
  <c r="V73" i="4"/>
  <c r="R73" i="4"/>
  <c r="V72" i="4"/>
  <c r="U72" i="4"/>
  <c r="T72" i="4"/>
  <c r="R72" i="4"/>
  <c r="S72" i="4" s="1"/>
  <c r="V71" i="4"/>
  <c r="R71" i="4"/>
  <c r="U71" i="4" s="1"/>
  <c r="V70" i="4"/>
  <c r="R70" i="4"/>
  <c r="U70" i="4" s="1"/>
  <c r="V69" i="4"/>
  <c r="R69" i="4"/>
  <c r="S69" i="4" s="1"/>
  <c r="V68" i="4"/>
  <c r="R68" i="4"/>
  <c r="V65" i="4"/>
  <c r="U65" i="4"/>
  <c r="R65" i="4"/>
  <c r="T65" i="4" s="1"/>
  <c r="V64" i="4"/>
  <c r="R64" i="4"/>
  <c r="U64" i="4" s="1"/>
  <c r="V63" i="4"/>
  <c r="U63" i="4"/>
  <c r="T63" i="4"/>
  <c r="S63" i="4"/>
  <c r="R63" i="4"/>
  <c r="V62" i="4"/>
  <c r="R62" i="4"/>
  <c r="T62" i="4" s="1"/>
  <c r="V61" i="4"/>
  <c r="R61" i="4"/>
  <c r="U61" i="4" s="1"/>
  <c r="V60" i="4"/>
  <c r="R60" i="4"/>
  <c r="U60" i="4" s="1"/>
  <c r="V58" i="4"/>
  <c r="R58" i="4"/>
  <c r="V57" i="4"/>
  <c r="U57" i="4"/>
  <c r="T57" i="4"/>
  <c r="R57" i="4"/>
  <c r="S57" i="4" s="1"/>
  <c r="V49" i="4"/>
  <c r="R49" i="4"/>
  <c r="U49" i="4" s="1"/>
  <c r="V48" i="4"/>
  <c r="R48" i="4"/>
  <c r="U48" i="4" s="1"/>
  <c r="V47" i="4"/>
  <c r="R47" i="4"/>
  <c r="S47" i="4" s="1"/>
  <c r="V46" i="4"/>
  <c r="R46" i="4"/>
  <c r="U46" i="4" s="1"/>
  <c r="V45" i="4"/>
  <c r="U45" i="4"/>
  <c r="R45" i="4"/>
  <c r="T45" i="4" s="1"/>
  <c r="V44" i="4"/>
  <c r="R44" i="4"/>
  <c r="V43" i="4"/>
  <c r="U43" i="4"/>
  <c r="T43" i="4"/>
  <c r="S43" i="4"/>
  <c r="R43" i="4"/>
  <c r="V42" i="4"/>
  <c r="R42" i="4"/>
  <c r="S42" i="4" s="1"/>
  <c r="V41" i="4"/>
  <c r="R41" i="4"/>
  <c r="U41" i="4" s="1"/>
  <c r="V40" i="4"/>
  <c r="R40" i="4"/>
  <c r="U40" i="4" s="1"/>
  <c r="V39" i="4"/>
  <c r="R39" i="4"/>
  <c r="V38" i="4"/>
  <c r="U38" i="4"/>
  <c r="T38" i="4"/>
  <c r="R38" i="4"/>
  <c r="S38" i="4" s="1"/>
  <c r="V37" i="4"/>
  <c r="R37" i="4"/>
  <c r="U37" i="4" s="1"/>
  <c r="V36" i="4"/>
  <c r="U36" i="4"/>
  <c r="R36" i="4"/>
  <c r="T36" i="4" s="1"/>
  <c r="V35" i="4"/>
  <c r="R35" i="4"/>
  <c r="U35" i="4" s="1"/>
  <c r="V34" i="4"/>
  <c r="R34" i="4"/>
  <c r="U34" i="4" s="1"/>
  <c r="V33" i="4"/>
  <c r="U33" i="4"/>
  <c r="R33" i="4"/>
  <c r="T33" i="4" s="1"/>
  <c r="V32" i="4"/>
  <c r="R32" i="4"/>
  <c r="V31" i="4"/>
  <c r="U31" i="4"/>
  <c r="T31" i="4"/>
  <c r="S31" i="4"/>
  <c r="R31" i="4"/>
  <c r="V30" i="4"/>
  <c r="R30" i="4"/>
  <c r="U30" i="4" s="1"/>
  <c r="V29" i="4"/>
  <c r="U29" i="4"/>
  <c r="T29" i="4"/>
  <c r="R29" i="4"/>
  <c r="S29" i="4" s="1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/>
  <c r="N130" i="4"/>
  <c r="Q130" i="4" s="1"/>
  <c r="I131" i="4"/>
  <c r="L131" i="4" s="1"/>
  <c r="M131" i="4" s="1"/>
  <c r="J131" i="4"/>
  <c r="K131" i="4"/>
  <c r="O131" i="4"/>
  <c r="P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S120" i="4" l="1"/>
  <c r="T120" i="4"/>
  <c r="U32" i="4"/>
  <c r="S32" i="4"/>
  <c r="T32" i="4"/>
  <c r="S36" i="4"/>
  <c r="T44" i="4"/>
  <c r="S44" i="4"/>
  <c r="U44" i="4"/>
  <c r="S48" i="4"/>
  <c r="S70" i="4"/>
  <c r="S82" i="4"/>
  <c r="S108" i="4"/>
  <c r="S41" i="4"/>
  <c r="T48" i="4"/>
  <c r="T70" i="4"/>
  <c r="T82" i="4"/>
  <c r="T108" i="4"/>
  <c r="T41" i="4"/>
  <c r="S34" i="4"/>
  <c r="S61" i="4"/>
  <c r="S75" i="4"/>
  <c r="S88" i="4"/>
  <c r="T34" i="4"/>
  <c r="T61" i="4"/>
  <c r="T75" i="4"/>
  <c r="T88" i="4"/>
  <c r="S46" i="4"/>
  <c r="U68" i="4"/>
  <c r="T68" i="4"/>
  <c r="U80" i="4"/>
  <c r="T80" i="4"/>
  <c r="U93" i="4"/>
  <c r="T93" i="4"/>
  <c r="U130" i="4"/>
  <c r="T130" i="4"/>
  <c r="U39" i="4"/>
  <c r="T39" i="4"/>
  <c r="T46" i="4"/>
  <c r="S68" i="4"/>
  <c r="S80" i="4"/>
  <c r="S93" i="4"/>
  <c r="S130" i="4"/>
  <c r="S39" i="4"/>
  <c r="U58" i="4"/>
  <c r="T58" i="4"/>
  <c r="S58" i="4"/>
  <c r="U73" i="4"/>
  <c r="T73" i="4"/>
  <c r="S73" i="4"/>
  <c r="U85" i="4"/>
  <c r="T85" i="4"/>
  <c r="S85" i="4"/>
  <c r="U116" i="4"/>
  <c r="T116" i="4"/>
  <c r="S116" i="4"/>
  <c r="S126" i="4"/>
  <c r="T126" i="4"/>
  <c r="S30" i="4"/>
  <c r="T30" i="4"/>
  <c r="S35" i="4"/>
  <c r="T42" i="4"/>
  <c r="T76" i="4"/>
  <c r="S131" i="4"/>
  <c r="S28" i="4"/>
  <c r="T35" i="4"/>
  <c r="S40" i="4"/>
  <c r="U42" i="4"/>
  <c r="T47" i="4"/>
  <c r="S60" i="4"/>
  <c r="U62" i="4"/>
  <c r="T69" i="4"/>
  <c r="S74" i="4"/>
  <c r="U76" i="4"/>
  <c r="T81" i="4"/>
  <c r="S86" i="4"/>
  <c r="U89" i="4"/>
  <c r="T107" i="4"/>
  <c r="S119" i="4"/>
  <c r="U121" i="4"/>
  <c r="T131" i="4"/>
  <c r="T28" i="4"/>
  <c r="S33" i="4"/>
  <c r="T40" i="4"/>
  <c r="S45" i="4"/>
  <c r="U47" i="4"/>
  <c r="T60" i="4"/>
  <c r="S65" i="4"/>
  <c r="U69" i="4"/>
  <c r="T74" i="4"/>
  <c r="S79" i="4"/>
  <c r="U81" i="4"/>
  <c r="T86" i="4"/>
  <c r="S92" i="4"/>
  <c r="U107" i="4"/>
  <c r="T119" i="4"/>
  <c r="S127" i="4"/>
  <c r="S64" i="4"/>
  <c r="S78" i="4"/>
  <c r="S91" i="4"/>
  <c r="S37" i="4"/>
  <c r="S49" i="4"/>
  <c r="T64" i="4"/>
  <c r="S71" i="4"/>
  <c r="T78" i="4"/>
  <c r="S83" i="4"/>
  <c r="T91" i="4"/>
  <c r="S114" i="4"/>
  <c r="T37" i="4"/>
  <c r="T49" i="4"/>
  <c r="S62" i="4"/>
  <c r="T71" i="4"/>
  <c r="T83" i="4"/>
  <c r="S89" i="4"/>
  <c r="T114" i="4"/>
  <c r="S121" i="4"/>
  <c r="N131" i="4"/>
  <c r="Q131" i="4" s="1"/>
  <c r="O15" i="1" l="1"/>
  <c r="L15" i="1"/>
  <c r="N15" i="1"/>
  <c r="M97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J16" i="4"/>
  <c r="J15" i="4"/>
  <c r="J87" i="4"/>
  <c r="K87" i="4" s="1"/>
  <c r="J122" i="4"/>
  <c r="K122" i="4"/>
  <c r="J117" i="4"/>
  <c r="K117" i="4"/>
  <c r="J120" i="4"/>
  <c r="K120" i="4" s="1"/>
  <c r="O120" i="4" s="1"/>
  <c r="P120" i="4" s="1"/>
  <c r="J101" i="4"/>
  <c r="K101" i="4"/>
  <c r="J86" i="4"/>
  <c r="K86" i="4"/>
  <c r="J85" i="4"/>
  <c r="K85" i="4" s="1"/>
  <c r="J88" i="4"/>
  <c r="K88" i="4" s="1"/>
  <c r="J119" i="4"/>
  <c r="K119" i="4"/>
  <c r="O119" i="4" s="1"/>
  <c r="P119" i="4" s="1"/>
  <c r="J72" i="4"/>
  <c r="K72" i="4"/>
  <c r="J103" i="4"/>
  <c r="K103" i="4"/>
  <c r="J118" i="4"/>
  <c r="K118" i="4"/>
  <c r="J104" i="4"/>
  <c r="K104" i="4"/>
  <c r="J90" i="4"/>
  <c r="K90" i="4" s="1"/>
  <c r="J71" i="4"/>
  <c r="K71" i="4"/>
  <c r="O71" i="4" s="1"/>
  <c r="P71" i="4" s="1"/>
  <c r="J110" i="4"/>
  <c r="K110" i="4"/>
  <c r="J82" i="4"/>
  <c r="K82" i="4" s="1"/>
  <c r="J113" i="4"/>
  <c r="K113" i="4"/>
  <c r="J97" i="4"/>
  <c r="K97" i="4"/>
  <c r="J81" i="4"/>
  <c r="K81" i="4" s="1"/>
  <c r="J116" i="4"/>
  <c r="K116" i="4"/>
  <c r="J100" i="4"/>
  <c r="K100" i="4"/>
  <c r="O100" i="4"/>
  <c r="J84" i="4"/>
  <c r="K84" i="4" s="1"/>
  <c r="J114" i="4"/>
  <c r="K114" i="4" s="1"/>
  <c r="O114" i="4" s="1"/>
  <c r="P114" i="4" s="1"/>
  <c r="J78" i="4"/>
  <c r="K78" i="4"/>
  <c r="J115" i="4"/>
  <c r="K115" i="4"/>
  <c r="O115" i="4"/>
  <c r="J99" i="4"/>
  <c r="K99" i="4"/>
  <c r="J83" i="4"/>
  <c r="K83" i="4"/>
  <c r="J102" i="4"/>
  <c r="K102" i="4"/>
  <c r="J74" i="4"/>
  <c r="K74" i="4" s="1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 s="1"/>
  <c r="J106" i="4"/>
  <c r="K106" i="4"/>
  <c r="J127" i="4"/>
  <c r="K127" i="4"/>
  <c r="O127" i="4" s="1"/>
  <c r="P127" i="4" s="1"/>
  <c r="J111" i="4"/>
  <c r="K111" i="4"/>
  <c r="J95" i="4"/>
  <c r="K95" i="4"/>
  <c r="J79" i="4"/>
  <c r="K79" i="4" s="1"/>
  <c r="J126" i="4"/>
  <c r="K126" i="4"/>
  <c r="J94" i="4"/>
  <c r="L94" i="4" s="1"/>
  <c r="J121" i="4"/>
  <c r="K121" i="4"/>
  <c r="O121" i="4" s="1"/>
  <c r="P121" i="4" s="1"/>
  <c r="J105" i="4"/>
  <c r="K105" i="4"/>
  <c r="J89" i="4"/>
  <c r="K89" i="4"/>
  <c r="J73" i="4"/>
  <c r="K73" i="4" s="1"/>
  <c r="J124" i="4"/>
  <c r="K124" i="4" s="1"/>
  <c r="O124" i="4" s="1"/>
  <c r="P124" i="4" s="1"/>
  <c r="J108" i="4"/>
  <c r="K108" i="4" s="1"/>
  <c r="O108" i="4" s="1"/>
  <c r="P108" i="4" s="1"/>
  <c r="J92" i="4"/>
  <c r="K92" i="4"/>
  <c r="J76" i="4"/>
  <c r="K76" i="4"/>
  <c r="J98" i="4"/>
  <c r="K98" i="4"/>
  <c r="J123" i="4"/>
  <c r="K123" i="4"/>
  <c r="J107" i="4"/>
  <c r="K107" i="4" s="1"/>
  <c r="O107" i="4" s="1"/>
  <c r="P107" i="4" s="1"/>
  <c r="J91" i="4"/>
  <c r="K91" i="4" s="1"/>
  <c r="O91" i="4" s="1"/>
  <c r="P91" i="4" s="1"/>
  <c r="J75" i="4"/>
  <c r="K75" i="4"/>
  <c r="P100" i="4"/>
  <c r="P115" i="4"/>
  <c r="O112" i="4"/>
  <c r="P112" i="4"/>
  <c r="O98" i="4"/>
  <c r="P98" i="4"/>
  <c r="O105" i="4"/>
  <c r="P105" i="4"/>
  <c r="O126" i="4"/>
  <c r="P126" i="4"/>
  <c r="O111" i="4"/>
  <c r="P111" i="4"/>
  <c r="O104" i="4"/>
  <c r="P104" i="4"/>
  <c r="O96" i="4"/>
  <c r="P96" i="4"/>
  <c r="O102" i="4"/>
  <c r="P102" i="4"/>
  <c r="O78" i="4"/>
  <c r="P78" i="4" s="1"/>
  <c r="O97" i="4"/>
  <c r="P97" i="4"/>
  <c r="O110" i="4"/>
  <c r="P110" i="4"/>
  <c r="O118" i="4"/>
  <c r="P118" i="4"/>
  <c r="O117" i="4"/>
  <c r="P117" i="4"/>
  <c r="O106" i="4"/>
  <c r="P106" i="4"/>
  <c r="O109" i="4"/>
  <c r="P109" i="4"/>
  <c r="O116" i="4"/>
  <c r="P116" i="4" s="1"/>
  <c r="O113" i="4"/>
  <c r="P113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I76" i="4"/>
  <c r="N76" i="4" s="1"/>
  <c r="Q76" i="4" s="1"/>
  <c r="I77" i="4"/>
  <c r="L77" i="4" s="1"/>
  <c r="I81" i="4"/>
  <c r="N81" i="4" s="1"/>
  <c r="Q81" i="4" s="1"/>
  <c r="I89" i="4"/>
  <c r="L89" i="4" s="1"/>
  <c r="I90" i="4"/>
  <c r="L90" i="4" s="1"/>
  <c r="I96" i="4"/>
  <c r="I99" i="4"/>
  <c r="I102" i="4"/>
  <c r="I104" i="4"/>
  <c r="I108" i="4"/>
  <c r="L108" i="4" s="1"/>
  <c r="M108" i="4" s="1"/>
  <c r="I111" i="4"/>
  <c r="I113" i="4"/>
  <c r="I115" i="4"/>
  <c r="N115" i="4" s="1"/>
  <c r="Q115" i="4" s="1"/>
  <c r="I119" i="4"/>
  <c r="N119" i="4" s="1"/>
  <c r="Q119" i="4" s="1"/>
  <c r="I120" i="4"/>
  <c r="L120" i="4" s="1"/>
  <c r="M120" i="4" s="1"/>
  <c r="I123" i="4"/>
  <c r="I125" i="4"/>
  <c r="I79" i="4"/>
  <c r="I92" i="4"/>
  <c r="N92" i="4" s="1"/>
  <c r="Q92" i="4" s="1"/>
  <c r="I100" i="4"/>
  <c r="I103" i="4"/>
  <c r="I107" i="4"/>
  <c r="N107" i="4" s="1"/>
  <c r="Q107" i="4" s="1"/>
  <c r="I109" i="4"/>
  <c r="I110" i="4"/>
  <c r="I117" i="4"/>
  <c r="I124" i="4"/>
  <c r="N124" i="4" s="1"/>
  <c r="Q124" i="4" s="1"/>
  <c r="I72" i="4"/>
  <c r="N72" i="4" s="1"/>
  <c r="Q72" i="4" s="1"/>
  <c r="I106" i="4"/>
  <c r="I71" i="4"/>
  <c r="I75" i="4"/>
  <c r="I80" i="4"/>
  <c r="I83" i="4"/>
  <c r="I86" i="4"/>
  <c r="I88" i="4"/>
  <c r="N88" i="4" s="1"/>
  <c r="Q88" i="4" s="1"/>
  <c r="I94" i="4"/>
  <c r="I95" i="4"/>
  <c r="L95" i="4" s="1"/>
  <c r="I98" i="4"/>
  <c r="I101" i="4"/>
  <c r="I118" i="4"/>
  <c r="I127" i="4"/>
  <c r="L127" i="4" s="1"/>
  <c r="M127" i="4" s="1"/>
  <c r="I73" i="4"/>
  <c r="N73" i="4" s="1"/>
  <c r="Q73" i="4" s="1"/>
  <c r="I74" i="4"/>
  <c r="I78" i="4"/>
  <c r="L78" i="4" s="1"/>
  <c r="I82" i="4"/>
  <c r="N82" i="4" s="1"/>
  <c r="Q82" i="4" s="1"/>
  <c r="I85" i="4"/>
  <c r="I93" i="4"/>
  <c r="N93" i="4" s="1"/>
  <c r="Q93" i="4" s="1"/>
  <c r="I112" i="4"/>
  <c r="I114" i="4"/>
  <c r="L114" i="4" s="1"/>
  <c r="M114" i="4" s="1"/>
  <c r="I121" i="4"/>
  <c r="I122" i="4"/>
  <c r="I84" i="4"/>
  <c r="I87" i="4"/>
  <c r="I91" i="4"/>
  <c r="I97" i="4"/>
  <c r="I105" i="4"/>
  <c r="I116" i="4"/>
  <c r="N116" i="4" s="1"/>
  <c r="Q116" i="4" s="1"/>
  <c r="I126" i="4"/>
  <c r="L105" i="4"/>
  <c r="N105" i="4"/>
  <c r="Q105" i="4"/>
  <c r="N121" i="4"/>
  <c r="Q121" i="4"/>
  <c r="L121" i="4"/>
  <c r="M121" i="4" s="1"/>
  <c r="N85" i="4"/>
  <c r="Q85" i="4" s="1"/>
  <c r="N101" i="4"/>
  <c r="Q101" i="4"/>
  <c r="L101" i="4"/>
  <c r="N75" i="4"/>
  <c r="Q75" i="4"/>
  <c r="L106" i="4"/>
  <c r="N106" i="4"/>
  <c r="Q106" i="4"/>
  <c r="L124" i="4"/>
  <c r="M124" i="4" s="1"/>
  <c r="N79" i="4"/>
  <c r="Q79" i="4"/>
  <c r="L79" i="4"/>
  <c r="L119" i="4"/>
  <c r="M119" i="4" s="1"/>
  <c r="N108" i="4"/>
  <c r="Q108" i="4" s="1"/>
  <c r="L96" i="4"/>
  <c r="N96" i="4"/>
  <c r="Q96" i="4" s="1"/>
  <c r="L97" i="4"/>
  <c r="N97" i="4"/>
  <c r="Q97" i="4"/>
  <c r="N114" i="4"/>
  <c r="Q114" i="4"/>
  <c r="N98" i="4"/>
  <c r="Q98" i="4"/>
  <c r="L98" i="4"/>
  <c r="N86" i="4"/>
  <c r="Q86" i="4" s="1"/>
  <c r="L86" i="4"/>
  <c r="N71" i="4"/>
  <c r="Q71" i="4"/>
  <c r="L71" i="4"/>
  <c r="M71" i="4" s="1"/>
  <c r="N117" i="4"/>
  <c r="Q117" i="4"/>
  <c r="L117" i="4"/>
  <c r="N103" i="4"/>
  <c r="Q103" i="4"/>
  <c r="L103" i="4"/>
  <c r="L125" i="4"/>
  <c r="N125" i="4"/>
  <c r="Q125" i="4"/>
  <c r="L115" i="4"/>
  <c r="M115" i="4" s="1"/>
  <c r="L104" i="4"/>
  <c r="N104" i="4"/>
  <c r="Q104" i="4"/>
  <c r="N90" i="4"/>
  <c r="Q90" i="4" s="1"/>
  <c r="N126" i="4"/>
  <c r="Q126" i="4"/>
  <c r="L126" i="4"/>
  <c r="M126" i="4" s="1"/>
  <c r="N91" i="4"/>
  <c r="Q91" i="4"/>
  <c r="L91" i="4"/>
  <c r="M91" i="4" s="1"/>
  <c r="L112" i="4"/>
  <c r="N112" i="4"/>
  <c r="Q112" i="4"/>
  <c r="N95" i="4"/>
  <c r="Q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N87" i="4"/>
  <c r="Q87" i="4" s="1"/>
  <c r="L87" i="4"/>
  <c r="N122" i="4"/>
  <c r="Q122" i="4"/>
  <c r="L122" i="4"/>
  <c r="N74" i="4"/>
  <c r="Q74" i="4"/>
  <c r="L74" i="4"/>
  <c r="N118" i="4"/>
  <c r="Q118" i="4"/>
  <c r="L118" i="4"/>
  <c r="N94" i="4"/>
  <c r="Q94" i="4"/>
  <c r="N80" i="4"/>
  <c r="Q80" i="4" s="1"/>
  <c r="N109" i="4"/>
  <c r="Q109" i="4"/>
  <c r="L109" i="4"/>
  <c r="L92" i="4"/>
  <c r="N120" i="4"/>
  <c r="Q120" i="4" s="1"/>
  <c r="N111" i="4"/>
  <c r="Q111" i="4"/>
  <c r="L111" i="4"/>
  <c r="N99" i="4"/>
  <c r="Q99" i="4"/>
  <c r="L99" i="4"/>
  <c r="M90" i="4" l="1"/>
  <c r="M89" i="4"/>
  <c r="O74" i="4"/>
  <c r="P74" i="4" s="1"/>
  <c r="O82" i="4"/>
  <c r="P82" i="4" s="1"/>
  <c r="M77" i="4"/>
  <c r="O79" i="4"/>
  <c r="P79" i="4" s="1"/>
  <c r="O73" i="4"/>
  <c r="P73" i="4" s="1"/>
  <c r="O84" i="4"/>
  <c r="P84" i="4" s="1"/>
  <c r="M95" i="4"/>
  <c r="O92" i="4"/>
  <c r="P92" i="4" s="1"/>
  <c r="O86" i="4"/>
  <c r="P86" i="4" s="1"/>
  <c r="L116" i="4"/>
  <c r="M116" i="4" s="1"/>
  <c r="N127" i="4"/>
  <c r="Q127" i="4" s="1"/>
  <c r="N77" i="4"/>
  <c r="Q77" i="4" s="1"/>
  <c r="L107" i="4"/>
  <c r="M107" i="4" s="1"/>
  <c r="M94" i="4"/>
  <c r="M74" i="4"/>
  <c r="O72" i="4"/>
  <c r="P72" i="4" s="1"/>
  <c r="L81" i="4"/>
  <c r="O76" i="4"/>
  <c r="P76" i="4" s="1"/>
  <c r="O93" i="4"/>
  <c r="P93" i="4" s="1"/>
  <c r="O88" i="4"/>
  <c r="P88" i="4" s="1"/>
  <c r="M79" i="4"/>
  <c r="M87" i="4"/>
  <c r="O75" i="4"/>
  <c r="P75" i="4" s="1"/>
  <c r="O85" i="4"/>
  <c r="P85" i="4" s="1"/>
  <c r="L76" i="4"/>
  <c r="M86" i="4"/>
  <c r="L83" i="4"/>
  <c r="O80" i="4"/>
  <c r="P80" i="4" s="1"/>
  <c r="M96" i="4"/>
  <c r="L73" i="4"/>
  <c r="M78" i="4"/>
  <c r="L80" i="4"/>
  <c r="M92" i="4"/>
  <c r="L84" i="4"/>
  <c r="O77" i="4"/>
  <c r="P77" i="4" s="1"/>
  <c r="L72" i="4"/>
  <c r="L85" i="4"/>
  <c r="L75" i="4"/>
  <c r="O89" i="4"/>
  <c r="P89" i="4" s="1"/>
  <c r="O95" i="4"/>
  <c r="P95" i="4" s="1"/>
  <c r="O83" i="4"/>
  <c r="P83" i="4" s="1"/>
  <c r="O87" i="4"/>
  <c r="P87" i="4" s="1"/>
  <c r="O90" i="4"/>
  <c r="P90" i="4" s="1"/>
  <c r="O81" i="4"/>
  <c r="P81" i="4" s="1"/>
  <c r="N83" i="4"/>
  <c r="Q83" i="4" s="1"/>
  <c r="L93" i="4"/>
  <c r="L88" i="4"/>
  <c r="K94" i="4"/>
  <c r="L82" i="4"/>
  <c r="N78" i="4"/>
  <c r="Q78" i="4" s="1"/>
  <c r="N84" i="4"/>
  <c r="Q84" i="4" s="1"/>
  <c r="J14" i="4"/>
  <c r="J13" i="4" s="1"/>
  <c r="K16" i="4" s="1"/>
  <c r="M93" i="4" l="1"/>
  <c r="M84" i="4"/>
  <c r="M81" i="4"/>
  <c r="M75" i="4"/>
  <c r="M83" i="4"/>
  <c r="M80" i="4"/>
  <c r="M85" i="4"/>
  <c r="M76" i="4"/>
  <c r="M72" i="4"/>
  <c r="M73" i="4"/>
  <c r="O94" i="4"/>
  <c r="P94" i="4" s="1"/>
  <c r="M88" i="4"/>
  <c r="M82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8" i="4" l="1"/>
  <c r="P58" i="4" s="1"/>
  <c r="O57" i="4"/>
  <c r="P57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9" i="4" l="1"/>
  <c r="M57" i="4"/>
  <c r="O66" i="4"/>
  <c r="P66" i="4" s="1"/>
  <c r="M67" i="4"/>
  <c r="O64" i="4"/>
  <c r="P64" i="4" s="1"/>
  <c r="O69" i="4"/>
  <c r="P69" i="4" s="1"/>
  <c r="M66" i="4"/>
  <c r="M68" i="4"/>
  <c r="O68" i="4"/>
  <c r="P68" i="4" s="1"/>
  <c r="M64" i="4"/>
  <c r="M58" i="4"/>
  <c r="O65" i="4"/>
  <c r="P65" i="4" s="1"/>
  <c r="M65" i="4"/>
  <c r="O67" i="4"/>
  <c r="P67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K39" i="4" s="1"/>
  <c r="J45" i="4"/>
  <c r="J30" i="4"/>
  <c r="L30" i="4" s="1"/>
  <c r="J43" i="4"/>
  <c r="L43" i="4" s="1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L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50" i="4"/>
  <c r="M50" i="4" s="1"/>
  <c r="K50" i="4"/>
  <c r="O50" i="4" s="1"/>
  <c r="P50" i="4" s="1"/>
  <c r="L49" i="4"/>
  <c r="K49" i="4"/>
  <c r="K30" i="4"/>
  <c r="O49" i="4" l="1"/>
  <c r="P49" i="4" s="1"/>
  <c r="K43" i="4"/>
  <c r="O43" i="4" s="1"/>
  <c r="P43" i="4" s="1"/>
  <c r="M48" i="4"/>
  <c r="O48" i="4"/>
  <c r="P48" i="4" s="1"/>
  <c r="M49" i="4"/>
  <c r="L39" i="4"/>
  <c r="O39" i="4"/>
  <c r="P39" i="4" s="1"/>
  <c r="M35" i="4"/>
  <c r="M43" i="4"/>
  <c r="M39" i="4"/>
  <c r="O45" i="4"/>
  <c r="P45" i="4" s="1"/>
  <c r="M31" i="4"/>
  <c r="M47" i="4"/>
  <c r="O30" i="4"/>
  <c r="P30" i="4" s="1"/>
  <c r="O33" i="4"/>
  <c r="P33" i="4" s="1"/>
  <c r="O46" i="4"/>
  <c r="P46" i="4" s="1"/>
  <c r="M44" i="4"/>
  <c r="O41" i="4"/>
  <c r="P41" i="4" s="1"/>
  <c r="M45" i="4"/>
  <c r="O31" i="4"/>
  <c r="P31" i="4" s="1"/>
  <c r="O28" i="4"/>
  <c r="P28" i="4" s="1"/>
  <c r="K35" i="4"/>
  <c r="K36" i="4"/>
  <c r="K47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42" i="4" l="1"/>
  <c r="P42" i="4" s="1"/>
  <c r="M41" i="4"/>
  <c r="O44" i="4"/>
  <c r="P44" i="4" s="1"/>
  <c r="O36" i="4"/>
  <c r="P36" i="4" s="1"/>
  <c r="O35" i="4"/>
  <c r="P35" i="4" s="1"/>
  <c r="O29" i="4"/>
  <c r="P29" i="4" s="1"/>
  <c r="O32" i="4"/>
  <c r="P32" i="4" s="1"/>
  <c r="O37" i="4"/>
  <c r="P37" i="4" s="1"/>
  <c r="M46" i="4"/>
  <c r="O47" i="4"/>
  <c r="P47" i="4" s="1"/>
  <c r="O38" i="4"/>
  <c r="P38" i="4" s="1"/>
  <c r="O40" i="4"/>
  <c r="P40" i="4" s="1"/>
  <c r="M33" i="4"/>
  <c r="O34" i="4"/>
  <c r="P34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<sst xmlns="http://schemas.openxmlformats.org/spreadsheetml/2006/main" count="318" uniqueCount="294">
  <si>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</si>
  <si>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</si>
  <si>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</si>
  <si>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</si>
  <si>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</si>
  <si>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</si>
  <si>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</si>
  <si>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</si>
  <si>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</si>
  <si>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</si>
  <si>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</si>
  <si>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</si>
  <si>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</si>
  <si>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</si>
  <si>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</si>
  <si>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</si>
  <si>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</si>
  <si>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</si>
  <si>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</si>
  <si>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</si>
  <si>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</si>
  <si>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</si>
  <si>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</si>
  <si>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</si>
  <si>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</si>
  <si>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</si>
  <si>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</si>
  <si>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</si>
  <si>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</si>
  <si>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</si>
  <si>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</si>
  <si>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</si>
  <si>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</si>
  <si>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</si>
  <si>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</si>
  <si>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</si>
  <si>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</si>
  <si>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</si>
  <si>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</si>
  <si>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</si>
  <si>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</si>
  <si>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</si>
  <si>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</si>
  <si>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</si>
  <si>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</si>
  <si>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</si>
  <si>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</si>
  <si>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</si>
  <si>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</si>
  <si>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</si>
  <si>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</si>
  <si>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</si>
  <si>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</si>
  <si>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</si>
  <si>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</si>
  <si>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</si>
  <si>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</si>
  <si>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</si>
  <si>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</si>
  <si>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</si>
  <si>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</si>
  <si>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</si>
  <si>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</si>
  <si>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</si>
  <si>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</si>
  <si>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</si>
  <si>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</si>
  <si>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</si>
  <si>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</si>
  <si>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</si>
  <si>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</si>
  <si>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</si>
  <si>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</si>
  <si>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</si>
  <si>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</si>
  <si>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</si>
  <si>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</si>
  <si>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</si>
  <si>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</si>
  <si>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</si>
  <si>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</si>
  <si>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</si>
  <si>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</si>
  <si>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</si>
  <si>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</si>
  <si>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</si>
  <si>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</si>
  <si>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</si>
  <si>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</si>
  <si>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</si>
  <si>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</si>
  <si>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</si>
  <si>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</si>
  <si>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</si>
  <si>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</si>
  <si>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</si>
  <si>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</si>
  <si>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</si>
  <si>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</si>
  <si>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</si>
  <si>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</si>
  <si>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</si>
  <si>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</si>
  <si>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</si>
  <si>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</si>
  <si>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</si>
  <si>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</si>
  <si>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</si>
  <si>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</si>
  <si>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</si>
  <si>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</si>
  <si>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MCF7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</si>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</sst>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P28" sqref="P28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9.8986000000000005E-3</v>
      </c>
      <c r="M17" s="81">
        <v>5.1399999999999996E-5</v>
      </c>
      <c r="N17" s="81">
        <v>5.0000000000000002E-5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9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40.055999999999997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40.034712160000005</v>
      </c>
      <c r="K8" s="39">
        <f>J8/J7</f>
        <v>0.99946854803275431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1.9487839999999999E-2</v>
      </c>
      <c r="K9" s="39">
        <f>J9/J7</f>
        <v>4.8651487916916321E-4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1.8000000000000002E-3</v>
      </c>
      <c r="K10" s="39">
        <f>J10/J7</f>
        <v>4.4937088076692634E-5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5.6000000000000008E-2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5.5432160000000008E-2</v>
      </c>
      <c r="K20" s="39">
        <f>J20/J19</f>
        <v>0.98985999999999996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2.8783999999999998E-4</v>
      </c>
      <c r="K21" s="39">
        <f>J21/J19</f>
        <v>5.1399999999999987E-3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2.8000000000000003E-4</v>
      </c>
      <c r="K22" s="39">
        <f>J22/J19</f>
        <v>5.0000000000000001E-3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0.20832460750095885</v>
      </c>
      <c r="K28" s="95">
        <f t="shared" ref="K28:K47" si="3">IF(D28=0,"",1/(1+10^D28*$J$15/$J$14+10^E28*$J$16/$J$14+10^J28*$J$19/$J$14))</f>
        <v>0.97423728623870964</v>
      </c>
      <c r="L28" s="95">
        <f t="shared" ref="L28:L47" si="4">IF(D28=0,"",1/(1+10^I28/10^J28*$J$13/$J$19))</f>
        <v>2.2046640123194274E-3</v>
      </c>
      <c r="M28" s="95">
        <f t="shared" ref="M28:M47" si="5">IF(D28=0,"",1-L28)</f>
        <v>0.99779533598768055</v>
      </c>
      <c r="N28" s="95">
        <f t="shared" ref="N28:N47" si="6">IF(D28=0,"",1/(1/10^E28*$J$20/$J$22+10^D28/10^E28*$J$21/$J$22+10^I28/10^E28*$J$13/$J$22+1))</f>
        <v>5.4504556455834546E-4</v>
      </c>
      <c r="O28" s="40">
        <f t="shared" ref="O28:O47" si="7">IF(D28=0,"",F28*K28*$J$7/$J$14)</f>
        <v>9.7610684178348769E-7</v>
      </c>
      <c r="P28" s="40">
        <f t="shared" ref="P28:P47" si="8">IF(D28=0,"",O28*10^J28)</f>
        <v>1.5769646728119106E-6</v>
      </c>
      <c r="Q28" s="40">
        <f t="shared" ref="Q28:Q47" si="9">IF(D28=0,"",F28*N28*$J$7/$J$22)</f>
        <v>7.7972661192675282E-5</v>
      </c>
      <c r="R28" s="9">
        <f>F28*$C$14</f>
        <v>3.9999999999999996E-5</v>
      </c>
      <c r="S28" s="9">
        <f>$R28*L28</f>
        <v>8.8186560492777087E-8</v>
      </c>
      <c r="T28" s="9">
        <f>R28*K28</f>
        <v>3.896949144954838E-5</v>
      </c>
      <c r="U28" s="9">
        <f>$R28*M28</f>
        <v>3.9911813439507217E-5</v>
      </c>
      <c r="V28" s="102">
        <f>K28/M28</f>
        <v>0.97638989790862107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3.5689903624588988</v>
      </c>
      <c r="K29" s="95">
        <f t="shared" si="3"/>
        <v>1.7082578891604774E-2</v>
      </c>
      <c r="L29" s="95">
        <f t="shared" si="4"/>
        <v>8.8694533951250959E-2</v>
      </c>
      <c r="M29" s="95">
        <f t="shared" si="5"/>
        <v>0.91130546604874907</v>
      </c>
      <c r="N29" s="95">
        <f t="shared" si="6"/>
        <v>8.1932932263480363E-2</v>
      </c>
      <c r="O29" s="40">
        <f t="shared" si="7"/>
        <v>1.7115360258667008E-8</v>
      </c>
      <c r="P29" s="40">
        <f t="shared" si="8"/>
        <v>6.3441933070559095E-5</v>
      </c>
      <c r="Q29" s="40">
        <f t="shared" si="9"/>
        <v>1.1721091195521317E-2</v>
      </c>
      <c r="R29" s="9">
        <f>F29*$C$14</f>
        <v>3.9999999999999996E-5</v>
      </c>
      <c r="S29" s="9">
        <f t="shared" ref="S29:S49" si="10">$R29*L29</f>
        <v>3.5477813580500381E-6</v>
      </c>
      <c r="T29" s="9">
        <f t="shared" ref="T29:T50" si="11">R29*K29</f>
        <v>6.8330315566419093E-7</v>
      </c>
      <c r="U29" s="9">
        <f t="shared" ref="U29:U50" si="12">$R29*M29</f>
        <v>3.6452218641949959E-5</v>
      </c>
      <c r="V29" s="102">
        <f t="shared" ref="V29:V49" si="13">K29/M29</f>
        <v>1.8745173301408645E-2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7.0019946190511906</v>
      </c>
      <c r="K30" s="95">
        <f t="shared" si="3"/>
        <v>1.0352595946197828E-5</v>
      </c>
      <c r="L30" s="95">
        <f t="shared" si="4"/>
        <v>0.14567899667874909</v>
      </c>
      <c r="M30" s="95">
        <f t="shared" si="5"/>
        <v>0.85432100332125094</v>
      </c>
      <c r="N30" s="95">
        <f t="shared" si="6"/>
        <v>0.14464296876011512</v>
      </c>
      <c r="O30" s="40">
        <f t="shared" si="7"/>
        <v>1.0372462516105847E-11</v>
      </c>
      <c r="P30" s="40">
        <f t="shared" si="8"/>
        <v>1.0420210519578538E-4</v>
      </c>
      <c r="Q30" s="40">
        <f t="shared" si="9"/>
        <v>2.0692209845197033E-2</v>
      </c>
      <c r="R30" s="9">
        <f t="shared" ref="R30:R49" si="14">F30*$C$14</f>
        <v>3.9999999999999996E-5</v>
      </c>
      <c r="S30" s="9">
        <f t="shared" si="10"/>
        <v>5.827159867149963E-6</v>
      </c>
      <c r="T30" s="9">
        <f t="shared" si="11"/>
        <v>4.1410383784791308E-10</v>
      </c>
      <c r="U30" s="9">
        <f t="shared" si="12"/>
        <v>3.4172840132850032E-5</v>
      </c>
      <c r="V30" s="102">
        <f t="shared" si="13"/>
        <v>1.2117922778383261E-5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2.0469857256800985</v>
      </c>
      <c r="K31" s="95">
        <f t="shared" si="3"/>
        <v>0.33488579183804212</v>
      </c>
      <c r="L31" s="95">
        <f t="shared" si="4"/>
        <v>5.2267954738824528E-2</v>
      </c>
      <c r="M31" s="95">
        <f t="shared" si="5"/>
        <v>0.94773204526117549</v>
      </c>
      <c r="N31" s="95">
        <f t="shared" si="6"/>
        <v>4.6391539523424237E-2</v>
      </c>
      <c r="O31" s="40">
        <f t="shared" si="7"/>
        <v>3.3552843567629564E-7</v>
      </c>
      <c r="P31" s="40">
        <f t="shared" si="8"/>
        <v>3.7386521339613479E-5</v>
      </c>
      <c r="Q31" s="40">
        <f t="shared" si="9"/>
        <v>6.6366410969652886E-3</v>
      </c>
      <c r="R31" s="9">
        <f t="shared" si="14"/>
        <v>3.9999999999999996E-5</v>
      </c>
      <c r="S31" s="9">
        <f t="shared" si="10"/>
        <v>2.0907181895529808E-6</v>
      </c>
      <c r="T31" s="9">
        <f t="shared" si="11"/>
        <v>1.3395431673521684E-5</v>
      </c>
      <c r="U31" s="9">
        <f t="shared" si="12"/>
        <v>3.7909281810447014E-5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2.9114243406645763</v>
      </c>
      <c r="J32" s="94">
        <f t="shared" si="2"/>
        <v>4.7715972923878738</v>
      </c>
      <c r="K32" s="95">
        <f t="shared" si="3"/>
        <v>1.1127083362154431E-3</v>
      </c>
      <c r="L32" s="95">
        <f t="shared" si="4"/>
        <v>9.2115283406509971E-2</v>
      </c>
      <c r="M32" s="95">
        <f t="shared" si="5"/>
        <v>0.90788471659349002</v>
      </c>
      <c r="N32" s="95">
        <f t="shared" si="6"/>
        <v>8.5476042151664933E-2</v>
      </c>
      <c r="O32" s="40">
        <f t="shared" si="7"/>
        <v>1.114843616879688E-9</v>
      </c>
      <c r="P32" s="40">
        <f t="shared" si="8"/>
        <v>6.5888746288056529E-5</v>
      </c>
      <c r="Q32" s="40">
        <f t="shared" si="9"/>
        <v>1.2227958372953892E-2</v>
      </c>
      <c r="R32" s="9">
        <f t="shared" si="14"/>
        <v>3.9999999999999996E-5</v>
      </c>
      <c r="S32" s="9">
        <f t="shared" si="10"/>
        <v>3.6846113362603986E-6</v>
      </c>
      <c r="T32" s="9">
        <f t="shared" si="11"/>
        <v>4.450833344861772E-8</v>
      </c>
      <c r="U32" s="9">
        <f t="shared" si="12"/>
        <v>3.63153886637396E-5</v>
      </c>
      <c r="V32" s="102">
        <f t="shared" si="13"/>
        <v>1.2256053173694561E-3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4.2719801127259966</v>
      </c>
      <c r="K33" s="95">
        <f t="shared" si="3"/>
        <v>3.1372125552087842E-3</v>
      </c>
      <c r="L33" s="95">
        <f t="shared" si="4"/>
        <v>8.2201002789102348E-2</v>
      </c>
      <c r="M33" s="95">
        <f t="shared" si="5"/>
        <v>0.91779899721089764</v>
      </c>
      <c r="N33" s="95">
        <f t="shared" si="6"/>
        <v>7.4551606639578161E-2</v>
      </c>
      <c r="O33" s="40">
        <f t="shared" si="7"/>
        <v>3.1432328474010301E-9</v>
      </c>
      <c r="P33" s="40">
        <f t="shared" si="8"/>
        <v>5.8797202995005109E-5</v>
      </c>
      <c r="Q33" s="40">
        <f t="shared" si="9"/>
        <v>1.0665139841267652E-2</v>
      </c>
      <c r="R33" s="9">
        <f t="shared" si="14"/>
        <v>3.9999999999999996E-5</v>
      </c>
      <c r="S33" s="9">
        <f t="shared" si="10"/>
        <v>3.2880401115640935E-6</v>
      </c>
      <c r="T33" s="9">
        <f t="shared" si="11"/>
        <v>1.2548850220835135E-7</v>
      </c>
      <c r="U33" s="9">
        <f t="shared" si="12"/>
        <v>3.6711959888435902E-5</v>
      </c>
      <c r="V33" s="102">
        <f t="shared" si="13"/>
        <v>3.4181913084918047E-3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4.3022457905640747</v>
      </c>
      <c r="K34" s="95">
        <f t="shared" si="3"/>
        <v>3.16246450838182E-3</v>
      </c>
      <c r="L34" s="95">
        <f t="shared" si="4"/>
        <v>8.884326474475622E-2</v>
      </c>
      <c r="M34" s="95">
        <f t="shared" si="5"/>
        <v>0.91115673525524377</v>
      </c>
      <c r="N34" s="95">
        <f t="shared" si="6"/>
        <v>8.1891103443768681E-2</v>
      </c>
      <c r="O34" s="40">
        <f t="shared" si="7"/>
        <v>3.1685332589216754E-9</v>
      </c>
      <c r="P34" s="40">
        <f t="shared" si="8"/>
        <v>6.3548318082427756E-5</v>
      </c>
      <c r="Q34" s="40">
        <f t="shared" si="9"/>
        <v>1.1715107284084278E-2</v>
      </c>
      <c r="R34" s="9">
        <f t="shared" si="14"/>
        <v>3.9999999999999996E-5</v>
      </c>
      <c r="S34" s="9">
        <f t="shared" si="10"/>
        <v>3.5537305897902486E-6</v>
      </c>
      <c r="T34" s="9">
        <f t="shared" si="11"/>
        <v>1.2649858033527278E-7</v>
      </c>
      <c r="U34" s="9">
        <f t="shared" si="12"/>
        <v>3.6446269410209748E-5</v>
      </c>
      <c r="V34" s="102">
        <f t="shared" si="13"/>
        <v>3.4708238286752209E-3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1.0996040565396161</v>
      </c>
      <c r="K35" s="95">
        <f t="shared" si="3"/>
        <v>0.74792266253178419</v>
      </c>
      <c r="L35" s="95">
        <f t="shared" si="4"/>
        <v>1.317691692402252E-2</v>
      </c>
      <c r="M35" s="95">
        <f t="shared" si="5"/>
        <v>0.98682308307597744</v>
      </c>
      <c r="N35" s="95">
        <f t="shared" si="6"/>
        <v>9.3166065606298844E-3</v>
      </c>
      <c r="O35" s="40">
        <f t="shared" si="7"/>
        <v>7.4935792166274982E-7</v>
      </c>
      <c r="P35" s="40">
        <f t="shared" si="8"/>
        <v>9.425260434082964E-6</v>
      </c>
      <c r="Q35" s="40">
        <f t="shared" si="9"/>
        <v>1.3328071156878233E-3</v>
      </c>
      <c r="R35" s="9">
        <f t="shared" si="14"/>
        <v>3.9999999999999996E-5</v>
      </c>
      <c r="S35" s="9">
        <f t="shared" si="10"/>
        <v>5.2707667696090074E-7</v>
      </c>
      <c r="T35" s="9">
        <f t="shared" si="11"/>
        <v>2.9916906501271365E-5</v>
      </c>
      <c r="U35" s="9">
        <f t="shared" si="12"/>
        <v>3.9472923323039097E-5</v>
      </c>
      <c r="V35" s="102">
        <f t="shared" si="13"/>
        <v>0.757909574024628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7.4478257337388314</v>
      </c>
      <c r="K36" s="95">
        <f t="shared" si="3"/>
        <v>3.7265602331140539E-6</v>
      </c>
      <c r="L36" s="95">
        <f t="shared" si="4"/>
        <v>0.14638175087341956</v>
      </c>
      <c r="M36" s="95">
        <f t="shared" si="5"/>
        <v>0.85361824912658046</v>
      </c>
      <c r="N36" s="95">
        <f t="shared" si="6"/>
        <v>0.14541935300069325</v>
      </c>
      <c r="O36" s="40">
        <f t="shared" si="7"/>
        <v>3.7337114799870468E-12</v>
      </c>
      <c r="P36" s="40">
        <f t="shared" si="8"/>
        <v>1.0470477523188756E-4</v>
      </c>
      <c r="Q36" s="40">
        <f t="shared" si="9"/>
        <v>2.0803277156413457E-2</v>
      </c>
      <c r="R36" s="9">
        <f t="shared" si="14"/>
        <v>3.9999999999999996E-5</v>
      </c>
      <c r="S36" s="9">
        <f t="shared" si="10"/>
        <v>5.855270034936782E-6</v>
      </c>
      <c r="T36" s="9">
        <f t="shared" si="11"/>
        <v>1.4906240932456214E-10</v>
      </c>
      <c r="U36" s="9">
        <f t="shared" si="12"/>
        <v>3.4144729965063219E-5</v>
      </c>
      <c r="V36" s="102">
        <f t="shared" si="13"/>
        <v>4.365605160066644E-6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2.8524813659648856</v>
      </c>
      <c r="K37" s="95">
        <f t="shared" si="3"/>
        <v>7.6704265232914792E-2</v>
      </c>
      <c r="L37" s="95">
        <f t="shared" si="4"/>
        <v>7.649867950289016E-2</v>
      </c>
      <c r="M37" s="95">
        <f t="shared" si="5"/>
        <v>0.92350132049710987</v>
      </c>
      <c r="N37" s="95">
        <f t="shared" si="6"/>
        <v>6.9340597073194704E-2</v>
      </c>
      <c r="O37" s="40">
        <f t="shared" si="7"/>
        <v>7.6851460260655879E-8</v>
      </c>
      <c r="P37" s="40">
        <f t="shared" si="8"/>
        <v>5.4718412610138731E-5</v>
      </c>
      <c r="Q37" s="40">
        <f t="shared" si="9"/>
        <v>9.9196677012995949E-3</v>
      </c>
      <c r="R37" s="9">
        <f t="shared" si="14"/>
        <v>3.9999999999999996E-5</v>
      </c>
      <c r="S37" s="9">
        <f t="shared" si="10"/>
        <v>3.0599471801156062E-6</v>
      </c>
      <c r="T37" s="9">
        <f t="shared" si="11"/>
        <v>3.0681706093165914E-6</v>
      </c>
      <c r="U37" s="9">
        <f t="shared" si="12"/>
        <v>3.6940052819884394E-5</v>
      </c>
      <c r="V37" s="102">
        <f t="shared" si="13"/>
        <v>8.3058100221909584E-2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1.3698795093743001</v>
      </c>
      <c r="K38" s="95">
        <f t="shared" si="3"/>
        <v>0.66601803078234711</v>
      </c>
      <c r="L38" s="95">
        <f t="shared" si="4"/>
        <v>2.1863443002577174E-2</v>
      </c>
      <c r="M38" s="95">
        <f t="shared" si="5"/>
        <v>0.97813655699742286</v>
      </c>
      <c r="N38" s="95">
        <f t="shared" si="6"/>
        <v>1.7701417674541829E-2</v>
      </c>
      <c r="O38" s="40">
        <f t="shared" si="7"/>
        <v>6.6729611541322634E-7</v>
      </c>
      <c r="P38" s="40">
        <f t="shared" si="8"/>
        <v>1.5638608444843413E-5</v>
      </c>
      <c r="Q38" s="40">
        <f t="shared" si="9"/>
        <v>2.5323142370408834E-3</v>
      </c>
      <c r="R38" s="9">
        <f t="shared" si="14"/>
        <v>3.9999999999999996E-5</v>
      </c>
      <c r="S38" s="9">
        <f t="shared" si="10"/>
        <v>8.7453772010308686E-7</v>
      </c>
      <c r="T38" s="9">
        <f t="shared" si="11"/>
        <v>2.6640721231293881E-5</v>
      </c>
      <c r="U38" s="9">
        <f t="shared" si="12"/>
        <v>3.9125462279896914E-5</v>
      </c>
      <c r="V38" s="102">
        <f t="shared" si="13"/>
        <v>0.68090495751106239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-2.0830894197039467E-3</v>
      </c>
      <c r="K39" s="95">
        <f t="shared" si="3"/>
        <v>0.99812993129156713</v>
      </c>
      <c r="L39" s="95">
        <f t="shared" si="4"/>
        <v>1.3914161767984807E-3</v>
      </c>
      <c r="M39" s="95">
        <f t="shared" si="5"/>
        <v>0.9986085838232015</v>
      </c>
      <c r="N39" s="95">
        <f t="shared" si="6"/>
        <v>3.3860794337897868E-7</v>
      </c>
      <c r="O39" s="40">
        <f t="shared" si="7"/>
        <v>1.0000453366797754E-6</v>
      </c>
      <c r="P39" s="40">
        <f t="shared" si="8"/>
        <v>9.9526011388999898E-7</v>
      </c>
      <c r="Q39" s="40">
        <f t="shared" si="9"/>
        <v>4.8440284928529885E-8</v>
      </c>
      <c r="R39" s="9">
        <f t="shared" si="14"/>
        <v>3.9999999999999996E-5</v>
      </c>
      <c r="S39" s="9">
        <f t="shared" si="10"/>
        <v>5.5656647071939226E-8</v>
      </c>
      <c r="T39" s="9">
        <f t="shared" si="11"/>
        <v>3.9925197251662684E-5</v>
      </c>
      <c r="U39" s="9">
        <f t="shared" si="12"/>
        <v>3.9944343352928055E-5</v>
      </c>
      <c r="V39" s="102">
        <f t="shared" si="13"/>
        <v>0.99952068053550891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1.5824466515947846</v>
      </c>
      <c r="K40" s="95">
        <f t="shared" si="3"/>
        <v>0.47731461352009907</v>
      </c>
      <c r="L40" s="95">
        <f t="shared" si="4"/>
        <v>2.556256567174521E-2</v>
      </c>
      <c r="M40" s="95">
        <f t="shared" si="5"/>
        <v>0.9744374343282548</v>
      </c>
      <c r="N40" s="95">
        <f t="shared" si="6"/>
        <v>1.8993840810927511E-2</v>
      </c>
      <c r="O40" s="40">
        <f t="shared" si="7"/>
        <v>4.7823057741812965E-7</v>
      </c>
      <c r="P40" s="40">
        <f t="shared" si="8"/>
        <v>1.8284538045489743E-5</v>
      </c>
      <c r="Q40" s="40">
        <f t="shared" si="9"/>
        <v>2.7172045982946863E-3</v>
      </c>
      <c r="R40" s="9">
        <f t="shared" si="14"/>
        <v>3.9999999999999996E-5</v>
      </c>
      <c r="S40" s="9">
        <f t="shared" si="10"/>
        <v>1.0225026268698083E-6</v>
      </c>
      <c r="T40" s="9">
        <f t="shared" si="11"/>
        <v>1.9092584540803961E-5</v>
      </c>
      <c r="U40" s="9">
        <f t="shared" si="12"/>
        <v>3.8977497373130186E-5</v>
      </c>
      <c r="V40" s="102">
        <f t="shared" si="13"/>
        <v>0.48983608049617278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1.6545409469670944</v>
      </c>
      <c r="K41" s="95">
        <f t="shared" si="3"/>
        <v>0.42683420069430472</v>
      </c>
      <c r="L41" s="95">
        <f t="shared" si="4"/>
        <v>2.6986913440998406E-2</v>
      </c>
      <c r="M41" s="95">
        <f t="shared" si="5"/>
        <v>0.97301308655900165</v>
      </c>
      <c r="N41" s="95">
        <f t="shared" si="6"/>
        <v>1.9819982808419793E-2</v>
      </c>
      <c r="O41" s="40">
        <f t="shared" si="7"/>
        <v>4.2765329298104084E-7</v>
      </c>
      <c r="P41" s="40">
        <f t="shared" si="8"/>
        <v>1.9303353657011287E-5</v>
      </c>
      <c r="Q41" s="40">
        <f t="shared" si="9"/>
        <v>2.8353901120502251E-3</v>
      </c>
      <c r="R41" s="9">
        <f t="shared" si="14"/>
        <v>3.9999999999999996E-5</v>
      </c>
      <c r="S41" s="9">
        <f t="shared" si="10"/>
        <v>1.0794765376399361E-6</v>
      </c>
      <c r="T41" s="9">
        <f t="shared" si="11"/>
        <v>1.7073368027772188E-5</v>
      </c>
      <c r="U41" s="9">
        <f t="shared" si="12"/>
        <v>3.892052346236006E-5</v>
      </c>
      <c r="V41" s="102">
        <f t="shared" si="13"/>
        <v>0.43867262073912744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1.4796577057346774</v>
      </c>
      <c r="J42" s="94">
        <f t="shared" si="2"/>
        <v>3.3641784665212624</v>
      </c>
      <c r="K42" s="95">
        <f t="shared" si="3"/>
        <v>2.9912121474822882E-2</v>
      </c>
      <c r="L42" s="95">
        <f t="shared" si="4"/>
        <v>9.691226433094853E-2</v>
      </c>
      <c r="M42" s="95">
        <f t="shared" si="5"/>
        <v>0.90308773566905143</v>
      </c>
      <c r="N42" s="95">
        <f t="shared" si="6"/>
        <v>9.1202822461809344E-2</v>
      </c>
      <c r="O42" s="40">
        <f t="shared" si="7"/>
        <v>2.996952265762428E-8</v>
      </c>
      <c r="P42" s="40">
        <f t="shared" si="8"/>
        <v>6.9319958215008511E-5</v>
      </c>
      <c r="Q42" s="40">
        <f t="shared" si="9"/>
        <v>1.3047215201893694E-2</v>
      </c>
      <c r="R42" s="9">
        <f t="shared" si="14"/>
        <v>3.9999999999999996E-5</v>
      </c>
      <c r="S42" s="9">
        <f t="shared" si="10"/>
        <v>3.8764905732379405E-6</v>
      </c>
      <c r="T42" s="9">
        <f t="shared" si="11"/>
        <v>1.1964848589929151E-6</v>
      </c>
      <c r="U42" s="9">
        <f t="shared" si="12"/>
        <v>3.6123509426762052E-5</v>
      </c>
      <c r="V42" s="102">
        <f t="shared" si="13"/>
        <v>3.3122054805298097E-2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3.0473260422149981</v>
      </c>
      <c r="K43" s="95">
        <f t="shared" si="3"/>
        <v>5.1681292666728378E-2</v>
      </c>
      <c r="L43" s="95">
        <f t="shared" si="4"/>
        <v>8.0725820619204219E-2</v>
      </c>
      <c r="M43" s="95">
        <f t="shared" si="5"/>
        <v>0.91927417938079581</v>
      </c>
      <c r="N43" s="95">
        <f t="shared" si="6"/>
        <v>7.3640619045287722E-2</v>
      </c>
      <c r="O43" s="40">
        <f t="shared" si="7"/>
        <v>5.1780468759279098E-8</v>
      </c>
      <c r="P43" s="40">
        <f t="shared" si="8"/>
        <v>5.7742026262907942E-5</v>
      </c>
      <c r="Q43" s="40">
        <f t="shared" si="9"/>
        <v>1.0534816558850158E-2</v>
      </c>
      <c r="R43" s="9">
        <f t="shared" si="14"/>
        <v>3.9999999999999996E-5</v>
      </c>
      <c r="S43" s="9">
        <f t="shared" si="10"/>
        <v>3.2290328247681687E-6</v>
      </c>
      <c r="T43" s="9">
        <f t="shared" si="11"/>
        <v>2.0672517066691349E-6</v>
      </c>
      <c r="U43" s="9">
        <f t="shared" si="12"/>
        <v>3.6770967175231832E-5</v>
      </c>
      <c r="V43" s="102">
        <f t="shared" si="13"/>
        <v>5.6219671808404141E-2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0.14841008082679896</v>
      </c>
      <c r="J44" s="94">
        <f t="shared" si="2"/>
        <v>1.3173040593206689</v>
      </c>
      <c r="K44" s="95">
        <f t="shared" si="3"/>
        <v>0.69580251368536628</v>
      </c>
      <c r="L44" s="95">
        <f t="shared" si="4"/>
        <v>2.0236859253299044E-2</v>
      </c>
      <c r="M44" s="95">
        <f t="shared" si="5"/>
        <v>0.9797631407467009</v>
      </c>
      <c r="N44" s="95">
        <f t="shared" si="6"/>
        <v>1.6345306030101661E-2</v>
      </c>
      <c r="O44" s="40">
        <f t="shared" si="7"/>
        <v>6.9713775456138846E-7</v>
      </c>
      <c r="P44" s="40">
        <f t="shared" si="8"/>
        <v>1.4475136325895469E-5</v>
      </c>
      <c r="Q44" s="40">
        <f t="shared" si="9"/>
        <v>2.3383127797919714E-3</v>
      </c>
      <c r="R44" s="9">
        <f t="shared" si="14"/>
        <v>3.9999999999999996E-5</v>
      </c>
      <c r="S44" s="9">
        <f t="shared" si="10"/>
        <v>8.0947437013196173E-7</v>
      </c>
      <c r="T44" s="9">
        <f t="shared" si="11"/>
        <v>2.783210054741465E-5</v>
      </c>
      <c r="U44" s="9">
        <f t="shared" si="12"/>
        <v>3.919052562986803E-5</v>
      </c>
      <c r="V44" s="102">
        <f t="shared" si="13"/>
        <v>0.71017420920231655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3.0318323583249076</v>
      </c>
      <c r="K45" s="95">
        <f t="shared" si="3"/>
        <v>4.2258657550335907E-2</v>
      </c>
      <c r="L45" s="95">
        <f t="shared" si="4"/>
        <v>6.3694379821815417E-2</v>
      </c>
      <c r="M45" s="95">
        <f t="shared" si="5"/>
        <v>0.93630562017818453</v>
      </c>
      <c r="N45" s="95">
        <f t="shared" si="6"/>
        <v>5.4682801900830962E-2</v>
      </c>
      <c r="O45" s="40">
        <f t="shared" si="7"/>
        <v>4.2339751662267424E-8</v>
      </c>
      <c r="P45" s="40">
        <f t="shared" si="8"/>
        <v>4.5559679966832841E-5</v>
      </c>
      <c r="Q45" s="40">
        <f t="shared" si="9"/>
        <v>7.8227654033560176E-3</v>
      </c>
      <c r="R45" s="9">
        <f t="shared" si="14"/>
        <v>3.9999999999999996E-5</v>
      </c>
      <c r="S45" s="9">
        <f t="shared" si="10"/>
        <v>2.5477751928726165E-6</v>
      </c>
      <c r="T45" s="9">
        <f t="shared" si="11"/>
        <v>1.690346302013436E-6</v>
      </c>
      <c r="U45" s="9">
        <f t="shared" si="12"/>
        <v>3.7452224807127374E-5</v>
      </c>
      <c r="V45" s="102">
        <f t="shared" si="13"/>
        <v>4.5133401572761932E-2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0.12747825886296771</v>
      </c>
      <c r="J46" s="94">
        <f t="shared" si="2"/>
        <v>1.2317717173887035</v>
      </c>
      <c r="K46" s="95">
        <f t="shared" si="3"/>
        <v>0.73220762246045412</v>
      </c>
      <c r="L46" s="95">
        <f t="shared" si="4"/>
        <v>1.7488760146938981E-2</v>
      </c>
      <c r="M46" s="95">
        <f t="shared" si="5"/>
        <v>0.98251123985306099</v>
      </c>
      <c r="N46" s="95">
        <f t="shared" si="6"/>
        <v>1.3848071860687197E-2</v>
      </c>
      <c r="O46" s="40">
        <f t="shared" si="7"/>
        <v>7.3361272452320161E-7</v>
      </c>
      <c r="P46" s="40">
        <f t="shared" si="8"/>
        <v>1.250946029367478E-5</v>
      </c>
      <c r="Q46" s="40">
        <f t="shared" si="9"/>
        <v>1.9810655944703082E-3</v>
      </c>
      <c r="R46" s="9">
        <f t="shared" si="14"/>
        <v>3.9999999999999996E-5</v>
      </c>
      <c r="S46" s="9">
        <f t="shared" si="10"/>
        <v>6.9955040587755919E-7</v>
      </c>
      <c r="T46" s="9">
        <f t="shared" si="11"/>
        <v>2.9288304898418163E-5</v>
      </c>
      <c r="U46" s="9">
        <f t="shared" si="12"/>
        <v>3.9300449594122436E-5</v>
      </c>
      <c r="V46" s="102">
        <f t="shared" si="13"/>
        <v>0.74524096291250475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2.1121156644685484</v>
      </c>
      <c r="K47" s="95">
        <f t="shared" si="3"/>
        <v>0.18693644427794154</v>
      </c>
      <c r="L47" s="95">
        <f t="shared" si="4"/>
        <v>3.3897112184032283E-2</v>
      </c>
      <c r="M47" s="95">
        <f t="shared" si="5"/>
        <v>0.96610288781596776</v>
      </c>
      <c r="N47" s="95">
        <f t="shared" si="6"/>
        <v>2.3902154019142082E-2</v>
      </c>
      <c r="O47" s="40">
        <f t="shared" si="7"/>
        <v>1.8729517420016631E-7</v>
      </c>
      <c r="P47" s="40">
        <f t="shared" si="8"/>
        <v>2.4246120100778509E-5</v>
      </c>
      <c r="Q47" s="40">
        <f t="shared" si="9"/>
        <v>3.4193738621098395E-3</v>
      </c>
      <c r="R47" s="9">
        <f t="shared" si="14"/>
        <v>3.9999999999999996E-5</v>
      </c>
      <c r="S47" s="9">
        <f t="shared" si="10"/>
        <v>1.3558844873612913E-6</v>
      </c>
      <c r="T47" s="9">
        <f t="shared" si="11"/>
        <v>7.4774577711176607E-6</v>
      </c>
      <c r="U47" s="9">
        <f t="shared" si="12"/>
        <v>3.8644115512638705E-5</v>
      </c>
      <c r="V47" s="102">
        <f t="shared" si="13"/>
        <v>0.19349537884162801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0.42305595357710185</v>
      </c>
      <c r="K48" s="95">
        <f t="shared" ref="K48:K50" si="17">IF(D48=0,"",1/(1+10^D48*$J$15/$J$14+10^E48*$J$16/$J$14+10^J48*$J$19/$J$14))</f>
        <v>0.94129962639589748</v>
      </c>
      <c r="L48" s="95">
        <f t="shared" ref="L48:L50" si="18">IF(D48=0,"",1/(1+10^I48/10^J48*$J$13/$J$19))</f>
        <v>3.4925038891044959E-3</v>
      </c>
      <c r="M48" s="95">
        <f t="shared" ref="M48:M92" si="19">IF(D48=0,"",1-L48)</f>
        <v>0.99650749611089551</v>
      </c>
      <c r="N48" s="95">
        <f t="shared" ref="N48:N50" si="20">IF(D48=0,"",1/(1/10^E48*$J$20/$J$22+10^D48/10^E48*$J$21/$J$22+10^I48/10^E48*$J$13/$J$22+1))</f>
        <v>1.4801746060433341E-3</v>
      </c>
      <c r="O48" s="40">
        <f t="shared" ref="O48:O92" si="21">IF(D48=0,"",F48*K48*$J$7/$J$14)</f>
        <v>9.4310597476778125E-7</v>
      </c>
      <c r="P48" s="40">
        <f t="shared" ref="P48:P50" si="22">IF(D48=0,"",O48*10^J48)</f>
        <v>2.4981381389637438E-6</v>
      </c>
      <c r="Q48" s="40">
        <f t="shared" ref="Q48:Q50" si="23">IF(D48=0,"",F48*N48*$J$7/$J$22)</f>
        <v>2.1174955007025636E-4</v>
      </c>
      <c r="R48" s="9">
        <f t="shared" si="14"/>
        <v>3.9999999999999996E-5</v>
      </c>
      <c r="S48" s="9">
        <f t="shared" si="10"/>
        <v>1.3970015556417981E-7</v>
      </c>
      <c r="T48" s="9">
        <f t="shared" si="11"/>
        <v>3.7651985055835894E-5</v>
      </c>
      <c r="U48" s="9">
        <f t="shared" si="12"/>
        <v>3.9860299844435815E-5</v>
      </c>
      <c r="V48" s="102">
        <f t="shared" si="13"/>
        <v>0.94459864082261324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0.17496858668585646</v>
      </c>
      <c r="K49" s="95">
        <f t="shared" si="17"/>
        <v>0.9814876272564419</v>
      </c>
      <c r="L49" s="95">
        <f t="shared" si="18"/>
        <v>2.0568682498829467E-3</v>
      </c>
      <c r="M49" s="95">
        <f t="shared" si="19"/>
        <v>0.99794313175011706</v>
      </c>
      <c r="N49" s="95">
        <f t="shared" si="20"/>
        <v>4.8912503506977139E-4</v>
      </c>
      <c r="O49" s="40">
        <f t="shared" si="21"/>
        <v>9.833710961624128E-7</v>
      </c>
      <c r="P49" s="40">
        <f t="shared" si="22"/>
        <v>1.4712484753091306E-6</v>
      </c>
      <c r="Q49" s="40">
        <f t="shared" si="23"/>
        <v>6.997283001698128E-5</v>
      </c>
      <c r="R49" s="9">
        <f t="shared" si="14"/>
        <v>3.9999999999999996E-5</v>
      </c>
      <c r="S49" s="9">
        <f t="shared" si="10"/>
        <v>8.2274729995317854E-8</v>
      </c>
      <c r="T49" s="9">
        <f t="shared" si="11"/>
        <v>3.9259505090257675E-5</v>
      </c>
      <c r="U49" s="9">
        <f t="shared" si="12"/>
        <v>3.9917725270004682E-5</v>
      </c>
      <c r="V49" s="102">
        <f t="shared" si="13"/>
        <v>0.98351057893968696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8.1368247852758456E-4</v>
      </c>
      <c r="K57" s="55">
        <f t="shared" si="26"/>
        <v>0.99799662274648926</v>
      </c>
      <c r="L57" s="55">
        <f t="shared" si="27"/>
        <v>1.4005409534022465E-3</v>
      </c>
      <c r="M57" s="55">
        <f t="shared" si="28"/>
        <v>0.99859945904659775</v>
      </c>
      <c r="N57" s="55">
        <f t="shared" si="29"/>
        <v>8.4463317321135382E-6</v>
      </c>
      <c r="O57" s="56">
        <f t="shared" si="30"/>
        <v>9.99911772316394E-7</v>
      </c>
      <c r="P57" s="56">
        <f t="shared" si="31"/>
        <v>1.0017869362407208E-6</v>
      </c>
      <c r="Q57" s="56">
        <f t="shared" si="32"/>
        <v>1.2083080852197851E-6</v>
      </c>
      <c r="R57" s="9">
        <f t="shared" ref="R57:R58" si="33">F57*$C$14</f>
        <v>3.9999999999999996E-5</v>
      </c>
      <c r="S57" s="9">
        <f t="shared" ref="S57:S58" si="34">$R57*L57</f>
        <v>5.6021638136089853E-8</v>
      </c>
      <c r="T57" s="9">
        <f t="shared" ref="T57:T58" si="35">R57*K57</f>
        <v>3.9919864909859568E-5</v>
      </c>
      <c r="U57" s="9">
        <f t="shared" ref="U57:U58" si="36">$R57*M57</f>
        <v>3.9943978361863909E-5</v>
      </c>
      <c r="V57" s="102">
        <f t="shared" ref="V57:V58" si="37">K57/M57</f>
        <v>0.99939631821883412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0.56932041838992553</v>
      </c>
      <c r="K58" s="55">
        <f t="shared" si="26"/>
        <v>0.91490311373321742</v>
      </c>
      <c r="L58" s="55">
        <f t="shared" si="27"/>
        <v>4.7538840250648832E-3</v>
      </c>
      <c r="M58" s="55">
        <f t="shared" si="28"/>
        <v>0.99524611597493506</v>
      </c>
      <c r="N58" s="55">
        <f t="shared" si="29"/>
        <v>2.4829453941434963E-3</v>
      </c>
      <c r="O58" s="56">
        <f t="shared" si="30"/>
        <v>9.1665880735465356E-7</v>
      </c>
      <c r="P58" s="56">
        <f t="shared" si="31"/>
        <v>3.4003853304999807E-6</v>
      </c>
      <c r="Q58" s="56">
        <f t="shared" si="32"/>
        <v>3.5520307395647095E-4</v>
      </c>
      <c r="R58" s="9">
        <f t="shared" si="33"/>
        <v>3.9999999999999996E-5</v>
      </c>
      <c r="S58" s="9">
        <f t="shared" si="34"/>
        <v>1.9015536100259532E-7</v>
      </c>
      <c r="T58" s="9">
        <f t="shared" si="35"/>
        <v>3.6596124549328696E-5</v>
      </c>
      <c r="U58" s="9">
        <f t="shared" si="36"/>
        <v>3.98098446389974E-5</v>
      </c>
      <c r="V58" s="102">
        <f t="shared" si="37"/>
        <v>0.91927323206580491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0.60440409790510707</v>
      </c>
      <c r="K60" s="55">
        <f t="shared" si="26"/>
        <v>0.88463397325421733</v>
      </c>
      <c r="L60" s="55">
        <f t="shared" si="27"/>
        <v>4.9833428842625069E-3</v>
      </c>
      <c r="M60" s="55">
        <f t="shared" si="28"/>
        <v>0.9950166571157375</v>
      </c>
      <c r="N60" s="55">
        <f t="shared" si="29"/>
        <v>2.2881773204711988E-3</v>
      </c>
      <c r="O60" s="56">
        <f t="shared" si="30"/>
        <v>8.8633158057551112E-7</v>
      </c>
      <c r="P60" s="56">
        <f t="shared" si="31"/>
        <v>3.5645139745003377E-6</v>
      </c>
      <c r="Q60" s="56">
        <f t="shared" si="32"/>
        <v>3.2734010981712254E-4</v>
      </c>
      <c r="R60" s="9">
        <f t="shared" ref="R60:R65" si="38">F60*$C$14</f>
        <v>3.9999999999999996E-5</v>
      </c>
      <c r="S60" s="9">
        <f t="shared" ref="S60:S93" si="39">$R60*L60</f>
        <v>1.9933371537050026E-7</v>
      </c>
      <c r="T60" s="9">
        <f t="shared" ref="T60:T93" si="40">R60*K60</f>
        <v>3.5385358930168689E-5</v>
      </c>
      <c r="U60" s="9">
        <f t="shared" ref="U60:U93" si="41">$R60*M60</f>
        <v>3.9800666284629498E-5</v>
      </c>
      <c r="V60" s="102">
        <f t="shared" ref="V60:V93" si="42">K60/M60</f>
        <v>0.88906448643635039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1.499720898757618</v>
      </c>
      <c r="K61" s="55">
        <f t="shared" si="26"/>
        <v>0.47771568047314689</v>
      </c>
      <c r="L61" s="55">
        <f t="shared" si="27"/>
        <v>2.1146741380416726E-2</v>
      </c>
      <c r="M61" s="55">
        <f t="shared" si="28"/>
        <v>0.97885325861958328</v>
      </c>
      <c r="N61" s="55">
        <f t="shared" si="29"/>
        <v>1.4120678320226213E-2</v>
      </c>
      <c r="O61" s="56">
        <f t="shared" si="30"/>
        <v>4.7863241401626961E-7</v>
      </c>
      <c r="P61" s="56">
        <f t="shared" si="31"/>
        <v>1.5125962013106644E-5</v>
      </c>
      <c r="Q61" s="56">
        <f t="shared" si="32"/>
        <v>2.0200638956963607E-3</v>
      </c>
      <c r="R61" s="9">
        <f t="shared" si="38"/>
        <v>3.9999999999999996E-5</v>
      </c>
      <c r="S61" s="9">
        <f t="shared" si="39"/>
        <v>8.4586965521666897E-7</v>
      </c>
      <c r="T61" s="9">
        <f t="shared" si="40"/>
        <v>1.9108627218925873E-5</v>
      </c>
      <c r="U61" s="9">
        <f t="shared" si="41"/>
        <v>3.9154130344783325E-5</v>
      </c>
      <c r="V61" s="102">
        <f t="shared" si="42"/>
        <v>0.4880360526631336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1.2557340163142241</v>
      </c>
      <c r="K62" s="55">
        <f t="shared" si="26"/>
        <v>0.66109219818330034</v>
      </c>
      <c r="L62" s="55">
        <f t="shared" si="27"/>
        <v>1.6685879646026299E-2</v>
      </c>
      <c r="M62" s="55">
        <f t="shared" si="28"/>
        <v>0.9833141203539737</v>
      </c>
      <c r="N62" s="55">
        <f t="shared" si="29"/>
        <v>1.190770576216418E-2</v>
      </c>
      <c r="O62" s="56">
        <f t="shared" si="30"/>
        <v>6.6236083017078535E-7</v>
      </c>
      <c r="P62" s="56">
        <f t="shared" si="31"/>
        <v>1.1935171341093381E-5</v>
      </c>
      <c r="Q62" s="56">
        <f t="shared" si="32"/>
        <v>1.7034823643187439E-3</v>
      </c>
      <c r="R62" s="9">
        <f t="shared" si="38"/>
        <v>3.9999999999999996E-5</v>
      </c>
      <c r="S62" s="9">
        <f t="shared" si="39"/>
        <v>6.6743518584105195E-7</v>
      </c>
      <c r="T62" s="9">
        <f t="shared" si="40"/>
        <v>2.6443687927332013E-5</v>
      </c>
      <c r="U62" s="9">
        <f t="shared" si="41"/>
        <v>3.9332564814158946E-5</v>
      </c>
      <c r="V62" s="102">
        <f t="shared" si="42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1.1862468902307319</v>
      </c>
      <c r="K63" s="55">
        <f t="shared" si="26"/>
        <v>0.69039592308248654</v>
      </c>
      <c r="L63" s="55">
        <f t="shared" si="27"/>
        <v>1.4849032810212635E-2</v>
      </c>
      <c r="M63" s="55">
        <f t="shared" si="28"/>
        <v>0.98515096718978734</v>
      </c>
      <c r="N63" s="55">
        <f t="shared" si="29"/>
        <v>1.0312151409237059E-2</v>
      </c>
      <c r="O63" s="56">
        <f t="shared" si="30"/>
        <v>6.9172078874337105E-7</v>
      </c>
      <c r="P63" s="56">
        <f t="shared" si="31"/>
        <v>1.0621301040104951E-5</v>
      </c>
      <c r="Q63" s="56">
        <f t="shared" si="32"/>
        <v>1.4752269173157126E-3</v>
      </c>
      <c r="R63" s="9">
        <f t="shared" si="38"/>
        <v>3.9999999999999996E-5</v>
      </c>
      <c r="S63" s="9">
        <f t="shared" si="39"/>
        <v>5.9396131240850536E-7</v>
      </c>
      <c r="T63" s="9">
        <f t="shared" si="40"/>
        <v>2.7615836923299458E-5</v>
      </c>
      <c r="U63" s="9">
        <f t="shared" si="41"/>
        <v>3.9406038687591489E-5</v>
      </c>
      <c r="V63" s="102">
        <f t="shared" si="42"/>
        <v>0.70080215730984829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0.54325556656441554</v>
      </c>
      <c r="K64" s="55">
        <f t="shared" si="26"/>
        <v>0.92870232691703503</v>
      </c>
      <c r="L64" s="55">
        <f t="shared" si="27"/>
        <v>4.5444900696900515E-3</v>
      </c>
      <c r="M64" s="55">
        <f t="shared" si="28"/>
        <v>0.99545550993030996</v>
      </c>
      <c r="N64" s="55">
        <f t="shared" si="29"/>
        <v>2.4559560829120457E-3</v>
      </c>
      <c r="O64" s="56">
        <f t="shared" si="30"/>
        <v>9.3048450114631247E-7</v>
      </c>
      <c r="P64" s="56">
        <f t="shared" si="31"/>
        <v>3.2506088255625823E-6</v>
      </c>
      <c r="Q64" s="56">
        <f t="shared" si="32"/>
        <v>3.5134206020401743E-4</v>
      </c>
      <c r="R64" s="9">
        <f t="shared" si="38"/>
        <v>3.9999999999999996E-5</v>
      </c>
      <c r="S64" s="9">
        <f t="shared" si="39"/>
        <v>1.8177960278760203E-7</v>
      </c>
      <c r="T64" s="9">
        <f t="shared" si="40"/>
        <v>3.7148093076681397E-5</v>
      </c>
      <c r="U64" s="9">
        <f t="shared" si="41"/>
        <v>3.9818220397212393E-5</v>
      </c>
      <c r="V64" s="102">
        <f t="shared" si="42"/>
        <v>0.93294207290293851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1.9057707829015962</v>
      </c>
      <c r="K65" s="55">
        <f t="shared" si="26"/>
        <v>0.34071853400385088</v>
      </c>
      <c r="L65" s="55">
        <f t="shared" si="27"/>
        <v>3.8416659635471598E-2</v>
      </c>
      <c r="M65" s="55">
        <f t="shared" si="28"/>
        <v>0.96158334036452842</v>
      </c>
      <c r="N65" s="55">
        <f t="shared" si="29"/>
        <v>3.1173446590845134E-2</v>
      </c>
      <c r="O65" s="56">
        <f t="shared" si="30"/>
        <v>3.4137237083955107E-7</v>
      </c>
      <c r="P65" s="56">
        <f t="shared" si="31"/>
        <v>2.747888782782946E-5</v>
      </c>
      <c r="Q65" s="56">
        <f t="shared" si="32"/>
        <v>4.4595842022960444E-3</v>
      </c>
      <c r="R65" s="9">
        <f t="shared" si="38"/>
        <v>3.9999999999999996E-5</v>
      </c>
      <c r="S65" s="9">
        <f t="shared" si="39"/>
        <v>1.5366663854188637E-6</v>
      </c>
      <c r="T65" s="9">
        <f t="shared" si="40"/>
        <v>1.3628741360154034E-5</v>
      </c>
      <c r="U65" s="9">
        <f t="shared" si="41"/>
        <v>3.8463333614581132E-5</v>
      </c>
      <c r="V65" s="102">
        <f t="shared" si="42"/>
        <v>0.35433073733857251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0.55831225094540515</v>
      </c>
      <c r="K68" s="55">
        <f t="shared" si="26"/>
        <v>0.89136744523403877</v>
      </c>
      <c r="L68" s="55">
        <f t="shared" si="27"/>
        <v>4.5156687668372253E-3</v>
      </c>
      <c r="M68" s="55">
        <f t="shared" si="28"/>
        <v>0.99548433123316282</v>
      </c>
      <c r="N68" s="55">
        <f t="shared" si="29"/>
        <v>1.8711639057578508E-3</v>
      </c>
      <c r="O68" s="56">
        <f t="shared" si="30"/>
        <v>8.9307797404792302E-7</v>
      </c>
      <c r="P68" s="56">
        <f t="shared" si="31"/>
        <v>3.2299933593648549E-6</v>
      </c>
      <c r="Q68" s="56">
        <f t="shared" si="32"/>
        <v>2.6768336217513022E-4</v>
      </c>
      <c r="R68" s="9">
        <f>F68*$C$14</f>
        <v>3.9999999999999996E-5</v>
      </c>
      <c r="S68" s="9">
        <f t="shared" si="39"/>
        <v>1.8062675067348899E-7</v>
      </c>
      <c r="T68" s="9">
        <f t="shared" si="40"/>
        <v>3.5654697809361544E-5</v>
      </c>
      <c r="U68" s="9">
        <f t="shared" si="41"/>
        <v>3.9819373249326513E-5</v>
      </c>
      <c r="V68" s="102">
        <f t="shared" si="42"/>
        <v>0.89541082392512539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2.847496995843116</v>
      </c>
      <c r="K69" s="55">
        <f t="shared" si="26"/>
        <v>5.963627331328028E-2</v>
      </c>
      <c r="L69" s="55">
        <f t="shared" si="27"/>
        <v>5.8797728805500028E-2</v>
      </c>
      <c r="M69" s="55">
        <f t="shared" si="28"/>
        <v>0.94120227119449995</v>
      </c>
      <c r="N69" s="55">
        <f t="shared" si="29"/>
        <v>4.9529798286502662E-2</v>
      </c>
      <c r="O69" s="56">
        <f t="shared" si="30"/>
        <v>5.9750714966271388E-8</v>
      </c>
      <c r="P69" s="56">
        <f t="shared" si="31"/>
        <v>4.2057175447019814E-5</v>
      </c>
      <c r="Q69" s="56">
        <f t="shared" si="32"/>
        <v>7.0855914291576795E-3</v>
      </c>
      <c r="R69" s="9">
        <f>F69*$C$14</f>
        <v>3.9999999999999996E-5</v>
      </c>
      <c r="S69" s="9">
        <f t="shared" si="39"/>
        <v>2.3519091522200008E-6</v>
      </c>
      <c r="T69" s="9">
        <f t="shared" si="40"/>
        <v>2.385450932531211E-6</v>
      </c>
      <c r="U69" s="9">
        <f t="shared" si="41"/>
        <v>3.7648090847779992E-5</v>
      </c>
      <c r="V69" s="102">
        <f t="shared" si="42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0.11635831463150176</v>
      </c>
      <c r="K70" s="55">
        <f t="shared" si="26"/>
        <v>0.98257390981354242</v>
      </c>
      <c r="L70" s="55">
        <f t="shared" si="27"/>
        <v>1.7991882298308795E-3</v>
      </c>
      <c r="M70" s="55">
        <f t="shared" si="28"/>
        <v>0.99820081177016917</v>
      </c>
      <c r="N70" s="55">
        <f t="shared" si="29"/>
        <v>2.204993385494828E-4</v>
      </c>
      <c r="O70" s="56">
        <f t="shared" si="30"/>
        <v>9.8445946328926501E-7</v>
      </c>
      <c r="P70" s="56">
        <f t="shared" si="31"/>
        <v>1.2869336381090303E-6</v>
      </c>
      <c r="Q70" s="56">
        <f t="shared" si="32"/>
        <v>3.1544005374778864E-5</v>
      </c>
      <c r="R70" s="9">
        <f t="shared" ref="R70:R86" si="43">F70*$C$14</f>
        <v>3.9999999999999996E-5</v>
      </c>
      <c r="S70" s="9">
        <f t="shared" si="39"/>
        <v>7.1967529193235173E-8</v>
      </c>
      <c r="T70" s="9">
        <f t="shared" si="40"/>
        <v>3.9302956392541691E-5</v>
      </c>
      <c r="U70" s="9">
        <f t="shared" si="41"/>
        <v>3.9928032470806766E-5</v>
      </c>
      <c r="V70" s="102">
        <f t="shared" si="42"/>
        <v>0.98434493162862224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2.8589842167479149E-2</v>
      </c>
      <c r="J71" s="54">
        <f t="shared" ref="J71:J122" si="45">IF(D71=0,"",LOG($K$21*10^D71+$K$22*10^E71+$K$20))</f>
        <v>0.49176308419639264</v>
      </c>
      <c r="K71" s="55">
        <f t="shared" ref="K71:K122" si="46">IF(D71=0,"",1/(1+10^D71*$J$15/$J$14+10^E71*$J$16/$J$14+10^J71*$J$19/$J$14))</f>
        <v>0.93201377578988587</v>
      </c>
      <c r="L71" s="55">
        <f t="shared" ref="L71:L122" si="47">IF(D71=0,"",1/(1+10^I71/10^J71*$J$13/$J$19))</f>
        <v>4.0507782950357117E-3</v>
      </c>
      <c r="M71" s="55">
        <f t="shared" si="19"/>
        <v>0.99594922170496425</v>
      </c>
      <c r="N71" s="55">
        <f t="shared" ref="N71:N122" si="48">IF(D71=0,"",1/(1/10^E71*$J$20/$J$22+10^D71/10^E71*$J$21/$J$22+10^I71/10^E71*$J$13/$J$22+1))</f>
        <v>1.9594915473659796E-3</v>
      </c>
      <c r="O71" s="56">
        <f t="shared" si="21"/>
        <v>9.3380230466981042E-7</v>
      </c>
      <c r="P71" s="56">
        <f t="shared" ref="P71:P122" si="49">IF(D71=0,"",O71*10^J71)</f>
        <v>2.8974638461776861E-6</v>
      </c>
      <c r="Q71" s="56">
        <f t="shared" ref="Q71:Q122" si="50">IF(D71=0,"",F71*N71*$J$7/$J$22)</f>
        <v>2.8031926221889884E-4</v>
      </c>
      <c r="R71" s="9">
        <f t="shared" si="43"/>
        <v>3.9999999999999996E-5</v>
      </c>
      <c r="S71" s="9">
        <f t="shared" si="39"/>
        <v>1.6203113180142846E-7</v>
      </c>
      <c r="T71" s="9">
        <f t="shared" si="40"/>
        <v>3.7280551031595429E-5</v>
      </c>
      <c r="U71" s="9">
        <f t="shared" si="41"/>
        <v>3.9837968868198565E-5</v>
      </c>
      <c r="V71" s="102">
        <f t="shared" si="42"/>
        <v>0.93580451239710061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4.5043006346732313E-2</v>
      </c>
      <c r="J72" s="54">
        <f t="shared" si="45"/>
        <v>0.56249502482927183</v>
      </c>
      <c r="K72" s="55">
        <f t="shared" si="46"/>
        <v>0.8968814228559302</v>
      </c>
      <c r="L72" s="55">
        <f t="shared" si="47"/>
        <v>4.5875743080861179E-3</v>
      </c>
      <c r="M72" s="55">
        <f t="shared" si="19"/>
        <v>0.9954124256919139</v>
      </c>
      <c r="N72" s="55">
        <f t="shared" si="48"/>
        <v>2.0322778856745982E-3</v>
      </c>
      <c r="O72" s="56">
        <f t="shared" si="21"/>
        <v>8.9860253296000166E-7</v>
      </c>
      <c r="P72" s="56">
        <f t="shared" si="49"/>
        <v>3.2814263657981687E-6</v>
      </c>
      <c r="Q72" s="56">
        <f t="shared" si="50"/>
        <v>2.9073186781636317E-4</v>
      </c>
      <c r="R72" s="9">
        <f t="shared" si="43"/>
        <v>3.9999999999999996E-5</v>
      </c>
      <c r="S72" s="9">
        <f t="shared" si="39"/>
        <v>1.835029723234447E-7</v>
      </c>
      <c r="T72" s="9">
        <f t="shared" si="40"/>
        <v>3.5875256914237204E-5</v>
      </c>
      <c r="U72" s="9">
        <f t="shared" si="41"/>
        <v>3.981649702767655E-5</v>
      </c>
      <c r="V72" s="102">
        <f t="shared" si="42"/>
        <v>0.90101489564238202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2.829962486439805</v>
      </c>
      <c r="J73" s="54">
        <f t="shared" si="45"/>
        <v>4.7874172575965854</v>
      </c>
      <c r="K73" s="55">
        <f t="shared" si="46"/>
        <v>1.3119384593794962E-3</v>
      </c>
      <c r="L73" s="55">
        <f t="shared" si="47"/>
        <v>0.1126377015122306</v>
      </c>
      <c r="M73" s="55">
        <f t="shared" si="19"/>
        <v>0.88736229848776937</v>
      </c>
      <c r="N73" s="55">
        <f t="shared" si="48"/>
        <v>0.10815448318992135</v>
      </c>
      <c r="O73" s="56">
        <f t="shared" si="21"/>
        <v>1.3144560614624649E-9</v>
      </c>
      <c r="P73" s="56">
        <f t="shared" si="49"/>
        <v>8.0568138781676979E-5</v>
      </c>
      <c r="Q73" s="56">
        <f t="shared" si="50"/>
        <v>1.5472271352341032E-2</v>
      </c>
      <c r="R73" s="9">
        <f t="shared" si="43"/>
        <v>3.9999999999999996E-5</v>
      </c>
      <c r="S73" s="9">
        <f t="shared" si="39"/>
        <v>4.5055080604892237E-6</v>
      </c>
      <c r="T73" s="9">
        <f t="shared" si="40"/>
        <v>5.2477538375179844E-8</v>
      </c>
      <c r="U73" s="9">
        <f t="shared" si="41"/>
        <v>3.549449193951077E-5</v>
      </c>
      <c r="V73" s="102">
        <f t="shared" si="42"/>
        <v>1.4784699120249797E-3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3.957220636313619E-3</v>
      </c>
      <c r="J74" s="54">
        <f t="shared" si="45"/>
        <v>8.1651701078615704E-2</v>
      </c>
      <c r="K74" s="55">
        <f t="shared" si="46"/>
        <v>0.98876080703659186</v>
      </c>
      <c r="L74" s="55">
        <f t="shared" si="47"/>
        <v>1.6714600578315907E-3</v>
      </c>
      <c r="M74" s="55">
        <f t="shared" si="19"/>
        <v>0.99832853994216841</v>
      </c>
      <c r="N74" s="55">
        <f t="shared" si="48"/>
        <v>1.7100165205818118E-4</v>
      </c>
      <c r="O74" s="56">
        <f t="shared" si="21"/>
        <v>9.9065823313120487E-7</v>
      </c>
      <c r="P74" s="56">
        <f t="shared" si="49"/>
        <v>1.1955715013661102E-6</v>
      </c>
      <c r="Q74" s="56">
        <f t="shared" si="50"/>
        <v>2.4463007767294657E-5</v>
      </c>
      <c r="R74" s="9">
        <f t="shared" si="43"/>
        <v>3.9999999999999996E-5</v>
      </c>
      <c r="S74" s="9">
        <f t="shared" si="39"/>
        <v>6.6858402313263626E-8</v>
      </c>
      <c r="T74" s="9">
        <f t="shared" si="40"/>
        <v>3.9550432281463669E-5</v>
      </c>
      <c r="U74" s="9">
        <f t="shared" si="41"/>
        <v>3.9933141597686733E-5</v>
      </c>
      <c r="V74" s="102">
        <f t="shared" si="42"/>
        <v>0.99041624823614605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4.1980440605165602E-3</v>
      </c>
      <c r="J75" s="54">
        <f t="shared" si="45"/>
        <v>8.191699132953921E-2</v>
      </c>
      <c r="K75" s="55">
        <f t="shared" si="46"/>
        <v>0.98821258185765448</v>
      </c>
      <c r="L75" s="55">
        <f t="shared" si="47"/>
        <v>1.6715540680403704E-3</v>
      </c>
      <c r="M75" s="55">
        <f t="shared" si="19"/>
        <v>0.99832844593195968</v>
      </c>
      <c r="N75" s="55">
        <f t="shared" si="48"/>
        <v>1.6298605269203219E-4</v>
      </c>
      <c r="O75" s="56">
        <f t="shared" si="21"/>
        <v>9.9010895591141723E-7</v>
      </c>
      <c r="P75" s="56">
        <f t="shared" si="49"/>
        <v>1.1956387455254477E-6</v>
      </c>
      <c r="Q75" s="56">
        <f t="shared" si="50"/>
        <v>2.3316319023685858E-5</v>
      </c>
      <c r="R75" s="9">
        <f t="shared" si="43"/>
        <v>3.9999999999999996E-5</v>
      </c>
      <c r="S75" s="9">
        <f t="shared" si="39"/>
        <v>6.6862162721614816E-8</v>
      </c>
      <c r="T75" s="9">
        <f t="shared" si="40"/>
        <v>3.9528503274306173E-5</v>
      </c>
      <c r="U75" s="9">
        <f t="shared" si="41"/>
        <v>3.9933137837278387E-5</v>
      </c>
      <c r="V75" s="102">
        <f t="shared" si="42"/>
        <v>0.98986719839995962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0.35626551305621779</v>
      </c>
      <c r="J76" s="54">
        <f t="shared" si="45"/>
        <v>1.6871342472773443</v>
      </c>
      <c r="K76" s="55">
        <f t="shared" si="46"/>
        <v>0.42724389400503637</v>
      </c>
      <c r="L76" s="55">
        <f t="shared" si="47"/>
        <v>2.9118109203295581E-2</v>
      </c>
      <c r="M76" s="55">
        <f t="shared" si="19"/>
        <v>0.97088189079670439</v>
      </c>
      <c r="N76" s="55">
        <f t="shared" si="48"/>
        <v>2.2180836855743361E-2</v>
      </c>
      <c r="O76" s="56">
        <f t="shared" si="21"/>
        <v>4.2806377249079361E-7</v>
      </c>
      <c r="P76" s="56">
        <f t="shared" si="49"/>
        <v>2.0827767540128709E-5</v>
      </c>
      <c r="Q76" s="56">
        <f t="shared" si="50"/>
        <v>3.1731271467630565E-3</v>
      </c>
      <c r="R76" s="9">
        <f t="shared" si="43"/>
        <v>3.9999999999999996E-5</v>
      </c>
      <c r="S76" s="9">
        <f t="shared" si="39"/>
        <v>1.1647243681318232E-6</v>
      </c>
      <c r="T76" s="9">
        <f t="shared" si="40"/>
        <v>1.7089755760201452E-5</v>
      </c>
      <c r="U76" s="9">
        <f t="shared" si="41"/>
        <v>3.883527563186817E-5</v>
      </c>
      <c r="V76" s="102">
        <f t="shared" si="42"/>
        <v>0.4400575374358261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2.1004549420906745E-4</v>
      </c>
      <c r="J77" s="54">
        <f t="shared" si="45"/>
        <v>3.2716025135218711E-3</v>
      </c>
      <c r="K77" s="55">
        <f t="shared" si="46"/>
        <v>0.99759221037391932</v>
      </c>
      <c r="L77" s="55">
        <f t="shared" si="47"/>
        <v>1.4079191313905359E-3</v>
      </c>
      <c r="M77" s="55">
        <f t="shared" si="19"/>
        <v>0.99859208086860951</v>
      </c>
      <c r="N77" s="55">
        <f t="shared" si="48"/>
        <v>1.0609040618148084E-5</v>
      </c>
      <c r="O77" s="56">
        <f t="shared" si="21"/>
        <v>9.9950658387889174E-7</v>
      </c>
      <c r="P77" s="56">
        <f t="shared" si="49"/>
        <v>1.0070644415532014E-6</v>
      </c>
      <c r="Q77" s="56">
        <f t="shared" si="50"/>
        <v>1.5176990392876413E-6</v>
      </c>
      <c r="R77" s="9">
        <f t="shared" si="43"/>
        <v>3.9999999999999996E-5</v>
      </c>
      <c r="S77" s="9">
        <f t="shared" si="39"/>
        <v>5.631676525562143E-8</v>
      </c>
      <c r="T77" s="9">
        <f t="shared" si="40"/>
        <v>3.9903688414956768E-5</v>
      </c>
      <c r="U77" s="9">
        <f t="shared" si="41"/>
        <v>3.9943683234744375E-5</v>
      </c>
      <c r="V77" s="102">
        <f t="shared" si="42"/>
        <v>0.99899871978373744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9.6186457475178466E-3</v>
      </c>
      <c r="J78" s="54">
        <f t="shared" si="45"/>
        <v>0.20411410518597825</v>
      </c>
      <c r="K78" s="55">
        <f t="shared" si="46"/>
        <v>0.97545193458139012</v>
      </c>
      <c r="L78" s="55">
        <f t="shared" si="47"/>
        <v>2.1861151707302491E-3</v>
      </c>
      <c r="M78" s="55">
        <f t="shared" si="19"/>
        <v>0.9978138848292698</v>
      </c>
      <c r="N78" s="55">
        <f t="shared" si="48"/>
        <v>5.4254021758722687E-4</v>
      </c>
      <c r="O78" s="56">
        <f t="shared" si="21"/>
        <v>9.7732382102909691E-7</v>
      </c>
      <c r="P78" s="56">
        <f t="shared" si="49"/>
        <v>1.5636969514066224E-6</v>
      </c>
      <c r="Q78" s="56">
        <f t="shared" si="50"/>
        <v>7.7614253413121277E-5</v>
      </c>
      <c r="R78" s="9">
        <f t="shared" si="43"/>
        <v>3.9999999999999996E-5</v>
      </c>
      <c r="S78" s="9">
        <f t="shared" si="39"/>
        <v>8.7444606829209958E-8</v>
      </c>
      <c r="T78" s="9">
        <f t="shared" si="40"/>
        <v>3.9018077383255604E-5</v>
      </c>
      <c r="U78" s="9">
        <f t="shared" si="41"/>
        <v>3.9912555393170791E-5</v>
      </c>
      <c r="V78" s="102">
        <f t="shared" si="42"/>
        <v>0.97758905684930819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8.6760595853303396E-2</v>
      </c>
      <c r="J79" s="54">
        <f t="shared" si="45"/>
        <v>0.88026017671842771</v>
      </c>
      <c r="K79" s="55">
        <f t="shared" si="46"/>
        <v>0.81143068278610941</v>
      </c>
      <c r="L79" s="55">
        <f t="shared" si="47"/>
        <v>8.6270965996718442E-3</v>
      </c>
      <c r="M79" s="55">
        <f t="shared" si="19"/>
        <v>0.99137290340032813</v>
      </c>
      <c r="N79" s="55">
        <f t="shared" si="48"/>
        <v>5.2300337157327008E-3</v>
      </c>
      <c r="O79" s="56">
        <f t="shared" si="21"/>
        <v>8.1298781342936623E-7</v>
      </c>
      <c r="P79" s="56">
        <f t="shared" si="49"/>
        <v>6.1708389535081313E-6</v>
      </c>
      <c r="Q79" s="56">
        <f t="shared" si="50"/>
        <v>7.4819368041924652E-4</v>
      </c>
      <c r="R79" s="9">
        <f t="shared" si="43"/>
        <v>3.9999999999999996E-5</v>
      </c>
      <c r="S79" s="9">
        <f t="shared" si="39"/>
        <v>3.4508386398687375E-7</v>
      </c>
      <c r="T79" s="9">
        <f t="shared" si="40"/>
        <v>3.2457227311444371E-5</v>
      </c>
      <c r="U79" s="9">
        <f t="shared" si="41"/>
        <v>3.9654916136013124E-5</v>
      </c>
      <c r="V79" s="102">
        <f t="shared" si="42"/>
        <v>0.81849189139925893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1.9819141928346475</v>
      </c>
      <c r="J80" s="54">
        <f t="shared" si="45"/>
        <v>3.7781080579293054</v>
      </c>
      <c r="K80" s="55">
        <f t="shared" si="46"/>
        <v>9.580898917502547E-3</v>
      </c>
      <c r="L80" s="55">
        <f t="shared" si="47"/>
        <v>8.0513253132629289E-2</v>
      </c>
      <c r="M80" s="55">
        <f t="shared" si="19"/>
        <v>0.91948674686737075</v>
      </c>
      <c r="N80" s="55">
        <f t="shared" si="48"/>
        <v>7.2782223814313249E-2</v>
      </c>
      <c r="O80" s="56">
        <f t="shared" si="21"/>
        <v>9.5992846054126532E-9</v>
      </c>
      <c r="P80" s="56">
        <f t="shared" si="49"/>
        <v>5.7589979776439289E-5</v>
      </c>
      <c r="Q80" s="56">
        <f t="shared" si="50"/>
        <v>1.0412016989664753E-2</v>
      </c>
      <c r="R80" s="9">
        <f t="shared" si="43"/>
        <v>3.9999999999999996E-5</v>
      </c>
      <c r="S80" s="9">
        <f t="shared" si="39"/>
        <v>3.2205301253051714E-6</v>
      </c>
      <c r="T80" s="9">
        <f t="shared" si="40"/>
        <v>3.8323595670010183E-7</v>
      </c>
      <c r="U80" s="9">
        <f t="shared" si="41"/>
        <v>3.6779469874694825E-5</v>
      </c>
      <c r="V80" s="102">
        <f t="shared" si="42"/>
        <v>1.0419833619292527E-2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0.12726341031571042</v>
      </c>
      <c r="J81" s="54">
        <f t="shared" si="45"/>
        <v>1.1609089688318674</v>
      </c>
      <c r="K81" s="55">
        <f t="shared" si="46"/>
        <v>0.73449844035711198</v>
      </c>
      <c r="L81" s="55">
        <f t="shared" si="47"/>
        <v>1.4902286387529681E-2</v>
      </c>
      <c r="M81" s="55">
        <f t="shared" si="19"/>
        <v>0.98509771361247034</v>
      </c>
      <c r="N81" s="55">
        <f t="shared" si="48"/>
        <v>1.1024170991484594E-2</v>
      </c>
      <c r="O81" s="56">
        <f t="shared" si="21"/>
        <v>7.3590793848574736E-7</v>
      </c>
      <c r="P81" s="56">
        <f t="shared" si="49"/>
        <v>1.0659392563194441E-5</v>
      </c>
      <c r="Q81" s="56">
        <f t="shared" si="50"/>
        <v>1.5770864044103816E-3</v>
      </c>
      <c r="R81" s="9">
        <f t="shared" si="43"/>
        <v>3.9999999999999996E-5</v>
      </c>
      <c r="S81" s="9">
        <f t="shared" si="39"/>
        <v>5.9609145550118719E-7</v>
      </c>
      <c r="T81" s="9">
        <f t="shared" si="40"/>
        <v>2.9379937614284476E-5</v>
      </c>
      <c r="U81" s="9">
        <f t="shared" si="41"/>
        <v>3.9403908544498812E-5</v>
      </c>
      <c r="V81" s="102">
        <f t="shared" si="42"/>
        <v>0.74560973008821529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0.47104615060046062</v>
      </c>
      <c r="J82" s="54">
        <f t="shared" si="45"/>
        <v>1.9942887659269517</v>
      </c>
      <c r="K82" s="55">
        <f t="shared" si="46"/>
        <v>0.32277820582351424</v>
      </c>
      <c r="L82" s="55">
        <f t="shared" si="47"/>
        <v>4.462169132960437E-2</v>
      </c>
      <c r="M82" s="55">
        <f t="shared" si="19"/>
        <v>0.95537830867039564</v>
      </c>
      <c r="N82" s="55">
        <f t="shared" si="48"/>
        <v>3.7763763231380539E-2</v>
      </c>
      <c r="O82" s="56">
        <f t="shared" si="21"/>
        <v>3.2339761527638026E-7</v>
      </c>
      <c r="P82" s="56">
        <f t="shared" si="49"/>
        <v>3.1917258355332719E-5</v>
      </c>
      <c r="Q82" s="56">
        <f t="shared" si="50"/>
        <v>5.402376071414923E-3</v>
      </c>
      <c r="R82" s="9">
        <f t="shared" si="43"/>
        <v>3.9999999999999996E-5</v>
      </c>
      <c r="S82" s="9">
        <f t="shared" si="39"/>
        <v>1.7848676531841745E-6</v>
      </c>
      <c r="T82" s="9">
        <f t="shared" si="40"/>
        <v>1.2911128232940568E-5</v>
      </c>
      <c r="U82" s="9">
        <f t="shared" si="41"/>
        <v>3.8215132346815825E-5</v>
      </c>
      <c r="V82" s="102">
        <f t="shared" si="42"/>
        <v>0.33785381444626489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0.17835694544431219</v>
      </c>
      <c r="J83" s="54">
        <f t="shared" si="45"/>
        <v>1.3432804907607612</v>
      </c>
      <c r="K83" s="55">
        <f t="shared" si="46"/>
        <v>0.64955976952167771</v>
      </c>
      <c r="L83" s="55">
        <f t="shared" si="47"/>
        <v>2.0056385490082516E-2</v>
      </c>
      <c r="M83" s="55">
        <f t="shared" si="19"/>
        <v>0.97994361450991752</v>
      </c>
      <c r="N83" s="55">
        <f t="shared" si="48"/>
        <v>1.5461021421277249E-2</v>
      </c>
      <c r="O83" s="56">
        <f t="shared" si="21"/>
        <v>6.5080627084730692E-7</v>
      </c>
      <c r="P83" s="56">
        <f t="shared" si="49"/>
        <v>1.4346046021263307E-5</v>
      </c>
      <c r="Q83" s="56">
        <f t="shared" si="50"/>
        <v>2.2118095501810048E-3</v>
      </c>
      <c r="R83" s="9">
        <f t="shared" si="43"/>
        <v>3.9999999999999996E-5</v>
      </c>
      <c r="S83" s="9">
        <f t="shared" si="39"/>
        <v>8.0225541960330058E-7</v>
      </c>
      <c r="T83" s="9">
        <f t="shared" si="40"/>
        <v>2.5982390780867107E-5</v>
      </c>
      <c r="U83" s="9">
        <f t="shared" si="41"/>
        <v>3.9197744580396699E-5</v>
      </c>
      <c r="V83" s="102">
        <f t="shared" si="42"/>
        <v>0.66285422947169359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5.9812805986470914E-3</v>
      </c>
      <c r="J84" s="54">
        <f t="shared" si="45"/>
        <v>0.12835770982382372</v>
      </c>
      <c r="K84" s="55">
        <f t="shared" si="46"/>
        <v>0.98398511607811068</v>
      </c>
      <c r="L84" s="55">
        <f t="shared" si="47"/>
        <v>1.8522486955440676E-3</v>
      </c>
      <c r="M84" s="55">
        <f t="shared" si="19"/>
        <v>0.99814775130445588</v>
      </c>
      <c r="N84" s="55">
        <f t="shared" si="48"/>
        <v>3.0002717453903456E-4</v>
      </c>
      <c r="O84" s="56">
        <f t="shared" si="21"/>
        <v>9.8587337765024268E-7</v>
      </c>
      <c r="P84" s="56">
        <f t="shared" si="49"/>
        <v>1.3248870312270204E-6</v>
      </c>
      <c r="Q84" s="56">
        <f t="shared" si="50"/>
        <v>4.2921030369055596E-5</v>
      </c>
      <c r="R84" s="9">
        <f t="shared" si="43"/>
        <v>3.9999999999999996E-5</v>
      </c>
      <c r="S84" s="9">
        <f t="shared" si="39"/>
        <v>7.4089947821762702E-8</v>
      </c>
      <c r="T84" s="9">
        <f t="shared" si="40"/>
        <v>3.9359404643124421E-5</v>
      </c>
      <c r="U84" s="9">
        <f t="shared" si="41"/>
        <v>3.992591005217823E-5</v>
      </c>
      <c r="V84" s="102">
        <f t="shared" si="42"/>
        <v>0.98581108337133816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0.11910186422699467</v>
      </c>
      <c r="J85" s="54">
        <f t="shared" si="45"/>
        <v>1.1486336221473528</v>
      </c>
      <c r="K85" s="55">
        <f t="shared" si="46"/>
        <v>0.74853729582370154</v>
      </c>
      <c r="L85" s="55">
        <f t="shared" si="47"/>
        <v>1.4763867012186387E-2</v>
      </c>
      <c r="M85" s="55">
        <f t="shared" si="19"/>
        <v>0.98523613298781365</v>
      </c>
      <c r="N85" s="55">
        <f t="shared" si="48"/>
        <v>1.1079151644311613E-2</v>
      </c>
      <c r="O85" s="56">
        <f t="shared" si="21"/>
        <v>7.4997373443229049E-7</v>
      </c>
      <c r="P85" s="56">
        <f t="shared" si="49"/>
        <v>1.056038316143103E-5</v>
      </c>
      <c r="Q85" s="56">
        <f t="shared" si="50"/>
        <v>1.5849517795162354E-3</v>
      </c>
      <c r="R85" s="9">
        <f t="shared" si="43"/>
        <v>3.9999999999999996E-5</v>
      </c>
      <c r="S85" s="9">
        <f t="shared" si="39"/>
        <v>5.9055468048745543E-7</v>
      </c>
      <c r="T85" s="9">
        <f t="shared" si="40"/>
        <v>2.994149183294806E-5</v>
      </c>
      <c r="U85" s="9">
        <f t="shared" si="41"/>
        <v>3.9409445319512543E-5</v>
      </c>
      <c r="V85" s="102">
        <f t="shared" si="42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3.4503381608646556E-2</v>
      </c>
      <c r="J86" s="54">
        <f t="shared" si="45"/>
        <v>0.57468086792098039</v>
      </c>
      <c r="K86" s="55">
        <f t="shared" si="46"/>
        <v>0.91868713734695628</v>
      </c>
      <c r="L86" s="55">
        <f t="shared" si="47"/>
        <v>4.8328304852034648E-3</v>
      </c>
      <c r="M86" s="55">
        <f t="shared" si="19"/>
        <v>0.99516716951479656</v>
      </c>
      <c r="N86" s="55">
        <f t="shared" si="48"/>
        <v>2.6262175464888543E-3</v>
      </c>
      <c r="O86" s="56">
        <f t="shared" si="21"/>
        <v>9.2045009248715017E-7</v>
      </c>
      <c r="P86" s="56">
        <f t="shared" si="49"/>
        <v>3.4568546056305346E-6</v>
      </c>
      <c r="Q86" s="56">
        <f t="shared" si="50"/>
        <v>3.7569917872199115E-4</v>
      </c>
      <c r="R86" s="9">
        <f t="shared" si="43"/>
        <v>3.9999999999999996E-5</v>
      </c>
      <c r="S86" s="9">
        <f t="shared" si="39"/>
        <v>1.9331321940813857E-7</v>
      </c>
      <c r="T86" s="9">
        <f t="shared" si="40"/>
        <v>3.6747485493878246E-5</v>
      </c>
      <c r="U86" s="9">
        <f t="shared" si="41"/>
        <v>3.980668678059186E-5</v>
      </c>
      <c r="V86" s="102">
        <f t="shared" si="42"/>
        <v>0.92314855783965533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1.1640116161103842</v>
      </c>
      <c r="J88" s="54">
        <f t="shared" si="45"/>
        <v>2.9801011501568286</v>
      </c>
      <c r="K88" s="55">
        <f t="shared" si="46"/>
        <v>6.2758534936341648E-2</v>
      </c>
      <c r="L88" s="55">
        <f t="shared" si="47"/>
        <v>8.397055145815624E-2</v>
      </c>
      <c r="M88" s="55">
        <f t="shared" si="19"/>
        <v>0.91602944854184376</v>
      </c>
      <c r="N88" s="55">
        <f t="shared" si="48"/>
        <v>7.7389824092671991E-2</v>
      </c>
      <c r="O88" s="56">
        <f t="shared" si="21"/>
        <v>6.2878968190775331E-8</v>
      </c>
      <c r="P88" s="56">
        <f t="shared" si="49"/>
        <v>6.006293587871263E-5</v>
      </c>
      <c r="Q88" s="56">
        <f t="shared" si="50"/>
        <v>1.107116712091453E-2</v>
      </c>
      <c r="R88" s="9">
        <f>F88*$C$14</f>
        <v>3.9999999999999996E-5</v>
      </c>
      <c r="S88" s="9">
        <f t="shared" si="39"/>
        <v>3.3588220583262492E-6</v>
      </c>
      <c r="T88" s="9">
        <f t="shared" si="40"/>
        <v>2.5103413974536658E-6</v>
      </c>
      <c r="U88" s="9">
        <f t="shared" si="41"/>
        <v>3.6641177941673749E-5</v>
      </c>
      <c r="V88" s="102">
        <f t="shared" si="42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2.5219720041185631</v>
      </c>
      <c r="J89" s="54">
        <f t="shared" si="45"/>
        <v>4.4534363688963623</v>
      </c>
      <c r="K89" s="55">
        <f t="shared" si="46"/>
        <v>2.6838294000910796E-3</v>
      </c>
      <c r="L89" s="55">
        <f t="shared" si="47"/>
        <v>0.10679338033690597</v>
      </c>
      <c r="M89" s="55">
        <f t="shared" si="19"/>
        <v>0.893206619663094</v>
      </c>
      <c r="N89" s="55">
        <f t="shared" si="48"/>
        <v>0.10171733401722063</v>
      </c>
      <c r="O89" s="56">
        <f t="shared" si="21"/>
        <v>2.6889796527113114E-9</v>
      </c>
      <c r="P89" s="56">
        <f t="shared" si="49"/>
        <v>7.638777933526982E-5</v>
      </c>
      <c r="Q89" s="56">
        <f t="shared" si="50"/>
        <v>1.4551391183549247E-2</v>
      </c>
      <c r="R89" s="9">
        <f>F89*$C$14</f>
        <v>3.9999999999999996E-5</v>
      </c>
      <c r="S89" s="9">
        <f t="shared" si="39"/>
        <v>4.2717352134762382E-6</v>
      </c>
      <c r="T89" s="9">
        <f t="shared" si="40"/>
        <v>1.0735317600364318E-7</v>
      </c>
      <c r="U89" s="9">
        <f t="shared" si="41"/>
        <v>3.5728264786523756E-5</v>
      </c>
      <c r="V89" s="102">
        <f t="shared" si="42"/>
        <v>3.0047128413618176E-3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2.8671793282646911</v>
      </c>
      <c r="J90" s="54">
        <f t="shared" si="45"/>
        <v>4.835013233934724</v>
      </c>
      <c r="K90" s="55">
        <f t="shared" si="46"/>
        <v>1.2009227354704785E-3</v>
      </c>
      <c r="L90" s="55">
        <f t="shared" si="47"/>
        <v>0.11504860557768568</v>
      </c>
      <c r="M90" s="55">
        <f t="shared" si="19"/>
        <v>0.8849513944223143</v>
      </c>
      <c r="N90" s="55">
        <f t="shared" si="48"/>
        <v>0.11081667868380887</v>
      </c>
      <c r="O90" s="56">
        <f t="shared" si="21"/>
        <v>1.20322729904104E-9</v>
      </c>
      <c r="P90" s="56">
        <f t="shared" si="49"/>
        <v>8.2292624018210346E-5</v>
      </c>
      <c r="Q90" s="56">
        <f t="shared" si="50"/>
        <v>1.5853117433423738E-2</v>
      </c>
      <c r="R90" s="9">
        <f>F90*$C$14</f>
        <v>3.9999999999999996E-5</v>
      </c>
      <c r="S90" s="9">
        <f t="shared" si="39"/>
        <v>4.6019442231074266E-6</v>
      </c>
      <c r="T90" s="9">
        <f t="shared" si="40"/>
        <v>4.8036909418819136E-8</v>
      </c>
      <c r="U90" s="9">
        <f t="shared" si="41"/>
        <v>3.5398055776892567E-5</v>
      </c>
      <c r="V90" s="102">
        <f t="shared" si="42"/>
        <v>1.3570493736036503E-3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3.2678433041260839</v>
      </c>
      <c r="J91" s="54">
        <f t="shared" si="45"/>
        <v>5.2666304943820279</v>
      </c>
      <c r="K91" s="55">
        <f t="shared" si="46"/>
        <v>4.7334258800361121E-4</v>
      </c>
      <c r="L91" s="55">
        <f t="shared" si="47"/>
        <v>0.12250650044004252</v>
      </c>
      <c r="M91" s="55">
        <f t="shared" si="19"/>
        <v>0.87749349955995748</v>
      </c>
      <c r="N91" s="55">
        <f t="shared" si="48"/>
        <v>0.11904622924334346</v>
      </c>
      <c r="O91" s="56">
        <f t="shared" si="21"/>
        <v>4.7425092960835324E-10</v>
      </c>
      <c r="P91" s="56">
        <f t="shared" si="49"/>
        <v>8.7627149671899054E-5</v>
      </c>
      <c r="Q91" s="56">
        <f t="shared" si="50"/>
        <v>1.703041342346916E-2</v>
      </c>
      <c r="R91" s="9">
        <f t="shared" ref="R91:R92" si="51">F91*$C$14</f>
        <v>3.9999999999999996E-5</v>
      </c>
      <c r="S91" s="9">
        <f t="shared" si="39"/>
        <v>4.9002600176017005E-6</v>
      </c>
      <c r="T91" s="9">
        <f t="shared" si="40"/>
        <v>1.8933703520144448E-8</v>
      </c>
      <c r="U91" s="9">
        <f t="shared" si="41"/>
        <v>3.5099739982398298E-5</v>
      </c>
      <c r="V91" s="102">
        <f t="shared" si="42"/>
        <v>5.3942574872746236E-4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4.4880081925943038</v>
      </c>
      <c r="J92" s="54">
        <f t="shared" si="45"/>
        <v>6.5323897253277963</v>
      </c>
      <c r="K92" s="55">
        <f t="shared" si="46"/>
        <v>2.8129429620833305E-5</v>
      </c>
      <c r="L92" s="55">
        <f t="shared" si="47"/>
        <v>0.13424672815207739</v>
      </c>
      <c r="M92" s="55">
        <f t="shared" si="19"/>
        <v>0.86575327184792261</v>
      </c>
      <c r="N92" s="55">
        <f t="shared" si="48"/>
        <v>0.13201156781745416</v>
      </c>
      <c r="O92" s="56">
        <f t="shared" si="21"/>
        <v>2.8183409828593679E-11</v>
      </c>
      <c r="P92" s="56">
        <f t="shared" si="49"/>
        <v>9.6024766836778891E-5</v>
      </c>
      <c r="Q92" s="56">
        <f t="shared" si="50"/>
        <v>1.8885197716056939E-2</v>
      </c>
      <c r="R92" s="9">
        <f t="shared" si="51"/>
        <v>3.9999999999999996E-5</v>
      </c>
      <c r="S92" s="9">
        <f t="shared" si="39"/>
        <v>5.3698691260830948E-6</v>
      </c>
      <c r="T92" s="9">
        <f t="shared" si="40"/>
        <v>1.125177184833332E-9</v>
      </c>
      <c r="U92" s="9">
        <f t="shared" si="41"/>
        <v>3.46301308739169E-5</v>
      </c>
      <c r="V92" s="102">
        <f t="shared" si="42"/>
        <v>3.2491277290574878E-5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3.2311126461878961E-2</v>
      </c>
      <c r="J93" s="54">
        <f t="shared" si="45"/>
        <v>0.42148240883964078</v>
      </c>
      <c r="K93" s="55">
        <f t="shared" si="46"/>
        <v>0.92464867519397065</v>
      </c>
      <c r="L93" s="55">
        <f t="shared" si="47"/>
        <v>3.4183160889433651E-3</v>
      </c>
      <c r="M93" s="55">
        <f t="shared" ref="M93:M127" si="52">IF(D93=0,"",1-L93)</f>
        <v>0.99658168391105661</v>
      </c>
      <c r="N93" s="55">
        <f t="shared" si="48"/>
        <v>1.1515951167024969E-3</v>
      </c>
      <c r="O93" s="56">
        <f t="shared" ref="O93:O127" si="53">IF(D93=0,"",F93*K93*$J$7/$J$14)</f>
        <v>9.264230704897558E-7</v>
      </c>
      <c r="P93" s="56">
        <f t="shared" si="49"/>
        <v>2.4450726653342036E-6</v>
      </c>
      <c r="Q93" s="56">
        <f t="shared" si="50"/>
        <v>1.6474390712369714E-4</v>
      </c>
      <c r="R93" s="9">
        <f>F93*$C$14</f>
        <v>3.9999999999999996E-5</v>
      </c>
      <c r="S93" s="9">
        <f t="shared" si="39"/>
        <v>1.367326435577346E-7</v>
      </c>
      <c r="T93" s="9">
        <f t="shared" si="40"/>
        <v>3.6985947007758825E-5</v>
      </c>
      <c r="U93" s="9">
        <f t="shared" si="41"/>
        <v>3.9863267356442264E-5</v>
      </c>
      <c r="V93" s="102">
        <f t="shared" si="42"/>
        <v>0.92782025810991542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1.9446765022663539E-3</v>
      </c>
      <c r="J107" s="54">
        <f t="shared" si="45"/>
        <v>4.0258937016961469E-2</v>
      </c>
      <c r="K107" s="55">
        <f t="shared" si="46"/>
        <v>0.99349736227390562</v>
      </c>
      <c r="L107" s="55">
        <f t="shared" si="47"/>
        <v>1.526787915728722E-3</v>
      </c>
      <c r="M107" s="55">
        <f t="shared" si="52"/>
        <v>0.99847321208427131</v>
      </c>
      <c r="N107" s="55">
        <f t="shared" si="48"/>
        <v>8.1302103342286485E-5</v>
      </c>
      <c r="O107" s="56">
        <f t="shared" si="53"/>
        <v>9.9540387778978391E-7</v>
      </c>
      <c r="P107" s="56">
        <f t="shared" si="49"/>
        <v>1.0920895848648156E-6</v>
      </c>
      <c r="Q107" s="56">
        <f t="shared" si="50"/>
        <v>1.1630846612423667E-5</v>
      </c>
      <c r="R107" s="9">
        <f>F107*$C$14</f>
        <v>3.9999999999999996E-5</v>
      </c>
      <c r="S107" s="9">
        <f t="shared" ref="S107:S108" si="54">$R107*L107</f>
        <v>6.1071516629148873E-8</v>
      </c>
      <c r="T107" s="9">
        <f t="shared" ref="T107:T108" si="55">R107*K107</f>
        <v>3.9739894490956219E-5</v>
      </c>
      <c r="U107" s="9">
        <f t="shared" ref="U107:U108" si="56">$R107*M107</f>
        <v>3.9938928483370852E-5</v>
      </c>
      <c r="V107" s="102">
        <f t="shared" ref="V107:V108" si="57">K107/M107</f>
        <v>0.99501654150542629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1.5422749478710035E-2</v>
      </c>
      <c r="J108" s="54">
        <f t="shared" si="45"/>
        <v>0.28643381699467835</v>
      </c>
      <c r="K108" s="55">
        <f t="shared" si="46"/>
        <v>0.96209708113979642</v>
      </c>
      <c r="L108" s="55">
        <f t="shared" si="47"/>
        <v>2.6061881907608166E-3</v>
      </c>
      <c r="M108" s="55">
        <f t="shared" si="52"/>
        <v>0.99739381180923914</v>
      </c>
      <c r="N108" s="55">
        <f t="shared" si="48"/>
        <v>8.0889278165893167E-4</v>
      </c>
      <c r="O108" s="56">
        <f t="shared" si="53"/>
        <v>9.6394333970335835E-7</v>
      </c>
      <c r="P108" s="56">
        <f t="shared" si="49"/>
        <v>1.8641691815913438E-6</v>
      </c>
      <c r="Q108" s="56">
        <f t="shared" si="50"/>
        <v>1.1571789022189344E-4</v>
      </c>
      <c r="R108" s="9">
        <f>F108*$C$14</f>
        <v>3.9999999999999996E-5</v>
      </c>
      <c r="S108" s="9">
        <f t="shared" si="54"/>
        <v>1.0424752763043266E-7</v>
      </c>
      <c r="T108" s="9">
        <f t="shared" si="55"/>
        <v>3.8483883245591856E-5</v>
      </c>
      <c r="U108" s="9">
        <f t="shared" si="56"/>
        <v>3.989575247236956E-5</v>
      </c>
      <c r="V108" s="102">
        <f t="shared" si="57"/>
        <v>0.96461103903841594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1.0353959656071578E-2</v>
      </c>
      <c r="J114" s="54">
        <f t="shared" si="45"/>
        <v>0.22591684515469179</v>
      </c>
      <c r="K114" s="55">
        <f t="shared" si="46"/>
        <v>0.97369596852517781</v>
      </c>
      <c r="L114" s="55">
        <f t="shared" si="47"/>
        <v>2.29452754452222E-3</v>
      </c>
      <c r="M114" s="55">
        <f t="shared" si="52"/>
        <v>0.9977054724554778</v>
      </c>
      <c r="N114" s="55">
        <f t="shared" si="48"/>
        <v>6.3631979643394092E-4</v>
      </c>
      <c r="O114" s="56">
        <f t="shared" si="53"/>
        <v>9.7556448528449047E-7</v>
      </c>
      <c r="P114" s="56">
        <f t="shared" si="49"/>
        <v>1.6412427736318223E-6</v>
      </c>
      <c r="Q114" s="56">
        <f t="shared" si="50"/>
        <v>9.1030092021278321E-5</v>
      </c>
      <c r="R114" s="9">
        <f>F114*$C$14</f>
        <v>3.9999999999999996E-5</v>
      </c>
      <c r="S114" s="9">
        <f t="shared" ref="S114:S116" si="58">$R114*L114</f>
        <v>9.1781101780888795E-8</v>
      </c>
      <c r="T114" s="9">
        <f t="shared" ref="T114:T116" si="59">R114*K114</f>
        <v>3.8947838741007106E-5</v>
      </c>
      <c r="U114" s="9">
        <f t="shared" ref="U114:U116" si="60">$R114*M114</f>
        <v>3.9908218898219109E-5</v>
      </c>
      <c r="V114" s="102">
        <f t="shared" ref="V114:V116" si="61">K114/M114</f>
        <v>0.97593527890429466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2.0480395290290027E-2</v>
      </c>
      <c r="J115" s="54">
        <f t="shared" si="45"/>
        <v>0.24488252340606687</v>
      </c>
      <c r="K115" s="55">
        <f t="shared" si="46"/>
        <v>0.95121008690955788</v>
      </c>
      <c r="L115" s="55">
        <f t="shared" si="47"/>
        <v>2.3415963309645952E-3</v>
      </c>
      <c r="M115" s="55">
        <f t="shared" si="52"/>
        <v>0.99765840366903535</v>
      </c>
      <c r="N115" s="55">
        <f t="shared" si="48"/>
        <v>3.5530024737406298E-4</v>
      </c>
      <c r="O115" s="56">
        <f t="shared" si="53"/>
        <v>9.5303545339609017E-7</v>
      </c>
      <c r="P115" s="56">
        <f t="shared" si="49"/>
        <v>1.6749104041628178E-6</v>
      </c>
      <c r="Q115" s="56">
        <f t="shared" si="50"/>
        <v>5.0828238245769516E-5</v>
      </c>
      <c r="R115" s="9">
        <f>F115*$C$14</f>
        <v>3.9999999999999996E-5</v>
      </c>
      <c r="S115" s="9">
        <f t="shared" si="58"/>
        <v>9.3663853238583804E-8</v>
      </c>
      <c r="T115" s="9">
        <f t="shared" si="59"/>
        <v>3.8048403476382315E-5</v>
      </c>
      <c r="U115" s="9">
        <f t="shared" si="60"/>
        <v>3.9906336146761414E-5</v>
      </c>
      <c r="V115" s="102">
        <f t="shared" si="61"/>
        <v>0.95344266475513362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5.8413729360461944E-4</v>
      </c>
      <c r="J116" s="54">
        <f t="shared" si="45"/>
        <v>6.9342980082594723E-3</v>
      </c>
      <c r="K116" s="55">
        <f t="shared" si="46"/>
        <v>0.99672260961230685</v>
      </c>
      <c r="L116" s="55">
        <f t="shared" si="47"/>
        <v>1.418605588547342E-3</v>
      </c>
      <c r="M116" s="55">
        <f t="shared" si="52"/>
        <v>0.99858139441145266</v>
      </c>
      <c r="N116" s="55">
        <f t="shared" si="48"/>
        <v>9.53745216418856E-6</v>
      </c>
      <c r="O116" s="56">
        <f t="shared" si="53"/>
        <v>9.9863531435860182E-7</v>
      </c>
      <c r="P116" s="56">
        <f t="shared" si="49"/>
        <v>1.0147083116937915E-6</v>
      </c>
      <c r="Q116" s="56">
        <f t="shared" si="50"/>
        <v>1.3644006567454888E-6</v>
      </c>
      <c r="R116" s="9">
        <f>F116*$C$14</f>
        <v>3.9999999999999996E-5</v>
      </c>
      <c r="S116" s="9">
        <f t="shared" si="58"/>
        <v>5.6744223541893679E-8</v>
      </c>
      <c r="T116" s="9">
        <f t="shared" si="59"/>
        <v>3.9868904384492268E-5</v>
      </c>
      <c r="U116" s="9">
        <f t="shared" si="60"/>
        <v>3.9943255776458106E-5</v>
      </c>
      <c r="V116" s="102">
        <f t="shared" si="61"/>
        <v>0.9981385745723399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0.56658503951123784</v>
      </c>
      <c r="J119" s="54">
        <f t="shared" si="45"/>
        <v>2.094216282910164</v>
      </c>
      <c r="K119" s="55">
        <f t="shared" si="46"/>
        <v>0.25892175264728123</v>
      </c>
      <c r="L119" s="55">
        <f t="shared" si="47"/>
        <v>4.5054469409218707E-2</v>
      </c>
      <c r="M119" s="55">
        <f t="shared" si="52"/>
        <v>0.95494553059078124</v>
      </c>
      <c r="N119" s="55">
        <f t="shared" si="48"/>
        <v>3.7296201362898802E-2</v>
      </c>
      <c r="O119" s="56">
        <f t="shared" si="53"/>
        <v>2.59418621947156E-7</v>
      </c>
      <c r="P119" s="56">
        <f t="shared" si="49"/>
        <v>3.2226818333136849E-5</v>
      </c>
      <c r="Q119" s="56">
        <f t="shared" si="50"/>
        <v>5.3354880064009789E-3</v>
      </c>
      <c r="R119" s="9">
        <f>F119*$C$14</f>
        <v>3.9999999999999996E-5</v>
      </c>
      <c r="S119" s="9">
        <f t="shared" ref="S119:S121" si="62">$R119*L119</f>
        <v>1.8021787763687481E-6</v>
      </c>
      <c r="T119" s="9">
        <f t="shared" ref="T119:T121" si="63">R119*K119</f>
        <v>1.0356870105891248E-5</v>
      </c>
      <c r="U119" s="9">
        <f t="shared" ref="U119:U121" si="64">$R119*M119</f>
        <v>3.8197821223631246E-5</v>
      </c>
      <c r="V119" s="102">
        <f t="shared" ref="V119:V121" si="65">K119/M119</f>
        <v>0.27113771870014214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2.3514137427377815E-2</v>
      </c>
      <c r="J120" s="54">
        <f t="shared" si="45"/>
        <v>0.37045470607538694</v>
      </c>
      <c r="K120" s="55">
        <f t="shared" si="46"/>
        <v>0.94386813362158573</v>
      </c>
      <c r="L120" s="55">
        <f t="shared" si="47"/>
        <v>3.1025521380045121E-3</v>
      </c>
      <c r="M120" s="55">
        <f t="shared" si="52"/>
        <v>0.99689744786199552</v>
      </c>
      <c r="N120" s="55">
        <f t="shared" si="48"/>
        <v>1.0873525736973067E-3</v>
      </c>
      <c r="O120" s="56">
        <f t="shared" si="53"/>
        <v>9.4567941094352446E-7</v>
      </c>
      <c r="P120" s="56">
        <f t="shared" si="49"/>
        <v>2.2192112221412268E-6</v>
      </c>
      <c r="Q120" s="56">
        <f t="shared" si="50"/>
        <v>1.5555355247149751E-4</v>
      </c>
      <c r="R120" s="9">
        <f>F120*$C$14</f>
        <v>3.9999999999999996E-5</v>
      </c>
      <c r="S120" s="9">
        <f t="shared" si="62"/>
        <v>1.2410208552018048E-7</v>
      </c>
      <c r="T120" s="9">
        <f t="shared" si="63"/>
        <v>3.7754725344863428E-5</v>
      </c>
      <c r="U120" s="9">
        <f t="shared" si="64"/>
        <v>3.9875897914479817E-5</v>
      </c>
      <c r="V120" s="102">
        <f t="shared" si="65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1.0322461970770105</v>
      </c>
      <c r="J121" s="54">
        <f t="shared" si="45"/>
        <v>2.5297227295182512</v>
      </c>
      <c r="K121" s="55">
        <f t="shared" si="46"/>
        <v>8.8883649637016615E-2</v>
      </c>
      <c r="L121" s="55">
        <f t="shared" si="47"/>
        <v>4.2159715042462055E-2</v>
      </c>
      <c r="M121" s="55">
        <f t="shared" si="52"/>
        <v>0.95784028495753792</v>
      </c>
      <c r="N121" s="55">
        <f t="shared" si="48"/>
        <v>3.1579404898159878E-2</v>
      </c>
      <c r="O121" s="56">
        <f t="shared" si="53"/>
        <v>8.9054216830826799E-8</v>
      </c>
      <c r="P121" s="56">
        <f t="shared" si="49"/>
        <v>3.0156241888229645E-5</v>
      </c>
      <c r="Q121" s="56">
        <f t="shared" si="50"/>
        <v>4.5176594378596143E-3</v>
      </c>
      <c r="R121" s="9">
        <f>F121*$C$14</f>
        <v>3.9999999999999996E-5</v>
      </c>
      <c r="S121" s="9">
        <f t="shared" si="62"/>
        <v>1.6863886016984821E-6</v>
      </c>
      <c r="T121" s="9">
        <f t="shared" si="63"/>
        <v>3.5553459854806644E-6</v>
      </c>
      <c r="U121" s="9">
        <f t="shared" si="64"/>
        <v>3.8313611398301511E-5</v>
      </c>
      <c r="V121" s="102">
        <f t="shared" si="65"/>
        <v>9.2795898264977361E-2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0.13981203375224771</v>
      </c>
      <c r="J124" s="54">
        <f t="shared" si="67"/>
        <v>1.2572371673508673</v>
      </c>
      <c r="K124" s="55">
        <f t="shared" si="68"/>
        <v>0.71132384824080463</v>
      </c>
      <c r="L124" s="55">
        <f t="shared" si="69"/>
        <v>1.8015967727077798E-2</v>
      </c>
      <c r="M124" s="55">
        <f t="shared" si="52"/>
        <v>0.98198403227292219</v>
      </c>
      <c r="N124" s="55">
        <f t="shared" si="70"/>
        <v>1.4121291958548141E-2</v>
      </c>
      <c r="O124" s="56">
        <f t="shared" si="53"/>
        <v>7.1268887446531464E-7</v>
      </c>
      <c r="P124" s="56">
        <f t="shared" si="71"/>
        <v>1.2886564344211216E-5</v>
      </c>
      <c r="Q124" s="56">
        <f t="shared" si="72"/>
        <v>2.0201516810414437E-3</v>
      </c>
      <c r="R124" s="9">
        <f>F124*$C$14</f>
        <v>3.9999999999999996E-5</v>
      </c>
      <c r="S124" s="9">
        <f t="shared" ref="S124:S127" si="73">$R124*L124</f>
        <v>7.2063870908311188E-7</v>
      </c>
      <c r="T124" s="9">
        <f t="shared" ref="T124:T127" si="74">R124*K124</f>
        <v>2.8452953929632183E-5</v>
      </c>
      <c r="U124" s="9">
        <f t="shared" ref="U124:U127" si="75">$R124*M124</f>
        <v>3.9279361290916883E-5</v>
      </c>
      <c r="V124" s="102">
        <f t="shared" ref="V124:V127" si="76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4.9312922410980113E-2</v>
      </c>
      <c r="J126" s="54">
        <f t="shared" si="67"/>
        <v>0.63134408871011904</v>
      </c>
      <c r="K126" s="55">
        <f t="shared" si="68"/>
        <v>0.8874539111126365</v>
      </c>
      <c r="L126" s="55">
        <f t="shared" si="69"/>
        <v>5.3191587860169851E-3</v>
      </c>
      <c r="M126" s="55">
        <f t="shared" si="52"/>
        <v>0.99468084121398304</v>
      </c>
      <c r="N126" s="55">
        <f t="shared" si="70"/>
        <v>2.7009893425844127E-3</v>
      </c>
      <c r="O126" s="56">
        <f t="shared" si="53"/>
        <v>8.891569298778708E-7</v>
      </c>
      <c r="P126" s="56">
        <f t="shared" si="71"/>
        <v>3.8047182916552911E-6</v>
      </c>
      <c r="Q126" s="56">
        <f t="shared" si="72"/>
        <v>3.8639581823771862E-4</v>
      </c>
      <c r="R126" s="9">
        <f>F126*$C$14</f>
        <v>3.9999999999999996E-5</v>
      </c>
      <c r="S126" s="9">
        <f t="shared" si="73"/>
        <v>2.1276635144067939E-7</v>
      </c>
      <c r="T126" s="9">
        <f t="shared" si="74"/>
        <v>3.5498156444505453E-5</v>
      </c>
      <c r="U126" s="9">
        <f t="shared" si="75"/>
        <v>3.9787233648559319E-5</v>
      </c>
      <c r="V126" s="102">
        <f t="shared" si="76"/>
        <v>0.8921996627878358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5.4598878066109929E-5</v>
      </c>
      <c r="J127" s="54">
        <f t="shared" si="67"/>
        <v>9.5943034079013759E-4</v>
      </c>
      <c r="K127" s="55">
        <f t="shared" si="68"/>
        <v>0.99795630172989402</v>
      </c>
      <c r="L127" s="55">
        <f t="shared" si="69"/>
        <v>1.4009544458303265E-3</v>
      </c>
      <c r="M127" s="55">
        <f t="shared" si="52"/>
        <v>0.99859904555416967</v>
      </c>
      <c r="N127" s="55">
        <f t="shared" si="70"/>
        <v>8.3060317669371149E-6</v>
      </c>
      <c r="O127" s="56">
        <f t="shared" si="53"/>
        <v>9.9987137392400831E-7</v>
      </c>
      <c r="P127" s="56">
        <f t="shared" si="71"/>
        <v>1.0020827014674918E-6</v>
      </c>
      <c r="Q127" s="56">
        <f t="shared" si="72"/>
        <v>1.1882371730586892E-6</v>
      </c>
      <c r="R127" s="9">
        <f>F127*$C$14</f>
        <v>3.9999999999999996E-5</v>
      </c>
      <c r="S127" s="9">
        <f t="shared" si="73"/>
        <v>5.6038177833213051E-8</v>
      </c>
      <c r="T127" s="9">
        <f t="shared" si="74"/>
        <v>3.9918252069195757E-5</v>
      </c>
      <c r="U127" s="9">
        <f t="shared" si="75"/>
        <v>3.9943961822166786E-5</v>
      </c>
      <c r="V127" s="102">
        <f t="shared" si="76"/>
        <v>0.99935635445764026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2.1084810301724875E-3</v>
      </c>
      <c r="J130" s="54">
        <f t="shared" si="78"/>
        <v>3.1510352752518005E-2</v>
      </c>
      <c r="K130" s="55">
        <f t="shared" si="79"/>
        <v>0.99315351209192138</v>
      </c>
      <c r="L130" s="55">
        <f t="shared" si="80"/>
        <v>1.4958215784816656E-3</v>
      </c>
      <c r="M130" s="55">
        <f t="shared" si="81"/>
        <v>0.99850417842151828</v>
      </c>
      <c r="N130" s="55">
        <f t="shared" si="82"/>
        <v>4.1994406282537017E-5</v>
      </c>
      <c r="O130" s="56">
        <f t="shared" si="83"/>
        <v>9.9505936776135037E-7</v>
      </c>
      <c r="P130" s="56">
        <f t="shared" si="84"/>
        <v>1.0699398062082427E-6</v>
      </c>
      <c r="Q130" s="56">
        <f t="shared" si="85"/>
        <v>6.007599778761794E-6</v>
      </c>
      <c r="R130" s="9">
        <f>F130*$C$14</f>
        <v>3.9999999999999996E-5</v>
      </c>
      <c r="S130" s="9">
        <f t="shared" ref="S130:S131" si="86">$R130*L130</f>
        <v>5.9832863139266613E-8</v>
      </c>
      <c r="T130" s="9">
        <f t="shared" ref="T130:T131" si="87">R130*K130</f>
        <v>3.9726140483676848E-5</v>
      </c>
      <c r="U130" s="9">
        <f t="shared" ref="U130:U131" si="88">$R130*M130</f>
        <v>3.9940167136860728E-5</v>
      </c>
      <c r="V130" s="102">
        <f t="shared" ref="V130:V131" si="89">K130/M130</f>
        <v>0.99464131803829259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-5.830329626681688E-5</v>
      </c>
      <c r="J131" s="54">
        <f t="shared" si="78"/>
        <v>-1.4833307878910978E-3</v>
      </c>
      <c r="K131" s="55">
        <f t="shared" si="79"/>
        <v>0.99822325328164552</v>
      </c>
      <c r="L131" s="55">
        <f t="shared" si="80"/>
        <v>1.3934693161988384E-3</v>
      </c>
      <c r="M131" s="55">
        <f t="shared" si="81"/>
        <v>0.99860653068380112</v>
      </c>
      <c r="N131" s="55">
        <f t="shared" si="82"/>
        <v>3.9892912575030673E-6</v>
      </c>
      <c r="O131" s="56">
        <f t="shared" si="83"/>
        <v>1.0001388377541961E-6</v>
      </c>
      <c r="P131" s="56">
        <f t="shared" si="84"/>
        <v>9.9672869517251132E-7</v>
      </c>
      <c r="Q131" s="56">
        <f t="shared" si="85"/>
        <v>5.7069660932336719E-7</v>
      </c>
      <c r="R131" s="9">
        <f>F131*$C$14</f>
        <v>3.9999999999999996E-5</v>
      </c>
      <c r="S131" s="9">
        <f t="shared" si="86"/>
        <v>5.573877264795353E-8</v>
      </c>
      <c r="T131" s="9">
        <f t="shared" si="87"/>
        <v>3.9928930131265819E-5</v>
      </c>
      <c r="U131" s="9">
        <f t="shared" si="88"/>
        <v>3.9944261227352042E-5</v>
      </c>
      <c r="V131" s="102">
        <f t="shared" si="89"/>
        <v>0.9996161877672749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2024-10-28T22:49:31Z</dcterms:modified>
</cp:coreProperties>
</file>