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5B9050CD-C147-4244-B28D-26C349E1AE06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T143" i="4"/>
  <c r="R143" i="4"/>
  <c r="U143" i="4" s="1"/>
  <c r="V142" i="4"/>
  <c r="R142" i="4"/>
  <c r="V141" i="4"/>
  <c r="U141" i="4"/>
  <c r="R141" i="4"/>
  <c r="T141" i="4" s="1"/>
  <c r="V140" i="4"/>
  <c r="R140" i="4"/>
  <c r="V139" i="4"/>
  <c r="U139" i="4"/>
  <c r="T139" i="4"/>
  <c r="S139" i="4"/>
  <c r="R139" i="4"/>
  <c r="V138" i="4"/>
  <c r="R138" i="4"/>
  <c r="U138" i="4" s="1"/>
  <c r="V137" i="4"/>
  <c r="R137" i="4"/>
  <c r="U137" i="4" s="1"/>
  <c r="V136" i="4"/>
  <c r="U136" i="4"/>
  <c r="T136" i="4"/>
  <c r="S136" i="4"/>
  <c r="R136" i="4"/>
  <c r="V135" i="4"/>
  <c r="R135" i="4"/>
  <c r="V134" i="4"/>
  <c r="U134" i="4"/>
  <c r="T134" i="4"/>
  <c r="R134" i="4"/>
  <c r="S134" i="4" s="1"/>
  <c r="V133" i="4"/>
  <c r="R133" i="4"/>
  <c r="U133" i="4" s="1"/>
  <c r="V132" i="4"/>
  <c r="U132" i="4"/>
  <c r="R132" i="4"/>
  <c r="T132" i="4" s="1"/>
  <c r="V131" i="4"/>
  <c r="T131" i="4"/>
  <c r="R131" i="4"/>
  <c r="U131" i="4" s="1"/>
  <c r="V130" i="4"/>
  <c r="R130" i="4"/>
  <c r="V129" i="4"/>
  <c r="U129" i="4"/>
  <c r="R129" i="4"/>
  <c r="T129" i="4" s="1"/>
  <c r="V128" i="4"/>
  <c r="R128" i="4"/>
  <c r="T128" i="4" s="1"/>
  <c r="V127" i="4"/>
  <c r="U127" i="4"/>
  <c r="T127" i="4"/>
  <c r="S127" i="4"/>
  <c r="R127" i="4"/>
  <c r="V126" i="4"/>
  <c r="R126" i="4"/>
  <c r="U126" i="4" s="1"/>
  <c r="V125" i="4"/>
  <c r="T125" i="4"/>
  <c r="S125" i="4"/>
  <c r="R125" i="4"/>
  <c r="U125" i="4" s="1"/>
  <c r="V124" i="4"/>
  <c r="U124" i="4"/>
  <c r="T124" i="4"/>
  <c r="S124" i="4"/>
  <c r="R124" i="4"/>
  <c r="V123" i="4"/>
  <c r="R123" i="4"/>
  <c r="V122" i="4"/>
  <c r="U122" i="4"/>
  <c r="T122" i="4"/>
  <c r="S122" i="4"/>
  <c r="R122" i="4"/>
  <c r="V121" i="4"/>
  <c r="R121" i="4"/>
  <c r="U121" i="4" s="1"/>
  <c r="V120" i="4"/>
  <c r="R120" i="4"/>
  <c r="U120" i="4" s="1"/>
  <c r="V119" i="4"/>
  <c r="T119" i="4"/>
  <c r="R119" i="4"/>
  <c r="U119" i="4" s="1"/>
  <c r="V118" i="4"/>
  <c r="R118" i="4"/>
  <c r="V117" i="4"/>
  <c r="U117" i="4"/>
  <c r="R117" i="4"/>
  <c r="T117" i="4" s="1"/>
  <c r="V116" i="4"/>
  <c r="R116" i="4"/>
  <c r="T116" i="4" s="1"/>
  <c r="V115" i="4"/>
  <c r="U115" i="4"/>
  <c r="T115" i="4"/>
  <c r="S115" i="4"/>
  <c r="R115" i="4"/>
  <c r="V114" i="4"/>
  <c r="R114" i="4"/>
  <c r="U114" i="4" s="1"/>
  <c r="V113" i="4"/>
  <c r="R113" i="4"/>
  <c r="U113" i="4" s="1"/>
  <c r="V112" i="4"/>
  <c r="U112" i="4"/>
  <c r="T112" i="4"/>
  <c r="S112" i="4"/>
  <c r="R112" i="4"/>
  <c r="V111" i="4"/>
  <c r="R111" i="4"/>
  <c r="V110" i="4"/>
  <c r="U110" i="4"/>
  <c r="T110" i="4"/>
  <c r="S110" i="4"/>
  <c r="R110" i="4"/>
  <c r="V109" i="4"/>
  <c r="R109" i="4"/>
  <c r="U109" i="4" s="1"/>
  <c r="V108" i="4"/>
  <c r="T108" i="4"/>
  <c r="S108" i="4"/>
  <c r="R108" i="4"/>
  <c r="U108" i="4" s="1"/>
  <c r="R107" i="4"/>
  <c r="V106" i="4"/>
  <c r="R106" i="4"/>
  <c r="U106" i="4" s="1"/>
  <c r="V105" i="4"/>
  <c r="R105" i="4"/>
  <c r="U105" i="4" s="1"/>
  <c r="V104" i="4"/>
  <c r="U104" i="4"/>
  <c r="T104" i="4"/>
  <c r="S104" i="4"/>
  <c r="R104" i="4"/>
  <c r="V103" i="4"/>
  <c r="R103" i="4"/>
  <c r="V102" i="4"/>
  <c r="U102" i="4"/>
  <c r="T102" i="4"/>
  <c r="R102" i="4"/>
  <c r="S102" i="4" s="1"/>
  <c r="V101" i="4"/>
  <c r="R101" i="4"/>
  <c r="U101" i="4" s="1"/>
  <c r="R100" i="4"/>
  <c r="V99" i="4"/>
  <c r="U99" i="4"/>
  <c r="T99" i="4"/>
  <c r="S99" i="4"/>
  <c r="R99" i="4"/>
  <c r="V98" i="4"/>
  <c r="R98" i="4"/>
  <c r="U98" i="4" s="1"/>
  <c r="R97" i="4"/>
  <c r="V96" i="4"/>
  <c r="U96" i="4"/>
  <c r="T96" i="4"/>
  <c r="R96" i="4"/>
  <c r="S96" i="4" s="1"/>
  <c r="V95" i="4"/>
  <c r="T95" i="4"/>
  <c r="R95" i="4"/>
  <c r="U95" i="4" s="1"/>
  <c r="V94" i="4"/>
  <c r="R94" i="4"/>
  <c r="U94" i="4" s="1"/>
  <c r="V93" i="4"/>
  <c r="U93" i="4"/>
  <c r="R93" i="4"/>
  <c r="T93" i="4" s="1"/>
  <c r="V92" i="4"/>
  <c r="R92" i="4"/>
  <c r="V91" i="4"/>
  <c r="U91" i="4"/>
  <c r="T91" i="4"/>
  <c r="S91" i="4"/>
  <c r="R91" i="4"/>
  <c r="V90" i="4"/>
  <c r="R90" i="4"/>
  <c r="U90" i="4" s="1"/>
  <c r="V89" i="4"/>
  <c r="U89" i="4"/>
  <c r="T89" i="4"/>
  <c r="R89" i="4"/>
  <c r="S89" i="4" s="1"/>
  <c r="V88" i="4"/>
  <c r="U88" i="4"/>
  <c r="T88" i="4"/>
  <c r="S88" i="4"/>
  <c r="R88" i="4"/>
  <c r="V87" i="4"/>
  <c r="R87" i="4"/>
  <c r="V86" i="4"/>
  <c r="U86" i="4"/>
  <c r="T86" i="4"/>
  <c r="R86" i="4"/>
  <c r="S86" i="4" s="1"/>
  <c r="V85" i="4"/>
  <c r="R85" i="4"/>
  <c r="U85" i="4" s="1"/>
  <c r="V84" i="4"/>
  <c r="R84" i="4"/>
  <c r="U84" i="4" s="1"/>
  <c r="V83" i="4"/>
  <c r="T83" i="4"/>
  <c r="R83" i="4"/>
  <c r="U83" i="4" s="1"/>
  <c r="V82" i="4"/>
  <c r="T82" i="4"/>
  <c r="S82" i="4"/>
  <c r="R82" i="4"/>
  <c r="U82" i="4" s="1"/>
  <c r="V81" i="4"/>
  <c r="U81" i="4"/>
  <c r="R81" i="4"/>
  <c r="T81" i="4" s="1"/>
  <c r="V80" i="4"/>
  <c r="R80" i="4"/>
  <c r="V79" i="4"/>
  <c r="U79" i="4"/>
  <c r="T79" i="4"/>
  <c r="S79" i="4"/>
  <c r="R79" i="4"/>
  <c r="V78" i="4"/>
  <c r="R78" i="4"/>
  <c r="U78" i="4" s="1"/>
  <c r="V77" i="4"/>
  <c r="R77" i="4"/>
  <c r="U77" i="4" s="1"/>
  <c r="V76" i="4"/>
  <c r="U76" i="4"/>
  <c r="T76" i="4"/>
  <c r="S76" i="4"/>
  <c r="R76" i="4"/>
  <c r="V75" i="4"/>
  <c r="R75" i="4"/>
  <c r="V74" i="4"/>
  <c r="U74" i="4"/>
  <c r="T74" i="4"/>
  <c r="S74" i="4"/>
  <c r="R74" i="4"/>
  <c r="V73" i="4"/>
  <c r="R73" i="4"/>
  <c r="U73" i="4" s="1"/>
  <c r="V72" i="4"/>
  <c r="T72" i="4"/>
  <c r="R72" i="4"/>
  <c r="U72" i="4" s="1"/>
  <c r="V71" i="4"/>
  <c r="T71" i="4"/>
  <c r="R71" i="4"/>
  <c r="U71" i="4" s="1"/>
  <c r="V70" i="4"/>
  <c r="R70" i="4"/>
  <c r="U70" i="4" s="1"/>
  <c r="V69" i="4"/>
  <c r="U69" i="4"/>
  <c r="R69" i="4"/>
  <c r="T69" i="4" s="1"/>
  <c r="V68" i="4"/>
  <c r="R68" i="4"/>
  <c r="V67" i="4"/>
  <c r="U67" i="4"/>
  <c r="T67" i="4"/>
  <c r="S67" i="4"/>
  <c r="R67" i="4"/>
  <c r="V66" i="4"/>
  <c r="R66" i="4"/>
  <c r="U66" i="4" s="1"/>
  <c r="V65" i="4"/>
  <c r="T65" i="4"/>
  <c r="R65" i="4"/>
  <c r="U65" i="4" s="1"/>
  <c r="V64" i="4"/>
  <c r="U64" i="4"/>
  <c r="T64" i="4"/>
  <c r="S64" i="4"/>
  <c r="R64" i="4"/>
  <c r="V63" i="4"/>
  <c r="S63" i="4"/>
  <c r="R63" i="4"/>
  <c r="V62" i="4"/>
  <c r="U62" i="4"/>
  <c r="T62" i="4"/>
  <c r="R62" i="4"/>
  <c r="S62" i="4" s="1"/>
  <c r="V61" i="4"/>
  <c r="R61" i="4"/>
  <c r="U61" i="4" s="1"/>
  <c r="V60" i="4"/>
  <c r="R60" i="4"/>
  <c r="U60" i="4" s="1"/>
  <c r="V59" i="4"/>
  <c r="T59" i="4"/>
  <c r="R59" i="4"/>
  <c r="U59" i="4" s="1"/>
  <c r="V58" i="4"/>
  <c r="R58" i="4"/>
  <c r="U58" i="4" s="1"/>
  <c r="V57" i="4"/>
  <c r="U57" i="4"/>
  <c r="R57" i="4"/>
  <c r="T57" i="4" s="1"/>
  <c r="V56" i="4"/>
  <c r="R56" i="4"/>
  <c r="V55" i="4"/>
  <c r="U55" i="4"/>
  <c r="T55" i="4"/>
  <c r="S55" i="4"/>
  <c r="R55" i="4"/>
  <c r="V54" i="4"/>
  <c r="R54" i="4"/>
  <c r="U54" i="4" s="1"/>
  <c r="V53" i="4"/>
  <c r="R53" i="4"/>
  <c r="U53" i="4" s="1"/>
  <c r="V52" i="4"/>
  <c r="U52" i="4"/>
  <c r="T52" i="4"/>
  <c r="S52" i="4"/>
  <c r="R52" i="4"/>
  <c r="V51" i="4"/>
  <c r="R51" i="4"/>
  <c r="V50" i="4"/>
  <c r="U50" i="4"/>
  <c r="T50" i="4"/>
  <c r="S50" i="4"/>
  <c r="R50" i="4"/>
  <c r="V49" i="4"/>
  <c r="R49" i="4"/>
  <c r="U49" i="4" s="1"/>
  <c r="V48" i="4"/>
  <c r="R48" i="4"/>
  <c r="U48" i="4" s="1"/>
  <c r="V47" i="4"/>
  <c r="T47" i="4"/>
  <c r="R47" i="4"/>
  <c r="U47" i="4" s="1"/>
  <c r="V46" i="4"/>
  <c r="R46" i="4"/>
  <c r="U46" i="4" s="1"/>
  <c r="V45" i="4"/>
  <c r="U45" i="4"/>
  <c r="R45" i="4"/>
  <c r="T45" i="4" s="1"/>
  <c r="V44" i="4"/>
  <c r="R44" i="4"/>
  <c r="V43" i="4"/>
  <c r="U43" i="4"/>
  <c r="T43" i="4"/>
  <c r="S43" i="4"/>
  <c r="R43" i="4"/>
  <c r="V42" i="4"/>
  <c r="R42" i="4"/>
  <c r="U42" i="4" s="1"/>
  <c r="V41" i="4"/>
  <c r="R41" i="4"/>
  <c r="U41" i="4" s="1"/>
  <c r="V40" i="4"/>
  <c r="U40" i="4"/>
  <c r="T40" i="4"/>
  <c r="S40" i="4"/>
  <c r="R40" i="4"/>
  <c r="V39" i="4"/>
  <c r="S39" i="4"/>
  <c r="R39" i="4"/>
  <c r="V38" i="4"/>
  <c r="U38" i="4"/>
  <c r="T38" i="4"/>
  <c r="R38" i="4"/>
  <c r="S38" i="4" s="1"/>
  <c r="V37" i="4"/>
  <c r="R37" i="4"/>
  <c r="U37" i="4" s="1"/>
  <c r="V36" i="4"/>
  <c r="U36" i="4"/>
  <c r="R36" i="4"/>
  <c r="T36" i="4" s="1"/>
  <c r="V35" i="4"/>
  <c r="T35" i="4"/>
  <c r="R35" i="4"/>
  <c r="U35" i="4" s="1"/>
  <c r="V34" i="4"/>
  <c r="R34" i="4"/>
  <c r="U34" i="4" s="1"/>
  <c r="V33" i="4"/>
  <c r="U33" i="4"/>
  <c r="R33" i="4"/>
  <c r="T33" i="4" s="1"/>
  <c r="V32" i="4"/>
  <c r="R32" i="4"/>
  <c r="V31" i="4"/>
  <c r="U31" i="4"/>
  <c r="T31" i="4"/>
  <c r="S31" i="4"/>
  <c r="R31" i="4"/>
  <c r="V30" i="4"/>
  <c r="R30" i="4"/>
  <c r="U30" i="4" s="1"/>
  <c r="V29" i="4"/>
  <c r="U29" i="4"/>
  <c r="R29" i="4"/>
  <c r="T29" i="4" s="1"/>
  <c r="V28" i="4"/>
  <c r="U28" i="4"/>
  <c r="T28" i="4"/>
  <c r="S28" i="4"/>
  <c r="R28" i="4"/>
  <c r="I135" i="4"/>
  <c r="L135" i="4" s="1"/>
  <c r="M135" i="4" s="1"/>
  <c r="J135" i="4"/>
  <c r="K135" i="4" s="1"/>
  <c r="O135" i="4" s="1"/>
  <c r="P135" i="4" s="1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L139" i="4" s="1"/>
  <c r="M139" i="4" s="1"/>
  <c r="J139" i="4"/>
  <c r="K139" i="4" s="1"/>
  <c r="O139" i="4" s="1"/>
  <c r="P139" i="4" s="1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L143" i="4" s="1"/>
  <c r="M143" i="4" s="1"/>
  <c r="J143" i="4"/>
  <c r="K143" i="4" s="1"/>
  <c r="O143" i="4" s="1"/>
  <c r="P143" i="4" s="1"/>
  <c r="N143" i="4"/>
  <c r="Q143" i="4"/>
  <c r="T56" i="4" l="1"/>
  <c r="S56" i="4"/>
  <c r="U56" i="4"/>
  <c r="S53" i="4"/>
  <c r="S60" i="4"/>
  <c r="S70" i="4"/>
  <c r="S137" i="4"/>
  <c r="T137" i="4"/>
  <c r="U130" i="4"/>
  <c r="T130" i="4"/>
  <c r="U123" i="4"/>
  <c r="T123" i="4"/>
  <c r="S123" i="4"/>
  <c r="S130" i="4"/>
  <c r="S140" i="4"/>
  <c r="U140" i="4"/>
  <c r="T140" i="4"/>
  <c r="T53" i="4"/>
  <c r="T60" i="4"/>
  <c r="T70" i="4"/>
  <c r="U87" i="4"/>
  <c r="T87" i="4"/>
  <c r="S105" i="4"/>
  <c r="S120" i="4"/>
  <c r="S34" i="4"/>
  <c r="T80" i="4"/>
  <c r="S80" i="4"/>
  <c r="U80" i="4"/>
  <c r="S87" i="4"/>
  <c r="T105" i="4"/>
  <c r="T120" i="4"/>
  <c r="T34" i="4"/>
  <c r="T44" i="4"/>
  <c r="S44" i="4"/>
  <c r="U44" i="4"/>
  <c r="T51" i="4"/>
  <c r="U51" i="4"/>
  <c r="S77" i="4"/>
  <c r="S84" i="4"/>
  <c r="S94" i="4"/>
  <c r="S113" i="4"/>
  <c r="S41" i="4"/>
  <c r="S48" i="4"/>
  <c r="S51" i="4"/>
  <c r="T77" i="4"/>
  <c r="T84" i="4"/>
  <c r="T94" i="4"/>
  <c r="T113" i="4"/>
  <c r="U135" i="4"/>
  <c r="T135" i="4"/>
  <c r="T41" i="4"/>
  <c r="T48" i="4"/>
  <c r="S58" i="4"/>
  <c r="U103" i="4"/>
  <c r="T103" i="4"/>
  <c r="S103" i="4"/>
  <c r="S135" i="4"/>
  <c r="U142" i="4"/>
  <c r="T142" i="4"/>
  <c r="T58" i="4"/>
  <c r="T68" i="4"/>
  <c r="S68" i="4"/>
  <c r="U68" i="4"/>
  <c r="T75" i="4"/>
  <c r="U75" i="4"/>
  <c r="U118" i="4"/>
  <c r="T118" i="4"/>
  <c r="S132" i="4"/>
  <c r="S142" i="4"/>
  <c r="T39" i="4"/>
  <c r="U39" i="4"/>
  <c r="S65" i="4"/>
  <c r="S72" i="4"/>
  <c r="S75" i="4"/>
  <c r="U111" i="4"/>
  <c r="T111" i="4"/>
  <c r="S111" i="4"/>
  <c r="S118" i="4"/>
  <c r="T32" i="4"/>
  <c r="S32" i="4"/>
  <c r="U32" i="4"/>
  <c r="S29" i="4"/>
  <c r="S36" i="4"/>
  <c r="S46" i="4"/>
  <c r="T92" i="4"/>
  <c r="S92" i="4"/>
  <c r="U92" i="4"/>
  <c r="T46" i="4"/>
  <c r="U63" i="4"/>
  <c r="T63" i="4"/>
  <c r="S30" i="4"/>
  <c r="T37" i="4"/>
  <c r="S42" i="4"/>
  <c r="T49" i="4"/>
  <c r="S54" i="4"/>
  <c r="T61" i="4"/>
  <c r="S66" i="4"/>
  <c r="T73" i="4"/>
  <c r="S78" i="4"/>
  <c r="T85" i="4"/>
  <c r="S90" i="4"/>
  <c r="S98" i="4"/>
  <c r="T101" i="4"/>
  <c r="S106" i="4"/>
  <c r="T109" i="4"/>
  <c r="S114" i="4"/>
  <c r="U116" i="4"/>
  <c r="T121" i="4"/>
  <c r="S126" i="4"/>
  <c r="U128" i="4"/>
  <c r="T133" i="4"/>
  <c r="S138" i="4"/>
  <c r="S116" i="4"/>
  <c r="S128" i="4"/>
  <c r="S37" i="4"/>
  <c r="S49" i="4"/>
  <c r="S61" i="4"/>
  <c r="S73" i="4"/>
  <c r="S85" i="4"/>
  <c r="S101" i="4"/>
  <c r="S109" i="4"/>
  <c r="S121" i="4"/>
  <c r="S133" i="4"/>
  <c r="T30" i="4"/>
  <c r="S35" i="4"/>
  <c r="T42" i="4"/>
  <c r="S47" i="4"/>
  <c r="T54" i="4"/>
  <c r="S59" i="4"/>
  <c r="T66" i="4"/>
  <c r="S71" i="4"/>
  <c r="T78" i="4"/>
  <c r="S83" i="4"/>
  <c r="T90" i="4"/>
  <c r="S95" i="4"/>
  <c r="T98" i="4"/>
  <c r="T106" i="4"/>
  <c r="T114" i="4"/>
  <c r="S119" i="4"/>
  <c r="T126" i="4"/>
  <c r="S131" i="4"/>
  <c r="T138" i="4"/>
  <c r="S143" i="4"/>
  <c r="S33" i="4"/>
  <c r="S45" i="4"/>
  <c r="S57" i="4"/>
  <c r="S69" i="4"/>
  <c r="S81" i="4"/>
  <c r="S93" i="4"/>
  <c r="S117" i="4"/>
  <c r="S129" i="4"/>
  <c r="S141" i="4"/>
  <c r="N139" i="4"/>
  <c r="Q139" i="4" s="1"/>
  <c r="N135" i="4"/>
  <c r="Q135" i="4" s="1"/>
  <c r="N140" i="4"/>
  <c r="Q140" i="4" s="1"/>
  <c r="N136" i="4"/>
  <c r="Q136" i="4" s="1"/>
  <c r="I128" i="4" l="1"/>
  <c r="J128" i="4"/>
  <c r="K128" i="4"/>
  <c r="O128" i="4" s="1"/>
  <c r="P128" i="4" s="1"/>
  <c r="I129" i="4"/>
  <c r="J129" i="4"/>
  <c r="K129" i="4"/>
  <c r="O129" i="4" s="1"/>
  <c r="P129" i="4" s="1"/>
  <c r="L129" i="4"/>
  <c r="M129" i="4" s="1"/>
  <c r="N129" i="4"/>
  <c r="Q129" i="4" s="1"/>
  <c r="I130" i="4"/>
  <c r="J130" i="4"/>
  <c r="K130" i="4"/>
  <c r="O130" i="4" s="1"/>
  <c r="P130" i="4" s="1"/>
  <c r="L130" i="4"/>
  <c r="M130" i="4"/>
  <c r="N130" i="4"/>
  <c r="Q130" i="4" s="1"/>
  <c r="I131" i="4"/>
  <c r="L131" i="4" s="1"/>
  <c r="M131" i="4" s="1"/>
  <c r="J131" i="4"/>
  <c r="K131" i="4"/>
  <c r="O131" i="4" s="1"/>
  <c r="P131" i="4" s="1"/>
  <c r="I132" i="4"/>
  <c r="J132" i="4"/>
  <c r="K132" i="4"/>
  <c r="L132" i="4"/>
  <c r="M132" i="4"/>
  <c r="N132" i="4"/>
  <c r="Q132" i="4" s="1"/>
  <c r="O132" i="4"/>
  <c r="P132" i="4"/>
  <c r="I133" i="4"/>
  <c r="N133" i="4" s="1"/>
  <c r="Q133" i="4" s="1"/>
  <c r="J133" i="4"/>
  <c r="K133" i="4"/>
  <c r="O133" i="4"/>
  <c r="P133" i="4"/>
  <c r="I134" i="4"/>
  <c r="J134" i="4"/>
  <c r="K134" i="4" s="1"/>
  <c r="O134" i="4" s="1"/>
  <c r="P134" i="4" s="1"/>
  <c r="L134" i="4" l="1"/>
  <c r="M134" i="4" s="1"/>
  <c r="N134" i="4"/>
  <c r="Q134" i="4" s="1"/>
  <c r="L128" i="4"/>
  <c r="M128" i="4" s="1"/>
  <c r="N128" i="4"/>
  <c r="Q128" i="4" s="1"/>
  <c r="L133" i="4"/>
  <c r="M133" i="4" s="1"/>
  <c r="N131" i="4"/>
  <c r="Q131" i="4" s="1"/>
  <c r="O15" i="1" l="1"/>
  <c r="L15" i="1"/>
  <c r="N15" i="1"/>
  <c r="M105" i="4"/>
  <c r="M117" i="4"/>
  <c r="M122" i="4"/>
  <c r="J16" i="4"/>
  <c r="J15" i="4"/>
  <c r="J87" i="4"/>
  <c r="K87" i="4" s="1"/>
  <c r="J122" i="4"/>
  <c r="K122" i="4"/>
  <c r="J117" i="4"/>
  <c r="K117" i="4"/>
  <c r="O117" i="4" s="1"/>
  <c r="P117" i="4" s="1"/>
  <c r="J120" i="4"/>
  <c r="K120" i="4" s="1"/>
  <c r="J101" i="4"/>
  <c r="K101" i="4"/>
  <c r="J86" i="4"/>
  <c r="K86" i="4"/>
  <c r="J85" i="4"/>
  <c r="K85" i="4" s="1"/>
  <c r="J88" i="4"/>
  <c r="K88" i="4" s="1"/>
  <c r="J119" i="4"/>
  <c r="K119" i="4" s="1"/>
  <c r="J72" i="4"/>
  <c r="K72" i="4" s="1"/>
  <c r="J103" i="4"/>
  <c r="K103" i="4"/>
  <c r="O103" i="4" s="1"/>
  <c r="P103" i="4" s="1"/>
  <c r="J118" i="4"/>
  <c r="L118" i="4" s="1"/>
  <c r="M118" i="4" s="1"/>
  <c r="K118" i="4"/>
  <c r="O118" i="4" s="1"/>
  <c r="P118" i="4" s="1"/>
  <c r="J104" i="4"/>
  <c r="K104" i="4"/>
  <c r="O104" i="4" s="1"/>
  <c r="P104" i="4" s="1"/>
  <c r="J90" i="4"/>
  <c r="K90" i="4" s="1"/>
  <c r="J71" i="4"/>
  <c r="K71" i="4"/>
  <c r="J110" i="4"/>
  <c r="K110" i="4"/>
  <c r="J82" i="4"/>
  <c r="K82" i="4" s="1"/>
  <c r="J113" i="4"/>
  <c r="K113" i="4"/>
  <c r="J97" i="4"/>
  <c r="K97" i="4"/>
  <c r="J81" i="4"/>
  <c r="K81" i="4" s="1"/>
  <c r="J116" i="4"/>
  <c r="K116" i="4"/>
  <c r="J100" i="4"/>
  <c r="K100" i="4" s="1"/>
  <c r="O100" i="4" s="1"/>
  <c r="P100" i="4" s="1"/>
  <c r="J84" i="4"/>
  <c r="K84" i="4" s="1"/>
  <c r="J114" i="4"/>
  <c r="K114" i="4" s="1"/>
  <c r="J78" i="4"/>
  <c r="K78" i="4"/>
  <c r="J115" i="4"/>
  <c r="K115" i="4"/>
  <c r="O115" i="4"/>
  <c r="P115" i="4" s="1"/>
  <c r="J99" i="4"/>
  <c r="K99" i="4"/>
  <c r="O99" i="4" s="1"/>
  <c r="P99" i="4" s="1"/>
  <c r="J83" i="4"/>
  <c r="K83" i="4" s="1"/>
  <c r="J102" i="4"/>
  <c r="K102" i="4"/>
  <c r="J74" i="4"/>
  <c r="K74" i="4" s="1"/>
  <c r="J125" i="4"/>
  <c r="K125" i="4"/>
  <c r="J109" i="4"/>
  <c r="K109" i="4"/>
  <c r="J93" i="4"/>
  <c r="K93" i="4"/>
  <c r="J77" i="4"/>
  <c r="K77" i="4" s="1"/>
  <c r="J112" i="4"/>
  <c r="K112" i="4" s="1"/>
  <c r="O112" i="4" s="1"/>
  <c r="P112" i="4" s="1"/>
  <c r="J96" i="4"/>
  <c r="K96" i="4" s="1"/>
  <c r="O96" i="4" s="1"/>
  <c r="P96" i="4" s="1"/>
  <c r="J80" i="4"/>
  <c r="K80" i="4" s="1"/>
  <c r="J106" i="4"/>
  <c r="K106" i="4"/>
  <c r="O106" i="4" s="1"/>
  <c r="P106" i="4" s="1"/>
  <c r="J127" i="4"/>
  <c r="K127" i="4"/>
  <c r="J111" i="4"/>
  <c r="K111" i="4"/>
  <c r="O111" i="4" s="1"/>
  <c r="P111" i="4" s="1"/>
  <c r="J95" i="4"/>
  <c r="K95" i="4" s="1"/>
  <c r="J79" i="4"/>
  <c r="K79" i="4" s="1"/>
  <c r="J126" i="4"/>
  <c r="K126" i="4" s="1"/>
  <c r="J94" i="4"/>
  <c r="J121" i="4"/>
  <c r="K121" i="4"/>
  <c r="J105" i="4"/>
  <c r="K105" i="4"/>
  <c r="J89" i="4"/>
  <c r="K89" i="4"/>
  <c r="J73" i="4"/>
  <c r="K73" i="4" s="1"/>
  <c r="J124" i="4"/>
  <c r="K124" i="4" s="1"/>
  <c r="J108" i="4"/>
  <c r="K108" i="4" s="1"/>
  <c r="J92" i="4"/>
  <c r="K92" i="4" s="1"/>
  <c r="J76" i="4"/>
  <c r="K76" i="4"/>
  <c r="J98" i="4"/>
  <c r="K98" i="4"/>
  <c r="O98" i="4" s="1"/>
  <c r="P98" i="4" s="1"/>
  <c r="J123" i="4"/>
  <c r="L123" i="4" s="1"/>
  <c r="M123" i="4" s="1"/>
  <c r="K123" i="4"/>
  <c r="O123" i="4" s="1"/>
  <c r="P123" i="4" s="1"/>
  <c r="J107" i="4"/>
  <c r="K107" i="4" s="1"/>
  <c r="J91" i="4"/>
  <c r="K91" i="4" s="1"/>
  <c r="J75" i="4"/>
  <c r="K75" i="4" s="1"/>
  <c r="O105" i="4"/>
  <c r="P105" i="4"/>
  <c r="O102" i="4"/>
  <c r="P102" i="4"/>
  <c r="O78" i="4"/>
  <c r="P78" i="4" s="1"/>
  <c r="O97" i="4"/>
  <c r="P97" i="4"/>
  <c r="O110" i="4"/>
  <c r="P110" i="4" s="1"/>
  <c r="O109" i="4"/>
  <c r="P109" i="4"/>
  <c r="O113" i="4"/>
  <c r="P113" i="4" s="1"/>
  <c r="O122" i="4"/>
  <c r="P122" i="4" s="1"/>
  <c r="O125" i="4"/>
  <c r="P125" i="4"/>
  <c r="O101" i="4"/>
  <c r="P101" i="4" s="1"/>
  <c r="I76" i="4"/>
  <c r="N76" i="4" s="1"/>
  <c r="Q76" i="4" s="1"/>
  <c r="I77" i="4"/>
  <c r="I81" i="4"/>
  <c r="N81" i="4" s="1"/>
  <c r="Q81" i="4" s="1"/>
  <c r="I89" i="4"/>
  <c r="I90" i="4"/>
  <c r="I96" i="4"/>
  <c r="I99" i="4"/>
  <c r="N99" i="4" s="1"/>
  <c r="Q99" i="4" s="1"/>
  <c r="I102" i="4"/>
  <c r="N102" i="4" s="1"/>
  <c r="Q102" i="4" s="1"/>
  <c r="I104" i="4"/>
  <c r="L104" i="4" s="1"/>
  <c r="M104" i="4" s="1"/>
  <c r="I108" i="4"/>
  <c r="L108" i="4" s="1"/>
  <c r="I111" i="4"/>
  <c r="L111" i="4" s="1"/>
  <c r="M111" i="4" s="1"/>
  <c r="I113" i="4"/>
  <c r="I115" i="4"/>
  <c r="N115" i="4" s="1"/>
  <c r="Q115" i="4" s="1"/>
  <c r="I119" i="4"/>
  <c r="N119" i="4" s="1"/>
  <c r="Q119" i="4" s="1"/>
  <c r="I120" i="4"/>
  <c r="I123" i="4"/>
  <c r="I125" i="4"/>
  <c r="L125" i="4" s="1"/>
  <c r="M125" i="4" s="1"/>
  <c r="I79" i="4"/>
  <c r="N79" i="4" s="1"/>
  <c r="Q79" i="4" s="1"/>
  <c r="I92" i="4"/>
  <c r="N92" i="4" s="1"/>
  <c r="Q92" i="4" s="1"/>
  <c r="I100" i="4"/>
  <c r="L100" i="4" s="1"/>
  <c r="M100" i="4" s="1"/>
  <c r="I103" i="4"/>
  <c r="N103" i="4" s="1"/>
  <c r="Q103" i="4" s="1"/>
  <c r="I107" i="4"/>
  <c r="N107" i="4" s="1"/>
  <c r="Q107" i="4" s="1"/>
  <c r="I109" i="4"/>
  <c r="L109" i="4" s="1"/>
  <c r="M109" i="4" s="1"/>
  <c r="I110" i="4"/>
  <c r="I117" i="4"/>
  <c r="I124" i="4"/>
  <c r="N124" i="4" s="1"/>
  <c r="Q124" i="4" s="1"/>
  <c r="I72" i="4"/>
  <c r="N72" i="4" s="1"/>
  <c r="Q72" i="4" s="1"/>
  <c r="I106" i="4"/>
  <c r="I71" i="4"/>
  <c r="I75" i="4"/>
  <c r="I80" i="4"/>
  <c r="N80" i="4" s="1"/>
  <c r="Q80" i="4" s="1"/>
  <c r="I83" i="4"/>
  <c r="I86" i="4"/>
  <c r="L86" i="4" s="1"/>
  <c r="I88" i="4"/>
  <c r="N88" i="4" s="1"/>
  <c r="Q88" i="4" s="1"/>
  <c r="I94" i="4"/>
  <c r="N94" i="4" s="1"/>
  <c r="Q94" i="4" s="1"/>
  <c r="I95" i="4"/>
  <c r="L95" i="4" s="1"/>
  <c r="I98" i="4"/>
  <c r="N98" i="4" s="1"/>
  <c r="Q98" i="4" s="1"/>
  <c r="I101" i="4"/>
  <c r="I118" i="4"/>
  <c r="I127" i="4"/>
  <c r="I73" i="4"/>
  <c r="N73" i="4" s="1"/>
  <c r="Q73" i="4" s="1"/>
  <c r="I74" i="4"/>
  <c r="I78" i="4"/>
  <c r="L78" i="4" s="1"/>
  <c r="I82" i="4"/>
  <c r="N82" i="4" s="1"/>
  <c r="Q82" i="4" s="1"/>
  <c r="I85" i="4"/>
  <c r="N85" i="4" s="1"/>
  <c r="Q85" i="4" s="1"/>
  <c r="I93" i="4"/>
  <c r="N93" i="4" s="1"/>
  <c r="Q93" i="4" s="1"/>
  <c r="I112" i="4"/>
  <c r="L112" i="4" s="1"/>
  <c r="M112" i="4" s="1"/>
  <c r="I114" i="4"/>
  <c r="L114" i="4" s="1"/>
  <c r="I121" i="4"/>
  <c r="L121" i="4" s="1"/>
  <c r="I122" i="4"/>
  <c r="I84" i="4"/>
  <c r="I87" i="4"/>
  <c r="I91" i="4"/>
  <c r="N91" i="4" s="1"/>
  <c r="Q91" i="4" s="1"/>
  <c r="I97" i="4"/>
  <c r="L97" i="4" s="1"/>
  <c r="M97" i="4" s="1"/>
  <c r="I105" i="4"/>
  <c r="I116" i="4"/>
  <c r="N116" i="4" s="1"/>
  <c r="Q116" i="4" s="1"/>
  <c r="I126" i="4"/>
  <c r="N126" i="4" s="1"/>
  <c r="Q126" i="4" s="1"/>
  <c r="L105" i="4"/>
  <c r="N105" i="4"/>
  <c r="Q105" i="4" s="1"/>
  <c r="N121" i="4"/>
  <c r="Q121" i="4" s="1"/>
  <c r="N101" i="4"/>
  <c r="Q101" i="4"/>
  <c r="L101" i="4"/>
  <c r="M101" i="4" s="1"/>
  <c r="N75" i="4"/>
  <c r="Q75" i="4"/>
  <c r="L106" i="4"/>
  <c r="M106" i="4" s="1"/>
  <c r="N106" i="4"/>
  <c r="Q106" i="4" s="1"/>
  <c r="L124" i="4"/>
  <c r="L119" i="4"/>
  <c r="L96" i="4"/>
  <c r="N96" i="4"/>
  <c r="Q96" i="4" s="1"/>
  <c r="N114" i="4"/>
  <c r="Q114" i="4" s="1"/>
  <c r="N71" i="4"/>
  <c r="Q71" i="4"/>
  <c r="L71" i="4"/>
  <c r="N117" i="4"/>
  <c r="Q117" i="4"/>
  <c r="L117" i="4"/>
  <c r="N125" i="4"/>
  <c r="Q125" i="4"/>
  <c r="L115" i="4"/>
  <c r="N104" i="4"/>
  <c r="Q104" i="4"/>
  <c r="N90" i="4"/>
  <c r="Q90" i="4" s="1"/>
  <c r="L91" i="4"/>
  <c r="N95" i="4"/>
  <c r="Q95" i="4"/>
  <c r="N110" i="4"/>
  <c r="Q110" i="4" s="1"/>
  <c r="L110" i="4"/>
  <c r="M110" i="4" s="1"/>
  <c r="N123" i="4"/>
  <c r="Q123" i="4"/>
  <c r="N113" i="4"/>
  <c r="Q113" i="4"/>
  <c r="L113" i="4"/>
  <c r="M113" i="4" s="1"/>
  <c r="L102" i="4"/>
  <c r="M102" i="4" s="1"/>
  <c r="N87" i="4"/>
  <c r="Q87" i="4" s="1"/>
  <c r="L87" i="4"/>
  <c r="N122" i="4"/>
  <c r="Q122" i="4"/>
  <c r="L122" i="4"/>
  <c r="N74" i="4"/>
  <c r="Q74" i="4"/>
  <c r="L74" i="4"/>
  <c r="N118" i="4"/>
  <c r="Q118" i="4" s="1"/>
  <c r="L92" i="4"/>
  <c r="N120" i="4"/>
  <c r="Q120" i="4" s="1"/>
  <c r="O119" i="4" l="1"/>
  <c r="P119" i="4" s="1"/>
  <c r="M121" i="4"/>
  <c r="O126" i="4"/>
  <c r="P126" i="4" s="1"/>
  <c r="N111" i="4"/>
  <c r="Q111" i="4" s="1"/>
  <c r="M71" i="4"/>
  <c r="N108" i="4"/>
  <c r="Q108" i="4" s="1"/>
  <c r="N109" i="4"/>
  <c r="Q109" i="4" s="1"/>
  <c r="M91" i="4"/>
  <c r="L90" i="4"/>
  <c r="L94" i="4"/>
  <c r="L98" i="4"/>
  <c r="M98" i="4" s="1"/>
  <c r="L79" i="4"/>
  <c r="L127" i="4"/>
  <c r="L89" i="4"/>
  <c r="O114" i="4"/>
  <c r="P114" i="4" s="1"/>
  <c r="N86" i="4"/>
  <c r="Q86" i="4" s="1"/>
  <c r="M119" i="4"/>
  <c r="L99" i="4"/>
  <c r="M99" i="4" s="1"/>
  <c r="N100" i="4"/>
  <c r="Q100" i="4" s="1"/>
  <c r="L103" i="4"/>
  <c r="M103" i="4" s="1"/>
  <c r="L120" i="4"/>
  <c r="N89" i="4"/>
  <c r="Q89" i="4" s="1"/>
  <c r="L126" i="4"/>
  <c r="L77" i="4"/>
  <c r="O108" i="4"/>
  <c r="P108" i="4" s="1"/>
  <c r="O116" i="4"/>
  <c r="P116" i="4" s="1"/>
  <c r="N112" i="4"/>
  <c r="Q112" i="4" s="1"/>
  <c r="O121" i="4"/>
  <c r="P121" i="4" s="1"/>
  <c r="M124" i="4"/>
  <c r="O124" i="4"/>
  <c r="P124" i="4" s="1"/>
  <c r="O71" i="4"/>
  <c r="P71" i="4" s="1"/>
  <c r="O107" i="4"/>
  <c r="P107" i="4" s="1"/>
  <c r="N97" i="4"/>
  <c r="Q97" i="4" s="1"/>
  <c r="M108" i="4"/>
  <c r="O127" i="4"/>
  <c r="P127" i="4" s="1"/>
  <c r="M115" i="4"/>
  <c r="O120" i="4"/>
  <c r="P120" i="4" s="1"/>
  <c r="M114" i="4"/>
  <c r="O91" i="4"/>
  <c r="P91" i="4" s="1"/>
  <c r="M89" i="4"/>
  <c r="O74" i="4"/>
  <c r="P74" i="4" s="1"/>
  <c r="O82" i="4"/>
  <c r="P82" i="4" s="1"/>
  <c r="M77" i="4"/>
  <c r="O79" i="4"/>
  <c r="P79" i="4" s="1"/>
  <c r="O73" i="4"/>
  <c r="P73" i="4" s="1"/>
  <c r="O84" i="4"/>
  <c r="P84" i="4" s="1"/>
  <c r="M95" i="4"/>
  <c r="O92" i="4"/>
  <c r="P92" i="4" s="1"/>
  <c r="O86" i="4"/>
  <c r="P86" i="4" s="1"/>
  <c r="L116" i="4"/>
  <c r="N127" i="4"/>
  <c r="Q127" i="4" s="1"/>
  <c r="N77" i="4"/>
  <c r="Q77" i="4" s="1"/>
  <c r="L107" i="4"/>
  <c r="M94" i="4"/>
  <c r="M74" i="4"/>
  <c r="O72" i="4"/>
  <c r="P72" i="4" s="1"/>
  <c r="L81" i="4"/>
  <c r="O76" i="4"/>
  <c r="P76" i="4" s="1"/>
  <c r="O93" i="4"/>
  <c r="P93" i="4" s="1"/>
  <c r="O88" i="4"/>
  <c r="P88" i="4" s="1"/>
  <c r="M87" i="4"/>
  <c r="O75" i="4"/>
  <c r="P75" i="4" s="1"/>
  <c r="O85" i="4"/>
  <c r="P85" i="4" s="1"/>
  <c r="L76" i="4"/>
  <c r="M86" i="4"/>
  <c r="L83" i="4"/>
  <c r="O80" i="4"/>
  <c r="P80" i="4" s="1"/>
  <c r="M96" i="4"/>
  <c r="L73" i="4"/>
  <c r="M78" i="4"/>
  <c r="L80" i="4"/>
  <c r="M92" i="4"/>
  <c r="L84" i="4"/>
  <c r="O77" i="4"/>
  <c r="P77" i="4" s="1"/>
  <c r="L72" i="4"/>
  <c r="L85" i="4"/>
  <c r="L75" i="4"/>
  <c r="O89" i="4"/>
  <c r="P89" i="4" s="1"/>
  <c r="O95" i="4"/>
  <c r="P95" i="4" s="1"/>
  <c r="O83" i="4"/>
  <c r="P83" i="4" s="1"/>
  <c r="O87" i="4"/>
  <c r="P87" i="4" s="1"/>
  <c r="O90" i="4"/>
  <c r="P90" i="4" s="1"/>
  <c r="O81" i="4"/>
  <c r="P81" i="4" s="1"/>
  <c r="N83" i="4"/>
  <c r="Q83" i="4" s="1"/>
  <c r="L93" i="4"/>
  <c r="L88" i="4"/>
  <c r="K94" i="4"/>
  <c r="L82" i="4"/>
  <c r="N78" i="4"/>
  <c r="Q78" i="4" s="1"/>
  <c r="N84" i="4"/>
  <c r="Q84" i="4" s="1"/>
  <c r="J14" i="4"/>
  <c r="J13" i="4" s="1"/>
  <c r="K16" i="4" s="1"/>
  <c r="M107" i="4" l="1"/>
  <c r="M90" i="4"/>
  <c r="M127" i="4"/>
  <c r="M126" i="4"/>
  <c r="M79" i="4"/>
  <c r="M116" i="4"/>
  <c r="M120" i="4"/>
  <c r="M93" i="4"/>
  <c r="M84" i="4"/>
  <c r="M81" i="4"/>
  <c r="M75" i="4"/>
  <c r="M83" i="4"/>
  <c r="M80" i="4"/>
  <c r="M85" i="4"/>
  <c r="M76" i="4"/>
  <c r="M72" i="4"/>
  <c r="M73" i="4"/>
  <c r="O94" i="4"/>
  <c r="P94" i="4" s="1"/>
  <c r="M88" i="4"/>
  <c r="M82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2" i="4" l="1"/>
  <c r="P62" i="4" s="1"/>
  <c r="O60" i="4"/>
  <c r="P60" i="4" s="1"/>
  <c r="O61" i="4"/>
  <c r="P61" i="4" s="1"/>
  <c r="O58" i="4"/>
  <c r="P58" i="4" s="1"/>
  <c r="O57" i="4"/>
  <c r="P57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2" i="4" l="1"/>
  <c r="M60" i="4"/>
  <c r="M70" i="4"/>
  <c r="M61" i="4"/>
  <c r="M63" i="4"/>
  <c r="M69" i="4"/>
  <c r="M57" i="4"/>
  <c r="O66" i="4"/>
  <c r="P66" i="4" s="1"/>
  <c r="M67" i="4"/>
  <c r="O64" i="4"/>
  <c r="P64" i="4" s="1"/>
  <c r="O69" i="4"/>
  <c r="P69" i="4" s="1"/>
  <c r="M66" i="4"/>
  <c r="M68" i="4"/>
  <c r="O68" i="4"/>
  <c r="P68" i="4" s="1"/>
  <c r="M64" i="4"/>
  <c r="M58" i="4"/>
  <c r="O65" i="4"/>
  <c r="P65" i="4" s="1"/>
  <c r="M65" i="4"/>
  <c r="O67" i="4"/>
  <c r="P67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K39" i="4" s="1"/>
  <c r="J45" i="4"/>
  <c r="J30" i="4"/>
  <c r="L30" i="4" s="1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L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50" i="4"/>
  <c r="M50" i="4" s="1"/>
  <c r="K50" i="4"/>
  <c r="O50" i="4" s="1"/>
  <c r="P50" i="4" s="1"/>
  <c r="L49" i="4"/>
  <c r="K49" i="4"/>
  <c r="K30" i="4"/>
  <c r="O49" i="4" l="1"/>
  <c r="P49" i="4" s="1"/>
  <c r="K43" i="4"/>
  <c r="M48" i="4"/>
  <c r="O48" i="4"/>
  <c r="P48" i="4" s="1"/>
  <c r="M49" i="4"/>
  <c r="L39" i="4"/>
  <c r="O39" i="4"/>
  <c r="P39" i="4" s="1"/>
  <c r="M35" i="4"/>
  <c r="M43" i="4"/>
  <c r="M39" i="4"/>
  <c r="O45" i="4"/>
  <c r="P45" i="4" s="1"/>
  <c r="M31" i="4"/>
  <c r="M47" i="4"/>
  <c r="O30" i="4"/>
  <c r="P30" i="4" s="1"/>
  <c r="O33" i="4"/>
  <c r="P33" i="4" s="1"/>
  <c r="O46" i="4"/>
  <c r="P46" i="4" s="1"/>
  <c r="M44" i="4"/>
  <c r="O41" i="4"/>
  <c r="P41" i="4" s="1"/>
  <c r="M45" i="4"/>
  <c r="O31" i="4"/>
  <c r="P31" i="4" s="1"/>
  <c r="O28" i="4"/>
  <c r="P28" i="4" s="1"/>
  <c r="K35" i="4"/>
  <c r="K36" i="4"/>
  <c r="K47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3" i="4" l="1"/>
  <c r="P43" i="4" s="1"/>
  <c r="O42" i="4"/>
  <c r="P42" i="4" s="1"/>
  <c r="M41" i="4"/>
  <c r="O44" i="4"/>
  <c r="P44" i="4" s="1"/>
  <c r="O36" i="4"/>
  <c r="P36" i="4" s="1"/>
  <c r="O35" i="4"/>
  <c r="P35" i="4" s="1"/>
  <c r="O29" i="4"/>
  <c r="P29" i="4" s="1"/>
  <c r="O32" i="4"/>
  <c r="P32" i="4" s="1"/>
  <c r="O37" i="4"/>
  <c r="P37" i="4" s="1"/>
  <c r="M46" i="4"/>
  <c r="O47" i="4"/>
  <c r="P47" i="4" s="1"/>
  <c r="O38" i="4"/>
  <c r="P38" i="4" s="1"/>
  <c r="O40" i="4"/>
  <c r="P40" i="4" s="1"/>
  <c r="M33" i="4"/>
  <c r="O34" i="4"/>
  <c r="P3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<sst xmlns="http://schemas.openxmlformats.org/spreadsheetml/2006/main" count="340" uniqueCount="314">
  <si>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</si>
  <si>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</si>
  <si>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</si>
  <si>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</si>
  <si>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</si>
  <si>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</si>
  <si>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</si>
  <si>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</si>
  <si>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</si>
  <si>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</si>
  <si>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</si>
  <si>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</si>
  <si>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</si>
  <si>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</si>
  <si>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</si>
  <si>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</si>
  <si>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</si>
  <si>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</si>
  <si>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</si>
  <si>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</si>
  <si>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</si>
  <si>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</si>
  <si>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</si>
  <si>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</si>
  <si>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</si>
  <si>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</si>
  <si>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</si>
  <si>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</si>
  <si>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</si>
  <si>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</si>
  <si>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</si>
  <si>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</si>
  <si>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</si>
  <si>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</si>
  <si>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</si>
  <si>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</si>
  <si>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</si>
  <si>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</si>
  <si>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</si>
  <si>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</si>
  <si>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</si>
  <si>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</si>
  <si>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</si>
  <si>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</si>
  <si>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</si>
  <si>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</si>
  <si>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</si>
  <si>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</si>
  <si>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</si>
  <si>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</si>
  <si>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</si>
  <si>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</si>
  <si>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</si>
  <si>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</si>
  <si>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</si>
  <si>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</si>
  <si>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</si>
  <si>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</si>
  <si>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</si>
  <si>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</si>
  <si>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</si>
  <si>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</si>
  <si>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</si>
  <si>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</si>
  <si>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</si>
  <si>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</si>
  <si>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</si>
  <si>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</si>
  <si>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</si>
  <si>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</si>
  <si>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</si>
  <si>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</si>
  <si>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</si>
  <si>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</si>
  <si>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</si>
  <si>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</si>
  <si>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</si>
  <si>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</si>
  <si>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</si>
  <si>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</si>
  <si>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</si>
  <si>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</si>
  <si>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</si>
  <si>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</si>
  <si>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</si>
  <si>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</si>
  <si>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</si>
  <si>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</si>
  <si>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</si>
  <si>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</si>
  <si>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</si>
  <si>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</si>
  <si>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</si>
  <si>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</si>
  <si>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</si>
  <si>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</si>
  <si>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</si>
  <si>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</si>
  <si>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</si>
  <si>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</si>
  <si>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</si>
  <si>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</si>
  <si>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</si>
  <si>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</si>
  <si>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</si>
  <si>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</si>
  <si>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</si>
  <si>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</si>
  <si>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</si>
  <si>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</si>
  <si>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</si>
  <si>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MCF7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</si>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</sst>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P28" sqref="P28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9.8986000000000005E-3</v>
      </c>
      <c r="M17" s="80">
        <v>5.1399999999999996E-5</v>
      </c>
      <c r="N17" s="80">
        <v>5.0000000000000002E-5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0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40.055999999999997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40.034712160000005</v>
      </c>
      <c r="K8" s="39">
        <f>J8/J7</f>
        <v>0.99946854803275431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1.9487839999999999E-2</v>
      </c>
      <c r="K9" s="39">
        <f>J9/J7</f>
        <v>4.8651487916916321E-4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1.8000000000000002E-3</v>
      </c>
      <c r="K10" s="39">
        <f>J10/J7</f>
        <v>4.4937088076692634E-5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5.6000000000000008E-2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5.5432160000000008E-2</v>
      </c>
      <c r="K20" s="39">
        <f>J20/J19</f>
        <v>0.98985999999999996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2.8783999999999998E-4</v>
      </c>
      <c r="K21" s="39">
        <f>J21/J19</f>
        <v>5.1399999999999987E-3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2.8000000000000003E-4</v>
      </c>
      <c r="K22" s="39">
        <f>J22/J19</f>
        <v>5.0000000000000001E-3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8.1368247852758456E-4</v>
      </c>
      <c r="K28" s="93">
        <f t="shared" ref="K28:K47" si="3">IF(D28=0,"",1/(1+10^D28*$J$15/$J$14+10^E28*$J$16/$J$14+10^J28*$J$19/$J$14))</f>
        <v>0.99799662274648926</v>
      </c>
      <c r="L28" s="93">
        <f t="shared" ref="L28:L47" si="4">IF(D28=0,"",1/(1+10^I28/10^J28*$J$13/$J$19))</f>
        <v>1.4005409534022465E-3</v>
      </c>
      <c r="M28" s="93">
        <f t="shared" ref="M28:M47" si="5">IF(D28=0,"",1-L28)</f>
        <v>0.99859945904659775</v>
      </c>
      <c r="N28" s="93">
        <f t="shared" ref="N28:N47" si="6">IF(D28=0,"",1/(1/10^E28*$J$20/$J$22+10^D28/10^E28*$J$21/$J$22+10^I28/10^E28*$J$13/$J$22+1))</f>
        <v>8.4463317321135382E-6</v>
      </c>
      <c r="O28" s="40">
        <f t="shared" ref="O28:O47" si="7">IF(D28=0,"",F28*K28*$J$7/$J$14)</f>
        <v>9.99911772316394E-7</v>
      </c>
      <c r="P28" s="40">
        <f t="shared" ref="P28:P47" si="8">IF(D28=0,"",O28*10^J28)</f>
        <v>1.0017869362407208E-6</v>
      </c>
      <c r="Q28" s="40">
        <f t="shared" ref="Q28:Q47" si="9">IF(D28=0,"",F28*N28*$J$7/$J$22)</f>
        <v>1.2083080852197851E-6</v>
      </c>
      <c r="R28" s="9">
        <f>F28*$C$14</f>
        <v>3.9999999999999996E-5</v>
      </c>
      <c r="S28" s="9">
        <f>$R28*L28</f>
        <v>5.6021638136089853E-8</v>
      </c>
      <c r="T28" s="9">
        <f t="shared" ref="T28:T91" si="10">R28*K28</f>
        <v>3.9919864909859568E-5</v>
      </c>
      <c r="U28" s="9">
        <f t="shared" ref="U28:U91" si="11">$R28*M28</f>
        <v>3.9943978361863909E-5</v>
      </c>
      <c r="V28" s="100">
        <f>K28/M28</f>
        <v>0.99939631821883412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0.59552491133732621</v>
      </c>
      <c r="K29" s="93">
        <f t="shared" si="3"/>
        <v>0.89443188492813175</v>
      </c>
      <c r="L29" s="93">
        <f t="shared" si="4"/>
        <v>4.9365693504756008E-3</v>
      </c>
      <c r="M29" s="93">
        <f t="shared" si="5"/>
        <v>0.99506343064952441</v>
      </c>
      <c r="N29" s="93">
        <f t="shared" si="6"/>
        <v>2.3816083017651336E-3</v>
      </c>
      <c r="O29" s="40">
        <f t="shared" si="7"/>
        <v>8.9614829438352164E-7</v>
      </c>
      <c r="P29" s="40">
        <f t="shared" si="8"/>
        <v>3.5310575339759039E-6</v>
      </c>
      <c r="Q29" s="40">
        <f t="shared" si="9"/>
        <v>3.4070607905537198E-4</v>
      </c>
      <c r="R29" s="9">
        <f t="shared" ref="R29:R92" si="12">F29*$C$14</f>
        <v>3.9999999999999996E-5</v>
      </c>
      <c r="S29" s="9">
        <f t="shared" ref="S29:S92" si="13">$R29*L29</f>
        <v>1.9746277401902402E-7</v>
      </c>
      <c r="T29" s="9">
        <f t="shared" si="10"/>
        <v>3.5777275397125264E-5</v>
      </c>
      <c r="U29" s="9">
        <f t="shared" si="11"/>
        <v>3.9802537225980975E-5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2.1215053545079172</v>
      </c>
      <c r="K30" s="93">
        <f t="shared" si="3"/>
        <v>7.5385260491221059E-2</v>
      </c>
      <c r="L30" s="93">
        <f t="shared" si="4"/>
        <v>1.3968341779494173E-2</v>
      </c>
      <c r="M30" s="93">
        <f t="shared" si="5"/>
        <v>0.98603165822050587</v>
      </c>
      <c r="N30" s="93">
        <f t="shared" si="6"/>
        <v>2.3046740016705605E-4</v>
      </c>
      <c r="O30" s="40">
        <f t="shared" si="7"/>
        <v>7.5529924356725548E-8</v>
      </c>
      <c r="P30" s="40">
        <f t="shared" si="8"/>
        <v>9.9913553271324785E-6</v>
      </c>
      <c r="Q30" s="40">
        <f t="shared" si="9"/>
        <v>3.2970007789612838E-5</v>
      </c>
      <c r="R30" s="9">
        <f t="shared" si="12"/>
        <v>3.9999999999999996E-5</v>
      </c>
      <c r="S30" s="9">
        <f t="shared" si="13"/>
        <v>5.5873367117976686E-7</v>
      </c>
      <c r="T30" s="9">
        <f t="shared" si="10"/>
        <v>3.0154104196488422E-6</v>
      </c>
      <c r="U30" s="9">
        <f t="shared" si="11"/>
        <v>3.9441266328820228E-5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-4.120725013364435E-3</v>
      </c>
      <c r="K31" s="93">
        <f t="shared" si="3"/>
        <v>0.99855648495500904</v>
      </c>
      <c r="L31" s="93">
        <f t="shared" si="4"/>
        <v>1.3854950227442959E-3</v>
      </c>
      <c r="M31" s="93">
        <f t="shared" si="5"/>
        <v>0.99861450497725568</v>
      </c>
      <c r="N31" s="93">
        <f t="shared" si="6"/>
        <v>1.1370693349724516E-7</v>
      </c>
      <c r="O31" s="40">
        <f t="shared" si="7"/>
        <v>1.0004727088971547E-6</v>
      </c>
      <c r="P31" s="40">
        <f t="shared" si="8"/>
        <v>9.9102479698295576E-7</v>
      </c>
      <c r="Q31" s="40">
        <f t="shared" si="9"/>
        <v>1.6266589029163037E-8</v>
      </c>
      <c r="R31" s="9">
        <f t="shared" si="12"/>
        <v>3.9999999999999996E-5</v>
      </c>
      <c r="S31" s="9">
        <f t="shared" si="13"/>
        <v>5.5419800909771829E-8</v>
      </c>
      <c r="T31" s="9">
        <f t="shared" si="10"/>
        <v>3.994225939820036E-5</v>
      </c>
      <c r="U31" s="9">
        <f t="shared" si="11"/>
        <v>3.9944580199090224E-5</v>
      </c>
      <c r="V31" s="100">
        <f t="shared" si="14"/>
        <v>0.99994189947977175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7.7477876607213378E-3</v>
      </c>
      <c r="K32" s="93">
        <f t="shared" si="3"/>
        <v>0.99681397287218909</v>
      </c>
      <c r="L32" s="93">
        <f t="shared" si="4"/>
        <v>1.4213955886519891E-3</v>
      </c>
      <c r="M32" s="93">
        <f t="shared" si="5"/>
        <v>0.99857860441134805</v>
      </c>
      <c r="N32" s="93">
        <f t="shared" si="6"/>
        <v>1.3973292871228373E-5</v>
      </c>
      <c r="O32" s="40">
        <f t="shared" si="7"/>
        <v>9.987268529440348E-7</v>
      </c>
      <c r="P32" s="40">
        <f t="shared" si="8"/>
        <v>1.0167039589115014E-6</v>
      </c>
      <c r="Q32" s="40">
        <f t="shared" si="9"/>
        <v>1.9989793544640124E-6</v>
      </c>
      <c r="R32" s="9">
        <f t="shared" si="12"/>
        <v>3.9999999999999996E-5</v>
      </c>
      <c r="S32" s="9">
        <f t="shared" si="13"/>
        <v>5.6855823546079563E-8</v>
      </c>
      <c r="T32" s="9">
        <f t="shared" si="10"/>
        <v>3.9872558914887557E-5</v>
      </c>
      <c r="U32" s="9">
        <f t="shared" si="11"/>
        <v>3.9943144176453918E-5</v>
      </c>
      <c r="V32" s="100">
        <f t="shared" si="14"/>
        <v>0.99823285665108041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0.19910294819785618</v>
      </c>
      <c r="K33" s="93">
        <f t="shared" si="3"/>
        <v>0.97446314889292285</v>
      </c>
      <c r="L33" s="93">
        <f t="shared" si="4"/>
        <v>2.1588448245136679E-3</v>
      </c>
      <c r="M33" s="93">
        <f t="shared" si="5"/>
        <v>0.99784115517548633</v>
      </c>
      <c r="N33" s="93">
        <f t="shared" si="6"/>
        <v>4.9776447187158861E-4</v>
      </c>
      <c r="O33" s="40">
        <f t="shared" si="7"/>
        <v>9.7633313786678777E-7</v>
      </c>
      <c r="P33" s="40">
        <f t="shared" si="8"/>
        <v>1.5441908623342759E-6</v>
      </c>
      <c r="Q33" s="40">
        <f t="shared" si="9"/>
        <v>7.1208763161744099E-5</v>
      </c>
      <c r="R33" s="9">
        <f t="shared" si="12"/>
        <v>3.9999999999999996E-5</v>
      </c>
      <c r="S33" s="9">
        <f t="shared" si="13"/>
        <v>8.6353792980546708E-8</v>
      </c>
      <c r="T33" s="9">
        <f t="shared" si="10"/>
        <v>3.8978525955716912E-5</v>
      </c>
      <c r="U33" s="9">
        <f t="shared" si="11"/>
        <v>3.9913646207019449E-5</v>
      </c>
      <c r="V33" s="100">
        <f t="shared" si="14"/>
        <v>0.97657141503804568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3.8367123062800941E-3</v>
      </c>
      <c r="K34" s="93">
        <f t="shared" si="3"/>
        <v>0.9973448056217854</v>
      </c>
      <c r="L34" s="93">
        <f t="shared" si="4"/>
        <v>1.4094027058001565E-3</v>
      </c>
      <c r="M34" s="93">
        <f t="shared" si="5"/>
        <v>0.99859059729419986</v>
      </c>
      <c r="N34" s="93">
        <f t="shared" si="6"/>
        <v>8.584080920817396E-6</v>
      </c>
      <c r="O34" s="40">
        <f t="shared" si="7"/>
        <v>9.9925870435851329E-7</v>
      </c>
      <c r="P34" s="40">
        <f t="shared" si="8"/>
        <v>1.0081256211344828E-6</v>
      </c>
      <c r="Q34" s="40">
        <f t="shared" si="9"/>
        <v>1.2280140905866483E-6</v>
      </c>
      <c r="R34" s="9">
        <f t="shared" si="12"/>
        <v>3.9999999999999996E-5</v>
      </c>
      <c r="S34" s="9">
        <f t="shared" si="13"/>
        <v>5.6376108232006258E-8</v>
      </c>
      <c r="T34" s="9">
        <f t="shared" si="10"/>
        <v>3.989379222487141E-5</v>
      </c>
      <c r="U34" s="9">
        <f t="shared" si="11"/>
        <v>3.9943623891767994E-5</v>
      </c>
      <c r="V34" s="100">
        <f t="shared" si="14"/>
        <v>0.99875245002727842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1.6189891917167312E-3</v>
      </c>
      <c r="K35" s="93">
        <f t="shared" si="3"/>
        <v>0.99765802518663715</v>
      </c>
      <c r="L35" s="93">
        <f t="shared" si="4"/>
        <v>1.4026643142775899E-3</v>
      </c>
      <c r="M35" s="93">
        <f t="shared" si="5"/>
        <v>0.9985973356857224</v>
      </c>
      <c r="N35" s="93">
        <f t="shared" si="6"/>
        <v>5.7776722066163731E-6</v>
      </c>
      <c r="O35" s="40">
        <f t="shared" si="7"/>
        <v>9.9957252498984291E-7</v>
      </c>
      <c r="P35" s="40">
        <f t="shared" si="8"/>
        <v>1.0033057459411273E-6</v>
      </c>
      <c r="Q35" s="40">
        <f t="shared" si="9"/>
        <v>8.2653727824366201E-7</v>
      </c>
      <c r="R35" s="9">
        <f t="shared" si="12"/>
        <v>3.9999999999999996E-5</v>
      </c>
      <c r="S35" s="9">
        <f t="shared" si="13"/>
        <v>5.610657257110359E-8</v>
      </c>
      <c r="T35" s="9">
        <f t="shared" si="10"/>
        <v>3.9906321007465483E-5</v>
      </c>
      <c r="U35" s="9">
        <f t="shared" si="11"/>
        <v>3.9943893427428895E-5</v>
      </c>
      <c r="V35" s="100">
        <f t="shared" si="14"/>
        <v>0.99905937011293922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1.9057707829015962</v>
      </c>
      <c r="K36" s="93">
        <f t="shared" si="3"/>
        <v>0.34071853400385088</v>
      </c>
      <c r="L36" s="93">
        <f t="shared" si="4"/>
        <v>3.8416659635471598E-2</v>
      </c>
      <c r="M36" s="93">
        <f t="shared" si="5"/>
        <v>0.96158334036452842</v>
      </c>
      <c r="N36" s="93">
        <f t="shared" si="6"/>
        <v>3.1173446590845134E-2</v>
      </c>
      <c r="O36" s="40">
        <f t="shared" si="7"/>
        <v>3.4137237083955107E-7</v>
      </c>
      <c r="P36" s="40">
        <f t="shared" si="8"/>
        <v>2.747888782782946E-5</v>
      </c>
      <c r="Q36" s="40">
        <f t="shared" si="9"/>
        <v>4.4595842022960444E-3</v>
      </c>
      <c r="R36" s="9">
        <f t="shared" si="12"/>
        <v>3.9999999999999996E-5</v>
      </c>
      <c r="S36" s="9">
        <f t="shared" si="13"/>
        <v>1.5366663854188637E-6</v>
      </c>
      <c r="T36" s="9">
        <f t="shared" si="10"/>
        <v>1.3628741360154034E-5</v>
      </c>
      <c r="U36" s="9">
        <f t="shared" si="11"/>
        <v>3.8463333614581132E-5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4.2067820330591283</v>
      </c>
      <c r="K37" s="93">
        <f t="shared" si="3"/>
        <v>5.5187360122305332E-3</v>
      </c>
      <c r="L37" s="93">
        <f t="shared" si="4"/>
        <v>0.12444421477850108</v>
      </c>
      <c r="M37" s="93">
        <f t="shared" si="5"/>
        <v>0.87555578522149891</v>
      </c>
      <c r="N37" s="93">
        <f t="shared" si="6"/>
        <v>0.12126196001125587</v>
      </c>
      <c r="O37" s="40">
        <f t="shared" si="7"/>
        <v>5.5293264337403325E-9</v>
      </c>
      <c r="P37" s="40">
        <f t="shared" si="8"/>
        <v>8.9013169056564954E-5</v>
      </c>
      <c r="Q37" s="40">
        <f t="shared" si="9"/>
        <v>1.7347389536467372E-2</v>
      </c>
      <c r="R37" s="9">
        <f t="shared" si="12"/>
        <v>3.9999999999999996E-5</v>
      </c>
      <c r="S37" s="9">
        <f t="shared" si="13"/>
        <v>4.9777685911400426E-6</v>
      </c>
      <c r="T37" s="9">
        <f t="shared" si="10"/>
        <v>2.2074944048922132E-7</v>
      </c>
      <c r="U37" s="9">
        <f t="shared" si="11"/>
        <v>3.5022231408859954E-5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-3.5948759330246263E-3</v>
      </c>
      <c r="K38" s="93">
        <f t="shared" si="3"/>
        <v>0.99846277422419238</v>
      </c>
      <c r="L38" s="93">
        <f t="shared" si="4"/>
        <v>1.3870434321476496E-3</v>
      </c>
      <c r="M38" s="93">
        <f t="shared" si="5"/>
        <v>0.99861295656785232</v>
      </c>
      <c r="N38" s="93">
        <f t="shared" si="6"/>
        <v>4.3666494488141394E-7</v>
      </c>
      <c r="O38" s="40">
        <f t="shared" si="7"/>
        <v>1.0003788183360042E-6</v>
      </c>
      <c r="P38" s="40">
        <f t="shared" si="8"/>
        <v>9.9213235210903965E-7</v>
      </c>
      <c r="Q38" s="40">
        <f t="shared" si="9"/>
        <v>6.2468039400606836E-8</v>
      </c>
      <c r="R38" s="9">
        <f t="shared" si="12"/>
        <v>3.9999999999999996E-5</v>
      </c>
      <c r="S38" s="9">
        <f t="shared" si="13"/>
        <v>5.5481737285905978E-8</v>
      </c>
      <c r="T38" s="9">
        <f t="shared" si="10"/>
        <v>3.9938510968967695E-5</v>
      </c>
      <c r="U38" s="9">
        <f t="shared" si="11"/>
        <v>3.9944518262714092E-5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0.55831225094540515</v>
      </c>
      <c r="K39" s="93">
        <f t="shared" si="3"/>
        <v>0.89136744523403877</v>
      </c>
      <c r="L39" s="93">
        <f t="shared" si="4"/>
        <v>4.5156687668372253E-3</v>
      </c>
      <c r="M39" s="93">
        <f t="shared" si="5"/>
        <v>0.99548433123316282</v>
      </c>
      <c r="N39" s="93">
        <f t="shared" si="6"/>
        <v>1.8711639057578508E-3</v>
      </c>
      <c r="O39" s="40">
        <f t="shared" si="7"/>
        <v>8.9307797404792302E-7</v>
      </c>
      <c r="P39" s="40">
        <f t="shared" si="8"/>
        <v>3.2299933593648549E-6</v>
      </c>
      <c r="Q39" s="40">
        <f t="shared" si="9"/>
        <v>2.6768336217513022E-4</v>
      </c>
      <c r="R39" s="9">
        <f t="shared" si="12"/>
        <v>3.9999999999999996E-5</v>
      </c>
      <c r="S39" s="9">
        <f t="shared" si="13"/>
        <v>1.8062675067348899E-7</v>
      </c>
      <c r="T39" s="9">
        <f t="shared" si="10"/>
        <v>3.5654697809361544E-5</v>
      </c>
      <c r="U39" s="9">
        <f t="shared" si="11"/>
        <v>3.9819373249326513E-5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0.76406237426847545</v>
      </c>
      <c r="K40" s="93">
        <f t="shared" si="3"/>
        <v>0.87448110562001891</v>
      </c>
      <c r="L40" s="93">
        <f t="shared" si="4"/>
        <v>7.1148518794491621E-3</v>
      </c>
      <c r="M40" s="93">
        <f t="shared" si="5"/>
        <v>0.99288514812055084</v>
      </c>
      <c r="N40" s="93">
        <f t="shared" si="6"/>
        <v>4.4929409724985591E-3</v>
      </c>
      <c r="O40" s="40">
        <f t="shared" si="7"/>
        <v>8.761592296488448E-7</v>
      </c>
      <c r="P40" s="40">
        <f t="shared" si="8"/>
        <v>5.0891519086288499E-6</v>
      </c>
      <c r="Q40" s="40">
        <f t="shared" si="9"/>
        <v>6.4274729855143655E-4</v>
      </c>
      <c r="R40" s="9">
        <f t="shared" si="12"/>
        <v>3.9999999999999996E-5</v>
      </c>
      <c r="S40" s="9">
        <f t="shared" si="13"/>
        <v>2.8459407517796643E-7</v>
      </c>
      <c r="T40" s="9">
        <f t="shared" si="10"/>
        <v>3.4979244224800754E-5</v>
      </c>
      <c r="U40" s="9">
        <f t="shared" si="11"/>
        <v>3.971540592482203E-5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0.11635831463150176</v>
      </c>
      <c r="K41" s="93">
        <f t="shared" si="3"/>
        <v>0.98257390981354242</v>
      </c>
      <c r="L41" s="93">
        <f t="shared" si="4"/>
        <v>1.7991882298308795E-3</v>
      </c>
      <c r="M41" s="93">
        <f t="shared" si="5"/>
        <v>0.99820081177016917</v>
      </c>
      <c r="N41" s="93">
        <f t="shared" si="6"/>
        <v>2.204993385494828E-4</v>
      </c>
      <c r="O41" s="40">
        <f t="shared" si="7"/>
        <v>9.8445946328926501E-7</v>
      </c>
      <c r="P41" s="40">
        <f t="shared" si="8"/>
        <v>1.2869336381090303E-6</v>
      </c>
      <c r="Q41" s="40">
        <f t="shared" si="9"/>
        <v>3.1544005374778864E-5</v>
      </c>
      <c r="R41" s="9">
        <f t="shared" si="12"/>
        <v>3.9999999999999996E-5</v>
      </c>
      <c r="S41" s="9">
        <f t="shared" si="13"/>
        <v>7.1967529193235173E-8</v>
      </c>
      <c r="T41" s="9">
        <f t="shared" si="10"/>
        <v>3.9302956392541691E-5</v>
      </c>
      <c r="U41" s="9">
        <f t="shared" si="11"/>
        <v>3.9928032470806766E-5</v>
      </c>
      <c r="V41" s="100">
        <f t="shared" si="14"/>
        <v>0.98434493162862224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0.49176308419639264</v>
      </c>
      <c r="K42" s="93">
        <f t="shared" si="3"/>
        <v>0.93201377578988587</v>
      </c>
      <c r="L42" s="93">
        <f t="shared" si="4"/>
        <v>4.0507782950357117E-3</v>
      </c>
      <c r="M42" s="93">
        <f t="shared" si="5"/>
        <v>0.99594922170496425</v>
      </c>
      <c r="N42" s="93">
        <f t="shared" si="6"/>
        <v>1.9594915473659796E-3</v>
      </c>
      <c r="O42" s="40">
        <f t="shared" si="7"/>
        <v>9.3380230466981042E-7</v>
      </c>
      <c r="P42" s="40">
        <f t="shared" si="8"/>
        <v>2.8974638461776861E-6</v>
      </c>
      <c r="Q42" s="40">
        <f t="shared" si="9"/>
        <v>2.8031926221889884E-4</v>
      </c>
      <c r="R42" s="9">
        <f t="shared" si="12"/>
        <v>3.9999999999999996E-5</v>
      </c>
      <c r="S42" s="9">
        <f t="shared" si="13"/>
        <v>1.6203113180142846E-7</v>
      </c>
      <c r="T42" s="9">
        <f t="shared" si="10"/>
        <v>3.7280551031595429E-5</v>
      </c>
      <c r="U42" s="9">
        <f t="shared" si="11"/>
        <v>3.9837968868198565E-5</v>
      </c>
      <c r="V42" s="100">
        <f t="shared" si="14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0.56249502482927183</v>
      </c>
      <c r="K43" s="93">
        <f t="shared" si="3"/>
        <v>0.8968814228559302</v>
      </c>
      <c r="L43" s="93">
        <f t="shared" si="4"/>
        <v>4.5875743080861179E-3</v>
      </c>
      <c r="M43" s="93">
        <f t="shared" si="5"/>
        <v>0.9954124256919139</v>
      </c>
      <c r="N43" s="93">
        <f t="shared" si="6"/>
        <v>2.0322778856745982E-3</v>
      </c>
      <c r="O43" s="40">
        <f t="shared" si="7"/>
        <v>8.9860253296000166E-7</v>
      </c>
      <c r="P43" s="40">
        <f t="shared" si="8"/>
        <v>3.2814263657981687E-6</v>
      </c>
      <c r="Q43" s="40">
        <f t="shared" si="9"/>
        <v>2.9073186781636317E-4</v>
      </c>
      <c r="R43" s="9">
        <f t="shared" si="12"/>
        <v>3.9999999999999996E-5</v>
      </c>
      <c r="S43" s="9">
        <f t="shared" si="13"/>
        <v>1.835029723234447E-7</v>
      </c>
      <c r="T43" s="9">
        <f t="shared" si="10"/>
        <v>3.5875256914237204E-5</v>
      </c>
      <c r="U43" s="9">
        <f t="shared" si="11"/>
        <v>3.981649702767655E-5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4.7874172575965854</v>
      </c>
      <c r="K44" s="93">
        <f t="shared" si="3"/>
        <v>1.3119384593794962E-3</v>
      </c>
      <c r="L44" s="93">
        <f t="shared" si="4"/>
        <v>0.1126377015122306</v>
      </c>
      <c r="M44" s="93">
        <f t="shared" si="5"/>
        <v>0.88736229848776937</v>
      </c>
      <c r="N44" s="93">
        <f t="shared" si="6"/>
        <v>0.10815448318992135</v>
      </c>
      <c r="O44" s="40">
        <f t="shared" si="7"/>
        <v>1.3144560614624649E-9</v>
      </c>
      <c r="P44" s="40">
        <f t="shared" si="8"/>
        <v>8.0568138781676979E-5</v>
      </c>
      <c r="Q44" s="40">
        <f t="shared" si="9"/>
        <v>1.5472271352341032E-2</v>
      </c>
      <c r="R44" s="9">
        <f t="shared" si="12"/>
        <v>3.9999999999999996E-5</v>
      </c>
      <c r="S44" s="9">
        <f t="shared" si="13"/>
        <v>4.5055080604892237E-6</v>
      </c>
      <c r="T44" s="9">
        <f t="shared" si="10"/>
        <v>5.2477538375179844E-8</v>
      </c>
      <c r="U44" s="9">
        <f t="shared" si="11"/>
        <v>3.549449193951077E-5</v>
      </c>
      <c r="V44" s="100">
        <f t="shared" si="14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8.1651701078615704E-2</v>
      </c>
      <c r="K45" s="93">
        <f t="shared" si="3"/>
        <v>0.98876080703659186</v>
      </c>
      <c r="L45" s="93">
        <f t="shared" si="4"/>
        <v>1.6714600578315907E-3</v>
      </c>
      <c r="M45" s="93">
        <f t="shared" si="5"/>
        <v>0.99832853994216841</v>
      </c>
      <c r="N45" s="93">
        <f t="shared" si="6"/>
        <v>1.7100165205818118E-4</v>
      </c>
      <c r="O45" s="40">
        <f t="shared" si="7"/>
        <v>9.9065823313120487E-7</v>
      </c>
      <c r="P45" s="40">
        <f t="shared" si="8"/>
        <v>1.1955715013661102E-6</v>
      </c>
      <c r="Q45" s="40">
        <f t="shared" si="9"/>
        <v>2.4463007767294657E-5</v>
      </c>
      <c r="R45" s="9">
        <f t="shared" si="12"/>
        <v>3.9999999999999996E-5</v>
      </c>
      <c r="S45" s="9">
        <f t="shared" si="13"/>
        <v>6.6858402313263626E-8</v>
      </c>
      <c r="T45" s="9">
        <f t="shared" si="10"/>
        <v>3.9550432281463669E-5</v>
      </c>
      <c r="U45" s="9">
        <f t="shared" si="11"/>
        <v>3.9933141597686733E-5</v>
      </c>
      <c r="V45" s="100">
        <f t="shared" si="14"/>
        <v>0.99041624823614605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8.191699132953921E-2</v>
      </c>
      <c r="K46" s="93">
        <f t="shared" si="3"/>
        <v>0.98821258185765448</v>
      </c>
      <c r="L46" s="93">
        <f t="shared" si="4"/>
        <v>1.6715540680403704E-3</v>
      </c>
      <c r="M46" s="93">
        <f t="shared" si="5"/>
        <v>0.99832844593195968</v>
      </c>
      <c r="N46" s="93">
        <f t="shared" si="6"/>
        <v>1.6298605269203219E-4</v>
      </c>
      <c r="O46" s="40">
        <f t="shared" si="7"/>
        <v>9.9010895591141723E-7</v>
      </c>
      <c r="P46" s="40">
        <f t="shared" si="8"/>
        <v>1.1956387455254477E-6</v>
      </c>
      <c r="Q46" s="40">
        <f t="shared" si="9"/>
        <v>2.3316319023685858E-5</v>
      </c>
      <c r="R46" s="9">
        <f t="shared" si="12"/>
        <v>3.9999999999999996E-5</v>
      </c>
      <c r="S46" s="9">
        <f t="shared" si="13"/>
        <v>6.6862162721614816E-8</v>
      </c>
      <c r="T46" s="9">
        <f t="shared" si="10"/>
        <v>3.9528503274306173E-5</v>
      </c>
      <c r="U46" s="9">
        <f t="shared" si="11"/>
        <v>3.9933137837278387E-5</v>
      </c>
      <c r="V46" s="100">
        <f t="shared" si="14"/>
        <v>0.98986719839995962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0.9883505302708685</v>
      </c>
      <c r="K47" s="93">
        <f t="shared" si="3"/>
        <v>0.80984457078410588</v>
      </c>
      <c r="L47" s="93">
        <f t="shared" si="4"/>
        <v>1.1043462576328633E-2</v>
      </c>
      <c r="M47" s="93">
        <f t="shared" si="5"/>
        <v>0.9889565374236714</v>
      </c>
      <c r="N47" s="93">
        <f t="shared" si="6"/>
        <v>7.876417278363421E-3</v>
      </c>
      <c r="O47" s="40">
        <f t="shared" si="7"/>
        <v>8.113986576878858E-7</v>
      </c>
      <c r="P47" s="40">
        <f t="shared" si="8"/>
        <v>7.8992310170967776E-6</v>
      </c>
      <c r="Q47" s="40">
        <f t="shared" si="9"/>
        <v>1.1267777517933041E-3</v>
      </c>
      <c r="R47" s="9">
        <f t="shared" si="12"/>
        <v>3.9999999999999996E-5</v>
      </c>
      <c r="S47" s="9">
        <f t="shared" si="13"/>
        <v>4.4173850305314529E-7</v>
      </c>
      <c r="T47" s="9">
        <f t="shared" si="10"/>
        <v>3.2393782831364232E-5</v>
      </c>
      <c r="U47" s="9">
        <f t="shared" si="11"/>
        <v>3.9558261496946855E-5</v>
      </c>
      <c r="V47" s="100">
        <f t="shared" si="14"/>
        <v>0.81888792898202611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3.2716025135218711E-3</v>
      </c>
      <c r="K48" s="93">
        <f t="shared" ref="K48:K50" si="17">IF(D48=0,"",1/(1+10^D48*$J$15/$J$14+10^E48*$J$16/$J$14+10^J48*$J$19/$J$14))</f>
        <v>0.99759221037391932</v>
      </c>
      <c r="L48" s="93">
        <f t="shared" ref="L48:L50" si="18">IF(D48=0,"",1/(1+10^I48/10^J48*$J$13/$J$19))</f>
        <v>1.4079191313905359E-3</v>
      </c>
      <c r="M48" s="93">
        <f t="shared" ref="M48:M92" si="19">IF(D48=0,"",1-L48)</f>
        <v>0.99859208086860951</v>
      </c>
      <c r="N48" s="93">
        <f t="shared" ref="N48:N50" si="20">IF(D48=0,"",1/(1/10^E48*$J$20/$J$22+10^D48/10^E48*$J$21/$J$22+10^I48/10^E48*$J$13/$J$22+1))</f>
        <v>1.0609040618148084E-5</v>
      </c>
      <c r="O48" s="40">
        <f t="shared" ref="O48:O92" si="21">IF(D48=0,"",F48*K48*$J$7/$J$14)</f>
        <v>9.9950658387889174E-7</v>
      </c>
      <c r="P48" s="40">
        <f t="shared" ref="P48:P50" si="22">IF(D48=0,"",O48*10^J48)</f>
        <v>1.0070644415532014E-6</v>
      </c>
      <c r="Q48" s="40">
        <f t="shared" ref="Q48:Q50" si="23">IF(D48=0,"",F48*N48*$J$7/$J$22)</f>
        <v>1.5176990392876413E-6</v>
      </c>
      <c r="R48" s="9">
        <f t="shared" si="12"/>
        <v>3.9999999999999996E-5</v>
      </c>
      <c r="S48" s="9">
        <f t="shared" si="13"/>
        <v>5.631676525562143E-8</v>
      </c>
      <c r="T48" s="9">
        <f t="shared" si="10"/>
        <v>3.9903688414956768E-5</v>
      </c>
      <c r="U48" s="9">
        <f t="shared" si="11"/>
        <v>3.9943683234744375E-5</v>
      </c>
      <c r="V48" s="100">
        <f t="shared" si="14"/>
        <v>0.99899871978373744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0.20411410518597825</v>
      </c>
      <c r="K49" s="93">
        <f t="shared" si="17"/>
        <v>0.97545193458139012</v>
      </c>
      <c r="L49" s="93">
        <f t="shared" si="18"/>
        <v>2.1861151707302491E-3</v>
      </c>
      <c r="M49" s="93">
        <f t="shared" si="19"/>
        <v>0.9978138848292698</v>
      </c>
      <c r="N49" s="93">
        <f t="shared" si="20"/>
        <v>5.4254021758722687E-4</v>
      </c>
      <c r="O49" s="40">
        <f t="shared" si="21"/>
        <v>9.7732382102909691E-7</v>
      </c>
      <c r="P49" s="40">
        <f t="shared" si="22"/>
        <v>1.5636969514066224E-6</v>
      </c>
      <c r="Q49" s="40">
        <f t="shared" si="23"/>
        <v>7.7614253413121277E-5</v>
      </c>
      <c r="R49" s="9">
        <f t="shared" si="12"/>
        <v>3.9999999999999996E-5</v>
      </c>
      <c r="S49" s="9">
        <f t="shared" si="13"/>
        <v>8.7444606829209958E-8</v>
      </c>
      <c r="T49" s="9">
        <f t="shared" si="10"/>
        <v>3.9018077383255604E-5</v>
      </c>
      <c r="U49" s="9">
        <f t="shared" si="11"/>
        <v>3.9912555393170791E-5</v>
      </c>
      <c r="V49" s="100">
        <f t="shared" si="14"/>
        <v>0.97758905684930819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0.88026017671842771</v>
      </c>
      <c r="K50" s="93">
        <f t="shared" si="17"/>
        <v>0.81143068278610941</v>
      </c>
      <c r="L50" s="93">
        <f t="shared" si="18"/>
        <v>8.6270965996718442E-3</v>
      </c>
      <c r="M50" s="93">
        <f t="shared" si="19"/>
        <v>0.99137290340032813</v>
      </c>
      <c r="N50" s="93">
        <f t="shared" si="20"/>
        <v>5.2300337157327008E-3</v>
      </c>
      <c r="O50" s="40">
        <f t="shared" si="21"/>
        <v>8.1298781342936623E-7</v>
      </c>
      <c r="P50" s="40">
        <f t="shared" si="22"/>
        <v>6.1708389535081313E-6</v>
      </c>
      <c r="Q50" s="40">
        <f t="shared" si="23"/>
        <v>7.4819368041924652E-4</v>
      </c>
      <c r="R50" s="9">
        <f t="shared" si="12"/>
        <v>3.9999999999999996E-5</v>
      </c>
      <c r="S50" s="9">
        <f t="shared" si="13"/>
        <v>3.4508386398687375E-7</v>
      </c>
      <c r="T50" s="9">
        <f t="shared" si="10"/>
        <v>3.2457227311444371E-5</v>
      </c>
      <c r="U50" s="9">
        <f t="shared" si="11"/>
        <v>3.9654916136013124E-5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3.7781080579293054</v>
      </c>
      <c r="K51" s="93">
        <f t="shared" ref="K51:K70" si="26">IF(D51=0,"",1/(1+10^D51*$J$15/$J$14+10^E51*$J$16/$J$14+10^J51*$J$19/$J$14))</f>
        <v>9.580898917502547E-3</v>
      </c>
      <c r="L51" s="93">
        <f t="shared" ref="L51:L70" si="27">IF(D51=0,"",1/(1+10^I51/10^J51*$J$13/$J$19))</f>
        <v>8.0513253132629289E-2</v>
      </c>
      <c r="M51" s="93">
        <f t="shared" ref="M51:M70" si="28">IF(D51=0,"",1-L51)</f>
        <v>0.91948674686737075</v>
      </c>
      <c r="N51" s="93">
        <f t="shared" ref="N51:N70" si="29">IF(D51=0,"",1/(1/10^E51*$J$20/$J$22+10^D51/10^E51*$J$21/$J$22+10^I51/10^E51*$J$13/$J$22+1))</f>
        <v>7.2782223814313249E-2</v>
      </c>
      <c r="O51" s="40">
        <f t="shared" ref="O51:O70" si="30">IF(D51=0,"",F51*K51*$J$7/$J$14)</f>
        <v>9.5992846054126532E-9</v>
      </c>
      <c r="P51" s="40">
        <f t="shared" ref="P51:P70" si="31">IF(D51=0,"",O51*10^J51)</f>
        <v>5.7589979776439289E-5</v>
      </c>
      <c r="Q51" s="40">
        <f t="shared" ref="Q51:Q70" si="32">IF(D51=0,"",F51*N51*$J$7/$J$22)</f>
        <v>1.0412016989664753E-2</v>
      </c>
      <c r="R51" s="9">
        <f t="shared" si="12"/>
        <v>3.9999999999999996E-5</v>
      </c>
      <c r="S51" s="9">
        <f t="shared" si="13"/>
        <v>3.2205301253051714E-6</v>
      </c>
      <c r="T51" s="9">
        <f t="shared" si="10"/>
        <v>3.8323595670010183E-7</v>
      </c>
      <c r="U51" s="9">
        <f t="shared" si="11"/>
        <v>3.6779469874694825E-5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1.1609089688318674</v>
      </c>
      <c r="K52" s="93">
        <f t="shared" si="26"/>
        <v>0.73449844035711198</v>
      </c>
      <c r="L52" s="93">
        <f t="shared" si="27"/>
        <v>1.4902286387529681E-2</v>
      </c>
      <c r="M52" s="93">
        <f t="shared" si="28"/>
        <v>0.98509771361247034</v>
      </c>
      <c r="N52" s="93">
        <f t="shared" si="29"/>
        <v>1.1024170991484594E-2</v>
      </c>
      <c r="O52" s="40">
        <f t="shared" si="30"/>
        <v>7.3590793848574736E-7</v>
      </c>
      <c r="P52" s="40">
        <f t="shared" si="31"/>
        <v>1.0659392563194441E-5</v>
      </c>
      <c r="Q52" s="40">
        <f t="shared" si="32"/>
        <v>1.5770864044103816E-3</v>
      </c>
      <c r="R52" s="9">
        <f t="shared" si="12"/>
        <v>3.9999999999999996E-5</v>
      </c>
      <c r="S52" s="9">
        <f t="shared" si="13"/>
        <v>5.9609145550118719E-7</v>
      </c>
      <c r="T52" s="9">
        <f t="shared" si="10"/>
        <v>2.9379937614284476E-5</v>
      </c>
      <c r="U52" s="9">
        <f t="shared" si="11"/>
        <v>3.9403908544498812E-5</v>
      </c>
      <c r="V52" s="100">
        <f t="shared" si="14"/>
        <v>0.74560973008821529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1.9942887659269517</v>
      </c>
      <c r="K53" s="93">
        <f t="shared" si="26"/>
        <v>0.32277820582351424</v>
      </c>
      <c r="L53" s="93">
        <f t="shared" si="27"/>
        <v>4.462169132960437E-2</v>
      </c>
      <c r="M53" s="93">
        <f t="shared" si="28"/>
        <v>0.95537830867039564</v>
      </c>
      <c r="N53" s="93">
        <f t="shared" si="29"/>
        <v>3.7763763231380539E-2</v>
      </c>
      <c r="O53" s="40">
        <f t="shared" si="30"/>
        <v>3.2339761527638026E-7</v>
      </c>
      <c r="P53" s="40">
        <f t="shared" si="31"/>
        <v>3.1917258355332719E-5</v>
      </c>
      <c r="Q53" s="40">
        <f t="shared" si="32"/>
        <v>5.402376071414923E-3</v>
      </c>
      <c r="R53" s="9">
        <f t="shared" si="12"/>
        <v>3.9999999999999996E-5</v>
      </c>
      <c r="S53" s="9">
        <f t="shared" si="13"/>
        <v>1.7848676531841745E-6</v>
      </c>
      <c r="T53" s="9">
        <f t="shared" si="10"/>
        <v>1.2911128232940568E-5</v>
      </c>
      <c r="U53" s="9">
        <f t="shared" si="11"/>
        <v>3.8215132346815825E-5</v>
      </c>
      <c r="V53" s="100">
        <f t="shared" si="14"/>
        <v>0.33785381444626489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1.3432804907607612</v>
      </c>
      <c r="K54" s="93">
        <f t="shared" si="26"/>
        <v>0.64955976952167771</v>
      </c>
      <c r="L54" s="93">
        <f t="shared" si="27"/>
        <v>2.0056385490082516E-2</v>
      </c>
      <c r="M54" s="93">
        <f t="shared" si="28"/>
        <v>0.97994361450991752</v>
      </c>
      <c r="N54" s="93">
        <f t="shared" si="29"/>
        <v>1.5461021421277249E-2</v>
      </c>
      <c r="O54" s="40">
        <f t="shared" si="30"/>
        <v>6.5080627084730692E-7</v>
      </c>
      <c r="P54" s="40">
        <f t="shared" si="31"/>
        <v>1.4346046021263307E-5</v>
      </c>
      <c r="Q54" s="40">
        <f t="shared" si="32"/>
        <v>2.2118095501810048E-3</v>
      </c>
      <c r="R54" s="9">
        <f t="shared" si="12"/>
        <v>3.9999999999999996E-5</v>
      </c>
      <c r="S54" s="9">
        <f t="shared" si="13"/>
        <v>8.0225541960330058E-7</v>
      </c>
      <c r="T54" s="9">
        <f t="shared" si="10"/>
        <v>2.5982390780867107E-5</v>
      </c>
      <c r="U54" s="9">
        <f t="shared" si="11"/>
        <v>3.9197744580396699E-5</v>
      </c>
      <c r="V54" s="100">
        <f t="shared" si="14"/>
        <v>0.66285422947169359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0.12835770982382372</v>
      </c>
      <c r="K55" s="55">
        <f t="shared" si="26"/>
        <v>0.98398511607811068</v>
      </c>
      <c r="L55" s="55">
        <f t="shared" si="27"/>
        <v>1.8522486955440676E-3</v>
      </c>
      <c r="M55" s="55">
        <f t="shared" si="28"/>
        <v>0.99814775130445588</v>
      </c>
      <c r="N55" s="55">
        <f t="shared" si="29"/>
        <v>3.0002717453903456E-4</v>
      </c>
      <c r="O55" s="56">
        <f t="shared" si="30"/>
        <v>9.8587337765024268E-7</v>
      </c>
      <c r="P55" s="56">
        <f t="shared" si="31"/>
        <v>1.3248870312270204E-6</v>
      </c>
      <c r="Q55" s="56">
        <f t="shared" si="32"/>
        <v>4.2921030369055596E-5</v>
      </c>
      <c r="R55" s="9">
        <f t="shared" si="12"/>
        <v>3.9999999999999996E-5</v>
      </c>
      <c r="S55" s="9">
        <f t="shared" si="13"/>
        <v>7.4089947821762702E-8</v>
      </c>
      <c r="T55" s="9">
        <f t="shared" si="10"/>
        <v>3.9359404643124421E-5</v>
      </c>
      <c r="U55" s="9">
        <f t="shared" si="11"/>
        <v>3.992591005217823E-5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1.1486336221473528</v>
      </c>
      <c r="K56" s="55">
        <f t="shared" si="26"/>
        <v>0.74853729582370154</v>
      </c>
      <c r="L56" s="55">
        <f t="shared" si="27"/>
        <v>1.4763867012186387E-2</v>
      </c>
      <c r="M56" s="55">
        <f t="shared" si="28"/>
        <v>0.98523613298781365</v>
      </c>
      <c r="N56" s="55">
        <f t="shared" si="29"/>
        <v>1.1079151644311613E-2</v>
      </c>
      <c r="O56" s="56">
        <f t="shared" si="30"/>
        <v>7.4997373443229049E-7</v>
      </c>
      <c r="P56" s="56">
        <f t="shared" si="31"/>
        <v>1.056038316143103E-5</v>
      </c>
      <c r="Q56" s="56">
        <f t="shared" si="32"/>
        <v>1.5849517795162354E-3</v>
      </c>
      <c r="R56" s="9">
        <f t="shared" si="12"/>
        <v>3.9999999999999996E-5</v>
      </c>
      <c r="S56" s="9">
        <f t="shared" si="13"/>
        <v>5.9055468048745543E-7</v>
      </c>
      <c r="T56" s="9">
        <f t="shared" si="10"/>
        <v>2.994149183294806E-5</v>
      </c>
      <c r="U56" s="9">
        <f t="shared" si="11"/>
        <v>3.9409445319512543E-5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0.57468086792098039</v>
      </c>
      <c r="K57" s="55">
        <f t="shared" si="26"/>
        <v>0.91868713734695628</v>
      </c>
      <c r="L57" s="55">
        <f t="shared" si="27"/>
        <v>4.8328304852034648E-3</v>
      </c>
      <c r="M57" s="55">
        <f t="shared" si="28"/>
        <v>0.99516716951479656</v>
      </c>
      <c r="N57" s="55">
        <f t="shared" si="29"/>
        <v>2.6262175464888543E-3</v>
      </c>
      <c r="O57" s="56">
        <f t="shared" si="30"/>
        <v>9.2045009248715017E-7</v>
      </c>
      <c r="P57" s="56">
        <f t="shared" si="31"/>
        <v>3.4568546056305346E-6</v>
      </c>
      <c r="Q57" s="56">
        <f t="shared" si="32"/>
        <v>3.7569917872199115E-4</v>
      </c>
      <c r="R57" s="9">
        <f t="shared" si="12"/>
        <v>3.9999999999999996E-5</v>
      </c>
      <c r="S57" s="9">
        <f t="shared" si="13"/>
        <v>1.9331321940813857E-7</v>
      </c>
      <c r="T57" s="9">
        <f t="shared" si="10"/>
        <v>3.6747485493878246E-5</v>
      </c>
      <c r="U57" s="9">
        <f t="shared" si="11"/>
        <v>3.980668678059186E-5</v>
      </c>
      <c r="V57" s="100">
        <f t="shared" si="14"/>
        <v>0.92314855783965533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0.42305595357710185</v>
      </c>
      <c r="K58" s="55">
        <f t="shared" si="26"/>
        <v>0.94129962639589748</v>
      </c>
      <c r="L58" s="55">
        <f t="shared" si="27"/>
        <v>3.4925038891044959E-3</v>
      </c>
      <c r="M58" s="55">
        <f t="shared" si="28"/>
        <v>0.99650749611089551</v>
      </c>
      <c r="N58" s="55">
        <f t="shared" si="29"/>
        <v>1.4801746060433341E-3</v>
      </c>
      <c r="O58" s="56">
        <f t="shared" si="30"/>
        <v>9.4310597476778125E-7</v>
      </c>
      <c r="P58" s="56">
        <f t="shared" si="31"/>
        <v>2.4981381389637438E-6</v>
      </c>
      <c r="Q58" s="56">
        <f t="shared" si="32"/>
        <v>2.1174955007025636E-4</v>
      </c>
      <c r="R58" s="9">
        <f t="shared" si="12"/>
        <v>3.9999999999999996E-5</v>
      </c>
      <c r="S58" s="9">
        <f t="shared" si="13"/>
        <v>1.3970015556417981E-7</v>
      </c>
      <c r="T58" s="9">
        <f t="shared" si="10"/>
        <v>3.7651985055835894E-5</v>
      </c>
      <c r="U58" s="9">
        <f t="shared" si="11"/>
        <v>3.9860299844435815E-5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0.17496858668585646</v>
      </c>
      <c r="K59" s="55">
        <f t="shared" si="26"/>
        <v>0.9814876272564419</v>
      </c>
      <c r="L59" s="55">
        <f t="shared" si="27"/>
        <v>2.0568682498829467E-3</v>
      </c>
      <c r="M59" s="55">
        <f t="shared" si="28"/>
        <v>0.99794313175011706</v>
      </c>
      <c r="N59" s="55">
        <f t="shared" si="29"/>
        <v>4.8912503506977139E-4</v>
      </c>
      <c r="O59" s="56">
        <f t="shared" si="30"/>
        <v>9.833710961624128E-7</v>
      </c>
      <c r="P59" s="56">
        <f t="shared" si="31"/>
        <v>1.4712484753091306E-6</v>
      </c>
      <c r="Q59" s="56">
        <f t="shared" si="32"/>
        <v>6.997283001698128E-5</v>
      </c>
      <c r="R59" s="9">
        <f t="shared" si="12"/>
        <v>3.9999999999999996E-5</v>
      </c>
      <c r="S59" s="9">
        <f t="shared" si="13"/>
        <v>8.2274729995317854E-8</v>
      </c>
      <c r="T59" s="9">
        <f t="shared" si="10"/>
        <v>3.9259505090257675E-5</v>
      </c>
      <c r="U59" s="9">
        <f t="shared" si="11"/>
        <v>3.9917725270004682E-5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1.2049718259520312</v>
      </c>
      <c r="K60" s="55">
        <f t="shared" si="26"/>
        <v>0.73068946550922798</v>
      </c>
      <c r="L60" s="55">
        <f t="shared" si="27"/>
        <v>1.6408078704455223E-2</v>
      </c>
      <c r="M60" s="55">
        <f t="shared" si="28"/>
        <v>0.98359192129554474</v>
      </c>
      <c r="N60" s="55">
        <f t="shared" si="29"/>
        <v>1.2631528068689741E-2</v>
      </c>
      <c r="O60" s="56">
        <f t="shared" si="30"/>
        <v>7.320916542378359E-7</v>
      </c>
      <c r="P60" s="56">
        <f t="shared" si="31"/>
        <v>1.1736464296172466E-5</v>
      </c>
      <c r="Q60" s="56">
        <f t="shared" si="32"/>
        <v>1.8070303154265575E-3</v>
      </c>
      <c r="R60" s="9">
        <f t="shared" si="12"/>
        <v>3.9999999999999996E-5</v>
      </c>
      <c r="S60" s="9">
        <f t="shared" si="13"/>
        <v>6.5632314817820882E-7</v>
      </c>
      <c r="T60" s="9">
        <f t="shared" si="10"/>
        <v>2.9227578620369117E-5</v>
      </c>
      <c r="U60" s="9">
        <f t="shared" si="11"/>
        <v>3.9343676851821789E-5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2.1983266201231308</v>
      </c>
      <c r="K61" s="55">
        <f t="shared" si="26"/>
        <v>0.26998837317193736</v>
      </c>
      <c r="L61" s="55">
        <f t="shared" si="27"/>
        <v>5.9706929913793991E-2</v>
      </c>
      <c r="M61" s="55">
        <f t="shared" si="28"/>
        <v>0.940293070086206</v>
      </c>
      <c r="N61" s="55">
        <f t="shared" si="29"/>
        <v>5.3649800012060322E-2</v>
      </c>
      <c r="O61" s="56">
        <f t="shared" si="30"/>
        <v>2.7050647925062984E-7</v>
      </c>
      <c r="P61" s="56">
        <f t="shared" si="31"/>
        <v>4.270751401119521E-5</v>
      </c>
      <c r="Q61" s="56">
        <f t="shared" si="32"/>
        <v>7.6749871045824567E-3</v>
      </c>
      <c r="R61" s="9">
        <f t="shared" si="12"/>
        <v>3.9999999999999996E-5</v>
      </c>
      <c r="S61" s="9">
        <f t="shared" si="13"/>
        <v>2.3882771965517593E-6</v>
      </c>
      <c r="T61" s="9">
        <f t="shared" si="10"/>
        <v>1.0799534926877493E-5</v>
      </c>
      <c r="U61" s="9">
        <f t="shared" si="11"/>
        <v>3.7611722803448235E-5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3.1746738444272542</v>
      </c>
      <c r="K62" s="55">
        <f t="shared" si="26"/>
        <v>4.7703654092668517E-2</v>
      </c>
      <c r="L62" s="55">
        <f t="shared" si="27"/>
        <v>9.9903004654143382E-2</v>
      </c>
      <c r="M62" s="55">
        <f t="shared" si="28"/>
        <v>0.90009699534585663</v>
      </c>
      <c r="N62" s="55">
        <f t="shared" si="29"/>
        <v>9.4770831834336822E-2</v>
      </c>
      <c r="O62" s="56">
        <f t="shared" si="30"/>
        <v>4.7795197120506661E-8</v>
      </c>
      <c r="P62" s="56">
        <f t="shared" si="31"/>
        <v>7.1459192043327985E-5</v>
      </c>
      <c r="Q62" s="56">
        <f t="shared" si="32"/>
        <v>1.3557644428414983E-2</v>
      </c>
      <c r="R62" s="9">
        <f t="shared" si="12"/>
        <v>3.9999999999999996E-5</v>
      </c>
      <c r="S62" s="9">
        <f t="shared" si="13"/>
        <v>3.9961201861657346E-6</v>
      </c>
      <c r="T62" s="9">
        <f t="shared" si="10"/>
        <v>1.9081461637067404E-6</v>
      </c>
      <c r="U62" s="9">
        <f t="shared" si="11"/>
        <v>3.6003879813834262E-5</v>
      </c>
      <c r="V62" s="100">
        <f t="shared" si="14"/>
        <v>5.2998348332824602E-2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4.3437142739376391</v>
      </c>
      <c r="K63" s="55">
        <f t="shared" si="26"/>
        <v>4.1025503951267403E-3</v>
      </c>
      <c r="L63" s="55">
        <f t="shared" si="27"/>
        <v>0.12680058494868088</v>
      </c>
      <c r="M63" s="55">
        <f t="shared" si="28"/>
        <v>0.87319941505131915</v>
      </c>
      <c r="N63" s="55">
        <f t="shared" si="29"/>
        <v>0.12384457010588536</v>
      </c>
      <c r="O63" s="56">
        <f t="shared" si="30"/>
        <v>4.1104231648793242E-9</v>
      </c>
      <c r="P63" s="56">
        <f t="shared" si="31"/>
        <v>9.0698646976863567E-5</v>
      </c>
      <c r="Q63" s="56">
        <f t="shared" si="32"/>
        <v>1.7716850357719083E-2</v>
      </c>
      <c r="R63" s="9">
        <f t="shared" si="12"/>
        <v>3.9999999999999996E-5</v>
      </c>
      <c r="S63" s="9">
        <f t="shared" si="13"/>
        <v>5.0720233979472344E-6</v>
      </c>
      <c r="T63" s="9">
        <f t="shared" si="10"/>
        <v>1.6410201580506961E-7</v>
      </c>
      <c r="U63" s="9">
        <f t="shared" si="11"/>
        <v>3.492797660205276E-5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3.5931104785941299</v>
      </c>
      <c r="K64" s="55">
        <f t="shared" si="26"/>
        <v>2.0322497694227483E-2</v>
      </c>
      <c r="L64" s="55">
        <f t="shared" si="27"/>
        <v>0.11154256316924328</v>
      </c>
      <c r="M64" s="55">
        <f t="shared" si="28"/>
        <v>0.88845743683075673</v>
      </c>
      <c r="N64" s="55">
        <f t="shared" si="29"/>
        <v>0.10722600571014322</v>
      </c>
      <c r="O64" s="56">
        <f t="shared" si="30"/>
        <v>2.036149644615851E-8</v>
      </c>
      <c r="P64" s="56">
        <f t="shared" si="31"/>
        <v>7.9784801969771631E-5</v>
      </c>
      <c r="Q64" s="56">
        <f t="shared" si="32"/>
        <v>1.5339446016876772E-2</v>
      </c>
      <c r="R64" s="9">
        <f t="shared" si="12"/>
        <v>3.9999999999999996E-5</v>
      </c>
      <c r="S64" s="9">
        <f t="shared" si="13"/>
        <v>4.4617025267697311E-6</v>
      </c>
      <c r="T64" s="9">
        <f t="shared" si="10"/>
        <v>8.1289990776909921E-7</v>
      </c>
      <c r="U64" s="9">
        <f t="shared" si="11"/>
        <v>3.5538297473230264E-5</v>
      </c>
      <c r="V64" s="100">
        <f t="shared" si="14"/>
        <v>2.2873912527222998E-2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3.2940480664417366</v>
      </c>
      <c r="K65" s="55">
        <f t="shared" si="26"/>
        <v>3.7548365165787134E-2</v>
      </c>
      <c r="L65" s="55">
        <f t="shared" si="27"/>
        <v>0.10351234748640924</v>
      </c>
      <c r="M65" s="55">
        <f t="shared" si="28"/>
        <v>0.89648765251359075</v>
      </c>
      <c r="N65" s="55">
        <f t="shared" si="29"/>
        <v>9.860843771723668E-2</v>
      </c>
      <c r="O65" s="56">
        <f t="shared" si="30"/>
        <v>3.7620420254711169E-8</v>
      </c>
      <c r="P65" s="56">
        <f t="shared" si="31"/>
        <v>7.4040903409207308E-5</v>
      </c>
      <c r="Q65" s="56">
        <f t="shared" si="32"/>
        <v>1.4106641361434398E-2</v>
      </c>
      <c r="R65" s="9">
        <f t="shared" si="12"/>
        <v>3.9999999999999996E-5</v>
      </c>
      <c r="S65" s="9">
        <f t="shared" si="13"/>
        <v>4.1404938994563691E-6</v>
      </c>
      <c r="T65" s="9">
        <f t="shared" si="10"/>
        <v>1.5019346066314852E-6</v>
      </c>
      <c r="U65" s="9">
        <f t="shared" si="11"/>
        <v>3.5859506100543625E-5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3.5931104785941299</v>
      </c>
      <c r="K66" s="55">
        <f t="shared" si="26"/>
        <v>2.0322497694227483E-2</v>
      </c>
      <c r="L66" s="55">
        <f t="shared" si="27"/>
        <v>0.11154256316924328</v>
      </c>
      <c r="M66" s="55">
        <f t="shared" si="28"/>
        <v>0.88845743683075673</v>
      </c>
      <c r="N66" s="55">
        <f t="shared" si="29"/>
        <v>0.10722600571014322</v>
      </c>
      <c r="O66" s="56">
        <f t="shared" si="30"/>
        <v>2.036149644615851E-8</v>
      </c>
      <c r="P66" s="56">
        <f t="shared" si="31"/>
        <v>7.9784801969771631E-5</v>
      </c>
      <c r="Q66" s="56">
        <f t="shared" si="32"/>
        <v>1.5339446016876772E-2</v>
      </c>
      <c r="R66" s="9">
        <f t="shared" si="12"/>
        <v>3.9999999999999996E-5</v>
      </c>
      <c r="S66" s="9">
        <f t="shared" si="13"/>
        <v>4.4617025267697311E-6</v>
      </c>
      <c r="T66" s="9">
        <f t="shared" si="10"/>
        <v>8.1289990776909921E-7</v>
      </c>
      <c r="U66" s="9">
        <f t="shared" si="11"/>
        <v>3.5538297473230264E-5</v>
      </c>
      <c r="V66" s="100">
        <f t="shared" si="14"/>
        <v>2.2873912527222998E-2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-3.9484454940644457E-3</v>
      </c>
      <c r="K67" s="55">
        <f t="shared" si="26"/>
        <v>0.99852509444948523</v>
      </c>
      <c r="L67" s="55">
        <f t="shared" si="27"/>
        <v>1.3860011698293311E-3</v>
      </c>
      <c r="M67" s="55">
        <f t="shared" si="28"/>
        <v>0.99861399883017066</v>
      </c>
      <c r="N67" s="55">
        <f t="shared" si="29"/>
        <v>2.0804738540788917E-7</v>
      </c>
      <c r="O67" s="56">
        <f t="shared" si="30"/>
        <v>1.0004412581534378E-6</v>
      </c>
      <c r="P67" s="56">
        <f t="shared" si="31"/>
        <v>9.9138683676220879E-7</v>
      </c>
      <c r="Q67" s="56">
        <f t="shared" si="32"/>
        <v>2.9762664535351457E-8</v>
      </c>
      <c r="R67" s="9">
        <f t="shared" si="12"/>
        <v>3.9999999999999996E-5</v>
      </c>
      <c r="S67" s="9">
        <f t="shared" si="13"/>
        <v>5.5440046793173239E-8</v>
      </c>
      <c r="T67" s="9">
        <f t="shared" si="10"/>
        <v>3.9941003777979404E-5</v>
      </c>
      <c r="U67" s="9">
        <f t="shared" si="11"/>
        <v>3.9944559953206825E-5</v>
      </c>
      <c r="V67" s="100">
        <f t="shared" si="14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3.5689903624588988</v>
      </c>
      <c r="K68" s="55">
        <f t="shared" si="26"/>
        <v>1.7082578891604774E-2</v>
      </c>
      <c r="L68" s="55">
        <f t="shared" si="27"/>
        <v>8.8694533951250959E-2</v>
      </c>
      <c r="M68" s="55">
        <f t="shared" si="28"/>
        <v>0.91130546604874907</v>
      </c>
      <c r="N68" s="55">
        <f t="shared" si="29"/>
        <v>8.1932932263480363E-2</v>
      </c>
      <c r="O68" s="56">
        <f t="shared" si="30"/>
        <v>1.7115360258667008E-8</v>
      </c>
      <c r="P68" s="56">
        <f t="shared" si="31"/>
        <v>6.3441933070559095E-5</v>
      </c>
      <c r="Q68" s="56">
        <f t="shared" si="32"/>
        <v>1.1721091195521317E-2</v>
      </c>
      <c r="R68" s="9">
        <f t="shared" si="12"/>
        <v>3.9999999999999996E-5</v>
      </c>
      <c r="S68" s="9">
        <f t="shared" si="13"/>
        <v>3.5477813580500381E-6</v>
      </c>
      <c r="T68" s="9">
        <f t="shared" si="10"/>
        <v>6.8330315566419093E-7</v>
      </c>
      <c r="U68" s="9">
        <f t="shared" si="11"/>
        <v>3.6452218641949959E-5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0.78891704772139604</v>
      </c>
      <c r="K69" s="55">
        <f t="shared" si="26"/>
        <v>0.86815103785247993</v>
      </c>
      <c r="L69" s="55">
        <f t="shared" si="27"/>
        <v>7.4793764918315072E-3</v>
      </c>
      <c r="M69" s="55">
        <f t="shared" si="28"/>
        <v>0.9925206235081685</v>
      </c>
      <c r="N69" s="55">
        <f t="shared" si="29"/>
        <v>4.8019577450213562E-3</v>
      </c>
      <c r="O69" s="56">
        <f t="shared" si="30"/>
        <v>8.6981701451899393E-7</v>
      </c>
      <c r="P69" s="56">
        <f t="shared" si="31"/>
        <v>5.3498911563714764E-6</v>
      </c>
      <c r="Q69" s="56">
        <f t="shared" si="32"/>
        <v>6.869543551234835E-4</v>
      </c>
      <c r="R69" s="9">
        <f t="shared" si="12"/>
        <v>3.9999999999999996E-5</v>
      </c>
      <c r="S69" s="9">
        <f t="shared" si="13"/>
        <v>2.9917505967326025E-7</v>
      </c>
      <c r="T69" s="9">
        <f t="shared" si="10"/>
        <v>3.4726041514099191E-5</v>
      </c>
      <c r="U69" s="9">
        <f t="shared" si="11"/>
        <v>3.9700824940326738E-5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2.0469857256800985</v>
      </c>
      <c r="K70" s="55">
        <f t="shared" si="26"/>
        <v>0.33488579183804212</v>
      </c>
      <c r="L70" s="55">
        <f t="shared" si="27"/>
        <v>5.2267954738824528E-2</v>
      </c>
      <c r="M70" s="55">
        <f t="shared" si="28"/>
        <v>0.94773204526117549</v>
      </c>
      <c r="N70" s="55">
        <f t="shared" si="29"/>
        <v>4.6391539523424237E-2</v>
      </c>
      <c r="O70" s="56">
        <f t="shared" si="30"/>
        <v>3.3552843567629564E-7</v>
      </c>
      <c r="P70" s="56">
        <f t="shared" si="31"/>
        <v>3.7386521339613479E-5</v>
      </c>
      <c r="Q70" s="56">
        <f t="shared" si="32"/>
        <v>6.6366410969652886E-3</v>
      </c>
      <c r="R70" s="9">
        <f t="shared" si="12"/>
        <v>3.9999999999999996E-5</v>
      </c>
      <c r="S70" s="9">
        <f t="shared" si="13"/>
        <v>2.0907181895529808E-6</v>
      </c>
      <c r="T70" s="9">
        <f t="shared" si="10"/>
        <v>1.3395431673521684E-5</v>
      </c>
      <c r="U70" s="9">
        <f t="shared" si="11"/>
        <v>3.7909281810447014E-5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4.7715972923878738</v>
      </c>
      <c r="K71" s="55">
        <f t="shared" ref="K71:K122" si="35">IF(D71=0,"",1/(1+10^D71*$J$15/$J$14+10^E71*$J$16/$J$14+10^J71*$J$19/$J$14))</f>
        <v>1.1127083362154431E-3</v>
      </c>
      <c r="L71" s="55">
        <f t="shared" ref="L71:L122" si="36">IF(D71=0,"",1/(1+10^I71/10^J71*$J$13/$J$19))</f>
        <v>9.2115283406509971E-2</v>
      </c>
      <c r="M71" s="55">
        <f t="shared" si="19"/>
        <v>0.90788471659349002</v>
      </c>
      <c r="N71" s="55">
        <f t="shared" ref="N71:N122" si="37">IF(D71=0,"",1/(1/10^E71*$J$20/$J$22+10^D71/10^E71*$J$21/$J$22+10^I71/10^E71*$J$13/$J$22+1))</f>
        <v>8.5476042151664933E-2</v>
      </c>
      <c r="O71" s="56">
        <f t="shared" si="21"/>
        <v>1.114843616879688E-9</v>
      </c>
      <c r="P71" s="56">
        <f t="shared" ref="P71:P122" si="38">IF(D71=0,"",O71*10^J71)</f>
        <v>6.5888746288056529E-5</v>
      </c>
      <c r="Q71" s="56">
        <f t="shared" ref="Q71:Q122" si="39">IF(D71=0,"",F71*N71*$J$7/$J$22)</f>
        <v>1.2227958372953892E-2</v>
      </c>
      <c r="R71" s="9">
        <f t="shared" si="12"/>
        <v>3.9999999999999996E-5</v>
      </c>
      <c r="S71" s="9">
        <f t="shared" si="13"/>
        <v>3.6846113362603986E-6</v>
      </c>
      <c r="T71" s="9">
        <f t="shared" si="10"/>
        <v>4.450833344861772E-8</v>
      </c>
      <c r="U71" s="9">
        <f t="shared" si="11"/>
        <v>3.63153886637396E-5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4.2719801127259966</v>
      </c>
      <c r="K72" s="55">
        <f t="shared" si="35"/>
        <v>3.1372125552087842E-3</v>
      </c>
      <c r="L72" s="55">
        <f t="shared" si="36"/>
        <v>8.2201002789102348E-2</v>
      </c>
      <c r="M72" s="55">
        <f t="shared" si="19"/>
        <v>0.91779899721089764</v>
      </c>
      <c r="N72" s="55">
        <f t="shared" si="37"/>
        <v>7.4551606639578161E-2</v>
      </c>
      <c r="O72" s="56">
        <f t="shared" si="21"/>
        <v>3.1432328474010301E-9</v>
      </c>
      <c r="P72" s="56">
        <f t="shared" si="38"/>
        <v>5.8797202995005109E-5</v>
      </c>
      <c r="Q72" s="56">
        <f t="shared" si="39"/>
        <v>1.0665139841267652E-2</v>
      </c>
      <c r="R72" s="9">
        <f t="shared" si="12"/>
        <v>3.9999999999999996E-5</v>
      </c>
      <c r="S72" s="9">
        <f t="shared" si="13"/>
        <v>3.2880401115640935E-6</v>
      </c>
      <c r="T72" s="9">
        <f t="shared" si="10"/>
        <v>1.2548850220835135E-7</v>
      </c>
      <c r="U72" s="9">
        <f t="shared" si="11"/>
        <v>3.6711959888435902E-5</v>
      </c>
      <c r="V72" s="100">
        <f t="shared" si="14"/>
        <v>3.4181913084918047E-3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4.3022457905640747</v>
      </c>
      <c r="K73" s="55">
        <f t="shared" si="35"/>
        <v>3.16246450838182E-3</v>
      </c>
      <c r="L73" s="55">
        <f t="shared" si="36"/>
        <v>8.884326474475622E-2</v>
      </c>
      <c r="M73" s="55">
        <f t="shared" si="19"/>
        <v>0.91115673525524377</v>
      </c>
      <c r="N73" s="55">
        <f t="shared" si="37"/>
        <v>8.1891103443768681E-2</v>
      </c>
      <c r="O73" s="56">
        <f t="shared" si="21"/>
        <v>3.1685332589216754E-9</v>
      </c>
      <c r="P73" s="56">
        <f t="shared" si="38"/>
        <v>6.3548318082427756E-5</v>
      </c>
      <c r="Q73" s="56">
        <f t="shared" si="39"/>
        <v>1.1715107284084278E-2</v>
      </c>
      <c r="R73" s="9">
        <f t="shared" si="12"/>
        <v>3.9999999999999996E-5</v>
      </c>
      <c r="S73" s="9">
        <f t="shared" si="13"/>
        <v>3.5537305897902486E-6</v>
      </c>
      <c r="T73" s="9">
        <f t="shared" si="10"/>
        <v>1.2649858033527278E-7</v>
      </c>
      <c r="U73" s="9">
        <f t="shared" si="11"/>
        <v>3.6446269410209748E-5</v>
      </c>
      <c r="V73" s="100">
        <f t="shared" si="14"/>
        <v>3.4708238286752209E-3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1.0996040565396161</v>
      </c>
      <c r="K74" s="55">
        <f t="shared" si="35"/>
        <v>0.74792266253178419</v>
      </c>
      <c r="L74" s="55">
        <f t="shared" si="36"/>
        <v>1.317691692402252E-2</v>
      </c>
      <c r="M74" s="55">
        <f t="shared" si="19"/>
        <v>0.98682308307597744</v>
      </c>
      <c r="N74" s="55">
        <f t="shared" si="37"/>
        <v>9.3166065606298844E-3</v>
      </c>
      <c r="O74" s="56">
        <f t="shared" si="21"/>
        <v>7.4935792166274982E-7</v>
      </c>
      <c r="P74" s="56">
        <f t="shared" si="38"/>
        <v>9.425260434082964E-6</v>
      </c>
      <c r="Q74" s="56">
        <f t="shared" si="39"/>
        <v>1.3328071156878233E-3</v>
      </c>
      <c r="R74" s="9">
        <f t="shared" si="12"/>
        <v>3.9999999999999996E-5</v>
      </c>
      <c r="S74" s="9">
        <f t="shared" si="13"/>
        <v>5.2707667696090074E-7</v>
      </c>
      <c r="T74" s="9">
        <f t="shared" si="10"/>
        <v>2.9916906501271365E-5</v>
      </c>
      <c r="U74" s="9">
        <f t="shared" si="11"/>
        <v>3.9472923323039097E-5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2.9166215689730115</v>
      </c>
      <c r="K75" s="55">
        <f t="shared" si="35"/>
        <v>7.8875430078525474E-2</v>
      </c>
      <c r="L75" s="55">
        <f t="shared" si="36"/>
        <v>9.1183523007079423E-2</v>
      </c>
      <c r="M75" s="55">
        <f t="shared" si="19"/>
        <v>0.90881647699292056</v>
      </c>
      <c r="N75" s="55">
        <f t="shared" si="37"/>
        <v>8.5598230247425716E-2</v>
      </c>
      <c r="O75" s="56">
        <f t="shared" si="21"/>
        <v>7.902679155866277E-8</v>
      </c>
      <c r="P75" s="56">
        <f t="shared" si="38"/>
        <v>6.5222271385206672E-5</v>
      </c>
      <c r="Q75" s="56">
        <f t="shared" si="39"/>
        <v>1.2245438252824583E-2</v>
      </c>
      <c r="R75" s="9">
        <f t="shared" si="12"/>
        <v>3.9999999999999996E-5</v>
      </c>
      <c r="S75" s="9">
        <f t="shared" si="13"/>
        <v>3.6473409202831767E-6</v>
      </c>
      <c r="T75" s="9">
        <f t="shared" si="10"/>
        <v>3.1550172031410188E-6</v>
      </c>
      <c r="U75" s="9">
        <f t="shared" si="11"/>
        <v>3.6352659079716822E-5</v>
      </c>
      <c r="V75" s="100">
        <f t="shared" si="14"/>
        <v>8.6789172594567615E-2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2.8524813659648856</v>
      </c>
      <c r="K76" s="55">
        <f t="shared" si="35"/>
        <v>7.6704265232914792E-2</v>
      </c>
      <c r="L76" s="55">
        <f t="shared" si="36"/>
        <v>7.649867950289016E-2</v>
      </c>
      <c r="M76" s="55">
        <f t="shared" si="19"/>
        <v>0.92350132049710987</v>
      </c>
      <c r="N76" s="55">
        <f t="shared" si="37"/>
        <v>6.9340597073194704E-2</v>
      </c>
      <c r="O76" s="56">
        <f t="shared" si="21"/>
        <v>7.6851460260655879E-8</v>
      </c>
      <c r="P76" s="56">
        <f t="shared" si="38"/>
        <v>5.4718412610138731E-5</v>
      </c>
      <c r="Q76" s="56">
        <f t="shared" si="39"/>
        <v>9.9196677012995949E-3</v>
      </c>
      <c r="R76" s="9">
        <f t="shared" si="12"/>
        <v>3.9999999999999996E-5</v>
      </c>
      <c r="S76" s="9">
        <f t="shared" si="13"/>
        <v>3.0599471801156062E-6</v>
      </c>
      <c r="T76" s="9">
        <f t="shared" si="10"/>
        <v>3.0681706093165914E-6</v>
      </c>
      <c r="U76" s="9">
        <f t="shared" si="11"/>
        <v>3.6940052819884394E-5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1.3698795093743001</v>
      </c>
      <c r="K77" s="55">
        <f t="shared" si="35"/>
        <v>0.66601803078234711</v>
      </c>
      <c r="L77" s="55">
        <f t="shared" si="36"/>
        <v>2.1863443002577174E-2</v>
      </c>
      <c r="M77" s="55">
        <f t="shared" si="19"/>
        <v>0.97813655699742286</v>
      </c>
      <c r="N77" s="55">
        <f t="shared" si="37"/>
        <v>1.7701417674541829E-2</v>
      </c>
      <c r="O77" s="56">
        <f t="shared" si="21"/>
        <v>6.6729611541322634E-7</v>
      </c>
      <c r="P77" s="56">
        <f t="shared" si="38"/>
        <v>1.5638608444843413E-5</v>
      </c>
      <c r="Q77" s="56">
        <f t="shared" si="39"/>
        <v>2.5323142370408834E-3</v>
      </c>
      <c r="R77" s="9">
        <f t="shared" si="12"/>
        <v>3.9999999999999996E-5</v>
      </c>
      <c r="S77" s="9">
        <f t="shared" si="13"/>
        <v>8.7453772010308686E-7</v>
      </c>
      <c r="T77" s="9">
        <f t="shared" si="10"/>
        <v>2.6640721231293881E-5</v>
      </c>
      <c r="U77" s="9">
        <f t="shared" si="11"/>
        <v>3.9125462279896914E-5</v>
      </c>
      <c r="V77" s="100">
        <f t="shared" si="14"/>
        <v>0.68090495751106239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1.7168211447433379</v>
      </c>
      <c r="K78" s="55">
        <f t="shared" si="35"/>
        <v>0.51697899212378462</v>
      </c>
      <c r="L78" s="55">
        <f t="shared" si="36"/>
        <v>3.7726550601396784E-2</v>
      </c>
      <c r="M78" s="55">
        <f t="shared" si="19"/>
        <v>0.96227344939860326</v>
      </c>
      <c r="N78" s="55">
        <f t="shared" si="37"/>
        <v>3.3021436221495733E-2</v>
      </c>
      <c r="O78" s="56">
        <f t="shared" si="21"/>
        <v>5.1797107172791284E-7</v>
      </c>
      <c r="P78" s="56">
        <f t="shared" si="38"/>
        <v>2.6985262694456235E-5</v>
      </c>
      <c r="Q78" s="56">
        <f t="shared" si="39"/>
        <v>4.7239523188865448E-3</v>
      </c>
      <c r="R78" s="9">
        <f t="shared" si="12"/>
        <v>3.9999999999999996E-5</v>
      </c>
      <c r="S78" s="9">
        <f t="shared" si="13"/>
        <v>1.5090620240558713E-6</v>
      </c>
      <c r="T78" s="9">
        <f t="shared" si="10"/>
        <v>2.0679159684951381E-5</v>
      </c>
      <c r="U78" s="9">
        <f t="shared" si="11"/>
        <v>3.8490937975944127E-5</v>
      </c>
      <c r="V78" s="100">
        <f t="shared" si="14"/>
        <v>0.53724748661296173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1.5824466515947846</v>
      </c>
      <c r="K79" s="55">
        <f t="shared" si="35"/>
        <v>0.47731461352009907</v>
      </c>
      <c r="L79" s="55">
        <f t="shared" si="36"/>
        <v>2.556256567174521E-2</v>
      </c>
      <c r="M79" s="55">
        <f t="shared" si="19"/>
        <v>0.9744374343282548</v>
      </c>
      <c r="N79" s="55">
        <f t="shared" si="37"/>
        <v>1.8993840810927511E-2</v>
      </c>
      <c r="O79" s="56">
        <f t="shared" si="21"/>
        <v>4.7823057741812965E-7</v>
      </c>
      <c r="P79" s="56">
        <f t="shared" si="38"/>
        <v>1.8284538045489743E-5</v>
      </c>
      <c r="Q79" s="56">
        <f t="shared" si="39"/>
        <v>2.7172045982946863E-3</v>
      </c>
      <c r="R79" s="9">
        <f t="shared" si="12"/>
        <v>3.9999999999999996E-5</v>
      </c>
      <c r="S79" s="9">
        <f t="shared" si="13"/>
        <v>1.0225026268698083E-6</v>
      </c>
      <c r="T79" s="9">
        <f t="shared" si="10"/>
        <v>1.9092584540803961E-5</v>
      </c>
      <c r="U79" s="9">
        <f t="shared" si="11"/>
        <v>3.8977497373130186E-5</v>
      </c>
      <c r="V79" s="100">
        <f t="shared" si="14"/>
        <v>0.48983608049617278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1.6545409469670944</v>
      </c>
      <c r="K80" s="55">
        <f t="shared" si="35"/>
        <v>0.42683420069430472</v>
      </c>
      <c r="L80" s="55">
        <f t="shared" si="36"/>
        <v>2.6986913440998406E-2</v>
      </c>
      <c r="M80" s="55">
        <f t="shared" si="19"/>
        <v>0.97301308655900165</v>
      </c>
      <c r="N80" s="55">
        <f t="shared" si="37"/>
        <v>1.9819982808419793E-2</v>
      </c>
      <c r="O80" s="56">
        <f t="shared" si="21"/>
        <v>4.2765329298104084E-7</v>
      </c>
      <c r="P80" s="56">
        <f t="shared" si="38"/>
        <v>1.9303353657011287E-5</v>
      </c>
      <c r="Q80" s="56">
        <f t="shared" si="39"/>
        <v>2.8353901120502251E-3</v>
      </c>
      <c r="R80" s="9">
        <f t="shared" si="12"/>
        <v>3.9999999999999996E-5</v>
      </c>
      <c r="S80" s="9">
        <f t="shared" si="13"/>
        <v>1.0794765376399361E-6</v>
      </c>
      <c r="T80" s="9">
        <f t="shared" si="10"/>
        <v>1.7073368027772188E-5</v>
      </c>
      <c r="U80" s="9">
        <f t="shared" si="11"/>
        <v>3.892052346236006E-5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3.3641784665212624</v>
      </c>
      <c r="K81" s="55">
        <f t="shared" si="35"/>
        <v>2.9912121474822882E-2</v>
      </c>
      <c r="L81" s="55">
        <f t="shared" si="36"/>
        <v>9.691226433094853E-2</v>
      </c>
      <c r="M81" s="55">
        <f t="shared" si="19"/>
        <v>0.90308773566905143</v>
      </c>
      <c r="N81" s="55">
        <f t="shared" si="37"/>
        <v>9.1202822461809344E-2</v>
      </c>
      <c r="O81" s="56">
        <f t="shared" si="21"/>
        <v>2.996952265762428E-8</v>
      </c>
      <c r="P81" s="56">
        <f t="shared" si="38"/>
        <v>6.9319958215008511E-5</v>
      </c>
      <c r="Q81" s="56">
        <f t="shared" si="39"/>
        <v>1.3047215201893694E-2</v>
      </c>
      <c r="R81" s="9">
        <f t="shared" si="12"/>
        <v>3.9999999999999996E-5</v>
      </c>
      <c r="S81" s="9">
        <f t="shared" si="13"/>
        <v>3.8764905732379405E-6</v>
      </c>
      <c r="T81" s="9">
        <f t="shared" si="10"/>
        <v>1.1964848589929151E-6</v>
      </c>
      <c r="U81" s="9">
        <f t="shared" si="11"/>
        <v>3.6123509426762052E-5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3.0473260422149981</v>
      </c>
      <c r="K82" s="55">
        <f t="shared" si="35"/>
        <v>5.1681292666728378E-2</v>
      </c>
      <c r="L82" s="55">
        <f t="shared" si="36"/>
        <v>8.0725820619204219E-2</v>
      </c>
      <c r="M82" s="55">
        <f t="shared" si="19"/>
        <v>0.91927417938079581</v>
      </c>
      <c r="N82" s="55">
        <f t="shared" si="37"/>
        <v>7.3640619045287722E-2</v>
      </c>
      <c r="O82" s="56">
        <f t="shared" si="21"/>
        <v>5.1780468759279098E-8</v>
      </c>
      <c r="P82" s="56">
        <f t="shared" si="38"/>
        <v>5.7742026262907942E-5</v>
      </c>
      <c r="Q82" s="56">
        <f t="shared" si="39"/>
        <v>1.0534816558850158E-2</v>
      </c>
      <c r="R82" s="9">
        <f t="shared" si="12"/>
        <v>3.9999999999999996E-5</v>
      </c>
      <c r="S82" s="9">
        <f t="shared" si="13"/>
        <v>3.2290328247681687E-6</v>
      </c>
      <c r="T82" s="9">
        <f t="shared" si="10"/>
        <v>2.0672517066691349E-6</v>
      </c>
      <c r="U82" s="9">
        <f t="shared" si="11"/>
        <v>3.6770967175231832E-5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1.3173040593206689</v>
      </c>
      <c r="K83" s="55">
        <f t="shared" si="35"/>
        <v>0.69580251368536628</v>
      </c>
      <c r="L83" s="55">
        <f t="shared" si="36"/>
        <v>2.0236859253299044E-2</v>
      </c>
      <c r="M83" s="55">
        <f t="shared" si="19"/>
        <v>0.9797631407467009</v>
      </c>
      <c r="N83" s="55">
        <f t="shared" si="37"/>
        <v>1.6345306030101661E-2</v>
      </c>
      <c r="O83" s="56">
        <f t="shared" si="21"/>
        <v>6.9713775456138846E-7</v>
      </c>
      <c r="P83" s="56">
        <f t="shared" si="38"/>
        <v>1.4475136325895469E-5</v>
      </c>
      <c r="Q83" s="56">
        <f t="shared" si="39"/>
        <v>2.3383127797919714E-3</v>
      </c>
      <c r="R83" s="9">
        <f t="shared" si="12"/>
        <v>3.9999999999999996E-5</v>
      </c>
      <c r="S83" s="9">
        <f t="shared" si="13"/>
        <v>8.0947437013196173E-7</v>
      </c>
      <c r="T83" s="9">
        <f t="shared" si="10"/>
        <v>2.783210054741465E-5</v>
      </c>
      <c r="U83" s="9">
        <f t="shared" si="11"/>
        <v>3.919052562986803E-5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3.0318323583249076</v>
      </c>
      <c r="K84" s="55">
        <f t="shared" si="35"/>
        <v>4.2258657550335907E-2</v>
      </c>
      <c r="L84" s="55">
        <f t="shared" si="36"/>
        <v>6.3694379821815417E-2</v>
      </c>
      <c r="M84" s="55">
        <f t="shared" si="19"/>
        <v>0.93630562017818453</v>
      </c>
      <c r="N84" s="55">
        <f t="shared" si="37"/>
        <v>5.4682801900830962E-2</v>
      </c>
      <c r="O84" s="56">
        <f t="shared" si="21"/>
        <v>4.2339751662267424E-8</v>
      </c>
      <c r="P84" s="56">
        <f t="shared" si="38"/>
        <v>4.5559679966832841E-5</v>
      </c>
      <c r="Q84" s="56">
        <f t="shared" si="39"/>
        <v>7.8227654033560176E-3</v>
      </c>
      <c r="R84" s="9">
        <f t="shared" si="12"/>
        <v>3.9999999999999996E-5</v>
      </c>
      <c r="S84" s="9">
        <f t="shared" si="13"/>
        <v>2.5477751928726165E-6</v>
      </c>
      <c r="T84" s="9">
        <f t="shared" si="10"/>
        <v>1.690346302013436E-6</v>
      </c>
      <c r="U84" s="9">
        <f t="shared" si="11"/>
        <v>3.7452224807127374E-5</v>
      </c>
      <c r="V84" s="100">
        <f t="shared" si="14"/>
        <v>4.5133401572761932E-2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1.2317717173887035</v>
      </c>
      <c r="K85" s="55">
        <f t="shared" si="35"/>
        <v>0.73220762246045412</v>
      </c>
      <c r="L85" s="55">
        <f t="shared" si="36"/>
        <v>1.7488760146938981E-2</v>
      </c>
      <c r="M85" s="55">
        <f t="shared" si="19"/>
        <v>0.98251123985306099</v>
      </c>
      <c r="N85" s="55">
        <f t="shared" si="37"/>
        <v>1.3848071860687197E-2</v>
      </c>
      <c r="O85" s="56">
        <f t="shared" si="21"/>
        <v>7.3361272452320161E-7</v>
      </c>
      <c r="P85" s="56">
        <f t="shared" si="38"/>
        <v>1.250946029367478E-5</v>
      </c>
      <c r="Q85" s="56">
        <f t="shared" si="39"/>
        <v>1.9810655944703082E-3</v>
      </c>
      <c r="R85" s="9">
        <f t="shared" si="12"/>
        <v>3.9999999999999996E-5</v>
      </c>
      <c r="S85" s="9">
        <f t="shared" si="13"/>
        <v>6.9955040587755919E-7</v>
      </c>
      <c r="T85" s="9">
        <f t="shared" si="10"/>
        <v>2.9288304898418163E-5</v>
      </c>
      <c r="U85" s="9">
        <f t="shared" si="11"/>
        <v>3.9300449594122436E-5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2.1121156644685484</v>
      </c>
      <c r="K86" s="55">
        <f t="shared" si="35"/>
        <v>0.18693644427794154</v>
      </c>
      <c r="L86" s="55">
        <f t="shared" si="36"/>
        <v>3.3897112184032283E-2</v>
      </c>
      <c r="M86" s="55">
        <f t="shared" si="19"/>
        <v>0.96610288781596776</v>
      </c>
      <c r="N86" s="55">
        <f t="shared" si="37"/>
        <v>2.3902154019142082E-2</v>
      </c>
      <c r="O86" s="56">
        <f t="shared" si="21"/>
        <v>1.8729517420016631E-7</v>
      </c>
      <c r="P86" s="56">
        <f t="shared" si="38"/>
        <v>2.4246120100778509E-5</v>
      </c>
      <c r="Q86" s="56">
        <f t="shared" si="39"/>
        <v>3.4193738621098395E-3</v>
      </c>
      <c r="R86" s="9">
        <f t="shared" si="12"/>
        <v>3.9999999999999996E-5</v>
      </c>
      <c r="S86" s="9">
        <f t="shared" si="13"/>
        <v>1.3558844873612913E-6</v>
      </c>
      <c r="T86" s="9">
        <f t="shared" si="10"/>
        <v>7.4774577711176607E-6</v>
      </c>
      <c r="U86" s="9">
        <f t="shared" si="11"/>
        <v>3.8644115512638705E-5</v>
      </c>
      <c r="V86" s="100">
        <f t="shared" si="14"/>
        <v>0.19349537884162801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0.94754119329128106</v>
      </c>
      <c r="K87" s="55">
        <f t="shared" si="35"/>
        <v>0.82289725411554093</v>
      </c>
      <c r="L87" s="55">
        <f t="shared" si="36"/>
        <v>1.0215035139820439E-2</v>
      </c>
      <c r="M87" s="55">
        <f t="shared" si="19"/>
        <v>0.98978496486017953</v>
      </c>
      <c r="N87" s="55">
        <f t="shared" si="37"/>
        <v>7.1543932541963404E-3</v>
      </c>
      <c r="O87" s="56">
        <f t="shared" si="21"/>
        <v>8.2447638904082562E-7</v>
      </c>
      <c r="P87" s="56">
        <f t="shared" si="38"/>
        <v>7.3066687064401315E-6</v>
      </c>
      <c r="Q87" s="56">
        <f t="shared" si="39"/>
        <v>1.0234870578217446E-3</v>
      </c>
      <c r="R87" s="9">
        <f t="shared" si="12"/>
        <v>3.9999999999999996E-5</v>
      </c>
      <c r="S87" s="9">
        <f t="shared" si="13"/>
        <v>4.0860140559281751E-7</v>
      </c>
      <c r="T87" s="9">
        <f t="shared" si="10"/>
        <v>3.2915890164621633E-5</v>
      </c>
      <c r="U87" s="9">
        <f t="shared" si="11"/>
        <v>3.9591398594407176E-5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0.18077336940563399</v>
      </c>
      <c r="K88" s="55">
        <f t="shared" si="35"/>
        <v>0.95815198524453504</v>
      </c>
      <c r="L88" s="55">
        <f t="shared" si="36"/>
        <v>2.0349832162537447E-3</v>
      </c>
      <c r="M88" s="55">
        <f t="shared" si="19"/>
        <v>0.99796501678374627</v>
      </c>
      <c r="N88" s="55">
        <f t="shared" si="37"/>
        <v>1.1933215034725913E-4</v>
      </c>
      <c r="O88" s="56">
        <f t="shared" si="21"/>
        <v>9.5999067319259101E-7</v>
      </c>
      <c r="P88" s="56">
        <f t="shared" si="38"/>
        <v>1.4555944233974999E-6</v>
      </c>
      <c r="Q88" s="56">
        <f t="shared" si="39"/>
        <v>1.7071316479677893E-5</v>
      </c>
      <c r="R88" s="9">
        <f t="shared" si="12"/>
        <v>3.9999999999999996E-5</v>
      </c>
      <c r="S88" s="9">
        <f t="shared" si="13"/>
        <v>8.1399328650149785E-8</v>
      </c>
      <c r="T88" s="9">
        <f t="shared" si="10"/>
        <v>3.8326079409781395E-5</v>
      </c>
      <c r="U88" s="9">
        <f t="shared" si="11"/>
        <v>3.9918600671349845E-5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7.4106535684859906E-2</v>
      </c>
      <c r="K89" s="55">
        <f t="shared" si="35"/>
        <v>0.98896164438510714</v>
      </c>
      <c r="L89" s="55">
        <f t="shared" si="36"/>
        <v>1.6430055957472104E-3</v>
      </c>
      <c r="M89" s="55">
        <f t="shared" si="19"/>
        <v>0.99835699440425274</v>
      </c>
      <c r="N89" s="55">
        <f t="shared" si="37"/>
        <v>1.4253643723372272E-4</v>
      </c>
      <c r="O89" s="56">
        <f t="shared" si="21"/>
        <v>9.9085945588539475E-7</v>
      </c>
      <c r="P89" s="56">
        <f t="shared" si="38"/>
        <v>1.1752184311294686E-6</v>
      </c>
      <c r="Q89" s="56">
        <f t="shared" si="39"/>
        <v>2.0390855463692841E-5</v>
      </c>
      <c r="R89" s="9">
        <f t="shared" si="12"/>
        <v>3.9999999999999996E-5</v>
      </c>
      <c r="S89" s="9">
        <f t="shared" si="13"/>
        <v>6.5720223829888415E-8</v>
      </c>
      <c r="T89" s="9">
        <f t="shared" si="10"/>
        <v>3.9558465775404285E-5</v>
      </c>
      <c r="U89" s="9">
        <f t="shared" si="11"/>
        <v>3.9934279776170107E-5</v>
      </c>
      <c r="V89" s="100">
        <f t="shared" si="14"/>
        <v>0.99058918796401874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7.3722564111608664E-4</v>
      </c>
      <c r="K90" s="55">
        <f t="shared" si="35"/>
        <v>0.99778590794413224</v>
      </c>
      <c r="L90" s="55">
        <f t="shared" si="36"/>
        <v>1.3999987570778589E-3</v>
      </c>
      <c r="M90" s="55">
        <f t="shared" si="19"/>
        <v>0.99860000124292214</v>
      </c>
      <c r="N90" s="55">
        <f t="shared" si="37"/>
        <v>4.7264666367163477E-6</v>
      </c>
      <c r="O90" s="56">
        <f t="shared" si="21"/>
        <v>9.9970065315358748E-7</v>
      </c>
      <c r="P90" s="56">
        <f t="shared" si="38"/>
        <v>1.0013991109555485E-6</v>
      </c>
      <c r="Q90" s="56">
        <f t="shared" si="39"/>
        <v>6.7615481285824985E-7</v>
      </c>
      <c r="R90" s="9">
        <f t="shared" si="12"/>
        <v>3.9999999999999996E-5</v>
      </c>
      <c r="S90" s="9">
        <f t="shared" si="13"/>
        <v>5.5999950283114353E-8</v>
      </c>
      <c r="T90" s="9">
        <f t="shared" si="10"/>
        <v>3.9911436317765288E-5</v>
      </c>
      <c r="U90" s="9">
        <f t="shared" si="11"/>
        <v>3.9944000049716879E-5</v>
      </c>
      <c r="V90" s="100">
        <f t="shared" si="14"/>
        <v>0.99918476537374668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-1.6308597924744735E-3</v>
      </c>
      <c r="K91" s="55">
        <f t="shared" si="35"/>
        <v>0.99814259766602087</v>
      </c>
      <c r="L91" s="55">
        <f t="shared" si="36"/>
        <v>1.3928834847976078E-3</v>
      </c>
      <c r="M91" s="55">
        <f t="shared" si="19"/>
        <v>0.9986071165152024</v>
      </c>
      <c r="N91" s="55">
        <f t="shared" si="37"/>
        <v>2.1474508545958119E-6</v>
      </c>
      <c r="O91" s="56">
        <f t="shared" si="21"/>
        <v>1.0000580273609259E-6</v>
      </c>
      <c r="P91" s="56">
        <f t="shared" si="38"/>
        <v>9.9630965834023109E-7</v>
      </c>
      <c r="Q91" s="56">
        <f t="shared" si="39"/>
        <v>3.0720818368460647E-7</v>
      </c>
      <c r="R91" s="9">
        <f t="shared" si="12"/>
        <v>3.9999999999999996E-5</v>
      </c>
      <c r="S91" s="9">
        <f t="shared" si="13"/>
        <v>5.5715339391904309E-8</v>
      </c>
      <c r="T91" s="9">
        <f t="shared" si="10"/>
        <v>3.9925703906640829E-5</v>
      </c>
      <c r="U91" s="9">
        <f t="shared" si="11"/>
        <v>3.994428466060809E-5</v>
      </c>
      <c r="V91" s="100">
        <f t="shared" si="14"/>
        <v>0.99953483322770365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9.6782625218511734E-2</v>
      </c>
      <c r="K92" s="55">
        <f t="shared" si="35"/>
        <v>0.98639466566494349</v>
      </c>
      <c r="L92" s="55">
        <f t="shared" si="36"/>
        <v>1.7265787786113177E-3</v>
      </c>
      <c r="M92" s="55">
        <f t="shared" si="19"/>
        <v>0.99827342122138873</v>
      </c>
      <c r="N92" s="55">
        <f t="shared" si="37"/>
        <v>1.9685938791758206E-4</v>
      </c>
      <c r="O92" s="56">
        <f t="shared" si="21"/>
        <v>9.8828755114836923E-7</v>
      </c>
      <c r="P92" s="56">
        <f t="shared" si="38"/>
        <v>1.2349971349295524E-6</v>
      </c>
      <c r="Q92" s="56">
        <f t="shared" si="39"/>
        <v>2.8162141580095228E-5</v>
      </c>
      <c r="R92" s="9">
        <f t="shared" si="12"/>
        <v>3.9999999999999996E-5</v>
      </c>
      <c r="S92" s="9">
        <f t="shared" si="13"/>
        <v>6.9063151144452701E-8</v>
      </c>
      <c r="T92" s="9">
        <f t="shared" ref="T92:T143" si="40">R92*K92</f>
        <v>3.9455786626597736E-5</v>
      </c>
      <c r="U92" s="9">
        <f t="shared" ref="U92:U143" si="41">$R92*M92</f>
        <v>3.9930936848855545E-5</v>
      </c>
      <c r="V92" s="100">
        <f t="shared" si="14"/>
        <v>0.98810069936359568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-1.5403293623035036E-3</v>
      </c>
      <c r="K93" s="55">
        <f t="shared" si="35"/>
        <v>0.99812850929314956</v>
      </c>
      <c r="L93" s="55">
        <f t="shared" si="36"/>
        <v>1.3931542031455977E-3</v>
      </c>
      <c r="M93" s="55">
        <f t="shared" ref="M93:M127" si="42">IF(D93=0,"",1-L93)</f>
        <v>0.99860684579685444</v>
      </c>
      <c r="N93" s="55">
        <f t="shared" si="37"/>
        <v>2.2379157049385167E-6</v>
      </c>
      <c r="O93" s="56">
        <f t="shared" ref="O93:O127" si="43">IF(D93=0,"",F93*K93*$J$7/$J$14)</f>
        <v>1.0000439119525511E-6</v>
      </c>
      <c r="P93" s="56">
        <f t="shared" si="38"/>
        <v>9.9650329930714358E-7</v>
      </c>
      <c r="Q93" s="56">
        <f t="shared" si="39"/>
        <v>3.2014982670363289E-7</v>
      </c>
      <c r="R93" s="9">
        <f t="shared" ref="R93:R143" si="44">F93*$C$14</f>
        <v>3.9999999999999996E-5</v>
      </c>
      <c r="S93" s="9">
        <f t="shared" ref="S93:S143" si="45">$R93*L93</f>
        <v>5.5726168125823905E-8</v>
      </c>
      <c r="T93" s="9">
        <f t="shared" si="40"/>
        <v>3.9925140371725977E-5</v>
      </c>
      <c r="U93" s="9">
        <f t="shared" si="41"/>
        <v>3.9944273831874177E-5</v>
      </c>
      <c r="V93" s="100">
        <f t="shared" ref="V93:V143" si="46">K93/M93</f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-3.6857986344730684E-3</v>
      </c>
      <c r="K94" s="55">
        <f t="shared" si="35"/>
        <v>0.99847858081196461</v>
      </c>
      <c r="L94" s="55">
        <f t="shared" si="36"/>
        <v>1.3867750285164607E-3</v>
      </c>
      <c r="M94" s="55">
        <f t="shared" si="42"/>
        <v>0.99861322497148353</v>
      </c>
      <c r="N94" s="55">
        <f t="shared" si="37"/>
        <v>3.7420522564094555E-7</v>
      </c>
      <c r="O94" s="56">
        <f t="shared" si="43"/>
        <v>1.0003946552565241E-6</v>
      </c>
      <c r="P94" s="56">
        <f t="shared" si="38"/>
        <v>9.9194036682598829E-7</v>
      </c>
      <c r="Q94" s="56">
        <f t="shared" si="39"/>
        <v>5.3532730422406113E-8</v>
      </c>
      <c r="R94" s="9">
        <f t="shared" si="44"/>
        <v>3.9999999999999996E-5</v>
      </c>
      <c r="S94" s="9">
        <f t="shared" si="45"/>
        <v>5.5471001140658421E-8</v>
      </c>
      <c r="T94" s="9">
        <f t="shared" si="40"/>
        <v>3.9939143232478583E-5</v>
      </c>
      <c r="U94" s="9">
        <f t="shared" si="41"/>
        <v>3.9944528998859341E-5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2.775095201359258</v>
      </c>
      <c r="K95" s="55">
        <f t="shared" si="35"/>
        <v>0.10283199709846247</v>
      </c>
      <c r="L95" s="55">
        <f t="shared" si="36"/>
        <v>8.5817632686734702E-2</v>
      </c>
      <c r="M95" s="55">
        <f t="shared" si="42"/>
        <v>0.9141823673132653</v>
      </c>
      <c r="N95" s="55">
        <f t="shared" si="37"/>
        <v>8.0024195298561598E-2</v>
      </c>
      <c r="O95" s="56">
        <f t="shared" si="43"/>
        <v>1.0302933108790383E-7</v>
      </c>
      <c r="P95" s="56">
        <f t="shared" si="38"/>
        <v>6.1384126694640097E-5</v>
      </c>
      <c r="Q95" s="56">
        <f t="shared" si="39"/>
        <v>1.1448032738854225E-2</v>
      </c>
      <c r="R95" s="9">
        <f t="shared" si="44"/>
        <v>3.9999999999999996E-5</v>
      </c>
      <c r="S95" s="9">
        <f t="shared" si="45"/>
        <v>3.4327053074693876E-6</v>
      </c>
      <c r="T95" s="9">
        <f t="shared" si="40"/>
        <v>4.1132798839384982E-6</v>
      </c>
      <c r="U95" s="9">
        <f t="shared" si="41"/>
        <v>3.6567294692530609E-5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-4.4262217719037919E-3</v>
      </c>
      <c r="K96" s="55">
        <f t="shared" si="35"/>
        <v>0.99861539684114353</v>
      </c>
      <c r="L96" s="55">
        <f t="shared" si="36"/>
        <v>1.3846024461610692E-3</v>
      </c>
      <c r="M96" s="55">
        <f t="shared" si="42"/>
        <v>0.99861539755383888</v>
      </c>
      <c r="N96" s="55">
        <f t="shared" si="37"/>
        <v>1.1932221883898331E-14</v>
      </c>
      <c r="O96" s="56">
        <f t="shared" si="43"/>
        <v>1.0005317338348473E-6</v>
      </c>
      <c r="P96" s="56">
        <f t="shared" si="38"/>
        <v>9.9038634970406713E-7</v>
      </c>
      <c r="Q96" s="56">
        <f t="shared" si="39"/>
        <v>1.7069895706479696E-15</v>
      </c>
      <c r="R96" s="9">
        <f t="shared" si="44"/>
        <v>3.9999999999999996E-5</v>
      </c>
      <c r="S96" s="9">
        <f t="shared" si="45"/>
        <v>5.5384097846442766E-8</v>
      </c>
      <c r="T96" s="9">
        <f t="shared" si="40"/>
        <v>3.9944615873645738E-5</v>
      </c>
      <c r="U96" s="9">
        <f t="shared" si="41"/>
        <v>3.9944615902153553E-5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2.4283398551706128</v>
      </c>
      <c r="K98" s="55">
        <f t="shared" si="35"/>
        <v>5.3465463759776878E-2</v>
      </c>
      <c r="L98" s="55">
        <f t="shared" si="36"/>
        <v>2.0080117599180561E-2</v>
      </c>
      <c r="M98" s="55">
        <f t="shared" si="42"/>
        <v>0.9799198824008194</v>
      </c>
      <c r="N98" s="55">
        <f t="shared" si="37"/>
        <v>6.6588065964705108E-3</v>
      </c>
      <c r="O98" s="56">
        <f t="shared" si="43"/>
        <v>5.3568063666019555E-8</v>
      </c>
      <c r="P98" s="56">
        <f t="shared" si="38"/>
        <v>1.436302125987101E-5</v>
      </c>
      <c r="Q98" s="56">
        <f t="shared" si="39"/>
        <v>9.5258984652936678E-4</v>
      </c>
      <c r="R98" s="9">
        <f t="shared" si="44"/>
        <v>3.9999999999999996E-5</v>
      </c>
      <c r="S98" s="9">
        <f t="shared" si="45"/>
        <v>8.0320470396722238E-7</v>
      </c>
      <c r="T98" s="9">
        <f t="shared" si="40"/>
        <v>2.138618550391075E-6</v>
      </c>
      <c r="U98" s="9">
        <f t="shared" si="41"/>
        <v>3.9196795296032774E-5</v>
      </c>
      <c r="V98" s="100">
        <f t="shared" si="46"/>
        <v>5.456105618429298E-2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0.74111806458001228</v>
      </c>
      <c r="K99" s="55">
        <f t="shared" si="35"/>
        <v>0.74607442204406338</v>
      </c>
      <c r="L99" s="55">
        <f t="shared" si="36"/>
        <v>5.7577562344090826E-3</v>
      </c>
      <c r="M99" s="55">
        <f t="shared" si="42"/>
        <v>0.99424224376559089</v>
      </c>
      <c r="N99" s="55">
        <f t="shared" si="37"/>
        <v>1.0917047853929111E-3</v>
      </c>
      <c r="O99" s="56">
        <f t="shared" si="43"/>
        <v>7.4750613441255063E-7</v>
      </c>
      <c r="P99" s="56">
        <f t="shared" si="38"/>
        <v>4.1184407808123253E-6</v>
      </c>
      <c r="Q99" s="56">
        <f t="shared" si="39"/>
        <v>1.5617616744178014E-4</v>
      </c>
      <c r="R99" s="9">
        <f t="shared" si="44"/>
        <v>3.9999999999999996E-5</v>
      </c>
      <c r="S99" s="9">
        <f t="shared" si="45"/>
        <v>2.3031024937636329E-7</v>
      </c>
      <c r="T99" s="9">
        <f t="shared" si="40"/>
        <v>2.9842976881762531E-5</v>
      </c>
      <c r="U99" s="9">
        <f t="shared" si="41"/>
        <v>3.9769689750623633E-5</v>
      </c>
      <c r="V99" s="100">
        <f t="shared" si="46"/>
        <v>0.75039501361195715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1.9956787366510347</v>
      </c>
      <c r="K101" s="55">
        <f t="shared" si="35"/>
        <v>0.11266322453353995</v>
      </c>
      <c r="L101" s="55">
        <f t="shared" si="36"/>
        <v>1.5624782197042553E-2</v>
      </c>
      <c r="M101" s="55">
        <f t="shared" si="42"/>
        <v>0.98437521780295745</v>
      </c>
      <c r="N101" s="55">
        <f t="shared" si="37"/>
        <v>2.6127944197839727E-3</v>
      </c>
      <c r="O101" s="56">
        <f t="shared" si="43"/>
        <v>1.1287942458982441E-7</v>
      </c>
      <c r="P101" s="56">
        <f t="shared" si="38"/>
        <v>1.117618349437029E-5</v>
      </c>
      <c r="Q101" s="56">
        <f t="shared" si="39"/>
        <v>3.7377890456738135E-4</v>
      </c>
      <c r="R101" s="9">
        <f t="shared" si="44"/>
        <v>3.9999999999999996E-5</v>
      </c>
      <c r="S101" s="9">
        <f t="shared" si="45"/>
        <v>6.24991287881702E-7</v>
      </c>
      <c r="T101" s="9">
        <f t="shared" si="40"/>
        <v>4.5065289813415982E-6</v>
      </c>
      <c r="U101" s="9">
        <f t="shared" si="41"/>
        <v>3.9375008712118295E-5</v>
      </c>
      <c r="V101" s="100">
        <f t="shared" si="46"/>
        <v>0.11445150436130928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1.1803151929421574</v>
      </c>
      <c r="K102" s="55">
        <f t="shared" si="35"/>
        <v>0.4266336792405776</v>
      </c>
      <c r="L102" s="55">
        <f t="shared" si="36"/>
        <v>9.0515590276789518E-3</v>
      </c>
      <c r="M102" s="55">
        <f t="shared" si="42"/>
        <v>0.99094844097232104</v>
      </c>
      <c r="N102" s="55">
        <f t="shared" si="37"/>
        <v>3.4282916480488229E-9</v>
      </c>
      <c r="O102" s="56">
        <f t="shared" si="43"/>
        <v>4.2745238672783932E-7</v>
      </c>
      <c r="P102" s="56">
        <f t="shared" si="38"/>
        <v>6.474450864512643E-6</v>
      </c>
      <c r="Q102" s="56">
        <f t="shared" si="39"/>
        <v>4.9044160805087012E-10</v>
      </c>
      <c r="R102" s="9">
        <f t="shared" si="44"/>
        <v>3.9999999999999996E-5</v>
      </c>
      <c r="S102" s="9">
        <f t="shared" si="45"/>
        <v>3.6206236110715802E-7</v>
      </c>
      <c r="T102" s="9">
        <f t="shared" si="40"/>
        <v>1.7065347169623104E-5</v>
      </c>
      <c r="U102" s="9">
        <f t="shared" si="41"/>
        <v>3.9637937638892839E-5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2.2036613995296537</v>
      </c>
      <c r="K103" s="55">
        <f t="shared" si="35"/>
        <v>6.2247175071722172E-2</v>
      </c>
      <c r="L103" s="55">
        <f t="shared" si="36"/>
        <v>1.3935870594274676E-2</v>
      </c>
      <c r="M103" s="55">
        <f t="shared" si="42"/>
        <v>0.9860641294057253</v>
      </c>
      <c r="N103" s="55">
        <f t="shared" si="37"/>
        <v>8.3414638322466492E-9</v>
      </c>
      <c r="O103" s="56">
        <f t="shared" si="43"/>
        <v>6.2366627029623921E-8</v>
      </c>
      <c r="P103" s="56">
        <f t="shared" si="38"/>
        <v>9.9681291522190455E-6</v>
      </c>
      <c r="Q103" s="56">
        <f t="shared" si="39"/>
        <v>1.1933059830873991E-9</v>
      </c>
      <c r="R103" s="9">
        <f t="shared" si="44"/>
        <v>3.9999999999999996E-5</v>
      </c>
      <c r="S103" s="9">
        <f t="shared" si="45"/>
        <v>5.5743482377098703E-7</v>
      </c>
      <c r="T103" s="9">
        <f t="shared" si="40"/>
        <v>2.4898870028688866E-6</v>
      </c>
      <c r="U103" s="9">
        <f t="shared" si="41"/>
        <v>3.9442565176229011E-5</v>
      </c>
      <c r="V103" s="100">
        <f t="shared" si="46"/>
        <v>6.3126903428924949E-2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2.970635068773662</v>
      </c>
      <c r="K104" s="55">
        <f t="shared" si="35"/>
        <v>1.3393796990632619E-2</v>
      </c>
      <c r="L104" s="55">
        <f t="shared" si="36"/>
        <v>1.7534437538343245E-2</v>
      </c>
      <c r="M104" s="55">
        <f t="shared" si="42"/>
        <v>0.98246556246165673</v>
      </c>
      <c r="N104" s="55">
        <f t="shared" si="37"/>
        <v>3.2525709206296743E-3</v>
      </c>
      <c r="O104" s="56">
        <f t="shared" si="43"/>
        <v>1.341949960721604E-8</v>
      </c>
      <c r="P104" s="56">
        <f t="shared" si="38"/>
        <v>1.254213267921209E-5</v>
      </c>
      <c r="Q104" s="56">
        <f t="shared" si="39"/>
        <v>4.6530350284550794E-4</v>
      </c>
      <c r="R104" s="9">
        <f t="shared" si="44"/>
        <v>3.9999999999999996E-5</v>
      </c>
      <c r="S104" s="9">
        <f t="shared" si="45"/>
        <v>7.0137750153372974E-7</v>
      </c>
      <c r="T104" s="9">
        <f t="shared" si="40"/>
        <v>5.3575187962530466E-7</v>
      </c>
      <c r="U104" s="9">
        <f t="shared" si="41"/>
        <v>3.9298622498466269E-5</v>
      </c>
      <c r="V104" s="100">
        <f t="shared" si="46"/>
        <v>1.3632841193001457E-2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2.835620537354179</v>
      </c>
      <c r="K105" s="55">
        <f t="shared" si="35"/>
        <v>3.0725702139895811E-2</v>
      </c>
      <c r="L105" s="55">
        <f t="shared" si="36"/>
        <v>2.9476465878643814E-2</v>
      </c>
      <c r="M105" s="55">
        <f t="shared" si="42"/>
        <v>0.97052353412135617</v>
      </c>
      <c r="N105" s="55">
        <f t="shared" si="37"/>
        <v>1.6704169144357066E-2</v>
      </c>
      <c r="O105" s="56">
        <f t="shared" si="43"/>
        <v>3.0784664579143656E-8</v>
      </c>
      <c r="P105" s="56">
        <f t="shared" si="38"/>
        <v>2.108409495062422E-5</v>
      </c>
      <c r="Q105" s="56">
        <f t="shared" si="39"/>
        <v>2.3896507115941661E-3</v>
      </c>
      <c r="R105" s="9">
        <f t="shared" si="44"/>
        <v>3.9999999999999996E-5</v>
      </c>
      <c r="S105" s="9">
        <f t="shared" si="45"/>
        <v>1.1790586351457524E-6</v>
      </c>
      <c r="T105" s="9">
        <f t="shared" si="40"/>
        <v>1.2290280855958323E-6</v>
      </c>
      <c r="U105" s="9">
        <f t="shared" si="41"/>
        <v>3.8820941364854243E-5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1.6884421390433322</v>
      </c>
      <c r="K106" s="55">
        <f t="shared" si="35"/>
        <v>0.19279552288558496</v>
      </c>
      <c r="L106" s="55">
        <f t="shared" si="36"/>
        <v>1.3179293872425222E-2</v>
      </c>
      <c r="M106" s="55">
        <f t="shared" si="42"/>
        <v>0.98682070612757478</v>
      </c>
      <c r="N106" s="55">
        <f t="shared" si="37"/>
        <v>1.0975391159305746E-3</v>
      </c>
      <c r="O106" s="56">
        <f t="shared" si="43"/>
        <v>1.9316549634473131E-7</v>
      </c>
      <c r="P106" s="56">
        <f t="shared" si="38"/>
        <v>9.426960631319011E-6</v>
      </c>
      <c r="Q106" s="56">
        <f t="shared" si="39"/>
        <v>1.5701081009898246E-4</v>
      </c>
      <c r="R106" s="9">
        <f t="shared" si="44"/>
        <v>3.9999999999999996E-5</v>
      </c>
      <c r="S106" s="9">
        <f t="shared" si="45"/>
        <v>5.2717175489700888E-7</v>
      </c>
      <c r="T106" s="9">
        <f t="shared" si="40"/>
        <v>7.7118209154233981E-6</v>
      </c>
      <c r="U106" s="9">
        <f t="shared" si="41"/>
        <v>3.9472828245102986E-5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2.4437814319566185</v>
      </c>
      <c r="K108" s="55">
        <f t="shared" si="35"/>
        <v>4.6584375602460024E-2</v>
      </c>
      <c r="L108" s="55">
        <f t="shared" si="36"/>
        <v>1.8129038414814596E-2</v>
      </c>
      <c r="M108" s="55">
        <f t="shared" si="42"/>
        <v>0.98187096158518539</v>
      </c>
      <c r="N108" s="55">
        <f t="shared" si="37"/>
        <v>4.4011213326001671E-3</v>
      </c>
      <c r="O108" s="56">
        <f t="shared" si="43"/>
        <v>4.6673770741547584E-8</v>
      </c>
      <c r="P108" s="56">
        <f t="shared" si="38"/>
        <v>1.2967442191853812E-5</v>
      </c>
      <c r="Q108" s="56">
        <f t="shared" si="39"/>
        <v>6.2961184320940093E-4</v>
      </c>
      <c r="R108" s="9">
        <f t="shared" si="44"/>
        <v>3.9999999999999996E-5</v>
      </c>
      <c r="S108" s="9">
        <f t="shared" si="45"/>
        <v>7.251615365925838E-7</v>
      </c>
      <c r="T108" s="9">
        <f t="shared" si="40"/>
        <v>1.8633750240984007E-6</v>
      </c>
      <c r="U108" s="9">
        <f t="shared" si="41"/>
        <v>3.9274838463407412E-5</v>
      </c>
      <c r="V108" s="100">
        <f t="shared" si="46"/>
        <v>4.7444498742738761E-2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2.8216463889123293</v>
      </c>
      <c r="K109" s="55">
        <f t="shared" si="35"/>
        <v>2.8210044719897198E-2</v>
      </c>
      <c r="L109" s="55">
        <f t="shared" si="36"/>
        <v>2.6206149970488059E-2</v>
      </c>
      <c r="M109" s="55">
        <f t="shared" si="42"/>
        <v>0.97379385002951191</v>
      </c>
      <c r="N109" s="55">
        <f t="shared" si="37"/>
        <v>1.3053495910988063E-2</v>
      </c>
      <c r="O109" s="56">
        <f t="shared" si="43"/>
        <v>2.8264179627552124E-8</v>
      </c>
      <c r="P109" s="56">
        <f t="shared" si="38"/>
        <v>1.8744884700319106E-5</v>
      </c>
      <c r="Q109" s="56">
        <f t="shared" si="39"/>
        <v>1.8673958293233494E-3</v>
      </c>
      <c r="R109" s="9">
        <f t="shared" si="44"/>
        <v>3.9999999999999996E-5</v>
      </c>
      <c r="S109" s="9">
        <f t="shared" si="45"/>
        <v>1.0482459988195223E-6</v>
      </c>
      <c r="T109" s="9">
        <f t="shared" si="40"/>
        <v>1.1284017887958878E-6</v>
      </c>
      <c r="U109" s="9">
        <f t="shared" si="41"/>
        <v>3.8951754001180475E-5</v>
      </c>
      <c r="V109" s="100">
        <f t="shared" si="46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0.95791227506374221</v>
      </c>
      <c r="K110" s="55">
        <f t="shared" si="35"/>
        <v>0.56899464254604493</v>
      </c>
      <c r="L110" s="55">
        <f t="shared" si="36"/>
        <v>7.2339168224759146E-3</v>
      </c>
      <c r="M110" s="55">
        <f t="shared" si="42"/>
        <v>0.99276608317752413</v>
      </c>
      <c r="N110" s="55">
        <f t="shared" si="37"/>
        <v>1.0009934601615012E-4</v>
      </c>
      <c r="O110" s="56">
        <f t="shared" si="43"/>
        <v>5.7008653987326358E-7</v>
      </c>
      <c r="P110" s="56">
        <f t="shared" si="38"/>
        <v>5.1743173614481274E-6</v>
      </c>
      <c r="Q110" s="56">
        <f t="shared" si="39"/>
        <v>1.4319926442938957E-5</v>
      </c>
      <c r="R110" s="9">
        <f t="shared" si="44"/>
        <v>3.9999999999999996E-5</v>
      </c>
      <c r="S110" s="9">
        <f t="shared" si="45"/>
        <v>2.8935667289903658E-7</v>
      </c>
      <c r="T110" s="9">
        <f t="shared" si="40"/>
        <v>2.2759785701841794E-5</v>
      </c>
      <c r="U110" s="9">
        <f t="shared" si="41"/>
        <v>3.9710643327100959E-5</v>
      </c>
      <c r="V110" s="100">
        <f t="shared" si="46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1.3555020598075196</v>
      </c>
      <c r="K111" s="55">
        <f t="shared" si="35"/>
        <v>0.66646055705527152</v>
      </c>
      <c r="L111" s="55">
        <f t="shared" si="36"/>
        <v>2.1165550571581371E-2</v>
      </c>
      <c r="M111" s="55">
        <f t="shared" si="42"/>
        <v>0.97883444942841868</v>
      </c>
      <c r="N111" s="55">
        <f t="shared" si="37"/>
        <v>1.6936861148070609E-2</v>
      </c>
      <c r="O111" s="56">
        <f t="shared" si="43"/>
        <v>6.6773949089143057E-7</v>
      </c>
      <c r="P111" s="56">
        <f t="shared" si="38"/>
        <v>1.513941595884399E-5</v>
      </c>
      <c r="Q111" s="56">
        <f t="shared" si="39"/>
        <v>2.4229389648111289E-3</v>
      </c>
      <c r="R111" s="9">
        <f t="shared" si="44"/>
        <v>3.9999999999999996E-5</v>
      </c>
      <c r="S111" s="9">
        <f t="shared" si="45"/>
        <v>8.4662202286325471E-7</v>
      </c>
      <c r="T111" s="9">
        <f t="shared" si="40"/>
        <v>2.6658422282210858E-5</v>
      </c>
      <c r="U111" s="9">
        <f t="shared" si="41"/>
        <v>3.9153377977136741E-5</v>
      </c>
      <c r="V111" s="100">
        <f t="shared" si="46"/>
        <v>0.68087157889104233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4.4534363688963623</v>
      </c>
      <c r="K112" s="55">
        <f t="shared" si="35"/>
        <v>2.6838294000910796E-3</v>
      </c>
      <c r="L112" s="55">
        <f t="shared" si="36"/>
        <v>0.10679338033690597</v>
      </c>
      <c r="M112" s="55">
        <f t="shared" si="42"/>
        <v>0.893206619663094</v>
      </c>
      <c r="N112" s="55">
        <f t="shared" si="37"/>
        <v>0.10171733401722063</v>
      </c>
      <c r="O112" s="56">
        <f t="shared" si="43"/>
        <v>2.6889796527113114E-9</v>
      </c>
      <c r="P112" s="56">
        <f t="shared" si="38"/>
        <v>7.638777933526982E-5</v>
      </c>
      <c r="Q112" s="56">
        <f t="shared" si="39"/>
        <v>1.4551391183549247E-2</v>
      </c>
      <c r="R112" s="9">
        <f t="shared" si="44"/>
        <v>3.9999999999999996E-5</v>
      </c>
      <c r="S112" s="9">
        <f t="shared" si="45"/>
        <v>4.2717352134762382E-6</v>
      </c>
      <c r="T112" s="9">
        <f t="shared" si="40"/>
        <v>1.0735317600364318E-7</v>
      </c>
      <c r="U112" s="9">
        <f t="shared" si="41"/>
        <v>3.5728264786523756E-5</v>
      </c>
      <c r="V112" s="100">
        <f t="shared" si="46"/>
        <v>3.0047128413618176E-3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4.835013233934724</v>
      </c>
      <c r="K113" s="55">
        <f t="shared" si="35"/>
        <v>1.2009227354704785E-3</v>
      </c>
      <c r="L113" s="55">
        <f t="shared" si="36"/>
        <v>0.11504860557768568</v>
      </c>
      <c r="M113" s="55">
        <f t="shared" si="42"/>
        <v>0.8849513944223143</v>
      </c>
      <c r="N113" s="55">
        <f t="shared" si="37"/>
        <v>0.11081667868380887</v>
      </c>
      <c r="O113" s="56">
        <f t="shared" si="43"/>
        <v>1.20322729904104E-9</v>
      </c>
      <c r="P113" s="56">
        <f t="shared" si="38"/>
        <v>8.2292624018210346E-5</v>
      </c>
      <c r="Q113" s="56">
        <f t="shared" si="39"/>
        <v>1.5853117433423738E-2</v>
      </c>
      <c r="R113" s="9">
        <f t="shared" si="44"/>
        <v>3.9999999999999996E-5</v>
      </c>
      <c r="S113" s="9">
        <f t="shared" si="45"/>
        <v>4.6019442231074266E-6</v>
      </c>
      <c r="T113" s="9">
        <f t="shared" si="40"/>
        <v>4.8036909418819136E-8</v>
      </c>
      <c r="U113" s="9">
        <f t="shared" si="41"/>
        <v>3.5398055776892567E-5</v>
      </c>
      <c r="V113" s="100">
        <f t="shared" si="46"/>
        <v>1.3570493736036503E-3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5.2666304943820279</v>
      </c>
      <c r="K114" s="55">
        <f t="shared" si="35"/>
        <v>4.7334258800361121E-4</v>
      </c>
      <c r="L114" s="55">
        <f t="shared" si="36"/>
        <v>0.12250650044004252</v>
      </c>
      <c r="M114" s="55">
        <f t="shared" si="42"/>
        <v>0.87749349955995748</v>
      </c>
      <c r="N114" s="55">
        <f t="shared" si="37"/>
        <v>0.11904622924334346</v>
      </c>
      <c r="O114" s="56">
        <f t="shared" si="43"/>
        <v>4.7425092960835324E-10</v>
      </c>
      <c r="P114" s="56">
        <f t="shared" si="38"/>
        <v>8.7627149671899054E-5</v>
      </c>
      <c r="Q114" s="56">
        <f t="shared" si="39"/>
        <v>1.703041342346916E-2</v>
      </c>
      <c r="R114" s="9">
        <f t="shared" si="44"/>
        <v>3.9999999999999996E-5</v>
      </c>
      <c r="S114" s="9">
        <f t="shared" si="45"/>
        <v>4.9002600176017005E-6</v>
      </c>
      <c r="T114" s="9">
        <f t="shared" si="40"/>
        <v>1.8933703520144448E-8</v>
      </c>
      <c r="U114" s="9">
        <f t="shared" si="41"/>
        <v>3.5099739982398298E-5</v>
      </c>
      <c r="V114" s="100">
        <f t="shared" si="46"/>
        <v>5.3942574872746236E-4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3.8521324112849911</v>
      </c>
      <c r="K115" s="55">
        <f t="shared" si="35"/>
        <v>1.1791312286548974E-2</v>
      </c>
      <c r="L115" s="55">
        <f t="shared" si="36"/>
        <v>0.11750263651025075</v>
      </c>
      <c r="M115" s="55">
        <f t="shared" si="42"/>
        <v>0.88249736348974928</v>
      </c>
      <c r="N115" s="55">
        <f t="shared" si="37"/>
        <v>0.11368501846199018</v>
      </c>
      <c r="O115" s="56">
        <f t="shared" si="43"/>
        <v>1.1813939744537809E-8</v>
      </c>
      <c r="P115" s="56">
        <f t="shared" si="38"/>
        <v>8.4047957286689375E-5</v>
      </c>
      <c r="Q115" s="56">
        <f t="shared" si="39"/>
        <v>1.626345392683385E-2</v>
      </c>
      <c r="R115" s="9">
        <f t="shared" si="44"/>
        <v>3.9999999999999996E-5</v>
      </c>
      <c r="S115" s="9">
        <f t="shared" si="45"/>
        <v>4.70010546041003E-6</v>
      </c>
      <c r="T115" s="9">
        <f t="shared" si="40"/>
        <v>4.7165249146195891E-7</v>
      </c>
      <c r="U115" s="9">
        <f t="shared" si="41"/>
        <v>3.5299894539589966E-5</v>
      </c>
      <c r="V115" s="100">
        <f t="shared" si="46"/>
        <v>1.3361300298871587E-2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-2.2409333494947648E-3</v>
      </c>
      <c r="K116" s="55">
        <f t="shared" si="35"/>
        <v>0.99823878038793001</v>
      </c>
      <c r="L116" s="55">
        <f t="shared" si="36"/>
        <v>1.3910622427732674E-3</v>
      </c>
      <c r="M116" s="55">
        <f t="shared" si="42"/>
        <v>0.9986089377572267</v>
      </c>
      <c r="N116" s="55">
        <f t="shared" si="37"/>
        <v>1.5596478326262792E-6</v>
      </c>
      <c r="O116" s="56">
        <f t="shared" si="43"/>
        <v>1.0001543946569053E-6</v>
      </c>
      <c r="P116" s="56">
        <f t="shared" si="38"/>
        <v>9.9500694993796417E-7</v>
      </c>
      <c r="Q116" s="56">
        <f t="shared" si="39"/>
        <v>2.2311876279885081E-7</v>
      </c>
      <c r="R116" s="9">
        <f t="shared" si="44"/>
        <v>3.9999999999999996E-5</v>
      </c>
      <c r="S116" s="9">
        <f t="shared" si="45"/>
        <v>5.5642489710930691E-8</v>
      </c>
      <c r="T116" s="9">
        <f t="shared" si="40"/>
        <v>3.9929551215517197E-5</v>
      </c>
      <c r="U116" s="9">
        <f t="shared" si="41"/>
        <v>3.9944357510289062E-5</v>
      </c>
      <c r="V116" s="100">
        <f t="shared" si="46"/>
        <v>0.99962932700149065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0.28643381699467835</v>
      </c>
      <c r="K117" s="55">
        <f t="shared" si="35"/>
        <v>0.96209708113979642</v>
      </c>
      <c r="L117" s="55">
        <f t="shared" si="36"/>
        <v>2.6061881907608166E-3</v>
      </c>
      <c r="M117" s="55">
        <f t="shared" si="42"/>
        <v>0.99739381180923914</v>
      </c>
      <c r="N117" s="55">
        <f t="shared" si="37"/>
        <v>8.0889278165893167E-4</v>
      </c>
      <c r="O117" s="56">
        <f t="shared" si="43"/>
        <v>9.6394333970335835E-7</v>
      </c>
      <c r="P117" s="56">
        <f t="shared" si="38"/>
        <v>1.8641691815913438E-6</v>
      </c>
      <c r="Q117" s="56">
        <f t="shared" si="39"/>
        <v>1.1571789022189344E-4</v>
      </c>
      <c r="R117" s="9">
        <f t="shared" si="44"/>
        <v>3.9999999999999996E-5</v>
      </c>
      <c r="S117" s="9">
        <f t="shared" si="45"/>
        <v>1.0424752763043266E-7</v>
      </c>
      <c r="T117" s="9">
        <f t="shared" si="40"/>
        <v>3.8483883245591856E-5</v>
      </c>
      <c r="U117" s="9">
        <f t="shared" si="41"/>
        <v>3.989575247236956E-5</v>
      </c>
      <c r="V117" s="100">
        <f t="shared" si="46"/>
        <v>0.96461103903841594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1.3686761084292649</v>
      </c>
      <c r="K118" s="55">
        <f t="shared" si="35"/>
        <v>0.66052406759024129</v>
      </c>
      <c r="L118" s="55">
        <f t="shared" si="36"/>
        <v>2.1623092871015819E-2</v>
      </c>
      <c r="M118" s="55">
        <f t="shared" si="42"/>
        <v>0.97837690712898417</v>
      </c>
      <c r="N118" s="55">
        <f t="shared" si="37"/>
        <v>1.7354483469009804E-2</v>
      </c>
      <c r="O118" s="56">
        <f t="shared" si="43"/>
        <v>6.6179160933850487E-7</v>
      </c>
      <c r="P118" s="56">
        <f t="shared" si="38"/>
        <v>1.5466689429310882E-5</v>
      </c>
      <c r="Q118" s="56">
        <f t="shared" si="39"/>
        <v>2.4826828208380589E-3</v>
      </c>
      <c r="R118" s="9">
        <f t="shared" si="44"/>
        <v>3.9999999999999996E-5</v>
      </c>
      <c r="S118" s="9">
        <f t="shared" si="45"/>
        <v>8.6492371484063268E-7</v>
      </c>
      <c r="T118" s="9">
        <f t="shared" si="40"/>
        <v>2.6420962703609648E-5</v>
      </c>
      <c r="U118" s="9">
        <f t="shared" si="41"/>
        <v>3.9135076285159366E-5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-4.1669766004283522E-3</v>
      </c>
      <c r="K119" s="55">
        <f t="shared" si="35"/>
        <v>0.99856506968763292</v>
      </c>
      <c r="L119" s="55">
        <f t="shared" si="36"/>
        <v>1.3853593878843892E-3</v>
      </c>
      <c r="M119" s="55">
        <f t="shared" si="42"/>
        <v>0.99861464061211558</v>
      </c>
      <c r="N119" s="55">
        <f t="shared" si="37"/>
        <v>9.0986112204965933E-8</v>
      </c>
      <c r="O119" s="56">
        <f t="shared" si="43"/>
        <v>1.0004813101038293E-6</v>
      </c>
      <c r="P119" s="56">
        <f t="shared" si="38"/>
        <v>9.9092777930530496E-7</v>
      </c>
      <c r="Q119" s="56">
        <f t="shared" si="39"/>
        <v>1.3016213251721838E-8</v>
      </c>
      <c r="R119" s="9">
        <f t="shared" si="44"/>
        <v>3.9999999999999996E-5</v>
      </c>
      <c r="S119" s="9">
        <f t="shared" si="45"/>
        <v>5.5414375515375562E-8</v>
      </c>
      <c r="T119" s="9">
        <f t="shared" si="40"/>
        <v>3.9942602787505313E-5</v>
      </c>
      <c r="U119" s="9">
        <f t="shared" si="41"/>
        <v>3.9944585624484618E-5</v>
      </c>
      <c r="V119" s="100">
        <f t="shared" si="46"/>
        <v>0.99995036030670226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-4.4262249960394223E-3</v>
      </c>
      <c r="K120" s="55">
        <f t="shared" si="35"/>
        <v>0.99861539753538853</v>
      </c>
      <c r="L120" s="55">
        <f t="shared" si="36"/>
        <v>1.3846024368445796E-3</v>
      </c>
      <c r="M120" s="55">
        <f t="shared" si="42"/>
        <v>0.99861539756315543</v>
      </c>
      <c r="N120" s="55">
        <f t="shared" si="37"/>
        <v>1.1799709649109031E-16</v>
      </c>
      <c r="O120" s="56">
        <f t="shared" si="43"/>
        <v>1.0005317345304246E-6</v>
      </c>
      <c r="P120" s="56">
        <f t="shared" si="38"/>
        <v>9.9038634304011504E-7</v>
      </c>
      <c r="Q120" s="56">
        <f t="shared" si="39"/>
        <v>1.6880327489453973E-17</v>
      </c>
      <c r="R120" s="9">
        <f t="shared" si="44"/>
        <v>3.9999999999999996E-5</v>
      </c>
      <c r="S120" s="9">
        <f t="shared" si="45"/>
        <v>5.5384097473783177E-8</v>
      </c>
      <c r="T120" s="9">
        <f t="shared" si="40"/>
        <v>3.9944615901415537E-5</v>
      </c>
      <c r="U120" s="9">
        <f t="shared" si="41"/>
        <v>3.9944615902526214E-5</v>
      </c>
      <c r="V120" s="100">
        <f t="shared" si="46"/>
        <v>0.99999999997219458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2.6173480936565248E-2</v>
      </c>
      <c r="K121" s="55">
        <f t="shared" si="35"/>
        <v>0.99450202533700138</v>
      </c>
      <c r="L121" s="55">
        <f t="shared" si="36"/>
        <v>1.4795587385817047E-3</v>
      </c>
      <c r="M121" s="55">
        <f t="shared" si="42"/>
        <v>0.99852044126141826</v>
      </c>
      <c r="N121" s="55">
        <f t="shared" si="37"/>
        <v>4.3997494819401029E-5</v>
      </c>
      <c r="O121" s="56">
        <f t="shared" si="43"/>
        <v>9.9641046879530906E-7</v>
      </c>
      <c r="P121" s="56">
        <f t="shared" si="38"/>
        <v>1.0583072291540848E-6</v>
      </c>
      <c r="Q121" s="56">
        <f t="shared" si="39"/>
        <v>6.294155901735454E-6</v>
      </c>
      <c r="R121" s="9">
        <f t="shared" si="44"/>
        <v>3.9999999999999996E-5</v>
      </c>
      <c r="S121" s="9">
        <f t="shared" si="45"/>
        <v>5.9182349543268181E-8</v>
      </c>
      <c r="T121" s="9">
        <f t="shared" si="40"/>
        <v>3.9780081013480052E-5</v>
      </c>
      <c r="U121" s="9">
        <f t="shared" si="41"/>
        <v>3.9940817650456728E-5</v>
      </c>
      <c r="V121" s="100">
        <f t="shared" si="46"/>
        <v>0.99597562978346199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4.5142868350926486</v>
      </c>
      <c r="K122" s="55">
        <f t="shared" si="35"/>
        <v>2.829240504527535E-3</v>
      </c>
      <c r="L122" s="55">
        <f t="shared" si="36"/>
        <v>0.12951192560444771</v>
      </c>
      <c r="M122" s="55">
        <f t="shared" si="42"/>
        <v>0.87048807439555231</v>
      </c>
      <c r="N122" s="55">
        <f t="shared" si="37"/>
        <v>0.12682150782685231</v>
      </c>
      <c r="O122" s="56">
        <f t="shared" si="43"/>
        <v>2.8346698001903715E-9</v>
      </c>
      <c r="P122" s="56">
        <f t="shared" si="38"/>
        <v>9.2638030214495663E-5</v>
      </c>
      <c r="Q122" s="56">
        <f t="shared" si="39"/>
        <v>1.8142722562544268E-2</v>
      </c>
      <c r="R122" s="9">
        <f t="shared" si="44"/>
        <v>3.9999999999999996E-5</v>
      </c>
      <c r="S122" s="9">
        <f t="shared" si="45"/>
        <v>5.1804770241779077E-6</v>
      </c>
      <c r="T122" s="9">
        <f t="shared" si="40"/>
        <v>1.1316962018110139E-7</v>
      </c>
      <c r="U122" s="9">
        <f t="shared" si="41"/>
        <v>3.4819522975822092E-5</v>
      </c>
      <c r="V122" s="100">
        <f t="shared" si="46"/>
        <v>3.2501772140785469E-3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0.22591684515469179</v>
      </c>
      <c r="K123" s="55">
        <f t="shared" ref="K123:K127" si="49">IF(D123=0,"",1/(1+10^D123*$J$15/$J$14+10^E123*$J$16/$J$14+10^J123*$J$19/$J$14))</f>
        <v>0.97369596852517781</v>
      </c>
      <c r="L123" s="55">
        <f t="shared" ref="L123:L127" si="50">IF(D123=0,"",1/(1+10^I123/10^J123*$J$13/$J$19))</f>
        <v>2.29452754452222E-3</v>
      </c>
      <c r="M123" s="55">
        <f t="shared" si="42"/>
        <v>0.9977054724554778</v>
      </c>
      <c r="N123" s="55">
        <f t="shared" ref="N123:N127" si="51">IF(D123=0,"",1/(1/10^E123*$J$20/$J$22+10^D123/10^E123*$J$21/$J$22+10^I123/10^E123*$J$13/$J$22+1))</f>
        <v>6.3631979643394092E-4</v>
      </c>
      <c r="O123" s="56">
        <f t="shared" si="43"/>
        <v>9.7556448528449047E-7</v>
      </c>
      <c r="P123" s="56">
        <f t="shared" ref="P123:P127" si="52">IF(D123=0,"",O123*10^J123)</f>
        <v>1.6412427736318223E-6</v>
      </c>
      <c r="Q123" s="56">
        <f t="shared" ref="Q123:Q127" si="53">IF(D123=0,"",F123*N123*$J$7/$J$22)</f>
        <v>9.1030092021278321E-5</v>
      </c>
      <c r="R123" s="9">
        <f t="shared" si="44"/>
        <v>3.9999999999999996E-5</v>
      </c>
      <c r="S123" s="9">
        <f t="shared" si="45"/>
        <v>9.1781101780888795E-8</v>
      </c>
      <c r="T123" s="9">
        <f t="shared" si="40"/>
        <v>3.8947838741007106E-5</v>
      </c>
      <c r="U123" s="9">
        <f t="shared" si="41"/>
        <v>3.9908218898219109E-5</v>
      </c>
      <c r="V123" s="100">
        <f t="shared" si="46"/>
        <v>0.97593527890429466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0.24488252340606687</v>
      </c>
      <c r="K124" s="55">
        <f t="shared" si="49"/>
        <v>0.95121008690955788</v>
      </c>
      <c r="L124" s="55">
        <f t="shared" si="50"/>
        <v>2.3415963309645952E-3</v>
      </c>
      <c r="M124" s="55">
        <f t="shared" si="42"/>
        <v>0.99765840366903535</v>
      </c>
      <c r="N124" s="55">
        <f t="shared" si="51"/>
        <v>3.5530024737406298E-4</v>
      </c>
      <c r="O124" s="56">
        <f t="shared" si="43"/>
        <v>9.5303545339609017E-7</v>
      </c>
      <c r="P124" s="56">
        <f t="shared" si="52"/>
        <v>1.6749104041628178E-6</v>
      </c>
      <c r="Q124" s="56">
        <f t="shared" si="53"/>
        <v>5.0828238245769516E-5</v>
      </c>
      <c r="R124" s="9">
        <f t="shared" si="44"/>
        <v>3.9999999999999996E-5</v>
      </c>
      <c r="S124" s="9">
        <f t="shared" si="45"/>
        <v>9.3663853238583804E-8</v>
      </c>
      <c r="T124" s="9">
        <f t="shared" si="40"/>
        <v>3.8048403476382315E-5</v>
      </c>
      <c r="U124" s="9">
        <f t="shared" si="41"/>
        <v>3.9906336146761414E-5</v>
      </c>
      <c r="V124" s="100">
        <f t="shared" si="46"/>
        <v>0.95344266475513362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6.9342980082594723E-3</v>
      </c>
      <c r="K125" s="55">
        <f t="shared" si="49"/>
        <v>0.99672260961230685</v>
      </c>
      <c r="L125" s="55">
        <f t="shared" si="50"/>
        <v>1.418605588547342E-3</v>
      </c>
      <c r="M125" s="55">
        <f t="shared" si="42"/>
        <v>0.99858139441145266</v>
      </c>
      <c r="N125" s="55">
        <f t="shared" si="51"/>
        <v>9.53745216418856E-6</v>
      </c>
      <c r="O125" s="56">
        <f t="shared" si="43"/>
        <v>9.9863531435860182E-7</v>
      </c>
      <c r="P125" s="56">
        <f t="shared" si="52"/>
        <v>1.0147083116937915E-6</v>
      </c>
      <c r="Q125" s="56">
        <f t="shared" si="53"/>
        <v>1.3644006567454888E-6</v>
      </c>
      <c r="R125" s="9">
        <f t="shared" si="44"/>
        <v>3.9999999999999996E-5</v>
      </c>
      <c r="S125" s="9">
        <f t="shared" si="45"/>
        <v>5.6744223541893679E-8</v>
      </c>
      <c r="T125" s="9">
        <f t="shared" si="40"/>
        <v>3.9868904384492268E-5</v>
      </c>
      <c r="U125" s="9">
        <f t="shared" si="41"/>
        <v>3.9943255776458106E-5</v>
      </c>
      <c r="V125" s="100">
        <f t="shared" si="46"/>
        <v>0.9981385745723399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3.4036065550970451</v>
      </c>
      <c r="K126" s="55">
        <f t="shared" si="49"/>
        <v>3.0050395562647585E-2</v>
      </c>
      <c r="L126" s="55">
        <f t="shared" si="50"/>
        <v>0.10661291224601385</v>
      </c>
      <c r="M126" s="55">
        <f t="shared" si="42"/>
        <v>0.89338708775398612</v>
      </c>
      <c r="N126" s="55">
        <f t="shared" si="51"/>
        <v>0.10192324414731141</v>
      </c>
      <c r="O126" s="56">
        <f t="shared" si="43"/>
        <v>3.010806209259925E-8</v>
      </c>
      <c r="P126" s="56">
        <f t="shared" si="52"/>
        <v>7.6258693087970168E-5</v>
      </c>
      <c r="Q126" s="56">
        <f t="shared" si="53"/>
        <v>1.4580848098445374E-2</v>
      </c>
      <c r="R126" s="9">
        <f t="shared" si="44"/>
        <v>3.9999999999999996E-5</v>
      </c>
      <c r="S126" s="9">
        <f t="shared" si="45"/>
        <v>4.2645164898405536E-6</v>
      </c>
      <c r="T126" s="9">
        <f t="shared" si="40"/>
        <v>1.2020158225059032E-6</v>
      </c>
      <c r="U126" s="9">
        <f t="shared" si="41"/>
        <v>3.5735483510159444E-5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1.1960082768923535</v>
      </c>
      <c r="K127" s="55">
        <f t="shared" si="49"/>
        <v>0.73428783791846108</v>
      </c>
      <c r="L127" s="55">
        <f t="shared" si="50"/>
        <v>1.6152050746486388E-2</v>
      </c>
      <c r="M127" s="55">
        <f t="shared" si="42"/>
        <v>0.9838479492535136</v>
      </c>
      <c r="N127" s="55">
        <f t="shared" si="51"/>
        <v>1.2401932988370229E-2</v>
      </c>
      <c r="O127" s="56">
        <f t="shared" si="43"/>
        <v>7.3569693190227219E-7</v>
      </c>
      <c r="P127" s="56">
        <f t="shared" si="52"/>
        <v>1.1553331155379615E-5</v>
      </c>
      <c r="Q127" s="56">
        <f t="shared" si="53"/>
        <v>1.7741850992219923E-3</v>
      </c>
      <c r="R127" s="9">
        <f t="shared" si="44"/>
        <v>3.9999999999999996E-5</v>
      </c>
      <c r="S127" s="9">
        <f t="shared" si="45"/>
        <v>6.460820298594554E-7</v>
      </c>
      <c r="T127" s="9">
        <f t="shared" si="40"/>
        <v>2.937151351673844E-5</v>
      </c>
      <c r="U127" s="9">
        <f t="shared" si="41"/>
        <v>3.9353917970140542E-5</v>
      </c>
      <c r="V127" s="100">
        <f t="shared" si="46"/>
        <v>0.74634280477546944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2.094216282910164</v>
      </c>
      <c r="K128" s="55">
        <f t="shared" ref="K128:K134" si="56">IF(D128=0,"",1/(1+10^D128*$J$15/$J$14+10^E128*$J$16/$J$14+10^J128*$J$19/$J$14))</f>
        <v>0.25892175264728123</v>
      </c>
      <c r="L128" s="55">
        <f t="shared" ref="L128:L134" si="57">IF(D128=0,"",1/(1+10^I128/10^J128*$J$13/$J$19))</f>
        <v>4.5054469409218707E-2</v>
      </c>
      <c r="M128" s="55">
        <f t="shared" ref="M128:M134" si="58">IF(D128=0,"",1-L128)</f>
        <v>0.95494553059078124</v>
      </c>
      <c r="N128" s="55">
        <f t="shared" ref="N128:N134" si="59">IF(D128=0,"",1/(1/10^E128*$J$20/$J$22+10^D128/10^E128*$J$21/$J$22+10^I128/10^E128*$J$13/$J$22+1))</f>
        <v>3.7296201362898802E-2</v>
      </c>
      <c r="O128" s="56">
        <f t="shared" ref="O128:O134" si="60">IF(D128=0,"",F128*K128*$J$7/$J$14)</f>
        <v>2.59418621947156E-7</v>
      </c>
      <c r="P128" s="56">
        <f t="shared" ref="P128:P134" si="61">IF(D128=0,"",O128*10^J128)</f>
        <v>3.2226818333136849E-5</v>
      </c>
      <c r="Q128" s="56">
        <f t="shared" ref="Q128:Q134" si="62">IF(D128=0,"",F128*N128*$J$7/$J$22)</f>
        <v>5.3354880064009789E-3</v>
      </c>
      <c r="R128" s="9">
        <f t="shared" si="44"/>
        <v>3.9999999999999996E-5</v>
      </c>
      <c r="S128" s="9">
        <f t="shared" si="45"/>
        <v>1.8021787763687481E-6</v>
      </c>
      <c r="T128" s="9">
        <f t="shared" si="40"/>
        <v>1.0356870105891248E-5</v>
      </c>
      <c r="U128" s="9">
        <f t="shared" si="41"/>
        <v>3.8197821223631246E-5</v>
      </c>
      <c r="V128" s="100">
        <f t="shared" si="46"/>
        <v>0.27113771870014214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-4.2914078638979607E-3</v>
      </c>
      <c r="K129" s="55">
        <f t="shared" si="56"/>
        <v>0.9985886123677804</v>
      </c>
      <c r="L129" s="55">
        <f t="shared" si="57"/>
        <v>1.3849951730576363E-3</v>
      </c>
      <c r="M129" s="55">
        <f t="shared" si="58"/>
        <v>0.99861500482694232</v>
      </c>
      <c r="N129" s="55">
        <f t="shared" si="59"/>
        <v>3.7238502657913711E-8</v>
      </c>
      <c r="O129" s="56">
        <f t="shared" si="60"/>
        <v>1.0005048979622395E-6</v>
      </c>
      <c r="P129" s="56">
        <f t="shared" si="61"/>
        <v>9.9066726164279767E-7</v>
      </c>
      <c r="Q129" s="56">
        <f t="shared" si="62"/>
        <v>5.3272337945192547E-9</v>
      </c>
      <c r="R129" s="9">
        <f t="shared" si="44"/>
        <v>3.9999999999999996E-5</v>
      </c>
      <c r="S129" s="9">
        <f t="shared" si="45"/>
        <v>5.5399806922305447E-8</v>
      </c>
      <c r="T129" s="9">
        <f t="shared" si="40"/>
        <v>3.9943544494711214E-5</v>
      </c>
      <c r="U129" s="9">
        <f t="shared" si="41"/>
        <v>3.9944600193077688E-5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0.56673031230734872</v>
      </c>
      <c r="K130" s="55">
        <f t="shared" si="56"/>
        <v>0.91811126007634147</v>
      </c>
      <c r="L130" s="55">
        <f t="shared" si="57"/>
        <v>4.7421870978203639E-3</v>
      </c>
      <c r="M130" s="55">
        <f t="shared" si="58"/>
        <v>0.99525781290217963</v>
      </c>
      <c r="N130" s="55">
        <f t="shared" si="59"/>
        <v>2.5175354597097343E-3</v>
      </c>
      <c r="O130" s="56">
        <f t="shared" si="60"/>
        <v>9.19873110111486E-7</v>
      </c>
      <c r="P130" s="56">
        <f t="shared" si="61"/>
        <v>3.3920186855409366E-6</v>
      </c>
      <c r="Q130" s="56">
        <f t="shared" si="62"/>
        <v>3.6015142990761815E-4</v>
      </c>
      <c r="R130" s="9">
        <f t="shared" si="44"/>
        <v>3.9999999999999996E-5</v>
      </c>
      <c r="S130" s="9">
        <f t="shared" si="45"/>
        <v>1.8968748391281453E-7</v>
      </c>
      <c r="T130" s="9">
        <f t="shared" si="40"/>
        <v>3.6724450403053656E-5</v>
      </c>
      <c r="U130" s="9">
        <f t="shared" si="41"/>
        <v>3.981031251608718E-5</v>
      </c>
      <c r="V130" s="100">
        <f t="shared" si="46"/>
        <v>0.92248586062250726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6.6795363533780584E-3</v>
      </c>
      <c r="K131" s="55">
        <f t="shared" si="56"/>
        <v>0.9969567353408918</v>
      </c>
      <c r="L131" s="55">
        <f t="shared" si="57"/>
        <v>1.4181066925604547E-3</v>
      </c>
      <c r="M131" s="55">
        <f t="shared" si="58"/>
        <v>0.99858189330743952</v>
      </c>
      <c r="N131" s="55">
        <f t="shared" si="59"/>
        <v>1.2453727455517251E-5</v>
      </c>
      <c r="O131" s="56">
        <f t="shared" si="60"/>
        <v>9.9886988937306424E-7</v>
      </c>
      <c r="P131" s="56">
        <f t="shared" si="61"/>
        <v>1.0143514585214566E-6</v>
      </c>
      <c r="Q131" s="56">
        <f t="shared" si="62"/>
        <v>1.7815946677078532E-6</v>
      </c>
      <c r="R131" s="9">
        <f t="shared" si="44"/>
        <v>3.9999999999999996E-5</v>
      </c>
      <c r="S131" s="9">
        <f t="shared" si="45"/>
        <v>5.672426770241818E-8</v>
      </c>
      <c r="T131" s="9">
        <f t="shared" si="40"/>
        <v>3.9878269413635667E-5</v>
      </c>
      <c r="U131" s="9">
        <f t="shared" si="41"/>
        <v>3.9943275732297577E-5</v>
      </c>
      <c r="V131" s="100">
        <f t="shared" si="46"/>
        <v>0.99837253411318627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2.8199434247480615E-2</v>
      </c>
      <c r="K132" s="55">
        <f t="shared" si="56"/>
        <v>0.99425879852192689</v>
      </c>
      <c r="L132" s="55">
        <f t="shared" si="57"/>
        <v>1.4861133503632398E-3</v>
      </c>
      <c r="M132" s="55">
        <f t="shared" si="58"/>
        <v>0.99851388664963681</v>
      </c>
      <c r="N132" s="55">
        <f t="shared" si="59"/>
        <v>4.76374683851665E-5</v>
      </c>
      <c r="O132" s="56">
        <f t="shared" si="60"/>
        <v>9.9616677522942624E-7</v>
      </c>
      <c r="P132" s="56">
        <f t="shared" si="61"/>
        <v>1.0629956493241057E-6</v>
      </c>
      <c r="Q132" s="56">
        <f t="shared" si="62"/>
        <v>6.8148801201293882E-6</v>
      </c>
      <c r="R132" s="9">
        <f t="shared" si="44"/>
        <v>3.9999999999999996E-5</v>
      </c>
      <c r="S132" s="9">
        <f t="shared" si="45"/>
        <v>5.9444534014529584E-8</v>
      </c>
      <c r="T132" s="9">
        <f t="shared" si="40"/>
        <v>3.977035194087707E-5</v>
      </c>
      <c r="U132" s="9">
        <f t="shared" si="41"/>
        <v>3.9940555465985471E-5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1.4297811371420288</v>
      </c>
      <c r="K133" s="55">
        <f t="shared" si="56"/>
        <v>0.63241432303095191</v>
      </c>
      <c r="L133" s="55">
        <f t="shared" si="57"/>
        <v>2.3830650261226664E-2</v>
      </c>
      <c r="M133" s="55">
        <f t="shared" si="58"/>
        <v>0.97616934973877334</v>
      </c>
      <c r="N133" s="55">
        <f t="shared" si="59"/>
        <v>1.9377324211019495E-2</v>
      </c>
      <c r="O133" s="56">
        <f t="shared" si="60"/>
        <v>6.3362792234697087E-7</v>
      </c>
      <c r="P133" s="56">
        <f t="shared" si="61"/>
        <v>1.7045723693994556E-5</v>
      </c>
      <c r="Q133" s="56">
        <f t="shared" si="62"/>
        <v>2.7720646378449881E-3</v>
      </c>
      <c r="R133" s="9">
        <f t="shared" si="44"/>
        <v>3.9999999999999996E-5</v>
      </c>
      <c r="S133" s="9">
        <f t="shared" si="45"/>
        <v>9.5322601044906643E-7</v>
      </c>
      <c r="T133" s="9">
        <f t="shared" si="40"/>
        <v>2.5296572921238073E-5</v>
      </c>
      <c r="U133" s="9">
        <f t="shared" si="41"/>
        <v>3.904677398955093E-5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-4.3849060173013843E-3</v>
      </c>
      <c r="K134" s="55">
        <f t="shared" si="56"/>
        <v>0.99860693537933287</v>
      </c>
      <c r="L134" s="55">
        <f t="shared" si="57"/>
        <v>1.3847224407465511E-3</v>
      </c>
      <c r="M134" s="55">
        <f t="shared" si="58"/>
        <v>0.9986152775592535</v>
      </c>
      <c r="N134" s="55">
        <f t="shared" si="59"/>
        <v>7.2653864629677501E-9</v>
      </c>
      <c r="O134" s="56">
        <f t="shared" si="60"/>
        <v>1.0005232561355419E-6</v>
      </c>
      <c r="P134" s="56">
        <f t="shared" si="61"/>
        <v>9.904721801168543E-7</v>
      </c>
      <c r="Q134" s="56">
        <f t="shared" si="62"/>
        <v>1.0393654291451291E-9</v>
      </c>
      <c r="R134" s="9">
        <f t="shared" si="44"/>
        <v>3.9999999999999996E-5</v>
      </c>
      <c r="S134" s="9">
        <f t="shared" si="45"/>
        <v>5.5388897629862042E-8</v>
      </c>
      <c r="T134" s="9">
        <f t="shared" si="40"/>
        <v>3.9944277415173314E-5</v>
      </c>
      <c r="U134" s="9">
        <f t="shared" si="41"/>
        <v>3.9944611102370139E-5</v>
      </c>
      <c r="V134" s="100">
        <f t="shared" si="46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5.2755991161798507E-2</v>
      </c>
      <c r="K135" s="55">
        <f t="shared" ref="K135:K143" si="65">IF(D135=0,"",1/(1+10^D135*$J$15/$J$14+10^E135*$J$16/$J$14+10^J135*$J$19/$J$14))</f>
        <v>0.99139226767479149</v>
      </c>
      <c r="L135" s="55">
        <f t="shared" ref="L135:L143" si="66">IF(D135=0,"",1/(1+10^I135/10^J135*$J$13/$J$19))</f>
        <v>1.5680307564499461E-3</v>
      </c>
      <c r="M135" s="55">
        <f t="shared" ref="M135:M143" si="67">IF(D135=0,"",1-L135)</f>
        <v>0.99843196924355004</v>
      </c>
      <c r="N135" s="55">
        <f t="shared" ref="N135:N143" si="68">IF(D135=0,"",1/(1/10^E135*$J$20/$J$22+10^D135/10^E135*$J$21/$J$22+10^I135/10^E135*$J$13/$J$22+1))</f>
        <v>9.5694421730866018E-5</v>
      </c>
      <c r="O135" s="56">
        <f t="shared" ref="O135:O143" si="69">IF(D135=0,"",F135*K135*$J$7/$J$14)</f>
        <v>9.9329474352668294E-7</v>
      </c>
      <c r="P135" s="56">
        <f t="shared" ref="P135:P143" si="70">IF(D135=0,"",O135*10^J135)</f>
        <v>1.1215899996492684E-6</v>
      </c>
      <c r="Q135" s="56">
        <f t="shared" ref="Q135:Q143" si="71">IF(D135=0,"",F135*N135*$J$7/$J$22)</f>
        <v>1.3689770560184174E-5</v>
      </c>
      <c r="R135" s="9">
        <f t="shared" si="44"/>
        <v>3.9999999999999996E-5</v>
      </c>
      <c r="S135" s="9">
        <f t="shared" si="45"/>
        <v>6.2721230257997842E-8</v>
      </c>
      <c r="T135" s="9">
        <f t="shared" si="40"/>
        <v>3.9655690706991655E-5</v>
      </c>
      <c r="U135" s="9">
        <f t="shared" si="41"/>
        <v>3.9937278769741998E-5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-2.4626113408787245E-3</v>
      </c>
      <c r="K136" s="55">
        <f t="shared" si="65"/>
        <v>0.99827433071388949</v>
      </c>
      <c r="L136" s="55">
        <f t="shared" si="66"/>
        <v>1.3904018953510187E-3</v>
      </c>
      <c r="M136" s="55">
        <f t="shared" si="67"/>
        <v>0.998609598104649</v>
      </c>
      <c r="N136" s="55">
        <f t="shared" si="68"/>
        <v>1.3565382902030972E-6</v>
      </c>
      <c r="O136" s="56">
        <f t="shared" si="69"/>
        <v>1.0001900132037282E-6</v>
      </c>
      <c r="P136" s="56">
        <f t="shared" si="70"/>
        <v>9.9453461286036392E-7</v>
      </c>
      <c r="Q136" s="56">
        <f t="shared" si="71"/>
        <v>1.9406249197276873E-7</v>
      </c>
      <c r="R136" s="9">
        <f t="shared" si="44"/>
        <v>3.9999999999999996E-5</v>
      </c>
      <c r="S136" s="9">
        <f t="shared" si="45"/>
        <v>5.5616075814040743E-8</v>
      </c>
      <c r="T136" s="9">
        <f t="shared" si="40"/>
        <v>3.9930973228555578E-5</v>
      </c>
      <c r="U136" s="9">
        <f t="shared" si="41"/>
        <v>3.9944383924185956E-5</v>
      </c>
      <c r="V136" s="100">
        <f t="shared" si="46"/>
        <v>0.99966426580377776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-4.421887076917202E-3</v>
      </c>
      <c r="K137" s="55">
        <f t="shared" si="65"/>
        <v>0.99861448138932851</v>
      </c>
      <c r="L137" s="55">
        <f t="shared" si="66"/>
        <v>1.3846149966457116E-3</v>
      </c>
      <c r="M137" s="55">
        <f t="shared" si="67"/>
        <v>0.99861538500335434</v>
      </c>
      <c r="N137" s="55">
        <f t="shared" si="68"/>
        <v>3.089363833294282E-10</v>
      </c>
      <c r="O137" s="56">
        <f t="shared" si="69"/>
        <v>1.0005308166262858E-6</v>
      </c>
      <c r="P137" s="56">
        <f t="shared" si="70"/>
        <v>9.9039532688643932E-7</v>
      </c>
      <c r="Q137" s="56">
        <f t="shared" si="71"/>
        <v>4.4195556323727046E-11</v>
      </c>
      <c r="R137" s="9">
        <f t="shared" si="44"/>
        <v>3.9999999999999996E-5</v>
      </c>
      <c r="S137" s="9">
        <f t="shared" si="45"/>
        <v>5.538459986582846E-8</v>
      </c>
      <c r="T137" s="9">
        <f t="shared" si="40"/>
        <v>3.9944579255573137E-5</v>
      </c>
      <c r="U137" s="9">
        <f t="shared" si="41"/>
        <v>3.9944615400134168E-5</v>
      </c>
      <c r="V137" s="100">
        <f t="shared" si="46"/>
        <v>0.99999909513308183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-2.6957393584216881E-3</v>
      </c>
      <c r="K138" s="55">
        <f t="shared" si="65"/>
        <v>0.99831211705359058</v>
      </c>
      <c r="L138" s="55">
        <f t="shared" si="66"/>
        <v>1.3897083327107963E-3</v>
      </c>
      <c r="M138" s="55">
        <f t="shared" si="67"/>
        <v>0.99861029166728921</v>
      </c>
      <c r="N138" s="55">
        <f t="shared" si="68"/>
        <v>1.1498452296170856E-6</v>
      </c>
      <c r="O138" s="56">
        <f t="shared" si="69"/>
        <v>1.00022787205519E-6</v>
      </c>
      <c r="P138" s="56">
        <f t="shared" si="70"/>
        <v>9.9403851741185092E-7</v>
      </c>
      <c r="Q138" s="56">
        <f t="shared" si="71"/>
        <v>1.6449357327693563E-7</v>
      </c>
      <c r="R138" s="9">
        <f t="shared" si="44"/>
        <v>3.9999999999999996E-5</v>
      </c>
      <c r="S138" s="9">
        <f t="shared" si="45"/>
        <v>5.5588333308431846E-8</v>
      </c>
      <c r="T138" s="9">
        <f t="shared" si="40"/>
        <v>3.9932484682143619E-5</v>
      </c>
      <c r="U138" s="9">
        <f t="shared" si="41"/>
        <v>3.9944411666691562E-5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3.1510352752518005E-2</v>
      </c>
      <c r="K139" s="55">
        <f t="shared" si="65"/>
        <v>0.99315351209192138</v>
      </c>
      <c r="L139" s="55">
        <f t="shared" si="66"/>
        <v>1.4958215784816656E-3</v>
      </c>
      <c r="M139" s="55">
        <f t="shared" si="67"/>
        <v>0.99850417842151828</v>
      </c>
      <c r="N139" s="55">
        <f t="shared" si="68"/>
        <v>4.1994406282537017E-5</v>
      </c>
      <c r="O139" s="56">
        <f t="shared" si="69"/>
        <v>9.9505936776135037E-7</v>
      </c>
      <c r="P139" s="56">
        <f t="shared" si="70"/>
        <v>1.0699398062082427E-6</v>
      </c>
      <c r="Q139" s="56">
        <f t="shared" si="71"/>
        <v>6.007599778761794E-6</v>
      </c>
      <c r="R139" s="9">
        <f t="shared" si="44"/>
        <v>3.9999999999999996E-5</v>
      </c>
      <c r="S139" s="9">
        <f t="shared" si="45"/>
        <v>5.9832863139266613E-8</v>
      </c>
      <c r="T139" s="9">
        <f t="shared" si="40"/>
        <v>3.9726140483676848E-5</v>
      </c>
      <c r="U139" s="9">
        <f t="shared" si="41"/>
        <v>3.9940167136860728E-5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-4.3926456876418607E-3</v>
      </c>
      <c r="K140" s="55">
        <f t="shared" si="65"/>
        <v>0.9986084923483598</v>
      </c>
      <c r="L140" s="55">
        <f t="shared" si="66"/>
        <v>1.3846999224213377E-3</v>
      </c>
      <c r="M140" s="55">
        <f t="shared" si="67"/>
        <v>0.9986153000775787</v>
      </c>
      <c r="N140" s="55">
        <f t="shared" si="68"/>
        <v>5.4440348703469823E-9</v>
      </c>
      <c r="O140" s="56">
        <f t="shared" si="69"/>
        <v>1.0005248160923831E-6</v>
      </c>
      <c r="P140" s="56">
        <f t="shared" si="70"/>
        <v>9.9045607308051947E-7</v>
      </c>
      <c r="Q140" s="56">
        <f t="shared" si="71"/>
        <v>7.7880807416649531E-10</v>
      </c>
      <c r="R140" s="9">
        <f t="shared" si="44"/>
        <v>3.9999999999999996E-5</v>
      </c>
      <c r="S140" s="9">
        <f t="shared" si="45"/>
        <v>5.5387996896853504E-8</v>
      </c>
      <c r="T140" s="9">
        <f t="shared" si="40"/>
        <v>3.9944339693934388E-5</v>
      </c>
      <c r="U140" s="9">
        <f t="shared" si="41"/>
        <v>3.9944612003103146E-5</v>
      </c>
      <c r="V140" s="100">
        <f t="shared" si="46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-4.3407954588776127E-3</v>
      </c>
      <c r="K141" s="55">
        <f t="shared" si="65"/>
        <v>0.99859819763182922</v>
      </c>
      <c r="L141" s="55">
        <f t="shared" si="66"/>
        <v>1.3848509743488806E-3</v>
      </c>
      <c r="M141" s="55">
        <f t="shared" si="67"/>
        <v>0.99861514902565107</v>
      </c>
      <c r="N141" s="55">
        <f t="shared" si="68"/>
        <v>1.9873712362872614E-8</v>
      </c>
      <c r="O141" s="56">
        <f t="shared" si="69"/>
        <v>1.0005145016203529E-6</v>
      </c>
      <c r="P141" s="56">
        <f t="shared" si="70"/>
        <v>9.9056411836640629E-7</v>
      </c>
      <c r="Q141" s="56">
        <f t="shared" si="71"/>
        <v>2.8430765085972332E-9</v>
      </c>
      <c r="R141" s="9">
        <f t="shared" si="44"/>
        <v>3.9999999999999996E-5</v>
      </c>
      <c r="S141" s="9">
        <f t="shared" si="45"/>
        <v>5.5394038973955221E-8</v>
      </c>
      <c r="T141" s="9">
        <f t="shared" si="40"/>
        <v>3.9943927905273167E-5</v>
      </c>
      <c r="U141" s="9">
        <f t="shared" si="41"/>
        <v>3.9944605961026042E-5</v>
      </c>
      <c r="V141" s="100">
        <f t="shared" si="46"/>
        <v>0.99998302509846926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0.72928068716026373</v>
      </c>
      <c r="K142" s="55">
        <f t="shared" si="65"/>
        <v>0.88301031307878919</v>
      </c>
      <c r="L142" s="55">
        <f t="shared" si="66"/>
        <v>6.6313129140018389E-3</v>
      </c>
      <c r="M142" s="55">
        <f t="shared" si="67"/>
        <v>0.99336868708599813</v>
      </c>
      <c r="N142" s="55">
        <f t="shared" si="68"/>
        <v>4.0849939642077044E-3</v>
      </c>
      <c r="O142" s="56">
        <f t="shared" si="69"/>
        <v>8.8470480460588514E-7</v>
      </c>
      <c r="P142" s="56">
        <f t="shared" si="70"/>
        <v>4.7432833943438866E-6</v>
      </c>
      <c r="Q142" s="56">
        <f t="shared" si="71"/>
        <v>5.843875651082278E-4</v>
      </c>
      <c r="R142" s="9">
        <f t="shared" si="44"/>
        <v>3.9999999999999996E-5</v>
      </c>
      <c r="S142" s="9">
        <f t="shared" si="45"/>
        <v>2.6525251656007353E-7</v>
      </c>
      <c r="T142" s="9">
        <f t="shared" si="40"/>
        <v>3.5320412523151564E-5</v>
      </c>
      <c r="U142" s="9">
        <f t="shared" si="41"/>
        <v>3.9734747483439921E-5</v>
      </c>
      <c r="V142" s="100">
        <f t="shared" si="46"/>
        <v>0.88890491975246355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1.253369354583612</v>
      </c>
      <c r="K143" s="55">
        <f t="shared" si="65"/>
        <v>0.41217043968120476</v>
      </c>
      <c r="L143" s="55">
        <f t="shared" si="66"/>
        <v>1.0346638000551783E-2</v>
      </c>
      <c r="M143" s="55">
        <f t="shared" si="67"/>
        <v>0.9896533619994482</v>
      </c>
      <c r="N143" s="55">
        <f t="shared" si="68"/>
        <v>1.2167458871492533E-3</v>
      </c>
      <c r="O143" s="56">
        <f t="shared" si="69"/>
        <v>4.129613922979687E-7</v>
      </c>
      <c r="P143" s="56">
        <f t="shared" si="70"/>
        <v>7.400802352680394E-6</v>
      </c>
      <c r="Q143" s="56">
        <f t="shared" si="71"/>
        <v>1.7406419019875172E-4</v>
      </c>
      <c r="R143" s="9">
        <f t="shared" si="44"/>
        <v>3.9999999999999996E-5</v>
      </c>
      <c r="S143" s="9">
        <f t="shared" si="45"/>
        <v>4.1386552002207128E-7</v>
      </c>
      <c r="T143" s="9">
        <f t="shared" si="40"/>
        <v>1.6486817587248189E-5</v>
      </c>
      <c r="U143" s="9">
        <f t="shared" si="41"/>
        <v>3.9586134479977925E-5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2025-02-02T15:03:24Z</dcterms:modified>
</cp:coreProperties>
</file>