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145A6CC5-B3DE-4AD8-95AF-4493AAE7BED0}" xr6:coauthVersionLast="47" xr6:coauthVersionMax="47" xr10:uidLastSave="{00000000-0000-0000-0000-000000000000}"/>
  <bookViews>
    <workbookView minimized="1" xWindow="48840" yWindow="2205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U130" i="4" s="1"/>
  <c r="V127" i="4"/>
  <c r="U127" i="4"/>
  <c r="T127" i="4"/>
  <c r="R127" i="4"/>
  <c r="S127" i="4" s="1"/>
  <c r="V126" i="4"/>
  <c r="R126" i="4"/>
  <c r="S126" i="4" s="1"/>
  <c r="V124" i="4"/>
  <c r="U124" i="4"/>
  <c r="T124" i="4"/>
  <c r="S124" i="4"/>
  <c r="R124" i="4"/>
  <c r="V121" i="4"/>
  <c r="R121" i="4"/>
  <c r="T121" i="4" s="1"/>
  <c r="V120" i="4"/>
  <c r="R120" i="4"/>
  <c r="U120" i="4" s="1"/>
  <c r="V119" i="4"/>
  <c r="R119" i="4"/>
  <c r="U119" i="4" s="1"/>
  <c r="V116" i="4"/>
  <c r="R116" i="4"/>
  <c r="U116" i="4" s="1"/>
  <c r="V115" i="4"/>
  <c r="U115" i="4"/>
  <c r="T115" i="4"/>
  <c r="S115" i="4"/>
  <c r="R115" i="4"/>
  <c r="V114" i="4"/>
  <c r="R114" i="4"/>
  <c r="U114" i="4" s="1"/>
  <c r="V108" i="4"/>
  <c r="R108" i="4"/>
  <c r="U108" i="4" s="1"/>
  <c r="V107" i="4"/>
  <c r="R107" i="4"/>
  <c r="U107" i="4" s="1"/>
  <c r="V93" i="4"/>
  <c r="R93" i="4"/>
  <c r="U93" i="4" s="1"/>
  <c r="V92" i="4"/>
  <c r="U92" i="4"/>
  <c r="T92" i="4"/>
  <c r="S92" i="4"/>
  <c r="R92" i="4"/>
  <c r="V91" i="4"/>
  <c r="R91" i="4"/>
  <c r="S91" i="4" s="1"/>
  <c r="V90" i="4"/>
  <c r="U90" i="4"/>
  <c r="T90" i="4"/>
  <c r="S90" i="4"/>
  <c r="R90" i="4"/>
  <c r="V89" i="4"/>
  <c r="R89" i="4"/>
  <c r="T89" i="4" s="1"/>
  <c r="V88" i="4"/>
  <c r="R88" i="4"/>
  <c r="U88" i="4" s="1"/>
  <c r="V86" i="4"/>
  <c r="R86" i="4"/>
  <c r="U86" i="4" s="1"/>
  <c r="V85" i="4"/>
  <c r="R85" i="4"/>
  <c r="U85" i="4" s="1"/>
  <c r="V84" i="4"/>
  <c r="U84" i="4"/>
  <c r="T84" i="4"/>
  <c r="S84" i="4"/>
  <c r="R84" i="4"/>
  <c r="V83" i="4"/>
  <c r="R83" i="4"/>
  <c r="U83" i="4" s="1"/>
  <c r="V82" i="4"/>
  <c r="R82" i="4"/>
  <c r="U82" i="4" s="1"/>
  <c r="V81" i="4"/>
  <c r="R81" i="4"/>
  <c r="U81" i="4" s="1"/>
  <c r="V80" i="4"/>
  <c r="R80" i="4"/>
  <c r="U80" i="4" s="1"/>
  <c r="V79" i="4"/>
  <c r="U79" i="4"/>
  <c r="T79" i="4"/>
  <c r="S79" i="4"/>
  <c r="R79" i="4"/>
  <c r="V78" i="4"/>
  <c r="R78" i="4"/>
  <c r="T78" i="4" s="1"/>
  <c r="V77" i="4"/>
  <c r="U77" i="4"/>
  <c r="T77" i="4"/>
  <c r="S77" i="4"/>
  <c r="R77" i="4"/>
  <c r="V76" i="4"/>
  <c r="R76" i="4"/>
  <c r="T76" i="4" s="1"/>
  <c r="V75" i="4"/>
  <c r="R75" i="4"/>
  <c r="U75" i="4" s="1"/>
  <c r="V74" i="4"/>
  <c r="R74" i="4"/>
  <c r="U74" i="4" s="1"/>
  <c r="V73" i="4"/>
  <c r="R73" i="4"/>
  <c r="U73" i="4" s="1"/>
  <c r="V72" i="4"/>
  <c r="U72" i="4"/>
  <c r="T72" i="4"/>
  <c r="S72" i="4"/>
  <c r="R72" i="4"/>
  <c r="V71" i="4"/>
  <c r="R71" i="4"/>
  <c r="U71" i="4" s="1"/>
  <c r="V70" i="4"/>
  <c r="R70" i="4"/>
  <c r="U70" i="4" s="1"/>
  <c r="V69" i="4"/>
  <c r="R69" i="4"/>
  <c r="U69" i="4" s="1"/>
  <c r="V68" i="4"/>
  <c r="R68" i="4"/>
  <c r="U68" i="4" s="1"/>
  <c r="V65" i="4"/>
  <c r="U65" i="4"/>
  <c r="T65" i="4"/>
  <c r="S65" i="4"/>
  <c r="R65" i="4"/>
  <c r="V64" i="4"/>
  <c r="R64" i="4"/>
  <c r="S64" i="4" s="1"/>
  <c r="V63" i="4"/>
  <c r="U63" i="4"/>
  <c r="T63" i="4"/>
  <c r="S63" i="4"/>
  <c r="R63" i="4"/>
  <c r="V62" i="4"/>
  <c r="R62" i="4"/>
  <c r="T62" i="4" s="1"/>
  <c r="V61" i="4"/>
  <c r="R61" i="4"/>
  <c r="T61" i="4" s="1"/>
  <c r="V60" i="4"/>
  <c r="R60" i="4"/>
  <c r="U60" i="4" s="1"/>
  <c r="V58" i="4"/>
  <c r="R58" i="4"/>
  <c r="T58" i="4" s="1"/>
  <c r="V57" i="4"/>
  <c r="U57" i="4"/>
  <c r="T57" i="4"/>
  <c r="S57" i="4"/>
  <c r="R57" i="4"/>
  <c r="V49" i="4"/>
  <c r="R49" i="4"/>
  <c r="S49" i="4" s="1"/>
  <c r="V48" i="4"/>
  <c r="R48" i="4"/>
  <c r="U48" i="4" s="1"/>
  <c r="V47" i="4"/>
  <c r="R47" i="4"/>
  <c r="U47" i="4" s="1"/>
  <c r="V46" i="4"/>
  <c r="R46" i="4"/>
  <c r="U46" i="4" s="1"/>
  <c r="V45" i="4"/>
  <c r="U45" i="4"/>
  <c r="T45" i="4"/>
  <c r="S45" i="4"/>
  <c r="R45" i="4"/>
  <c r="V44" i="4"/>
  <c r="R44" i="4"/>
  <c r="T44" i="4" s="1"/>
  <c r="V43" i="4"/>
  <c r="U43" i="4"/>
  <c r="T43" i="4"/>
  <c r="S43" i="4"/>
  <c r="R43" i="4"/>
  <c r="V42" i="4"/>
  <c r="R42" i="4"/>
  <c r="T42" i="4" s="1"/>
  <c r="V41" i="4"/>
  <c r="R41" i="4"/>
  <c r="U41" i="4" s="1"/>
  <c r="V40" i="4"/>
  <c r="R40" i="4"/>
  <c r="U40" i="4" s="1"/>
  <c r="V39" i="4"/>
  <c r="R39" i="4"/>
  <c r="T39" i="4" s="1"/>
  <c r="V38" i="4"/>
  <c r="U38" i="4"/>
  <c r="T38" i="4"/>
  <c r="S38" i="4"/>
  <c r="R38" i="4"/>
  <c r="V37" i="4"/>
  <c r="R37" i="4"/>
  <c r="S37" i="4" s="1"/>
  <c r="V36" i="4"/>
  <c r="R36" i="4"/>
  <c r="U36" i="4" s="1"/>
  <c r="V35" i="4"/>
  <c r="R35" i="4"/>
  <c r="U35" i="4" s="1"/>
  <c r="V34" i="4"/>
  <c r="R34" i="4"/>
  <c r="U34" i="4" s="1"/>
  <c r="V33" i="4"/>
  <c r="U33" i="4"/>
  <c r="T33" i="4"/>
  <c r="S33" i="4"/>
  <c r="R33" i="4"/>
  <c r="V32" i="4"/>
  <c r="R32" i="4"/>
  <c r="T32" i="4" s="1"/>
  <c r="V31" i="4"/>
  <c r="U31" i="4"/>
  <c r="T31" i="4"/>
  <c r="S31" i="4"/>
  <c r="R31" i="4"/>
  <c r="V30" i="4"/>
  <c r="R30" i="4"/>
  <c r="T30" i="4" s="1"/>
  <c r="V29" i="4"/>
  <c r="R29" i="4"/>
  <c r="U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Q130" i="4" s="1"/>
  <c r="O130" i="4"/>
  <c r="P130" i="4"/>
  <c r="I131" i="4"/>
  <c r="L131" i="4" s="1"/>
  <c r="M131" i="4" s="1"/>
  <c r="J131" i="4"/>
  <c r="K131" i="4"/>
  <c r="O131" i="4"/>
  <c r="P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S36" i="4" l="1"/>
  <c r="S48" i="4"/>
  <c r="S82" i="4"/>
  <c r="S108" i="4"/>
  <c r="S29" i="4"/>
  <c r="T48" i="4"/>
  <c r="S61" i="4"/>
  <c r="T70" i="4"/>
  <c r="T82" i="4"/>
  <c r="S88" i="4"/>
  <c r="T108" i="4"/>
  <c r="S120" i="4"/>
  <c r="T120" i="4"/>
  <c r="U61" i="4"/>
  <c r="S30" i="4"/>
  <c r="T37" i="4"/>
  <c r="T49" i="4"/>
  <c r="U64" i="4"/>
  <c r="U126" i="4"/>
  <c r="S28" i="4"/>
  <c r="U30" i="4"/>
  <c r="T35" i="4"/>
  <c r="S40" i="4"/>
  <c r="U42" i="4"/>
  <c r="T47" i="4"/>
  <c r="S60" i="4"/>
  <c r="U62" i="4"/>
  <c r="T69" i="4"/>
  <c r="S74" i="4"/>
  <c r="U76" i="4"/>
  <c r="T81" i="4"/>
  <c r="S86" i="4"/>
  <c r="U89" i="4"/>
  <c r="T107" i="4"/>
  <c r="S119" i="4"/>
  <c r="U121" i="4"/>
  <c r="T131" i="4"/>
  <c r="S34" i="4"/>
  <c r="T41" i="4"/>
  <c r="S68" i="4"/>
  <c r="T75" i="4"/>
  <c r="S80" i="4"/>
  <c r="T88" i="4"/>
  <c r="S93" i="4"/>
  <c r="S130" i="4"/>
  <c r="T46" i="4"/>
  <c r="U39" i="4"/>
  <c r="U58" i="4"/>
  <c r="T64" i="4"/>
  <c r="S71" i="4"/>
  <c r="S83" i="4"/>
  <c r="T91" i="4"/>
  <c r="S114" i="4"/>
  <c r="T126" i="4"/>
  <c r="U32" i="4"/>
  <c r="S42" i="4"/>
  <c r="U44" i="4"/>
  <c r="S62" i="4"/>
  <c r="T71" i="4"/>
  <c r="S76" i="4"/>
  <c r="U78" i="4"/>
  <c r="T83" i="4"/>
  <c r="S89" i="4"/>
  <c r="U91" i="4"/>
  <c r="T114" i="4"/>
  <c r="S121" i="4"/>
  <c r="S35" i="4"/>
  <c r="U37" i="4"/>
  <c r="S47" i="4"/>
  <c r="U49" i="4"/>
  <c r="S69" i="4"/>
  <c r="S81" i="4"/>
  <c r="S107" i="4"/>
  <c r="S131" i="4"/>
  <c r="T28" i="4"/>
  <c r="T40" i="4"/>
  <c r="T60" i="4"/>
  <c r="T74" i="4"/>
  <c r="T86" i="4"/>
  <c r="T119" i="4"/>
  <c r="S70" i="4"/>
  <c r="T36" i="4"/>
  <c r="S41" i="4"/>
  <c r="S75" i="4"/>
  <c r="T29" i="4"/>
  <c r="S46" i="4"/>
  <c r="T34" i="4"/>
  <c r="S39" i="4"/>
  <c r="S58" i="4"/>
  <c r="T68" i="4"/>
  <c r="S73" i="4"/>
  <c r="T80" i="4"/>
  <c r="S85" i="4"/>
  <c r="T93" i="4"/>
  <c r="S116" i="4"/>
  <c r="T130" i="4"/>
  <c r="S32" i="4"/>
  <c r="S44" i="4"/>
  <c r="T73" i="4"/>
  <c r="S78" i="4"/>
  <c r="T85" i="4"/>
  <c r="T116" i="4"/>
  <c r="N131" i="4"/>
  <c r="Q131" i="4" s="1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4" i="4"/>
  <c r="M125" i="4"/>
  <c r="J16" i="4"/>
  <c r="J15" i="4"/>
  <c r="J87" i="4"/>
  <c r="K87" i="4" s="1"/>
  <c r="J122" i="4"/>
  <c r="K122" i="4"/>
  <c r="J117" i="4"/>
  <c r="K117" i="4"/>
  <c r="J120" i="4"/>
  <c r="L120" i="4" s="1"/>
  <c r="M120" i="4" s="1"/>
  <c r="K120" i="4"/>
  <c r="O120" i="4" s="1"/>
  <c r="P120" i="4" s="1"/>
  <c r="J101" i="4"/>
  <c r="K101" i="4"/>
  <c r="J86" i="4"/>
  <c r="K86" i="4" s="1"/>
  <c r="J85" i="4"/>
  <c r="K85" i="4" s="1"/>
  <c r="J88" i="4"/>
  <c r="K88" i="4" s="1"/>
  <c r="J119" i="4"/>
  <c r="L119" i="4" s="1"/>
  <c r="M119" i="4" s="1"/>
  <c r="K119" i="4"/>
  <c r="O119" i="4" s="1"/>
  <c r="P119" i="4" s="1"/>
  <c r="J72" i="4"/>
  <c r="L72" i="4" s="1"/>
  <c r="K72" i="4"/>
  <c r="J103" i="4"/>
  <c r="K103" i="4"/>
  <c r="J118" i="4"/>
  <c r="K118" i="4"/>
  <c r="J104" i="4"/>
  <c r="K104" i="4"/>
  <c r="J90" i="4"/>
  <c r="K90" i="4" s="1"/>
  <c r="J71" i="4"/>
  <c r="K71" i="4"/>
  <c r="J110" i="4"/>
  <c r="K110" i="4"/>
  <c r="J82" i="4"/>
  <c r="K82" i="4"/>
  <c r="J113" i="4"/>
  <c r="K113" i="4"/>
  <c r="J97" i="4"/>
  <c r="K97" i="4"/>
  <c r="J81" i="4"/>
  <c r="K81" i="4" s="1"/>
  <c r="J116" i="4"/>
  <c r="K116" i="4"/>
  <c r="J100" i="4"/>
  <c r="K100" i="4"/>
  <c r="O100" i="4"/>
  <c r="J84" i="4"/>
  <c r="K84" i="4" s="1"/>
  <c r="J114" i="4"/>
  <c r="L114" i="4" s="1"/>
  <c r="M114" i="4" s="1"/>
  <c r="K114" i="4"/>
  <c r="O114" i="4" s="1"/>
  <c r="P114" i="4" s="1"/>
  <c r="J78" i="4"/>
  <c r="K78" i="4" s="1"/>
  <c r="J115" i="4"/>
  <c r="K115" i="4"/>
  <c r="O115" i="4"/>
  <c r="J99" i="4"/>
  <c r="K99" i="4"/>
  <c r="J83" i="4"/>
  <c r="K83" i="4"/>
  <c r="J102" i="4"/>
  <c r="K102" i="4"/>
  <c r="J74" i="4"/>
  <c r="K74" i="4" s="1"/>
  <c r="J125" i="4"/>
  <c r="K125" i="4"/>
  <c r="J109" i="4"/>
  <c r="K109" i="4"/>
  <c r="J93" i="4"/>
  <c r="K93" i="4"/>
  <c r="J77" i="4"/>
  <c r="K77" i="4"/>
  <c r="J112" i="4"/>
  <c r="K112" i="4"/>
  <c r="J96" i="4"/>
  <c r="K96" i="4" s="1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 s="1"/>
  <c r="J126" i="4"/>
  <c r="K126" i="4"/>
  <c r="J94" i="4"/>
  <c r="K94" i="4" s="1"/>
  <c r="J121" i="4"/>
  <c r="L121" i="4" s="1"/>
  <c r="M121" i="4" s="1"/>
  <c r="K121" i="4"/>
  <c r="O121" i="4" s="1"/>
  <c r="P121" i="4" s="1"/>
  <c r="J105" i="4"/>
  <c r="K105" i="4"/>
  <c r="J89" i="4"/>
  <c r="K89" i="4" s="1"/>
  <c r="J73" i="4"/>
  <c r="K73" i="4" s="1"/>
  <c r="J124" i="4"/>
  <c r="K124" i="4"/>
  <c r="J108" i="4"/>
  <c r="K108" i="4"/>
  <c r="O108" i="4" s="1"/>
  <c r="P108" i="4" s="1"/>
  <c r="J92" i="4"/>
  <c r="K92" i="4"/>
  <c r="J76" i="4"/>
  <c r="L76" i="4" s="1"/>
  <c r="K76" i="4"/>
  <c r="J98" i="4"/>
  <c r="K98" i="4"/>
  <c r="J123" i="4"/>
  <c r="K123" i="4"/>
  <c r="J107" i="4"/>
  <c r="K107" i="4"/>
  <c r="O107" i="4" s="1"/>
  <c r="P107" i="4" s="1"/>
  <c r="J91" i="4"/>
  <c r="K91" i="4"/>
  <c r="O91" i="4" s="1"/>
  <c r="P91" i="4" s="1"/>
  <c r="J75" i="4"/>
  <c r="L75" i="4" s="1"/>
  <c r="K75" i="4"/>
  <c r="P100" i="4"/>
  <c r="P115" i="4"/>
  <c r="O112" i="4"/>
  <c r="P112" i="4"/>
  <c r="O98" i="4"/>
  <c r="P98" i="4"/>
  <c r="O105" i="4"/>
  <c r="P105" i="4"/>
  <c r="O126" i="4"/>
  <c r="P126" i="4"/>
  <c r="O111" i="4"/>
  <c r="P111" i="4"/>
  <c r="O104" i="4"/>
  <c r="P104" i="4"/>
  <c r="O124" i="4"/>
  <c r="P124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6" i="4"/>
  <c r="P116" i="4"/>
  <c r="O113" i="4"/>
  <c r="P113" i="4"/>
  <c r="O71" i="4"/>
  <c r="P71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I77" i="4"/>
  <c r="I81" i="4"/>
  <c r="I89" i="4"/>
  <c r="L89" i="4" s="1"/>
  <c r="I90" i="4"/>
  <c r="L90" i="4" s="1"/>
  <c r="I96" i="4"/>
  <c r="I99" i="4"/>
  <c r="I102" i="4"/>
  <c r="I104" i="4"/>
  <c r="I108" i="4"/>
  <c r="L108" i="4" s="1"/>
  <c r="M108" i="4" s="1"/>
  <c r="I111" i="4"/>
  <c r="I113" i="4"/>
  <c r="I115" i="4"/>
  <c r="I119" i="4"/>
  <c r="I120" i="4"/>
  <c r="I123" i="4"/>
  <c r="I125" i="4"/>
  <c r="I79" i="4"/>
  <c r="L79" i="4" s="1"/>
  <c r="I92" i="4"/>
  <c r="N92" i="4" s="1"/>
  <c r="Q92" i="4" s="1"/>
  <c r="I100" i="4"/>
  <c r="I103" i="4"/>
  <c r="I107" i="4"/>
  <c r="N107" i="4" s="1"/>
  <c r="Q107" i="4" s="1"/>
  <c r="I109" i="4"/>
  <c r="I110" i="4"/>
  <c r="I117" i="4"/>
  <c r="I124" i="4"/>
  <c r="I72" i="4"/>
  <c r="N72" i="4" s="1"/>
  <c r="Q72" i="4" s="1"/>
  <c r="I106" i="4"/>
  <c r="I71" i="4"/>
  <c r="I75" i="4"/>
  <c r="I80" i="4"/>
  <c r="I83" i="4"/>
  <c r="L83" i="4" s="1"/>
  <c r="I86" i="4"/>
  <c r="N86" i="4" s="1"/>
  <c r="Q86" i="4" s="1"/>
  <c r="I88" i="4"/>
  <c r="N88" i="4" s="1"/>
  <c r="Q88" i="4" s="1"/>
  <c r="I94" i="4"/>
  <c r="I95" i="4"/>
  <c r="I98" i="4"/>
  <c r="I101" i="4"/>
  <c r="I118" i="4"/>
  <c r="I127" i="4"/>
  <c r="I73" i="4"/>
  <c r="N73" i="4" s="1"/>
  <c r="Q73" i="4" s="1"/>
  <c r="I74" i="4"/>
  <c r="N74" i="4" s="1"/>
  <c r="Q74" i="4" s="1"/>
  <c r="I78" i="4"/>
  <c r="I82" i="4"/>
  <c r="N82" i="4" s="1"/>
  <c r="Q82" i="4" s="1"/>
  <c r="I85" i="4"/>
  <c r="N85" i="4" s="1"/>
  <c r="Q85" i="4" s="1"/>
  <c r="I93" i="4"/>
  <c r="N93" i="4" s="1"/>
  <c r="Q93" i="4" s="1"/>
  <c r="I112" i="4"/>
  <c r="I114" i="4"/>
  <c r="I121" i="4"/>
  <c r="I122" i="4"/>
  <c r="I84" i="4"/>
  <c r="I87" i="4"/>
  <c r="I91" i="4"/>
  <c r="L91" i="4" s="1"/>
  <c r="M91" i="4" s="1"/>
  <c r="I97" i="4"/>
  <c r="N97" i="4" s="1"/>
  <c r="Q97" i="4" s="1"/>
  <c r="I105" i="4"/>
  <c r="I116" i="4"/>
  <c r="N116" i="4" s="1"/>
  <c r="Q116" i="4" s="1"/>
  <c r="I126" i="4"/>
  <c r="N126" i="4" s="1"/>
  <c r="Q126" i="4" s="1"/>
  <c r="L105" i="4"/>
  <c r="N105" i="4"/>
  <c r="Q105" i="4"/>
  <c r="N121" i="4"/>
  <c r="Q121" i="4" s="1"/>
  <c r="L73" i="4"/>
  <c r="N101" i="4"/>
  <c r="Q101" i="4"/>
  <c r="L101" i="4"/>
  <c r="N75" i="4"/>
  <c r="Q75" i="4" s="1"/>
  <c r="L106" i="4"/>
  <c r="N106" i="4"/>
  <c r="Q106" i="4"/>
  <c r="L124" i="4"/>
  <c r="N124" i="4"/>
  <c r="Q124" i="4"/>
  <c r="N79" i="4"/>
  <c r="Q79" i="4"/>
  <c r="N119" i="4"/>
  <c r="Q119" i="4" s="1"/>
  <c r="L96" i="4"/>
  <c r="N96" i="4"/>
  <c r="Q96" i="4" s="1"/>
  <c r="N77" i="4"/>
  <c r="Q77" i="4"/>
  <c r="L77" i="4"/>
  <c r="L97" i="4"/>
  <c r="N114" i="4"/>
  <c r="Q114" i="4" s="1"/>
  <c r="N98" i="4"/>
  <c r="Q98" i="4"/>
  <c r="L98" i="4"/>
  <c r="N71" i="4"/>
  <c r="Q71" i="4"/>
  <c r="L71" i="4"/>
  <c r="M71" i="4" s="1"/>
  <c r="N117" i="4"/>
  <c r="Q117" i="4"/>
  <c r="L117" i="4"/>
  <c r="N103" i="4"/>
  <c r="Q103" i="4"/>
  <c r="L103" i="4"/>
  <c r="L125" i="4"/>
  <c r="N125" i="4"/>
  <c r="Q125" i="4"/>
  <c r="N115" i="4"/>
  <c r="Q115" i="4"/>
  <c r="L115" i="4"/>
  <c r="M115" i="4" s="1"/>
  <c r="L104" i="4"/>
  <c r="N104" i="4"/>
  <c r="Q104" i="4"/>
  <c r="N76" i="4"/>
  <c r="Q76" i="4" s="1"/>
  <c r="L126" i="4"/>
  <c r="M126" i="4" s="1"/>
  <c r="N91" i="4"/>
  <c r="Q91" i="4"/>
  <c r="L112" i="4"/>
  <c r="N112" i="4"/>
  <c r="Q112" i="4"/>
  <c r="L127" i="4"/>
  <c r="M127" i="4" s="1"/>
  <c r="N127" i="4"/>
  <c r="Q127" i="4"/>
  <c r="N95" i="4"/>
  <c r="Q95" i="4"/>
  <c r="L95" i="4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7" i="4"/>
  <c r="Q87" i="4" s="1"/>
  <c r="L87" i="4"/>
  <c r="N122" i="4"/>
  <c r="Q122" i="4"/>
  <c r="L122" i="4"/>
  <c r="N118" i="4"/>
  <c r="Q118" i="4"/>
  <c r="L118" i="4"/>
  <c r="L94" i="4"/>
  <c r="N94" i="4"/>
  <c r="Q94" i="4"/>
  <c r="N109" i="4"/>
  <c r="Q109" i="4"/>
  <c r="L109" i="4"/>
  <c r="N120" i="4"/>
  <c r="Q120" i="4" s="1"/>
  <c r="N111" i="4"/>
  <c r="Q111" i="4"/>
  <c r="L111" i="4"/>
  <c r="N99" i="4"/>
  <c r="Q99" i="4"/>
  <c r="L99" i="4"/>
  <c r="L81" i="4"/>
  <c r="N81" i="4"/>
  <c r="Q81" i="4" s="1"/>
  <c r="M76" i="4" l="1"/>
  <c r="M79" i="4"/>
  <c r="O78" i="4"/>
  <c r="P78" i="4" s="1"/>
  <c r="M89" i="4"/>
  <c r="O76" i="4"/>
  <c r="P76" i="4" s="1"/>
  <c r="M81" i="4"/>
  <c r="L107" i="4"/>
  <c r="M107" i="4" s="1"/>
  <c r="O92" i="4"/>
  <c r="P92" i="4" s="1"/>
  <c r="O96" i="4"/>
  <c r="P96" i="4" s="1"/>
  <c r="O82" i="4"/>
  <c r="P82" i="4" s="1"/>
  <c r="M87" i="4"/>
  <c r="L86" i="4"/>
  <c r="M83" i="4"/>
  <c r="O84" i="4"/>
  <c r="P84" i="4" s="1"/>
  <c r="O72" i="4"/>
  <c r="P72" i="4" s="1"/>
  <c r="M96" i="4"/>
  <c r="M73" i="4"/>
  <c r="O83" i="4"/>
  <c r="P83" i="4" s="1"/>
  <c r="M72" i="4"/>
  <c r="M94" i="4"/>
  <c r="L116" i="4"/>
  <c r="M116" i="4" s="1"/>
  <c r="L85" i="4"/>
  <c r="O77" i="4"/>
  <c r="P77" i="4" s="1"/>
  <c r="O95" i="4"/>
  <c r="P95" i="4" s="1"/>
  <c r="O87" i="4"/>
  <c r="P87" i="4" s="1"/>
  <c r="M77" i="4"/>
  <c r="N90" i="4"/>
  <c r="Q90" i="4" s="1"/>
  <c r="O93" i="4"/>
  <c r="P93" i="4" s="1"/>
  <c r="O88" i="4"/>
  <c r="P88" i="4" s="1"/>
  <c r="L84" i="4"/>
  <c r="O73" i="4"/>
  <c r="P73" i="4" s="1"/>
  <c r="O90" i="4"/>
  <c r="P90" i="4" s="1"/>
  <c r="O85" i="4"/>
  <c r="P85" i="4" s="1"/>
  <c r="L74" i="4"/>
  <c r="N89" i="4"/>
  <c r="Q89" i="4" s="1"/>
  <c r="O89" i="4"/>
  <c r="P89" i="4" s="1"/>
  <c r="O81" i="4"/>
  <c r="P81" i="4" s="1"/>
  <c r="O86" i="4"/>
  <c r="P86" i="4" s="1"/>
  <c r="O74" i="4"/>
  <c r="P74" i="4" s="1"/>
  <c r="O94" i="4"/>
  <c r="P94" i="4" s="1"/>
  <c r="L80" i="4"/>
  <c r="M90" i="4"/>
  <c r="N108" i="4"/>
  <c r="Q108" i="4" s="1"/>
  <c r="O97" i="4"/>
  <c r="P97" i="4" s="1"/>
  <c r="O80" i="4"/>
  <c r="P80" i="4" s="1"/>
  <c r="M95" i="4"/>
  <c r="O75" i="4"/>
  <c r="P75" i="4" s="1"/>
  <c r="M75" i="4"/>
  <c r="L78" i="4"/>
  <c r="O79" i="4"/>
  <c r="P79" i="4" s="1"/>
  <c r="L92" i="4"/>
  <c r="M97" i="4"/>
  <c r="L93" i="4"/>
  <c r="L88" i="4"/>
  <c r="N80" i="4"/>
  <c r="Q80" i="4" s="1"/>
  <c r="L82" i="4"/>
  <c r="N78" i="4"/>
  <c r="Q78" i="4" s="1"/>
  <c r="N84" i="4"/>
  <c r="Q84" i="4" s="1"/>
  <c r="J14" i="4"/>
  <c r="J13" i="4" s="1"/>
  <c r="K16" i="4" s="1"/>
  <c r="M82" i="4" l="1"/>
  <c r="M85" i="4"/>
  <c r="M74" i="4"/>
  <c r="M86" i="4"/>
  <c r="M88" i="4"/>
  <c r="M80" i="4"/>
  <c r="M78" i="4"/>
  <c r="M93" i="4"/>
  <c r="M92" i="4"/>
  <c r="M84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4" i="4" l="1"/>
  <c r="O65" i="4"/>
  <c r="P65" i="4" s="1"/>
  <c r="O67" i="4"/>
  <c r="P67" i="4" s="1"/>
  <c r="M69" i="4"/>
  <c r="M58" i="4"/>
  <c r="O69" i="4"/>
  <c r="P69" i="4" s="1"/>
  <c r="M57" i="4"/>
  <c r="M66" i="4"/>
  <c r="M67" i="4"/>
  <c r="M68" i="4"/>
  <c r="O68" i="4"/>
  <c r="P68" i="4" s="1"/>
  <c r="O64" i="4"/>
  <c r="P64" i="4" s="1"/>
  <c r="O66" i="4"/>
  <c r="P66" i="4" s="1"/>
  <c r="M65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L39" i="4" s="1"/>
  <c r="J45" i="4"/>
  <c r="L45" i="4" s="1"/>
  <c r="J30" i="4"/>
  <c r="K30" i="4" s="1"/>
  <c r="J43" i="4"/>
  <c r="L43" i="4" s="1"/>
  <c r="J31" i="4"/>
  <c r="K31" i="4" s="1"/>
  <c r="J44" i="4"/>
  <c r="L44" i="4" s="1"/>
  <c r="J36" i="4"/>
  <c r="K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44" i="4"/>
  <c r="L36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K39" i="4"/>
  <c r="L50" i="4"/>
  <c r="M50" i="4" s="1"/>
  <c r="K50" i="4"/>
  <c r="O50" i="4" s="1"/>
  <c r="P50" i="4" s="1"/>
  <c r="L49" i="4"/>
  <c r="K49" i="4"/>
  <c r="M49" i="4" l="1"/>
  <c r="O48" i="4"/>
  <c r="P48" i="4" s="1"/>
  <c r="M48" i="4"/>
  <c r="O49" i="4"/>
  <c r="P49" i="4" s="1"/>
  <c r="O44" i="4"/>
  <c r="P44" i="4" s="1"/>
  <c r="O33" i="4"/>
  <c r="P33" i="4" s="1"/>
  <c r="M44" i="4"/>
  <c r="O31" i="4"/>
  <c r="P31" i="4" s="1"/>
  <c r="O39" i="4"/>
  <c r="P39" i="4" s="1"/>
  <c r="L47" i="4"/>
  <c r="O35" i="4"/>
  <c r="P35" i="4" s="1"/>
  <c r="O46" i="4"/>
  <c r="P46" i="4" s="1"/>
  <c r="O41" i="4"/>
  <c r="P41" i="4" s="1"/>
  <c r="O47" i="4"/>
  <c r="P47" i="4" s="1"/>
  <c r="O28" i="4"/>
  <c r="P28" i="4" s="1"/>
  <c r="O36" i="4"/>
  <c r="P36" i="4" s="1"/>
  <c r="M43" i="4"/>
  <c r="O30" i="4"/>
  <c r="P30" i="4" s="1"/>
  <c r="M45" i="4"/>
  <c r="M39" i="4"/>
  <c r="L35" i="4"/>
  <c r="K45" i="4"/>
  <c r="L30" i="4"/>
  <c r="L31" i="4"/>
  <c r="K43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O43" i="4" l="1"/>
  <c r="P43" i="4" s="1"/>
  <c r="M31" i="4"/>
  <c r="M30" i="4"/>
  <c r="O29" i="4"/>
  <c r="P29" i="4" s="1"/>
  <c r="O40" i="4"/>
  <c r="P40" i="4" s="1"/>
  <c r="O42" i="4"/>
  <c r="P42" i="4" s="1"/>
  <c r="M47" i="4"/>
  <c r="M46" i="4"/>
  <c r="O45" i="4"/>
  <c r="P45" i="4" s="1"/>
  <c r="M33" i="4"/>
  <c r="M35" i="4"/>
  <c r="O38" i="4"/>
  <c r="P38" i="4" s="1"/>
  <c r="O32" i="4"/>
  <c r="P32" i="4" s="1"/>
  <c r="O34" i="4"/>
  <c r="P34" i="4" s="1"/>
  <c r="M41" i="4"/>
  <c r="O37" i="4"/>
  <c r="P37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<sst xmlns="http://schemas.openxmlformats.org/spreadsheetml/2006/main" count="318" uniqueCount="293">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</sst>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32</v>
      </c>
      <c r="K17" s="31" t="s">
        <v>79</v>
      </c>
      <c r="L17" s="81">
        <v>3.2908E-3</v>
      </c>
      <c r="M17" s="81">
        <v>4.0128000000000001E-4</v>
      </c>
      <c r="N17" s="81">
        <v>1.0792000000000001E-4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3" zoomScale="55" zoomScaleNormal="55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40.021279999999997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39.99770848</v>
      </c>
      <c r="K8" s="39">
        <f>J8/J7</f>
        <v>0.99941102533452209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2.1447167999999999E-2</v>
      </c>
      <c r="K9" s="39">
        <f>J9/J7</f>
        <v>5.3589410433649298E-4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2.1243520000000004E-3</v>
      </c>
      <c r="K10" s="39">
        <f>J10/J7</f>
        <v>5.3080561141472752E-5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2.128E-2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1.8428480000000001E-2</v>
      </c>
      <c r="K20" s="39">
        <f>J20/J19</f>
        <v>0.86599999999999999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2.2471679999999999E-3</v>
      </c>
      <c r="K21" s="39">
        <f>J21/J19</f>
        <v>0.1056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6.0435200000000006E-4</v>
      </c>
      <c r="K22" s="39">
        <f>J22/J19</f>
        <v>2.8400000000000002E-2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113</v>
      </c>
      <c r="C28" s="46" t="s">
        <v>114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0.89119664393071463</v>
      </c>
      <c r="K28" s="95">
        <f t="shared" ref="K28:K47" si="3">IF(D28=0,"",1/(1+10^D28*$J$15/$J$14+10^E28*$J$16/$J$14+10^J28*$J$19/$J$14))</f>
        <v>0.97245596886037977</v>
      </c>
      <c r="L28" s="95">
        <f t="shared" ref="L28:L47" si="4">IF(D28=0,"",1/(1+10^I28/10^J28*$J$13/$J$19))</f>
        <v>4.0290554589590489E-3</v>
      </c>
      <c r="M28" s="95">
        <f t="shared" ref="M28:M47" si="5">IF(D28=0,"",1-L28)</f>
        <v>0.99597094454104096</v>
      </c>
      <c r="N28" s="95">
        <f t="shared" ref="N28:N47" si="6">IF(D28=0,"",1/(1/10^E28*$J$20/$J$22+10^D28/10^E28*$J$21/$J$22+10^I28/10^E28*$J$13/$J$22+1))</f>
        <v>1.1742753421364938E-3</v>
      </c>
      <c r="O28" s="40">
        <f t="shared" ref="O28:O47" si="7">IF(D28=0,"",F28*K28*$J$7/$J$14)</f>
        <v>9.7347757682060642E-7</v>
      </c>
      <c r="P28" s="40">
        <f t="shared" ref="P28:P47" si="8">IF(D28=0,"",O28*10^J28)</f>
        <v>7.5774415722992763E-6</v>
      </c>
      <c r="Q28" s="40">
        <f t="shared" ref="Q28:Q47" si="9">IF(D28=0,"",F28*N28*$J$7/$J$22)</f>
        <v>7.7762632149377202E-5</v>
      </c>
      <c r="R28" s="9">
        <f>F28*$C$14</f>
        <v>3.9999999999999996E-5</v>
      </c>
      <c r="S28" s="9">
        <f>$R28*L28</f>
        <v>1.6116221835836195E-7</v>
      </c>
      <c r="T28" s="9">
        <f>R28*K28</f>
        <v>3.889823875441519E-5</v>
      </c>
      <c r="U28" s="9">
        <f>$R28*M28</f>
        <v>3.9838837781641634E-5</v>
      </c>
      <c r="V28" s="102">
        <f>K28/M28</f>
        <v>0.97638989790862096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115</v>
      </c>
      <c r="C29" s="46" t="s">
        <v>116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4.4020071593837926</v>
      </c>
      <c r="K29" s="95">
        <f t="shared" si="3"/>
        <v>1.497473096666483E-2</v>
      </c>
      <c r="L29" s="95">
        <f t="shared" si="4"/>
        <v>0.20114203662552832</v>
      </c>
      <c r="M29" s="95">
        <f t="shared" si="5"/>
        <v>0.79885796337447168</v>
      </c>
      <c r="N29" s="95">
        <f t="shared" si="6"/>
        <v>0.155022959577655</v>
      </c>
      <c r="O29" s="40">
        <f t="shared" si="7"/>
        <v>1.4990462583157169E-8</v>
      </c>
      <c r="P29" s="40">
        <f t="shared" si="8"/>
        <v>3.7828767704701713E-4</v>
      </c>
      <c r="Q29" s="40">
        <f t="shared" si="9"/>
        <v>1.0265900123911249E-2</v>
      </c>
      <c r="R29" s="9">
        <f>F29*$C$14</f>
        <v>3.9999999999999996E-5</v>
      </c>
      <c r="S29" s="9">
        <f t="shared" ref="S29:S49" si="10">$R29*L29</f>
        <v>8.0456814650211317E-6</v>
      </c>
      <c r="T29" s="9">
        <f t="shared" ref="T29:T50" si="11">R29*K29</f>
        <v>5.9898923866659315E-7</v>
      </c>
      <c r="U29" s="9">
        <f t="shared" ref="U29:U50" si="12">$R29*M29</f>
        <v>3.1954318534978863E-5</v>
      </c>
      <c r="V29" s="102">
        <f t="shared" ref="V29:V49" si="13">K29/M29</f>
        <v>1.8745173301408641E-2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117</v>
      </c>
      <c r="C30" s="46" t="s">
        <v>118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7.7643514268344243</v>
      </c>
      <c r="K30" s="95">
        <f t="shared" si="3"/>
        <v>8.8136711929229556E-6</v>
      </c>
      <c r="L30" s="95">
        <f t="shared" si="4"/>
        <v>0.27267475176146883</v>
      </c>
      <c r="M30" s="95">
        <f t="shared" si="5"/>
        <v>0.72732524823853117</v>
      </c>
      <c r="N30" s="95">
        <f t="shared" si="6"/>
        <v>0.26578889991995558</v>
      </c>
      <c r="O30" s="40">
        <f t="shared" si="7"/>
        <v>8.8229303439157377E-12</v>
      </c>
      <c r="P30" s="40">
        <f t="shared" si="8"/>
        <v>5.1281920061918475E-4</v>
      </c>
      <c r="Q30" s="40">
        <f t="shared" si="9"/>
        <v>1.7601020571766979E-2</v>
      </c>
      <c r="R30" s="9">
        <f t="shared" ref="R30:R49" si="14">F30*$C$14</f>
        <v>3.9999999999999996E-5</v>
      </c>
      <c r="S30" s="9">
        <f t="shared" si="10"/>
        <v>1.0906990070458752E-5</v>
      </c>
      <c r="T30" s="9">
        <f t="shared" si="11"/>
        <v>3.525468477169182E-10</v>
      </c>
      <c r="U30" s="9">
        <f t="shared" si="12"/>
        <v>2.9093009929541243E-5</v>
      </c>
      <c r="V30" s="102">
        <f t="shared" si="13"/>
        <v>1.2117922778383259E-5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111</v>
      </c>
      <c r="C31" s="46" t="s">
        <v>112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2.9028974715327305</v>
      </c>
      <c r="K31" s="95">
        <f t="shared" si="3"/>
        <v>0.30715855611692389</v>
      </c>
      <c r="L31" s="95">
        <f t="shared" si="4"/>
        <v>0.1307364668700369</v>
      </c>
      <c r="M31" s="95">
        <f t="shared" si="5"/>
        <v>0.86926353312996307</v>
      </c>
      <c r="N31" s="95">
        <f t="shared" si="6"/>
        <v>9.1841001845435352E-2</v>
      </c>
      <c r="O31" s="40">
        <f t="shared" si="7"/>
        <v>3.0748123975096903E-7</v>
      </c>
      <c r="P31" s="40">
        <f t="shared" si="8"/>
        <v>2.4587597494438298E-4</v>
      </c>
      <c r="Q31" s="40">
        <f t="shared" si="9"/>
        <v>6.0818768703283588E-3</v>
      </c>
      <c r="R31" s="9">
        <f t="shared" si="14"/>
        <v>3.9999999999999996E-5</v>
      </c>
      <c r="S31" s="9">
        <f t="shared" si="10"/>
        <v>5.2294586748014756E-6</v>
      </c>
      <c r="T31" s="9">
        <f t="shared" si="11"/>
        <v>1.2286342244676954E-5</v>
      </c>
      <c r="U31" s="9">
        <f t="shared" si="12"/>
        <v>3.4770541325198521E-5</v>
      </c>
      <c r="V31" s="102">
        <f t="shared" si="13"/>
        <v>0.35335493139915347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119</v>
      </c>
      <c r="C32" s="46" t="s">
        <v>120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2.9114243406645763</v>
      </c>
      <c r="J32" s="94">
        <f t="shared" si="2"/>
        <v>5.6009687713569756</v>
      </c>
      <c r="K32" s="95">
        <f t="shared" si="3"/>
        <v>9.7247946524450443E-4</v>
      </c>
      <c r="L32" s="95">
        <f t="shared" si="4"/>
        <v>0.20653129399621173</v>
      </c>
      <c r="M32" s="95">
        <f t="shared" si="5"/>
        <v>0.79346870600378827</v>
      </c>
      <c r="N32" s="95">
        <f t="shared" si="6"/>
        <v>0.16124098211108909</v>
      </c>
      <c r="O32" s="40">
        <f t="shared" si="7"/>
        <v>9.7350109788872068E-10</v>
      </c>
      <c r="P32" s="40">
        <f t="shared" si="8"/>
        <v>3.8842324933198848E-4</v>
      </c>
      <c r="Q32" s="40">
        <f t="shared" si="9"/>
        <v>1.0677668796567043E-2</v>
      </c>
      <c r="R32" s="9">
        <f t="shared" si="14"/>
        <v>3.9999999999999996E-5</v>
      </c>
      <c r="S32" s="9">
        <f t="shared" si="10"/>
        <v>8.2612517598484687E-6</v>
      </c>
      <c r="T32" s="9">
        <f t="shared" si="11"/>
        <v>3.8899178609780177E-8</v>
      </c>
      <c r="U32" s="9">
        <f t="shared" si="12"/>
        <v>3.1738748240151526E-5</v>
      </c>
      <c r="V32" s="102">
        <f t="shared" si="13"/>
        <v>1.2256053173694559E-3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121</v>
      </c>
      <c r="C33" s="96" t="s">
        <v>122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5.1209220349701772</v>
      </c>
      <c r="K33" s="95">
        <f t="shared" si="3"/>
        <v>2.7558146005148975E-3</v>
      </c>
      <c r="L33" s="95">
        <f t="shared" si="4"/>
        <v>0.19377988187242945</v>
      </c>
      <c r="M33" s="95">
        <f t="shared" si="5"/>
        <v>0.80622011812757055</v>
      </c>
      <c r="N33" s="95">
        <f t="shared" si="6"/>
        <v>0.14134973281408228</v>
      </c>
      <c r="O33" s="40">
        <f t="shared" si="7"/>
        <v>2.758709705509825E-9</v>
      </c>
      <c r="P33" s="40">
        <f t="shared" si="8"/>
        <v>3.6444167813831901E-4</v>
      </c>
      <c r="Q33" s="40">
        <f t="shared" si="9"/>
        <v>9.3604343741355584E-3</v>
      </c>
      <c r="R33" s="9">
        <f t="shared" si="14"/>
        <v>3.9999999999999996E-5</v>
      </c>
      <c r="S33" s="9">
        <f t="shared" si="10"/>
        <v>7.7511952748971765E-6</v>
      </c>
      <c r="T33" s="9">
        <f t="shared" si="11"/>
        <v>1.1023258402059589E-7</v>
      </c>
      <c r="U33" s="9">
        <f t="shared" si="12"/>
        <v>3.2248804725102818E-5</v>
      </c>
      <c r="V33" s="102">
        <f t="shared" si="13"/>
        <v>3.4181913084918043E-3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123</v>
      </c>
      <c r="C34" s="46" t="s">
        <v>124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5.1374431470300399</v>
      </c>
      <c r="K34" s="95">
        <f t="shared" si="3"/>
        <v>2.7688617589538547E-3</v>
      </c>
      <c r="L34" s="95">
        <f t="shared" si="4"/>
        <v>0.20224652830889958</v>
      </c>
      <c r="M34" s="95">
        <f t="shared" si="5"/>
        <v>0.79775347169110045</v>
      </c>
      <c r="N34" s="95">
        <f t="shared" si="6"/>
        <v>0.15475484992009328</v>
      </c>
      <c r="O34" s="40">
        <f t="shared" si="7"/>
        <v>2.7717705705651704E-9</v>
      </c>
      <c r="P34" s="40">
        <f t="shared" si="8"/>
        <v>3.8036489372548853E-4</v>
      </c>
      <c r="Q34" s="40">
        <f t="shared" si="9"/>
        <v>1.024814541858061E-2</v>
      </c>
      <c r="R34" s="9">
        <f t="shared" si="14"/>
        <v>3.9999999999999996E-5</v>
      </c>
      <c r="S34" s="9">
        <f t="shared" si="10"/>
        <v>8.0898611323559828E-6</v>
      </c>
      <c r="T34" s="9">
        <f t="shared" si="11"/>
        <v>1.1075447035815418E-7</v>
      </c>
      <c r="U34" s="9">
        <f t="shared" si="12"/>
        <v>3.1910138867644012E-5</v>
      </c>
      <c r="V34" s="102">
        <f t="shared" si="13"/>
        <v>3.4708238286752209E-3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125</v>
      </c>
      <c r="C35" s="46" t="s">
        <v>126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2.0283467872043253</v>
      </c>
      <c r="K35" s="95">
        <f t="shared" si="3"/>
        <v>0.72661941064701441</v>
      </c>
      <c r="L35" s="95">
        <f t="shared" si="4"/>
        <v>4.1284824008037804E-2</v>
      </c>
      <c r="M35" s="95">
        <f t="shared" si="5"/>
        <v>0.95871517599196221</v>
      </c>
      <c r="N35" s="95">
        <f t="shared" si="6"/>
        <v>1.9536195401045411E-2</v>
      </c>
      <c r="O35" s="40">
        <f t="shared" si="7"/>
        <v>7.27382756441315E-7</v>
      </c>
      <c r="P35" s="40">
        <f t="shared" si="8"/>
        <v>7.7644337470695625E-5</v>
      </c>
      <c r="Q35" s="40">
        <f t="shared" si="9"/>
        <v>1.2937221127421611E-3</v>
      </c>
      <c r="R35" s="9">
        <f t="shared" si="14"/>
        <v>3.9999999999999996E-5</v>
      </c>
      <c r="S35" s="9">
        <f t="shared" si="10"/>
        <v>1.651392960321512E-6</v>
      </c>
      <c r="T35" s="9">
        <f t="shared" si="11"/>
        <v>2.9064776425880574E-5</v>
      </c>
      <c r="U35" s="9">
        <f t="shared" si="12"/>
        <v>3.8348607039678486E-5</v>
      </c>
      <c r="V35" s="102">
        <f t="shared" si="13"/>
        <v>0.75790957402462811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8.2095828794962227</v>
      </c>
      <c r="K36" s="95">
        <f t="shared" si="3"/>
        <v>3.1715277057960188E-6</v>
      </c>
      <c r="L36" s="95">
        <f t="shared" si="4"/>
        <v>0.27351934279196166</v>
      </c>
      <c r="M36" s="95">
        <f t="shared" si="5"/>
        <v>0.72648065720803834</v>
      </c>
      <c r="N36" s="95">
        <f t="shared" si="6"/>
        <v>0.26712498133387697</v>
      </c>
      <c r="O36" s="40">
        <f t="shared" si="7"/>
        <v>3.1748595357750334E-12</v>
      </c>
      <c r="P36" s="40">
        <f t="shared" si="8"/>
        <v>5.1440762233520186E-4</v>
      </c>
      <c r="Q36" s="40">
        <f t="shared" si="9"/>
        <v>1.7689498293970835E-2</v>
      </c>
      <c r="R36" s="9">
        <f t="shared" si="14"/>
        <v>3.9999999999999996E-5</v>
      </c>
      <c r="S36" s="9">
        <f t="shared" si="10"/>
        <v>1.0940773711678466E-5</v>
      </c>
      <c r="T36" s="9">
        <f t="shared" si="11"/>
        <v>1.2686110823184074E-10</v>
      </c>
      <c r="U36" s="9">
        <f t="shared" si="12"/>
        <v>2.905922628832153E-5</v>
      </c>
      <c r="V36" s="102">
        <f t="shared" si="13"/>
        <v>4.365605160066644E-6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127</v>
      </c>
      <c r="C37" s="96" t="s">
        <v>128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3.7002740773254659</v>
      </c>
      <c r="K37" s="95">
        <f t="shared" si="3"/>
        <v>6.7984907931927782E-2</v>
      </c>
      <c r="L37" s="95">
        <f t="shared" si="4"/>
        <v>0.18147769151606113</v>
      </c>
      <c r="M37" s="95">
        <f t="shared" si="5"/>
        <v>0.81852230848393881</v>
      </c>
      <c r="N37" s="95">
        <f t="shared" si="6"/>
        <v>0.13265160496274084</v>
      </c>
      <c r="O37" s="40">
        <f t="shared" si="7"/>
        <v>6.8056329081411724E-8</v>
      </c>
      <c r="P37" s="40">
        <f t="shared" si="8"/>
        <v>3.4130495798486414E-4</v>
      </c>
      <c r="Q37" s="40">
        <f t="shared" si="9"/>
        <v>8.7844286519499215E-3</v>
      </c>
      <c r="R37" s="9">
        <f t="shared" si="14"/>
        <v>3.9999999999999996E-5</v>
      </c>
      <c r="S37" s="9">
        <f t="shared" si="10"/>
        <v>7.2591076606424448E-6</v>
      </c>
      <c r="T37" s="9">
        <f t="shared" si="11"/>
        <v>2.7193963172771109E-6</v>
      </c>
      <c r="U37" s="9">
        <f t="shared" si="12"/>
        <v>3.2740892339357552E-5</v>
      </c>
      <c r="V37" s="102">
        <f t="shared" si="13"/>
        <v>8.3058100221909584E-2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129</v>
      </c>
      <c r="C38" s="46" t="s">
        <v>130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2.2551798002203722</v>
      </c>
      <c r="K38" s="95">
        <f t="shared" si="3"/>
        <v>0.63921333670102554</v>
      </c>
      <c r="L38" s="95">
        <f t="shared" si="4"/>
        <v>6.1229721343833164E-2</v>
      </c>
      <c r="M38" s="95">
        <f t="shared" si="5"/>
        <v>0.9387702786561668</v>
      </c>
      <c r="N38" s="95">
        <f t="shared" si="6"/>
        <v>3.6669063858286687E-2</v>
      </c>
      <c r="O38" s="40">
        <f t="shared" si="7"/>
        <v>6.3988485855288077E-7</v>
      </c>
      <c r="P38" s="40">
        <f t="shared" si="8"/>
        <v>1.1515469089396254E-4</v>
      </c>
      <c r="Q38" s="40">
        <f t="shared" si="9"/>
        <v>2.4282915784350372E-3</v>
      </c>
      <c r="R38" s="9">
        <f t="shared" si="14"/>
        <v>3.9999999999999996E-5</v>
      </c>
      <c r="S38" s="9">
        <f t="shared" si="10"/>
        <v>2.4491888537533264E-6</v>
      </c>
      <c r="T38" s="9">
        <f t="shared" si="11"/>
        <v>2.5568533468041019E-5</v>
      </c>
      <c r="U38" s="9">
        <f t="shared" si="12"/>
        <v>3.7550811146246665E-5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-1.2147501700621064E-2</v>
      </c>
      <c r="K39" s="95">
        <f t="shared" si="3"/>
        <v>0.99900385007753867</v>
      </c>
      <c r="L39" s="95">
        <f t="shared" si="4"/>
        <v>5.1707830366586158E-4</v>
      </c>
      <c r="M39" s="95">
        <f t="shared" si="5"/>
        <v>0.99948292169633413</v>
      </c>
      <c r="N39" s="95">
        <f t="shared" si="6"/>
        <v>7.314912864038949E-7</v>
      </c>
      <c r="O39" s="40">
        <f t="shared" si="7"/>
        <v>1.0000533477599192E-6</v>
      </c>
      <c r="P39" s="40">
        <f t="shared" si="8"/>
        <v>9.7246877692370619E-7</v>
      </c>
      <c r="Q39" s="40">
        <f t="shared" si="9"/>
        <v>4.8440672969942138E-8</v>
      </c>
      <c r="R39" s="9">
        <f t="shared" si="14"/>
        <v>3.9999999999999996E-5</v>
      </c>
      <c r="S39" s="9">
        <f t="shared" si="10"/>
        <v>2.0683132146634462E-8</v>
      </c>
      <c r="T39" s="9">
        <f t="shared" si="11"/>
        <v>3.9960154003101541E-5</v>
      </c>
      <c r="U39" s="9">
        <f t="shared" si="12"/>
        <v>3.9979316867853358E-5</v>
      </c>
      <c r="V39" s="102">
        <f t="shared" si="13"/>
        <v>0.99952068053550891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131</v>
      </c>
      <c r="C40" s="46" t="s">
        <v>132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2.5362302933767991</v>
      </c>
      <c r="K40" s="95">
        <f t="shared" si="3"/>
        <v>0.44954653446629361</v>
      </c>
      <c r="L40" s="95">
        <f t="shared" si="4"/>
        <v>8.2251078746727838E-2</v>
      </c>
      <c r="M40" s="95">
        <f t="shared" si="5"/>
        <v>0.91774892125327212</v>
      </c>
      <c r="N40" s="95">
        <f t="shared" si="6"/>
        <v>3.8611320016244337E-2</v>
      </c>
      <c r="O40" s="40">
        <f t="shared" si="7"/>
        <v>4.5001880296256416E-7</v>
      </c>
      <c r="P40" s="40">
        <f t="shared" si="8"/>
        <v>1.5468954195605464E-4</v>
      </c>
      <c r="Q40" s="40">
        <f t="shared" si="9"/>
        <v>2.5569112860381348E-3</v>
      </c>
      <c r="R40" s="9">
        <f t="shared" si="14"/>
        <v>3.9999999999999996E-5</v>
      </c>
      <c r="S40" s="9">
        <f t="shared" si="10"/>
        <v>3.2900431498691134E-6</v>
      </c>
      <c r="T40" s="9">
        <f t="shared" si="11"/>
        <v>1.7981861378651742E-5</v>
      </c>
      <c r="U40" s="9">
        <f t="shared" si="12"/>
        <v>3.6709956850130884E-5</v>
      </c>
      <c r="V40" s="102">
        <f t="shared" si="13"/>
        <v>0.48983608049617289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133</v>
      </c>
      <c r="C41" s="96" t="s">
        <v>134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2.6181533735404092</v>
      </c>
      <c r="K41" s="95">
        <f t="shared" si="3"/>
        <v>0.39991165254201344</v>
      </c>
      <c r="L41" s="95">
        <f t="shared" si="4"/>
        <v>8.8359670434423165E-2</v>
      </c>
      <c r="M41" s="95">
        <f t="shared" si="5"/>
        <v>0.91164032956557683</v>
      </c>
      <c r="N41" s="95">
        <f t="shared" si="6"/>
        <v>4.0081138938511181E-2</v>
      </c>
      <c r="O41" s="40">
        <f t="shared" si="7"/>
        <v>4.0033177740185988E-7</v>
      </c>
      <c r="P41" s="40">
        <f t="shared" si="8"/>
        <v>1.6617796575017719E-4</v>
      </c>
      <c r="Q41" s="40">
        <f t="shared" si="9"/>
        <v>2.6542453473754673E-3</v>
      </c>
      <c r="R41" s="9">
        <f t="shared" si="14"/>
        <v>3.9999999999999996E-5</v>
      </c>
      <c r="S41" s="9">
        <f t="shared" si="10"/>
        <v>3.5343868173769262E-6</v>
      </c>
      <c r="T41" s="9">
        <f t="shared" si="11"/>
        <v>1.5996466101680537E-5</v>
      </c>
      <c r="U41" s="9">
        <f t="shared" si="12"/>
        <v>3.6465613182623069E-5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135</v>
      </c>
      <c r="C42" s="46" t="s">
        <v>136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1.4796577057346774</v>
      </c>
      <c r="J42" s="94">
        <f t="shared" si="2"/>
        <v>4.1802418146186522</v>
      </c>
      <c r="K42" s="95">
        <f t="shared" si="3"/>
        <v>2.6142308004586331E-2</v>
      </c>
      <c r="L42" s="95">
        <f t="shared" si="4"/>
        <v>0.21072807353713166</v>
      </c>
      <c r="M42" s="95">
        <f t="shared" si="5"/>
        <v>0.78927192646286837</v>
      </c>
      <c r="N42" s="95">
        <f t="shared" si="6"/>
        <v>0.17204296646656703</v>
      </c>
      <c r="O42" s="40">
        <f t="shared" si="7"/>
        <v>2.6169771654161621E-8</v>
      </c>
      <c r="P42" s="40">
        <f t="shared" si="8"/>
        <v>3.9631612945912313E-4</v>
      </c>
      <c r="Q42" s="40">
        <f t="shared" si="9"/>
        <v>1.1392995692889389E-2</v>
      </c>
      <c r="R42" s="9">
        <f t="shared" si="14"/>
        <v>3.9999999999999996E-5</v>
      </c>
      <c r="S42" s="9">
        <f t="shared" si="10"/>
        <v>8.4291229414852664E-6</v>
      </c>
      <c r="T42" s="9">
        <f t="shared" si="11"/>
        <v>1.0456923201834532E-6</v>
      </c>
      <c r="U42" s="9">
        <f t="shared" si="12"/>
        <v>3.1570877058514733E-5</v>
      </c>
      <c r="V42" s="102">
        <f t="shared" si="13"/>
        <v>3.312205480529809E-2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137</v>
      </c>
      <c r="C43" s="46" t="s">
        <v>138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3.8903842917257068</v>
      </c>
      <c r="K43" s="95">
        <f t="shared" si="3"/>
        <v>4.561460970495114E-2</v>
      </c>
      <c r="L43" s="95">
        <f t="shared" si="4"/>
        <v>0.1886361439389917</v>
      </c>
      <c r="M43" s="95">
        <f t="shared" si="5"/>
        <v>0.81136385606100836</v>
      </c>
      <c r="N43" s="95">
        <f t="shared" si="6"/>
        <v>0.14028781736464546</v>
      </c>
      <c r="O43" s="40">
        <f t="shared" si="7"/>
        <v>4.566252986778568E-8</v>
      </c>
      <c r="P43" s="40">
        <f t="shared" si="8"/>
        <v>3.5476785407437456E-4</v>
      </c>
      <c r="Q43" s="40">
        <f t="shared" si="9"/>
        <v>9.2901124168354478E-3</v>
      </c>
      <c r="R43" s="9">
        <f t="shared" si="14"/>
        <v>3.9999999999999996E-5</v>
      </c>
      <c r="S43" s="9">
        <f t="shared" si="10"/>
        <v>7.5454457575596674E-6</v>
      </c>
      <c r="T43" s="9">
        <f t="shared" si="11"/>
        <v>1.8245843881980454E-6</v>
      </c>
      <c r="U43" s="9">
        <f t="shared" si="12"/>
        <v>3.2454554242440332E-5</v>
      </c>
      <c r="V43" s="102">
        <f t="shared" si="13"/>
        <v>5.6219671808404134E-2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0.14841008082679896</v>
      </c>
      <c r="J44" s="94">
        <f t="shared" si="2"/>
        <v>2.1981621448512665</v>
      </c>
      <c r="K44" s="95">
        <f t="shared" si="3"/>
        <v>0.67019233461452066</v>
      </c>
      <c r="L44" s="95">
        <f t="shared" si="4"/>
        <v>5.6298685688268506E-2</v>
      </c>
      <c r="M44" s="95">
        <f t="shared" si="5"/>
        <v>0.94370131431173154</v>
      </c>
      <c r="N44" s="95">
        <f t="shared" si="6"/>
        <v>3.398117966347565E-2</v>
      </c>
      <c r="O44" s="40">
        <f t="shared" si="7"/>
        <v>6.7089640127239455E-7</v>
      </c>
      <c r="P44" s="40">
        <f t="shared" si="8"/>
        <v>1.058808958440877E-4</v>
      </c>
      <c r="Q44" s="40">
        <f t="shared" si="9"/>
        <v>2.2502950367373062E-3</v>
      </c>
      <c r="R44" s="9">
        <f t="shared" si="14"/>
        <v>3.9999999999999996E-5</v>
      </c>
      <c r="S44" s="9">
        <f t="shared" si="10"/>
        <v>2.25194742753074E-6</v>
      </c>
      <c r="T44" s="9">
        <f t="shared" si="11"/>
        <v>2.6807693384580824E-5</v>
      </c>
      <c r="U44" s="9">
        <f t="shared" si="12"/>
        <v>3.7748052572469258E-5</v>
      </c>
      <c r="V44" s="102">
        <f t="shared" si="13"/>
        <v>0.71017420920231644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139</v>
      </c>
      <c r="C45" s="46" t="s">
        <v>140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3.9219734110768916</v>
      </c>
      <c r="K45" s="95">
        <f t="shared" si="3"/>
        <v>3.7588361837051894E-2</v>
      </c>
      <c r="L45" s="95">
        <f t="shared" si="4"/>
        <v>0.16717197181662172</v>
      </c>
      <c r="M45" s="95">
        <f t="shared" si="5"/>
        <v>0.83282802818337831</v>
      </c>
      <c r="N45" s="95">
        <f t="shared" si="6"/>
        <v>0.10498334204979128</v>
      </c>
      <c r="O45" s="40">
        <f t="shared" si="7"/>
        <v>3.7627850071886439E-8</v>
      </c>
      <c r="P45" s="40">
        <f t="shared" si="8"/>
        <v>3.1440020170230866E-4</v>
      </c>
      <c r="Q45" s="40">
        <f t="shared" si="9"/>
        <v>6.9521863541619289E-3</v>
      </c>
      <c r="R45" s="9">
        <f t="shared" si="14"/>
        <v>3.9999999999999996E-5</v>
      </c>
      <c r="S45" s="9">
        <f t="shared" si="10"/>
        <v>6.6868788726648682E-6</v>
      </c>
      <c r="T45" s="9">
        <f t="shared" si="11"/>
        <v>1.5035344734820756E-6</v>
      </c>
      <c r="U45" s="9">
        <f t="shared" si="12"/>
        <v>3.3313121127335129E-5</v>
      </c>
      <c r="V45" s="102">
        <f t="shared" si="13"/>
        <v>4.5133401572761918E-2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0.12747825886296771</v>
      </c>
      <c r="J46" s="94">
        <f t="shared" si="2"/>
        <v>2.114444428876499</v>
      </c>
      <c r="K46" s="95">
        <f t="shared" si="3"/>
        <v>0.70865514673881091</v>
      </c>
      <c r="L46" s="95">
        <f t="shared" si="4"/>
        <v>4.9092599567677343E-2</v>
      </c>
      <c r="M46" s="95">
        <f t="shared" si="5"/>
        <v>0.95090740043232269</v>
      </c>
      <c r="N46" s="95">
        <f t="shared" si="6"/>
        <v>2.8928235263921968E-2</v>
      </c>
      <c r="O46" s="40">
        <f t="shared" si="7"/>
        <v>7.0939962028018096E-7</v>
      </c>
      <c r="P46" s="40">
        <f t="shared" si="8"/>
        <v>9.2328415095201756E-5</v>
      </c>
      <c r="Q46" s="40">
        <f t="shared" si="9"/>
        <v>1.9156799405037044E-3</v>
      </c>
      <c r="R46" s="9">
        <f t="shared" si="14"/>
        <v>3.9999999999999996E-5</v>
      </c>
      <c r="S46" s="9">
        <f t="shared" si="10"/>
        <v>1.9637039827070936E-6</v>
      </c>
      <c r="T46" s="9">
        <f t="shared" si="11"/>
        <v>2.8346205869552433E-5</v>
      </c>
      <c r="U46" s="9">
        <f t="shared" si="12"/>
        <v>3.8036296017292905E-5</v>
      </c>
      <c r="V46" s="102">
        <f t="shared" si="13"/>
        <v>0.74524096291250475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141</v>
      </c>
      <c r="C47" s="46" t="s">
        <v>142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3.1083049817479944</v>
      </c>
      <c r="K47" s="95">
        <f t="shared" si="3"/>
        <v>0.17090759618790616</v>
      </c>
      <c r="L47" s="95">
        <f t="shared" si="4"/>
        <v>0.11673551476497808</v>
      </c>
      <c r="M47" s="95">
        <f t="shared" si="5"/>
        <v>0.88326448523502188</v>
      </c>
      <c r="N47" s="95">
        <f t="shared" si="6"/>
        <v>4.7166794376276265E-2</v>
      </c>
      <c r="O47" s="40">
        <f t="shared" si="7"/>
        <v>1.7108714216872149E-7</v>
      </c>
      <c r="P47" s="40">
        <f t="shared" si="8"/>
        <v>2.1954439484743042E-4</v>
      </c>
      <c r="Q47" s="40">
        <f t="shared" si="9"/>
        <v>3.1234702366094219E-3</v>
      </c>
      <c r="R47" s="9">
        <f t="shared" si="14"/>
        <v>3.9999999999999996E-5</v>
      </c>
      <c r="S47" s="9">
        <f t="shared" si="10"/>
        <v>4.6694205905991226E-6</v>
      </c>
      <c r="T47" s="9">
        <f t="shared" si="11"/>
        <v>6.8363038475162456E-6</v>
      </c>
      <c r="U47" s="9">
        <f t="shared" si="12"/>
        <v>3.5330579409400872E-5</v>
      </c>
      <c r="V47" s="102">
        <f t="shared" si="13"/>
        <v>0.19349537884162807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143</v>
      </c>
      <c r="C48" s="46" t="s">
        <v>144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1.2615464423900991</v>
      </c>
      <c r="K48" s="95">
        <f t="shared" ref="K48:K50" si="17">IF(D48=0,"",1/(1+10^D48*$J$15/$J$14+10^E48*$J$16/$J$14+10^J48*$J$19/$J$14))</f>
        <v>0.93600438460534852</v>
      </c>
      <c r="L48" s="95">
        <f t="shared" ref="L48:L50" si="18">IF(D48=0,"",1/(1+10^I48/10^J48*$J$13/$J$19))</f>
        <v>9.0983152482417215E-3</v>
      </c>
      <c r="M48" s="95">
        <f t="shared" ref="M48:M92" si="19">IF(D48=0,"",1-L48)</f>
        <v>0.99090168475175833</v>
      </c>
      <c r="N48" s="95">
        <f t="shared" ref="N48:N50" si="20">IF(D48=0,"",1/(1/10^E48*$J$20/$J$22+10^D48/10^E48*$J$21/$J$22+10^I48/10^E48*$J$13/$J$22+1))</f>
        <v>3.176836605629881E-3</v>
      </c>
      <c r="O48" s="40">
        <f t="shared" ref="O48:O92" si="21">IF(D48=0,"",F48*K48*$J$7/$J$14)</f>
        <v>9.3698769856581551E-7</v>
      </c>
      <c r="P48" s="40">
        <f t="shared" ref="P48:P50" si="22">IF(D48=0,"",O48*10^J48)</f>
        <v>1.7111194646529671E-5</v>
      </c>
      <c r="Q48" s="40">
        <f t="shared" ref="Q48:Q50" si="23">IF(D48=0,"",F48*N48*$J$7/$J$22)</f>
        <v>2.1037585266229451E-4</v>
      </c>
      <c r="R48" s="9">
        <f t="shared" si="14"/>
        <v>3.9999999999999996E-5</v>
      </c>
      <c r="S48" s="9">
        <f t="shared" si="10"/>
        <v>3.6393260992966884E-7</v>
      </c>
      <c r="T48" s="9">
        <f t="shared" si="11"/>
        <v>3.7440175384213934E-5</v>
      </c>
      <c r="U48" s="9">
        <f t="shared" si="12"/>
        <v>3.9636067390070329E-5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145</v>
      </c>
      <c r="C49" s="46" t="s">
        <v>146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0.77659593217338263</v>
      </c>
      <c r="K49" s="95">
        <f t="shared" si="17"/>
        <v>0.98044202655341661</v>
      </c>
      <c r="L49" s="95">
        <f t="shared" si="18"/>
        <v>3.1199993695832529E-3</v>
      </c>
      <c r="M49" s="95">
        <f t="shared" si="19"/>
        <v>0.99688000063041671</v>
      </c>
      <c r="N49" s="95">
        <f t="shared" si="20"/>
        <v>1.0546027856219598E-3</v>
      </c>
      <c r="O49" s="40">
        <f t="shared" si="21"/>
        <v>9.814720242200888E-7</v>
      </c>
      <c r="P49" s="40">
        <f t="shared" si="22"/>
        <v>5.8677804685110351E-6</v>
      </c>
      <c r="Q49" s="40">
        <f t="shared" si="23"/>
        <v>6.9837699506506838E-5</v>
      </c>
      <c r="R49" s="9">
        <f t="shared" si="14"/>
        <v>3.9999999999999996E-5</v>
      </c>
      <c r="S49" s="9">
        <f t="shared" si="10"/>
        <v>1.247999747833301E-7</v>
      </c>
      <c r="T49" s="9">
        <f t="shared" si="11"/>
        <v>3.921768106213666E-5</v>
      </c>
      <c r="U49" s="9">
        <f t="shared" si="12"/>
        <v>3.9875200025216666E-5</v>
      </c>
      <c r="V49" s="102">
        <f t="shared" si="13"/>
        <v>0.98351057893968696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147</v>
      </c>
      <c r="C50" s="46" t="s">
        <v>148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149</v>
      </c>
      <c r="C51" s="46" t="s">
        <v>150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151</v>
      </c>
      <c r="C52" s="46" t="s">
        <v>152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153</v>
      </c>
      <c r="C53" s="46" t="s">
        <v>154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155</v>
      </c>
      <c r="C54" s="46" t="s">
        <v>156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157</v>
      </c>
      <c r="C55" s="46" t="s">
        <v>158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159</v>
      </c>
      <c r="C56" s="46" t="s">
        <v>160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9.8917692701836375E-3</v>
      </c>
      <c r="K57" s="55">
        <f t="shared" si="26"/>
        <v>0.99885273300886812</v>
      </c>
      <c r="L57" s="55">
        <f t="shared" si="27"/>
        <v>5.4391356067310292E-4</v>
      </c>
      <c r="M57" s="55">
        <f t="shared" si="28"/>
        <v>0.99945608643932693</v>
      </c>
      <c r="N57" s="55">
        <f t="shared" si="29"/>
        <v>1.8246201112381944E-5</v>
      </c>
      <c r="O57" s="56">
        <f t="shared" si="30"/>
        <v>9.9990207193609163E-7</v>
      </c>
      <c r="P57" s="56">
        <f t="shared" si="31"/>
        <v>1.0229378246003401E-6</v>
      </c>
      <c r="Q57" s="56">
        <f t="shared" si="32"/>
        <v>1.2082963631376236E-6</v>
      </c>
      <c r="R57" s="9">
        <f t="shared" ref="R57:R58" si="33">F57*$C$14</f>
        <v>3.9999999999999996E-5</v>
      </c>
      <c r="S57" s="9">
        <f t="shared" ref="S57:S58" si="34">$R57*L57</f>
        <v>2.1756542426924114E-8</v>
      </c>
      <c r="T57" s="9">
        <f t="shared" ref="T57:T58" si="35">R57*K57</f>
        <v>3.995410932035472E-5</v>
      </c>
      <c r="U57" s="9">
        <f t="shared" ref="U57:U58" si="36">$R57*M57</f>
        <v>3.9978243457573074E-5</v>
      </c>
      <c r="V57" s="102">
        <f t="shared" ref="V57:V58" si="37">K57/M57</f>
        <v>0.99939631821883412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161</v>
      </c>
      <c r="C58" s="46" t="s">
        <v>162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1.4462409030259145</v>
      </c>
      <c r="K58" s="55">
        <f t="shared" si="26"/>
        <v>0.90687472284172499</v>
      </c>
      <c r="L58" s="55">
        <f t="shared" si="27"/>
        <v>1.3487294953881854E-2</v>
      </c>
      <c r="M58" s="55">
        <f t="shared" si="28"/>
        <v>0.9865127050461181</v>
      </c>
      <c r="N58" s="55">
        <f t="shared" si="29"/>
        <v>5.3121617723826059E-3</v>
      </c>
      <c r="O58" s="56">
        <f t="shared" si="30"/>
        <v>9.0782743480550589E-7</v>
      </c>
      <c r="P58" s="56">
        <f t="shared" si="31"/>
        <v>2.5365545478942328E-5</v>
      </c>
      <c r="Q58" s="56">
        <f t="shared" si="32"/>
        <v>3.5178093842300597E-4</v>
      </c>
      <c r="R58" s="9">
        <f t="shared" si="33"/>
        <v>3.9999999999999996E-5</v>
      </c>
      <c r="S58" s="9">
        <f t="shared" si="34"/>
        <v>5.3949179815527414E-7</v>
      </c>
      <c r="T58" s="9">
        <f t="shared" si="35"/>
        <v>3.6274988913668997E-5</v>
      </c>
      <c r="U58" s="9">
        <f t="shared" si="36"/>
        <v>3.946050820184472E-5</v>
      </c>
      <c r="V58" s="102">
        <f t="shared" si="37"/>
        <v>0.9192732320658048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163</v>
      </c>
      <c r="C59" s="46" t="s">
        <v>164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1.5527177591860062</v>
      </c>
      <c r="K60" s="55">
        <f t="shared" si="26"/>
        <v>0.87429231503730731</v>
      </c>
      <c r="L60" s="55">
        <f t="shared" si="27"/>
        <v>1.661541049542381E-2</v>
      </c>
      <c r="M60" s="55">
        <f t="shared" si="28"/>
        <v>0.98338458950457619</v>
      </c>
      <c r="N60" s="55">
        <f t="shared" si="29"/>
        <v>4.8810657312869593E-3</v>
      </c>
      <c r="O60" s="56">
        <f t="shared" si="30"/>
        <v>8.7521079774213733E-7</v>
      </c>
      <c r="P60" s="56">
        <f t="shared" si="31"/>
        <v>3.1248590025953703E-5</v>
      </c>
      <c r="Q60" s="56">
        <f t="shared" si="32"/>
        <v>3.2323298066398411E-4</v>
      </c>
      <c r="R60" s="9">
        <f t="shared" ref="R60:R65" si="38">F60*$C$14</f>
        <v>3.9999999999999996E-5</v>
      </c>
      <c r="S60" s="9">
        <f t="shared" ref="S60:S93" si="39">$R60*L60</f>
        <v>6.6461641981695238E-7</v>
      </c>
      <c r="T60" s="9">
        <f t="shared" ref="T60:T93" si="40">R60*K60</f>
        <v>3.4971692601492286E-5</v>
      </c>
      <c r="U60" s="9">
        <f t="shared" ref="U60:U93" si="41">$R60*M60</f>
        <v>3.9335383580183047E-5</v>
      </c>
      <c r="V60" s="102">
        <f t="shared" ref="V60:V93" si="42">K60/M60</f>
        <v>0.88906448643635039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2.4998402478188688</v>
      </c>
      <c r="K61" s="55">
        <f t="shared" si="26"/>
        <v>0.45100152428420848</v>
      </c>
      <c r="L61" s="55">
        <f t="shared" si="27"/>
        <v>7.5884820756240728E-2</v>
      </c>
      <c r="M61" s="55">
        <f t="shared" si="28"/>
        <v>0.9241151792437593</v>
      </c>
      <c r="N61" s="55">
        <f t="shared" si="29"/>
        <v>2.8773719452929579E-2</v>
      </c>
      <c r="O61" s="56">
        <f t="shared" si="30"/>
        <v>4.5147532131156697E-7</v>
      </c>
      <c r="P61" s="56">
        <f t="shared" si="31"/>
        <v>1.4271652534000572E-4</v>
      </c>
      <c r="Q61" s="56">
        <f t="shared" si="32"/>
        <v>1.9054476246742646E-3</v>
      </c>
      <c r="R61" s="9">
        <f t="shared" si="38"/>
        <v>3.9999999999999996E-5</v>
      </c>
      <c r="S61" s="9">
        <f t="shared" si="39"/>
        <v>3.0353928302496289E-6</v>
      </c>
      <c r="T61" s="9">
        <f t="shared" si="40"/>
        <v>1.8040060971368338E-5</v>
      </c>
      <c r="U61" s="9">
        <f t="shared" si="41"/>
        <v>3.6964607169750371E-5</v>
      </c>
      <c r="V61" s="102">
        <f t="shared" si="42"/>
        <v>0.4880360526631336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165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2.2029781197538778</v>
      </c>
      <c r="K62" s="55">
        <f t="shared" si="26"/>
        <v>0.63599114315908045</v>
      </c>
      <c r="L62" s="55">
        <f t="shared" si="27"/>
        <v>5.4021400937799148E-2</v>
      </c>
      <c r="M62" s="55">
        <f t="shared" si="28"/>
        <v>0.94597859906220083</v>
      </c>
      <c r="N62" s="55">
        <f t="shared" si="29"/>
        <v>2.4725726602815076E-2</v>
      </c>
      <c r="O62" s="56">
        <f t="shared" si="30"/>
        <v>6.3665927995425722E-7</v>
      </c>
      <c r="P62" s="56">
        <f t="shared" si="31"/>
        <v>1.0159800812612413E-4</v>
      </c>
      <c r="Q62" s="56">
        <f t="shared" si="32"/>
        <v>1.6373822334909305E-3</v>
      </c>
      <c r="R62" s="9">
        <f t="shared" si="38"/>
        <v>3.9999999999999996E-5</v>
      </c>
      <c r="S62" s="9">
        <f t="shared" si="39"/>
        <v>2.1608560375119658E-6</v>
      </c>
      <c r="T62" s="9">
        <f t="shared" si="40"/>
        <v>2.5439645726363217E-5</v>
      </c>
      <c r="U62" s="9">
        <f t="shared" si="41"/>
        <v>3.783914396248803E-5</v>
      </c>
      <c r="V62" s="102">
        <f t="shared" si="42"/>
        <v>0.67231028671216508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2.1382472771579155</v>
      </c>
      <c r="K63" s="55">
        <f t="shared" si="26"/>
        <v>0.66661563992180306</v>
      </c>
      <c r="L63" s="55">
        <f t="shared" si="27"/>
        <v>4.8781980807930364E-2</v>
      </c>
      <c r="M63" s="55">
        <f t="shared" si="28"/>
        <v>0.95121801919206961</v>
      </c>
      <c r="N63" s="55">
        <f t="shared" si="29"/>
        <v>2.1491092523370357E-2</v>
      </c>
      <c r="O63" s="56">
        <f t="shared" si="30"/>
        <v>6.6731594910387715E-7</v>
      </c>
      <c r="P63" s="56">
        <f t="shared" si="31"/>
        <v>9.1744234627293581E-5</v>
      </c>
      <c r="Q63" s="56">
        <f t="shared" si="32"/>
        <v>1.4231789278164239E-3</v>
      </c>
      <c r="R63" s="9">
        <f t="shared" si="38"/>
        <v>3.9999999999999996E-5</v>
      </c>
      <c r="S63" s="9">
        <f t="shared" si="39"/>
        <v>1.9512792323172146E-6</v>
      </c>
      <c r="T63" s="9">
        <f t="shared" si="40"/>
        <v>2.6664625596872121E-5</v>
      </c>
      <c r="U63" s="9">
        <f t="shared" si="41"/>
        <v>3.8048720767682781E-5</v>
      </c>
      <c r="V63" s="102">
        <f t="shared" si="42"/>
        <v>0.70080215730984829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1.3844943041417832</v>
      </c>
      <c r="K64" s="55">
        <f t="shared" si="26"/>
        <v>0.92184663838994596</v>
      </c>
      <c r="L64" s="55">
        <f t="shared" si="27"/>
        <v>1.1892951165197382E-2</v>
      </c>
      <c r="M64" s="55">
        <f t="shared" si="28"/>
        <v>0.9881070488348026</v>
      </c>
      <c r="N64" s="55">
        <f t="shared" si="29"/>
        <v>5.2618040573125281E-3</v>
      </c>
      <c r="O64" s="56">
        <f t="shared" si="30"/>
        <v>9.228150790124977E-7</v>
      </c>
      <c r="P64" s="56">
        <f t="shared" si="31"/>
        <v>2.2367064314318171E-5</v>
      </c>
      <c r="Q64" s="56">
        <f t="shared" si="32"/>
        <v>3.4844615966000064E-4</v>
      </c>
      <c r="R64" s="9">
        <f t="shared" si="38"/>
        <v>3.9999999999999996E-5</v>
      </c>
      <c r="S64" s="9">
        <f t="shared" si="39"/>
        <v>4.7571804660789525E-7</v>
      </c>
      <c r="T64" s="9">
        <f t="shared" si="40"/>
        <v>3.6873865535597835E-5</v>
      </c>
      <c r="U64" s="9">
        <f t="shared" si="41"/>
        <v>3.9524281953392101E-5</v>
      </c>
      <c r="V64" s="102">
        <f t="shared" si="42"/>
        <v>0.93294207290293862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166</v>
      </c>
      <c r="C65" s="46" t="s">
        <v>167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2.8217385476655523</v>
      </c>
      <c r="K65" s="55">
        <f t="shared" si="26"/>
        <v>0.31493050681239171</v>
      </c>
      <c r="L65" s="55">
        <f t="shared" si="27"/>
        <v>0.11119619715218988</v>
      </c>
      <c r="M65" s="55">
        <f t="shared" si="28"/>
        <v>0.88880380284781013</v>
      </c>
      <c r="N65" s="55">
        <f t="shared" si="29"/>
        <v>6.2192172410981877E-2</v>
      </c>
      <c r="O65" s="56">
        <f t="shared" si="30"/>
        <v>3.1526135522402187E-7</v>
      </c>
      <c r="P65" s="56">
        <f t="shared" si="31"/>
        <v>2.0912660437796024E-4</v>
      </c>
      <c r="Q65" s="56">
        <f t="shared" si="32"/>
        <v>4.1184778835317501E-3</v>
      </c>
      <c r="R65" s="9">
        <f t="shared" si="38"/>
        <v>3.9999999999999996E-5</v>
      </c>
      <c r="S65" s="9">
        <f t="shared" si="39"/>
        <v>4.4478478860875945E-6</v>
      </c>
      <c r="T65" s="9">
        <f t="shared" si="40"/>
        <v>1.2597220272495668E-5</v>
      </c>
      <c r="U65" s="9">
        <f t="shared" si="41"/>
        <v>3.5552152113912403E-5</v>
      </c>
      <c r="V65" s="102">
        <f t="shared" si="42"/>
        <v>0.3543307373385724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168</v>
      </c>
      <c r="C66" s="46" t="s">
        <v>169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170</v>
      </c>
      <c r="C67" s="46" t="s">
        <v>171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1.5126387547268108</v>
      </c>
      <c r="K68" s="55">
        <f t="shared" si="26"/>
        <v>0.88172934503574651</v>
      </c>
      <c r="L68" s="55">
        <f t="shared" si="27"/>
        <v>1.5279554952669345E-2</v>
      </c>
      <c r="M68" s="55">
        <f t="shared" si="28"/>
        <v>0.98472044504733069</v>
      </c>
      <c r="N68" s="55">
        <f t="shared" si="29"/>
        <v>3.9950506528025828E-3</v>
      </c>
      <c r="O68" s="56">
        <f t="shared" si="30"/>
        <v>8.8265564066917197E-7</v>
      </c>
      <c r="P68" s="56">
        <f t="shared" si="31"/>
        <v>2.8736247511098047E-5</v>
      </c>
      <c r="Q68" s="56">
        <f t="shared" si="32"/>
        <v>2.6455946334254699E-4</v>
      </c>
      <c r="R68" s="9">
        <f>F68*$C$14</f>
        <v>3.9999999999999996E-5</v>
      </c>
      <c r="S68" s="9">
        <f t="shared" si="39"/>
        <v>6.1118219810677377E-7</v>
      </c>
      <c r="T68" s="9">
        <f t="shared" si="40"/>
        <v>3.5269173801429856E-5</v>
      </c>
      <c r="U68" s="9">
        <f t="shared" si="41"/>
        <v>3.9388817801893224E-5</v>
      </c>
      <c r="V68" s="102">
        <f t="shared" si="42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172</v>
      </c>
      <c r="C69" s="46" t="s">
        <v>173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3.7503360262758276</v>
      </c>
      <c r="K69" s="55">
        <f t="shared" si="26"/>
        <v>5.3254084953778411E-2</v>
      </c>
      <c r="L69" s="55">
        <f t="shared" si="27"/>
        <v>0.15952384473160358</v>
      </c>
      <c r="M69" s="55">
        <f t="shared" si="28"/>
        <v>0.84047615526839636</v>
      </c>
      <c r="N69" s="55">
        <f t="shared" si="29"/>
        <v>9.5464284507727731E-2</v>
      </c>
      <c r="O69" s="56">
        <f t="shared" si="30"/>
        <v>5.3310030722888267E-8</v>
      </c>
      <c r="P69" s="56">
        <f t="shared" si="31"/>
        <v>3.0001637484398653E-4</v>
      </c>
      <c r="Q69" s="56">
        <f t="shared" si="32"/>
        <v>6.3218171864797886E-3</v>
      </c>
      <c r="R69" s="9">
        <f>F69*$C$14</f>
        <v>3.9999999999999996E-5</v>
      </c>
      <c r="S69" s="9">
        <f t="shared" si="39"/>
        <v>6.3809537892641425E-6</v>
      </c>
      <c r="T69" s="9">
        <f t="shared" si="40"/>
        <v>2.130163398151136E-6</v>
      </c>
      <c r="U69" s="9">
        <f t="shared" si="41"/>
        <v>3.3619046210735851E-5</v>
      </c>
      <c r="V69" s="102">
        <f t="shared" si="42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174</v>
      </c>
      <c r="C70" s="46" t="s">
        <v>175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0.69942132779385668</v>
      </c>
      <c r="K70" s="55">
        <f t="shared" si="26"/>
        <v>0.98177029951422046</v>
      </c>
      <c r="L70" s="55">
        <f t="shared" si="27"/>
        <v>2.6155791853796264E-3</v>
      </c>
      <c r="M70" s="55">
        <f t="shared" si="28"/>
        <v>0.99738442081462042</v>
      </c>
      <c r="N70" s="55">
        <f t="shared" si="29"/>
        <v>4.7553653050987207E-4</v>
      </c>
      <c r="O70" s="56">
        <f t="shared" si="30"/>
        <v>9.8280169259032366E-7</v>
      </c>
      <c r="P70" s="56">
        <f t="shared" si="31"/>
        <v>4.9191178073425714E-6</v>
      </c>
      <c r="Q70" s="56">
        <f t="shared" si="32"/>
        <v>3.1490887161396217E-5</v>
      </c>
      <c r="R70" s="9">
        <f t="shared" ref="R70:R86" si="43">F70*$C$14</f>
        <v>3.9999999999999996E-5</v>
      </c>
      <c r="S70" s="9">
        <f t="shared" si="39"/>
        <v>1.0462316741518505E-7</v>
      </c>
      <c r="T70" s="9">
        <f t="shared" si="40"/>
        <v>3.9270811980568816E-5</v>
      </c>
      <c r="U70" s="9">
        <f t="shared" si="41"/>
        <v>3.9895376832584813E-5</v>
      </c>
      <c r="V70" s="102">
        <f t="shared" si="42"/>
        <v>0.98434493162862213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176</v>
      </c>
      <c r="C71" s="46" t="s">
        <v>177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1.3417480066989405</v>
      </c>
      <c r="K71" s="55">
        <f t="shared" ref="K71:K122" si="46">IF(D71=0,"",1/(1+10^D71*$J$15/$J$14+10^E71*$J$16/$J$14+10^J71*$J$19/$J$14))</f>
        <v>0.92567638901673321</v>
      </c>
      <c r="L71" s="55">
        <f t="shared" ref="L71:L122" si="47">IF(D71=0,"",1/(1+10^I71/10^J71*$J$13/$J$19))</f>
        <v>1.0822905047148987E-2</v>
      </c>
      <c r="M71" s="55">
        <f t="shared" si="19"/>
        <v>0.989177094952851</v>
      </c>
      <c r="N71" s="55">
        <f t="shared" ref="N71:N122" si="48">IF(D71=0,"",1/(1/10^E71*$J$20/$J$22+10^D71/10^E71*$J$21/$J$22+10^I71/10^E71*$J$13/$J$22+1))</f>
        <v>4.2006082559404561E-3</v>
      </c>
      <c r="O71" s="56">
        <f t="shared" si="21"/>
        <v>9.2664885296152398E-7</v>
      </c>
      <c r="P71" s="56">
        <f t="shared" ref="P71:P122" si="49">IF(D71=0,"",O71*10^J71)</f>
        <v>2.0354629384650505E-5</v>
      </c>
      <c r="Q71" s="56">
        <f t="shared" ref="Q71:Q122" si="50">IF(D71=0,"",F71*N71*$J$7/$J$22)</f>
        <v>2.7817185875335008E-4</v>
      </c>
      <c r="R71" s="9">
        <f t="shared" si="43"/>
        <v>3.9999999999999996E-5</v>
      </c>
      <c r="S71" s="9">
        <f t="shared" si="39"/>
        <v>4.3291620188595943E-7</v>
      </c>
      <c r="T71" s="9">
        <f t="shared" si="40"/>
        <v>3.7027055560669323E-5</v>
      </c>
      <c r="U71" s="9">
        <f t="shared" si="41"/>
        <v>3.956708379811404E-5</v>
      </c>
      <c r="V71" s="102">
        <f t="shared" si="42"/>
        <v>0.93580451239710061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178</v>
      </c>
      <c r="C72" s="46" t="s">
        <v>179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4.5043006346732313E-2</v>
      </c>
      <c r="J72" s="54">
        <f t="shared" si="45"/>
        <v>1.4983971526308137</v>
      </c>
      <c r="K72" s="55">
        <f t="shared" si="46"/>
        <v>0.88760317114062293</v>
      </c>
      <c r="L72" s="55">
        <f t="shared" si="47"/>
        <v>1.4885130719395243E-2</v>
      </c>
      <c r="M72" s="55">
        <f t="shared" si="19"/>
        <v>0.98511486928060477</v>
      </c>
      <c r="N72" s="55">
        <f t="shared" si="48"/>
        <v>4.3410905053761417E-3</v>
      </c>
      <c r="O72" s="56">
        <f t="shared" si="21"/>
        <v>8.8853563748788837E-7</v>
      </c>
      <c r="P72" s="56">
        <f t="shared" si="49"/>
        <v>2.7994454152139018E-5</v>
      </c>
      <c r="Q72" s="56">
        <f t="shared" si="50"/>
        <v>2.8747484681278468E-4</v>
      </c>
      <c r="R72" s="9">
        <f t="shared" si="43"/>
        <v>3.9999999999999996E-5</v>
      </c>
      <c r="S72" s="9">
        <f t="shared" si="39"/>
        <v>5.9540522877580972E-7</v>
      </c>
      <c r="T72" s="9">
        <f t="shared" si="40"/>
        <v>3.5504126845624916E-5</v>
      </c>
      <c r="U72" s="9">
        <f t="shared" si="41"/>
        <v>3.9404594771224185E-5</v>
      </c>
      <c r="V72" s="102">
        <f t="shared" si="42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180</v>
      </c>
      <c r="C73" s="46" t="s">
        <v>181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2.829962486439805</v>
      </c>
      <c r="J73" s="54">
        <f t="shared" si="45"/>
        <v>5.5847769574151425</v>
      </c>
      <c r="K73" s="55">
        <f t="shared" si="46"/>
        <v>1.1351012202551873E-3</v>
      </c>
      <c r="L73" s="55">
        <f t="shared" si="47"/>
        <v>0.23224597874940786</v>
      </c>
      <c r="M73" s="55">
        <f t="shared" si="19"/>
        <v>0.76775402125059211</v>
      </c>
      <c r="N73" s="55">
        <f t="shared" si="48"/>
        <v>0.20197498554395915</v>
      </c>
      <c r="O73" s="56">
        <f t="shared" si="21"/>
        <v>1.1362936942379783E-9</v>
      </c>
      <c r="P73" s="56">
        <f t="shared" si="49"/>
        <v>4.3678483761297487E-4</v>
      </c>
      <c r="Q73" s="56">
        <f t="shared" si="50"/>
        <v>1.3375148008860298E-2</v>
      </c>
      <c r="R73" s="9">
        <f t="shared" si="43"/>
        <v>3.9999999999999996E-5</v>
      </c>
      <c r="S73" s="9">
        <f t="shared" si="39"/>
        <v>9.2898391499763131E-6</v>
      </c>
      <c r="T73" s="9">
        <f t="shared" si="40"/>
        <v>4.5404048810207485E-8</v>
      </c>
      <c r="U73" s="9">
        <f t="shared" si="41"/>
        <v>3.0710160850023685E-5</v>
      </c>
      <c r="V73" s="102">
        <f t="shared" si="42"/>
        <v>1.4784699120249797E-3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182</v>
      </c>
      <c r="C74" s="46" t="s">
        <v>183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3.957220636313619E-3</v>
      </c>
      <c r="J74" s="54">
        <f t="shared" si="45"/>
        <v>0.54264947929167429</v>
      </c>
      <c r="K74" s="55">
        <f t="shared" si="46"/>
        <v>0.98859812351187282</v>
      </c>
      <c r="L74" s="55">
        <f t="shared" si="47"/>
        <v>1.8357177878604428E-3</v>
      </c>
      <c r="M74" s="55">
        <f t="shared" si="19"/>
        <v>0.9981642822121396</v>
      </c>
      <c r="N74" s="55">
        <f t="shared" si="48"/>
        <v>3.690292384190234E-4</v>
      </c>
      <c r="O74" s="56">
        <f t="shared" si="21"/>
        <v>9.896366895187518E-7</v>
      </c>
      <c r="P74" s="56">
        <f t="shared" si="49"/>
        <v>3.4524330633901963E-6</v>
      </c>
      <c r="Q74" s="56">
        <f t="shared" si="50"/>
        <v>2.4437782085530435E-5</v>
      </c>
      <c r="R74" s="9">
        <f t="shared" si="43"/>
        <v>3.9999999999999996E-5</v>
      </c>
      <c r="S74" s="9">
        <f t="shared" si="39"/>
        <v>7.3428711514417706E-8</v>
      </c>
      <c r="T74" s="9">
        <f t="shared" si="40"/>
        <v>3.954392494047491E-5</v>
      </c>
      <c r="U74" s="9">
        <f t="shared" si="41"/>
        <v>3.9926571288485584E-5</v>
      </c>
      <c r="V74" s="102">
        <f t="shared" si="42"/>
        <v>0.99041624823614582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184</v>
      </c>
      <c r="C75" s="46" t="s">
        <v>185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4.1980440605165602E-3</v>
      </c>
      <c r="J75" s="54">
        <f t="shared" si="45"/>
        <v>0.55494878574960893</v>
      </c>
      <c r="K75" s="55">
        <f t="shared" si="46"/>
        <v>0.98799901767560894</v>
      </c>
      <c r="L75" s="55">
        <f t="shared" si="47"/>
        <v>1.8873044054500301E-3</v>
      </c>
      <c r="M75" s="55">
        <f t="shared" si="19"/>
        <v>0.99811269559454996</v>
      </c>
      <c r="N75" s="55">
        <f t="shared" si="48"/>
        <v>3.5171307043323159E-4</v>
      </c>
      <c r="O75" s="56">
        <f t="shared" si="21"/>
        <v>9.8903695429533708E-7</v>
      </c>
      <c r="P75" s="56">
        <f t="shared" si="49"/>
        <v>3.5494519763040022E-6</v>
      </c>
      <c r="Q75" s="56">
        <f t="shared" si="50"/>
        <v>2.3291074194290879E-5</v>
      </c>
      <c r="R75" s="9">
        <f t="shared" si="43"/>
        <v>3.9999999999999996E-5</v>
      </c>
      <c r="S75" s="9">
        <f t="shared" si="39"/>
        <v>7.5492176218001202E-8</v>
      </c>
      <c r="T75" s="9">
        <f t="shared" si="40"/>
        <v>3.9519960707024356E-5</v>
      </c>
      <c r="U75" s="9">
        <f t="shared" si="41"/>
        <v>3.9924507823781994E-5</v>
      </c>
      <c r="V75" s="102">
        <f t="shared" si="42"/>
        <v>0.98986719839995962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186</v>
      </c>
      <c r="C76" s="46" t="s">
        <v>187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0.35626551305621779</v>
      </c>
      <c r="J76" s="54">
        <f t="shared" si="45"/>
        <v>2.6326668044693871</v>
      </c>
      <c r="K76" s="55">
        <f t="shared" si="46"/>
        <v>0.3998581970368304</v>
      </c>
      <c r="L76" s="55">
        <f t="shared" si="47"/>
        <v>9.1350191689099206E-2</v>
      </c>
      <c r="M76" s="55">
        <f t="shared" si="19"/>
        <v>0.90864980831090081</v>
      </c>
      <c r="N76" s="55">
        <f t="shared" si="48"/>
        <v>4.4806394527235137E-2</v>
      </c>
      <c r="O76" s="56">
        <f t="shared" si="21"/>
        <v>4.0027826573930691E-7</v>
      </c>
      <c r="P76" s="56">
        <f t="shared" si="49"/>
        <v>1.7180223682533422E-4</v>
      </c>
      <c r="Q76" s="56">
        <f t="shared" si="50"/>
        <v>2.9671602992377695E-3</v>
      </c>
      <c r="R76" s="9">
        <f t="shared" si="43"/>
        <v>3.9999999999999996E-5</v>
      </c>
      <c r="S76" s="9">
        <f t="shared" si="39"/>
        <v>3.6540076675639677E-6</v>
      </c>
      <c r="T76" s="9">
        <f t="shared" si="40"/>
        <v>1.5994327881473213E-5</v>
      </c>
      <c r="U76" s="9">
        <f t="shared" si="41"/>
        <v>3.6345992332436029E-5</v>
      </c>
      <c r="V76" s="102">
        <f t="shared" si="42"/>
        <v>0.44005753743582604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2.1004549420906745E-4</v>
      </c>
      <c r="J77" s="54">
        <f t="shared" si="45"/>
        <v>4.79823720153809E-2</v>
      </c>
      <c r="K77" s="55">
        <f t="shared" si="46"/>
        <v>0.99840580666857093</v>
      </c>
      <c r="L77" s="55">
        <f t="shared" si="47"/>
        <v>5.9350738236665988E-4</v>
      </c>
      <c r="M77" s="55">
        <f t="shared" si="19"/>
        <v>0.99940649261763337</v>
      </c>
      <c r="N77" s="55">
        <f t="shared" si="48"/>
        <v>2.2917228414122131E-5</v>
      </c>
      <c r="O77" s="56">
        <f t="shared" si="21"/>
        <v>9.9945467607992776E-7</v>
      </c>
      <c r="P77" s="56">
        <f t="shared" si="49"/>
        <v>1.1162088877708249E-6</v>
      </c>
      <c r="Q77" s="56">
        <f t="shared" si="50"/>
        <v>1.5176202199803054E-6</v>
      </c>
      <c r="R77" s="9">
        <f t="shared" si="43"/>
        <v>3.9999999999999996E-5</v>
      </c>
      <c r="S77" s="9">
        <f t="shared" si="39"/>
        <v>2.3740295294666392E-8</v>
      </c>
      <c r="T77" s="9">
        <f t="shared" si="40"/>
        <v>3.9936232266742831E-5</v>
      </c>
      <c r="U77" s="9">
        <f t="shared" si="41"/>
        <v>3.997625970470533E-5</v>
      </c>
      <c r="V77" s="102">
        <f t="shared" si="42"/>
        <v>0.99899871978373744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188</v>
      </c>
      <c r="C78" s="46" t="s">
        <v>189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0.8749628948462248</v>
      </c>
      <c r="K78" s="55">
        <f t="shared" si="46"/>
        <v>0.97378960438487505</v>
      </c>
      <c r="L78" s="55">
        <f t="shared" si="47"/>
        <v>3.8865538007131946E-3</v>
      </c>
      <c r="M78" s="55">
        <f t="shared" si="19"/>
        <v>0.99611344619928677</v>
      </c>
      <c r="N78" s="55">
        <f t="shared" si="48"/>
        <v>1.1690231973972684E-3</v>
      </c>
      <c r="O78" s="56">
        <f t="shared" si="21"/>
        <v>9.7481261338814256E-7</v>
      </c>
      <c r="P78" s="56">
        <f t="shared" si="49"/>
        <v>7.3094388107804026E-6</v>
      </c>
      <c r="Q78" s="56">
        <f t="shared" si="50"/>
        <v>7.7414825647191269E-5</v>
      </c>
      <c r="R78" s="9">
        <f t="shared" si="43"/>
        <v>3.9999999999999996E-5</v>
      </c>
      <c r="S78" s="9">
        <f t="shared" si="39"/>
        <v>1.5546215202852777E-7</v>
      </c>
      <c r="T78" s="9">
        <f t="shared" si="40"/>
        <v>3.8951584175395002E-5</v>
      </c>
      <c r="U78" s="9">
        <f t="shared" si="41"/>
        <v>3.9844537847971469E-5</v>
      </c>
      <c r="V78" s="102">
        <f t="shared" si="42"/>
        <v>0.97758905684930841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190</v>
      </c>
      <c r="C79" s="46" t="s">
        <v>191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1.8329595102905287</v>
      </c>
      <c r="K79" s="55">
        <f t="shared" si="46"/>
        <v>0.79491791568125059</v>
      </c>
      <c r="L79" s="55">
        <f t="shared" si="47"/>
        <v>2.8801721758913507E-2</v>
      </c>
      <c r="M79" s="55">
        <f t="shared" si="19"/>
        <v>0.97119827824108651</v>
      </c>
      <c r="N79" s="55">
        <f t="shared" si="48"/>
        <v>1.1058781575445108E-2</v>
      </c>
      <c r="O79" s="56">
        <f t="shared" si="21"/>
        <v>7.9575301207264661E-7</v>
      </c>
      <c r="P79" s="56">
        <f t="shared" si="49"/>
        <v>5.4167376456558741E-5</v>
      </c>
      <c r="Q79" s="56">
        <f t="shared" si="50"/>
        <v>7.3233247162205091E-4</v>
      </c>
      <c r="R79" s="9">
        <f t="shared" si="43"/>
        <v>3.9999999999999996E-5</v>
      </c>
      <c r="S79" s="9">
        <f t="shared" si="39"/>
        <v>1.1520688703565402E-6</v>
      </c>
      <c r="T79" s="9">
        <f t="shared" si="40"/>
        <v>3.1796716627250019E-5</v>
      </c>
      <c r="U79" s="9">
        <f t="shared" si="41"/>
        <v>3.8847931129643457E-5</v>
      </c>
      <c r="V79" s="102">
        <f t="shared" si="42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192</v>
      </c>
      <c r="C80" s="46" t="s">
        <v>193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4.6296168009876641</v>
      </c>
      <c r="K80" s="55">
        <f t="shared" si="46"/>
        <v>8.4276820304822805E-3</v>
      </c>
      <c r="L80" s="55">
        <f t="shared" si="47"/>
        <v>0.19118842599576041</v>
      </c>
      <c r="M80" s="55">
        <f t="shared" si="19"/>
        <v>0.80881157400423964</v>
      </c>
      <c r="N80" s="55">
        <f t="shared" si="48"/>
        <v>0.13818443808014488</v>
      </c>
      <c r="O80" s="56">
        <f t="shared" si="21"/>
        <v>8.436535682806188E-9</v>
      </c>
      <c r="P80" s="56">
        <f t="shared" si="49"/>
        <v>3.5956792901953045E-4</v>
      </c>
      <c r="Q80" s="56">
        <f t="shared" si="50"/>
        <v>9.1508228450441782E-3</v>
      </c>
      <c r="R80" s="9">
        <f t="shared" si="43"/>
        <v>3.9999999999999996E-5</v>
      </c>
      <c r="S80" s="9">
        <f t="shared" si="39"/>
        <v>7.6475370398304153E-6</v>
      </c>
      <c r="T80" s="9">
        <f t="shared" si="40"/>
        <v>3.3710728121929118E-7</v>
      </c>
      <c r="U80" s="9">
        <f t="shared" si="41"/>
        <v>3.2352462960169581E-5</v>
      </c>
      <c r="V80" s="102">
        <f t="shared" si="42"/>
        <v>1.0419833619292525E-2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194</v>
      </c>
      <c r="C81" s="46" t="s">
        <v>195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2.0749419502288911</v>
      </c>
      <c r="K81" s="55">
        <f t="shared" si="46"/>
        <v>0.71202916832382135</v>
      </c>
      <c r="L81" s="55">
        <f t="shared" si="47"/>
        <v>4.5037719344704366E-2</v>
      </c>
      <c r="M81" s="55">
        <f t="shared" si="19"/>
        <v>0.95496228065529565</v>
      </c>
      <c r="N81" s="55">
        <f t="shared" si="48"/>
        <v>2.3066663497795233E-2</v>
      </c>
      <c r="O81" s="56">
        <f t="shared" si="21"/>
        <v>7.1277718642393704E-7</v>
      </c>
      <c r="P81" s="56">
        <f t="shared" si="49"/>
        <v>8.4702404908638604E-5</v>
      </c>
      <c r="Q81" s="56">
        <f t="shared" si="50"/>
        <v>1.5275160808784322E-3</v>
      </c>
      <c r="R81" s="9">
        <f t="shared" si="43"/>
        <v>3.9999999999999996E-5</v>
      </c>
      <c r="S81" s="9">
        <f t="shared" si="39"/>
        <v>1.8015087737881745E-6</v>
      </c>
      <c r="T81" s="9">
        <f t="shared" si="40"/>
        <v>2.848116673295285E-5</v>
      </c>
      <c r="U81" s="9">
        <f t="shared" si="41"/>
        <v>3.8198491226211823E-5</v>
      </c>
      <c r="V81" s="102">
        <f t="shared" si="42"/>
        <v>0.74560973008821518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196</v>
      </c>
      <c r="C82" s="46" t="s">
        <v>197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2.8845581821937589</v>
      </c>
      <c r="K82" s="55">
        <f t="shared" si="46"/>
        <v>0.2969215821688051</v>
      </c>
      <c r="L82" s="55">
        <f t="shared" si="47"/>
        <v>0.12115367809165309</v>
      </c>
      <c r="M82" s="55">
        <f t="shared" si="19"/>
        <v>0.87884632190834688</v>
      </c>
      <c r="N82" s="55">
        <f t="shared" si="48"/>
        <v>7.4979883487232848E-2</v>
      </c>
      <c r="O82" s="56">
        <f t="shared" si="21"/>
        <v>2.9723351140942894E-7</v>
      </c>
      <c r="P82" s="56">
        <f t="shared" si="49"/>
        <v>2.2785363129398088E-4</v>
      </c>
      <c r="Q82" s="56">
        <f t="shared" si="50"/>
        <v>4.9653031865699486E-3</v>
      </c>
      <c r="R82" s="9">
        <f t="shared" si="43"/>
        <v>3.9999999999999996E-5</v>
      </c>
      <c r="S82" s="9">
        <f t="shared" si="39"/>
        <v>4.8461471236661228E-6</v>
      </c>
      <c r="T82" s="9">
        <f t="shared" si="40"/>
        <v>1.1876863286752203E-5</v>
      </c>
      <c r="U82" s="9">
        <f t="shared" si="41"/>
        <v>3.5153852876333875E-5</v>
      </c>
      <c r="V82" s="102">
        <f t="shared" si="42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198</v>
      </c>
      <c r="C83" s="46" t="s">
        <v>199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2.2572305062802869</v>
      </c>
      <c r="K83" s="55">
        <f t="shared" si="46"/>
        <v>0.62310347582483327</v>
      </c>
      <c r="L83" s="55">
        <f t="shared" si="47"/>
        <v>5.9969072956722921E-2</v>
      </c>
      <c r="M83" s="55">
        <f t="shared" si="19"/>
        <v>0.94003092704327706</v>
      </c>
      <c r="N83" s="55">
        <f t="shared" si="48"/>
        <v>3.2011879175023843E-2</v>
      </c>
      <c r="O83" s="56">
        <f t="shared" si="21"/>
        <v>6.2375807355607408E-7</v>
      </c>
      <c r="P83" s="56">
        <f t="shared" si="49"/>
        <v>1.1278379042018027E-4</v>
      </c>
      <c r="Q83" s="56">
        <f t="shared" si="50"/>
        <v>2.119884404767086E-3</v>
      </c>
      <c r="R83" s="9">
        <f t="shared" si="43"/>
        <v>3.9999999999999996E-5</v>
      </c>
      <c r="S83" s="9">
        <f t="shared" si="39"/>
        <v>2.3987629182689166E-6</v>
      </c>
      <c r="T83" s="9">
        <f t="shared" si="40"/>
        <v>2.492413903299333E-5</v>
      </c>
      <c r="U83" s="9">
        <f t="shared" si="41"/>
        <v>3.7601237081731079E-5</v>
      </c>
      <c r="V83" s="102">
        <f t="shared" si="42"/>
        <v>0.66285422947169359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0.69048960682204896</v>
      </c>
      <c r="K84" s="55">
        <f t="shared" si="46"/>
        <v>0.98328121630536991</v>
      </c>
      <c r="L84" s="55">
        <f t="shared" si="47"/>
        <v>2.5662797960401035E-3</v>
      </c>
      <c r="M84" s="55">
        <f t="shared" si="19"/>
        <v>0.99743372020395993</v>
      </c>
      <c r="N84" s="55">
        <f t="shared" si="48"/>
        <v>6.4711540417341064E-4</v>
      </c>
      <c r="O84" s="56">
        <f t="shared" si="21"/>
        <v>9.8431419666631728E-7</v>
      </c>
      <c r="P84" s="56">
        <f t="shared" si="49"/>
        <v>4.8264004828789406E-6</v>
      </c>
      <c r="Q84" s="56">
        <f t="shared" si="50"/>
        <v>4.2853149791408374E-5</v>
      </c>
      <c r="R84" s="9">
        <f t="shared" si="43"/>
        <v>3.9999999999999996E-5</v>
      </c>
      <c r="S84" s="9">
        <f t="shared" si="39"/>
        <v>1.0265119184160413E-7</v>
      </c>
      <c r="T84" s="9">
        <f t="shared" si="40"/>
        <v>3.9331248652214792E-5</v>
      </c>
      <c r="U84" s="9">
        <f t="shared" si="41"/>
        <v>3.9897348808158397E-5</v>
      </c>
      <c r="V84" s="102">
        <f t="shared" si="42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200</v>
      </c>
      <c r="C85" s="46" t="s">
        <v>201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2.0521115161299051</v>
      </c>
      <c r="K85" s="55">
        <f t="shared" si="46"/>
        <v>0.72662349747617816</v>
      </c>
      <c r="L85" s="55">
        <f t="shared" si="47"/>
        <v>4.3607140504965988E-2</v>
      </c>
      <c r="M85" s="55">
        <f t="shared" si="19"/>
        <v>0.95639285949503405</v>
      </c>
      <c r="N85" s="55">
        <f t="shared" si="48"/>
        <v>2.3213168992771427E-2</v>
      </c>
      <c r="O85" s="56">
        <f t="shared" si="21"/>
        <v>7.2738684756387349E-7</v>
      </c>
      <c r="P85" s="56">
        <f t="shared" si="49"/>
        <v>8.2011916360365841E-5</v>
      </c>
      <c r="Q85" s="56">
        <f t="shared" si="50"/>
        <v>1.5372179391265736E-3</v>
      </c>
      <c r="R85" s="9">
        <f t="shared" si="43"/>
        <v>3.9999999999999996E-5</v>
      </c>
      <c r="S85" s="9">
        <f t="shared" si="39"/>
        <v>1.7442856201986393E-6</v>
      </c>
      <c r="T85" s="9">
        <f t="shared" si="40"/>
        <v>2.9064939899047123E-5</v>
      </c>
      <c r="U85" s="9">
        <f t="shared" si="41"/>
        <v>3.8255714379801359E-5</v>
      </c>
      <c r="V85" s="102">
        <f t="shared" si="42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1.4369741370782525</v>
      </c>
      <c r="K86" s="55">
        <f t="shared" si="46"/>
        <v>0.91090645099614065</v>
      </c>
      <c r="L86" s="55">
        <f t="shared" si="47"/>
        <v>1.326125328318087E-2</v>
      </c>
      <c r="M86" s="55">
        <f t="shared" si="19"/>
        <v>0.98673874671681916</v>
      </c>
      <c r="N86" s="55">
        <f t="shared" si="48"/>
        <v>5.620420030812639E-3</v>
      </c>
      <c r="O86" s="56">
        <f t="shared" si="21"/>
        <v>9.1186339846847709E-7</v>
      </c>
      <c r="P86" s="56">
        <f t="shared" si="49"/>
        <v>2.4940429078811132E-5</v>
      </c>
      <c r="Q86" s="56">
        <f t="shared" si="50"/>
        <v>3.7219435655174669E-4</v>
      </c>
      <c r="R86" s="9">
        <f t="shared" si="43"/>
        <v>3.9999999999999996E-5</v>
      </c>
      <c r="S86" s="9">
        <f t="shared" si="39"/>
        <v>5.3045013132723476E-7</v>
      </c>
      <c r="T86" s="9">
        <f t="shared" si="40"/>
        <v>3.6436258039845623E-5</v>
      </c>
      <c r="U86" s="9">
        <f t="shared" si="41"/>
        <v>3.9469549868672762E-5</v>
      </c>
      <c r="V86" s="102">
        <f t="shared" si="42"/>
        <v>0.92314855783965544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202</v>
      </c>
      <c r="C87" s="46" t="s">
        <v>203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204</v>
      </c>
      <c r="C88" s="46" t="s">
        <v>205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3.8141757440305213</v>
      </c>
      <c r="K88" s="55">
        <f t="shared" si="46"/>
        <v>5.5352727345387952E-2</v>
      </c>
      <c r="L88" s="55">
        <f t="shared" si="47"/>
        <v>0.19206641205193062</v>
      </c>
      <c r="M88" s="55">
        <f t="shared" si="19"/>
        <v>0.80793358794806935</v>
      </c>
      <c r="N88" s="55">
        <f t="shared" si="48"/>
        <v>0.14732688942842251</v>
      </c>
      <c r="O88" s="56">
        <f t="shared" si="21"/>
        <v>5.5410877831052178E-8</v>
      </c>
      <c r="P88" s="56">
        <f t="shared" si="49"/>
        <v>3.6121915673522991E-4</v>
      </c>
      <c r="Q88" s="56">
        <f t="shared" si="50"/>
        <v>9.7562524709836913E-3</v>
      </c>
      <c r="R88" s="9">
        <f>F88*$C$14</f>
        <v>3.9999999999999996E-5</v>
      </c>
      <c r="S88" s="9">
        <f t="shared" si="39"/>
        <v>7.6826564820772245E-6</v>
      </c>
      <c r="T88" s="9">
        <f t="shared" si="40"/>
        <v>2.2141090938155178E-6</v>
      </c>
      <c r="U88" s="9">
        <f t="shared" si="41"/>
        <v>3.2317343517922769E-5</v>
      </c>
      <c r="V88" s="102">
        <f t="shared" si="42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206</v>
      </c>
      <c r="C89" s="46" t="s">
        <v>207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5.2586556180187021</v>
      </c>
      <c r="K89" s="55">
        <f t="shared" si="46"/>
        <v>2.3289969098576396E-3</v>
      </c>
      <c r="L89" s="55">
        <f t="shared" si="47"/>
        <v>0.22488536082467192</v>
      </c>
      <c r="M89" s="55">
        <f t="shared" si="19"/>
        <v>0.77511463917532808</v>
      </c>
      <c r="N89" s="55">
        <f t="shared" si="48"/>
        <v>0.1905201468018117</v>
      </c>
      <c r="O89" s="56">
        <f t="shared" si="21"/>
        <v>2.3314436240109214E-9</v>
      </c>
      <c r="P89" s="56">
        <f t="shared" si="49"/>
        <v>4.229417290162235E-4</v>
      </c>
      <c r="Q89" s="56">
        <f t="shared" si="50"/>
        <v>1.2616587916969596E-2</v>
      </c>
      <c r="R89" s="9">
        <f>F89*$C$14</f>
        <v>3.9999999999999996E-5</v>
      </c>
      <c r="S89" s="9">
        <f t="shared" si="39"/>
        <v>8.9954144329868765E-6</v>
      </c>
      <c r="T89" s="9">
        <f t="shared" si="40"/>
        <v>9.3159876394305572E-8</v>
      </c>
      <c r="U89" s="9">
        <f t="shared" si="41"/>
        <v>3.1004585567013122E-5</v>
      </c>
      <c r="V89" s="102">
        <f t="shared" si="42"/>
        <v>3.0047128413618171E-3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208</v>
      </c>
      <c r="C90" s="46" t="s">
        <v>209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5.6292570490791167</v>
      </c>
      <c r="K90" s="55">
        <f t="shared" si="46"/>
        <v>1.0378151975092159E-3</v>
      </c>
      <c r="L90" s="55">
        <f t="shared" si="47"/>
        <v>0.2352413864255406</v>
      </c>
      <c r="M90" s="55">
        <f t="shared" si="19"/>
        <v>0.7647586135744594</v>
      </c>
      <c r="N90" s="55">
        <f t="shared" si="48"/>
        <v>0.20670073516819895</v>
      </c>
      <c r="O90" s="56">
        <f t="shared" si="21"/>
        <v>1.038905468226832E-9</v>
      </c>
      <c r="P90" s="56">
        <f t="shared" si="49"/>
        <v>4.4241829857729156E-4</v>
      </c>
      <c r="Q90" s="56">
        <f t="shared" si="50"/>
        <v>1.3688095676645955E-2</v>
      </c>
      <c r="R90" s="9">
        <f>F90*$C$14</f>
        <v>3.9999999999999996E-5</v>
      </c>
      <c r="S90" s="9">
        <f t="shared" si="39"/>
        <v>9.4096554570216235E-6</v>
      </c>
      <c r="T90" s="9">
        <f t="shared" si="40"/>
        <v>4.1512607900368633E-8</v>
      </c>
      <c r="U90" s="9">
        <f t="shared" si="41"/>
        <v>3.0590344542978373E-5</v>
      </c>
      <c r="V90" s="102">
        <f t="shared" si="42"/>
        <v>1.3570493736036499E-3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6.0519431364066163</v>
      </c>
      <c r="K91" s="55">
        <f t="shared" si="46"/>
        <v>4.0754370837754896E-4</v>
      </c>
      <c r="L91" s="55">
        <f t="shared" si="47"/>
        <v>0.24448599396864351</v>
      </c>
      <c r="M91" s="55">
        <f t="shared" si="19"/>
        <v>0.75551400603135654</v>
      </c>
      <c r="N91" s="55">
        <f t="shared" si="48"/>
        <v>0.22123110477075814</v>
      </c>
      <c r="O91" s="56">
        <f t="shared" si="21"/>
        <v>4.0797185104924925E-10</v>
      </c>
      <c r="P91" s="56">
        <f t="shared" si="49"/>
        <v>4.5980462503277274E-4</v>
      </c>
      <c r="Q91" s="56">
        <f t="shared" si="50"/>
        <v>1.4650322971943247E-2</v>
      </c>
      <c r="R91" s="9">
        <f t="shared" ref="R91:R92" si="51">F91*$C$14</f>
        <v>3.9999999999999996E-5</v>
      </c>
      <c r="S91" s="9">
        <f t="shared" si="39"/>
        <v>9.7794397587457392E-6</v>
      </c>
      <c r="T91" s="9">
        <f t="shared" si="40"/>
        <v>1.6301748335101955E-8</v>
      </c>
      <c r="U91" s="9">
        <f t="shared" si="41"/>
        <v>3.0220560241254259E-5</v>
      </c>
      <c r="V91" s="102">
        <f t="shared" si="42"/>
        <v>5.3942574872746225E-4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7.3052603387083286</v>
      </c>
      <c r="K92" s="55">
        <f t="shared" si="46"/>
        <v>2.4080598388018748E-5</v>
      </c>
      <c r="L92" s="55">
        <f t="shared" si="47"/>
        <v>0.25885959567972738</v>
      </c>
      <c r="M92" s="55">
        <f t="shared" si="19"/>
        <v>0.74114040432027262</v>
      </c>
      <c r="N92" s="55">
        <f t="shared" si="48"/>
        <v>0.2439216054619896</v>
      </c>
      <c r="O92" s="56">
        <f t="shared" si="21"/>
        <v>2.4105896120551616E-11</v>
      </c>
      <c r="P92" s="56">
        <f t="shared" si="49"/>
        <v>4.8683704696358878E-4</v>
      </c>
      <c r="Q92" s="56">
        <f t="shared" si="50"/>
        <v>1.6152928872980997E-2</v>
      </c>
      <c r="R92" s="9">
        <f t="shared" si="51"/>
        <v>3.9999999999999996E-5</v>
      </c>
      <c r="S92" s="9">
        <f t="shared" si="39"/>
        <v>1.0354383827189095E-5</v>
      </c>
      <c r="T92" s="9">
        <f t="shared" si="40"/>
        <v>9.6322393552074986E-10</v>
      </c>
      <c r="U92" s="9">
        <f t="shared" si="41"/>
        <v>2.9645616172810903E-5</v>
      </c>
      <c r="V92" s="102">
        <f t="shared" si="42"/>
        <v>3.2491277290574865E-5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210</v>
      </c>
      <c r="C93" s="46" t="s">
        <v>211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1.3331589544646656</v>
      </c>
      <c r="K93" s="55">
        <f t="shared" si="46"/>
        <v>0.91805623619869881</v>
      </c>
      <c r="L93" s="55">
        <f t="shared" si="47"/>
        <v>1.0523613626530455E-2</v>
      </c>
      <c r="M93" s="55">
        <f t="shared" ref="M93:M127" si="52">IF(D93=0,"",1-L93)</f>
        <v>0.98947638637346957</v>
      </c>
      <c r="N93" s="55">
        <f t="shared" si="48"/>
        <v>2.4678813739494108E-3</v>
      </c>
      <c r="O93" s="56">
        <f t="shared" ref="O93:O127" si="53">IF(D93=0,"",F93*K93*$J$7/$J$14)</f>
        <v>9.1902069483628157E-7</v>
      </c>
      <c r="P93" s="56">
        <f t="shared" si="49"/>
        <v>1.9791752234924376E-5</v>
      </c>
      <c r="Q93" s="56">
        <f t="shared" si="50"/>
        <v>1.634275579027025E-4</v>
      </c>
      <c r="R93" s="9">
        <f>F93*$C$14</f>
        <v>3.9999999999999996E-5</v>
      </c>
      <c r="S93" s="9">
        <f t="shared" si="39"/>
        <v>4.2094454506121817E-7</v>
      </c>
      <c r="T93" s="9">
        <f t="shared" si="40"/>
        <v>3.6722249447947946E-5</v>
      </c>
      <c r="U93" s="9">
        <f t="shared" si="41"/>
        <v>3.9579055454938779E-5</v>
      </c>
      <c r="V93" s="102">
        <f t="shared" si="42"/>
        <v>0.92782025810991531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212</v>
      </c>
      <c r="C94" s="46" t="s">
        <v>213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214</v>
      </c>
      <c r="C95" s="46" t="s">
        <v>215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216</v>
      </c>
      <c r="C96" s="46" t="s">
        <v>217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218</v>
      </c>
      <c r="C97" s="46" t="s">
        <v>219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220</v>
      </c>
      <c r="C98" s="46" t="s">
        <v>221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222</v>
      </c>
      <c r="C99" s="46" t="s">
        <v>223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224</v>
      </c>
      <c r="C100" s="46" t="s">
        <v>225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226</v>
      </c>
      <c r="C101" s="46" t="s">
        <v>227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228</v>
      </c>
      <c r="C102" s="46" t="s">
        <v>229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230</v>
      </c>
      <c r="C103" s="46" t="s">
        <v>231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232</v>
      </c>
      <c r="C104" s="46" t="s">
        <v>233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234</v>
      </c>
      <c r="C105" s="46" t="s">
        <v>235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236</v>
      </c>
      <c r="C106" s="46" t="s">
        <v>237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238</v>
      </c>
      <c r="C107" s="46" t="s">
        <v>239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0.34270676047399878</v>
      </c>
      <c r="K107" s="55">
        <f t="shared" si="46"/>
        <v>0.9938577696097286</v>
      </c>
      <c r="L107" s="55">
        <f t="shared" si="47"/>
        <v>1.1645755094125774E-3</v>
      </c>
      <c r="M107" s="55">
        <f t="shared" si="52"/>
        <v>0.99883542449058738</v>
      </c>
      <c r="N107" s="55">
        <f t="shared" si="48"/>
        <v>1.7554611897201326E-4</v>
      </c>
      <c r="O107" s="56">
        <f t="shared" si="53"/>
        <v>9.9490186110721433E-7</v>
      </c>
      <c r="P107" s="56">
        <f t="shared" si="49"/>
        <v>2.1902162849315499E-6</v>
      </c>
      <c r="Q107" s="56">
        <f t="shared" si="50"/>
        <v>1.1624980773278243E-5</v>
      </c>
      <c r="R107" s="9">
        <f>F107*$C$14</f>
        <v>3.9999999999999996E-5</v>
      </c>
      <c r="S107" s="9">
        <f t="shared" ref="S107:S108" si="54">$R107*L107</f>
        <v>4.6583020376503089E-8</v>
      </c>
      <c r="T107" s="9">
        <f t="shared" ref="T107:T108" si="55">R107*K107</f>
        <v>3.9754310784389142E-5</v>
      </c>
      <c r="U107" s="9">
        <f t="shared" ref="U107:U108" si="56">$R107*M107</f>
        <v>3.9953416979623493E-5</v>
      </c>
      <c r="V107" s="102">
        <f t="shared" ref="V107:V108" si="57">K107/M107</f>
        <v>0.99501654150542629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240</v>
      </c>
      <c r="C108" s="46" t="s">
        <v>241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1.0545652216525729</v>
      </c>
      <c r="K108" s="55">
        <f t="shared" si="46"/>
        <v>0.95902781177085028</v>
      </c>
      <c r="L108" s="55">
        <f t="shared" si="47"/>
        <v>5.788060722518161E-3</v>
      </c>
      <c r="M108" s="55">
        <f t="shared" si="52"/>
        <v>0.99421193927748186</v>
      </c>
      <c r="N108" s="55">
        <f t="shared" si="48"/>
        <v>1.7403443876337907E-3</v>
      </c>
      <c r="O108" s="56">
        <f t="shared" si="53"/>
        <v>9.6003531285877293E-7</v>
      </c>
      <c r="P108" s="56">
        <f t="shared" si="49"/>
        <v>1.0885601448914549E-5</v>
      </c>
      <c r="Q108" s="56">
        <f t="shared" si="50"/>
        <v>1.1524874582018503E-4</v>
      </c>
      <c r="R108" s="9">
        <f>F108*$C$14</f>
        <v>3.9999999999999996E-5</v>
      </c>
      <c r="S108" s="9">
        <f t="shared" si="54"/>
        <v>2.3152242890072641E-7</v>
      </c>
      <c r="T108" s="9">
        <f t="shared" si="55"/>
        <v>3.8361112470834005E-5</v>
      </c>
      <c r="U108" s="9">
        <f t="shared" si="56"/>
        <v>3.9768477571099274E-5</v>
      </c>
      <c r="V108" s="102">
        <f t="shared" si="57"/>
        <v>0.96461103903841594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242</v>
      </c>
      <c r="C109" s="46" t="s">
        <v>243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244</v>
      </c>
      <c r="C110" s="46" t="s">
        <v>245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246</v>
      </c>
      <c r="C111" s="46" t="s">
        <v>247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248</v>
      </c>
      <c r="C112" s="46" t="s">
        <v>249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250</v>
      </c>
      <c r="C113" s="46" t="s">
        <v>251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252</v>
      </c>
      <c r="C114" s="46" t="s">
        <v>253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0.91157893214616048</v>
      </c>
      <c r="K114" s="55">
        <f t="shared" si="46"/>
        <v>0.97181694956193776</v>
      </c>
      <c r="L114" s="55">
        <f t="shared" si="47"/>
        <v>4.2198795671991758E-3</v>
      </c>
      <c r="M114" s="55">
        <f t="shared" si="52"/>
        <v>0.99578012043280084</v>
      </c>
      <c r="N114" s="55">
        <f t="shared" si="48"/>
        <v>1.3707822258268707E-3</v>
      </c>
      <c r="O114" s="56">
        <f t="shared" si="53"/>
        <v>9.7283788620415826E-7</v>
      </c>
      <c r="P114" s="56">
        <f t="shared" si="49"/>
        <v>7.9363243291897085E-6</v>
      </c>
      <c r="Q114" s="56">
        <f t="shared" si="50"/>
        <v>9.0775672586241812E-5</v>
      </c>
      <c r="R114" s="9">
        <f>F114*$C$14</f>
        <v>3.9999999999999996E-5</v>
      </c>
      <c r="S114" s="9">
        <f t="shared" ref="S114:S116" si="58">$R114*L114</f>
        <v>1.6879518268796701E-7</v>
      </c>
      <c r="T114" s="9">
        <f t="shared" ref="T114:T116" si="59">R114*K114</f>
        <v>3.8872677982477509E-5</v>
      </c>
      <c r="U114" s="9">
        <f t="shared" ref="U114:U116" si="60">$R114*M114</f>
        <v>3.9831204817312028E-5</v>
      </c>
      <c r="V114" s="102">
        <f t="shared" ref="V114:V116" si="61">K114/M114</f>
        <v>0.97593527890429477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254</v>
      </c>
      <c r="C115" s="46" t="s">
        <v>255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1.1028450599696213</v>
      </c>
      <c r="K115" s="55">
        <f t="shared" si="46"/>
        <v>0.947350286104234</v>
      </c>
      <c r="L115" s="55">
        <f t="shared" si="47"/>
        <v>6.3898741645509478E-3</v>
      </c>
      <c r="M115" s="55">
        <f t="shared" si="52"/>
        <v>0.99361012583544905</v>
      </c>
      <c r="N115" s="55">
        <f t="shared" si="48"/>
        <v>7.637682237587077E-4</v>
      </c>
      <c r="O115" s="56">
        <f t="shared" si="53"/>
        <v>9.4834551943550891E-7</v>
      </c>
      <c r="P115" s="56">
        <f t="shared" si="49"/>
        <v>1.2017431536854301E-5</v>
      </c>
      <c r="Q115" s="56">
        <f t="shared" si="50"/>
        <v>5.0578110005675314E-5</v>
      </c>
      <c r="R115" s="9">
        <f>F115*$C$14</f>
        <v>3.9999999999999996E-5</v>
      </c>
      <c r="S115" s="9">
        <f t="shared" si="58"/>
        <v>2.5559496658203788E-7</v>
      </c>
      <c r="T115" s="9">
        <f t="shared" si="59"/>
        <v>3.7894011444169356E-5</v>
      </c>
      <c r="U115" s="9">
        <f t="shared" si="60"/>
        <v>3.9744405033417956E-5</v>
      </c>
      <c r="V115" s="102">
        <f t="shared" si="61"/>
        <v>0.9534426647551334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256</v>
      </c>
      <c r="C116" s="46" t="s">
        <v>257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0.11509261890443816</v>
      </c>
      <c r="K116" s="55">
        <f t="shared" si="46"/>
        <v>0.99744784140749765</v>
      </c>
      <c r="L116" s="55">
        <f t="shared" si="47"/>
        <v>6.9202131090706357E-4</v>
      </c>
      <c r="M116" s="55">
        <f t="shared" si="52"/>
        <v>0.99930797868909294</v>
      </c>
      <c r="N116" s="55">
        <f t="shared" si="48"/>
        <v>2.0600615199703991E-5</v>
      </c>
      <c r="O116" s="56">
        <f t="shared" si="53"/>
        <v>9.98495704434023E-7</v>
      </c>
      <c r="P116" s="56">
        <f t="shared" si="49"/>
        <v>1.3014839591061393E-6</v>
      </c>
      <c r="Q116" s="56">
        <f t="shared" si="50"/>
        <v>1.3642099125668638E-6</v>
      </c>
      <c r="R116" s="9">
        <f>F116*$C$14</f>
        <v>3.9999999999999996E-5</v>
      </c>
      <c r="S116" s="9">
        <f t="shared" si="58"/>
        <v>2.7680852436282541E-8</v>
      </c>
      <c r="T116" s="9">
        <f t="shared" si="59"/>
        <v>3.9897913656299903E-5</v>
      </c>
      <c r="U116" s="9">
        <f t="shared" si="60"/>
        <v>3.9972319147563713E-5</v>
      </c>
      <c r="V116" s="102">
        <f t="shared" si="61"/>
        <v>0.99813857457234012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258</v>
      </c>
      <c r="C117" s="46" t="s">
        <v>259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260</v>
      </c>
      <c r="C118" s="46" t="s">
        <v>261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262</v>
      </c>
      <c r="C119" s="46" t="s">
        <v>263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3.0017856440507846</v>
      </c>
      <c r="K119" s="55">
        <f t="shared" si="46"/>
        <v>0.23681915772438342</v>
      </c>
      <c r="L119" s="55">
        <f t="shared" si="47"/>
        <v>0.12657243389184233</v>
      </c>
      <c r="M119" s="55">
        <f t="shared" si="52"/>
        <v>0.87342756610815764</v>
      </c>
      <c r="N119" s="55">
        <f t="shared" si="48"/>
        <v>7.3628309178933538E-2</v>
      </c>
      <c r="O119" s="56">
        <f t="shared" si="53"/>
        <v>2.3706794671268993E-7</v>
      </c>
      <c r="P119" s="56">
        <f t="shared" si="49"/>
        <v>2.3804468125314431E-4</v>
      </c>
      <c r="Q119" s="56">
        <f t="shared" si="50"/>
        <v>4.8757994969432861E-3</v>
      </c>
      <c r="R119" s="9">
        <f>F119*$C$14</f>
        <v>3.9999999999999996E-5</v>
      </c>
      <c r="S119" s="9">
        <f t="shared" ref="S119:S121" si="62">$R119*L119</f>
        <v>5.0628973556736928E-6</v>
      </c>
      <c r="T119" s="9">
        <f t="shared" ref="T119:T121" si="63">R119*K119</f>
        <v>9.4727663089753359E-6</v>
      </c>
      <c r="U119" s="9">
        <f t="shared" ref="U119:U121" si="64">$R119*M119</f>
        <v>3.4937102644326301E-5</v>
      </c>
      <c r="V119" s="102">
        <f t="shared" ref="V119:V121" si="65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264</v>
      </c>
      <c r="C120" s="46" t="s">
        <v>265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1.2179102287878116</v>
      </c>
      <c r="K120" s="55">
        <f t="shared" si="46"/>
        <v>0.93898993348643811</v>
      </c>
      <c r="L120" s="55">
        <f t="shared" si="47"/>
        <v>8.2548240408913936E-3</v>
      </c>
      <c r="M120" s="55">
        <f t="shared" si="52"/>
        <v>0.9917451759591086</v>
      </c>
      <c r="N120" s="55">
        <f t="shared" si="48"/>
        <v>2.3348120797255559E-3</v>
      </c>
      <c r="O120" s="56">
        <f t="shared" si="53"/>
        <v>9.3997638389791177E-7</v>
      </c>
      <c r="P120" s="56">
        <f t="shared" si="49"/>
        <v>1.5524841367069825E-5</v>
      </c>
      <c r="Q120" s="56">
        <f t="shared" si="50"/>
        <v>1.546154691141566E-4</v>
      </c>
      <c r="R120" s="9">
        <f>F120*$C$14</f>
        <v>3.9999999999999996E-5</v>
      </c>
      <c r="S120" s="9">
        <f t="shared" si="62"/>
        <v>3.3019296163565573E-7</v>
      </c>
      <c r="T120" s="9">
        <f t="shared" si="63"/>
        <v>3.7559597339457524E-5</v>
      </c>
      <c r="U120" s="9">
        <f t="shared" si="64"/>
        <v>3.9669807038364341E-5</v>
      </c>
      <c r="V120" s="102">
        <f t="shared" si="65"/>
        <v>0.94680564750753504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266</v>
      </c>
      <c r="C121" s="46" t="s">
        <v>267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3.5006702519024278</v>
      </c>
      <c r="K121" s="55">
        <f t="shared" si="46"/>
        <v>8.0243029116562947E-2</v>
      </c>
      <c r="L121" s="55">
        <f t="shared" si="47"/>
        <v>0.13527396558595586</v>
      </c>
      <c r="M121" s="55">
        <f t="shared" si="52"/>
        <v>0.86472603441404416</v>
      </c>
      <c r="N121" s="55">
        <f t="shared" si="48"/>
        <v>6.1534873168408402E-2</v>
      </c>
      <c r="O121" s="56">
        <f t="shared" si="53"/>
        <v>8.0327327963938261E-8</v>
      </c>
      <c r="P121" s="56">
        <f t="shared" si="49"/>
        <v>2.5440964536775867E-4</v>
      </c>
      <c r="Q121" s="56">
        <f t="shared" si="50"/>
        <v>4.074950341584639E-3</v>
      </c>
      <c r="R121" s="9">
        <f>F121*$C$14</f>
        <v>3.9999999999999996E-5</v>
      </c>
      <c r="S121" s="9">
        <f t="shared" si="62"/>
        <v>5.4109586234382344E-6</v>
      </c>
      <c r="T121" s="9">
        <f t="shared" si="63"/>
        <v>3.2097211646625175E-6</v>
      </c>
      <c r="U121" s="9">
        <f t="shared" si="64"/>
        <v>3.458904137656176E-5</v>
      </c>
      <c r="V121" s="102">
        <f t="shared" si="65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268</v>
      </c>
      <c r="C122" s="46" t="s">
        <v>269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270</v>
      </c>
      <c r="C123" s="46" t="s">
        <v>271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272</v>
      </c>
      <c r="C124" s="46" t="s">
        <v>273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2.150257268427175</v>
      </c>
      <c r="K124" s="55">
        <f t="shared" si="68"/>
        <v>0.68693937044320497</v>
      </c>
      <c r="L124" s="55">
        <f t="shared" si="69"/>
        <v>5.1678789368410284E-2</v>
      </c>
      <c r="M124" s="55">
        <f t="shared" si="52"/>
        <v>0.94832121063158969</v>
      </c>
      <c r="N124" s="55">
        <f t="shared" si="70"/>
        <v>2.9434550153891272E-2</v>
      </c>
      <c r="O124" s="56">
        <f t="shared" si="53"/>
        <v>6.8766103060213252E-7</v>
      </c>
      <c r="P124" s="56">
        <f t="shared" si="71"/>
        <v>9.7192260308936597E-5</v>
      </c>
      <c r="Q124" s="56">
        <f t="shared" si="72"/>
        <v>1.9492090261684009E-3</v>
      </c>
      <c r="R124" s="9">
        <f>F124*$C$14</f>
        <v>3.9999999999999996E-5</v>
      </c>
      <c r="S124" s="9">
        <f t="shared" ref="S124:S127" si="73">$R124*L124</f>
        <v>2.067151574736411E-6</v>
      </c>
      <c r="T124" s="9">
        <f t="shared" ref="T124:T127" si="74">R124*K124</f>
        <v>2.7477574817728197E-5</v>
      </c>
      <c r="U124" s="9">
        <f t="shared" ref="U124:U127" si="75">$R124*M124</f>
        <v>3.7932848425263586E-5</v>
      </c>
      <c r="V124" s="102">
        <f t="shared" ref="V124:V127" si="76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274</v>
      </c>
      <c r="C125" s="46" t="s">
        <v>275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276</v>
      </c>
      <c r="C126" s="46" t="s">
        <v>277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1.5580178961312285</v>
      </c>
      <c r="K126" s="55">
        <f t="shared" si="68"/>
        <v>0.87714442179232455</v>
      </c>
      <c r="L126" s="55">
        <f t="shared" si="69"/>
        <v>1.687429576970309E-2</v>
      </c>
      <c r="M126" s="55">
        <f t="shared" si="52"/>
        <v>0.98312570423029688</v>
      </c>
      <c r="N126" s="55">
        <f t="shared" si="70"/>
        <v>5.7620908438799226E-3</v>
      </c>
      <c r="O126" s="56">
        <f t="shared" si="53"/>
        <v>8.7806590076131234E-7</v>
      </c>
      <c r="P126" s="56">
        <f t="shared" si="71"/>
        <v>3.1735475366640169E-5</v>
      </c>
      <c r="Q126" s="56">
        <f t="shared" si="72"/>
        <v>3.8157605343964215E-4</v>
      </c>
      <c r="R126" s="9">
        <f>F126*$C$14</f>
        <v>3.9999999999999996E-5</v>
      </c>
      <c r="S126" s="9">
        <f t="shared" si="73"/>
        <v>6.7497183078812359E-7</v>
      </c>
      <c r="T126" s="9">
        <f t="shared" si="74"/>
        <v>3.508577687169298E-5</v>
      </c>
      <c r="U126" s="9">
        <f t="shared" si="75"/>
        <v>3.932502816921187E-5</v>
      </c>
      <c r="V126" s="102">
        <f t="shared" si="76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278</v>
      </c>
      <c r="C127" s="46" t="s">
        <v>279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1.3441931174444362E-2</v>
      </c>
      <c r="K127" s="55">
        <f t="shared" si="68"/>
        <v>0.99880835373574006</v>
      </c>
      <c r="L127" s="55">
        <f t="shared" si="69"/>
        <v>5.4835366729364516E-4</v>
      </c>
      <c r="M127" s="55">
        <f t="shared" si="52"/>
        <v>0.99945164633270633</v>
      </c>
      <c r="N127" s="55">
        <f t="shared" si="70"/>
        <v>1.7943045613873404E-5</v>
      </c>
      <c r="O127" s="56">
        <f t="shared" si="53"/>
        <v>9.9985764604057631E-7</v>
      </c>
      <c r="P127" s="56">
        <f t="shared" si="71"/>
        <v>1.0312883297831676E-6</v>
      </c>
      <c r="Q127" s="56">
        <f t="shared" si="72"/>
        <v>1.1882208589788721E-6</v>
      </c>
      <c r="R127" s="9">
        <f>F127*$C$14</f>
        <v>3.9999999999999996E-5</v>
      </c>
      <c r="S127" s="9">
        <f t="shared" si="73"/>
        <v>2.1934146691745805E-8</v>
      </c>
      <c r="T127" s="9">
        <f t="shared" si="74"/>
        <v>3.9952334149429602E-5</v>
      </c>
      <c r="U127" s="9">
        <f t="shared" si="75"/>
        <v>3.9978065853308249E-5</v>
      </c>
      <c r="V127" s="102">
        <f t="shared" si="76"/>
        <v>0.99935635445764015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280</v>
      </c>
      <c r="C128" s="46" t="s">
        <v>281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282</v>
      </c>
      <c r="C129" s="46" t="s">
        <v>283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284</v>
      </c>
      <c r="C130" s="46" t="s">
        <v>285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0.33678734695500601</v>
      </c>
      <c r="K130" s="55">
        <f t="shared" si="79"/>
        <v>0.99349907645671176</v>
      </c>
      <c r="L130" s="55">
        <f t="shared" si="80"/>
        <v>1.1483954676581715E-3</v>
      </c>
      <c r="M130" s="55">
        <f t="shared" si="81"/>
        <v>0.99885160453234179</v>
      </c>
      <c r="N130" s="55">
        <f t="shared" si="82"/>
        <v>9.0672264650741197E-5</v>
      </c>
      <c r="O130" s="56">
        <f t="shared" si="83"/>
        <v>9.9454279113119235E-7</v>
      </c>
      <c r="P130" s="56">
        <f t="shared" si="84"/>
        <v>2.1597864925694837E-6</v>
      </c>
      <c r="Q130" s="56">
        <f t="shared" si="85"/>
        <v>6.004480984296262E-6</v>
      </c>
      <c r="R130" s="9">
        <f>F130*$C$14</f>
        <v>3.9999999999999996E-5</v>
      </c>
      <c r="S130" s="9">
        <f t="shared" ref="S130:S131" si="86">$R130*L130</f>
        <v>4.5935818706326855E-8</v>
      </c>
      <c r="T130" s="9">
        <f t="shared" ref="T130:T131" si="87">R130*K130</f>
        <v>3.9739963058268468E-5</v>
      </c>
      <c r="U130" s="9">
        <f t="shared" ref="U130:U131" si="88">$R130*M130</f>
        <v>3.9954064181293666E-5</v>
      </c>
      <c r="V130" s="102">
        <f t="shared" ref="V130:V131" si="89">K130/M130</f>
        <v>0.99464131803829248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286</v>
      </c>
      <c r="C131" s="46" t="s">
        <v>287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-1.6886993788656414E-2</v>
      </c>
      <c r="K131" s="55">
        <f t="shared" si="79"/>
        <v>0.99910486631225037</v>
      </c>
      <c r="L131" s="55">
        <f t="shared" si="80"/>
        <v>5.1151778180654926E-4</v>
      </c>
      <c r="M131" s="55">
        <f t="shared" si="81"/>
        <v>0.99948848221819342</v>
      </c>
      <c r="N131" s="55">
        <f t="shared" si="82"/>
        <v>8.6180908785711474E-6</v>
      </c>
      <c r="O131" s="56">
        <f t="shared" si="83"/>
        <v>1.0001544701166487E-6</v>
      </c>
      <c r="P131" s="56">
        <f t="shared" si="84"/>
        <v>9.6201110764374103E-7</v>
      </c>
      <c r="Q131" s="56">
        <f t="shared" si="85"/>
        <v>5.7070552942116822E-7</v>
      </c>
      <c r="R131" s="9">
        <f>F131*$C$14</f>
        <v>3.9999999999999996E-5</v>
      </c>
      <c r="S131" s="9">
        <f t="shared" si="86"/>
        <v>2.046071127226197E-8</v>
      </c>
      <c r="T131" s="9">
        <f t="shared" si="87"/>
        <v>3.9964194652490014E-5</v>
      </c>
      <c r="U131" s="9">
        <f t="shared" si="88"/>
        <v>3.9979539288727733E-5</v>
      </c>
      <c r="V131" s="102">
        <f t="shared" si="89"/>
        <v>0.99961618776727501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288</v>
      </c>
      <c r="C132" s="46" t="s">
        <v>289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290</v>
      </c>
      <c r="C133" s="46" t="s">
        <v>291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292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2024-10-28T22:49:28Z</dcterms:modified>
</cp:coreProperties>
</file>