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384well_1um\"/>
    </mc:Choice>
  </mc:AlternateContent>
  <xr:revisionPtr revIDLastSave="0" documentId="13_ncr:1_{C084F39F-00BC-46F8-9A44-D4007F5AE20A}" xr6:coauthVersionLast="47" xr6:coauthVersionMax="47" xr10:uidLastSave="{00000000-0000-0000-0000-000000000000}"/>
  <bookViews>
    <workbookView minimized="1" xWindow="36870" yWindow="1680" windowWidth="32400" windowHeight="1996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U131" i="4"/>
  <c r="T131" i="4"/>
  <c r="R131" i="4"/>
  <c r="S131" i="4" s="1"/>
  <c r="V130" i="4"/>
  <c r="R130" i="4"/>
  <c r="V127" i="4"/>
  <c r="U127" i="4"/>
  <c r="T127" i="4"/>
  <c r="S127" i="4"/>
  <c r="R127" i="4"/>
  <c r="V126" i="4"/>
  <c r="R126" i="4"/>
  <c r="U126" i="4" s="1"/>
  <c r="V124" i="4"/>
  <c r="R124" i="4"/>
  <c r="U124" i="4" s="1"/>
  <c r="V121" i="4"/>
  <c r="U121" i="4"/>
  <c r="R121" i="4"/>
  <c r="T121" i="4" s="1"/>
  <c r="V120" i="4"/>
  <c r="R120" i="4"/>
  <c r="U120" i="4" s="1"/>
  <c r="V119" i="4"/>
  <c r="U119" i="4"/>
  <c r="T119" i="4"/>
  <c r="S119" i="4"/>
  <c r="R119" i="4"/>
  <c r="V116" i="4"/>
  <c r="R116" i="4"/>
  <c r="V115" i="4"/>
  <c r="U115" i="4"/>
  <c r="R115" i="4"/>
  <c r="T115" i="4" s="1"/>
  <c r="V114" i="4"/>
  <c r="R114" i="4"/>
  <c r="U114" i="4" s="1"/>
  <c r="V108" i="4"/>
  <c r="R108" i="4"/>
  <c r="U108" i="4" s="1"/>
  <c r="V107" i="4"/>
  <c r="U107" i="4"/>
  <c r="T107" i="4"/>
  <c r="R107" i="4"/>
  <c r="S107" i="4" s="1"/>
  <c r="V93" i="4"/>
  <c r="S93" i="4"/>
  <c r="R93" i="4"/>
  <c r="V92" i="4"/>
  <c r="R92" i="4"/>
  <c r="U92" i="4" s="1"/>
  <c r="V91" i="4"/>
  <c r="R91" i="4"/>
  <c r="U91" i="4" s="1"/>
  <c r="V90" i="4"/>
  <c r="U90" i="4"/>
  <c r="T90" i="4"/>
  <c r="S90" i="4"/>
  <c r="R90" i="4"/>
  <c r="V89" i="4"/>
  <c r="U89" i="4"/>
  <c r="R89" i="4"/>
  <c r="T89" i="4" s="1"/>
  <c r="V88" i="4"/>
  <c r="R88" i="4"/>
  <c r="U88" i="4" s="1"/>
  <c r="V86" i="4"/>
  <c r="U86" i="4"/>
  <c r="T86" i="4"/>
  <c r="S86" i="4"/>
  <c r="R86" i="4"/>
  <c r="V85" i="4"/>
  <c r="R85" i="4"/>
  <c r="V84" i="4"/>
  <c r="R84" i="4"/>
  <c r="U84" i="4" s="1"/>
  <c r="V83" i="4"/>
  <c r="R83" i="4"/>
  <c r="U83" i="4" s="1"/>
  <c r="V82" i="4"/>
  <c r="U82" i="4"/>
  <c r="R82" i="4"/>
  <c r="T82" i="4" s="1"/>
  <c r="V81" i="4"/>
  <c r="U81" i="4"/>
  <c r="T81" i="4"/>
  <c r="R81" i="4"/>
  <c r="S81" i="4" s="1"/>
  <c r="V80" i="4"/>
  <c r="R80" i="4"/>
  <c r="V79" i="4"/>
  <c r="U79" i="4"/>
  <c r="R79" i="4"/>
  <c r="T79" i="4" s="1"/>
  <c r="V78" i="4"/>
  <c r="R78" i="4"/>
  <c r="U78" i="4" s="1"/>
  <c r="V77" i="4"/>
  <c r="U77" i="4"/>
  <c r="T77" i="4"/>
  <c r="R77" i="4"/>
  <c r="S77" i="4" s="1"/>
  <c r="V76" i="4"/>
  <c r="U76" i="4"/>
  <c r="R76" i="4"/>
  <c r="T76" i="4" s="1"/>
  <c r="V75" i="4"/>
  <c r="R75" i="4"/>
  <c r="U75" i="4" s="1"/>
  <c r="V74" i="4"/>
  <c r="U74" i="4"/>
  <c r="T74" i="4"/>
  <c r="S74" i="4"/>
  <c r="R74" i="4"/>
  <c r="V73" i="4"/>
  <c r="R73" i="4"/>
  <c r="V72" i="4"/>
  <c r="R72" i="4"/>
  <c r="U72" i="4" s="1"/>
  <c r="V71" i="4"/>
  <c r="R71" i="4"/>
  <c r="U71" i="4" s="1"/>
  <c r="V70" i="4"/>
  <c r="R70" i="4"/>
  <c r="U70" i="4" s="1"/>
  <c r="V69" i="4"/>
  <c r="U69" i="4"/>
  <c r="T69" i="4"/>
  <c r="R69" i="4"/>
  <c r="S69" i="4" s="1"/>
  <c r="V68" i="4"/>
  <c r="R68" i="4"/>
  <c r="V65" i="4"/>
  <c r="R65" i="4"/>
  <c r="U65" i="4" s="1"/>
  <c r="V64" i="4"/>
  <c r="R64" i="4"/>
  <c r="U64" i="4" s="1"/>
  <c r="V63" i="4"/>
  <c r="R63" i="4"/>
  <c r="U63" i="4" s="1"/>
  <c r="V62" i="4"/>
  <c r="U62" i="4"/>
  <c r="R62" i="4"/>
  <c r="T62" i="4" s="1"/>
  <c r="V61" i="4"/>
  <c r="T61" i="4"/>
  <c r="R61" i="4"/>
  <c r="U61" i="4" s="1"/>
  <c r="V60" i="4"/>
  <c r="U60" i="4"/>
  <c r="T60" i="4"/>
  <c r="S60" i="4"/>
  <c r="R60" i="4"/>
  <c r="V58" i="4"/>
  <c r="R58" i="4"/>
  <c r="V57" i="4"/>
  <c r="U57" i="4"/>
  <c r="T57" i="4"/>
  <c r="R57" i="4"/>
  <c r="S57" i="4" s="1"/>
  <c r="V49" i="4"/>
  <c r="R49" i="4"/>
  <c r="U49" i="4" s="1"/>
  <c r="V48" i="4"/>
  <c r="U48" i="4"/>
  <c r="T48" i="4"/>
  <c r="S48" i="4"/>
  <c r="R48" i="4"/>
  <c r="V47" i="4"/>
  <c r="U47" i="4"/>
  <c r="T47" i="4"/>
  <c r="R47" i="4"/>
  <c r="S47" i="4" s="1"/>
  <c r="V46" i="4"/>
  <c r="R46" i="4"/>
  <c r="V45" i="4"/>
  <c r="U45" i="4"/>
  <c r="T45" i="4"/>
  <c r="S45" i="4"/>
  <c r="R45" i="4"/>
  <c r="V44" i="4"/>
  <c r="R44" i="4"/>
  <c r="U44" i="4" s="1"/>
  <c r="V43" i="4"/>
  <c r="R43" i="4"/>
  <c r="U43" i="4" s="1"/>
  <c r="V42" i="4"/>
  <c r="U42" i="4"/>
  <c r="R42" i="4"/>
  <c r="T42" i="4" s="1"/>
  <c r="V41" i="4"/>
  <c r="R41" i="4"/>
  <c r="U41" i="4" s="1"/>
  <c r="V40" i="4"/>
  <c r="U40" i="4"/>
  <c r="T40" i="4"/>
  <c r="S40" i="4"/>
  <c r="R40" i="4"/>
  <c r="V39" i="4"/>
  <c r="R39" i="4"/>
  <c r="V38" i="4"/>
  <c r="U38" i="4"/>
  <c r="R38" i="4"/>
  <c r="T38" i="4" s="1"/>
  <c r="V37" i="4"/>
  <c r="R37" i="4"/>
  <c r="U37" i="4" s="1"/>
  <c r="V36" i="4"/>
  <c r="R36" i="4"/>
  <c r="U36" i="4" s="1"/>
  <c r="V35" i="4"/>
  <c r="U35" i="4"/>
  <c r="T35" i="4"/>
  <c r="R35" i="4"/>
  <c r="S35" i="4" s="1"/>
  <c r="V34" i="4"/>
  <c r="S34" i="4"/>
  <c r="R34" i="4"/>
  <c r="V33" i="4"/>
  <c r="R33" i="4"/>
  <c r="U33" i="4" s="1"/>
  <c r="V32" i="4"/>
  <c r="R32" i="4"/>
  <c r="U32" i="4" s="1"/>
  <c r="V31" i="4"/>
  <c r="U31" i="4"/>
  <c r="T31" i="4"/>
  <c r="S31" i="4"/>
  <c r="R31" i="4"/>
  <c r="V30" i="4"/>
  <c r="U30" i="4"/>
  <c r="R30" i="4"/>
  <c r="T30" i="4" s="1"/>
  <c r="V29" i="4"/>
  <c r="R29" i="4"/>
  <c r="U29" i="4" s="1"/>
  <c r="V28" i="4"/>
  <c r="U28" i="4"/>
  <c r="T28" i="4"/>
  <c r="S28" i="4"/>
  <c r="R28" i="4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L130" i="4"/>
  <c r="M130" i="4"/>
  <c r="N130" i="4"/>
  <c r="O130" i="4"/>
  <c r="P130" i="4"/>
  <c r="Q130" i="4"/>
  <c r="I131" i="4"/>
  <c r="L131" i="4" s="1"/>
  <c r="M131" i="4" s="1"/>
  <c r="J131" i="4"/>
  <c r="K131" i="4"/>
  <c r="O131" i="4"/>
  <c r="P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T29" i="4" l="1"/>
  <c r="S65" i="4"/>
  <c r="S70" i="4"/>
  <c r="S38" i="4"/>
  <c r="S41" i="4"/>
  <c r="T65" i="4"/>
  <c r="T70" i="4"/>
  <c r="U80" i="4"/>
  <c r="T80" i="4"/>
  <c r="S115" i="4"/>
  <c r="S120" i="4"/>
  <c r="T41" i="4"/>
  <c r="U58" i="4"/>
  <c r="T58" i="4"/>
  <c r="S58" i="4"/>
  <c r="S80" i="4"/>
  <c r="T120" i="4"/>
  <c r="S29" i="4"/>
  <c r="U68" i="4"/>
  <c r="T68" i="4"/>
  <c r="S84" i="4"/>
  <c r="S88" i="4"/>
  <c r="U39" i="4"/>
  <c r="T39" i="4"/>
  <c r="S39" i="4"/>
  <c r="S63" i="4"/>
  <c r="S68" i="4"/>
  <c r="T84" i="4"/>
  <c r="T88" i="4"/>
  <c r="S33" i="4"/>
  <c r="S36" i="4"/>
  <c r="T63" i="4"/>
  <c r="S92" i="4"/>
  <c r="S108" i="4"/>
  <c r="T33" i="4"/>
  <c r="T36" i="4"/>
  <c r="U46" i="4"/>
  <c r="T46" i="4"/>
  <c r="S72" i="4"/>
  <c r="S75" i="4"/>
  <c r="T92" i="4"/>
  <c r="T108" i="4"/>
  <c r="U130" i="4"/>
  <c r="T130" i="4"/>
  <c r="S130" i="4"/>
  <c r="S43" i="4"/>
  <c r="S46" i="4"/>
  <c r="T72" i="4"/>
  <c r="T75" i="4"/>
  <c r="U85" i="4"/>
  <c r="T85" i="4"/>
  <c r="S85" i="4"/>
  <c r="S124" i="4"/>
  <c r="T43" i="4"/>
  <c r="S79" i="4"/>
  <c r="S82" i="4"/>
  <c r="T124" i="4"/>
  <c r="U34" i="4"/>
  <c r="T34" i="4"/>
  <c r="S61" i="4"/>
  <c r="U93" i="4"/>
  <c r="T93" i="4"/>
  <c r="U116" i="4"/>
  <c r="T116" i="4"/>
  <c r="S116" i="4"/>
  <c r="U73" i="4"/>
  <c r="T73" i="4"/>
  <c r="S73" i="4"/>
  <c r="S32" i="4"/>
  <c r="S44" i="4"/>
  <c r="S64" i="4"/>
  <c r="S78" i="4"/>
  <c r="S91" i="4"/>
  <c r="S126" i="4"/>
  <c r="T32" i="4"/>
  <c r="S37" i="4"/>
  <c r="T44" i="4"/>
  <c r="S49" i="4"/>
  <c r="T64" i="4"/>
  <c r="S71" i="4"/>
  <c r="T78" i="4"/>
  <c r="S83" i="4"/>
  <c r="T91" i="4"/>
  <c r="S114" i="4"/>
  <c r="T126" i="4"/>
  <c r="S30" i="4"/>
  <c r="T37" i="4"/>
  <c r="S42" i="4"/>
  <c r="T49" i="4"/>
  <c r="S62" i="4"/>
  <c r="T71" i="4"/>
  <c r="S76" i="4"/>
  <c r="T83" i="4"/>
  <c r="S89" i="4"/>
  <c r="T114" i="4"/>
  <c r="S121" i="4"/>
  <c r="N131" i="4"/>
  <c r="Q131" i="4" s="1"/>
  <c r="O15" i="1" l="1"/>
  <c r="L15" i="1"/>
  <c r="N15" i="1"/>
  <c r="M96" i="4"/>
  <c r="M97" i="4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5" i="4"/>
  <c r="M126" i="4"/>
  <c r="J16" i="4"/>
  <c r="J15" i="4"/>
  <c r="J87" i="4"/>
  <c r="K87" i="4" s="1"/>
  <c r="J122" i="4"/>
  <c r="K122" i="4"/>
  <c r="J117" i="4"/>
  <c r="K117" i="4"/>
  <c r="J120" i="4"/>
  <c r="K120" i="4"/>
  <c r="O120" i="4" s="1"/>
  <c r="P120" i="4" s="1"/>
  <c r="J101" i="4"/>
  <c r="K101" i="4"/>
  <c r="J86" i="4"/>
  <c r="K86" i="4"/>
  <c r="J85" i="4"/>
  <c r="K85" i="4" s="1"/>
  <c r="J88" i="4"/>
  <c r="K88" i="4" s="1"/>
  <c r="J119" i="4"/>
  <c r="L119" i="4" s="1"/>
  <c r="M119" i="4" s="1"/>
  <c r="K119" i="4"/>
  <c r="O119" i="4" s="1"/>
  <c r="P119" i="4" s="1"/>
  <c r="J72" i="4"/>
  <c r="K72" i="4"/>
  <c r="J103" i="4"/>
  <c r="K103" i="4"/>
  <c r="J118" i="4"/>
  <c r="K118" i="4"/>
  <c r="J104" i="4"/>
  <c r="K104" i="4"/>
  <c r="J90" i="4"/>
  <c r="K90" i="4" s="1"/>
  <c r="J71" i="4"/>
  <c r="K71" i="4"/>
  <c r="J110" i="4"/>
  <c r="K110" i="4"/>
  <c r="J82" i="4"/>
  <c r="K82" i="4" s="1"/>
  <c r="J113" i="4"/>
  <c r="K113" i="4"/>
  <c r="J97" i="4"/>
  <c r="K97" i="4" s="1"/>
  <c r="J81" i="4"/>
  <c r="K81" i="4" s="1"/>
  <c r="J116" i="4"/>
  <c r="K116" i="4"/>
  <c r="O116" i="4" s="1"/>
  <c r="P116" i="4" s="1"/>
  <c r="J100" i="4"/>
  <c r="K100" i="4"/>
  <c r="O100" i="4"/>
  <c r="J84" i="4"/>
  <c r="K84" i="4" s="1"/>
  <c r="J114" i="4"/>
  <c r="K114" i="4" s="1"/>
  <c r="O114" i="4" s="1"/>
  <c r="P114" i="4" s="1"/>
  <c r="J78" i="4"/>
  <c r="K78" i="4"/>
  <c r="J115" i="4"/>
  <c r="K115" i="4" s="1"/>
  <c r="O115" i="4" s="1"/>
  <c r="P115" i="4" s="1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L77" i="4" s="1"/>
  <c r="K77" i="4"/>
  <c r="J112" i="4"/>
  <c r="K112" i="4"/>
  <c r="J96" i="4"/>
  <c r="K96" i="4"/>
  <c r="J80" i="4"/>
  <c r="K80" i="4" s="1"/>
  <c r="J106" i="4"/>
  <c r="K106" i="4"/>
  <c r="J127" i="4"/>
  <c r="K127" i="4"/>
  <c r="O127" i="4" s="1"/>
  <c r="P127" i="4" s="1"/>
  <c r="J111" i="4"/>
  <c r="K111" i="4"/>
  <c r="J95" i="4"/>
  <c r="K95" i="4"/>
  <c r="J79" i="4"/>
  <c r="K79" i="4" s="1"/>
  <c r="J126" i="4"/>
  <c r="K126" i="4"/>
  <c r="J94" i="4"/>
  <c r="K94" i="4" s="1"/>
  <c r="J121" i="4"/>
  <c r="K121" i="4" s="1"/>
  <c r="O121" i="4" s="1"/>
  <c r="P121" i="4" s="1"/>
  <c r="J105" i="4"/>
  <c r="K105" i="4"/>
  <c r="J89" i="4"/>
  <c r="K89" i="4"/>
  <c r="J73" i="4"/>
  <c r="K73" i="4"/>
  <c r="J124" i="4"/>
  <c r="K124" i="4"/>
  <c r="J108" i="4"/>
  <c r="K108" i="4"/>
  <c r="O108" i="4" s="1"/>
  <c r="P108" i="4" s="1"/>
  <c r="J92" i="4"/>
  <c r="K92" i="4" s="1"/>
  <c r="J76" i="4"/>
  <c r="K76" i="4"/>
  <c r="J98" i="4"/>
  <c r="K98" i="4"/>
  <c r="J123" i="4"/>
  <c r="K123" i="4"/>
  <c r="J107" i="4"/>
  <c r="K107" i="4"/>
  <c r="J91" i="4"/>
  <c r="K91" i="4"/>
  <c r="O91" i="4" s="1"/>
  <c r="P91" i="4" s="1"/>
  <c r="J75" i="4"/>
  <c r="K75" i="4" s="1"/>
  <c r="P100" i="4"/>
  <c r="O107" i="4"/>
  <c r="P107" i="4"/>
  <c r="O112" i="4"/>
  <c r="P112" i="4"/>
  <c r="O98" i="4"/>
  <c r="P98" i="4"/>
  <c r="O105" i="4"/>
  <c r="P105" i="4"/>
  <c r="O126" i="4"/>
  <c r="P126" i="4"/>
  <c r="O111" i="4"/>
  <c r="P111" i="4"/>
  <c r="O74" i="4"/>
  <c r="P74" i="4"/>
  <c r="O104" i="4"/>
  <c r="P104" i="4"/>
  <c r="O124" i="4"/>
  <c r="P124" i="4" s="1"/>
  <c r="O102" i="4"/>
  <c r="P102" i="4"/>
  <c r="O110" i="4"/>
  <c r="P110" i="4"/>
  <c r="O118" i="4"/>
  <c r="P118" i="4"/>
  <c r="O117" i="4"/>
  <c r="P117" i="4"/>
  <c r="O106" i="4"/>
  <c r="P106" i="4"/>
  <c r="O109" i="4"/>
  <c r="P109" i="4"/>
  <c r="O113" i="4"/>
  <c r="P113" i="4"/>
  <c r="O71" i="4"/>
  <c r="P71" i="4"/>
  <c r="O103" i="4"/>
  <c r="P103" i="4"/>
  <c r="O122" i="4"/>
  <c r="P122" i="4"/>
  <c r="O123" i="4"/>
  <c r="P123" i="4"/>
  <c r="O95" i="4"/>
  <c r="P95" i="4"/>
  <c r="O125" i="4"/>
  <c r="P125" i="4"/>
  <c r="O99" i="4"/>
  <c r="P99" i="4"/>
  <c r="O101" i="4"/>
  <c r="P101" i="4"/>
  <c r="I76" i="4"/>
  <c r="I77" i="4"/>
  <c r="I81" i="4"/>
  <c r="N81" i="4" s="1"/>
  <c r="Q81" i="4" s="1"/>
  <c r="I89" i="4"/>
  <c r="I90" i="4"/>
  <c r="I96" i="4"/>
  <c r="I99" i="4"/>
  <c r="I102" i="4"/>
  <c r="I104" i="4"/>
  <c r="I108" i="4"/>
  <c r="I111" i="4"/>
  <c r="I113" i="4"/>
  <c r="I115" i="4"/>
  <c r="I119" i="4"/>
  <c r="I120" i="4"/>
  <c r="L120" i="4" s="1"/>
  <c r="M120" i="4" s="1"/>
  <c r="I123" i="4"/>
  <c r="I125" i="4"/>
  <c r="I79" i="4"/>
  <c r="N79" i="4" s="1"/>
  <c r="Q79" i="4" s="1"/>
  <c r="I92" i="4"/>
  <c r="N92" i="4" s="1"/>
  <c r="Q92" i="4" s="1"/>
  <c r="I100" i="4"/>
  <c r="I103" i="4"/>
  <c r="I107" i="4"/>
  <c r="L107" i="4" s="1"/>
  <c r="M107" i="4" s="1"/>
  <c r="I109" i="4"/>
  <c r="I110" i="4"/>
  <c r="I117" i="4"/>
  <c r="I124" i="4"/>
  <c r="I72" i="4"/>
  <c r="I106" i="4"/>
  <c r="I71" i="4"/>
  <c r="N71" i="4" s="1"/>
  <c r="Q71" i="4" s="1"/>
  <c r="I75" i="4"/>
  <c r="N75" i="4" s="1"/>
  <c r="Q75" i="4" s="1"/>
  <c r="I80" i="4"/>
  <c r="N80" i="4" s="1"/>
  <c r="Q80" i="4" s="1"/>
  <c r="I83" i="4"/>
  <c r="L83" i="4" s="1"/>
  <c r="I86" i="4"/>
  <c r="L86" i="4" s="1"/>
  <c r="I88" i="4"/>
  <c r="N88" i="4" s="1"/>
  <c r="Q88" i="4" s="1"/>
  <c r="I94" i="4"/>
  <c r="I95" i="4"/>
  <c r="N95" i="4" s="1"/>
  <c r="Q95" i="4" s="1"/>
  <c r="I98" i="4"/>
  <c r="I101" i="4"/>
  <c r="I118" i="4"/>
  <c r="I127" i="4"/>
  <c r="L127" i="4" s="1"/>
  <c r="M127" i="4" s="1"/>
  <c r="I73" i="4"/>
  <c r="L73" i="4" s="1"/>
  <c r="I74" i="4"/>
  <c r="L74" i="4" s="1"/>
  <c r="I78" i="4"/>
  <c r="L78" i="4" s="1"/>
  <c r="I82" i="4"/>
  <c r="L82" i="4" s="1"/>
  <c r="I85" i="4"/>
  <c r="N85" i="4" s="1"/>
  <c r="Q85" i="4" s="1"/>
  <c r="I93" i="4"/>
  <c r="N93" i="4" s="1"/>
  <c r="Q93" i="4" s="1"/>
  <c r="I112" i="4"/>
  <c r="I114" i="4"/>
  <c r="N114" i="4" s="1"/>
  <c r="Q114" i="4" s="1"/>
  <c r="I121" i="4"/>
  <c r="L121" i="4" s="1"/>
  <c r="M121" i="4" s="1"/>
  <c r="I122" i="4"/>
  <c r="I84" i="4"/>
  <c r="I87" i="4"/>
  <c r="I91" i="4"/>
  <c r="N91" i="4" s="1"/>
  <c r="Q91" i="4" s="1"/>
  <c r="I97" i="4"/>
  <c r="I105" i="4"/>
  <c r="I116" i="4"/>
  <c r="L116" i="4" s="1"/>
  <c r="M116" i="4" s="1"/>
  <c r="I126" i="4"/>
  <c r="L105" i="4"/>
  <c r="N105" i="4"/>
  <c r="Q105" i="4"/>
  <c r="N121" i="4"/>
  <c r="Q121" i="4" s="1"/>
  <c r="N73" i="4"/>
  <c r="Q73" i="4"/>
  <c r="N101" i="4"/>
  <c r="Q101" i="4"/>
  <c r="L101" i="4"/>
  <c r="L106" i="4"/>
  <c r="N106" i="4"/>
  <c r="Q106" i="4"/>
  <c r="L124" i="4"/>
  <c r="M124" i="4" s="1"/>
  <c r="N124" i="4"/>
  <c r="Q124" i="4"/>
  <c r="N107" i="4"/>
  <c r="Q107" i="4"/>
  <c r="N119" i="4"/>
  <c r="Q119" i="4" s="1"/>
  <c r="N108" i="4"/>
  <c r="Q108" i="4"/>
  <c r="L108" i="4"/>
  <c r="M108" i="4" s="1"/>
  <c r="L96" i="4"/>
  <c r="N96" i="4"/>
  <c r="Q96" i="4"/>
  <c r="N77" i="4"/>
  <c r="Q77" i="4"/>
  <c r="L97" i="4"/>
  <c r="N97" i="4"/>
  <c r="Q97" i="4"/>
  <c r="N98" i="4"/>
  <c r="Q98" i="4"/>
  <c r="L98" i="4"/>
  <c r="N86" i="4"/>
  <c r="Q86" i="4" s="1"/>
  <c r="N117" i="4"/>
  <c r="Q117" i="4"/>
  <c r="L117" i="4"/>
  <c r="N103" i="4"/>
  <c r="Q103" i="4"/>
  <c r="L103" i="4"/>
  <c r="L125" i="4"/>
  <c r="N125" i="4"/>
  <c r="Q125" i="4"/>
  <c r="N115" i="4"/>
  <c r="Q115" i="4"/>
  <c r="L115" i="4"/>
  <c r="M115" i="4" s="1"/>
  <c r="L104" i="4"/>
  <c r="N104" i="4"/>
  <c r="Q104" i="4"/>
  <c r="N90" i="4"/>
  <c r="Q90" i="4" s="1"/>
  <c r="L90" i="4"/>
  <c r="N76" i="4"/>
  <c r="Q76" i="4"/>
  <c r="N126" i="4"/>
  <c r="Q126" i="4"/>
  <c r="L126" i="4"/>
  <c r="L112" i="4"/>
  <c r="N112" i="4"/>
  <c r="Q112" i="4"/>
  <c r="N78" i="4"/>
  <c r="Q78" i="4"/>
  <c r="L95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 s="1"/>
  <c r="L89" i="4"/>
  <c r="N87" i="4"/>
  <c r="Q87" i="4" s="1"/>
  <c r="L87" i="4"/>
  <c r="N122" i="4"/>
  <c r="Q122" i="4"/>
  <c r="L122" i="4"/>
  <c r="N118" i="4"/>
  <c r="Q118" i="4"/>
  <c r="L118" i="4"/>
  <c r="L94" i="4"/>
  <c r="N94" i="4"/>
  <c r="Q94" i="4"/>
  <c r="N109" i="4"/>
  <c r="Q109" i="4"/>
  <c r="L109" i="4"/>
  <c r="N120" i="4"/>
  <c r="Q120" i="4"/>
  <c r="N111" i="4"/>
  <c r="Q111" i="4"/>
  <c r="L111" i="4"/>
  <c r="N99" i="4"/>
  <c r="Q99" i="4"/>
  <c r="L99" i="4"/>
  <c r="L81" i="4"/>
  <c r="O82" i="4" l="1"/>
  <c r="P82" i="4" s="1"/>
  <c r="O92" i="4"/>
  <c r="P92" i="4" s="1"/>
  <c r="O75" i="4"/>
  <c r="P75" i="4" s="1"/>
  <c r="M74" i="4"/>
  <c r="M73" i="4"/>
  <c r="O79" i="4"/>
  <c r="P79" i="4" s="1"/>
  <c r="M78" i="4"/>
  <c r="M77" i="4"/>
  <c r="M82" i="4"/>
  <c r="M81" i="4"/>
  <c r="L92" i="4"/>
  <c r="O76" i="4"/>
  <c r="P76" i="4" s="1"/>
  <c r="O93" i="4"/>
  <c r="P93" i="4" s="1"/>
  <c r="O88" i="4"/>
  <c r="P88" i="4" s="1"/>
  <c r="O87" i="4"/>
  <c r="P87" i="4" s="1"/>
  <c r="M90" i="4"/>
  <c r="N74" i="4"/>
  <c r="Q74" i="4" s="1"/>
  <c r="L84" i="4"/>
  <c r="L72" i="4"/>
  <c r="L76" i="4"/>
  <c r="O90" i="4"/>
  <c r="P90" i="4" s="1"/>
  <c r="O85" i="4"/>
  <c r="P85" i="4" s="1"/>
  <c r="M89" i="4"/>
  <c r="L91" i="4"/>
  <c r="M91" i="4" s="1"/>
  <c r="O86" i="4"/>
  <c r="P86" i="4" s="1"/>
  <c r="M83" i="4"/>
  <c r="O73" i="4"/>
  <c r="P73" i="4" s="1"/>
  <c r="O72" i="4"/>
  <c r="P72" i="4" s="1"/>
  <c r="N116" i="4"/>
  <c r="Q116" i="4" s="1"/>
  <c r="O84" i="4"/>
  <c r="P84" i="4" s="1"/>
  <c r="L114" i="4"/>
  <c r="M114" i="4" s="1"/>
  <c r="O89" i="4"/>
  <c r="P89" i="4" s="1"/>
  <c r="O77" i="4"/>
  <c r="P77" i="4" s="1"/>
  <c r="N83" i="4"/>
  <c r="Q83" i="4" s="1"/>
  <c r="L71" i="4"/>
  <c r="M71" i="4" s="1"/>
  <c r="O81" i="4"/>
  <c r="P81" i="4" s="1"/>
  <c r="O83" i="4"/>
  <c r="P83" i="4" s="1"/>
  <c r="M95" i="4"/>
  <c r="L79" i="4"/>
  <c r="L75" i="4"/>
  <c r="O94" i="4"/>
  <c r="P94" i="4" s="1"/>
  <c r="O97" i="4"/>
  <c r="P97" i="4" s="1"/>
  <c r="M87" i="4"/>
  <c r="O80" i="4"/>
  <c r="P80" i="4" s="1"/>
  <c r="O78" i="4"/>
  <c r="P78" i="4" s="1"/>
  <c r="N127" i="4"/>
  <c r="Q127" i="4" s="1"/>
  <c r="O96" i="4"/>
  <c r="P96" i="4" s="1"/>
  <c r="M94" i="4"/>
  <c r="M86" i="4"/>
  <c r="L85" i="4"/>
  <c r="L93" i="4"/>
  <c r="L88" i="4"/>
  <c r="N72" i="4"/>
  <c r="Q72" i="4" s="1"/>
  <c r="N82" i="4"/>
  <c r="Q82" i="4" s="1"/>
  <c r="L80" i="4"/>
  <c r="N84" i="4"/>
  <c r="Q84" i="4" s="1"/>
  <c r="J14" i="4"/>
  <c r="J13" i="4" s="1"/>
  <c r="K16" i="4" s="1"/>
  <c r="M93" i="4" l="1"/>
  <c r="M85" i="4"/>
  <c r="M75" i="4"/>
  <c r="M79" i="4"/>
  <c r="M80" i="4"/>
  <c r="M76" i="4"/>
  <c r="M84" i="4"/>
  <c r="M88" i="4"/>
  <c r="M72" i="4"/>
  <c r="M92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O64" i="4" l="1"/>
  <c r="P64" i="4" s="1"/>
  <c r="M65" i="4"/>
  <c r="M64" i="4"/>
  <c r="M69" i="4"/>
  <c r="M58" i="4"/>
  <c r="O69" i="4"/>
  <c r="P69" i="4" s="1"/>
  <c r="M57" i="4"/>
  <c r="O65" i="4"/>
  <c r="P65" i="4" s="1"/>
  <c r="O66" i="4"/>
  <c r="P66" i="4" s="1"/>
  <c r="M66" i="4"/>
  <c r="O67" i="4"/>
  <c r="P67" i="4" s="1"/>
  <c r="M67" i="4"/>
  <c r="M68" i="4"/>
  <c r="O68" i="4"/>
  <c r="P68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J39" i="4" s="1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45" i="4" l="1"/>
  <c r="J30" i="4"/>
  <c r="L30" i="4" s="1"/>
  <c r="J43" i="4"/>
  <c r="J31" i="4"/>
  <c r="J44" i="4"/>
  <c r="L44" i="4" s="1"/>
  <c r="J36" i="4"/>
  <c r="L36" i="4" s="1"/>
  <c r="J46" i="4"/>
  <c r="K46" i="4" s="1"/>
  <c r="J35" i="4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L47" i="4"/>
  <c r="K52" i="4"/>
  <c r="O52" i="4" s="1"/>
  <c r="P52" i="4" s="1"/>
  <c r="L52" i="4"/>
  <c r="M52" i="4" s="1"/>
  <c r="L43" i="4"/>
  <c r="K43" i="4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35" i="4"/>
  <c r="K35" i="4"/>
  <c r="L49" i="4"/>
  <c r="K49" i="4"/>
  <c r="K30" i="4"/>
  <c r="O48" i="4" l="1"/>
  <c r="P48" i="4" s="1"/>
  <c r="O49" i="4"/>
  <c r="P49" i="4" s="1"/>
  <c r="M49" i="4"/>
  <c r="K36" i="4"/>
  <c r="M48" i="4"/>
  <c r="K44" i="4"/>
  <c r="M45" i="4"/>
  <c r="M31" i="4"/>
  <c r="O33" i="4"/>
  <c r="P33" i="4" s="1"/>
  <c r="O46" i="4"/>
  <c r="P46" i="4" s="1"/>
  <c r="M43" i="4"/>
  <c r="O39" i="4"/>
  <c r="P39" i="4" s="1"/>
  <c r="M44" i="4"/>
  <c r="O30" i="4"/>
  <c r="P30" i="4" s="1"/>
  <c r="M47" i="4"/>
  <c r="O45" i="4"/>
  <c r="P45" i="4" s="1"/>
  <c r="O35" i="4"/>
  <c r="P35" i="4" s="1"/>
  <c r="O47" i="4"/>
  <c r="P47" i="4" s="1"/>
  <c r="M35" i="4"/>
  <c r="O31" i="4"/>
  <c r="P31" i="4" s="1"/>
  <c r="O43" i="4"/>
  <c r="P43" i="4" s="1"/>
  <c r="O28" i="4"/>
  <c r="P28" i="4" s="1"/>
  <c r="M39" i="4"/>
  <c r="O41" i="4"/>
  <c r="P41" i="4" s="1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44" i="4" l="1"/>
  <c r="P44" i="4" s="1"/>
  <c r="O36" i="4"/>
  <c r="P36" i="4" s="1"/>
  <c r="O32" i="4"/>
  <c r="P32" i="4" s="1"/>
  <c r="O40" i="4"/>
  <c r="P40" i="4" s="1"/>
  <c r="O42" i="4"/>
  <c r="P42" i="4" s="1"/>
  <c r="O38" i="4"/>
  <c r="P38" i="4" s="1"/>
  <c r="M33" i="4"/>
  <c r="O34" i="4"/>
  <c r="P34" i="4" s="1"/>
  <c r="M41" i="4"/>
  <c r="O37" i="4"/>
  <c r="P37" i="4" s="1"/>
  <c r="M46" i="4"/>
  <c r="O29" i="4"/>
  <c r="P29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<sst xmlns="http://schemas.openxmlformats.org/spreadsheetml/2006/main" count="318" uniqueCount="294">
  <si>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</si>
  <si>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</si>
  <si>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</si>
  <si>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</si>
  <si>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</si>
  <si>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</si>
  <si>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</si>
  <si>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</si>
  <si>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</si>
  <si>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</si>
  <si>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</si>
  <si>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</si>
  <si>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</si>
  <si>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</si>
  <si>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</si>
  <si>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</si>
  <si>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</si>
  <si>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</si>
  <si>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</si>
  <si>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</si>
  <si>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</si>
  <si>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</si>
  <si>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</si>
  <si>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</si>
  <si>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</si>
  <si>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</si>
  <si>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</si>
  <si>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</si>
  <si>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</si>
  <si>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</si>
  <si>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</si>
  <si>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</si>
  <si>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</si>
  <si>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</si>
  <si>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</si>
  <si>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</si>
  <si>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</si>
  <si>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</si>
  <si>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</si>
  <si>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</si>
  <si>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</si>
  <si>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</si>
  <si>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</si>
  <si>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</si>
  <si>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</si>
  <si>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</si>
  <si>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</si>
  <si>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</si>
  <si>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</si>
  <si>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</si>
  <si>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</si>
  <si>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</si>
  <si>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</si>
  <si>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</si>
  <si>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</si>
  <si>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</si>
  <si>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</si>
  <si>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</si>
  <si>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</si>
  <si>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</si>
  <si>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</si>
  <si>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</si>
  <si>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</si>
  <si>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</si>
  <si>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</si>
  <si>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</si>
  <si>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</si>
  <si>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</si>
  <si>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</si>
  <si>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</si>
  <si>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</si>
  <si>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</si>
  <si>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</si>
  <si>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</si>
  <si>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</si>
  <si>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</si>
  <si>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</si>
  <si>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</si>
  <si>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</si>
  <si>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</si>
  <si>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</si>
  <si>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</si>
  <si>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</si>
  <si>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</si>
  <si>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</si>
  <si>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</si>
  <si>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</si>
  <si>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</si>
  <si>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</si>
  <si>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</si>
  <si>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</si>
  <si>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</si>
  <si>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</si>
  <si>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</si>
  <si>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</si>
  <si>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</si>
  <si>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</si>
  <si>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</si>
  <si>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</si>
  <si>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</si>
  <si>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</si>
  <si>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</si>
  <si>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</si>
  <si>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</si>
  <si>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</si>
  <si>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</si>
  <si>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</si>
  <si>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</si>
  <si>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</si>
  <si>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</si>
  <si>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</si>
  <si>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Rat cerebellar granule cell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</si>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</sst>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J15" sqref="J15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111</v>
      </c>
      <c r="K17" s="31" t="s">
        <v>79</v>
      </c>
      <c r="L17" s="81">
        <v>4.6260000000000035E-5</v>
      </c>
      <c r="M17" s="81">
        <v>7.4529999999999993E-5</v>
      </c>
      <c r="N17" s="81">
        <v>2.4492099999999998E-3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6" zoomScale="70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40"/>
      <c r="H1" s="14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40"/>
      <c r="H2" s="140"/>
      <c r="I2" s="153" t="s">
        <v>19</v>
      </c>
      <c r="J2" s="154"/>
      <c r="K2" s="154"/>
      <c r="L2" s="154"/>
      <c r="M2" s="154"/>
      <c r="N2" s="154"/>
      <c r="O2" s="154"/>
      <c r="P2" s="154"/>
      <c r="Q2" s="15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40"/>
      <c r="H3" s="140"/>
      <c r="I3" s="156"/>
      <c r="J3" s="157"/>
      <c r="K3" s="157"/>
      <c r="L3" s="157"/>
      <c r="M3" s="157"/>
      <c r="N3" s="157"/>
      <c r="O3" s="157"/>
      <c r="P3" s="157"/>
      <c r="Q3" s="15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40"/>
      <c r="H4" s="140"/>
      <c r="I4" s="159"/>
      <c r="J4" s="160"/>
      <c r="K4" s="160"/>
      <c r="L4" s="160"/>
      <c r="M4" s="160"/>
      <c r="N4" s="160"/>
      <c r="O4" s="160"/>
      <c r="P4" s="160"/>
      <c r="Q4" s="16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40"/>
      <c r="H5" s="140"/>
      <c r="I5" s="162" t="s">
        <v>38</v>
      </c>
      <c r="J5" s="163"/>
      <c r="K5" s="163"/>
      <c r="L5" s="163"/>
      <c r="M5" s="163"/>
      <c r="N5" s="163"/>
      <c r="O5" s="163"/>
      <c r="P5" s="163"/>
      <c r="Q5" s="16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40"/>
      <c r="H6" s="140"/>
      <c r="I6" s="49" t="s">
        <v>49</v>
      </c>
      <c r="J6" s="49" t="s">
        <v>50</v>
      </c>
      <c r="K6" s="49" t="s">
        <v>46</v>
      </c>
      <c r="L6" s="132" t="s">
        <v>39</v>
      </c>
      <c r="M6" s="133"/>
      <c r="N6" s="133"/>
      <c r="O6" s="133"/>
      <c r="P6" s="133"/>
      <c r="Q6" s="134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40"/>
      <c r="H7" s="140"/>
      <c r="I7" s="50" t="s">
        <v>20</v>
      </c>
      <c r="J7" s="37">
        <f>SUM(J13,J19)</f>
        <v>40.014392000000001</v>
      </c>
      <c r="K7" s="38">
        <f>J7/J7</f>
        <v>1</v>
      </c>
      <c r="L7" s="115" t="s">
        <v>68</v>
      </c>
      <c r="M7" s="116"/>
      <c r="N7" s="116"/>
      <c r="O7" s="116"/>
      <c r="P7" s="116"/>
      <c r="Q7" s="11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8" t="s">
        <v>3</v>
      </c>
      <c r="C8" s="179"/>
      <c r="D8" s="179"/>
      <c r="E8" s="179"/>
      <c r="F8" s="180"/>
      <c r="G8" s="140"/>
      <c r="H8" s="140"/>
      <c r="I8" s="51" t="s">
        <v>6</v>
      </c>
      <c r="J8" s="37">
        <f>SUM(J14,J20)</f>
        <v>39.979539056</v>
      </c>
      <c r="K8" s="39">
        <f>J8/J7</f>
        <v>0.99912898978947373</v>
      </c>
      <c r="L8" s="115" t="s">
        <v>69</v>
      </c>
      <c r="M8" s="116"/>
      <c r="N8" s="116"/>
      <c r="O8" s="116"/>
      <c r="P8" s="116"/>
      <c r="Q8" s="11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81"/>
      <c r="C9" s="182"/>
      <c r="D9" s="182"/>
      <c r="E9" s="182"/>
      <c r="F9" s="183"/>
      <c r="G9" s="140"/>
      <c r="H9" s="140"/>
      <c r="I9" s="50" t="s">
        <v>8</v>
      </c>
      <c r="J9" s="40">
        <f t="shared" ref="J9:J10" si="0">SUM(J15,J21)</f>
        <v>1.9617368E-2</v>
      </c>
      <c r="K9" s="39">
        <f>J9/J7</f>
        <v>4.9025780524167403E-4</v>
      </c>
      <c r="L9" s="115" t="s">
        <v>69</v>
      </c>
      <c r="M9" s="116"/>
      <c r="N9" s="116"/>
      <c r="O9" s="116"/>
      <c r="P9" s="116"/>
      <c r="Q9" s="11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4"/>
      <c r="C10" s="185"/>
      <c r="D10" s="185"/>
      <c r="E10" s="185"/>
      <c r="F10" s="186"/>
      <c r="G10" s="140"/>
      <c r="H10" s="140"/>
      <c r="I10" s="51" t="s">
        <v>9</v>
      </c>
      <c r="J10" s="40">
        <f t="shared" si="0"/>
        <v>1.5235575999999999E-2</v>
      </c>
      <c r="K10" s="39">
        <f>J10/J7</f>
        <v>3.8075240528457856E-4</v>
      </c>
      <c r="L10" s="115" t="s">
        <v>69</v>
      </c>
      <c r="M10" s="116"/>
      <c r="N10" s="116"/>
      <c r="O10" s="116"/>
      <c r="P10" s="116"/>
      <c r="Q10" s="11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3" t="s">
        <v>36</v>
      </c>
      <c r="C11" s="144"/>
      <c r="D11" s="144"/>
      <c r="E11" s="144"/>
      <c r="F11" s="145"/>
      <c r="G11" s="140"/>
      <c r="H11" s="140"/>
      <c r="I11" s="131"/>
      <c r="J11" s="131"/>
      <c r="K11" s="131"/>
      <c r="L11" s="131"/>
      <c r="M11" s="131"/>
      <c r="N11" s="131"/>
      <c r="O11" s="131"/>
      <c r="P11" s="131"/>
      <c r="Q11" s="131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6"/>
      <c r="C12" s="147"/>
      <c r="D12" s="147"/>
      <c r="E12" s="147"/>
      <c r="F12" s="148"/>
      <c r="G12" s="140"/>
      <c r="H12" s="140"/>
      <c r="I12" s="49" t="s">
        <v>51</v>
      </c>
      <c r="J12" s="49" t="s">
        <v>50</v>
      </c>
      <c r="K12" s="49" t="s">
        <v>46</v>
      </c>
      <c r="L12" s="132" t="s">
        <v>39</v>
      </c>
      <c r="M12" s="133"/>
      <c r="N12" s="133"/>
      <c r="O12" s="133"/>
      <c r="P12" s="133"/>
      <c r="Q12" s="134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5" t="s">
        <v>4</v>
      </c>
      <c r="C13" s="136"/>
      <c r="D13" s="168" t="s">
        <v>39</v>
      </c>
      <c r="E13" s="168"/>
      <c r="F13" s="168"/>
      <c r="G13" s="140"/>
      <c r="H13" s="140"/>
      <c r="I13" s="50" t="s">
        <v>5</v>
      </c>
      <c r="J13" s="41">
        <f>SUM(J14:J16)</f>
        <v>40</v>
      </c>
      <c r="K13" s="38">
        <f>J13/J13</f>
        <v>1</v>
      </c>
      <c r="L13" s="115" t="s">
        <v>71</v>
      </c>
      <c r="M13" s="116"/>
      <c r="N13" s="116"/>
      <c r="O13" s="116"/>
      <c r="P13" s="116"/>
      <c r="Q13" s="11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69" t="s">
        <v>17</v>
      </c>
      <c r="E14" s="169"/>
      <c r="F14" s="169"/>
      <c r="G14" s="140"/>
      <c r="H14" s="140"/>
      <c r="I14" s="51" t="s">
        <v>43</v>
      </c>
      <c r="J14" s="41">
        <f>C14-SUM(J15:J16)</f>
        <v>39.979280000000003</v>
      </c>
      <c r="K14" s="39">
        <f>J14/J13</f>
        <v>0.99948200000000009</v>
      </c>
      <c r="L14" s="137" t="s">
        <v>70</v>
      </c>
      <c r="M14" s="138"/>
      <c r="N14" s="138"/>
      <c r="O14" s="138"/>
      <c r="P14" s="138"/>
      <c r="Q14" s="13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70" t="s">
        <v>60</v>
      </c>
      <c r="E15" s="170"/>
      <c r="F15" s="170"/>
      <c r="G15" s="140"/>
      <c r="H15" s="14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1.9199999999999998E-2</v>
      </c>
      <c r="K15" s="39">
        <f>J15/J13</f>
        <v>4.7999999999999996E-4</v>
      </c>
      <c r="L15" s="115" t="s">
        <v>69</v>
      </c>
      <c r="M15" s="116"/>
      <c r="N15" s="116"/>
      <c r="O15" s="116"/>
      <c r="P15" s="116"/>
      <c r="Q15" s="11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71" t="s">
        <v>40</v>
      </c>
      <c r="E16" s="172"/>
      <c r="F16" s="173"/>
      <c r="G16" s="140"/>
      <c r="H16" s="14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1.5200000000000001E-3</v>
      </c>
      <c r="K16" s="39">
        <f>J16/J13</f>
        <v>3.8000000000000002E-5</v>
      </c>
      <c r="L16" s="115" t="s">
        <v>69</v>
      </c>
      <c r="M16" s="116"/>
      <c r="N16" s="116"/>
      <c r="O16" s="116"/>
      <c r="P16" s="116"/>
      <c r="Q16" s="11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74" t="s">
        <v>61</v>
      </c>
      <c r="E17" s="175"/>
      <c r="F17" s="176"/>
      <c r="G17" s="140"/>
      <c r="H17" s="140"/>
      <c r="I17" s="137"/>
      <c r="J17" s="138"/>
      <c r="K17" s="138"/>
      <c r="L17" s="138"/>
      <c r="M17" s="138"/>
      <c r="N17" s="138"/>
      <c r="O17" s="138"/>
      <c r="P17" s="138"/>
      <c r="Q17" s="13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71" t="s">
        <v>41</v>
      </c>
      <c r="E18" s="172"/>
      <c r="F18" s="173"/>
      <c r="G18" s="140"/>
      <c r="H18" s="140"/>
      <c r="I18" s="49" t="s">
        <v>29</v>
      </c>
      <c r="J18" s="49" t="s">
        <v>50</v>
      </c>
      <c r="K18" s="49" t="s">
        <v>46</v>
      </c>
      <c r="L18" s="132" t="s">
        <v>39</v>
      </c>
      <c r="M18" s="133"/>
      <c r="N18" s="133"/>
      <c r="O18" s="133"/>
      <c r="P18" s="133"/>
      <c r="Q18" s="134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70"/>
      <c r="C19" s="170"/>
      <c r="D19" s="170"/>
      <c r="E19" s="170"/>
      <c r="F19" s="170"/>
      <c r="G19" s="140"/>
      <c r="H19" s="140"/>
      <c r="I19" s="50" t="s">
        <v>5</v>
      </c>
      <c r="J19" s="41">
        <f>SUM(J20:J22)</f>
        <v>1.4391999999999999E-2</v>
      </c>
      <c r="K19" s="38">
        <f>J19/J19</f>
        <v>1</v>
      </c>
      <c r="L19" s="115" t="s">
        <v>55</v>
      </c>
      <c r="M19" s="116"/>
      <c r="N19" s="116"/>
      <c r="O19" s="116"/>
      <c r="P19" s="116"/>
      <c r="Q19" s="11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5" t="s">
        <v>7</v>
      </c>
      <c r="C20" s="136"/>
      <c r="D20" s="168" t="s">
        <v>39</v>
      </c>
      <c r="E20" s="168"/>
      <c r="F20" s="168"/>
      <c r="G20" s="140"/>
      <c r="H20" s="14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2.5905600000000018E-4</v>
      </c>
      <c r="K20" s="39">
        <f>J20/J19</f>
        <v>1.8000000000000016E-2</v>
      </c>
      <c r="L20" s="115" t="s">
        <v>69</v>
      </c>
      <c r="M20" s="116"/>
      <c r="N20" s="116"/>
      <c r="O20" s="116"/>
      <c r="P20" s="116"/>
      <c r="Q20" s="11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74" t="s">
        <v>61</v>
      </c>
      <c r="E21" s="175"/>
      <c r="F21" s="176"/>
      <c r="G21" s="140"/>
      <c r="H21" s="14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4.1736799999999994E-4</v>
      </c>
      <c r="K21" s="39">
        <f>J21/J19</f>
        <v>2.8999999999999998E-2</v>
      </c>
      <c r="L21" s="115" t="s">
        <v>69</v>
      </c>
      <c r="M21" s="116"/>
      <c r="N21" s="116"/>
      <c r="O21" s="116"/>
      <c r="P21" s="116"/>
      <c r="Q21" s="11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77" t="s">
        <v>67</v>
      </c>
      <c r="E22" s="177"/>
      <c r="F22" s="177"/>
      <c r="G22" s="140"/>
      <c r="H22" s="14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1.3715575999999998E-2</v>
      </c>
      <c r="K22" s="39">
        <f>J22/J19</f>
        <v>0.95299999999999996</v>
      </c>
      <c r="L22" s="115" t="s">
        <v>69</v>
      </c>
      <c r="M22" s="116"/>
      <c r="N22" s="116"/>
      <c r="O22" s="116"/>
      <c r="P22" s="116"/>
      <c r="Q22" s="11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5"/>
      <c r="C23" s="166"/>
      <c r="D23" s="166"/>
      <c r="E23" s="166"/>
      <c r="F23" s="167"/>
      <c r="G23" s="140"/>
      <c r="H23" s="140"/>
      <c r="I23" s="126"/>
      <c r="J23" s="127"/>
      <c r="K23" s="127"/>
      <c r="L23" s="127"/>
      <c r="M23" s="127"/>
      <c r="N23" s="127"/>
      <c r="O23" s="127"/>
      <c r="P23" s="127"/>
      <c r="Q23" s="128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3" t="s">
        <v>37</v>
      </c>
      <c r="C24" s="144"/>
      <c r="D24" s="144"/>
      <c r="E24" s="144"/>
      <c r="F24" s="145"/>
      <c r="G24" s="140"/>
      <c r="H24" s="140"/>
      <c r="I24" s="120" t="s">
        <v>42</v>
      </c>
      <c r="J24" s="121"/>
      <c r="K24" s="121"/>
      <c r="L24" s="121"/>
      <c r="M24" s="121"/>
      <c r="N24" s="121"/>
      <c r="O24" s="121"/>
      <c r="P24" s="121"/>
      <c r="Q24" s="12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6"/>
      <c r="C25" s="147"/>
      <c r="D25" s="147"/>
      <c r="E25" s="147"/>
      <c r="F25" s="148"/>
      <c r="G25" s="140"/>
      <c r="H25" s="140"/>
      <c r="I25" s="123"/>
      <c r="J25" s="124"/>
      <c r="K25" s="124"/>
      <c r="L25" s="124"/>
      <c r="M25" s="124"/>
      <c r="N25" s="124"/>
      <c r="O25" s="124"/>
      <c r="P25" s="124"/>
      <c r="Q25" s="125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41" t="s">
        <v>11</v>
      </c>
      <c r="C26" s="141" t="s">
        <v>12</v>
      </c>
      <c r="D26" s="149" t="s">
        <v>47</v>
      </c>
      <c r="E26" s="149" t="s">
        <v>48</v>
      </c>
      <c r="F26" s="151" t="s">
        <v>66</v>
      </c>
      <c r="G26" s="140"/>
      <c r="H26" s="140"/>
      <c r="I26" s="129" t="s">
        <v>53</v>
      </c>
      <c r="J26" s="129" t="s">
        <v>54</v>
      </c>
      <c r="K26" s="118" t="s">
        <v>73</v>
      </c>
      <c r="L26" s="118" t="s">
        <v>52</v>
      </c>
      <c r="M26" s="118" t="s">
        <v>59</v>
      </c>
      <c r="N26" s="118" t="s">
        <v>62</v>
      </c>
      <c r="O26" s="118" t="s">
        <v>72</v>
      </c>
      <c r="P26" s="118" t="s">
        <v>64</v>
      </c>
      <c r="Q26" s="118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2"/>
      <c r="C27" s="142"/>
      <c r="D27" s="150"/>
      <c r="E27" s="150"/>
      <c r="F27" s="152"/>
      <c r="G27" s="140"/>
      <c r="H27" s="140"/>
      <c r="I27" s="130"/>
      <c r="J27" s="130"/>
      <c r="K27" s="119"/>
      <c r="L27" s="119"/>
      <c r="M27" s="119"/>
      <c r="N27" s="119"/>
      <c r="O27" s="119"/>
      <c r="P27" s="119"/>
      <c r="Q27" s="119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114</v>
      </c>
      <c r="C28" s="46" t="s">
        <v>115</v>
      </c>
      <c r="D28" s="47">
        <v>1.6437199999999998</v>
      </c>
      <c r="E28" s="47">
        <v>1.9024449999999995</v>
      </c>
      <c r="F28" s="98">
        <v>9.9999999999999995E-7</v>
      </c>
      <c r="G28" s="140"/>
      <c r="H28" s="14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1.8888623824539965</v>
      </c>
      <c r="K28" s="95">
        <f t="shared" ref="K28:K47" si="3">IF(D28=0,"",1/(1+10^D28*$J$15/$J$14+10^E28*$J$16/$J$14+10^J28*$J$19/$J$14))</f>
        <v>0.95052357270663412</v>
      </c>
      <c r="L28" s="95">
        <f t="shared" ref="L28:L47" si="4">IF(D28=0,"",1/(1+10^I28/10^J28*$J$13/$J$19))</f>
        <v>2.6491799287755153E-2</v>
      </c>
      <c r="M28" s="95">
        <f t="shared" ref="M28:M47" si="5">IF(D28=0,"",1-L28)</f>
        <v>0.97350820071224486</v>
      </c>
      <c r="N28" s="95">
        <f t="shared" ref="N28:N47" si="6">IF(D28=0,"",1/(1/10^E28*$J$20/$J$22+10^D28/10^E28*$J$21/$J$22+10^I28/10^E28*$J$13/$J$22+1))</f>
        <v>2.6048755189276979E-2</v>
      </c>
      <c r="O28" s="40">
        <f t="shared" ref="O28:O47" si="7">IF(D28=0,"",F28*K28*$J$7/$J$14)</f>
        <v>9.51358374726202E-7</v>
      </c>
      <c r="P28" s="40">
        <f t="shared" ref="P28:P47" si="8">IF(D28=0,"",O28*10^J28)</f>
        <v>7.3655728285544446E-5</v>
      </c>
      <c r="Q28" s="40">
        <f t="shared" ref="Q28:Q47" si="9">IF(D28=0,"",F28*N28*$J$7/$J$22)</f>
        <v>7.5995722035717884E-5</v>
      </c>
      <c r="R28" s="9">
        <f>F28*$C$14</f>
        <v>3.9999999999999996E-5</v>
      </c>
      <c r="S28" s="9">
        <f>$R28*L28</f>
        <v>1.0596719715102061E-6</v>
      </c>
      <c r="T28" s="9">
        <f>R28*K28</f>
        <v>3.8020942908265361E-5</v>
      </c>
      <c r="U28" s="9">
        <f>$R28*M28</f>
        <v>3.8940328028489791E-5</v>
      </c>
      <c r="V28" s="102">
        <f>K28/M28</f>
        <v>0.97638989790862107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116</v>
      </c>
      <c r="C29" s="46" t="s">
        <v>117</v>
      </c>
      <c r="D29" s="47">
        <v>4.7386560000000006</v>
      </c>
      <c r="E29" s="47">
        <v>5.8355820000000005</v>
      </c>
      <c r="F29" s="98">
        <v>9.9999999999999995E-7</v>
      </c>
      <c r="G29" s="140"/>
      <c r="H29" s="140"/>
      <c r="I29" s="94">
        <f t="shared" si="1"/>
        <v>1.7268855172909561</v>
      </c>
      <c r="J29" s="94">
        <f t="shared" si="2"/>
        <v>5.8157308430918091</v>
      </c>
      <c r="K29" s="95">
        <f t="shared" si="3"/>
        <v>3.4618699469964346E-3</v>
      </c>
      <c r="L29" s="95">
        <f t="shared" si="4"/>
        <v>0.81531939495399131</v>
      </c>
      <c r="M29" s="95">
        <f t="shared" si="5"/>
        <v>0.18468060504600869</v>
      </c>
      <c r="N29" s="95">
        <f t="shared" si="6"/>
        <v>0.81333943754271343</v>
      </c>
      <c r="O29" s="40">
        <f t="shared" si="7"/>
        <v>3.4649103513653711E-9</v>
      </c>
      <c r="P29" s="40">
        <f t="shared" si="8"/>
        <v>2.2668503248257253E-3</v>
      </c>
      <c r="Q29" s="40">
        <f t="shared" si="9"/>
        <v>2.3728703105792754E-3</v>
      </c>
      <c r="R29" s="9">
        <f>F29*$C$14</f>
        <v>3.9999999999999996E-5</v>
      </c>
      <c r="S29" s="9">
        <f t="shared" ref="S29:S49" si="10">$R29*L29</f>
        <v>3.2612775798159646E-5</v>
      </c>
      <c r="T29" s="9">
        <f t="shared" ref="T29:T50" si="11">R29*K29</f>
        <v>1.3847479787985739E-7</v>
      </c>
      <c r="U29" s="9">
        <f t="shared" ref="U29:U50" si="12">$R29*M29</f>
        <v>7.3872242018403475E-6</v>
      </c>
      <c r="V29" s="102">
        <f t="shared" ref="V29:V49" si="13">K29/M29</f>
        <v>1.8745173301408635E-2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118</v>
      </c>
      <c r="C30" s="46" t="s">
        <v>119</v>
      </c>
      <c r="D30" s="91">
        <v>7.1429999999999998</v>
      </c>
      <c r="E30" s="91">
        <v>9.299925</v>
      </c>
      <c r="F30" s="98">
        <v>9.9999999999999995E-7</v>
      </c>
      <c r="G30" s="140"/>
      <c r="H30" s="140"/>
      <c r="I30" s="94">
        <f t="shared" si="1"/>
        <v>4.916346796550199</v>
      </c>
      <c r="J30" s="94">
        <f t="shared" si="2"/>
        <v>9.279109970691108</v>
      </c>
      <c r="K30" s="95">
        <f t="shared" si="3"/>
        <v>1.3036820870451431E-6</v>
      </c>
      <c r="L30" s="95">
        <f t="shared" si="4"/>
        <v>0.89241703294472718</v>
      </c>
      <c r="M30" s="95">
        <f t="shared" si="5"/>
        <v>0.10758296705527282</v>
      </c>
      <c r="N30" s="95">
        <f t="shared" si="6"/>
        <v>0.89222786136202925</v>
      </c>
      <c r="O30" s="40">
        <f t="shared" si="7"/>
        <v>1.3048270522731393E-12</v>
      </c>
      <c r="P30" s="40">
        <f t="shared" si="8"/>
        <v>2.4812065719654838E-3</v>
      </c>
      <c r="Q30" s="40">
        <f t="shared" si="9"/>
        <v>2.603022680043616E-3</v>
      </c>
      <c r="R30" s="9">
        <f t="shared" ref="R30:R49" si="14">F30*$C$14</f>
        <v>3.9999999999999996E-5</v>
      </c>
      <c r="S30" s="9">
        <f t="shared" si="10"/>
        <v>3.5696681317789084E-5</v>
      </c>
      <c r="T30" s="9">
        <f t="shared" si="11"/>
        <v>5.2147283481805718E-11</v>
      </c>
      <c r="U30" s="9">
        <f t="shared" si="12"/>
        <v>4.3033186822109126E-6</v>
      </c>
      <c r="V30" s="102">
        <f t="shared" si="13"/>
        <v>1.2117922778383231E-5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112</v>
      </c>
      <c r="C31" s="46" t="s">
        <v>113</v>
      </c>
      <c r="D31" s="47">
        <v>3.3511520000000004</v>
      </c>
      <c r="E31" s="47">
        <v>4.2962190000000007</v>
      </c>
      <c r="F31" s="98">
        <v>9.9999999999999995E-7</v>
      </c>
      <c r="G31" s="140"/>
      <c r="H31" s="140"/>
      <c r="I31" s="94">
        <f t="shared" si="1"/>
        <v>0.45156382049297444</v>
      </c>
      <c r="J31" s="94">
        <f t="shared" si="2"/>
        <v>4.2768094924983595</v>
      </c>
      <c r="K31" s="95">
        <f t="shared" si="3"/>
        <v>0.10374295057141114</v>
      </c>
      <c r="L31" s="95">
        <f t="shared" si="4"/>
        <v>0.70640582215556513</v>
      </c>
      <c r="M31" s="95">
        <f t="shared" si="5"/>
        <v>0.29359417784443487</v>
      </c>
      <c r="N31" s="95">
        <f t="shared" si="6"/>
        <v>0.7039740949767983</v>
      </c>
      <c r="O31" s="40">
        <f t="shared" si="7"/>
        <v>1.0383406332983158E-7</v>
      </c>
      <c r="P31" s="40">
        <f t="shared" si="8"/>
        <v>1.9640355391061055E-3</v>
      </c>
      <c r="Q31" s="40">
        <f t="shared" si="9"/>
        <v>2.0538033105023689E-3</v>
      </c>
      <c r="R31" s="9">
        <f t="shared" si="14"/>
        <v>3.9999999999999996E-5</v>
      </c>
      <c r="S31" s="9">
        <f t="shared" si="10"/>
        <v>2.8256232886222603E-5</v>
      </c>
      <c r="T31" s="9">
        <f t="shared" si="11"/>
        <v>4.149718022856445E-6</v>
      </c>
      <c r="U31" s="9">
        <f t="shared" si="12"/>
        <v>1.1743767113777393E-5</v>
      </c>
      <c r="V31" s="102">
        <f t="shared" si="13"/>
        <v>0.35335493139915347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120</v>
      </c>
      <c r="C32" s="46" t="s">
        <v>121</v>
      </c>
      <c r="D32" s="47">
        <v>5.9183200000000005</v>
      </c>
      <c r="E32" s="47">
        <v>7.0401399999999992</v>
      </c>
      <c r="F32" s="98">
        <v>9.9999999999999995E-7</v>
      </c>
      <c r="G32" s="140"/>
      <c r="H32" s="140"/>
      <c r="I32" s="94">
        <f t="shared" si="1"/>
        <v>2.9114243406645763</v>
      </c>
      <c r="J32" s="94">
        <f t="shared" si="2"/>
        <v>7.0202300748795512</v>
      </c>
      <c r="K32" s="95">
        <f t="shared" si="3"/>
        <v>2.1798640829733286E-4</v>
      </c>
      <c r="L32" s="95">
        <f t="shared" si="4"/>
        <v>0.82213979883409605</v>
      </c>
      <c r="M32" s="95">
        <f t="shared" si="5"/>
        <v>0.17786020116590395</v>
      </c>
      <c r="N32" s="95">
        <f t="shared" si="6"/>
        <v>0.82025426677590085</v>
      </c>
      <c r="O32" s="40">
        <f t="shared" si="7"/>
        <v>2.1817785593641328E-10</v>
      </c>
      <c r="P32" s="40">
        <f t="shared" si="8"/>
        <v>2.2858132427285068E-3</v>
      </c>
      <c r="Q32" s="40">
        <f t="shared" si="9"/>
        <v>2.3930439210459319E-3</v>
      </c>
      <c r="R32" s="9">
        <f t="shared" si="14"/>
        <v>3.9999999999999996E-5</v>
      </c>
      <c r="S32" s="9">
        <f t="shared" si="10"/>
        <v>3.2885591953363837E-5</v>
      </c>
      <c r="T32" s="9">
        <f t="shared" si="11"/>
        <v>8.7194563318933134E-9</v>
      </c>
      <c r="U32" s="9">
        <f t="shared" si="12"/>
        <v>7.1144080466361571E-6</v>
      </c>
      <c r="V32" s="102">
        <f t="shared" si="13"/>
        <v>1.2256053173694552E-3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122</v>
      </c>
      <c r="C33" s="96" t="s">
        <v>123</v>
      </c>
      <c r="D33" s="97">
        <v>5.5295200000000007</v>
      </c>
      <c r="E33" s="97">
        <v>6.5305900000000001</v>
      </c>
      <c r="F33" s="98">
        <v>9.9999999999999995E-7</v>
      </c>
      <c r="G33" s="140"/>
      <c r="H33" s="140"/>
      <c r="I33" s="94">
        <f t="shared" si="1"/>
        <v>2.4659786116205753</v>
      </c>
      <c r="J33" s="94">
        <f t="shared" si="2"/>
        <v>6.5109992218451609</v>
      </c>
      <c r="K33" s="95">
        <f t="shared" si="3"/>
        <v>6.848709772825565E-4</v>
      </c>
      <c r="L33" s="95">
        <f t="shared" si="4"/>
        <v>0.79963936612291608</v>
      </c>
      <c r="M33" s="95">
        <f t="shared" si="5"/>
        <v>0.20036063387708392</v>
      </c>
      <c r="N33" s="95">
        <f t="shared" si="6"/>
        <v>0.79721937519057862</v>
      </c>
      <c r="O33" s="40">
        <f t="shared" si="7"/>
        <v>6.8547246859891688E-10</v>
      </c>
      <c r="P33" s="40">
        <f t="shared" si="8"/>
        <v>2.2232547981290915E-3</v>
      </c>
      <c r="Q33" s="40">
        <f t="shared" si="9"/>
        <v>2.3258409700672353E-3</v>
      </c>
      <c r="R33" s="9">
        <f t="shared" si="14"/>
        <v>3.9999999999999996E-5</v>
      </c>
      <c r="S33" s="9">
        <f t="shared" si="10"/>
        <v>3.1985574644916639E-5</v>
      </c>
      <c r="T33" s="9">
        <f t="shared" si="11"/>
        <v>2.7394839091302257E-8</v>
      </c>
      <c r="U33" s="9">
        <f t="shared" si="12"/>
        <v>8.0144253550833561E-6</v>
      </c>
      <c r="V33" s="102">
        <f t="shared" si="13"/>
        <v>3.418191308491803E-3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124</v>
      </c>
      <c r="C34" s="46" t="s">
        <v>125</v>
      </c>
      <c r="D34" s="91">
        <v>5.4845040000000003</v>
      </c>
      <c r="E34" s="91">
        <v>6.5678879999999999</v>
      </c>
      <c r="F34" s="98">
        <v>9.9999999999999995E-7</v>
      </c>
      <c r="G34" s="140"/>
      <c r="H34" s="140"/>
      <c r="I34" s="94">
        <f t="shared" si="1"/>
        <v>2.4593424067669152</v>
      </c>
      <c r="J34" s="94">
        <f t="shared" si="2"/>
        <v>6.5480702357711023</v>
      </c>
      <c r="K34" s="95">
        <f t="shared" si="3"/>
        <v>6.4113524826488449E-4</v>
      </c>
      <c r="L34" s="95">
        <f t="shared" si="4"/>
        <v>0.81527865431602753</v>
      </c>
      <c r="M34" s="95">
        <f t="shared" si="5"/>
        <v>0.18472134568397247</v>
      </c>
      <c r="N34" s="95">
        <f t="shared" si="6"/>
        <v>0.81323626411913474</v>
      </c>
      <c r="O34" s="40">
        <f t="shared" si="7"/>
        <v>6.4169832846135315E-10</v>
      </c>
      <c r="P34" s="40">
        <f t="shared" si="8"/>
        <v>2.2667370527399955E-3</v>
      </c>
      <c r="Q34" s="40">
        <f t="shared" si="9"/>
        <v>2.3725693081412401E-3</v>
      </c>
      <c r="R34" s="9">
        <f t="shared" si="14"/>
        <v>3.9999999999999996E-5</v>
      </c>
      <c r="S34" s="9">
        <f t="shared" si="10"/>
        <v>3.2611146172641099E-5</v>
      </c>
      <c r="T34" s="9">
        <f t="shared" si="11"/>
        <v>2.5645409930595378E-8</v>
      </c>
      <c r="U34" s="9">
        <f t="shared" si="12"/>
        <v>7.388853827358898E-6</v>
      </c>
      <c r="V34" s="102">
        <f t="shared" si="13"/>
        <v>3.4708238286752218E-3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126</v>
      </c>
      <c r="C35" s="46" t="s">
        <v>127</v>
      </c>
      <c r="D35" s="91">
        <v>2.7195840000000011</v>
      </c>
      <c r="E35" s="91">
        <v>3.2500779999999994</v>
      </c>
      <c r="F35" s="98">
        <v>9.9999999999999995E-7</v>
      </c>
      <c r="G35" s="140"/>
      <c r="H35" s="140"/>
      <c r="I35" s="94">
        <f t="shared" si="1"/>
        <v>0.12015758400049081</v>
      </c>
      <c r="J35" s="94">
        <f t="shared" si="2"/>
        <v>3.2330538908434048</v>
      </c>
      <c r="K35" s="95">
        <f t="shared" si="3"/>
        <v>0.51677519790341253</v>
      </c>
      <c r="L35" s="95">
        <f t="shared" si="4"/>
        <v>0.31815718442604068</v>
      </c>
      <c r="M35" s="95">
        <f t="shared" si="5"/>
        <v>0.68184281557395932</v>
      </c>
      <c r="N35" s="95">
        <f t="shared" si="6"/>
        <v>0.3153252468904299</v>
      </c>
      <c r="O35" s="40">
        <f t="shared" si="7"/>
        <v>5.1722905827180287E-7</v>
      </c>
      <c r="P35" s="40">
        <f t="shared" si="8"/>
        <v>8.845793701528549E-4</v>
      </c>
      <c r="Q35" s="40">
        <f t="shared" si="9"/>
        <v>9.1994299303000066E-4</v>
      </c>
      <c r="R35" s="9">
        <f t="shared" si="14"/>
        <v>3.9999999999999996E-5</v>
      </c>
      <c r="S35" s="9">
        <f t="shared" si="10"/>
        <v>1.2726287377041626E-5</v>
      </c>
      <c r="T35" s="9">
        <f t="shared" si="11"/>
        <v>2.0671007916136499E-5</v>
      </c>
      <c r="U35" s="9">
        <f t="shared" si="12"/>
        <v>2.7273712622958369E-5</v>
      </c>
      <c r="V35" s="102">
        <f t="shared" si="13"/>
        <v>0.75790957402462811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80</v>
      </c>
      <c r="C36" s="46" t="s">
        <v>81</v>
      </c>
      <c r="D36" s="47">
        <v>7.5547280000000008</v>
      </c>
      <c r="E36" s="47">
        <v>9.7459910000000001</v>
      </c>
      <c r="F36" s="98">
        <v>9.9999999999999995E-7</v>
      </c>
      <c r="G36" s="140"/>
      <c r="H36" s="140"/>
      <c r="I36" s="94">
        <f t="shared" si="1"/>
        <v>5.3597305230687828</v>
      </c>
      <c r="J36" s="94">
        <f t="shared" si="2"/>
        <v>9.7251689720970358</v>
      </c>
      <c r="K36" s="95">
        <f t="shared" si="3"/>
        <v>4.6708908742909472E-7</v>
      </c>
      <c r="L36" s="95">
        <f t="shared" si="4"/>
        <v>0.89300702415745603</v>
      </c>
      <c r="M36" s="95">
        <f t="shared" si="5"/>
        <v>0.10699297584254397</v>
      </c>
      <c r="N36" s="95">
        <f t="shared" si="6"/>
        <v>0.89283211525755923</v>
      </c>
      <c r="O36" s="40">
        <f t="shared" si="7"/>
        <v>4.6749931072570757E-13</v>
      </c>
      <c r="P36" s="40">
        <f t="shared" si="8"/>
        <v>2.4828469374228684E-3</v>
      </c>
      <c r="Q36" s="40">
        <f t="shared" si="9"/>
        <v>2.6047855554958217E-3</v>
      </c>
      <c r="R36" s="9">
        <f t="shared" si="14"/>
        <v>3.9999999999999996E-5</v>
      </c>
      <c r="S36" s="9">
        <f t="shared" si="10"/>
        <v>3.5720280966298238E-5</v>
      </c>
      <c r="T36" s="9">
        <f t="shared" si="11"/>
        <v>1.8683563497163788E-11</v>
      </c>
      <c r="U36" s="9">
        <f t="shared" si="12"/>
        <v>4.2797190337017581E-6</v>
      </c>
      <c r="V36" s="102">
        <f t="shared" si="13"/>
        <v>4.3656051600666347E-6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128</v>
      </c>
      <c r="C37" s="96" t="s">
        <v>129</v>
      </c>
      <c r="D37" s="97">
        <v>4.10616</v>
      </c>
      <c r="E37" s="97">
        <v>5.1108449999999994</v>
      </c>
      <c r="F37" s="98">
        <v>9.9999999999999995E-7</v>
      </c>
      <c r="G37" s="140"/>
      <c r="H37" s="140"/>
      <c r="I37" s="94">
        <f t="shared" si="1"/>
        <v>1.080392983851221</v>
      </c>
      <c r="J37" s="94">
        <f t="shared" si="2"/>
        <v>5.0912433878185999</v>
      </c>
      <c r="K37" s="95">
        <f t="shared" si="3"/>
        <v>1.7713299790484943E-2</v>
      </c>
      <c r="L37" s="95">
        <f t="shared" si="4"/>
        <v>0.78673603485801347</v>
      </c>
      <c r="M37" s="95">
        <f t="shared" si="5"/>
        <v>0.21326396514198653</v>
      </c>
      <c r="N37" s="95">
        <f t="shared" si="6"/>
        <v>0.78437466093644082</v>
      </c>
      <c r="O37" s="40">
        <f t="shared" si="7"/>
        <v>1.7728856583459789E-8</v>
      </c>
      <c r="P37" s="40">
        <f t="shared" si="8"/>
        <v>2.1873793843339511E-3</v>
      </c>
      <c r="Q37" s="40">
        <f t="shared" si="9"/>
        <v>2.2883672663530741E-3</v>
      </c>
      <c r="R37" s="9">
        <f t="shared" si="14"/>
        <v>3.9999999999999996E-5</v>
      </c>
      <c r="S37" s="9">
        <f t="shared" si="10"/>
        <v>3.1469441394320535E-5</v>
      </c>
      <c r="T37" s="9">
        <f t="shared" si="11"/>
        <v>7.0853199161939769E-7</v>
      </c>
      <c r="U37" s="9">
        <f t="shared" si="12"/>
        <v>8.53055860567946E-6</v>
      </c>
      <c r="V37" s="102">
        <f t="shared" si="13"/>
        <v>8.3058100221909556E-2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130</v>
      </c>
      <c r="C38" s="46" t="s">
        <v>131</v>
      </c>
      <c r="D38" s="91">
        <v>2.8295519999999996</v>
      </c>
      <c r="E38" s="91">
        <v>3.5791989999999991</v>
      </c>
      <c r="F38" s="98">
        <v>9.9999999999999995E-7</v>
      </c>
      <c r="G38" s="140"/>
      <c r="H38" s="140"/>
      <c r="I38" s="94">
        <f t="shared" si="1"/>
        <v>0.16668848098518507</v>
      </c>
      <c r="J38" s="94">
        <f t="shared" si="2"/>
        <v>3.5606397320231116</v>
      </c>
      <c r="K38" s="95">
        <f t="shared" si="3"/>
        <v>0.3600240320728994</v>
      </c>
      <c r="L38" s="95">
        <f t="shared" si="4"/>
        <v>0.47125655629104418</v>
      </c>
      <c r="M38" s="95">
        <f t="shared" si="5"/>
        <v>0.52874344370895576</v>
      </c>
      <c r="N38" s="95">
        <f t="shared" si="6"/>
        <v>0.46871577893075644</v>
      </c>
      <c r="O38" s="40">
        <f t="shared" si="7"/>
        <v>3.603402249561665E-7</v>
      </c>
      <c r="P38" s="40">
        <f t="shared" si="8"/>
        <v>1.3102448982768142E-3</v>
      </c>
      <c r="Q38" s="40">
        <f t="shared" si="9"/>
        <v>1.3674509123583749E-3</v>
      </c>
      <c r="R38" s="9">
        <f t="shared" si="14"/>
        <v>3.9999999999999996E-5</v>
      </c>
      <c r="S38" s="9">
        <f t="shared" si="10"/>
        <v>1.8850262251641767E-5</v>
      </c>
      <c r="T38" s="9">
        <f t="shared" si="11"/>
        <v>1.4400961282915975E-5</v>
      </c>
      <c r="U38" s="9">
        <f t="shared" si="12"/>
        <v>2.114973774835823E-5</v>
      </c>
      <c r="V38" s="102">
        <f t="shared" si="13"/>
        <v>0.6809049575110625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82</v>
      </c>
      <c r="C39" s="46" t="s">
        <v>83</v>
      </c>
      <c r="D39" s="91">
        <v>-2.3039999999996397E-3</v>
      </c>
      <c r="E39" s="91">
        <v>-1.314813</v>
      </c>
      <c r="F39" s="98">
        <v>9.9999999999999995E-7</v>
      </c>
      <c r="G39" s="140"/>
      <c r="H39" s="140"/>
      <c r="I39" s="94">
        <f t="shared" si="1"/>
        <v>-1.6807124166640264E-5</v>
      </c>
      <c r="J39" s="94">
        <f t="shared" si="2"/>
        <v>-1.0314794301942178</v>
      </c>
      <c r="K39" s="95">
        <f t="shared" si="3"/>
        <v>0.99948723210174584</v>
      </c>
      <c r="L39" s="95">
        <f t="shared" si="4"/>
        <v>3.3464473936620712E-5</v>
      </c>
      <c r="M39" s="95">
        <f t="shared" si="5"/>
        <v>0.9999665355260634</v>
      </c>
      <c r="N39" s="95">
        <f t="shared" si="6"/>
        <v>1.6608994186793438E-5</v>
      </c>
      <c r="O39" s="40">
        <f t="shared" si="7"/>
        <v>1.0003650366968648E-6</v>
      </c>
      <c r="P39" s="40">
        <f t="shared" si="8"/>
        <v>9.304200793313814E-8</v>
      </c>
      <c r="Q39" s="40">
        <f t="shared" si="9"/>
        <v>4.845577058638105E-8</v>
      </c>
      <c r="R39" s="9">
        <f t="shared" si="14"/>
        <v>3.9999999999999996E-5</v>
      </c>
      <c r="S39" s="9">
        <f t="shared" si="10"/>
        <v>1.3385789574648284E-9</v>
      </c>
      <c r="T39" s="9">
        <f t="shared" si="11"/>
        <v>3.9979489284069828E-5</v>
      </c>
      <c r="U39" s="9">
        <f t="shared" si="12"/>
        <v>3.9998661421042535E-5</v>
      </c>
      <c r="V39" s="102">
        <f t="shared" si="13"/>
        <v>0.99952068053550869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132</v>
      </c>
      <c r="C40" s="46" t="s">
        <v>133</v>
      </c>
      <c r="D40" s="47">
        <v>3.2352399999999997</v>
      </c>
      <c r="E40" s="47">
        <v>3.7544849999999994</v>
      </c>
      <c r="F40" s="98">
        <v>9.9999999999999995E-7</v>
      </c>
      <c r="G40" s="140"/>
      <c r="H40" s="140"/>
      <c r="I40" s="94">
        <f t="shared" si="1"/>
        <v>0.30972420580945559</v>
      </c>
      <c r="J40" s="94">
        <f t="shared" si="2"/>
        <v>3.737559055838291</v>
      </c>
      <c r="K40" s="95">
        <f t="shared" si="3"/>
        <v>0.24945839961558572</v>
      </c>
      <c r="L40" s="95">
        <f t="shared" si="4"/>
        <v>0.49073085967268842</v>
      </c>
      <c r="M40" s="95">
        <f t="shared" si="5"/>
        <v>0.50926914032731152</v>
      </c>
      <c r="N40" s="95">
        <f t="shared" si="6"/>
        <v>0.48625291101812157</v>
      </c>
      <c r="O40" s="40">
        <f t="shared" si="7"/>
        <v>2.4967748768638895E-7</v>
      </c>
      <c r="P40" s="40">
        <f t="shared" si="8"/>
        <v>1.3643897293941043E-3</v>
      </c>
      <c r="Q40" s="40">
        <f t="shared" si="9"/>
        <v>1.4186144710670726E-3</v>
      </c>
      <c r="R40" s="9">
        <f t="shared" si="14"/>
        <v>3.9999999999999996E-5</v>
      </c>
      <c r="S40" s="9">
        <f t="shared" si="10"/>
        <v>1.9629234386907535E-5</v>
      </c>
      <c r="T40" s="9">
        <f t="shared" si="11"/>
        <v>9.9783359846234272E-6</v>
      </c>
      <c r="U40" s="9">
        <f t="shared" si="12"/>
        <v>2.0370765613092458E-5</v>
      </c>
      <c r="V40" s="102">
        <f t="shared" si="13"/>
        <v>0.48983608049617289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134</v>
      </c>
      <c r="C41" s="96" t="s">
        <v>135</v>
      </c>
      <c r="D41" s="97">
        <v>3.3303280000000011</v>
      </c>
      <c r="E41" s="97">
        <v>3.8215209999999997</v>
      </c>
      <c r="F41" s="98">
        <v>9.9999999999999995E-7</v>
      </c>
      <c r="G41" s="140"/>
      <c r="H41" s="140"/>
      <c r="I41" s="94">
        <f t="shared" si="1"/>
        <v>0.35763444792585858</v>
      </c>
      <c r="J41" s="94">
        <f t="shared" si="2"/>
        <v>3.8048590996090375</v>
      </c>
      <c r="K41" s="95">
        <f t="shared" si="3"/>
        <v>0.218506580559375</v>
      </c>
      <c r="L41" s="95">
        <f t="shared" si="4"/>
        <v>0.50189145565727522</v>
      </c>
      <c r="M41" s="95">
        <f t="shared" si="5"/>
        <v>0.49810854434272478</v>
      </c>
      <c r="N41" s="95">
        <f t="shared" si="6"/>
        <v>0.49700940062439131</v>
      </c>
      <c r="O41" s="40">
        <f t="shared" si="7"/>
        <v>2.1869848504231216E-7</v>
      </c>
      <c r="P41" s="40">
        <f t="shared" si="8"/>
        <v>1.3954197782185126E-3</v>
      </c>
      <c r="Q41" s="40">
        <f t="shared" si="9"/>
        <v>1.4499959013219306E-3</v>
      </c>
      <c r="R41" s="9">
        <f t="shared" si="14"/>
        <v>3.9999999999999996E-5</v>
      </c>
      <c r="S41" s="9">
        <f t="shared" si="10"/>
        <v>2.0075658226291008E-5</v>
      </c>
      <c r="T41" s="9">
        <f t="shared" si="11"/>
        <v>8.740263222374999E-6</v>
      </c>
      <c r="U41" s="9">
        <f t="shared" si="12"/>
        <v>1.9924341773708988E-5</v>
      </c>
      <c r="V41" s="102">
        <f t="shared" si="13"/>
        <v>0.43867262073912755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136</v>
      </c>
      <c r="C42" s="46" t="s">
        <v>137</v>
      </c>
      <c r="D42" s="91">
        <v>4.4202640000000004</v>
      </c>
      <c r="E42" s="91">
        <v>5.6388380000000007</v>
      </c>
      <c r="F42" s="98">
        <v>9.9999999999999995E-7</v>
      </c>
      <c r="G42" s="140"/>
      <c r="H42" s="140"/>
      <c r="I42" s="94">
        <f t="shared" si="1"/>
        <v>1.4796577057346774</v>
      </c>
      <c r="J42" s="94">
        <f t="shared" si="2"/>
        <v>5.6187291277528306</v>
      </c>
      <c r="K42" s="95">
        <f t="shared" si="3"/>
        <v>5.5611103700263353E-3</v>
      </c>
      <c r="L42" s="95">
        <f t="shared" si="4"/>
        <v>0.83210249476621234</v>
      </c>
      <c r="M42" s="95">
        <f t="shared" si="5"/>
        <v>0.16789750523378766</v>
      </c>
      <c r="N42" s="95">
        <f t="shared" si="6"/>
        <v>0.83057450679148537</v>
      </c>
      <c r="O42" s="40">
        <f t="shared" si="7"/>
        <v>5.5659944426587678E-9</v>
      </c>
      <c r="P42" s="40">
        <f t="shared" si="8"/>
        <v>2.3135127438683417E-3</v>
      </c>
      <c r="Q42" s="40">
        <f t="shared" si="9"/>
        <v>2.4231526185966349E-3</v>
      </c>
      <c r="R42" s="9">
        <f t="shared" si="14"/>
        <v>3.9999999999999996E-5</v>
      </c>
      <c r="S42" s="9">
        <f t="shared" si="10"/>
        <v>3.3284099790648491E-5</v>
      </c>
      <c r="T42" s="9">
        <f t="shared" si="11"/>
        <v>2.224444148010534E-7</v>
      </c>
      <c r="U42" s="9">
        <f t="shared" si="12"/>
        <v>6.7159002093515057E-6</v>
      </c>
      <c r="V42" s="102">
        <f t="shared" si="13"/>
        <v>3.3122054805298076E-2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138</v>
      </c>
      <c r="C43" s="46" t="s">
        <v>139</v>
      </c>
      <c r="D43" s="91">
        <v>4.2752879999999998</v>
      </c>
      <c r="E43" s="91">
        <v>5.3084609999999994</v>
      </c>
      <c r="F43" s="98">
        <v>9.9999999999999995E-7</v>
      </c>
      <c r="G43" s="140"/>
      <c r="H43" s="140"/>
      <c r="I43" s="94">
        <f t="shared" si="1"/>
        <v>1.2498866711591912</v>
      </c>
      <c r="J43" s="94">
        <f t="shared" si="2"/>
        <v>5.2887765986811166</v>
      </c>
      <c r="K43" s="95">
        <f t="shared" si="3"/>
        <v>1.1391897950270439E-2</v>
      </c>
      <c r="L43" s="95">
        <f t="shared" si="4"/>
        <v>0.79736811717624634</v>
      </c>
      <c r="M43" s="95">
        <f t="shared" si="5"/>
        <v>0.20263188282375366</v>
      </c>
      <c r="N43" s="95">
        <f t="shared" si="6"/>
        <v>0.79512639098205773</v>
      </c>
      <c r="O43" s="40">
        <f t="shared" si="7"/>
        <v>1.1401902940876318E-8</v>
      </c>
      <c r="P43" s="40">
        <f t="shared" si="8"/>
        <v>2.216939995066166E-3</v>
      </c>
      <c r="Q43" s="40">
        <f t="shared" si="9"/>
        <v>2.3197348108676824E-3</v>
      </c>
      <c r="R43" s="9">
        <f t="shared" si="14"/>
        <v>3.9999999999999996E-5</v>
      </c>
      <c r="S43" s="9">
        <f t="shared" si="10"/>
        <v>3.1894724687049854E-5</v>
      </c>
      <c r="T43" s="9">
        <f t="shared" si="11"/>
        <v>4.5567591801081749E-7</v>
      </c>
      <c r="U43" s="9">
        <f t="shared" si="12"/>
        <v>8.105275312950146E-6</v>
      </c>
      <c r="V43" s="102">
        <f t="shared" si="13"/>
        <v>5.6219671808404155E-2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84</v>
      </c>
      <c r="C44" s="46" t="s">
        <v>85</v>
      </c>
      <c r="D44" s="91">
        <v>2.7665919999999997</v>
      </c>
      <c r="E44" s="91">
        <v>3.5255839999999989</v>
      </c>
      <c r="F44" s="98">
        <v>9.9999999999999995E-7</v>
      </c>
      <c r="G44" s="140"/>
      <c r="H44" s="140"/>
      <c r="I44" s="94">
        <f t="shared" si="1"/>
        <v>0.14841008082679896</v>
      </c>
      <c r="J44" s="94">
        <f t="shared" si="2"/>
        <v>3.5069752121358908</v>
      </c>
      <c r="K44" s="95">
        <f t="shared" si="3"/>
        <v>0.38987669579534812</v>
      </c>
      <c r="L44" s="95">
        <f t="shared" si="4"/>
        <v>0.4510125955809261</v>
      </c>
      <c r="M44" s="95">
        <f t="shared" si="5"/>
        <v>0.5489874044190739</v>
      </c>
      <c r="N44" s="95">
        <f t="shared" si="6"/>
        <v>0.44863211523498281</v>
      </c>
      <c r="O44" s="40">
        <f t="shared" si="7"/>
        <v>3.9021910692788383E-7</v>
      </c>
      <c r="P44" s="40">
        <f t="shared" si="8"/>
        <v>1.2539601720756423E-3</v>
      </c>
      <c r="Q44" s="40">
        <f t="shared" si="9"/>
        <v>1.3088579963978018E-3</v>
      </c>
      <c r="R44" s="9">
        <f t="shared" si="14"/>
        <v>3.9999999999999996E-5</v>
      </c>
      <c r="S44" s="9">
        <f t="shared" si="10"/>
        <v>1.8040503823237043E-5</v>
      </c>
      <c r="T44" s="9">
        <f t="shared" si="11"/>
        <v>1.5595067831813922E-5</v>
      </c>
      <c r="U44" s="9">
        <f t="shared" si="12"/>
        <v>2.1959496176762953E-5</v>
      </c>
      <c r="V44" s="102">
        <f t="shared" si="13"/>
        <v>0.71017420920231644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140</v>
      </c>
      <c r="C45" s="46" t="s">
        <v>141</v>
      </c>
      <c r="D45" s="91">
        <v>4.4687359999999998</v>
      </c>
      <c r="E45" s="91">
        <v>5.2666120000000003</v>
      </c>
      <c r="F45" s="98">
        <v>9.9999999999999995E-7</v>
      </c>
      <c r="G45" s="140"/>
      <c r="H45" s="140"/>
      <c r="I45" s="94">
        <f t="shared" si="1"/>
        <v>1.3452769109111</v>
      </c>
      <c r="J45" s="94">
        <f t="shared" si="2"/>
        <v>5.2478046732163026</v>
      </c>
      <c r="K45" s="95">
        <f t="shared" si="3"/>
        <v>1.1648303025488166E-2</v>
      </c>
      <c r="L45" s="95">
        <f t="shared" si="4"/>
        <v>0.74191391254414252</v>
      </c>
      <c r="M45" s="95">
        <f t="shared" si="5"/>
        <v>0.25808608745585748</v>
      </c>
      <c r="N45" s="95">
        <f t="shared" si="6"/>
        <v>0.7383354868765708</v>
      </c>
      <c r="O45" s="40">
        <f t="shared" si="7"/>
        <v>1.1658533205116986E-8</v>
      </c>
      <c r="P45" s="40">
        <f t="shared" si="8"/>
        <v>2.0627594585043802E-3</v>
      </c>
      <c r="Q45" s="40">
        <f t="shared" si="9"/>
        <v>2.1540506646888155E-3</v>
      </c>
      <c r="R45" s="9">
        <f t="shared" si="14"/>
        <v>3.9999999999999996E-5</v>
      </c>
      <c r="S45" s="9">
        <f t="shared" si="10"/>
        <v>2.9676556501765699E-5</v>
      </c>
      <c r="T45" s="9">
        <f t="shared" si="11"/>
        <v>4.6593212101952661E-7</v>
      </c>
      <c r="U45" s="9">
        <f t="shared" si="12"/>
        <v>1.0323443498234298E-5</v>
      </c>
      <c r="V45" s="102">
        <f t="shared" si="13"/>
        <v>4.5133401572761911E-2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86</v>
      </c>
      <c r="C46" s="46" t="s">
        <v>87</v>
      </c>
      <c r="D46" s="93">
        <v>2.6972559999999999</v>
      </c>
      <c r="E46" s="93">
        <v>3.431432</v>
      </c>
      <c r="F46" s="98">
        <v>9.9999999999999995E-7</v>
      </c>
      <c r="G46" s="140"/>
      <c r="H46" s="140"/>
      <c r="I46" s="94">
        <f t="shared" si="1"/>
        <v>0.12747825886296771</v>
      </c>
      <c r="J46" s="94">
        <f t="shared" si="2"/>
        <v>3.4129584322588506</v>
      </c>
      <c r="K46" s="95">
        <f t="shared" si="3"/>
        <v>0.43985425513650678</v>
      </c>
      <c r="L46" s="95">
        <f t="shared" si="4"/>
        <v>0.40978250387969084</v>
      </c>
      <c r="M46" s="95">
        <f t="shared" si="5"/>
        <v>0.59021749612030916</v>
      </c>
      <c r="N46" s="95">
        <f t="shared" si="6"/>
        <v>0.40749274423738668</v>
      </c>
      <c r="O46" s="40">
        <f t="shared" si="7"/>
        <v>4.4024055930722604E-7</v>
      </c>
      <c r="P46" s="40">
        <f t="shared" si="8"/>
        <v>1.139327247427979E-3</v>
      </c>
      <c r="Q46" s="40">
        <f t="shared" si="9"/>
        <v>1.188836284022671E-3</v>
      </c>
      <c r="R46" s="9">
        <f t="shared" si="14"/>
        <v>3.9999999999999996E-5</v>
      </c>
      <c r="S46" s="9">
        <f t="shared" si="10"/>
        <v>1.6391300155187634E-5</v>
      </c>
      <c r="T46" s="9">
        <f t="shared" si="11"/>
        <v>1.7594170205460269E-5</v>
      </c>
      <c r="U46" s="9">
        <f t="shared" si="12"/>
        <v>2.3608699844812363E-5</v>
      </c>
      <c r="V46" s="102">
        <f t="shared" si="13"/>
        <v>0.74524096291250486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142</v>
      </c>
      <c r="C47" s="46" t="s">
        <v>143</v>
      </c>
      <c r="D47" s="91">
        <v>3.859360000000001</v>
      </c>
      <c r="E47" s="91">
        <v>4.2614199999999993</v>
      </c>
      <c r="F47" s="98">
        <v>9.9999999999999995E-7</v>
      </c>
      <c r="G47" s="140"/>
      <c r="H47" s="140"/>
      <c r="I47" s="94">
        <f t="shared" si="1"/>
        <v>0.71310437974280194</v>
      </c>
      <c r="J47" s="94">
        <f t="shared" si="2"/>
        <v>4.2457183871894006</v>
      </c>
      <c r="K47" s="95">
        <f t="shared" si="3"/>
        <v>8.690478784883171E-2</v>
      </c>
      <c r="L47" s="95">
        <f t="shared" si="4"/>
        <v>0.55086892323169401</v>
      </c>
      <c r="M47" s="95">
        <f t="shared" si="5"/>
        <v>0.44913107676830599</v>
      </c>
      <c r="N47" s="95">
        <f t="shared" si="6"/>
        <v>0.54430557954270076</v>
      </c>
      <c r="O47" s="40">
        <f t="shared" si="7"/>
        <v>8.6981112407726905E-8</v>
      </c>
      <c r="P47" s="40">
        <f t="shared" si="8"/>
        <v>1.5315929012514526E-3</v>
      </c>
      <c r="Q47" s="40">
        <f t="shared" si="9"/>
        <v>1.587979741252486E-3</v>
      </c>
      <c r="R47" s="9">
        <f t="shared" si="14"/>
        <v>3.9999999999999996E-5</v>
      </c>
      <c r="S47" s="9">
        <f t="shared" si="10"/>
        <v>2.2034756929267758E-5</v>
      </c>
      <c r="T47" s="9">
        <f t="shared" si="11"/>
        <v>3.4761915139532681E-6</v>
      </c>
      <c r="U47" s="9">
        <f t="shared" si="12"/>
        <v>1.7965243070732238E-5</v>
      </c>
      <c r="V47" s="102">
        <f t="shared" si="13"/>
        <v>0.19349537884162807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144</v>
      </c>
      <c r="C48" s="46" t="s">
        <v>145</v>
      </c>
      <c r="D48" s="91">
        <v>2.0184960000000003</v>
      </c>
      <c r="E48" s="91">
        <v>2.3512620000000002</v>
      </c>
      <c r="F48" s="98">
        <v>9.9999999999999995E-7</v>
      </c>
      <c r="G48" s="140"/>
      <c r="H48" s="14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2.3364900872934777</v>
      </c>
      <c r="K48" s="95">
        <f t="shared" ref="K48:K50" si="17">IF(D48=0,"",1/(1+10^D48*$J$15/$J$14+10^E48*$J$16/$J$14+10^J48*$J$19/$J$14))</f>
        <v>0.87968293929780761</v>
      </c>
      <c r="L48" s="95">
        <f t="shared" ref="L48:L50" si="18">IF(D48=0,"",1/(1+10^I48/10^J48*$J$13/$J$19))</f>
        <v>6.87230520131525E-2</v>
      </c>
      <c r="M48" s="95">
        <f t="shared" ref="M48:M92" si="19">IF(D48=0,"",1-L48)</f>
        <v>0.93127694798684746</v>
      </c>
      <c r="N48" s="95">
        <f t="shared" ref="N48:N50" si="20">IF(D48=0,"",1/(1/10^E48*$J$20/$J$22+10^D48/10^E48*$J$21/$J$22+10^I48/10^E48*$J$13/$J$22+1))</f>
        <v>6.7759041156003452E-2</v>
      </c>
      <c r="O48" s="40">
        <f t="shared" ref="O48:O92" si="21">IF(D48=0,"",F48*K48*$J$7/$J$14)</f>
        <v>8.8045552518141074E-7</v>
      </c>
      <c r="P48" s="40">
        <f t="shared" ref="P48:P50" si="22">IF(D48=0,"",O48*10^J48)</f>
        <v>1.9107220279951869E-4</v>
      </c>
      <c r="Q48" s="40">
        <f t="shared" ref="Q48:Q50" si="23">IF(D48=0,"",F48*N48*$J$7/$J$22)</f>
        <v>1.9768304549225318E-4</v>
      </c>
      <c r="R48" s="9">
        <f t="shared" si="14"/>
        <v>3.9999999999999996E-5</v>
      </c>
      <c r="S48" s="9">
        <f t="shared" si="10"/>
        <v>2.7489220805260999E-6</v>
      </c>
      <c r="T48" s="9">
        <f t="shared" si="11"/>
        <v>3.5187317571912303E-5</v>
      </c>
      <c r="U48" s="9">
        <f t="shared" si="12"/>
        <v>3.7251077919473892E-5</v>
      </c>
      <c r="V48" s="102">
        <f t="shared" si="13"/>
        <v>0.94459864082261324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146</v>
      </c>
      <c r="C49" s="46" t="s">
        <v>147</v>
      </c>
      <c r="D49" s="91">
        <v>1.4665360000000003</v>
      </c>
      <c r="E49" s="91">
        <v>1.8522119999999997</v>
      </c>
      <c r="F49" s="98">
        <v>9.9999999999999995E-7</v>
      </c>
      <c r="G49" s="140"/>
      <c r="H49" s="140"/>
      <c r="I49" s="94">
        <f t="shared" si="15"/>
        <v>6.9959414880738915E-3</v>
      </c>
      <c r="J49" s="94">
        <f t="shared" si="16"/>
        <v>1.8368226563727335</v>
      </c>
      <c r="K49" s="95">
        <f t="shared" si="17"/>
        <v>0.96016347298768201</v>
      </c>
      <c r="L49" s="95">
        <f t="shared" si="18"/>
        <v>2.3738540745718389E-2</v>
      </c>
      <c r="M49" s="95">
        <f t="shared" si="19"/>
        <v>0.97626145925428165</v>
      </c>
      <c r="N49" s="95">
        <f t="shared" si="20"/>
        <v>2.3438848006590584E-2</v>
      </c>
      <c r="O49" s="40">
        <f t="shared" si="21"/>
        <v>9.6100674129725476E-7</v>
      </c>
      <c r="P49" s="40">
        <f t="shared" si="22"/>
        <v>6.600078341489355E-5</v>
      </c>
      <c r="Q49" s="40">
        <f t="shared" si="23"/>
        <v>6.8381470246975712E-5</v>
      </c>
      <c r="R49" s="9">
        <f t="shared" si="14"/>
        <v>3.9999999999999996E-5</v>
      </c>
      <c r="S49" s="9">
        <f t="shared" si="10"/>
        <v>9.4954162982873545E-7</v>
      </c>
      <c r="T49" s="9">
        <f t="shared" si="11"/>
        <v>3.8406538919507278E-5</v>
      </c>
      <c r="U49" s="9">
        <f t="shared" si="12"/>
        <v>3.905045837017126E-5</v>
      </c>
      <c r="V49" s="102">
        <f t="shared" si="13"/>
        <v>0.98351057893968685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148</v>
      </c>
      <c r="C50" s="46" t="s">
        <v>149</v>
      </c>
      <c r="D50" s="91"/>
      <c r="E50" s="91"/>
      <c r="F50" s="92"/>
      <c r="G50" s="140"/>
      <c r="H50" s="14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150</v>
      </c>
      <c r="C51" s="46" t="s">
        <v>151</v>
      </c>
      <c r="D51" s="91"/>
      <c r="E51" s="91"/>
      <c r="F51" s="92"/>
      <c r="G51" s="140"/>
      <c r="H51" s="14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152</v>
      </c>
      <c r="C52" s="46" t="s">
        <v>153</v>
      </c>
      <c r="D52" s="47"/>
      <c r="E52" s="47"/>
      <c r="F52" s="92"/>
      <c r="G52" s="140"/>
      <c r="H52" s="14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154</v>
      </c>
      <c r="C53" s="46" t="s">
        <v>155</v>
      </c>
      <c r="D53" s="47"/>
      <c r="E53" s="47"/>
      <c r="F53" s="92"/>
      <c r="G53" s="140"/>
      <c r="H53" s="14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156</v>
      </c>
      <c r="C54" s="46" t="s">
        <v>157</v>
      </c>
      <c r="D54" s="47"/>
      <c r="E54" s="47"/>
      <c r="F54" s="92"/>
      <c r="G54" s="140"/>
      <c r="H54" s="14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158</v>
      </c>
      <c r="C55" s="46" t="s">
        <v>159</v>
      </c>
      <c r="D55" s="47"/>
      <c r="E55" s="47"/>
      <c r="F55" s="57"/>
      <c r="G55" s="140"/>
      <c r="H55" s="14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160</v>
      </c>
      <c r="C56" s="46" t="s">
        <v>161</v>
      </c>
      <c r="D56" s="47"/>
      <c r="E56" s="47"/>
      <c r="F56" s="57"/>
      <c r="G56" s="140"/>
      <c r="H56" s="14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88</v>
      </c>
      <c r="C57" s="88" t="s">
        <v>89</v>
      </c>
      <c r="D57" s="91">
        <v>6.5247999999999973E-2</v>
      </c>
      <c r="E57" s="91">
        <v>8.2216000000000289E-2</v>
      </c>
      <c r="F57" s="98">
        <v>9.9999999999999995E-7</v>
      </c>
      <c r="G57" s="140"/>
      <c r="H57" s="140"/>
      <c r="I57" s="54">
        <f t="shared" si="24"/>
        <v>3.7232006014196545E-5</v>
      </c>
      <c r="J57" s="54">
        <f t="shared" si="25"/>
        <v>8.0381300697110955E-2</v>
      </c>
      <c r="K57" s="55">
        <f t="shared" si="26"/>
        <v>0.99896384920113823</v>
      </c>
      <c r="L57" s="55">
        <f t="shared" si="27"/>
        <v>4.3273024906344092E-4</v>
      </c>
      <c r="M57" s="55">
        <f t="shared" si="28"/>
        <v>0.99956726975093657</v>
      </c>
      <c r="N57" s="55">
        <f t="shared" si="29"/>
        <v>4.141377833283621E-4</v>
      </c>
      <c r="O57" s="56">
        <f t="shared" si="30"/>
        <v>9.9984119413264163E-7</v>
      </c>
      <c r="P57" s="56">
        <f t="shared" si="31"/>
        <v>1.2031293646666316E-6</v>
      </c>
      <c r="Q57" s="56">
        <f t="shared" si="32"/>
        <v>1.208222797504979E-6</v>
      </c>
      <c r="R57" s="9">
        <f t="shared" ref="R57:R58" si="33">F57*$C$14</f>
        <v>3.9999999999999996E-5</v>
      </c>
      <c r="S57" s="9">
        <f t="shared" ref="S57:S58" si="34">$R57*L57</f>
        <v>1.7309209962537636E-8</v>
      </c>
      <c r="T57" s="9">
        <f t="shared" ref="T57:T58" si="35">R57*K57</f>
        <v>3.9958553968045528E-5</v>
      </c>
      <c r="U57" s="9">
        <f t="shared" ref="U57:U58" si="36">$R57*M57</f>
        <v>3.9982690790037461E-5</v>
      </c>
      <c r="V57" s="102">
        <f t="shared" ref="V57:V58" si="37">K57/M57</f>
        <v>0.99939631821883412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162</v>
      </c>
      <c r="C58" s="46" t="s">
        <v>163</v>
      </c>
      <c r="D58" s="47">
        <v>2.1823520000000003</v>
      </c>
      <c r="E58" s="47">
        <v>2.5882690000000008</v>
      </c>
      <c r="F58" s="98">
        <v>9.9999999999999995E-7</v>
      </c>
      <c r="G58" s="140"/>
      <c r="H58" s="140"/>
      <c r="I58" s="54">
        <f t="shared" si="24"/>
        <v>3.6330362911661196E-2</v>
      </c>
      <c r="J58" s="54">
        <f t="shared" si="25"/>
        <v>2.5725421120660119</v>
      </c>
      <c r="K58" s="55">
        <f t="shared" si="26"/>
        <v>0.81809716449953684</v>
      </c>
      <c r="L58" s="55">
        <f t="shared" si="27"/>
        <v>0.11006093078431479</v>
      </c>
      <c r="M58" s="55">
        <f t="shared" si="28"/>
        <v>0.88993906921568522</v>
      </c>
      <c r="N58" s="55">
        <f t="shared" si="29"/>
        <v>0.10875593585419753</v>
      </c>
      <c r="O58" s="56">
        <f t="shared" si="30"/>
        <v>8.1881566237243261E-7</v>
      </c>
      <c r="P58" s="56">
        <f t="shared" si="31"/>
        <v>3.0600481019235967E-4</v>
      </c>
      <c r="Q58" s="56">
        <f t="shared" si="32"/>
        <v>3.1728909158439388E-4</v>
      </c>
      <c r="R58" s="9">
        <f t="shared" si="33"/>
        <v>3.9999999999999996E-5</v>
      </c>
      <c r="S58" s="9">
        <f t="shared" si="34"/>
        <v>4.4024372313725916E-6</v>
      </c>
      <c r="T58" s="9">
        <f t="shared" si="35"/>
        <v>3.2723886579981472E-5</v>
      </c>
      <c r="U58" s="9">
        <f t="shared" si="36"/>
        <v>3.5597562768627406E-5</v>
      </c>
      <c r="V58" s="102">
        <f t="shared" si="37"/>
        <v>0.91927323206580469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164</v>
      </c>
      <c r="C59" s="46" t="s">
        <v>165</v>
      </c>
      <c r="D59" s="47"/>
      <c r="E59" s="47"/>
      <c r="F59" s="57"/>
      <c r="G59" s="140"/>
      <c r="H59" s="14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90</v>
      </c>
      <c r="C60" s="46" t="s">
        <v>91</v>
      </c>
      <c r="D60" s="47">
        <v>2.3628240000000003</v>
      </c>
      <c r="E60" s="47">
        <v>2.5674030000000005</v>
      </c>
      <c r="F60" s="98">
        <v>9.9999999999999995E-7</v>
      </c>
      <c r="G60" s="140"/>
      <c r="H60" s="140"/>
      <c r="I60" s="54">
        <f t="shared" si="24"/>
        <v>5.084171441621077E-2</v>
      </c>
      <c r="J60" s="54">
        <f t="shared" si="25"/>
        <v>2.5546913678115204</v>
      </c>
      <c r="K60" s="55">
        <f t="shared" si="26"/>
        <v>0.7975161798975734</v>
      </c>
      <c r="L60" s="55">
        <f t="shared" si="27"/>
        <v>0.1029715031197922</v>
      </c>
      <c r="M60" s="55">
        <f t="shared" si="28"/>
        <v>0.8970284968802078</v>
      </c>
      <c r="N60" s="55">
        <f t="shared" si="29"/>
        <v>0.1010465721205157</v>
      </c>
      <c r="O60" s="56">
        <f t="shared" si="30"/>
        <v>7.9821660241915364E-7</v>
      </c>
      <c r="P60" s="56">
        <f t="shared" si="31"/>
        <v>2.8629391958481023E-4</v>
      </c>
      <c r="Q60" s="56">
        <f t="shared" si="32"/>
        <v>2.9479747311280156E-4</v>
      </c>
      <c r="R60" s="9">
        <f t="shared" ref="R60:R65" si="38">F60*$C$14</f>
        <v>3.9999999999999996E-5</v>
      </c>
      <c r="S60" s="9">
        <f t="shared" ref="S60:S93" si="39">$R60*L60</f>
        <v>4.1188601247916872E-6</v>
      </c>
      <c r="T60" s="9">
        <f t="shared" ref="T60:T93" si="40">R60*K60</f>
        <v>3.1900647195902931E-5</v>
      </c>
      <c r="U60" s="9">
        <f t="shared" ref="U60:U93" si="41">$R60*M60</f>
        <v>3.588113987520831E-5</v>
      </c>
      <c r="V60" s="102">
        <f t="shared" ref="V60:V93" si="42">K60/M60</f>
        <v>0.8890644864363505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92</v>
      </c>
      <c r="C61" s="46" t="s">
        <v>93</v>
      </c>
      <c r="D61" s="47">
        <v>3.2672240000000001</v>
      </c>
      <c r="E61" s="47">
        <v>3.6253630000000006</v>
      </c>
      <c r="F61" s="98">
        <v>9.9999999999999995E-7</v>
      </c>
      <c r="G61" s="140"/>
      <c r="H61" s="140"/>
      <c r="I61" s="54">
        <f t="shared" si="24"/>
        <v>0.31132307136990117</v>
      </c>
      <c r="J61" s="54">
        <f t="shared" si="25"/>
        <v>3.6102131398703299</v>
      </c>
      <c r="K61" s="55">
        <f t="shared" si="26"/>
        <v>0.28439285478470339</v>
      </c>
      <c r="L61" s="55">
        <f t="shared" si="27"/>
        <v>0.41727080769378061</v>
      </c>
      <c r="M61" s="55">
        <f t="shared" si="28"/>
        <v>0.58272919230621945</v>
      </c>
      <c r="N61" s="55">
        <f t="shared" si="29"/>
        <v>0.41177574656784177</v>
      </c>
      <c r="O61" s="56">
        <f t="shared" si="30"/>
        <v>2.8464262421319732E-7</v>
      </c>
      <c r="P61" s="56">
        <f t="shared" si="31"/>
        <v>1.1601471421078067E-3</v>
      </c>
      <c r="Q61" s="56">
        <f t="shared" si="32"/>
        <v>1.2013316931974477E-3</v>
      </c>
      <c r="R61" s="9">
        <f t="shared" si="38"/>
        <v>3.9999999999999996E-5</v>
      </c>
      <c r="S61" s="9">
        <f t="shared" si="39"/>
        <v>1.6690832307751224E-5</v>
      </c>
      <c r="T61" s="9">
        <f t="shared" si="40"/>
        <v>1.1375714191388135E-5</v>
      </c>
      <c r="U61" s="9">
        <f t="shared" si="41"/>
        <v>2.3309167692248776E-5</v>
      </c>
      <c r="V61" s="102">
        <f t="shared" si="42"/>
        <v>0.48803605266313355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166</v>
      </c>
      <c r="C62" s="46" t="s">
        <v>110</v>
      </c>
      <c r="D62" s="47">
        <v>2.9091840000000002</v>
      </c>
      <c r="E62" s="47">
        <v>3.4102429999999995</v>
      </c>
      <c r="F62" s="98">
        <v>9.9999999999999995E-7</v>
      </c>
      <c r="G62" s="140"/>
      <c r="H62" s="140"/>
      <c r="I62" s="54">
        <f t="shared" si="24"/>
        <v>0.17220522092565899</v>
      </c>
      <c r="J62" s="54">
        <f t="shared" si="25"/>
        <v>3.3934881626861433</v>
      </c>
      <c r="K62" s="55">
        <f t="shared" si="26"/>
        <v>0.42048671483093369</v>
      </c>
      <c r="L62" s="55">
        <f t="shared" si="27"/>
        <v>0.37456450817187048</v>
      </c>
      <c r="M62" s="55">
        <f t="shared" si="28"/>
        <v>0.62543549182812952</v>
      </c>
      <c r="N62" s="55">
        <f t="shared" si="29"/>
        <v>0.37100038594520085</v>
      </c>
      <c r="O62" s="56">
        <f t="shared" si="30"/>
        <v>4.2085600936378027E-7</v>
      </c>
      <c r="P62" s="56">
        <f t="shared" si="31"/>
        <v>1.0414098846078677E-3</v>
      </c>
      <c r="Q62" s="56">
        <f t="shared" si="32"/>
        <v>1.0823719598332989E-3</v>
      </c>
      <c r="R62" s="9">
        <f t="shared" si="38"/>
        <v>3.9999999999999996E-5</v>
      </c>
      <c r="S62" s="9">
        <f t="shared" si="39"/>
        <v>1.4982580326874819E-5</v>
      </c>
      <c r="T62" s="9">
        <f t="shared" si="40"/>
        <v>1.6819468593237346E-5</v>
      </c>
      <c r="U62" s="9">
        <f t="shared" si="41"/>
        <v>2.5017419673125178E-5</v>
      </c>
      <c r="V62" s="102">
        <f t="shared" si="42"/>
        <v>0.67231028671216497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94</v>
      </c>
      <c r="C63" s="46" t="s">
        <v>95</v>
      </c>
      <c r="D63" s="47">
        <v>2.857424</v>
      </c>
      <c r="E63" s="47">
        <v>3.3289280000000003</v>
      </c>
      <c r="F63" s="98">
        <v>9.9999999999999995E-7</v>
      </c>
      <c r="G63" s="140"/>
      <c r="H63" s="140"/>
      <c r="I63" s="54">
        <f t="shared" si="24"/>
        <v>0.15417954710270029</v>
      </c>
      <c r="J63" s="54">
        <f t="shared" si="25"/>
        <v>3.3124645098789665</v>
      </c>
      <c r="K63" s="55">
        <f t="shared" si="26"/>
        <v>0.46165556497623678</v>
      </c>
      <c r="L63" s="55">
        <f t="shared" si="27"/>
        <v>0.34124694086504737</v>
      </c>
      <c r="M63" s="55">
        <f t="shared" si="28"/>
        <v>0.65875305913495263</v>
      </c>
      <c r="N63" s="55">
        <f t="shared" si="29"/>
        <v>0.33777317609367707</v>
      </c>
      <c r="O63" s="56">
        <f t="shared" si="30"/>
        <v>4.6206101625493524E-7</v>
      </c>
      <c r="P63" s="56">
        <f t="shared" si="31"/>
        <v>9.487763243868E-4</v>
      </c>
      <c r="Q63" s="56">
        <f t="shared" si="32"/>
        <v>9.8543351553718366E-4</v>
      </c>
      <c r="R63" s="9">
        <f t="shared" si="38"/>
        <v>3.9999999999999996E-5</v>
      </c>
      <c r="S63" s="9">
        <f t="shared" si="39"/>
        <v>1.3649877634601893E-5</v>
      </c>
      <c r="T63" s="9">
        <f t="shared" si="40"/>
        <v>1.8466222599049469E-5</v>
      </c>
      <c r="U63" s="9">
        <f t="shared" si="41"/>
        <v>2.6350122365398105E-5</v>
      </c>
      <c r="V63" s="102">
        <f t="shared" si="42"/>
        <v>0.70080215730984818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96</v>
      </c>
      <c r="C64" s="46" t="s">
        <v>97</v>
      </c>
      <c r="D64" s="47">
        <v>2.0783680000000002</v>
      </c>
      <c r="E64" s="47">
        <v>2.5770209999999998</v>
      </c>
      <c r="F64" s="98">
        <v>9.9999999999999995E-7</v>
      </c>
      <c r="G64" s="140"/>
      <c r="H64" s="140"/>
      <c r="I64" s="54">
        <f t="shared" si="24"/>
        <v>2.9920298270100572E-2</v>
      </c>
      <c r="J64" s="54">
        <f t="shared" si="25"/>
        <v>2.5603074590057777</v>
      </c>
      <c r="K64" s="55">
        <f t="shared" si="26"/>
        <v>0.83148075035445723</v>
      </c>
      <c r="L64" s="55">
        <f t="shared" si="27"/>
        <v>0.10875415044020328</v>
      </c>
      <c r="M64" s="55">
        <f t="shared" si="28"/>
        <v>0.89124584955979669</v>
      </c>
      <c r="N64" s="55">
        <f t="shared" si="29"/>
        <v>0.10770907142120108</v>
      </c>
      <c r="O64" s="56">
        <f t="shared" si="30"/>
        <v>8.3221100242769218E-7</v>
      </c>
      <c r="P64" s="56">
        <f t="shared" si="31"/>
        <v>3.0237154025439597E-4</v>
      </c>
      <c r="Q64" s="56">
        <f t="shared" si="32"/>
        <v>3.1423492573727399E-4</v>
      </c>
      <c r="R64" s="9">
        <f t="shared" si="38"/>
        <v>3.9999999999999996E-5</v>
      </c>
      <c r="S64" s="9">
        <f t="shared" si="39"/>
        <v>4.3501660176081309E-6</v>
      </c>
      <c r="T64" s="9">
        <f t="shared" si="40"/>
        <v>3.3259230014178285E-5</v>
      </c>
      <c r="U64" s="9">
        <f t="shared" si="41"/>
        <v>3.5649833982391864E-5</v>
      </c>
      <c r="V64" s="102">
        <f t="shared" si="42"/>
        <v>0.93294207290293851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167</v>
      </c>
      <c r="C65" s="46" t="s">
        <v>168</v>
      </c>
      <c r="D65" s="47">
        <v>3.4409280000000009</v>
      </c>
      <c r="E65" s="47">
        <v>4.1160660000000009</v>
      </c>
      <c r="F65" s="98">
        <v>9.9999999999999995E-7</v>
      </c>
      <c r="G65" s="140"/>
      <c r="H65" s="140"/>
      <c r="I65" s="54">
        <f t="shared" si="24"/>
        <v>0.45036614920415591</v>
      </c>
      <c r="J65" s="54">
        <f t="shared" si="25"/>
        <v>4.0979428181217807</v>
      </c>
      <c r="K65" s="55">
        <f t="shared" si="26"/>
        <v>0.1363741721489953</v>
      </c>
      <c r="L65" s="55">
        <f t="shared" si="27"/>
        <v>0.61512181197341009</v>
      </c>
      <c r="M65" s="55">
        <f t="shared" si="28"/>
        <v>0.38487818802658991</v>
      </c>
      <c r="N65" s="55">
        <f t="shared" si="29"/>
        <v>0.61119136483988556</v>
      </c>
      <c r="O65" s="56">
        <f t="shared" si="30"/>
        <v>1.3649394343883584E-7</v>
      </c>
      <c r="P65" s="56">
        <f t="shared" si="31"/>
        <v>1.7102366114545812E-3</v>
      </c>
      <c r="Q65" s="56">
        <f t="shared" si="32"/>
        <v>1.7831151137741646E-3</v>
      </c>
      <c r="R65" s="9">
        <f t="shared" si="38"/>
        <v>3.9999999999999996E-5</v>
      </c>
      <c r="S65" s="9">
        <f t="shared" si="39"/>
        <v>2.4604872478936402E-5</v>
      </c>
      <c r="T65" s="9">
        <f t="shared" si="40"/>
        <v>5.4549668859598115E-6</v>
      </c>
      <c r="U65" s="9">
        <f t="shared" si="41"/>
        <v>1.5395127521063595E-5</v>
      </c>
      <c r="V65" s="102">
        <f t="shared" si="42"/>
        <v>0.3543307373385724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169</v>
      </c>
      <c r="C66" s="46" t="s">
        <v>170</v>
      </c>
      <c r="D66" s="47"/>
      <c r="E66" s="47"/>
      <c r="F66" s="57"/>
      <c r="G66" s="140"/>
      <c r="H66" s="14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171</v>
      </c>
      <c r="C67" s="46" t="s">
        <v>172</v>
      </c>
      <c r="D67" s="47"/>
      <c r="E67" s="47"/>
      <c r="F67" s="57"/>
      <c r="G67" s="140"/>
      <c r="H67" s="14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98</v>
      </c>
      <c r="C68" s="46" t="s">
        <v>99</v>
      </c>
      <c r="D68" s="47">
        <v>2.3414159999999997</v>
      </c>
      <c r="E68" s="47">
        <v>2.4767320000000002</v>
      </c>
      <c r="F68" s="98">
        <v>9.9999999999999995E-7</v>
      </c>
      <c r="G68" s="140"/>
      <c r="H68" s="140"/>
      <c r="I68" s="54">
        <f t="shared" si="24"/>
        <v>4.7752637245013392E-2</v>
      </c>
      <c r="J68" s="54">
        <f t="shared" si="25"/>
        <v>2.4654231458254099</v>
      </c>
      <c r="K68" s="55">
        <f t="shared" si="26"/>
        <v>0.81837641211459622</v>
      </c>
      <c r="L68" s="55">
        <f t="shared" si="27"/>
        <v>8.6032477776894489E-2</v>
      </c>
      <c r="M68" s="55">
        <f t="shared" si="28"/>
        <v>0.91396752222310551</v>
      </c>
      <c r="N68" s="55">
        <f t="shared" si="29"/>
        <v>8.415195033410372E-2</v>
      </c>
      <c r="O68" s="56">
        <f t="shared" si="30"/>
        <v>8.1909515523808828E-7</v>
      </c>
      <c r="P68" s="56">
        <f t="shared" si="31"/>
        <v>2.3919797738298674E-4</v>
      </c>
      <c r="Q68" s="56">
        <f t="shared" si="32"/>
        <v>2.4550840068498451E-4</v>
      </c>
      <c r="R68" s="9">
        <f>F68*$C$14</f>
        <v>3.9999999999999996E-5</v>
      </c>
      <c r="S68" s="9">
        <f t="shared" si="39"/>
        <v>3.4412991110757792E-6</v>
      </c>
      <c r="T68" s="9">
        <f t="shared" si="40"/>
        <v>3.2735056484583847E-5</v>
      </c>
      <c r="U68" s="9">
        <f t="shared" si="41"/>
        <v>3.6558700888924215E-5</v>
      </c>
      <c r="V68" s="102">
        <f t="shared" si="42"/>
        <v>0.89541082392512539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173</v>
      </c>
      <c r="C69" s="46" t="s">
        <v>174</v>
      </c>
      <c r="D69" s="47">
        <v>4.3302640000000006</v>
      </c>
      <c r="E69" s="47">
        <v>5.074033</v>
      </c>
      <c r="F69" s="98">
        <v>9.9999999999999995E-7</v>
      </c>
      <c r="G69" s="140"/>
      <c r="H69" s="140"/>
      <c r="I69" s="54">
        <f t="shared" si="24"/>
        <v>1.1979474472139457</v>
      </c>
      <c r="J69" s="54">
        <f t="shared" si="25"/>
        <v>5.0555035272524416</v>
      </c>
      <c r="K69" s="55">
        <f t="shared" si="26"/>
        <v>1.7640220775881649E-2</v>
      </c>
      <c r="L69" s="55">
        <f t="shared" si="27"/>
        <v>0.72159534900154598</v>
      </c>
      <c r="M69" s="55">
        <f t="shared" si="28"/>
        <v>0.27840465099845402</v>
      </c>
      <c r="N69" s="55">
        <f t="shared" si="29"/>
        <v>0.71765563408767485</v>
      </c>
      <c r="O69" s="56">
        <f t="shared" si="30"/>
        <v>1.7655713386851197E-8</v>
      </c>
      <c r="P69" s="56">
        <f t="shared" si="31"/>
        <v>2.0062673124183346E-3</v>
      </c>
      <c r="Q69" s="56">
        <f t="shared" si="32"/>
        <v>2.0937184018660817E-3</v>
      </c>
      <c r="R69" s="9">
        <f>F69*$C$14</f>
        <v>3.9999999999999996E-5</v>
      </c>
      <c r="S69" s="9">
        <f t="shared" si="39"/>
        <v>2.8863813960061835E-5</v>
      </c>
      <c r="T69" s="9">
        <f t="shared" si="40"/>
        <v>7.0560883103526592E-7</v>
      </c>
      <c r="U69" s="9">
        <f t="shared" si="41"/>
        <v>1.1136186039938159E-5</v>
      </c>
      <c r="V69" s="102">
        <f t="shared" si="42"/>
        <v>6.3361803449108342E-2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175</v>
      </c>
      <c r="C70" s="46" t="s">
        <v>176</v>
      </c>
      <c r="D70" s="47">
        <v>1.4854320000000003</v>
      </c>
      <c r="E70" s="47">
        <v>1.5057189999999996</v>
      </c>
      <c r="F70" s="98">
        <v>9.9999999999999995E-7</v>
      </c>
      <c r="G70" s="140"/>
      <c r="H70" s="140"/>
      <c r="I70" s="54">
        <f t="shared" si="24"/>
        <v>6.6276677113325539E-3</v>
      </c>
      <c r="J70" s="54">
        <f t="shared" si="25"/>
        <v>1.4974934704256861</v>
      </c>
      <c r="K70" s="55">
        <f t="shared" si="26"/>
        <v>0.97349910844833787</v>
      </c>
      <c r="L70" s="55">
        <f t="shared" si="27"/>
        <v>1.1018315665362941E-2</v>
      </c>
      <c r="M70" s="55">
        <f t="shared" si="28"/>
        <v>0.98898168433463707</v>
      </c>
      <c r="N70" s="55">
        <f t="shared" si="29"/>
        <v>1.0701228575978041E-2</v>
      </c>
      <c r="O70" s="56">
        <f t="shared" si="30"/>
        <v>9.7435408884557948E-7</v>
      </c>
      <c r="P70" s="56">
        <f t="shared" si="31"/>
        <v>3.0634463744689661E-5</v>
      </c>
      <c r="Q70" s="56">
        <f t="shared" si="32"/>
        <v>3.1220209426187217E-5</v>
      </c>
      <c r="R70" s="9">
        <f t="shared" ref="R70:R86" si="43">F70*$C$14</f>
        <v>3.9999999999999996E-5</v>
      </c>
      <c r="S70" s="9">
        <f t="shared" si="39"/>
        <v>4.4073262661451759E-7</v>
      </c>
      <c r="T70" s="9">
        <f t="shared" si="40"/>
        <v>3.8939964337933509E-5</v>
      </c>
      <c r="U70" s="9">
        <f t="shared" si="41"/>
        <v>3.9559267373385481E-5</v>
      </c>
      <c r="V70" s="102">
        <f t="shared" si="42"/>
        <v>0.98434493162862213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177</v>
      </c>
      <c r="C71" s="46" t="s">
        <v>178</v>
      </c>
      <c r="D71" s="47">
        <v>2.0758240000000003</v>
      </c>
      <c r="E71" s="47">
        <v>2.477398</v>
      </c>
      <c r="F71" s="98">
        <v>9.9999999999999995E-7</v>
      </c>
      <c r="G71" s="140"/>
      <c r="H71" s="140"/>
      <c r="I71" s="54">
        <f t="shared" ref="I71:I122" si="44">IF(D71=0,"",LOG($K$15*10^D71+$K$16*10^E71+$K$14))</f>
        <v>2.8589842167479149E-2</v>
      </c>
      <c r="J71" s="54">
        <f t="shared" ref="J71:J122" si="45">IF(D71=0,"",LOG($K$21*10^D71+$K$22*10^E71+$K$20))</f>
        <v>2.4617287350279575</v>
      </c>
      <c r="K71" s="55">
        <f t="shared" ref="K71:K122" si="46">IF(D71=0,"",1/(1+10^D71*$J$15/$J$14+10^E71*$J$16/$J$14+10^J71*$J$19/$J$14))</f>
        <v>0.85263516529473982</v>
      </c>
      <c r="L71" s="55">
        <f t="shared" ref="L71:L122" si="47">IF(D71=0,"",1/(1+10^I71/10^J71*$J$13/$J$19))</f>
        <v>8.8874701928204097E-2</v>
      </c>
      <c r="M71" s="55">
        <f t="shared" si="19"/>
        <v>0.91112529807179587</v>
      </c>
      <c r="N71" s="55">
        <f t="shared" ref="N71:N122" si="48">IF(D71=0,"",1/(1/10^E71*$J$20/$J$22+10^D71/10^E71*$J$21/$J$22+10^I71/10^E71*$J$13/$J$22+1))</f>
        <v>8.7809261128410157E-2</v>
      </c>
      <c r="O71" s="56">
        <f t="shared" si="21"/>
        <v>8.5338399633731554E-7</v>
      </c>
      <c r="P71" s="56">
        <f t="shared" ref="P71:P122" si="49">IF(D71=0,"",O71*10^J71)</f>
        <v>2.4710027528059442E-4</v>
      </c>
      <c r="Q71" s="56">
        <f t="shared" ref="Q71:Q122" si="50">IF(D71=0,"",F71*N71*$J$7/$J$22)</f>
        <v>2.561783913429933E-4</v>
      </c>
      <c r="R71" s="9">
        <f t="shared" si="43"/>
        <v>3.9999999999999996E-5</v>
      </c>
      <c r="S71" s="9">
        <f t="shared" si="39"/>
        <v>3.5549880771281634E-6</v>
      </c>
      <c r="T71" s="9">
        <f t="shared" si="40"/>
        <v>3.4105406611789587E-5</v>
      </c>
      <c r="U71" s="9">
        <f t="shared" si="41"/>
        <v>3.644501192287183E-5</v>
      </c>
      <c r="V71" s="102">
        <f t="shared" si="42"/>
        <v>0.9358045123971005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179</v>
      </c>
      <c r="C72" s="46" t="s">
        <v>180</v>
      </c>
      <c r="D72" s="47">
        <v>2.3078000000000003</v>
      </c>
      <c r="E72" s="47">
        <v>2.5099249999999995</v>
      </c>
      <c r="F72" s="98">
        <v>9.9999999999999995E-7</v>
      </c>
      <c r="G72" s="140"/>
      <c r="H72" s="140"/>
      <c r="I72" s="54">
        <f t="shared" si="44"/>
        <v>4.5043006346732313E-2</v>
      </c>
      <c r="J72" s="54">
        <f t="shared" si="45"/>
        <v>2.4972623302127044</v>
      </c>
      <c r="K72" s="55">
        <f t="shared" si="46"/>
        <v>0.81767356323755147</v>
      </c>
      <c r="L72" s="55">
        <f t="shared" si="47"/>
        <v>9.2497174916749914E-2</v>
      </c>
      <c r="M72" s="55">
        <f t="shared" si="19"/>
        <v>0.90750282508325009</v>
      </c>
      <c r="N72" s="55">
        <f t="shared" si="48"/>
        <v>9.0757816527775356E-2</v>
      </c>
      <c r="O72" s="56">
        <f t="shared" si="21"/>
        <v>8.1839168908054796E-7</v>
      </c>
      <c r="P72" s="56">
        <f t="shared" si="49"/>
        <v>2.5717191606527224E-4</v>
      </c>
      <c r="Q72" s="56">
        <f t="shared" si="50"/>
        <v>2.6478062952707798E-4</v>
      </c>
      <c r="R72" s="9">
        <f t="shared" si="43"/>
        <v>3.9999999999999996E-5</v>
      </c>
      <c r="S72" s="9">
        <f t="shared" si="39"/>
        <v>3.6998869966699961E-6</v>
      </c>
      <c r="T72" s="9">
        <f t="shared" si="40"/>
        <v>3.2706942529502059E-5</v>
      </c>
      <c r="U72" s="9">
        <f t="shared" si="41"/>
        <v>3.6300113003330002E-5</v>
      </c>
      <c r="V72" s="102">
        <f t="shared" si="42"/>
        <v>0.90101489564238202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181</v>
      </c>
      <c r="C73" s="46" t="s">
        <v>182</v>
      </c>
      <c r="D73" s="47">
        <v>5.676184000000001</v>
      </c>
      <c r="E73" s="47">
        <v>7.0708080000000004</v>
      </c>
      <c r="F73" s="98">
        <v>9.9999999999999995E-7</v>
      </c>
      <c r="G73" s="140"/>
      <c r="H73" s="140"/>
      <c r="I73" s="54">
        <f t="shared" si="44"/>
        <v>2.829962486439805</v>
      </c>
      <c r="J73" s="54">
        <f t="shared" si="45"/>
        <v>7.0504332537206764</v>
      </c>
      <c r="K73" s="55">
        <f t="shared" si="46"/>
        <v>2.1188590749736925E-4</v>
      </c>
      <c r="L73" s="55">
        <f t="shared" si="47"/>
        <v>0.85668568174839577</v>
      </c>
      <c r="M73" s="55">
        <f t="shared" si="19"/>
        <v>0.14331431825160423</v>
      </c>
      <c r="N73" s="55">
        <f t="shared" si="48"/>
        <v>0.8556362098338286</v>
      </c>
      <c r="O73" s="56">
        <f t="shared" si="21"/>
        <v>2.1207199734150972E-10</v>
      </c>
      <c r="P73" s="56">
        <f t="shared" si="49"/>
        <v>2.3818619156661734E-3</v>
      </c>
      <c r="Q73" s="56">
        <f t="shared" si="50"/>
        <v>2.4962686736368254E-3</v>
      </c>
      <c r="R73" s="9">
        <f t="shared" si="43"/>
        <v>3.9999999999999996E-5</v>
      </c>
      <c r="S73" s="9">
        <f t="shared" si="39"/>
        <v>3.4267427269935824E-5</v>
      </c>
      <c r="T73" s="9">
        <f t="shared" si="40"/>
        <v>8.4754362998947693E-9</v>
      </c>
      <c r="U73" s="9">
        <f t="shared" si="41"/>
        <v>5.7325727300641686E-6</v>
      </c>
      <c r="V73" s="102">
        <f t="shared" si="42"/>
        <v>1.4784699120249797E-3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183</v>
      </c>
      <c r="C74" s="46" t="s">
        <v>184</v>
      </c>
      <c r="D74" s="47">
        <v>1.2599279999999999</v>
      </c>
      <c r="E74" s="47">
        <v>1.3925860000000003</v>
      </c>
      <c r="F74" s="98">
        <v>9.9999999999999995E-7</v>
      </c>
      <c r="G74" s="140"/>
      <c r="H74" s="140"/>
      <c r="I74" s="54">
        <f t="shared" si="44"/>
        <v>3.957220636313619E-3</v>
      </c>
      <c r="J74" s="54">
        <f t="shared" si="45"/>
        <v>1.3816332663919468</v>
      </c>
      <c r="K74" s="55">
        <f t="shared" si="46"/>
        <v>0.9819859588528661</v>
      </c>
      <c r="L74" s="55">
        <f t="shared" si="47"/>
        <v>8.5118649843373296E-3</v>
      </c>
      <c r="M74" s="55">
        <f t="shared" si="19"/>
        <v>0.99148813501566269</v>
      </c>
      <c r="N74" s="55">
        <f t="shared" si="48"/>
        <v>8.3189853683457524E-3</v>
      </c>
      <c r="O74" s="56">
        <f t="shared" si="21"/>
        <v>9.8284839286836709E-7</v>
      </c>
      <c r="P74" s="56">
        <f t="shared" si="49"/>
        <v>2.3665724161641732E-5</v>
      </c>
      <c r="Q74" s="56">
        <f t="shared" si="50"/>
        <v>2.4270153989249256E-5</v>
      </c>
      <c r="R74" s="9">
        <f t="shared" si="43"/>
        <v>3.9999999999999996E-5</v>
      </c>
      <c r="S74" s="9">
        <f t="shared" si="39"/>
        <v>3.4047459937349313E-7</v>
      </c>
      <c r="T74" s="9">
        <f t="shared" si="40"/>
        <v>3.9279438354114639E-5</v>
      </c>
      <c r="U74" s="9">
        <f t="shared" si="41"/>
        <v>3.9659525400626503E-5</v>
      </c>
      <c r="V74" s="102">
        <f t="shared" si="42"/>
        <v>0.99041624823614605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185</v>
      </c>
      <c r="C75" s="46" t="s">
        <v>186</v>
      </c>
      <c r="D75" s="47">
        <v>1.2889359999999999</v>
      </c>
      <c r="E75" s="47">
        <v>1.371977</v>
      </c>
      <c r="F75" s="98">
        <v>9.9999999999999995E-7</v>
      </c>
      <c r="G75" s="140"/>
      <c r="H75" s="140"/>
      <c r="I75" s="54">
        <f t="shared" si="44"/>
        <v>4.1980440605165602E-3</v>
      </c>
      <c r="J75" s="54">
        <f t="shared" si="45"/>
        <v>1.3621902530651464</v>
      </c>
      <c r="K75" s="55">
        <f t="shared" si="46"/>
        <v>0.98181189951020975</v>
      </c>
      <c r="L75" s="55">
        <f t="shared" si="47"/>
        <v>8.1377571686087925E-3</v>
      </c>
      <c r="M75" s="55">
        <f t="shared" si="19"/>
        <v>0.99186224283139124</v>
      </c>
      <c r="N75" s="55">
        <f t="shared" si="48"/>
        <v>7.9320304712503821E-3</v>
      </c>
      <c r="O75" s="56">
        <f t="shared" si="21"/>
        <v>9.8267418065723411E-7</v>
      </c>
      <c r="P75" s="56">
        <f t="shared" si="49"/>
        <v>2.2625584029010731E-5</v>
      </c>
      <c r="Q75" s="56">
        <f t="shared" si="50"/>
        <v>2.3141235674867582E-5</v>
      </c>
      <c r="R75" s="9">
        <f t="shared" si="43"/>
        <v>3.9999999999999996E-5</v>
      </c>
      <c r="S75" s="9">
        <f t="shared" si="39"/>
        <v>3.2551028674435168E-7</v>
      </c>
      <c r="T75" s="9">
        <f t="shared" si="40"/>
        <v>3.9272475980408387E-5</v>
      </c>
      <c r="U75" s="9">
        <f t="shared" si="41"/>
        <v>3.9674489713255644E-5</v>
      </c>
      <c r="V75" s="102">
        <f t="shared" si="42"/>
        <v>0.98986719839995974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187</v>
      </c>
      <c r="C76" s="46" t="s">
        <v>188</v>
      </c>
      <c r="D76" s="47">
        <v>3.3144320000000005</v>
      </c>
      <c r="E76" s="47">
        <v>3.8699789999999998</v>
      </c>
      <c r="F76" s="98">
        <v>9.9999999999999995E-7</v>
      </c>
      <c r="G76" s="140"/>
      <c r="H76" s="140"/>
      <c r="I76" s="54">
        <f t="shared" si="44"/>
        <v>0.35626551305621779</v>
      </c>
      <c r="J76" s="54">
        <f t="shared" si="45"/>
        <v>3.8527349289281725</v>
      </c>
      <c r="K76" s="55">
        <f t="shared" si="46"/>
        <v>0.20673805585842936</v>
      </c>
      <c r="L76" s="55">
        <f t="shared" si="47"/>
        <v>0.53020221613956986</v>
      </c>
      <c r="M76" s="55">
        <f t="shared" si="19"/>
        <v>0.46979778386043014</v>
      </c>
      <c r="N76" s="55">
        <f t="shared" si="48"/>
        <v>0.52574906666108534</v>
      </c>
      <c r="O76" s="56">
        <f t="shared" si="21"/>
        <v>2.0691962457645782E-7</v>
      </c>
      <c r="P76" s="56">
        <f t="shared" si="49"/>
        <v>1.4741328040492967E-3</v>
      </c>
      <c r="Q76" s="56">
        <f t="shared" si="50"/>
        <v>1.5338421986076853E-3</v>
      </c>
      <c r="R76" s="9">
        <f t="shared" si="43"/>
        <v>3.9999999999999996E-5</v>
      </c>
      <c r="S76" s="9">
        <f t="shared" si="39"/>
        <v>2.1208088645582791E-5</v>
      </c>
      <c r="T76" s="9">
        <f t="shared" si="40"/>
        <v>8.2695222343371735E-6</v>
      </c>
      <c r="U76" s="9">
        <f t="shared" si="41"/>
        <v>1.8791911354417205E-5</v>
      </c>
      <c r="V76" s="102">
        <f t="shared" si="42"/>
        <v>0.44005753743582604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100</v>
      </c>
      <c r="C77" s="46" t="s">
        <v>101</v>
      </c>
      <c r="D77" s="47">
        <v>0.29376000000000013</v>
      </c>
      <c r="E77" s="47">
        <v>0.18140000000000034</v>
      </c>
      <c r="F77" s="98">
        <v>9.9999999999999995E-7</v>
      </c>
      <c r="G77" s="140"/>
      <c r="H77" s="140"/>
      <c r="I77" s="54">
        <f t="shared" si="44"/>
        <v>2.1004549420906745E-4</v>
      </c>
      <c r="J77" s="54">
        <f t="shared" si="45"/>
        <v>0.18244842776560238</v>
      </c>
      <c r="K77" s="55">
        <f t="shared" si="46"/>
        <v>0.99845217367312722</v>
      </c>
      <c r="L77" s="55">
        <f t="shared" si="47"/>
        <v>5.4709390491360945E-4</v>
      </c>
      <c r="M77" s="55">
        <f t="shared" si="19"/>
        <v>0.99945290609508641</v>
      </c>
      <c r="N77" s="55">
        <f t="shared" si="48"/>
        <v>5.2012334783352267E-4</v>
      </c>
      <c r="O77" s="56">
        <f t="shared" si="21"/>
        <v>9.9932906922307227E-7</v>
      </c>
      <c r="P77" s="56">
        <f t="shared" si="49"/>
        <v>1.5210971353546341E-6</v>
      </c>
      <c r="Q77" s="56">
        <f t="shared" si="50"/>
        <v>1.5174294924662975E-6</v>
      </c>
      <c r="R77" s="9">
        <f t="shared" si="43"/>
        <v>3.9999999999999996E-5</v>
      </c>
      <c r="S77" s="9">
        <f t="shared" si="39"/>
        <v>2.1883756196544375E-8</v>
      </c>
      <c r="T77" s="9">
        <f t="shared" si="40"/>
        <v>3.9938086946925086E-5</v>
      </c>
      <c r="U77" s="9">
        <f t="shared" si="41"/>
        <v>3.9978116243803451E-5</v>
      </c>
      <c r="V77" s="102">
        <f t="shared" si="42"/>
        <v>0.99899871978373733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189</v>
      </c>
      <c r="C78" s="46" t="s">
        <v>190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9.6186457475178466E-3</v>
      </c>
      <c r="J78" s="54">
        <f t="shared" si="45"/>
        <v>1.885940844009744</v>
      </c>
      <c r="K78" s="55">
        <f t="shared" si="46"/>
        <v>0.95182926145542379</v>
      </c>
      <c r="L78" s="55">
        <f t="shared" si="47"/>
        <v>2.6350331167685377E-2</v>
      </c>
      <c r="M78" s="55">
        <f t="shared" si="19"/>
        <v>0.97364966883231463</v>
      </c>
      <c r="N78" s="55">
        <f t="shared" si="48"/>
        <v>2.5932305806223473E-2</v>
      </c>
      <c r="O78" s="56">
        <f t="shared" si="21"/>
        <v>9.5266521020258033E-7</v>
      </c>
      <c r="P78" s="56">
        <f t="shared" si="49"/>
        <v>7.3262401380876931E-5</v>
      </c>
      <c r="Q78" s="56">
        <f t="shared" si="50"/>
        <v>7.5655987761221415E-5</v>
      </c>
      <c r="R78" s="9">
        <f t="shared" si="43"/>
        <v>3.9999999999999996E-5</v>
      </c>
      <c r="S78" s="9">
        <f t="shared" si="39"/>
        <v>1.054013246707415E-6</v>
      </c>
      <c r="T78" s="9">
        <f t="shared" si="40"/>
        <v>3.8073170458216952E-5</v>
      </c>
      <c r="U78" s="9">
        <f t="shared" si="41"/>
        <v>3.8945986753292581E-5</v>
      </c>
      <c r="V78" s="102">
        <f t="shared" si="42"/>
        <v>0.9775890568493083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191</v>
      </c>
      <c r="C79" s="46" t="s">
        <v>192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8.6760595853303396E-2</v>
      </c>
      <c r="J79" s="54">
        <f t="shared" si="45"/>
        <v>2.9485807923787242</v>
      </c>
      <c r="K79" s="55">
        <f t="shared" si="46"/>
        <v>0.64869742591227031</v>
      </c>
      <c r="L79" s="55">
        <f t="shared" si="47"/>
        <v>0.20744795064092231</v>
      </c>
      <c r="M79" s="55">
        <f t="shared" si="19"/>
        <v>0.79255204935907764</v>
      </c>
      <c r="N79" s="55">
        <f t="shared" si="48"/>
        <v>0.20481004693265545</v>
      </c>
      <c r="O79" s="56">
        <f t="shared" si="21"/>
        <v>6.4926714762858507E-7</v>
      </c>
      <c r="P79" s="56">
        <f t="shared" si="49"/>
        <v>5.7677206896487756E-4</v>
      </c>
      <c r="Q79" s="56">
        <f t="shared" si="50"/>
        <v>5.9752135116320848E-4</v>
      </c>
      <c r="R79" s="9">
        <f t="shared" si="43"/>
        <v>3.9999999999999996E-5</v>
      </c>
      <c r="S79" s="9">
        <f t="shared" si="39"/>
        <v>8.297918025636892E-6</v>
      </c>
      <c r="T79" s="9">
        <f t="shared" si="40"/>
        <v>2.5947897036490811E-5</v>
      </c>
      <c r="U79" s="9">
        <f t="shared" si="41"/>
        <v>3.1702081974363105E-5</v>
      </c>
      <c r="V79" s="102">
        <f t="shared" si="42"/>
        <v>0.81849189139925893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193</v>
      </c>
      <c r="C80" s="46" t="s">
        <v>194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1.9819141928346475</v>
      </c>
      <c r="J80" s="54">
        <f t="shared" si="45"/>
        <v>6.0157499789101383</v>
      </c>
      <c r="K80" s="55">
        <f t="shared" si="46"/>
        <v>2.1310508502294994E-3</v>
      </c>
      <c r="L80" s="55">
        <f t="shared" si="47"/>
        <v>0.79548129767793818</v>
      </c>
      <c r="M80" s="55">
        <f t="shared" si="19"/>
        <v>0.20451870232206182</v>
      </c>
      <c r="N80" s="55">
        <f t="shared" si="48"/>
        <v>0.7929921629627853</v>
      </c>
      <c r="O80" s="56">
        <f t="shared" si="21"/>
        <v>2.1329224561577017E-9</v>
      </c>
      <c r="P80" s="56">
        <f t="shared" si="49"/>
        <v>2.2116940295965615E-3</v>
      </c>
      <c r="Q80" s="56">
        <f t="shared" si="50"/>
        <v>2.3135083252588721E-3</v>
      </c>
      <c r="R80" s="9">
        <f t="shared" si="43"/>
        <v>3.9999999999999996E-5</v>
      </c>
      <c r="S80" s="9">
        <f t="shared" si="39"/>
        <v>3.1819251907117522E-5</v>
      </c>
      <c r="T80" s="9">
        <f t="shared" si="40"/>
        <v>8.5242034009179965E-8</v>
      </c>
      <c r="U80" s="9">
        <f t="shared" si="41"/>
        <v>8.1807480928824726E-6</v>
      </c>
      <c r="V80" s="102">
        <f t="shared" si="42"/>
        <v>1.0419833619292523E-2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195</v>
      </c>
      <c r="C81" s="46" t="s">
        <v>196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0.12726341031571042</v>
      </c>
      <c r="J81" s="54">
        <f t="shared" si="45"/>
        <v>3.3134507884219753</v>
      </c>
      <c r="K81" s="55">
        <f t="shared" si="46"/>
        <v>0.48029687307170232</v>
      </c>
      <c r="L81" s="55">
        <f t="shared" si="47"/>
        <v>0.35583341567326771</v>
      </c>
      <c r="M81" s="55">
        <f t="shared" si="19"/>
        <v>0.64416658432673235</v>
      </c>
      <c r="N81" s="55">
        <f t="shared" si="48"/>
        <v>0.35311880140501689</v>
      </c>
      <c r="O81" s="56">
        <f t="shared" si="21"/>
        <v>4.8071869617125012E-7</v>
      </c>
      <c r="P81" s="56">
        <f t="shared" si="49"/>
        <v>9.8933141894448824E-4</v>
      </c>
      <c r="Q81" s="56">
        <f t="shared" si="50"/>
        <v>1.0302034812092833E-3</v>
      </c>
      <c r="R81" s="9">
        <f t="shared" si="43"/>
        <v>3.9999999999999996E-5</v>
      </c>
      <c r="S81" s="9">
        <f t="shared" si="39"/>
        <v>1.4233336626930707E-5</v>
      </c>
      <c r="T81" s="9">
        <f t="shared" si="40"/>
        <v>1.9211874922868092E-5</v>
      </c>
      <c r="U81" s="9">
        <f t="shared" si="41"/>
        <v>2.5766663373069293E-5</v>
      </c>
      <c r="V81" s="102">
        <f t="shared" si="42"/>
        <v>0.74560973008821507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197</v>
      </c>
      <c r="C82" s="46" t="s">
        <v>198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0.47104615060046062</v>
      </c>
      <c r="J82" s="54">
        <f t="shared" si="45"/>
        <v>4.2041181793483684</v>
      </c>
      <c r="K82" s="55">
        <f t="shared" si="46"/>
        <v>0.11468390101389389</v>
      </c>
      <c r="L82" s="55">
        <f t="shared" si="47"/>
        <v>0.66055170576700961</v>
      </c>
      <c r="M82" s="55">
        <f t="shared" si="19"/>
        <v>0.33944829423299039</v>
      </c>
      <c r="N82" s="55">
        <f t="shared" si="48"/>
        <v>0.65724840324823919</v>
      </c>
      <c r="O82" s="56">
        <f t="shared" si="21"/>
        <v>1.147846227160456E-7</v>
      </c>
      <c r="P82" s="56">
        <f t="shared" si="49"/>
        <v>1.8365463376062939E-3</v>
      </c>
      <c r="Q82" s="56">
        <f t="shared" si="50"/>
        <v>1.9174838336318591E-3</v>
      </c>
      <c r="R82" s="9">
        <f t="shared" si="43"/>
        <v>3.9999999999999996E-5</v>
      </c>
      <c r="S82" s="9">
        <f t="shared" si="39"/>
        <v>2.6422068230680382E-5</v>
      </c>
      <c r="T82" s="9">
        <f t="shared" si="40"/>
        <v>4.5873560405557554E-6</v>
      </c>
      <c r="U82" s="9">
        <f t="shared" si="41"/>
        <v>1.3577931769319615E-5</v>
      </c>
      <c r="V82" s="102">
        <f t="shared" si="42"/>
        <v>0.33785381444626494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199</v>
      </c>
      <c r="C83" s="46" t="s">
        <v>200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0.17835694544431219</v>
      </c>
      <c r="J83" s="54">
        <f t="shared" si="45"/>
        <v>3.5134526251640912</v>
      </c>
      <c r="K83" s="55">
        <f t="shared" si="46"/>
        <v>0.37274232555937348</v>
      </c>
      <c r="L83" s="55">
        <f t="shared" si="47"/>
        <v>0.43767074420501834</v>
      </c>
      <c r="M83" s="55">
        <f t="shared" si="19"/>
        <v>0.56232925579498172</v>
      </c>
      <c r="N83" s="55">
        <f t="shared" si="48"/>
        <v>0.43459406683149288</v>
      </c>
      <c r="O83" s="56">
        <f t="shared" si="21"/>
        <v>3.730696883466733E-7</v>
      </c>
      <c r="P83" s="56">
        <f t="shared" si="49"/>
        <v>1.2168655312361962E-3</v>
      </c>
      <c r="Q83" s="56">
        <f t="shared" si="50"/>
        <v>1.2679028099927816E-3</v>
      </c>
      <c r="R83" s="9">
        <f t="shared" si="43"/>
        <v>3.9999999999999996E-5</v>
      </c>
      <c r="S83" s="9">
        <f t="shared" si="39"/>
        <v>1.7506829768200732E-5</v>
      </c>
      <c r="T83" s="9">
        <f t="shared" si="40"/>
        <v>1.4909693022374937E-5</v>
      </c>
      <c r="U83" s="9">
        <f t="shared" si="41"/>
        <v>2.2493170231799268E-5</v>
      </c>
      <c r="V83" s="102">
        <f t="shared" si="42"/>
        <v>0.66285422947169359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102</v>
      </c>
      <c r="C84" s="46" t="s">
        <v>103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5.9812805986470914E-3</v>
      </c>
      <c r="J84" s="54">
        <f t="shared" si="45"/>
        <v>1.6261045420364111</v>
      </c>
      <c r="K84" s="55">
        <f t="shared" si="46"/>
        <v>0.97123936738736616</v>
      </c>
      <c r="L84" s="55">
        <f t="shared" si="47"/>
        <v>1.4781448727619009E-2</v>
      </c>
      <c r="M84" s="55">
        <f t="shared" si="19"/>
        <v>0.985218551272381</v>
      </c>
      <c r="N84" s="55">
        <f t="shared" si="48"/>
        <v>1.450622334817268E-2</v>
      </c>
      <c r="O84" s="56">
        <f t="shared" si="21"/>
        <v>9.7209236315586668E-7</v>
      </c>
      <c r="P84" s="56">
        <f t="shared" si="49"/>
        <v>4.1097184805089508E-5</v>
      </c>
      <c r="Q84" s="56">
        <f t="shared" si="50"/>
        <v>4.2321059465044281E-5</v>
      </c>
      <c r="R84" s="9">
        <f t="shared" si="43"/>
        <v>3.9999999999999996E-5</v>
      </c>
      <c r="S84" s="9">
        <f t="shared" si="39"/>
        <v>5.9125794910476028E-7</v>
      </c>
      <c r="T84" s="9">
        <f t="shared" si="40"/>
        <v>3.8849574695494644E-5</v>
      </c>
      <c r="U84" s="9">
        <f t="shared" si="41"/>
        <v>3.9408742050895238E-5</v>
      </c>
      <c r="V84" s="102">
        <f t="shared" si="42"/>
        <v>0.98581108337133816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201</v>
      </c>
      <c r="C85" s="46" t="s">
        <v>202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0.11910186422699467</v>
      </c>
      <c r="J85" s="54">
        <f t="shared" si="45"/>
        <v>3.3071272258548747</v>
      </c>
      <c r="K85" s="55">
        <f t="shared" si="46"/>
        <v>0.48867080956385289</v>
      </c>
      <c r="L85" s="55">
        <f t="shared" si="47"/>
        <v>0.35680407455327506</v>
      </c>
      <c r="M85" s="55">
        <f t="shared" si="19"/>
        <v>0.64319592544672499</v>
      </c>
      <c r="N85" s="55">
        <f t="shared" si="48"/>
        <v>0.35429537248872828</v>
      </c>
      <c r="O85" s="56">
        <f t="shared" si="21"/>
        <v>4.890999871144592E-7</v>
      </c>
      <c r="P85" s="56">
        <f t="shared" si="49"/>
        <v>9.9203016303307215E-4</v>
      </c>
      <c r="Q85" s="56">
        <f t="shared" si="50"/>
        <v>1.0336360586350867E-3</v>
      </c>
      <c r="R85" s="9">
        <f t="shared" si="43"/>
        <v>3.9999999999999996E-5</v>
      </c>
      <c r="S85" s="9">
        <f t="shared" si="39"/>
        <v>1.4272162982131001E-5</v>
      </c>
      <c r="T85" s="9">
        <f t="shared" si="40"/>
        <v>1.9546832382554114E-5</v>
      </c>
      <c r="U85" s="9">
        <f t="shared" si="41"/>
        <v>2.5727837017868996E-5</v>
      </c>
      <c r="V85" s="102">
        <f t="shared" si="42"/>
        <v>0.75975420588128217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104</v>
      </c>
      <c r="C86" s="46" t="s">
        <v>105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3.4503381608646556E-2</v>
      </c>
      <c r="J86" s="54">
        <f t="shared" si="45"/>
        <v>2.5944953006708373</v>
      </c>
      <c r="K86" s="55">
        <f t="shared" si="46"/>
        <v>0.81648820992198856</v>
      </c>
      <c r="L86" s="55">
        <f t="shared" si="47"/>
        <v>0.1155397438601567</v>
      </c>
      <c r="M86" s="55">
        <f t="shared" si="19"/>
        <v>0.88446025613984336</v>
      </c>
      <c r="N86" s="55">
        <f t="shared" si="48"/>
        <v>0.11433231584625055</v>
      </c>
      <c r="O86" s="56">
        <f t="shared" si="21"/>
        <v>8.1720529472258467E-7</v>
      </c>
      <c r="P86" s="56">
        <f t="shared" si="49"/>
        <v>3.2123767387436792E-4</v>
      </c>
      <c r="Q86" s="56">
        <f t="shared" si="50"/>
        <v>3.3355785455453581E-4</v>
      </c>
      <c r="R86" s="9">
        <f t="shared" si="43"/>
        <v>3.9999999999999996E-5</v>
      </c>
      <c r="S86" s="9">
        <f t="shared" si="39"/>
        <v>4.6215897544062673E-6</v>
      </c>
      <c r="T86" s="9">
        <f t="shared" si="40"/>
        <v>3.2659528396879542E-5</v>
      </c>
      <c r="U86" s="9">
        <f t="shared" si="41"/>
        <v>3.5378410245593734E-5</v>
      </c>
      <c r="V86" s="102">
        <f t="shared" si="42"/>
        <v>0.92314855783965533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203</v>
      </c>
      <c r="C87" s="46" t="s">
        <v>204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205</v>
      </c>
      <c r="C88" s="46" t="s">
        <v>206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1.1640116161103842</v>
      </c>
      <c r="J88" s="54">
        <f t="shared" si="45"/>
        <v>5.2258583214073822</v>
      </c>
      <c r="K88" s="55">
        <f t="shared" si="46"/>
        <v>1.3306662174718658E-2</v>
      </c>
      <c r="L88" s="55">
        <f t="shared" si="47"/>
        <v>0.80577471373090193</v>
      </c>
      <c r="M88" s="55">
        <f t="shared" si="19"/>
        <v>0.19422528626909807</v>
      </c>
      <c r="N88" s="55">
        <f t="shared" si="48"/>
        <v>0.80377818268765</v>
      </c>
      <c r="O88" s="56">
        <f t="shared" si="21"/>
        <v>1.3318348816456046E-8</v>
      </c>
      <c r="P88" s="56">
        <f t="shared" si="49"/>
        <v>2.2403130391131254E-3</v>
      </c>
      <c r="Q88" s="56">
        <f t="shared" si="50"/>
        <v>2.3449759079101924E-3</v>
      </c>
      <c r="R88" s="9">
        <f>F88*$C$14</f>
        <v>3.9999999999999996E-5</v>
      </c>
      <c r="S88" s="9">
        <f t="shared" si="39"/>
        <v>3.2230988549236076E-5</v>
      </c>
      <c r="T88" s="9">
        <f t="shared" si="40"/>
        <v>5.3226648698874627E-7</v>
      </c>
      <c r="U88" s="9">
        <f t="shared" si="41"/>
        <v>7.7690114507639224E-6</v>
      </c>
      <c r="V88" s="102">
        <f t="shared" si="42"/>
        <v>6.8511481848364225E-2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207</v>
      </c>
      <c r="C89" s="46" t="s">
        <v>208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2.5219720041185631</v>
      </c>
      <c r="J89" s="54">
        <f t="shared" si="45"/>
        <v>6.7130505038246406</v>
      </c>
      <c r="K89" s="55">
        <f t="shared" si="46"/>
        <v>4.5619277137297815E-4</v>
      </c>
      <c r="L89" s="55">
        <f t="shared" si="47"/>
        <v>0.84817425309560712</v>
      </c>
      <c r="M89" s="55">
        <f t="shared" si="19"/>
        <v>0.15182574690439288</v>
      </c>
      <c r="N89" s="55">
        <f t="shared" si="48"/>
        <v>0.84692408156147514</v>
      </c>
      <c r="O89" s="56">
        <f t="shared" si="21"/>
        <v>4.5659342492622989E-10</v>
      </c>
      <c r="P89" s="56">
        <f t="shared" si="49"/>
        <v>2.3581974046466684E-3</v>
      </c>
      <c r="Q89" s="56">
        <f t="shared" si="50"/>
        <v>2.4708515481844029E-3</v>
      </c>
      <c r="R89" s="9">
        <f>F89*$C$14</f>
        <v>3.9999999999999996E-5</v>
      </c>
      <c r="S89" s="9">
        <f t="shared" si="39"/>
        <v>3.3926970123824284E-5</v>
      </c>
      <c r="T89" s="9">
        <f t="shared" si="40"/>
        <v>1.8247710854919124E-8</v>
      </c>
      <c r="U89" s="9">
        <f t="shared" si="41"/>
        <v>6.073029876175715E-6</v>
      </c>
      <c r="V89" s="102">
        <f t="shared" si="42"/>
        <v>3.0047128413618154E-3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209</v>
      </c>
      <c r="C90" s="46" t="s">
        <v>210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2.8671793282646911</v>
      </c>
      <c r="J90" s="54">
        <f t="shared" si="45"/>
        <v>7.099350372052486</v>
      </c>
      <c r="K90" s="55">
        <f t="shared" si="46"/>
        <v>1.9003891618421846E-4</v>
      </c>
      <c r="L90" s="55">
        <f t="shared" si="47"/>
        <v>0.85996167871212403</v>
      </c>
      <c r="M90" s="55">
        <f t="shared" si="19"/>
        <v>0.14003832128787597</v>
      </c>
      <c r="N90" s="55">
        <f t="shared" si="48"/>
        <v>0.85899102733370758</v>
      </c>
      <c r="O90" s="56">
        <f t="shared" si="21"/>
        <v>1.9020581880040011E-10</v>
      </c>
      <c r="P90" s="56">
        <f t="shared" si="49"/>
        <v>2.3909702415901186E-3</v>
      </c>
      <c r="Q90" s="56">
        <f t="shared" si="50"/>
        <v>2.5060561577737381E-3</v>
      </c>
      <c r="R90" s="9">
        <f>F90*$C$14</f>
        <v>3.9999999999999996E-5</v>
      </c>
      <c r="S90" s="9">
        <f t="shared" si="39"/>
        <v>3.4398467148484959E-5</v>
      </c>
      <c r="T90" s="9">
        <f t="shared" si="40"/>
        <v>7.6015566473687378E-9</v>
      </c>
      <c r="U90" s="9">
        <f t="shared" si="41"/>
        <v>5.6015328515150379E-6</v>
      </c>
      <c r="V90" s="102">
        <f t="shared" si="42"/>
        <v>1.3570493736036477E-3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106</v>
      </c>
      <c r="C91" s="46" t="s">
        <v>107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3.2678433041260839</v>
      </c>
      <c r="J91" s="54">
        <f t="shared" si="45"/>
        <v>7.534683341589246</v>
      </c>
      <c r="K91" s="55">
        <f t="shared" si="46"/>
        <v>7.0501942778472771E-5</v>
      </c>
      <c r="L91" s="55">
        <f t="shared" si="47"/>
        <v>0.86930185860650677</v>
      </c>
      <c r="M91" s="55">
        <f t="shared" si="19"/>
        <v>0.13069814139349323</v>
      </c>
      <c r="N91" s="55">
        <f t="shared" si="48"/>
        <v>0.86855468498669897</v>
      </c>
      <c r="O91" s="56">
        <f t="shared" si="21"/>
        <v>7.0563861457719551E-11</v>
      </c>
      <c r="P91" s="56">
        <f t="shared" si="49"/>
        <v>2.4169389477910878E-3</v>
      </c>
      <c r="Q91" s="56">
        <f t="shared" si="50"/>
        <v>2.5339575704654543E-3</v>
      </c>
      <c r="R91" s="9">
        <f t="shared" ref="R91:R92" si="51">F91*$C$14</f>
        <v>3.9999999999999996E-5</v>
      </c>
      <c r="S91" s="9">
        <f t="shared" si="39"/>
        <v>3.4772074344260266E-5</v>
      </c>
      <c r="T91" s="9">
        <f t="shared" si="40"/>
        <v>2.8200777111389106E-9</v>
      </c>
      <c r="U91" s="9">
        <f t="shared" si="41"/>
        <v>5.2279256557397291E-6</v>
      </c>
      <c r="V91" s="102">
        <f t="shared" si="42"/>
        <v>5.3942574872746193E-4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108</v>
      </c>
      <c r="C92" s="46" t="s">
        <v>109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4.4880081925943038</v>
      </c>
      <c r="J92" s="54">
        <f t="shared" si="45"/>
        <v>8.8054385095234817</v>
      </c>
      <c r="K92" s="55">
        <f t="shared" si="46"/>
        <v>3.8347112773512477E-6</v>
      </c>
      <c r="L92" s="55">
        <f t="shared" si="47"/>
        <v>0.88197720751151787</v>
      </c>
      <c r="M92" s="55">
        <f t="shared" si="19"/>
        <v>0.11802279248848213</v>
      </c>
      <c r="N92" s="55">
        <f t="shared" si="48"/>
        <v>0.88153539208590437</v>
      </c>
      <c r="O92" s="56">
        <f t="shared" si="21"/>
        <v>3.838079131458934E-12</v>
      </c>
      <c r="P92" s="56">
        <f t="shared" si="49"/>
        <v>2.4521804972506413E-3</v>
      </c>
      <c r="Q92" s="56">
        <f t="shared" si="50"/>
        <v>2.5718280253632128E-3</v>
      </c>
      <c r="R92" s="9">
        <f t="shared" si="51"/>
        <v>3.9999999999999996E-5</v>
      </c>
      <c r="S92" s="9">
        <f t="shared" si="39"/>
        <v>3.5279088300460712E-5</v>
      </c>
      <c r="T92" s="9">
        <f t="shared" si="40"/>
        <v>1.5338845109404988E-10</v>
      </c>
      <c r="U92" s="9">
        <f t="shared" si="41"/>
        <v>4.7209116995392849E-6</v>
      </c>
      <c r="V92" s="102">
        <f t="shared" si="42"/>
        <v>3.2491277290574851E-5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211</v>
      </c>
      <c r="C93" s="46" t="s">
        <v>212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3.2311126461878961E-2</v>
      </c>
      <c r="J93" s="54">
        <f t="shared" si="45"/>
        <v>2.239993400384916</v>
      </c>
      <c r="K93" s="55">
        <f t="shared" si="46"/>
        <v>0.87692183618683983</v>
      </c>
      <c r="L93" s="55">
        <f t="shared" si="47"/>
        <v>5.4858062731634925E-2</v>
      </c>
      <c r="M93" s="55">
        <f t="shared" ref="M93:M127" si="52">IF(D93=0,"",1-L93)</f>
        <v>0.94514193726836504</v>
      </c>
      <c r="N93" s="55">
        <f t="shared" si="48"/>
        <v>5.3498298182042235E-2</v>
      </c>
      <c r="O93" s="56">
        <f t="shared" ref="O93:O127" si="53">IF(D93=0,"",F93*K93*$J$7/$J$14)</f>
        <v>8.7769199711800689E-7</v>
      </c>
      <c r="P93" s="56">
        <f t="shared" si="49"/>
        <v>1.5252307021291207E-4</v>
      </c>
      <c r="Q93" s="56">
        <f t="shared" si="50"/>
        <v>1.5607816068308948E-4</v>
      </c>
      <c r="R93" s="9">
        <f>F93*$C$14</f>
        <v>3.9999999999999996E-5</v>
      </c>
      <c r="S93" s="9">
        <f t="shared" si="39"/>
        <v>2.1943225092653967E-6</v>
      </c>
      <c r="T93" s="9">
        <f t="shared" si="40"/>
        <v>3.507687344747359E-5</v>
      </c>
      <c r="U93" s="9">
        <f t="shared" si="41"/>
        <v>3.7805677490734596E-5</v>
      </c>
      <c r="V93" s="102">
        <f t="shared" si="42"/>
        <v>0.92782025810991531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213</v>
      </c>
      <c r="C94" s="46" t="s">
        <v>214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215</v>
      </c>
      <c r="C95" s="46" t="s">
        <v>216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217</v>
      </c>
      <c r="C96" s="46" t="s">
        <v>218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219</v>
      </c>
      <c r="C97" s="46" t="s">
        <v>220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221</v>
      </c>
      <c r="C98" s="46" t="s">
        <v>222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223</v>
      </c>
      <c r="C99" s="46" t="s">
        <v>224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225</v>
      </c>
      <c r="C100" s="46" t="s">
        <v>226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227</v>
      </c>
      <c r="C101" s="46" t="s">
        <v>228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229</v>
      </c>
      <c r="C102" s="46" t="s">
        <v>230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231</v>
      </c>
      <c r="C103" s="46" t="s">
        <v>232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233</v>
      </c>
      <c r="C104" s="46" t="s">
        <v>234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235</v>
      </c>
      <c r="C105" s="46" t="s">
        <v>236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237</v>
      </c>
      <c r="C106" s="46" t="s">
        <v>238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239</v>
      </c>
      <c r="C107" s="46" t="s">
        <v>240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1.9446765022663539E-3</v>
      </c>
      <c r="J107" s="54">
        <f t="shared" si="45"/>
        <v>1.0580076914030012</v>
      </c>
      <c r="K107" s="55">
        <f t="shared" si="46"/>
        <v>0.99095977325035411</v>
      </c>
      <c r="L107" s="55">
        <f t="shared" si="47"/>
        <v>4.0770862451535283E-3</v>
      </c>
      <c r="M107" s="55">
        <f t="shared" si="52"/>
        <v>0.99592291375484643</v>
      </c>
      <c r="N107" s="55">
        <f t="shared" si="48"/>
        <v>3.9723463495840152E-3</v>
      </c>
      <c r="O107" s="56">
        <f t="shared" si="53"/>
        <v>9.9183008856264509E-7</v>
      </c>
      <c r="P107" s="56">
        <f t="shared" si="49"/>
        <v>1.1335611953264411E-5</v>
      </c>
      <c r="Q107" s="56">
        <f t="shared" si="50"/>
        <v>1.1589088492676052E-5</v>
      </c>
      <c r="R107" s="9">
        <f>F107*$C$14</f>
        <v>3.9999999999999996E-5</v>
      </c>
      <c r="S107" s="9">
        <f t="shared" ref="S107:S108" si="54">$R107*L107</f>
        <v>1.6308344980614113E-7</v>
      </c>
      <c r="T107" s="9">
        <f t="shared" ref="T107:T108" si="55">R107*K107</f>
        <v>3.9638390930014159E-5</v>
      </c>
      <c r="U107" s="9">
        <f t="shared" ref="U107:U108" si="56">$R107*M107</f>
        <v>3.9836916550193851E-5</v>
      </c>
      <c r="V107" s="102">
        <f t="shared" ref="V107:V108" si="57">K107/M107</f>
        <v>0.99501654150542618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241</v>
      </c>
      <c r="C108" s="46" t="s">
        <v>242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1.5422749478710035E-2</v>
      </c>
      <c r="J108" s="54">
        <f t="shared" si="45"/>
        <v>2.0658109944425873</v>
      </c>
      <c r="K108" s="55">
        <f t="shared" si="46"/>
        <v>0.92714837600910127</v>
      </c>
      <c r="L108" s="55">
        <f t="shared" si="47"/>
        <v>3.8837066458061384E-2</v>
      </c>
      <c r="M108" s="55">
        <f t="shared" si="52"/>
        <v>0.9611629335419386</v>
      </c>
      <c r="N108" s="55">
        <f t="shared" si="48"/>
        <v>3.8183639790580898E-2</v>
      </c>
      <c r="O108" s="56">
        <f t="shared" si="53"/>
        <v>9.279626486467883E-7</v>
      </c>
      <c r="P108" s="56">
        <f t="shared" si="49"/>
        <v>1.0797954428730683E-4</v>
      </c>
      <c r="Q108" s="56">
        <f t="shared" si="50"/>
        <v>1.1139853919128894E-4</v>
      </c>
      <c r="R108" s="9">
        <f>F108*$C$14</f>
        <v>3.9999999999999996E-5</v>
      </c>
      <c r="S108" s="9">
        <f t="shared" si="54"/>
        <v>1.5534826583224553E-6</v>
      </c>
      <c r="T108" s="9">
        <f t="shared" si="55"/>
        <v>3.7085935040364046E-5</v>
      </c>
      <c r="U108" s="9">
        <f t="shared" si="56"/>
        <v>3.8446517341677538E-5</v>
      </c>
      <c r="V108" s="102">
        <f t="shared" si="57"/>
        <v>0.96461103903841594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243</v>
      </c>
      <c r="C109" s="46" t="s">
        <v>244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245</v>
      </c>
      <c r="C110" s="46" t="s">
        <v>246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247</v>
      </c>
      <c r="C111" s="46" t="s">
        <v>248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249</v>
      </c>
      <c r="C112" s="46" t="s">
        <v>250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251</v>
      </c>
      <c r="C113" s="46" t="s">
        <v>252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253</v>
      </c>
      <c r="C114" s="46" t="s">
        <v>254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1.0353959656071578E-2</v>
      </c>
      <c r="J114" s="54">
        <f t="shared" si="45"/>
        <v>1.9552901171232637</v>
      </c>
      <c r="K114" s="55">
        <f t="shared" si="46"/>
        <v>0.94595285040533306</v>
      </c>
      <c r="L114" s="55">
        <f t="shared" si="47"/>
        <v>3.0721738569204935E-2</v>
      </c>
      <c r="M114" s="55">
        <f t="shared" si="52"/>
        <v>0.9692782614307951</v>
      </c>
      <c r="N114" s="55">
        <f t="shared" si="48"/>
        <v>3.0281513139113571E-2</v>
      </c>
      <c r="O114" s="56">
        <f t="shared" si="53"/>
        <v>9.4678363816547839E-7</v>
      </c>
      <c r="P114" s="56">
        <f t="shared" si="49"/>
        <v>8.5416320874769677E-5</v>
      </c>
      <c r="Q114" s="56">
        <f t="shared" si="50"/>
        <v>8.8344546164276368E-5</v>
      </c>
      <c r="R114" s="9">
        <f>F114*$C$14</f>
        <v>3.9999999999999996E-5</v>
      </c>
      <c r="S114" s="9">
        <f t="shared" ref="S114:S116" si="58">$R114*L114</f>
        <v>1.2288695427681973E-6</v>
      </c>
      <c r="T114" s="9">
        <f t="shared" ref="T114:T116" si="59">R114*K114</f>
        <v>3.783811401621332E-5</v>
      </c>
      <c r="U114" s="9">
        <f t="shared" ref="U114:U116" si="60">$R114*M114</f>
        <v>3.8771130457231801E-5</v>
      </c>
      <c r="V114" s="102">
        <f t="shared" ref="V114:V116" si="61">K114/M114</f>
        <v>0.97593527890429488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255</v>
      </c>
      <c r="C115" s="46" t="s">
        <v>256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2.0480395290290027E-2</v>
      </c>
      <c r="J115" s="54">
        <f t="shared" si="45"/>
        <v>1.7297361884216989</v>
      </c>
      <c r="K115" s="55">
        <f t="shared" si="46"/>
        <v>0.93619683398095421</v>
      </c>
      <c r="L115" s="55">
        <f t="shared" si="47"/>
        <v>1.8087957893732805E-2</v>
      </c>
      <c r="M115" s="55">
        <f t="shared" si="52"/>
        <v>0.98191204210626715</v>
      </c>
      <c r="N115" s="55">
        <f t="shared" si="48"/>
        <v>1.7129403928181245E-2</v>
      </c>
      <c r="O115" s="56">
        <f t="shared" si="53"/>
        <v>9.3701905347151864E-7</v>
      </c>
      <c r="P115" s="56">
        <f t="shared" si="49"/>
        <v>5.0290344471881508E-5</v>
      </c>
      <c r="Q115" s="56">
        <f t="shared" si="50"/>
        <v>4.9974035615316793E-5</v>
      </c>
      <c r="R115" s="9">
        <f>F115*$C$14</f>
        <v>3.9999999999999996E-5</v>
      </c>
      <c r="S115" s="9">
        <f t="shared" si="58"/>
        <v>7.2351831574931212E-7</v>
      </c>
      <c r="T115" s="9">
        <f t="shared" si="59"/>
        <v>3.7447873359238163E-5</v>
      </c>
      <c r="U115" s="9">
        <f t="shared" si="60"/>
        <v>3.9276481684250681E-5</v>
      </c>
      <c r="V115" s="102">
        <f t="shared" si="61"/>
        <v>0.95344266475513351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257</v>
      </c>
      <c r="C116" s="46" t="s">
        <v>258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5.8413729360461944E-4</v>
      </c>
      <c r="J116" s="54">
        <f t="shared" si="45"/>
        <v>0.15519220542192749</v>
      </c>
      <c r="K116" s="55">
        <f t="shared" si="46"/>
        <v>0.99762614162192331</v>
      </c>
      <c r="L116" s="55">
        <f t="shared" si="47"/>
        <v>5.1338858498299275E-4</v>
      </c>
      <c r="M116" s="55">
        <f t="shared" si="52"/>
        <v>0.99948661141501705</v>
      </c>
      <c r="N116" s="55">
        <f t="shared" si="48"/>
        <v>4.6760796840722337E-4</v>
      </c>
      <c r="O116" s="56">
        <f t="shared" si="53"/>
        <v>9.9850231170514187E-7</v>
      </c>
      <c r="P116" s="56">
        <f t="shared" si="49"/>
        <v>1.427385498042995E-6</v>
      </c>
      <c r="Q116" s="56">
        <f t="shared" si="50"/>
        <v>1.3642189398513234E-6</v>
      </c>
      <c r="R116" s="9">
        <f>F116*$C$14</f>
        <v>3.9999999999999996E-5</v>
      </c>
      <c r="S116" s="9">
        <f t="shared" si="58"/>
        <v>2.053554339931971E-8</v>
      </c>
      <c r="T116" s="9">
        <f t="shared" si="59"/>
        <v>3.9905045664876928E-5</v>
      </c>
      <c r="U116" s="9">
        <f t="shared" si="60"/>
        <v>3.997946445660068E-5</v>
      </c>
      <c r="V116" s="102">
        <f t="shared" si="61"/>
        <v>0.9981385745723399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259</v>
      </c>
      <c r="C117" s="46" t="s">
        <v>260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261</v>
      </c>
      <c r="C118" s="46" t="s">
        <v>262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263</v>
      </c>
      <c r="C119" s="46" t="s">
        <v>264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0.56658503951123784</v>
      </c>
      <c r="J119" s="54">
        <f t="shared" si="45"/>
        <v>4.2948093083985448</v>
      </c>
      <c r="K119" s="55">
        <f t="shared" si="46"/>
        <v>9.2717068220756607E-2</v>
      </c>
      <c r="L119" s="55">
        <f t="shared" si="47"/>
        <v>0.65804437440408392</v>
      </c>
      <c r="M119" s="55">
        <f t="shared" si="52"/>
        <v>0.34195562559591608</v>
      </c>
      <c r="N119" s="55">
        <f t="shared" si="48"/>
        <v>0.65420185757551863</v>
      </c>
      <c r="O119" s="56">
        <f t="shared" si="53"/>
        <v>9.2798497443578209E-8</v>
      </c>
      <c r="P119" s="56">
        <f t="shared" si="49"/>
        <v>1.8295751494441207E-3</v>
      </c>
      <c r="Q119" s="56">
        <f t="shared" si="50"/>
        <v>1.9085957145478234E-3</v>
      </c>
      <c r="R119" s="9">
        <f>F119*$C$14</f>
        <v>3.9999999999999996E-5</v>
      </c>
      <c r="S119" s="9">
        <f t="shared" ref="S119:S121" si="62">$R119*L119</f>
        <v>2.6321774976163355E-5</v>
      </c>
      <c r="T119" s="9">
        <f t="shared" ref="T119:T121" si="63">R119*K119</f>
        <v>3.708682728830264E-6</v>
      </c>
      <c r="U119" s="9">
        <f t="shared" ref="U119:U121" si="64">$R119*M119</f>
        <v>1.3678225023836643E-5</v>
      </c>
      <c r="V119" s="102">
        <f t="shared" ref="V119:V121" si="65">K119/M119</f>
        <v>0.27113771870014208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265</v>
      </c>
      <c r="C120" s="46" t="s">
        <v>266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2.3514137427377815E-2</v>
      </c>
      <c r="J120" s="54">
        <f t="shared" si="45"/>
        <v>2.2035514919584065</v>
      </c>
      <c r="K120" s="55">
        <f t="shared" si="46"/>
        <v>0.89790347366086809</v>
      </c>
      <c r="L120" s="55">
        <f t="shared" si="47"/>
        <v>5.1649643171649655E-2</v>
      </c>
      <c r="M120" s="55">
        <f t="shared" si="52"/>
        <v>0.94835035682835034</v>
      </c>
      <c r="N120" s="55">
        <f t="shared" si="48"/>
        <v>5.0669280124340167E-2</v>
      </c>
      <c r="O120" s="56">
        <f t="shared" si="53"/>
        <v>8.9869206181871332E-7</v>
      </c>
      <c r="P120" s="56">
        <f t="shared" si="49"/>
        <v>1.4360263122085277E-4</v>
      </c>
      <c r="Q120" s="56">
        <f t="shared" si="50"/>
        <v>1.4782466571241023E-4</v>
      </c>
      <c r="R120" s="9">
        <f>F120*$C$14</f>
        <v>3.9999999999999996E-5</v>
      </c>
      <c r="S120" s="9">
        <f t="shared" si="62"/>
        <v>2.065985726865986E-6</v>
      </c>
      <c r="T120" s="9">
        <f t="shared" si="63"/>
        <v>3.5916138946434721E-5</v>
      </c>
      <c r="U120" s="9">
        <f t="shared" si="64"/>
        <v>3.7934014273134012E-5</v>
      </c>
      <c r="V120" s="102">
        <f t="shared" si="65"/>
        <v>0.94680564750753493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267</v>
      </c>
      <c r="C121" s="46" t="s">
        <v>268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1.0322461970770105</v>
      </c>
      <c r="J121" s="54">
        <f t="shared" si="45"/>
        <v>4.6885883202793597</v>
      </c>
      <c r="K121" s="55">
        <f t="shared" si="46"/>
        <v>3.5272752248462311E-2</v>
      </c>
      <c r="L121" s="55">
        <f t="shared" si="47"/>
        <v>0.61988888616885329</v>
      </c>
      <c r="M121" s="55">
        <f t="shared" si="52"/>
        <v>0.38011111383114671</v>
      </c>
      <c r="N121" s="55">
        <f t="shared" si="48"/>
        <v>0.61387144263466908</v>
      </c>
      <c r="O121" s="56">
        <f t="shared" si="53"/>
        <v>3.5303730717232827E-8</v>
      </c>
      <c r="P121" s="56">
        <f t="shared" si="49"/>
        <v>1.7234906119791464E-3</v>
      </c>
      <c r="Q121" s="56">
        <f t="shared" si="50"/>
        <v>1.7909340842257857E-3</v>
      </c>
      <c r="R121" s="9">
        <f>F121*$C$14</f>
        <v>3.9999999999999996E-5</v>
      </c>
      <c r="S121" s="9">
        <f t="shared" si="62"/>
        <v>2.4795555446754128E-5</v>
      </c>
      <c r="T121" s="9">
        <f t="shared" si="63"/>
        <v>1.4109100899384924E-6</v>
      </c>
      <c r="U121" s="9">
        <f t="shared" si="64"/>
        <v>1.5204444553245866E-5</v>
      </c>
      <c r="V121" s="102">
        <f t="shared" si="65"/>
        <v>9.2795898264977333E-2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269</v>
      </c>
      <c r="C122" s="46" t="s">
        <v>270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271</v>
      </c>
      <c r="C123" s="46" t="s">
        <v>272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273</v>
      </c>
      <c r="C124" s="46" t="s">
        <v>274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0.13981203375224771</v>
      </c>
      <c r="J124" s="54">
        <f t="shared" si="67"/>
        <v>3.4342194910128088</v>
      </c>
      <c r="K124" s="55">
        <f t="shared" si="68"/>
        <v>0.42393039845330871</v>
      </c>
      <c r="L124" s="55">
        <f t="shared" si="69"/>
        <v>0.41476321494662022</v>
      </c>
      <c r="M124" s="55">
        <f t="shared" si="52"/>
        <v>0.58523678505337973</v>
      </c>
      <c r="N124" s="55">
        <f t="shared" si="70"/>
        <v>0.41224713089805742</v>
      </c>
      <c r="O124" s="56">
        <f t="shared" si="53"/>
        <v>4.243027174182949E-7</v>
      </c>
      <c r="P124" s="56">
        <f t="shared" si="71"/>
        <v>1.1531752272133354E-3</v>
      </c>
      <c r="Q124" s="56">
        <f t="shared" si="72"/>
        <v>1.2027069294523382E-3</v>
      </c>
      <c r="R124" s="9">
        <f>F124*$C$14</f>
        <v>3.9999999999999996E-5</v>
      </c>
      <c r="S124" s="9">
        <f t="shared" ref="S124:S127" si="73">$R124*L124</f>
        <v>1.6590528597864809E-5</v>
      </c>
      <c r="T124" s="9">
        <f t="shared" ref="T124:T127" si="74">R124*K124</f>
        <v>1.6957215938132346E-5</v>
      </c>
      <c r="U124" s="9">
        <f t="shared" ref="U124:U127" si="75">$R124*M124</f>
        <v>2.3409471402135188E-5</v>
      </c>
      <c r="V124" s="102">
        <f t="shared" ref="V124:V127" si="76">K124/M124</f>
        <v>0.72437414954126955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275</v>
      </c>
      <c r="C125" s="46" t="s">
        <v>276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277</v>
      </c>
      <c r="C126" s="46" t="s">
        <v>278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4.9312922410980113E-2</v>
      </c>
      <c r="J126" s="54">
        <f t="shared" si="67"/>
        <v>2.6237206895598435</v>
      </c>
      <c r="K126" s="55">
        <f t="shared" si="68"/>
        <v>0.78604989677934789</v>
      </c>
      <c r="L126" s="55">
        <f t="shared" si="69"/>
        <v>0.11897534872049187</v>
      </c>
      <c r="M126" s="55">
        <f t="shared" si="52"/>
        <v>0.88102465127950813</v>
      </c>
      <c r="N126" s="55">
        <f t="shared" si="70"/>
        <v>0.11718801486476889</v>
      </c>
      <c r="O126" s="56">
        <f t="shared" si="53"/>
        <v>7.8674024898118117E-7</v>
      </c>
      <c r="P126" s="56">
        <f t="shared" si="71"/>
        <v>3.3078976111995965E-4</v>
      </c>
      <c r="Q126" s="56">
        <f t="shared" si="72"/>
        <v>3.4188918967024712E-4</v>
      </c>
      <c r="R126" s="9">
        <f>F126*$C$14</f>
        <v>3.9999999999999996E-5</v>
      </c>
      <c r="S126" s="9">
        <f t="shared" si="73"/>
        <v>4.7590139488196745E-6</v>
      </c>
      <c r="T126" s="9">
        <f t="shared" si="74"/>
        <v>3.1441995871173916E-5</v>
      </c>
      <c r="U126" s="9">
        <f t="shared" si="75"/>
        <v>3.5240986051180325E-5</v>
      </c>
      <c r="V126" s="102">
        <f t="shared" si="76"/>
        <v>0.89219966278783591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279</v>
      </c>
      <c r="C127" s="46" t="s">
        <v>280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5.4598878066109929E-5</v>
      </c>
      <c r="J127" s="54">
        <f t="shared" si="67"/>
        <v>7.4340635464284932E-2</v>
      </c>
      <c r="K127" s="55">
        <f t="shared" si="68"/>
        <v>0.99892989062642157</v>
      </c>
      <c r="L127" s="55">
        <f t="shared" si="69"/>
        <v>4.2673849955168097E-4</v>
      </c>
      <c r="M127" s="55">
        <f t="shared" si="52"/>
        <v>0.99957326150044834</v>
      </c>
      <c r="N127" s="55">
        <f t="shared" si="70"/>
        <v>4.0726125106831616E-4</v>
      </c>
      <c r="O127" s="56">
        <f t="shared" si="53"/>
        <v>9.9980720573363888E-7</v>
      </c>
      <c r="P127" s="56">
        <f t="shared" si="71"/>
        <v>1.1864703726065024E-6</v>
      </c>
      <c r="Q127" s="56">
        <f t="shared" si="72"/>
        <v>1.1881609162209466E-6</v>
      </c>
      <c r="R127" s="9">
        <f>F127*$C$14</f>
        <v>3.9999999999999996E-5</v>
      </c>
      <c r="S127" s="9">
        <f t="shared" si="73"/>
        <v>1.7069539982067236E-8</v>
      </c>
      <c r="T127" s="9">
        <f t="shared" si="74"/>
        <v>3.9957195625056861E-5</v>
      </c>
      <c r="U127" s="9">
        <f t="shared" si="75"/>
        <v>3.998293046001793E-5</v>
      </c>
      <c r="V127" s="102">
        <f t="shared" si="76"/>
        <v>0.99935635445764026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281</v>
      </c>
      <c r="C128" s="46" t="s">
        <v>282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283</v>
      </c>
      <c r="C129" s="46" t="s">
        <v>284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285</v>
      </c>
      <c r="C130" s="46" t="s">
        <v>286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2.1084810301724875E-3</v>
      </c>
      <c r="J130" s="54">
        <f t="shared" si="78"/>
        <v>0.78412765153631614</v>
      </c>
      <c r="K130" s="55">
        <f t="shared" si="79"/>
        <v>0.9924795857365557</v>
      </c>
      <c r="L130" s="55">
        <f t="shared" si="80"/>
        <v>2.1733787472256764E-3</v>
      </c>
      <c r="M130" s="55">
        <f t="shared" si="81"/>
        <v>0.99782662125277433</v>
      </c>
      <c r="N130" s="55">
        <f t="shared" si="82"/>
        <v>2.0556665308864392E-3</v>
      </c>
      <c r="O130" s="56">
        <f t="shared" si="83"/>
        <v>9.933512358316645E-7</v>
      </c>
      <c r="P130" s="56">
        <f t="shared" si="84"/>
        <v>6.0426924093911315E-6</v>
      </c>
      <c r="Q130" s="56">
        <f t="shared" si="85"/>
        <v>5.9972870543803703E-6</v>
      </c>
      <c r="R130" s="9">
        <f>F130*$C$14</f>
        <v>3.9999999999999996E-5</v>
      </c>
      <c r="S130" s="9">
        <f t="shared" ref="S130:S131" si="86">$R130*L130</f>
        <v>8.6935149889027043E-8</v>
      </c>
      <c r="T130" s="9">
        <f t="shared" ref="T130:T131" si="87">R130*K130</f>
        <v>3.9699183429462226E-5</v>
      </c>
      <c r="U130" s="9">
        <f t="shared" ref="U130:U131" si="88">$R130*M130</f>
        <v>3.9913064850110967E-5</v>
      </c>
      <c r="V130" s="102">
        <f t="shared" ref="V130:V131" si="89">K130/M130</f>
        <v>0.9946413180382927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287</v>
      </c>
      <c r="C131" s="46" t="s">
        <v>288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-5.830329626681688E-5</v>
      </c>
      <c r="J131" s="54">
        <f t="shared" si="78"/>
        <v>-0.23382974924437347</v>
      </c>
      <c r="K131" s="55">
        <f t="shared" si="79"/>
        <v>0.99940627841598473</v>
      </c>
      <c r="L131" s="55">
        <f t="shared" si="80"/>
        <v>2.0998994800095028E-4</v>
      </c>
      <c r="M131" s="55">
        <f t="shared" si="81"/>
        <v>0.99979001005199908</v>
      </c>
      <c r="N131" s="55">
        <f t="shared" si="82"/>
        <v>1.9564382988334012E-4</v>
      </c>
      <c r="O131" s="56">
        <f t="shared" si="83"/>
        <v>1.0002840119131296E-6</v>
      </c>
      <c r="P131" s="56">
        <f t="shared" si="84"/>
        <v>5.8383963975608938E-7</v>
      </c>
      <c r="Q131" s="56">
        <f t="shared" si="85"/>
        <v>5.7077944822246525E-7</v>
      </c>
      <c r="R131" s="9">
        <f>F131*$C$14</f>
        <v>3.9999999999999996E-5</v>
      </c>
      <c r="S131" s="9">
        <f t="shared" si="86"/>
        <v>8.3995979200380103E-9</v>
      </c>
      <c r="T131" s="9">
        <f t="shared" si="87"/>
        <v>3.9976251136639389E-5</v>
      </c>
      <c r="U131" s="9">
        <f t="shared" si="88"/>
        <v>3.9991600402079959E-5</v>
      </c>
      <c r="V131" s="102">
        <f t="shared" si="89"/>
        <v>0.9996161877672749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289</v>
      </c>
      <c r="C132" s="46" t="s">
        <v>290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291</v>
      </c>
      <c r="C133" s="46" t="s">
        <v>292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96</v>
      </c>
      <c r="C134" s="46" t="s">
        <v>293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2024-10-28T22:49:11Z</dcterms:modified>
</cp:coreProperties>
</file>