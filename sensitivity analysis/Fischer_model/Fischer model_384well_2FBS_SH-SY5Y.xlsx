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0D4591BA-688C-45B2-85F0-88E67BBEF3A6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U143" i="4"/>
  <c r="T143" i="4"/>
  <c r="S143" i="4"/>
  <c r="R143" i="4"/>
  <c r="V142" i="4"/>
  <c r="R142" i="4"/>
  <c r="V141" i="4"/>
  <c r="U141" i="4"/>
  <c r="R141" i="4"/>
  <c r="T141" i="4" s="1"/>
  <c r="V140" i="4"/>
  <c r="R140" i="4"/>
  <c r="U140" i="4" s="1"/>
  <c r="V139" i="4"/>
  <c r="U139" i="4"/>
  <c r="T139" i="4"/>
  <c r="S139" i="4"/>
  <c r="R139" i="4"/>
  <c r="V138" i="4"/>
  <c r="U138" i="4"/>
  <c r="T138" i="4"/>
  <c r="R138" i="4"/>
  <c r="S138" i="4" s="1"/>
  <c r="V137" i="4"/>
  <c r="T137" i="4"/>
  <c r="S137" i="4"/>
  <c r="R137" i="4"/>
  <c r="U137" i="4" s="1"/>
  <c r="V136" i="4"/>
  <c r="R136" i="4"/>
  <c r="U136" i="4" s="1"/>
  <c r="V135" i="4"/>
  <c r="R135" i="4"/>
  <c r="V134" i="4"/>
  <c r="U134" i="4"/>
  <c r="T134" i="4"/>
  <c r="S134" i="4"/>
  <c r="R134" i="4"/>
  <c r="V133" i="4"/>
  <c r="U133" i="4"/>
  <c r="R133" i="4"/>
  <c r="T133" i="4" s="1"/>
  <c r="V132" i="4"/>
  <c r="T132" i="4"/>
  <c r="S132" i="4"/>
  <c r="R132" i="4"/>
  <c r="U132" i="4" s="1"/>
  <c r="V131" i="4"/>
  <c r="U131" i="4"/>
  <c r="T131" i="4"/>
  <c r="S131" i="4"/>
  <c r="R131" i="4"/>
  <c r="V130" i="4"/>
  <c r="S130" i="4"/>
  <c r="R130" i="4"/>
  <c r="V129" i="4"/>
  <c r="U129" i="4"/>
  <c r="R129" i="4"/>
  <c r="T129" i="4" s="1"/>
  <c r="V128" i="4"/>
  <c r="R128" i="4"/>
  <c r="U128" i="4" s="1"/>
  <c r="V127" i="4"/>
  <c r="U127" i="4"/>
  <c r="T127" i="4"/>
  <c r="S127" i="4"/>
  <c r="R127" i="4"/>
  <c r="V126" i="4"/>
  <c r="U126" i="4"/>
  <c r="T126" i="4"/>
  <c r="R126" i="4"/>
  <c r="S126" i="4" s="1"/>
  <c r="V125" i="4"/>
  <c r="R125" i="4"/>
  <c r="U125" i="4" s="1"/>
  <c r="V124" i="4"/>
  <c r="R124" i="4"/>
  <c r="U124" i="4" s="1"/>
  <c r="V123" i="4"/>
  <c r="R123" i="4"/>
  <c r="V122" i="4"/>
  <c r="U122" i="4"/>
  <c r="T122" i="4"/>
  <c r="S122" i="4"/>
  <c r="R122" i="4"/>
  <c r="V121" i="4"/>
  <c r="U121" i="4"/>
  <c r="R121" i="4"/>
  <c r="T121" i="4" s="1"/>
  <c r="V120" i="4"/>
  <c r="R120" i="4"/>
  <c r="T120" i="4" s="1"/>
  <c r="V119" i="4"/>
  <c r="U119" i="4"/>
  <c r="T119" i="4"/>
  <c r="S119" i="4"/>
  <c r="R119" i="4"/>
  <c r="V118" i="4"/>
  <c r="R118" i="4"/>
  <c r="V117" i="4"/>
  <c r="U117" i="4"/>
  <c r="R117" i="4"/>
  <c r="T117" i="4" s="1"/>
  <c r="V116" i="4"/>
  <c r="R116" i="4"/>
  <c r="U116" i="4" s="1"/>
  <c r="V115" i="4"/>
  <c r="U115" i="4"/>
  <c r="T115" i="4"/>
  <c r="S115" i="4"/>
  <c r="R115" i="4"/>
  <c r="V114" i="4"/>
  <c r="U114" i="4"/>
  <c r="T114" i="4"/>
  <c r="R114" i="4"/>
  <c r="S114" i="4" s="1"/>
  <c r="V113" i="4"/>
  <c r="R113" i="4"/>
  <c r="U113" i="4" s="1"/>
  <c r="V112" i="4"/>
  <c r="R112" i="4"/>
  <c r="U112" i="4" s="1"/>
  <c r="V111" i="4"/>
  <c r="R111" i="4"/>
  <c r="V110" i="4"/>
  <c r="U110" i="4"/>
  <c r="T110" i="4"/>
  <c r="S110" i="4"/>
  <c r="R110" i="4"/>
  <c r="V109" i="4"/>
  <c r="U109" i="4"/>
  <c r="R109" i="4"/>
  <c r="T109" i="4" s="1"/>
  <c r="V108" i="4"/>
  <c r="U108" i="4"/>
  <c r="R108" i="4"/>
  <c r="T108" i="4" s="1"/>
  <c r="R107" i="4"/>
  <c r="V106" i="4"/>
  <c r="U106" i="4"/>
  <c r="T106" i="4"/>
  <c r="R106" i="4"/>
  <c r="S106" i="4" s="1"/>
  <c r="V105" i="4"/>
  <c r="R105" i="4"/>
  <c r="U105" i="4" s="1"/>
  <c r="V104" i="4"/>
  <c r="R104" i="4"/>
  <c r="U104" i="4" s="1"/>
  <c r="V103" i="4"/>
  <c r="R103" i="4"/>
  <c r="V102" i="4"/>
  <c r="U102" i="4"/>
  <c r="T102" i="4"/>
  <c r="S102" i="4"/>
  <c r="R102" i="4"/>
  <c r="V101" i="4"/>
  <c r="U101" i="4"/>
  <c r="R101" i="4"/>
  <c r="T101" i="4" s="1"/>
  <c r="R100" i="4"/>
  <c r="V99" i="4"/>
  <c r="U99" i="4"/>
  <c r="T99" i="4"/>
  <c r="S99" i="4"/>
  <c r="R99" i="4"/>
  <c r="V98" i="4"/>
  <c r="U98" i="4"/>
  <c r="T98" i="4"/>
  <c r="R98" i="4"/>
  <c r="S98" i="4" s="1"/>
  <c r="R97" i="4"/>
  <c r="V96" i="4"/>
  <c r="R96" i="4"/>
  <c r="U96" i="4" s="1"/>
  <c r="V95" i="4"/>
  <c r="U95" i="4"/>
  <c r="T95" i="4"/>
  <c r="S95" i="4"/>
  <c r="R95" i="4"/>
  <c r="V94" i="4"/>
  <c r="R94" i="4"/>
  <c r="V93" i="4"/>
  <c r="U93" i="4"/>
  <c r="R93" i="4"/>
  <c r="T93" i="4" s="1"/>
  <c r="V92" i="4"/>
  <c r="R92" i="4"/>
  <c r="U92" i="4" s="1"/>
  <c r="V91" i="4"/>
  <c r="U91" i="4"/>
  <c r="T91" i="4"/>
  <c r="S91" i="4"/>
  <c r="R91" i="4"/>
  <c r="V90" i="4"/>
  <c r="U90" i="4"/>
  <c r="T90" i="4"/>
  <c r="R90" i="4"/>
  <c r="S90" i="4" s="1"/>
  <c r="V89" i="4"/>
  <c r="R89" i="4"/>
  <c r="U89" i="4" s="1"/>
  <c r="V88" i="4"/>
  <c r="R88" i="4"/>
  <c r="U88" i="4" s="1"/>
  <c r="V87" i="4"/>
  <c r="R87" i="4"/>
  <c r="V86" i="4"/>
  <c r="U86" i="4"/>
  <c r="T86" i="4"/>
  <c r="S86" i="4"/>
  <c r="R86" i="4"/>
  <c r="V85" i="4"/>
  <c r="U85" i="4"/>
  <c r="R85" i="4"/>
  <c r="T85" i="4" s="1"/>
  <c r="V84" i="4"/>
  <c r="R84" i="4"/>
  <c r="T84" i="4" s="1"/>
  <c r="V83" i="4"/>
  <c r="U83" i="4"/>
  <c r="T83" i="4"/>
  <c r="S83" i="4"/>
  <c r="R83" i="4"/>
  <c r="V82" i="4"/>
  <c r="R82" i="4"/>
  <c r="V81" i="4"/>
  <c r="U81" i="4"/>
  <c r="R81" i="4"/>
  <c r="T81" i="4" s="1"/>
  <c r="V80" i="4"/>
  <c r="R80" i="4"/>
  <c r="U80" i="4" s="1"/>
  <c r="V79" i="4"/>
  <c r="U79" i="4"/>
  <c r="T79" i="4"/>
  <c r="S79" i="4"/>
  <c r="R79" i="4"/>
  <c r="V78" i="4"/>
  <c r="U78" i="4"/>
  <c r="T78" i="4"/>
  <c r="R78" i="4"/>
  <c r="S78" i="4" s="1"/>
  <c r="V77" i="4"/>
  <c r="T77" i="4"/>
  <c r="S77" i="4"/>
  <c r="R77" i="4"/>
  <c r="U77" i="4" s="1"/>
  <c r="V76" i="4"/>
  <c r="R76" i="4"/>
  <c r="U76" i="4" s="1"/>
  <c r="V75" i="4"/>
  <c r="R75" i="4"/>
  <c r="V74" i="4"/>
  <c r="U74" i="4"/>
  <c r="T74" i="4"/>
  <c r="S74" i="4"/>
  <c r="R74" i="4"/>
  <c r="V73" i="4"/>
  <c r="U73" i="4"/>
  <c r="R73" i="4"/>
  <c r="T73" i="4" s="1"/>
  <c r="V72" i="4"/>
  <c r="R72" i="4"/>
  <c r="U72" i="4" s="1"/>
  <c r="V71" i="4"/>
  <c r="U71" i="4"/>
  <c r="T71" i="4"/>
  <c r="S71" i="4"/>
  <c r="R71" i="4"/>
  <c r="V70" i="4"/>
  <c r="R70" i="4"/>
  <c r="V69" i="4"/>
  <c r="U69" i="4"/>
  <c r="R69" i="4"/>
  <c r="T69" i="4" s="1"/>
  <c r="V68" i="4"/>
  <c r="R68" i="4"/>
  <c r="U68" i="4" s="1"/>
  <c r="V67" i="4"/>
  <c r="U67" i="4"/>
  <c r="T67" i="4"/>
  <c r="S67" i="4"/>
  <c r="R67" i="4"/>
  <c r="V66" i="4"/>
  <c r="U66" i="4"/>
  <c r="T66" i="4"/>
  <c r="R66" i="4"/>
  <c r="S66" i="4" s="1"/>
  <c r="V65" i="4"/>
  <c r="R65" i="4"/>
  <c r="U65" i="4" s="1"/>
  <c r="V64" i="4"/>
  <c r="R64" i="4"/>
  <c r="U64" i="4" s="1"/>
  <c r="V63" i="4"/>
  <c r="R63" i="4"/>
  <c r="V62" i="4"/>
  <c r="U62" i="4"/>
  <c r="T62" i="4"/>
  <c r="S62" i="4"/>
  <c r="R62" i="4"/>
  <c r="V61" i="4"/>
  <c r="U61" i="4"/>
  <c r="R61" i="4"/>
  <c r="T61" i="4" s="1"/>
  <c r="V60" i="4"/>
  <c r="U60" i="4"/>
  <c r="T60" i="4"/>
  <c r="S60" i="4"/>
  <c r="R60" i="4"/>
  <c r="V59" i="4"/>
  <c r="U59" i="4"/>
  <c r="T59" i="4"/>
  <c r="S59" i="4"/>
  <c r="R59" i="4"/>
  <c r="V58" i="4"/>
  <c r="S58" i="4"/>
  <c r="R58" i="4"/>
  <c r="V57" i="4"/>
  <c r="U57" i="4"/>
  <c r="R57" i="4"/>
  <c r="T57" i="4" s="1"/>
  <c r="V56" i="4"/>
  <c r="R56" i="4"/>
  <c r="U56" i="4" s="1"/>
  <c r="V55" i="4"/>
  <c r="U55" i="4"/>
  <c r="T55" i="4"/>
  <c r="S55" i="4"/>
  <c r="R55" i="4"/>
  <c r="V54" i="4"/>
  <c r="U54" i="4"/>
  <c r="T54" i="4"/>
  <c r="R54" i="4"/>
  <c r="S54" i="4" s="1"/>
  <c r="V53" i="4"/>
  <c r="R53" i="4"/>
  <c r="U53" i="4" s="1"/>
  <c r="V52" i="4"/>
  <c r="R52" i="4"/>
  <c r="U52" i="4" s="1"/>
  <c r="V51" i="4"/>
  <c r="R51" i="4"/>
  <c r="V50" i="4"/>
  <c r="U50" i="4"/>
  <c r="T50" i="4"/>
  <c r="S50" i="4"/>
  <c r="R50" i="4"/>
  <c r="V49" i="4"/>
  <c r="U49" i="4"/>
  <c r="R49" i="4"/>
  <c r="T49" i="4" s="1"/>
  <c r="V48" i="4"/>
  <c r="R48" i="4"/>
  <c r="U48" i="4" s="1"/>
  <c r="V47" i="4"/>
  <c r="U47" i="4"/>
  <c r="T47" i="4"/>
  <c r="S47" i="4"/>
  <c r="R47" i="4"/>
  <c r="V46" i="4"/>
  <c r="R46" i="4"/>
  <c r="V45" i="4"/>
  <c r="U45" i="4"/>
  <c r="R45" i="4"/>
  <c r="T45" i="4" s="1"/>
  <c r="V44" i="4"/>
  <c r="R44" i="4"/>
  <c r="U44" i="4" s="1"/>
  <c r="V43" i="4"/>
  <c r="U43" i="4"/>
  <c r="T43" i="4"/>
  <c r="S43" i="4"/>
  <c r="R43" i="4"/>
  <c r="V42" i="4"/>
  <c r="U42" i="4"/>
  <c r="T42" i="4"/>
  <c r="R42" i="4"/>
  <c r="S42" i="4" s="1"/>
  <c r="V41" i="4"/>
  <c r="R41" i="4"/>
  <c r="U41" i="4" s="1"/>
  <c r="V40" i="4"/>
  <c r="R40" i="4"/>
  <c r="U40" i="4" s="1"/>
  <c r="V39" i="4"/>
  <c r="R39" i="4"/>
  <c r="V38" i="4"/>
  <c r="U38" i="4"/>
  <c r="T38" i="4"/>
  <c r="S38" i="4"/>
  <c r="R38" i="4"/>
  <c r="V37" i="4"/>
  <c r="U37" i="4"/>
  <c r="R37" i="4"/>
  <c r="T37" i="4" s="1"/>
  <c r="V36" i="4"/>
  <c r="U36" i="4"/>
  <c r="R36" i="4"/>
  <c r="T36" i="4" s="1"/>
  <c r="V35" i="4"/>
  <c r="U35" i="4"/>
  <c r="T35" i="4"/>
  <c r="S35" i="4"/>
  <c r="R35" i="4"/>
  <c r="V34" i="4"/>
  <c r="R34" i="4"/>
  <c r="S34" i="4" s="1"/>
  <c r="V33" i="4"/>
  <c r="U33" i="4"/>
  <c r="R33" i="4"/>
  <c r="T33" i="4" s="1"/>
  <c r="V32" i="4"/>
  <c r="R32" i="4"/>
  <c r="U32" i="4" s="1"/>
  <c r="V31" i="4"/>
  <c r="U31" i="4"/>
  <c r="T31" i="4"/>
  <c r="S31" i="4"/>
  <c r="R31" i="4"/>
  <c r="V30" i="4"/>
  <c r="U30" i="4"/>
  <c r="T30" i="4"/>
  <c r="R30" i="4"/>
  <c r="S30" i="4" s="1"/>
  <c r="V29" i="4"/>
  <c r="R29" i="4"/>
  <c r="U29" i="4" s="1"/>
  <c r="V28" i="4"/>
  <c r="R28" i="4"/>
  <c r="U28" i="4" s="1"/>
  <c r="I135" i="4"/>
  <c r="L135" i="4" s="1"/>
  <c r="M135" i="4" s="1"/>
  <c r="J135" i="4"/>
  <c r="K135" i="4" s="1"/>
  <c r="O135" i="4" s="1"/>
  <c r="P135" i="4" s="1"/>
  <c r="N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L139" i="4" s="1"/>
  <c r="M139" i="4" s="1"/>
  <c r="J139" i="4"/>
  <c r="K139" i="4" s="1"/>
  <c r="O139" i="4" s="1"/>
  <c r="P139" i="4" s="1"/>
  <c r="N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L143" i="4" s="1"/>
  <c r="M143" i="4" s="1"/>
  <c r="J143" i="4"/>
  <c r="K143" i="4" s="1"/>
  <c r="O143" i="4" s="1"/>
  <c r="P143" i="4" s="1"/>
  <c r="N143" i="4"/>
  <c r="Q143" i="4"/>
  <c r="I128" i="4"/>
  <c r="J128" i="4"/>
  <c r="K128" i="4" s="1"/>
  <c r="O128" i="4" s="1"/>
  <c r="P128" i="4" s="1"/>
  <c r="I129" i="4"/>
  <c r="J129" i="4"/>
  <c r="K129" i="4"/>
  <c r="O129" i="4" s="1"/>
  <c r="P129" i="4" s="1"/>
  <c r="L129" i="4"/>
  <c r="M129" i="4" s="1"/>
  <c r="N129" i="4"/>
  <c r="Q129" i="4" s="1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 s="1"/>
  <c r="I132" i="4"/>
  <c r="J132" i="4"/>
  <c r="K132" i="4"/>
  <c r="L132" i="4"/>
  <c r="M132" i="4"/>
  <c r="N132" i="4"/>
  <c r="Q132" i="4" s="1"/>
  <c r="O132" i="4"/>
  <c r="P132" i="4" s="1"/>
  <c r="I133" i="4"/>
  <c r="L133" i="4" s="1"/>
  <c r="M133" i="4" s="1"/>
  <c r="J133" i="4"/>
  <c r="K133" i="4" s="1"/>
  <c r="O133" i="4" s="1"/>
  <c r="N133" i="4"/>
  <c r="P133" i="4"/>
  <c r="Q133" i="4"/>
  <c r="I134" i="4"/>
  <c r="J134" i="4"/>
  <c r="K134" i="4" s="1"/>
  <c r="O134" i="4" s="1"/>
  <c r="P134" i="4" s="1"/>
  <c r="S84" i="4" l="1"/>
  <c r="T87" i="4"/>
  <c r="S87" i="4"/>
  <c r="U87" i="4"/>
  <c r="T105" i="4"/>
  <c r="T41" i="4"/>
  <c r="U84" i="4"/>
  <c r="T113" i="4"/>
  <c r="S48" i="4"/>
  <c r="T51" i="4"/>
  <c r="S51" i="4"/>
  <c r="U51" i="4"/>
  <c r="S65" i="4"/>
  <c r="U82" i="4"/>
  <c r="T82" i="4"/>
  <c r="S120" i="4"/>
  <c r="T123" i="4"/>
  <c r="S123" i="4"/>
  <c r="U123" i="4"/>
  <c r="T48" i="4"/>
  <c r="T65" i="4"/>
  <c r="S82" i="4"/>
  <c r="S72" i="4"/>
  <c r="T75" i="4"/>
  <c r="S75" i="4"/>
  <c r="U75" i="4"/>
  <c r="S89" i="4"/>
  <c r="U120" i="4"/>
  <c r="S29" i="4"/>
  <c r="T142" i="4"/>
  <c r="S142" i="4"/>
  <c r="U142" i="4"/>
  <c r="S36" i="4"/>
  <c r="T39" i="4"/>
  <c r="S39" i="4"/>
  <c r="U39" i="4"/>
  <c r="S53" i="4"/>
  <c r="U70" i="4"/>
  <c r="T70" i="4"/>
  <c r="T96" i="4"/>
  <c r="S108" i="4"/>
  <c r="T111" i="4"/>
  <c r="S111" i="4"/>
  <c r="U111" i="4"/>
  <c r="S125" i="4"/>
  <c r="T63" i="4"/>
  <c r="S63" i="4"/>
  <c r="U63" i="4"/>
  <c r="U94" i="4"/>
  <c r="T94" i="4"/>
  <c r="U34" i="4"/>
  <c r="T34" i="4"/>
  <c r="S94" i="4"/>
  <c r="S105" i="4"/>
  <c r="U46" i="4"/>
  <c r="T46" i="4"/>
  <c r="T72" i="4"/>
  <c r="T89" i="4"/>
  <c r="T103" i="4"/>
  <c r="S103" i="4"/>
  <c r="U103" i="4"/>
  <c r="U118" i="4"/>
  <c r="T118" i="4"/>
  <c r="T29" i="4"/>
  <c r="S46" i="4"/>
  <c r="S96" i="4"/>
  <c r="S118" i="4"/>
  <c r="T53" i="4"/>
  <c r="S70" i="4"/>
  <c r="T125" i="4"/>
  <c r="T135" i="4"/>
  <c r="S135" i="4"/>
  <c r="U135" i="4"/>
  <c r="S41" i="4"/>
  <c r="U58" i="4"/>
  <c r="T58" i="4"/>
  <c r="S113" i="4"/>
  <c r="U130" i="4"/>
  <c r="T130" i="4"/>
  <c r="T32" i="4"/>
  <c r="S37" i="4"/>
  <c r="T44" i="4"/>
  <c r="S49" i="4"/>
  <c r="T56" i="4"/>
  <c r="S61" i="4"/>
  <c r="T68" i="4"/>
  <c r="S73" i="4"/>
  <c r="T80" i="4"/>
  <c r="S85" i="4"/>
  <c r="T92" i="4"/>
  <c r="S101" i="4"/>
  <c r="S109" i="4"/>
  <c r="T116" i="4"/>
  <c r="S121" i="4"/>
  <c r="T128" i="4"/>
  <c r="S133" i="4"/>
  <c r="T140" i="4"/>
  <c r="S32" i="4"/>
  <c r="S44" i="4"/>
  <c r="S56" i="4"/>
  <c r="S68" i="4"/>
  <c r="S80" i="4"/>
  <c r="S92" i="4"/>
  <c r="S116" i="4"/>
  <c r="S128" i="4"/>
  <c r="S140" i="4"/>
  <c r="S40" i="4"/>
  <c r="S64" i="4"/>
  <c r="S88" i="4"/>
  <c r="S104" i="4"/>
  <c r="S124" i="4"/>
  <c r="S136" i="4"/>
  <c r="T28" i="4"/>
  <c r="S33" i="4"/>
  <c r="T40" i="4"/>
  <c r="S45" i="4"/>
  <c r="T52" i="4"/>
  <c r="S57" i="4"/>
  <c r="T64" i="4"/>
  <c r="S69" i="4"/>
  <c r="T76" i="4"/>
  <c r="S81" i="4"/>
  <c r="T88" i="4"/>
  <c r="S93" i="4"/>
  <c r="T104" i="4"/>
  <c r="T112" i="4"/>
  <c r="S117" i="4"/>
  <c r="T124" i="4"/>
  <c r="S129" i="4"/>
  <c r="T136" i="4"/>
  <c r="S141" i="4"/>
  <c r="S28" i="4"/>
  <c r="S52" i="4"/>
  <c r="S76" i="4"/>
  <c r="S112" i="4"/>
  <c r="N140" i="4"/>
  <c r="Q140" i="4" s="1"/>
  <c r="N136" i="4"/>
  <c r="Q136" i="4" s="1"/>
  <c r="L134" i="4"/>
  <c r="M134" i="4" s="1"/>
  <c r="N134" i="4"/>
  <c r="Q134" i="4" s="1"/>
  <c r="O131" i="4"/>
  <c r="P131" i="4" s="1"/>
  <c r="L131" i="4"/>
  <c r="N131" i="4"/>
  <c r="Q131" i="4" s="1"/>
  <c r="L128" i="4"/>
  <c r="M128" i="4" s="1"/>
  <c r="N128" i="4"/>
  <c r="Q128" i="4" s="1"/>
  <c r="M131" i="4" l="1"/>
  <c r="O15" i="1"/>
  <c r="L15" i="1"/>
  <c r="N15" i="1"/>
  <c r="J16" i="4"/>
  <c r="J15" i="4"/>
  <c r="J87" i="4"/>
  <c r="K87" i="4"/>
  <c r="J122" i="4"/>
  <c r="K122" i="4"/>
  <c r="J117" i="4"/>
  <c r="K117" i="4"/>
  <c r="J120" i="4"/>
  <c r="K120" i="4"/>
  <c r="J101" i="4"/>
  <c r="K101" i="4"/>
  <c r="O101" i="4" s="1"/>
  <c r="P101" i="4" s="1"/>
  <c r="J86" i="4"/>
  <c r="K86" i="4" s="1"/>
  <c r="J85" i="4"/>
  <c r="K85" i="4" s="1"/>
  <c r="J88" i="4"/>
  <c r="K88" i="4" s="1"/>
  <c r="J119" i="4"/>
  <c r="K119" i="4"/>
  <c r="J72" i="4"/>
  <c r="K72" i="4" s="1"/>
  <c r="J103" i="4"/>
  <c r="K103" i="4"/>
  <c r="J118" i="4"/>
  <c r="K118" i="4" s="1"/>
  <c r="O118" i="4" s="1"/>
  <c r="P118" i="4" s="1"/>
  <c r="J104" i="4"/>
  <c r="L104" i="4" s="1"/>
  <c r="M104" i="4" s="1"/>
  <c r="K104" i="4"/>
  <c r="O104" i="4" s="1"/>
  <c r="P104" i="4" s="1"/>
  <c r="J90" i="4"/>
  <c r="K90" i="4" s="1"/>
  <c r="J71" i="4"/>
  <c r="K71" i="4"/>
  <c r="J110" i="4"/>
  <c r="K110" i="4"/>
  <c r="J82" i="4"/>
  <c r="K82" i="4" s="1"/>
  <c r="J113" i="4"/>
  <c r="K113" i="4"/>
  <c r="O113" i="4" s="1"/>
  <c r="P113" i="4" s="1"/>
  <c r="J97" i="4"/>
  <c r="K97" i="4"/>
  <c r="O97" i="4" s="1"/>
  <c r="P97" i="4" s="1"/>
  <c r="J81" i="4"/>
  <c r="K81" i="4"/>
  <c r="J116" i="4"/>
  <c r="K116" i="4" s="1"/>
  <c r="J100" i="4"/>
  <c r="K100" i="4" s="1"/>
  <c r="O100" i="4" s="1"/>
  <c r="P100" i="4" s="1"/>
  <c r="J84" i="4"/>
  <c r="K84" i="4"/>
  <c r="O84" i="4" s="1"/>
  <c r="P84" i="4" s="1"/>
  <c r="J114" i="4"/>
  <c r="K114" i="4"/>
  <c r="J78" i="4"/>
  <c r="K78" i="4" s="1"/>
  <c r="J115" i="4"/>
  <c r="L115" i="4" s="1"/>
  <c r="K115" i="4"/>
  <c r="O115" i="4"/>
  <c r="P115" i="4" s="1"/>
  <c r="J99" i="4"/>
  <c r="K99" i="4"/>
  <c r="J83" i="4"/>
  <c r="K83" i="4"/>
  <c r="J102" i="4"/>
  <c r="K102" i="4"/>
  <c r="O102" i="4" s="1"/>
  <c r="P102" i="4" s="1"/>
  <c r="J74" i="4"/>
  <c r="K74" i="4"/>
  <c r="J125" i="4"/>
  <c r="K125" i="4"/>
  <c r="O125" i="4" s="1"/>
  <c r="P125" i="4" s="1"/>
  <c r="J109" i="4"/>
  <c r="K109" i="4"/>
  <c r="O109" i="4" s="1"/>
  <c r="P109" i="4" s="1"/>
  <c r="J93" i="4"/>
  <c r="J77" i="4"/>
  <c r="K77" i="4" s="1"/>
  <c r="J112" i="4"/>
  <c r="K112" i="4"/>
  <c r="J96" i="4"/>
  <c r="L96" i="4" s="1"/>
  <c r="M96" i="4" s="1"/>
  <c r="K96" i="4"/>
  <c r="O96" i="4" s="1"/>
  <c r="P96" i="4" s="1"/>
  <c r="J80" i="4"/>
  <c r="K80" i="4"/>
  <c r="J106" i="4"/>
  <c r="K106" i="4"/>
  <c r="J127" i="4"/>
  <c r="K127" i="4" s="1"/>
  <c r="O127" i="4" s="1"/>
  <c r="P127" i="4" s="1"/>
  <c r="J111" i="4"/>
  <c r="K111" i="4"/>
  <c r="J95" i="4"/>
  <c r="K95" i="4" s="1"/>
  <c r="J79" i="4"/>
  <c r="K79" i="4"/>
  <c r="J126" i="4"/>
  <c r="K126" i="4"/>
  <c r="J94" i="4"/>
  <c r="K94" i="4" s="1"/>
  <c r="O94" i="4" s="1"/>
  <c r="P94" i="4" s="1"/>
  <c r="J121" i="4"/>
  <c r="K121" i="4" s="1"/>
  <c r="J105" i="4"/>
  <c r="L105" i="4" s="1"/>
  <c r="M105" i="4" s="1"/>
  <c r="K105" i="4"/>
  <c r="J89" i="4"/>
  <c r="K89" i="4" s="1"/>
  <c r="J73" i="4"/>
  <c r="K73" i="4"/>
  <c r="J124" i="4"/>
  <c r="K124" i="4"/>
  <c r="J108" i="4"/>
  <c r="K108" i="4"/>
  <c r="J92" i="4"/>
  <c r="K92" i="4" s="1"/>
  <c r="J76" i="4"/>
  <c r="J98" i="4"/>
  <c r="K98" i="4"/>
  <c r="O98" i="4" s="1"/>
  <c r="P98" i="4" s="1"/>
  <c r="J123" i="4"/>
  <c r="K123" i="4"/>
  <c r="J107" i="4"/>
  <c r="J91" i="4"/>
  <c r="K91" i="4" s="1"/>
  <c r="J75" i="4"/>
  <c r="K75" i="4" s="1"/>
  <c r="O112" i="4"/>
  <c r="P112" i="4"/>
  <c r="O83" i="4"/>
  <c r="P83" i="4" s="1"/>
  <c r="O105" i="4"/>
  <c r="P105" i="4" s="1"/>
  <c r="O111" i="4"/>
  <c r="P111" i="4" s="1"/>
  <c r="O120" i="4"/>
  <c r="P120" i="4"/>
  <c r="O124" i="4"/>
  <c r="P124" i="4" s="1"/>
  <c r="O110" i="4"/>
  <c r="P110" i="4"/>
  <c r="O117" i="4"/>
  <c r="P117" i="4"/>
  <c r="O106" i="4"/>
  <c r="P106" i="4" s="1"/>
  <c r="O71" i="4"/>
  <c r="P71" i="4" s="1"/>
  <c r="O103" i="4"/>
  <c r="P103" i="4"/>
  <c r="O119" i="4"/>
  <c r="P119" i="4" s="1"/>
  <c r="O122" i="4"/>
  <c r="P122" i="4"/>
  <c r="O123" i="4"/>
  <c r="P123" i="4" s="1"/>
  <c r="O99" i="4"/>
  <c r="P99" i="4"/>
  <c r="I76" i="4"/>
  <c r="I77" i="4"/>
  <c r="N77" i="4" s="1"/>
  <c r="Q77" i="4" s="1"/>
  <c r="I81" i="4"/>
  <c r="L81" i="4" s="1"/>
  <c r="I89" i="4"/>
  <c r="I90" i="4"/>
  <c r="N90" i="4" s="1"/>
  <c r="Q90" i="4" s="1"/>
  <c r="I96" i="4"/>
  <c r="I99" i="4"/>
  <c r="N99" i="4" s="1"/>
  <c r="Q99" i="4" s="1"/>
  <c r="I102" i="4"/>
  <c r="I104" i="4"/>
  <c r="N104" i="4" s="1"/>
  <c r="Q104" i="4" s="1"/>
  <c r="I108" i="4"/>
  <c r="N108" i="4" s="1"/>
  <c r="Q108" i="4" s="1"/>
  <c r="I111" i="4"/>
  <c r="N111" i="4" s="1"/>
  <c r="Q111" i="4" s="1"/>
  <c r="I113" i="4"/>
  <c r="N113" i="4" s="1"/>
  <c r="Q113" i="4" s="1"/>
  <c r="I115" i="4"/>
  <c r="I119" i="4"/>
  <c r="N119" i="4" s="1"/>
  <c r="Q119" i="4" s="1"/>
  <c r="I120" i="4"/>
  <c r="N120" i="4" s="1"/>
  <c r="Q120" i="4" s="1"/>
  <c r="I123" i="4"/>
  <c r="L123" i="4" s="1"/>
  <c r="M123" i="4" s="1"/>
  <c r="I125" i="4"/>
  <c r="L125" i="4" s="1"/>
  <c r="M125" i="4" s="1"/>
  <c r="I79" i="4"/>
  <c r="N79" i="4" s="1"/>
  <c r="Q79" i="4" s="1"/>
  <c r="I92" i="4"/>
  <c r="I100" i="4"/>
  <c r="I103" i="4"/>
  <c r="I107" i="4"/>
  <c r="I109" i="4"/>
  <c r="I110" i="4"/>
  <c r="I117" i="4"/>
  <c r="L117" i="4" s="1"/>
  <c r="M117" i="4" s="1"/>
  <c r="I124" i="4"/>
  <c r="I72" i="4"/>
  <c r="N72" i="4" s="1"/>
  <c r="Q72" i="4" s="1"/>
  <c r="I106" i="4"/>
  <c r="N106" i="4" s="1"/>
  <c r="Q106" i="4" s="1"/>
  <c r="I71" i="4"/>
  <c r="N71" i="4" s="1"/>
  <c r="Q71" i="4" s="1"/>
  <c r="I75" i="4"/>
  <c r="I80" i="4"/>
  <c r="I83" i="4"/>
  <c r="I86" i="4"/>
  <c r="I88" i="4"/>
  <c r="N88" i="4" s="1"/>
  <c r="Q88" i="4" s="1"/>
  <c r="I94" i="4"/>
  <c r="I95" i="4"/>
  <c r="N95" i="4" s="1"/>
  <c r="Q95" i="4" s="1"/>
  <c r="I98" i="4"/>
  <c r="I101" i="4"/>
  <c r="N101" i="4" s="1"/>
  <c r="Q101" i="4" s="1"/>
  <c r="I118" i="4"/>
  <c r="N118" i="4" s="1"/>
  <c r="Q118" i="4" s="1"/>
  <c r="I127" i="4"/>
  <c r="N127" i="4" s="1"/>
  <c r="Q127" i="4" s="1"/>
  <c r="I73" i="4"/>
  <c r="L73" i="4" s="1"/>
  <c r="I74" i="4"/>
  <c r="I78" i="4"/>
  <c r="N78" i="4" s="1"/>
  <c r="Q78" i="4" s="1"/>
  <c r="I82" i="4"/>
  <c r="I85" i="4"/>
  <c r="I93" i="4"/>
  <c r="N93" i="4" s="1"/>
  <c r="Q93" i="4" s="1"/>
  <c r="I112" i="4"/>
  <c r="N112" i="4" s="1"/>
  <c r="Q112" i="4" s="1"/>
  <c r="I114" i="4"/>
  <c r="L114" i="4" s="1"/>
  <c r="I121" i="4"/>
  <c r="I122" i="4"/>
  <c r="N122" i="4" s="1"/>
  <c r="Q122" i="4" s="1"/>
  <c r="I84" i="4"/>
  <c r="L84" i="4" s="1"/>
  <c r="I87" i="4"/>
  <c r="N87" i="4" s="1"/>
  <c r="Q87" i="4" s="1"/>
  <c r="I91" i="4"/>
  <c r="I97" i="4"/>
  <c r="I105" i="4"/>
  <c r="I116" i="4"/>
  <c r="I126" i="4"/>
  <c r="N105" i="4"/>
  <c r="Q105" i="4"/>
  <c r="N121" i="4"/>
  <c r="Q121" i="4"/>
  <c r="N85" i="4"/>
  <c r="Q85" i="4" s="1"/>
  <c r="L88" i="4"/>
  <c r="L124" i="4"/>
  <c r="N124" i="4"/>
  <c r="Q124" i="4"/>
  <c r="N107" i="4"/>
  <c r="Q107" i="4" s="1"/>
  <c r="N96" i="4"/>
  <c r="Q96" i="4"/>
  <c r="N114" i="4"/>
  <c r="Q114" i="4"/>
  <c r="N98" i="4"/>
  <c r="Q98" i="4"/>
  <c r="L98" i="4"/>
  <c r="M98" i="4" s="1"/>
  <c r="N86" i="4"/>
  <c r="Q86" i="4" s="1"/>
  <c r="N103" i="4"/>
  <c r="Q103" i="4"/>
  <c r="L103" i="4"/>
  <c r="M103" i="4" s="1"/>
  <c r="N115" i="4"/>
  <c r="Q115" i="4" s="1"/>
  <c r="N76" i="4"/>
  <c r="Q76" i="4" s="1"/>
  <c r="N126" i="4"/>
  <c r="Q126" i="4"/>
  <c r="L126" i="4"/>
  <c r="L112" i="4"/>
  <c r="M112" i="4" s="1"/>
  <c r="L95" i="4"/>
  <c r="M95" i="4" s="1"/>
  <c r="N110" i="4"/>
  <c r="Q110" i="4"/>
  <c r="L110" i="4"/>
  <c r="M110" i="4" s="1"/>
  <c r="L100" i="4"/>
  <c r="M100" i="4" s="1"/>
  <c r="N100" i="4"/>
  <c r="Q100" i="4" s="1"/>
  <c r="L113" i="4"/>
  <c r="M113" i="4" s="1"/>
  <c r="L102" i="4"/>
  <c r="M102" i="4" s="1"/>
  <c r="N102" i="4"/>
  <c r="Q102" i="4"/>
  <c r="N116" i="4"/>
  <c r="Q116" i="4"/>
  <c r="N94" i="4"/>
  <c r="Q94" i="4" s="1"/>
  <c r="N109" i="4"/>
  <c r="Q109" i="4"/>
  <c r="L109" i="4"/>
  <c r="M109" i="4" s="1"/>
  <c r="L120" i="4"/>
  <c r="L99" i="4"/>
  <c r="M99" i="4" s="1"/>
  <c r="O91" i="4" l="1"/>
  <c r="P91" i="4" s="1"/>
  <c r="O85" i="4"/>
  <c r="P85" i="4" s="1"/>
  <c r="M81" i="4"/>
  <c r="O90" i="4"/>
  <c r="P90" i="4" s="1"/>
  <c r="N73" i="4"/>
  <c r="Q73" i="4" s="1"/>
  <c r="N125" i="4"/>
  <c r="Q125" i="4" s="1"/>
  <c r="M84" i="4"/>
  <c r="O121" i="4"/>
  <c r="P121" i="4" s="1"/>
  <c r="O78" i="4"/>
  <c r="P78" i="4" s="1"/>
  <c r="N81" i="4"/>
  <c r="Q81" i="4" s="1"/>
  <c r="L76" i="4"/>
  <c r="O114" i="4"/>
  <c r="P114" i="4" s="1"/>
  <c r="O126" i="4"/>
  <c r="P126" i="4" s="1"/>
  <c r="L118" i="4"/>
  <c r="M118" i="4" s="1"/>
  <c r="L90" i="4"/>
  <c r="L106" i="4"/>
  <c r="M106" i="4" s="1"/>
  <c r="O79" i="4"/>
  <c r="P79" i="4" s="1"/>
  <c r="O72" i="4"/>
  <c r="P72" i="4" s="1"/>
  <c r="L127" i="4"/>
  <c r="L111" i="4"/>
  <c r="M111" i="4" s="1"/>
  <c r="L122" i="4"/>
  <c r="M122" i="4" s="1"/>
  <c r="N123" i="4"/>
  <c r="Q123" i="4" s="1"/>
  <c r="N117" i="4"/>
  <c r="Q117" i="4" s="1"/>
  <c r="L108" i="4"/>
  <c r="L101" i="4"/>
  <c r="M101" i="4" s="1"/>
  <c r="O89" i="4"/>
  <c r="P89" i="4" s="1"/>
  <c r="M126" i="4"/>
  <c r="L85" i="4"/>
  <c r="L94" i="4"/>
  <c r="M94" i="4" s="1"/>
  <c r="O73" i="4"/>
  <c r="P73" i="4" s="1"/>
  <c r="O81" i="4"/>
  <c r="P81" i="4" s="1"/>
  <c r="L89" i="4"/>
  <c r="M115" i="4"/>
  <c r="M124" i="4"/>
  <c r="O80" i="4"/>
  <c r="P80" i="4" s="1"/>
  <c r="M114" i="4"/>
  <c r="O108" i="4"/>
  <c r="P108" i="4" s="1"/>
  <c r="O82" i="4"/>
  <c r="P82" i="4" s="1"/>
  <c r="M88" i="4"/>
  <c r="L72" i="4"/>
  <c r="L119" i="4"/>
  <c r="L97" i="4"/>
  <c r="M97" i="4" s="1"/>
  <c r="O116" i="4"/>
  <c r="P116" i="4" s="1"/>
  <c r="M120" i="4"/>
  <c r="M73" i="4"/>
  <c r="N74" i="4"/>
  <c r="Q74" i="4" s="1"/>
  <c r="L74" i="4"/>
  <c r="L75" i="4"/>
  <c r="N75" i="4"/>
  <c r="Q75" i="4" s="1"/>
  <c r="N91" i="4"/>
  <c r="Q91" i="4" s="1"/>
  <c r="L91" i="4"/>
  <c r="O92" i="4"/>
  <c r="P92" i="4" s="1"/>
  <c r="L121" i="4"/>
  <c r="O75" i="4"/>
  <c r="P75" i="4" s="1"/>
  <c r="L71" i="4"/>
  <c r="L107" i="4"/>
  <c r="K107" i="4"/>
  <c r="O95" i="4"/>
  <c r="P95" i="4" s="1"/>
  <c r="O77" i="4"/>
  <c r="P77" i="4" s="1"/>
  <c r="N89" i="4"/>
  <c r="Q89" i="4" s="1"/>
  <c r="L86" i="4"/>
  <c r="O88" i="4"/>
  <c r="P88" i="4" s="1"/>
  <c r="O87" i="4"/>
  <c r="P87" i="4" s="1"/>
  <c r="O74" i="4"/>
  <c r="P74" i="4" s="1"/>
  <c r="L79" i="4"/>
  <c r="L116" i="4"/>
  <c r="L82" i="4"/>
  <c r="N82" i="4"/>
  <c r="Q82" i="4" s="1"/>
  <c r="N83" i="4"/>
  <c r="Q83" i="4" s="1"/>
  <c r="L83" i="4"/>
  <c r="O86" i="4"/>
  <c r="P86" i="4" s="1"/>
  <c r="L78" i="4"/>
  <c r="N80" i="4"/>
  <c r="Q80" i="4" s="1"/>
  <c r="L80" i="4"/>
  <c r="L92" i="4"/>
  <c r="K76" i="4"/>
  <c r="L77" i="4"/>
  <c r="N84" i="4"/>
  <c r="Q84" i="4" s="1"/>
  <c r="L93" i="4"/>
  <c r="N97" i="4"/>
  <c r="Q97" i="4" s="1"/>
  <c r="L87" i="4"/>
  <c r="M87" i="4" s="1"/>
  <c r="N92" i="4"/>
  <c r="Q92" i="4" s="1"/>
  <c r="K93" i="4"/>
  <c r="J14" i="4"/>
  <c r="J13" i="4" s="1"/>
  <c r="K16" i="4" s="1"/>
  <c r="M121" i="4" l="1"/>
  <c r="M108" i="4"/>
  <c r="M89" i="4"/>
  <c r="M92" i="4"/>
  <c r="M91" i="4"/>
  <c r="M80" i="4"/>
  <c r="M85" i="4"/>
  <c r="M78" i="4"/>
  <c r="M75" i="4"/>
  <c r="M74" i="4"/>
  <c r="M83" i="4"/>
  <c r="M72" i="4"/>
  <c r="O107" i="4"/>
  <c r="P107" i="4" s="1"/>
  <c r="M107" i="4"/>
  <c r="M90" i="4"/>
  <c r="M93" i="4"/>
  <c r="M82" i="4"/>
  <c r="M71" i="4"/>
  <c r="M77" i="4"/>
  <c r="M127" i="4"/>
  <c r="M86" i="4"/>
  <c r="M119" i="4"/>
  <c r="M116" i="4"/>
  <c r="M76" i="4"/>
  <c r="M79" i="4"/>
  <c r="O93" i="4"/>
  <c r="P93" i="4" s="1"/>
  <c r="O76" i="4"/>
  <c r="P76" i="4" s="1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1" i="4" l="1"/>
  <c r="P61" i="4" s="1"/>
  <c r="O60" i="4"/>
  <c r="P60" i="4" s="1"/>
  <c r="O62" i="4"/>
  <c r="P62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3" i="4" l="1"/>
  <c r="M60" i="4"/>
  <c r="M61" i="4"/>
  <c r="M62" i="4"/>
  <c r="M70" i="4"/>
  <c r="M68" i="4"/>
  <c r="O68" i="4"/>
  <c r="P68" i="4" s="1"/>
  <c r="M64" i="4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K45" i="4" s="1"/>
  <c r="J30" i="4"/>
  <c r="K30" i="4" s="1"/>
  <c r="J43" i="4"/>
  <c r="L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5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1" i="4" l="1"/>
  <c r="O48" i="4"/>
  <c r="P48" i="4" s="1"/>
  <c r="M48" i="4"/>
  <c r="L30" i="4"/>
  <c r="O49" i="4"/>
  <c r="P49" i="4" s="1"/>
  <c r="M49" i="4"/>
  <c r="K43" i="4"/>
  <c r="O45" i="4"/>
  <c r="P45" i="4" s="1"/>
  <c r="M45" i="4"/>
  <c r="M31" i="4"/>
  <c r="O31" i="4"/>
  <c r="P31" i="4" s="1"/>
  <c r="M35" i="4"/>
  <c r="O46" i="4"/>
  <c r="P46" i="4" s="1"/>
  <c r="M39" i="4"/>
  <c r="L47" i="4"/>
  <c r="O47" i="4"/>
  <c r="P47" i="4" s="1"/>
  <c r="O33" i="4"/>
  <c r="P33" i="4" s="1"/>
  <c r="O30" i="4"/>
  <c r="P30" i="4" s="1"/>
  <c r="O28" i="4"/>
  <c r="P28" i="4" s="1"/>
  <c r="M44" i="4"/>
  <c r="O43" i="4"/>
  <c r="P43" i="4" s="1"/>
  <c r="M43" i="4"/>
  <c r="O39" i="4"/>
  <c r="P39" i="4" s="1"/>
  <c r="O41" i="4"/>
  <c r="P41" i="4" s="1"/>
  <c r="K35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M30" i="4" l="1"/>
  <c r="O29" i="4"/>
  <c r="P29" i="4" s="1"/>
  <c r="M47" i="4"/>
  <c r="O40" i="4"/>
  <c r="P40" i="4" s="1"/>
  <c r="M33" i="4"/>
  <c r="O37" i="4"/>
  <c r="P37" i="4" s="1"/>
  <c r="O44" i="4"/>
  <c r="P44" i="4" s="1"/>
  <c r="O32" i="4"/>
  <c r="P32" i="4" s="1"/>
  <c r="O34" i="4"/>
  <c r="P34" i="4" s="1"/>
  <c r="M46" i="4"/>
  <c r="O36" i="4"/>
  <c r="P36" i="4" s="1"/>
  <c r="O42" i="4"/>
  <c r="P42" i="4" s="1"/>
  <c r="O35" i="4"/>
  <c r="P35" i="4" s="1"/>
  <c r="O38" i="4"/>
  <c r="P38" i="4" s="1"/>
  <c r="M41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<sst xmlns="http://schemas.openxmlformats.org/spreadsheetml/2006/main" count="340" uniqueCount="315">
  <si>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</si>
  <si>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</si>
  <si>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</si>
  <si>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</si>
  <si>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</si>
  <si>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</si>
  <si>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</si>
  <si>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</si>
  <si>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</si>
  <si>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</si>
  <si>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</si>
  <si>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</si>
  <si>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</si>
  <si>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</si>
  <si>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</si>
  <si>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</si>
  <si>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</si>
  <si>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</si>
  <si>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</si>
  <si>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</si>
  <si>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</si>
  <si>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</si>
  <si>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</si>
  <si>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</si>
  <si>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</si>
  <si>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</si>
  <si>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</si>
  <si>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</si>
  <si>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</si>
  <si>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</si>
  <si>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</si>
  <si>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</si>
  <si>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</si>
  <si>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</si>
  <si>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</si>
  <si>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</si>
  <si>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</si>
  <si>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</si>
  <si>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</si>
  <si>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</si>
  <si>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</si>
  <si>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</si>
  <si>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</si>
  <si>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</si>
  <si>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</si>
  <si>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</si>
  <si>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</si>
  <si>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</si>
  <si>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</si>
  <si>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</si>
  <si>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</si>
  <si>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</si>
  <si>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</si>
  <si>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</si>
  <si>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</si>
  <si>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</si>
  <si>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</si>
  <si>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</si>
  <si>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</si>
  <si>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</si>
  <si>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</si>
  <si>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</si>
  <si>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</si>
  <si>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</si>
  <si>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</si>
  <si>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</si>
  <si>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</si>
  <si>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</si>
  <si>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</si>
  <si>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</si>
  <si>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</si>
  <si>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</si>
  <si>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</si>
  <si>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</si>
  <si>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</si>
  <si>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</si>
  <si>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</si>
  <si>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</si>
  <si>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</si>
  <si>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</si>
  <si>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</si>
  <si>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</si>
  <si>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</si>
  <si>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</si>
  <si>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</si>
  <si>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</si>
  <si>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</si>
  <si>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</si>
  <si>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</si>
  <si>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</si>
  <si>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</si>
  <si>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</si>
  <si>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</si>
  <si>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</si>
  <si>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</si>
  <si>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</si>
  <si>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</si>
  <si>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</si>
  <si>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</si>
  <si>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</si>
  <si>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</si>
  <si>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</si>
  <si>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</si>
  <si>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</si>
  <si>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</si>
  <si>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</si>
  <si>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</si>
  <si>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</si>
  <si>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</si>
  <si>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</si>
  <si>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</si>
  <si>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</si>
  <si>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SH-SY5Y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</si>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</sst>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112</v>
      </c>
      <c r="K17" s="31" t="s">
        <v>80</v>
      </c>
      <c r="L17" s="80">
        <v>1.8482799999999999E-3</v>
      </c>
      <c r="M17" s="80">
        <v>9.2119999999999992E-5</v>
      </c>
      <c r="N17" s="80">
        <v>1.9599999999999999E-5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3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40.010975999999999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39.989630368</v>
      </c>
      <c r="K8" s="39">
        <f>J8/J7</f>
        <v>0.99946650559086592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1.9715871999999999E-2</v>
      </c>
      <c r="K9" s="39">
        <f>J9/J7</f>
        <v>4.9276158622074098E-4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1.6297600000000001E-3</v>
      </c>
      <c r="K10" s="39">
        <f>J10/J7</f>
        <v>4.0732822913392569E-5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1.0976E-2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1.0350367999999999E-2</v>
      </c>
      <c r="K20" s="39">
        <f>J20/J19</f>
        <v>0.94299999999999995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5.1587200000000001E-4</v>
      </c>
      <c r="K21" s="39">
        <f>J21/J19</f>
        <v>4.7E-2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1.0975999999999998E-4</v>
      </c>
      <c r="K22" s="39">
        <f>J22/J19</f>
        <v>9.9999999999999985E-3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4.1938241790910741E-3</v>
      </c>
      <c r="K28" s="93">
        <f t="shared" ref="K28:K47" si="3">IF(D28=0,"",1/(1+10^D28*$J$15/$J$14+10^E28*$J$16/$J$14+10^J28*$J$19/$J$14))</f>
        <v>0.99911952328015441</v>
      </c>
      <c r="L28" s="93">
        <f t="shared" ref="L28:L47" si="4">IF(D28=0,"",1/(1+10^I28/10^J28*$J$13/$J$19))</f>
        <v>2.769621356751668E-4</v>
      </c>
      <c r="M28" s="93">
        <f t="shared" ref="M28:M47" si="5">IF(D28=0,"",1-L28)</f>
        <v>0.99972303786432481</v>
      </c>
      <c r="N28" s="93">
        <f t="shared" ref="N28:N47" si="6">IF(D28=0,"",1/(1/10^E28*$J$20/$J$22+10^D28/10^E28*$J$21/$J$22+10^I28/10^E28*$J$13/$J$22+1))</f>
        <v>3.3146873832990838E-6</v>
      </c>
      <c r="O28" s="40">
        <f t="shared" ref="O28:O47" si="7">IF(D28=0,"",F28*K28*$J$7/$J$14)</f>
        <v>9.99911635904741E-7</v>
      </c>
      <c r="P28" s="40">
        <f t="shared" ref="P28:P47" si="8">IF(D28=0,"",O28*10^J28)</f>
        <v>1.0096141912725802E-6</v>
      </c>
      <c r="Q28" s="40">
        <f t="shared" ref="Q28:Q47" si="9">IF(D28=0,"",F28*N28*$J$7/$J$22)</f>
        <v>1.2083079203779379E-6</v>
      </c>
      <c r="R28" s="9">
        <f>F28*$C$14</f>
        <v>3.9999999999999996E-5</v>
      </c>
      <c r="S28" s="9">
        <f>$R28*L28</f>
        <v>1.107848542700667E-8</v>
      </c>
      <c r="T28" s="9">
        <f t="shared" ref="T28:T91" si="10">R28*K28</f>
        <v>3.9964780931206175E-5</v>
      </c>
      <c r="U28" s="9">
        <f t="shared" ref="U28:U91" si="11">$R28*M28</f>
        <v>3.9988921514572986E-5</v>
      </c>
      <c r="V28" s="100">
        <f>K28/M28</f>
        <v>0.99939631821883423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163</v>
      </c>
      <c r="C29" s="46" t="s">
        <v>164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1.1565813225528148</v>
      </c>
      <c r="K29" s="93">
        <f t="shared" si="3"/>
        <v>0.89569928867478932</v>
      </c>
      <c r="L29" s="93">
        <f t="shared" si="4"/>
        <v>3.5265714049434707E-3</v>
      </c>
      <c r="M29" s="93">
        <f t="shared" si="5"/>
        <v>0.9964734285950565</v>
      </c>
      <c r="N29" s="93">
        <f t="shared" si="6"/>
        <v>9.3491334545843865E-4</v>
      </c>
      <c r="O29" s="40">
        <f t="shared" si="7"/>
        <v>8.9640940863327353E-7</v>
      </c>
      <c r="P29" s="40">
        <f t="shared" si="8"/>
        <v>1.2855463178341792E-5</v>
      </c>
      <c r="Q29" s="40">
        <f t="shared" si="9"/>
        <v>3.4080535192435588E-4</v>
      </c>
      <c r="R29" s="9">
        <f t="shared" ref="R29:R92" si="12">F29*$C$14</f>
        <v>3.9999999999999996E-5</v>
      </c>
      <c r="S29" s="9">
        <f t="shared" ref="S29:S92" si="13">$R29*L29</f>
        <v>1.4106285619773881E-7</v>
      </c>
      <c r="T29" s="9">
        <f t="shared" si="10"/>
        <v>3.5827971546991567E-5</v>
      </c>
      <c r="U29" s="9">
        <f t="shared" si="11"/>
        <v>3.9858937143802254E-5</v>
      </c>
      <c r="V29" s="100">
        <f t="shared" ref="V29:V92" si="14">K29/M29</f>
        <v>0.89886921514570617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165</v>
      </c>
      <c r="C30" s="46" t="s">
        <v>166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3.0740461578301499</v>
      </c>
      <c r="K30" s="93">
        <f t="shared" si="3"/>
        <v>7.4596370016249428E-2</v>
      </c>
      <c r="L30" s="93">
        <f t="shared" si="4"/>
        <v>2.4286950193419095E-2</v>
      </c>
      <c r="M30" s="93">
        <f t="shared" si="5"/>
        <v>0.97571304980658091</v>
      </c>
      <c r="N30" s="93">
        <f t="shared" si="6"/>
        <v>8.9397798564698917E-5</v>
      </c>
      <c r="O30" s="40">
        <f t="shared" si="7"/>
        <v>7.4655510814783928E-8</v>
      </c>
      <c r="P30" s="40">
        <f t="shared" si="8"/>
        <v>8.8533580657988977E-5</v>
      </c>
      <c r="Q30" s="40">
        <f t="shared" si="9"/>
        <v>3.2588312434630136E-5</v>
      </c>
      <c r="R30" s="9">
        <f t="shared" si="12"/>
        <v>3.9999999999999996E-5</v>
      </c>
      <c r="S30" s="9">
        <f t="shared" si="13"/>
        <v>9.7147800773676375E-7</v>
      </c>
      <c r="T30" s="9">
        <f t="shared" si="10"/>
        <v>2.9838548006499769E-6</v>
      </c>
      <c r="U30" s="9">
        <f t="shared" si="11"/>
        <v>3.9028521992263236E-5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-2.2830594724809035E-2</v>
      </c>
      <c r="K31" s="93">
        <f t="shared" si="3"/>
        <v>0.99968151507862091</v>
      </c>
      <c r="L31" s="93">
        <f t="shared" si="4"/>
        <v>2.6039953049913418E-4</v>
      </c>
      <c r="M31" s="93">
        <f t="shared" si="5"/>
        <v>0.99973960046950083</v>
      </c>
      <c r="N31" s="93">
        <f t="shared" si="6"/>
        <v>4.4623336522588269E-8</v>
      </c>
      <c r="O31" s="40">
        <f t="shared" si="7"/>
        <v>1.0004740732563053E-6</v>
      </c>
      <c r="P31" s="40">
        <f t="shared" si="8"/>
        <v>9.4923828035824782E-7</v>
      </c>
      <c r="Q31" s="40">
        <f t="shared" si="9"/>
        <v>1.6266611212146526E-8</v>
      </c>
      <c r="R31" s="9">
        <f t="shared" si="12"/>
        <v>3.9999999999999996E-5</v>
      </c>
      <c r="S31" s="9">
        <f t="shared" si="13"/>
        <v>1.0415981219965367E-8</v>
      </c>
      <c r="T31" s="9">
        <f t="shared" si="10"/>
        <v>3.9987260603144833E-5</v>
      </c>
      <c r="U31" s="9">
        <f t="shared" si="11"/>
        <v>3.9989584018780032E-5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5.2623632451242734E-2</v>
      </c>
      <c r="K32" s="93">
        <f t="shared" si="3"/>
        <v>0.99792413850994388</v>
      </c>
      <c r="L32" s="93">
        <f t="shared" si="4"/>
        <v>3.0926465611669636E-4</v>
      </c>
      <c r="M32" s="93">
        <f t="shared" si="5"/>
        <v>0.99969073534388331</v>
      </c>
      <c r="N32" s="93">
        <f t="shared" si="6"/>
        <v>5.4836312080494989E-6</v>
      </c>
      <c r="O32" s="40">
        <f t="shared" si="7"/>
        <v>9.9871530342072274E-7</v>
      </c>
      <c r="P32" s="40">
        <f t="shared" si="8"/>
        <v>1.1273670493379551E-6</v>
      </c>
      <c r="Q32" s="40">
        <f t="shared" si="9"/>
        <v>1.9989562377744128E-6</v>
      </c>
      <c r="R32" s="9">
        <f t="shared" si="12"/>
        <v>3.9999999999999996E-5</v>
      </c>
      <c r="S32" s="9">
        <f t="shared" si="13"/>
        <v>1.2370586244667853E-8</v>
      </c>
      <c r="T32" s="9">
        <f t="shared" si="10"/>
        <v>3.9916965540397752E-5</v>
      </c>
      <c r="U32" s="9">
        <f t="shared" si="11"/>
        <v>3.9987629413755329E-5</v>
      </c>
      <c r="V32" s="100">
        <f t="shared" si="14"/>
        <v>0.99823285665108041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167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0.57389670394462478</v>
      </c>
      <c r="K33" s="93">
        <f t="shared" si="3"/>
        <v>0.97559084739299362</v>
      </c>
      <c r="L33" s="93">
        <f t="shared" si="4"/>
        <v>1.0040921021777056E-3</v>
      </c>
      <c r="M33" s="93">
        <f t="shared" si="5"/>
        <v>0.99899590789782233</v>
      </c>
      <c r="N33" s="93">
        <f t="shared" si="6"/>
        <v>1.9534948004865641E-4</v>
      </c>
      <c r="O33" s="40">
        <f t="shared" si="7"/>
        <v>9.7636430623214652E-7</v>
      </c>
      <c r="P33" s="40">
        <f t="shared" si="8"/>
        <v>3.6602318697177236E-6</v>
      </c>
      <c r="Q33" s="40">
        <f t="shared" si="9"/>
        <v>7.1211036423462763E-5</v>
      </c>
      <c r="R33" s="9">
        <f t="shared" si="12"/>
        <v>3.9999999999999996E-5</v>
      </c>
      <c r="S33" s="9">
        <f t="shared" si="13"/>
        <v>4.016368408710822E-8</v>
      </c>
      <c r="T33" s="9">
        <f t="shared" si="10"/>
        <v>3.9023633895719744E-5</v>
      </c>
      <c r="U33" s="9">
        <f t="shared" si="11"/>
        <v>3.9959836315912893E-5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3.0584256456650125E-2</v>
      </c>
      <c r="K34" s="93">
        <f t="shared" si="3"/>
        <v>0.99845869767802153</v>
      </c>
      <c r="L34" s="93">
        <f t="shared" si="4"/>
        <v>2.9411927775367333E-4</v>
      </c>
      <c r="M34" s="93">
        <f t="shared" si="5"/>
        <v>0.99970588072224631</v>
      </c>
      <c r="N34" s="93">
        <f t="shared" si="6"/>
        <v>3.3687179015631597E-6</v>
      </c>
      <c r="O34" s="40">
        <f t="shared" si="7"/>
        <v>9.9925028639301586E-7</v>
      </c>
      <c r="P34" s="40">
        <f t="shared" si="8"/>
        <v>1.0721573763975543E-6</v>
      </c>
      <c r="Q34" s="40">
        <f t="shared" si="9"/>
        <v>1.2280037455376638E-6</v>
      </c>
      <c r="R34" s="9">
        <f t="shared" si="12"/>
        <v>3.9999999999999996E-5</v>
      </c>
      <c r="S34" s="9">
        <f t="shared" si="13"/>
        <v>1.1764771110146932E-8</v>
      </c>
      <c r="T34" s="9">
        <f t="shared" si="10"/>
        <v>3.993834790712086E-5</v>
      </c>
      <c r="U34" s="9">
        <f t="shared" si="11"/>
        <v>3.9988235228889851E-5</v>
      </c>
      <c r="V34" s="100">
        <f t="shared" si="14"/>
        <v>0.9987524500272783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1.7172996903480602E-2</v>
      </c>
      <c r="K35" s="93">
        <f t="shared" si="3"/>
        <v>0.99877437276770809</v>
      </c>
      <c r="L35" s="93">
        <f t="shared" si="4"/>
        <v>2.8526567465066258E-4</v>
      </c>
      <c r="M35" s="93">
        <f t="shared" si="5"/>
        <v>0.9997147343253493</v>
      </c>
      <c r="N35" s="93">
        <f t="shared" si="6"/>
        <v>2.2673817972760057E-6</v>
      </c>
      <c r="O35" s="40">
        <f t="shared" si="7"/>
        <v>9.9956621175328341E-7</v>
      </c>
      <c r="P35" s="40">
        <f t="shared" si="8"/>
        <v>1.0398832053636541E-6</v>
      </c>
      <c r="Q35" s="40">
        <f t="shared" si="9"/>
        <v>8.265320578867269E-7</v>
      </c>
      <c r="R35" s="9">
        <f t="shared" si="12"/>
        <v>3.9999999999999996E-5</v>
      </c>
      <c r="S35" s="9">
        <f t="shared" si="13"/>
        <v>1.1410626986026501E-8</v>
      </c>
      <c r="T35" s="9">
        <f t="shared" si="10"/>
        <v>3.9950974910708317E-5</v>
      </c>
      <c r="U35" s="9">
        <f t="shared" si="11"/>
        <v>3.9988589373013966E-5</v>
      </c>
      <c r="V35" s="100">
        <f t="shared" si="14"/>
        <v>0.99905937011293944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168</v>
      </c>
      <c r="C36" s="46" t="s">
        <v>169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2.4171487022124163</v>
      </c>
      <c r="K36" s="93">
        <f t="shared" si="3"/>
        <v>0.34554710953926099</v>
      </c>
      <c r="L36" s="93">
        <f t="shared" si="4"/>
        <v>2.4789347560661951E-2</v>
      </c>
      <c r="M36" s="93">
        <f t="shared" si="5"/>
        <v>0.97521065243933802</v>
      </c>
      <c r="N36" s="93">
        <f t="shared" si="6"/>
        <v>1.2393169637724364E-2</v>
      </c>
      <c r="O36" s="40">
        <f t="shared" si="7"/>
        <v>3.4582106297674042E-7</v>
      </c>
      <c r="P36" s="40">
        <f t="shared" si="8"/>
        <v>9.0364977250847645E-5</v>
      </c>
      <c r="Q36" s="40">
        <f t="shared" si="9"/>
        <v>4.5177005552015153E-3</v>
      </c>
      <c r="R36" s="9">
        <f t="shared" si="12"/>
        <v>3.9999999999999996E-5</v>
      </c>
      <c r="S36" s="9">
        <f t="shared" si="13"/>
        <v>9.9157390242647786E-7</v>
      </c>
      <c r="T36" s="9">
        <f t="shared" si="10"/>
        <v>1.3821884381570438E-5</v>
      </c>
      <c r="U36" s="9">
        <f t="shared" si="11"/>
        <v>3.9008426097573515E-5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170</v>
      </c>
      <c r="C37" s="94" t="s">
        <v>171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4.5456726093926623</v>
      </c>
      <c r="K37" s="93">
        <f t="shared" si="3"/>
        <v>5.9419100362524818E-3</v>
      </c>
      <c r="L37" s="93">
        <f t="shared" si="4"/>
        <v>5.7307018132972953E-2</v>
      </c>
      <c r="M37" s="93">
        <f t="shared" si="5"/>
        <v>0.9426929818670271</v>
      </c>
      <c r="N37" s="93">
        <f t="shared" si="6"/>
        <v>5.1179625370556765E-2</v>
      </c>
      <c r="O37" s="40">
        <f t="shared" si="7"/>
        <v>5.9466208459646384E-9</v>
      </c>
      <c r="P37" s="40">
        <f t="shared" si="8"/>
        <v>2.0890212528698477E-4</v>
      </c>
      <c r="Q37" s="40">
        <f t="shared" si="9"/>
        <v>1.8656584934314303E-2</v>
      </c>
      <c r="R37" s="9">
        <f t="shared" si="12"/>
        <v>3.9999999999999996E-5</v>
      </c>
      <c r="S37" s="9">
        <f t="shared" si="13"/>
        <v>2.292280725318918E-6</v>
      </c>
      <c r="T37" s="9">
        <f t="shared" si="10"/>
        <v>2.3767640145009924E-7</v>
      </c>
      <c r="U37" s="9">
        <f t="shared" si="11"/>
        <v>3.7707719274681079E-5</v>
      </c>
      <c r="V37" s="100">
        <f t="shared" si="14"/>
        <v>6.3031232337005206E-3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172</v>
      </c>
      <c r="C38" s="46" t="s">
        <v>173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-1.8583509948609172E-2</v>
      </c>
      <c r="K38" s="93">
        <f t="shared" si="3"/>
        <v>0.99958671499571594</v>
      </c>
      <c r="L38" s="93">
        <f t="shared" si="4"/>
        <v>2.6293360468764633E-4</v>
      </c>
      <c r="M38" s="93">
        <f t="shared" si="5"/>
        <v>0.99973706639531235</v>
      </c>
      <c r="N38" s="93">
        <f t="shared" si="6"/>
        <v>1.7136534252226206E-7</v>
      </c>
      <c r="O38" s="40">
        <f t="shared" si="7"/>
        <v>1.0003791980148823E-6</v>
      </c>
      <c r="P38" s="40">
        <f t="shared" si="8"/>
        <v>9.5847577867628469E-7</v>
      </c>
      <c r="Q38" s="40">
        <f t="shared" si="9"/>
        <v>6.246806310942062E-8</v>
      </c>
      <c r="R38" s="9">
        <f t="shared" si="12"/>
        <v>3.9999999999999996E-5</v>
      </c>
      <c r="S38" s="9">
        <f t="shared" si="13"/>
        <v>1.0517344187505852E-8</v>
      </c>
      <c r="T38" s="9">
        <f t="shared" si="10"/>
        <v>3.9983468599828631E-5</v>
      </c>
      <c r="U38" s="9">
        <f t="shared" si="11"/>
        <v>3.9989482655812493E-5</v>
      </c>
      <c r="V38" s="100">
        <f t="shared" si="14"/>
        <v>0.99984960905757103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1.1540090280827044</v>
      </c>
      <c r="K39" s="93">
        <f t="shared" si="3"/>
        <v>0.89228371173113152</v>
      </c>
      <c r="L39" s="93">
        <f t="shared" si="4"/>
        <v>3.4923770301164372E-3</v>
      </c>
      <c r="M39" s="93">
        <f t="shared" si="5"/>
        <v>0.9965076229698836</v>
      </c>
      <c r="N39" s="93">
        <f t="shared" si="6"/>
        <v>7.3425023645802545E-4</v>
      </c>
      <c r="O39" s="40">
        <f t="shared" si="7"/>
        <v>8.9299112378375054E-7</v>
      </c>
      <c r="P39" s="40">
        <f t="shared" si="8"/>
        <v>1.2730813915355327E-5</v>
      </c>
      <c r="Q39" s="40">
        <f t="shared" si="9"/>
        <v>2.6765733043837813E-4</v>
      </c>
      <c r="R39" s="9">
        <f t="shared" si="12"/>
        <v>3.9999999999999996E-5</v>
      </c>
      <c r="S39" s="9">
        <f t="shared" si="13"/>
        <v>1.3969508120465746E-7</v>
      </c>
      <c r="T39" s="9">
        <f t="shared" si="10"/>
        <v>3.5691348469245254E-5</v>
      </c>
      <c r="U39" s="9">
        <f t="shared" si="11"/>
        <v>3.986030491879534E-5</v>
      </c>
      <c r="V39" s="100">
        <f t="shared" si="14"/>
        <v>0.89541082392512528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174</v>
      </c>
      <c r="C40" s="46" t="s">
        <v>175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1.2741658230618662</v>
      </c>
      <c r="K40" s="93">
        <f t="shared" si="3"/>
        <v>0.87676176271306727</v>
      </c>
      <c r="L40" s="93">
        <f t="shared" si="4"/>
        <v>4.5253956395251392E-3</v>
      </c>
      <c r="M40" s="93">
        <f t="shared" si="5"/>
        <v>0.99547460436047486</v>
      </c>
      <c r="N40" s="93">
        <f t="shared" si="6"/>
        <v>1.7658261774061827E-3</v>
      </c>
      <c r="O40" s="40">
        <f t="shared" si="7"/>
        <v>8.7745686879879346E-7</v>
      </c>
      <c r="P40" s="40">
        <f t="shared" si="8"/>
        <v>1.649649201198479E-5</v>
      </c>
      <c r="Q40" s="40">
        <f t="shared" si="9"/>
        <v>6.4369924202232619E-4</v>
      </c>
      <c r="R40" s="9">
        <f t="shared" si="12"/>
        <v>3.9999999999999996E-5</v>
      </c>
      <c r="S40" s="9">
        <f t="shared" si="13"/>
        <v>1.8101582558100556E-7</v>
      </c>
      <c r="T40" s="9">
        <f t="shared" si="10"/>
        <v>3.5070470508522688E-5</v>
      </c>
      <c r="U40" s="9">
        <f t="shared" si="11"/>
        <v>3.9818984174418994E-5</v>
      </c>
      <c r="V40" s="100">
        <f t="shared" si="14"/>
        <v>0.88074749358003712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176</v>
      </c>
      <c r="C41" s="94" t="s">
        <v>177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0.43147013822686364</v>
      </c>
      <c r="K41" s="93">
        <f t="shared" si="3"/>
        <v>0.98362704305987414</v>
      </c>
      <c r="L41" s="93">
        <f t="shared" si="4"/>
        <v>7.2930590251565701E-4</v>
      </c>
      <c r="M41" s="93">
        <f t="shared" si="5"/>
        <v>0.99927069409748437</v>
      </c>
      <c r="N41" s="93">
        <f t="shared" si="6"/>
        <v>8.6528383464583867E-5</v>
      </c>
      <c r="O41" s="40">
        <f t="shared" si="7"/>
        <v>9.8440687308074564E-7</v>
      </c>
      <c r="P41" s="40">
        <f t="shared" si="8"/>
        <v>2.65854965034733E-6</v>
      </c>
      <c r="Q41" s="40">
        <f t="shared" si="9"/>
        <v>3.1542320281707931E-5</v>
      </c>
      <c r="R41" s="9">
        <f t="shared" si="12"/>
        <v>3.9999999999999996E-5</v>
      </c>
      <c r="S41" s="9">
        <f t="shared" si="13"/>
        <v>2.9172236100626277E-8</v>
      </c>
      <c r="T41" s="9">
        <f t="shared" si="10"/>
        <v>3.9345081722394961E-5</v>
      </c>
      <c r="U41" s="9">
        <f t="shared" si="11"/>
        <v>3.9970827763899368E-5</v>
      </c>
      <c r="V41" s="100">
        <f t="shared" si="14"/>
        <v>0.98434493162862224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178</v>
      </c>
      <c r="C42" s="46" t="s">
        <v>179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0.97961580067951626</v>
      </c>
      <c r="K42" s="93">
        <f t="shared" si="3"/>
        <v>0.9335161126878645</v>
      </c>
      <c r="L42" s="93">
        <f t="shared" si="4"/>
        <v>2.4453822127597897E-3</v>
      </c>
      <c r="M42" s="93">
        <f t="shared" si="5"/>
        <v>0.99755461778724019</v>
      </c>
      <c r="N42" s="93">
        <f t="shared" si="6"/>
        <v>7.6935883999341818E-4</v>
      </c>
      <c r="O42" s="40">
        <f t="shared" si="7"/>
        <v>9.3425621422815625E-7</v>
      </c>
      <c r="P42" s="40">
        <f t="shared" si="8"/>
        <v>8.9141881400837155E-6</v>
      </c>
      <c r="Q42" s="40">
        <f t="shared" si="9"/>
        <v>2.8045552188743164E-4</v>
      </c>
      <c r="R42" s="9">
        <f t="shared" si="12"/>
        <v>3.9999999999999996E-5</v>
      </c>
      <c r="S42" s="9">
        <f t="shared" si="13"/>
        <v>9.7815288510391579E-8</v>
      </c>
      <c r="T42" s="9">
        <f t="shared" si="10"/>
        <v>3.7340644507514576E-5</v>
      </c>
      <c r="U42" s="9">
        <f t="shared" si="11"/>
        <v>3.9902184711489605E-5</v>
      </c>
      <c r="V42" s="100">
        <f t="shared" si="14"/>
        <v>0.93580451239710072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180</v>
      </c>
      <c r="C43" s="46" t="s">
        <v>181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1.1375458252816428</v>
      </c>
      <c r="K43" s="93">
        <f t="shared" si="3"/>
        <v>0.89796597019776403</v>
      </c>
      <c r="L43" s="93">
        <f t="shared" si="4"/>
        <v>3.383879067220279E-3</v>
      </c>
      <c r="M43" s="93">
        <f t="shared" si="5"/>
        <v>0.99661612093277974</v>
      </c>
      <c r="N43" s="93">
        <f t="shared" si="6"/>
        <v>7.9761627795120785E-4</v>
      </c>
      <c r="O43" s="40">
        <f t="shared" si="7"/>
        <v>8.9867788720555871E-7</v>
      </c>
      <c r="P43" s="40">
        <f t="shared" si="8"/>
        <v>1.2335304677974939E-5</v>
      </c>
      <c r="Q43" s="40">
        <f t="shared" si="9"/>
        <v>2.9075624776161725E-4</v>
      </c>
      <c r="R43" s="9">
        <f t="shared" si="12"/>
        <v>3.9999999999999996E-5</v>
      </c>
      <c r="S43" s="9">
        <f t="shared" si="13"/>
        <v>1.3535516268881115E-7</v>
      </c>
      <c r="T43" s="9">
        <f t="shared" si="10"/>
        <v>3.5918638807910558E-5</v>
      </c>
      <c r="U43" s="9">
        <f t="shared" si="11"/>
        <v>3.9864644837311189E-5</v>
      </c>
      <c r="V43" s="100">
        <f t="shared" si="14"/>
        <v>0.90101489564238191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182</v>
      </c>
      <c r="C44" s="46" t="s">
        <v>183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5.1461538106089488</v>
      </c>
      <c r="K44" s="93">
        <f t="shared" si="3"/>
        <v>1.398967023371983E-3</v>
      </c>
      <c r="L44" s="93">
        <f t="shared" si="4"/>
        <v>5.3773761648017636E-2</v>
      </c>
      <c r="M44" s="93">
        <f t="shared" si="5"/>
        <v>0.94622623835198238</v>
      </c>
      <c r="N44" s="93">
        <f t="shared" si="6"/>
        <v>4.5208969443404967E-2</v>
      </c>
      <c r="O44" s="40">
        <f t="shared" si="7"/>
        <v>1.4000761393633862E-9</v>
      </c>
      <c r="P44" s="40">
        <f t="shared" si="8"/>
        <v>1.9602229288707686E-4</v>
      </c>
      <c r="Q44" s="40">
        <f t="shared" si="9"/>
        <v>1.6480092851537991E-2</v>
      </c>
      <c r="R44" s="9">
        <f t="shared" si="12"/>
        <v>3.9999999999999996E-5</v>
      </c>
      <c r="S44" s="9">
        <f t="shared" si="13"/>
        <v>2.1509504659207054E-6</v>
      </c>
      <c r="T44" s="9">
        <f t="shared" si="10"/>
        <v>5.5958680934879319E-8</v>
      </c>
      <c r="U44" s="9">
        <f t="shared" si="11"/>
        <v>3.7849049534079295E-5</v>
      </c>
      <c r="V44" s="100">
        <f t="shared" si="14"/>
        <v>1.4784699120249799E-3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184</v>
      </c>
      <c r="C45" s="46" t="s">
        <v>185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0.31070489262972562</v>
      </c>
      <c r="K45" s="93">
        <f t="shared" si="3"/>
        <v>0.98986581062261136</v>
      </c>
      <c r="L45" s="93">
        <f t="shared" si="4"/>
        <v>5.5576391695403942E-4</v>
      </c>
      <c r="M45" s="93">
        <f t="shared" si="5"/>
        <v>0.999444236083046</v>
      </c>
      <c r="N45" s="93">
        <f t="shared" si="6"/>
        <v>6.7107560887611387E-5</v>
      </c>
      <c r="O45" s="40">
        <f t="shared" si="7"/>
        <v>9.9065058680501101E-7</v>
      </c>
      <c r="P45" s="40">
        <f t="shared" si="8"/>
        <v>2.0259344700176804E-6</v>
      </c>
      <c r="Q45" s="40">
        <f t="shared" si="9"/>
        <v>2.4462818951282416E-5</v>
      </c>
      <c r="R45" s="9">
        <f t="shared" si="12"/>
        <v>3.9999999999999996E-5</v>
      </c>
      <c r="S45" s="9">
        <f t="shared" si="13"/>
        <v>2.2230556678161573E-8</v>
      </c>
      <c r="T45" s="9">
        <f t="shared" si="10"/>
        <v>3.9594632424904452E-5</v>
      </c>
      <c r="U45" s="9">
        <f t="shared" si="11"/>
        <v>3.9977769443321836E-5</v>
      </c>
      <c r="V45" s="100">
        <f t="shared" si="14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186</v>
      </c>
      <c r="C46" s="46" t="s">
        <v>187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0.32070219402122674</v>
      </c>
      <c r="K46" s="93">
        <f t="shared" si="3"/>
        <v>0.98930457437386599</v>
      </c>
      <c r="L46" s="93">
        <f t="shared" si="4"/>
        <v>5.6838334172827122E-4</v>
      </c>
      <c r="M46" s="93">
        <f t="shared" si="5"/>
        <v>0.99943161665827174</v>
      </c>
      <c r="N46" s="93">
        <f t="shared" si="6"/>
        <v>6.3961132832604013E-5</v>
      </c>
      <c r="O46" s="40">
        <f t="shared" si="7"/>
        <v>9.9008890560217599E-7</v>
      </c>
      <c r="P46" s="40">
        <f t="shared" si="8"/>
        <v>2.0719362467829498E-6</v>
      </c>
      <c r="Q46" s="40">
        <f t="shared" si="9"/>
        <v>2.3315846854028166E-5</v>
      </c>
      <c r="R46" s="9">
        <f t="shared" si="12"/>
        <v>3.9999999999999996E-5</v>
      </c>
      <c r="S46" s="9">
        <f t="shared" si="13"/>
        <v>2.2735333669130847E-8</v>
      </c>
      <c r="T46" s="9">
        <f t="shared" si="10"/>
        <v>3.9572182974954639E-5</v>
      </c>
      <c r="U46" s="9">
        <f t="shared" si="11"/>
        <v>3.9977264666330864E-5</v>
      </c>
      <c r="V46" s="100">
        <f t="shared" si="14"/>
        <v>0.98986719839995974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188</v>
      </c>
      <c r="C47" s="46" t="s">
        <v>189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1.4956502827878047</v>
      </c>
      <c r="K47" s="93">
        <f t="shared" si="3"/>
        <v>0.81316442155582125</v>
      </c>
      <c r="L47" s="93">
        <f t="shared" si="4"/>
        <v>6.9893659726061935E-3</v>
      </c>
      <c r="M47" s="93">
        <f t="shared" si="5"/>
        <v>0.99301063402739376</v>
      </c>
      <c r="N47" s="93">
        <f t="shared" si="6"/>
        <v>3.1002125990737084E-3</v>
      </c>
      <c r="O47" s="40">
        <f t="shared" si="7"/>
        <v>8.1380910699051709E-7</v>
      </c>
      <c r="P47" s="40">
        <f t="shared" si="8"/>
        <v>2.5478439703458731E-5</v>
      </c>
      <c r="Q47" s="40">
        <f t="shared" si="9"/>
        <v>1.1301251083858945E-3</v>
      </c>
      <c r="R47" s="9">
        <f t="shared" si="12"/>
        <v>3.9999999999999996E-5</v>
      </c>
      <c r="S47" s="9">
        <f t="shared" si="13"/>
        <v>2.7957463890424769E-7</v>
      </c>
      <c r="T47" s="9">
        <f t="shared" si="10"/>
        <v>3.2526576862232847E-5</v>
      </c>
      <c r="U47" s="9">
        <f t="shared" si="11"/>
        <v>3.9720425361095744E-5</v>
      </c>
      <c r="V47" s="100">
        <f t="shared" si="14"/>
        <v>0.81888792898202623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2.1447334021721217E-2</v>
      </c>
      <c r="K48" s="93">
        <f t="shared" ref="K48:K50" si="17">IF(D48=0,"",1/(1+10^D48*$J$15/$J$14+10^E48*$J$16/$J$14+10^J48*$J$19/$J$14))</f>
        <v>0.99871093938995859</v>
      </c>
      <c r="L48" s="93">
        <f t="shared" ref="L48:L50" si="18">IF(D48=0,"",1/(1+10^I48/10^J48*$J$13/$J$19))</f>
        <v>2.8806883140070186E-4</v>
      </c>
      <c r="M48" s="93">
        <f t="shared" ref="M48:M92" si="19">IF(D48=0,"",1-L48)</f>
        <v>0.99971193116859924</v>
      </c>
      <c r="N48" s="93">
        <f t="shared" ref="N48:N50" si="20">IF(D48=0,"",1/(1/10^E48*$J$20/$J$22+10^D48/10^E48*$J$21/$J$22+10^I48/10^E48*$J$13/$J$22+1))</f>
        <v>4.1634076591072866E-6</v>
      </c>
      <c r="O48" s="40">
        <f t="shared" ref="O48:O92" si="21">IF(D48=0,"",F48*K48*$J$7/$J$14)</f>
        <v>9.9950272808487489E-7</v>
      </c>
      <c r="P48" s="40">
        <f t="shared" ref="P48:P50" si="22">IF(D48=0,"",O48*10^J48)</f>
        <v>1.0501015943441622E-6</v>
      </c>
      <c r="Q48" s="40">
        <f t="shared" ref="Q48:Q50" si="23">IF(D48=0,"",F48*N48*$J$7/$J$22)</f>
        <v>1.5176931844639017E-6</v>
      </c>
      <c r="R48" s="9">
        <f t="shared" si="12"/>
        <v>3.9999999999999996E-5</v>
      </c>
      <c r="S48" s="9">
        <f t="shared" si="13"/>
        <v>1.1522753256028074E-8</v>
      </c>
      <c r="T48" s="9">
        <f t="shared" si="10"/>
        <v>3.9948437575598339E-5</v>
      </c>
      <c r="U48" s="9">
        <f t="shared" si="11"/>
        <v>3.9988477246743966E-5</v>
      </c>
      <c r="V48" s="100">
        <f t="shared" si="14"/>
        <v>0.99899871978373755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190</v>
      </c>
      <c r="C49" s="46" t="s">
        <v>191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0.56646209105716006</v>
      </c>
      <c r="K49" s="93">
        <f t="shared" si="17"/>
        <v>0.97662310706934152</v>
      </c>
      <c r="L49" s="93">
        <f t="shared" si="18"/>
        <v>9.8809389609983539E-4</v>
      </c>
      <c r="M49" s="93">
        <f t="shared" si="19"/>
        <v>0.99901190610390012</v>
      </c>
      <c r="N49" s="93">
        <f t="shared" si="20"/>
        <v>2.129311136064328E-4</v>
      </c>
      <c r="O49" s="40">
        <f t="shared" si="21"/>
        <v>9.7739738429498599E-7</v>
      </c>
      <c r="P49" s="40">
        <f t="shared" si="22"/>
        <v>3.6019133712278617E-6</v>
      </c>
      <c r="Q49" s="40">
        <f t="shared" si="23"/>
        <v>7.7620095446066475E-5</v>
      </c>
      <c r="R49" s="9">
        <f t="shared" si="12"/>
        <v>3.9999999999999996E-5</v>
      </c>
      <c r="S49" s="9">
        <f t="shared" si="13"/>
        <v>3.9523755843993411E-8</v>
      </c>
      <c r="T49" s="9">
        <f t="shared" si="10"/>
        <v>3.906492428277366E-5</v>
      </c>
      <c r="U49" s="9">
        <f t="shared" si="11"/>
        <v>3.9960476244155999E-5</v>
      </c>
      <c r="V49" s="100">
        <f t="shared" si="14"/>
        <v>0.97758905684930841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192</v>
      </c>
      <c r="C50" s="46" t="s">
        <v>193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1.4536912879965904</v>
      </c>
      <c r="K50" s="93">
        <f t="shared" si="17"/>
        <v>0.81329714861065217</v>
      </c>
      <c r="L50" s="93">
        <f t="shared" si="18"/>
        <v>6.346724803499358E-3</v>
      </c>
      <c r="M50" s="93">
        <f t="shared" si="19"/>
        <v>0.9936532751965006</v>
      </c>
      <c r="N50" s="93">
        <f t="shared" si="20"/>
        <v>2.0548890577651094E-3</v>
      </c>
      <c r="O50" s="40">
        <f t="shared" si="21"/>
        <v>8.1394193927277408E-7</v>
      </c>
      <c r="P50" s="40">
        <f t="shared" si="22"/>
        <v>2.3135810294407575E-5</v>
      </c>
      <c r="Q50" s="40">
        <f t="shared" si="23"/>
        <v>7.4907176360151624E-4</v>
      </c>
      <c r="R50" s="9">
        <f t="shared" si="12"/>
        <v>3.9999999999999996E-5</v>
      </c>
      <c r="S50" s="9">
        <f t="shared" si="13"/>
        <v>2.5386899213997429E-7</v>
      </c>
      <c r="T50" s="9">
        <f t="shared" si="10"/>
        <v>3.2531885944426081E-5</v>
      </c>
      <c r="U50" s="9">
        <f t="shared" si="11"/>
        <v>3.9746131007860019E-5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194</v>
      </c>
      <c r="C51" s="46" t="s">
        <v>195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4.2069917533022263</v>
      </c>
      <c r="K51" s="93">
        <f t="shared" ref="K51:K70" si="26">IF(D51=0,"",1/(1+10^D51*$J$15/$J$14+10^E51*$J$16/$J$14+10^J51*$J$19/$J$14))</f>
        <v>9.9608895197396807E-3</v>
      </c>
      <c r="L51" s="93">
        <f t="shared" ref="L51:L70" si="27">IF(D51=0,"",1/(1+10^I51/10^J51*$J$13/$J$19))</f>
        <v>4.4045242594191056E-2</v>
      </c>
      <c r="M51" s="93">
        <f t="shared" ref="M51:M70" si="28">IF(D51=0,"",1-L51)</f>
        <v>0.95595475740580893</v>
      </c>
      <c r="N51" s="93">
        <f t="shared" ref="N51:N70" si="29">IF(D51=0,"",1/(1/10^E51*$J$20/$J$22+10^D51/10^E51*$J$21/$J$22+10^I51/10^E51*$J$13/$J$22+1))</f>
        <v>2.9662192774380439E-2</v>
      </c>
      <c r="O51" s="40">
        <f t="shared" ref="O51:O70" si="30">IF(D51=0,"",F51*K51*$J$7/$J$14)</f>
        <v>9.9687866192926887E-9</v>
      </c>
      <c r="P51" s="40">
        <f t="shared" ref="P51:P70" si="31">IF(D51=0,"",O51*10^J51)</f>
        <v>1.6055877772871326E-4</v>
      </c>
      <c r="Q51" s="40">
        <f t="shared" ref="Q51:Q70" si="32">IF(D51=0,"",F51*N51*$J$7/$J$22)</f>
        <v>1.0812803236179931E-2</v>
      </c>
      <c r="R51" s="9">
        <f t="shared" si="12"/>
        <v>3.9999999999999996E-5</v>
      </c>
      <c r="S51" s="9">
        <f t="shared" si="13"/>
        <v>1.761809703767642E-6</v>
      </c>
      <c r="T51" s="9">
        <f t="shared" si="10"/>
        <v>3.9843558078958719E-7</v>
      </c>
      <c r="U51" s="9">
        <f t="shared" si="11"/>
        <v>3.8238190296232353E-5</v>
      </c>
      <c r="V51" s="100">
        <f t="shared" si="14"/>
        <v>1.0419833619292529E-2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196</v>
      </c>
      <c r="C52" s="46" t="s">
        <v>197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1.6793358904404492</v>
      </c>
      <c r="K52" s="93">
        <f t="shared" si="26"/>
        <v>0.73838635363854088</v>
      </c>
      <c r="L52" s="93">
        <f t="shared" si="27"/>
        <v>9.6878784680288713E-3</v>
      </c>
      <c r="M52" s="93">
        <f t="shared" si="28"/>
        <v>0.99031212153197112</v>
      </c>
      <c r="N52" s="93">
        <f t="shared" si="29"/>
        <v>4.3443498494051182E-3</v>
      </c>
      <c r="O52" s="40">
        <f t="shared" si="30"/>
        <v>7.389717542226665E-7</v>
      </c>
      <c r="P52" s="40">
        <f t="shared" si="31"/>
        <v>3.5315367426678204E-5</v>
      </c>
      <c r="Q52" s="40">
        <f t="shared" si="32"/>
        <v>1.5836523101325785E-3</v>
      </c>
      <c r="R52" s="9">
        <f t="shared" si="12"/>
        <v>3.9999999999999996E-5</v>
      </c>
      <c r="S52" s="9">
        <f t="shared" si="13"/>
        <v>3.8751513872115481E-7</v>
      </c>
      <c r="T52" s="9">
        <f t="shared" si="10"/>
        <v>2.9535454145541632E-5</v>
      </c>
      <c r="U52" s="9">
        <f t="shared" si="11"/>
        <v>3.9612484861278839E-5</v>
      </c>
      <c r="V52" s="100">
        <f t="shared" si="14"/>
        <v>0.74560973008821529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198</v>
      </c>
      <c r="C53" s="46" t="s">
        <v>199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2.4736918816104327</v>
      </c>
      <c r="K53" s="93">
        <f t="shared" si="26"/>
        <v>0.32877704456296714</v>
      </c>
      <c r="L53" s="93">
        <f t="shared" si="27"/>
        <v>2.6865968342475198E-2</v>
      </c>
      <c r="M53" s="93">
        <f t="shared" si="28"/>
        <v>0.97313403165752477</v>
      </c>
      <c r="N53" s="93">
        <f t="shared" si="29"/>
        <v>1.5078516551524562E-2</v>
      </c>
      <c r="O53" s="40">
        <f t="shared" si="30"/>
        <v>3.2903770251389739E-7</v>
      </c>
      <c r="P53" s="40">
        <f t="shared" si="31"/>
        <v>9.7934913863660284E-5</v>
      </c>
      <c r="Q53" s="40">
        <f t="shared" si="32"/>
        <v>5.4965940584789739E-3</v>
      </c>
      <c r="R53" s="9">
        <f t="shared" si="12"/>
        <v>3.9999999999999996E-5</v>
      </c>
      <c r="S53" s="9">
        <f t="shared" si="13"/>
        <v>1.0746387336990079E-6</v>
      </c>
      <c r="T53" s="9">
        <f t="shared" si="10"/>
        <v>1.3151081782518684E-5</v>
      </c>
      <c r="U53" s="9">
        <f t="shared" si="11"/>
        <v>3.8925361266300991E-5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200</v>
      </c>
      <c r="C54" s="46" t="s">
        <v>201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1.8576970931564492</v>
      </c>
      <c r="K54" s="93">
        <f t="shared" si="26"/>
        <v>0.65427429223253408</v>
      </c>
      <c r="L54" s="93">
        <f t="shared" si="27"/>
        <v>1.2943927726006959E-2</v>
      </c>
      <c r="M54" s="93">
        <f t="shared" si="28"/>
        <v>0.98705607227399306</v>
      </c>
      <c r="N54" s="93">
        <f t="shared" si="29"/>
        <v>6.1047092728333825E-3</v>
      </c>
      <c r="O54" s="40">
        <f t="shared" si="30"/>
        <v>6.5479300787640265E-7</v>
      </c>
      <c r="P54" s="40">
        <f t="shared" si="31"/>
        <v>4.7184692200346142E-5</v>
      </c>
      <c r="Q54" s="40">
        <f t="shared" si="32"/>
        <v>2.225358748198924E-3</v>
      </c>
      <c r="R54" s="9">
        <f t="shared" si="12"/>
        <v>3.9999999999999996E-5</v>
      </c>
      <c r="S54" s="9">
        <f t="shared" si="13"/>
        <v>5.1775710904027832E-7</v>
      </c>
      <c r="T54" s="9">
        <f t="shared" si="10"/>
        <v>2.617097168930136E-5</v>
      </c>
      <c r="U54" s="9">
        <f t="shared" si="11"/>
        <v>3.9482242890959718E-5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0.41912406778565536</v>
      </c>
      <c r="K55" s="55">
        <f t="shared" si="26"/>
        <v>0.98511122177901977</v>
      </c>
      <c r="L55" s="55">
        <f t="shared" si="27"/>
        <v>7.099347979786755E-4</v>
      </c>
      <c r="M55" s="55">
        <f t="shared" si="28"/>
        <v>0.99929006520202135</v>
      </c>
      <c r="N55" s="55">
        <f t="shared" si="29"/>
        <v>1.1774525001027411E-4</v>
      </c>
      <c r="O55" s="56">
        <f t="shared" si="30"/>
        <v>9.858922284726244E-7</v>
      </c>
      <c r="P55" s="56">
        <f t="shared" si="31"/>
        <v>2.5879358749535013E-6</v>
      </c>
      <c r="Q55" s="56">
        <f t="shared" si="32"/>
        <v>4.2921851059357493E-5</v>
      </c>
      <c r="R55" s="9">
        <f t="shared" si="12"/>
        <v>3.9999999999999996E-5</v>
      </c>
      <c r="S55" s="9">
        <f t="shared" si="13"/>
        <v>2.8397391919147018E-8</v>
      </c>
      <c r="T55" s="9">
        <f t="shared" si="10"/>
        <v>3.9404448871160785E-5</v>
      </c>
      <c r="U55" s="9">
        <f t="shared" si="11"/>
        <v>3.9971602608080847E-5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202</v>
      </c>
      <c r="C56" s="46" t="s">
        <v>203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1.6547513221475207</v>
      </c>
      <c r="K56" s="55">
        <f t="shared" si="26"/>
        <v>0.75266439036818999</v>
      </c>
      <c r="L56" s="55">
        <f t="shared" si="27"/>
        <v>9.3317226258302129E-3</v>
      </c>
      <c r="M56" s="55">
        <f t="shared" si="28"/>
        <v>0.99066827737416974</v>
      </c>
      <c r="N56" s="55">
        <f t="shared" si="29"/>
        <v>4.3669729246057524E-3</v>
      </c>
      <c r="O56" s="56">
        <f t="shared" si="30"/>
        <v>7.5326111073226624E-7</v>
      </c>
      <c r="P56" s="56">
        <f t="shared" si="31"/>
        <v>3.4017067239499778E-5</v>
      </c>
      <c r="Q56" s="56">
        <f t="shared" si="32"/>
        <v>1.5918991333732744E-3</v>
      </c>
      <c r="R56" s="9">
        <f t="shared" si="12"/>
        <v>3.9999999999999996E-5</v>
      </c>
      <c r="S56" s="9">
        <f t="shared" si="13"/>
        <v>3.7326890503320846E-7</v>
      </c>
      <c r="T56" s="9">
        <f t="shared" si="10"/>
        <v>3.0106575614727598E-5</v>
      </c>
      <c r="U56" s="9">
        <f t="shared" si="11"/>
        <v>3.9626731094966789E-5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1.0664462987751342</v>
      </c>
      <c r="K57" s="55">
        <f t="shared" si="26"/>
        <v>0.92043012973954608</v>
      </c>
      <c r="L57" s="55">
        <f t="shared" si="27"/>
        <v>2.9447352509233381E-3</v>
      </c>
      <c r="M57" s="55">
        <f t="shared" si="28"/>
        <v>0.99705526474907669</v>
      </c>
      <c r="N57" s="55">
        <f t="shared" si="29"/>
        <v>1.0314304688054314E-3</v>
      </c>
      <c r="O57" s="56">
        <f t="shared" si="30"/>
        <v>9.2115985657285117E-7</v>
      </c>
      <c r="P57" s="56">
        <f t="shared" si="31"/>
        <v>1.073448719488408E-5</v>
      </c>
      <c r="Q57" s="56">
        <f t="shared" si="32"/>
        <v>3.7598888240746053E-4</v>
      </c>
      <c r="R57" s="9">
        <f t="shared" si="12"/>
        <v>3.9999999999999996E-5</v>
      </c>
      <c r="S57" s="9">
        <f t="shared" si="13"/>
        <v>1.1778941003693351E-7</v>
      </c>
      <c r="T57" s="9">
        <f t="shared" si="10"/>
        <v>3.6817205189581841E-5</v>
      </c>
      <c r="U57" s="9">
        <f t="shared" si="11"/>
        <v>3.9882210589963066E-5</v>
      </c>
      <c r="V57" s="100">
        <f t="shared" si="14"/>
        <v>0.92314855783965555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145</v>
      </c>
      <c r="C58" s="46" t="s">
        <v>146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0.90809484007231756</v>
      </c>
      <c r="K58" s="55">
        <f t="shared" si="26"/>
        <v>0.94262035926678223</v>
      </c>
      <c r="L58" s="55">
        <f t="shared" si="27"/>
        <v>2.0943091280632405E-3</v>
      </c>
      <c r="M58" s="55">
        <f t="shared" si="28"/>
        <v>0.99790569087193681</v>
      </c>
      <c r="N58" s="55">
        <f t="shared" si="29"/>
        <v>5.8104256124394947E-4</v>
      </c>
      <c r="O58" s="56">
        <f t="shared" si="30"/>
        <v>9.4336767875095792E-7</v>
      </c>
      <c r="P58" s="56">
        <f t="shared" si="31"/>
        <v>7.6344162044022619E-6</v>
      </c>
      <c r="Q58" s="56">
        <f t="shared" si="32"/>
        <v>2.1180830879109145E-4</v>
      </c>
      <c r="R58" s="9">
        <f t="shared" si="12"/>
        <v>3.9999999999999996E-5</v>
      </c>
      <c r="S58" s="9">
        <f t="shared" si="13"/>
        <v>8.3772365122529607E-8</v>
      </c>
      <c r="T58" s="9">
        <f t="shared" si="10"/>
        <v>3.7704814370671284E-5</v>
      </c>
      <c r="U58" s="9">
        <f t="shared" si="11"/>
        <v>3.9916227634877469E-5</v>
      </c>
      <c r="V58" s="100">
        <f t="shared" si="14"/>
        <v>0.94459864082261313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147</v>
      </c>
      <c r="C59" s="46" t="s">
        <v>148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0.48153000113979572</v>
      </c>
      <c r="K59" s="55">
        <f t="shared" si="26"/>
        <v>0.98270641987843788</v>
      </c>
      <c r="L59" s="55">
        <f t="shared" si="27"/>
        <v>8.1764149615556664E-4</v>
      </c>
      <c r="M59" s="55">
        <f t="shared" si="28"/>
        <v>0.9991823585038444</v>
      </c>
      <c r="N59" s="55">
        <f t="shared" si="29"/>
        <v>1.9197510911526857E-4</v>
      </c>
      <c r="O59" s="56">
        <f t="shared" si="30"/>
        <v>9.8348552001942244E-7</v>
      </c>
      <c r="P59" s="56">
        <f t="shared" si="31"/>
        <v>2.9805607032875793E-6</v>
      </c>
      <c r="Q59" s="56">
        <f t="shared" si="32"/>
        <v>6.9980971969828656E-5</v>
      </c>
      <c r="R59" s="9">
        <f t="shared" si="12"/>
        <v>3.9999999999999996E-5</v>
      </c>
      <c r="S59" s="9">
        <f t="shared" si="13"/>
        <v>3.2705659846222663E-8</v>
      </c>
      <c r="T59" s="9">
        <f t="shared" si="10"/>
        <v>3.9308256795137513E-5</v>
      </c>
      <c r="U59" s="9">
        <f t="shared" si="11"/>
        <v>3.9967294340153771E-5</v>
      </c>
      <c r="V59" s="100">
        <f t="shared" si="14"/>
        <v>0.98351057893968696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149</v>
      </c>
      <c r="C60" s="46" t="s">
        <v>150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1.701695703106914</v>
      </c>
      <c r="K60" s="55">
        <f t="shared" si="26"/>
        <v>0.73533285289331152</v>
      </c>
      <c r="L60" s="55">
        <f t="shared" si="27"/>
        <v>1.0157546112956616E-2</v>
      </c>
      <c r="M60" s="55">
        <f t="shared" si="28"/>
        <v>0.98984245388704339</v>
      </c>
      <c r="N60" s="55">
        <f t="shared" si="29"/>
        <v>4.9830251834189479E-3</v>
      </c>
      <c r="O60" s="56">
        <f t="shared" si="30"/>
        <v>7.359158326294474E-7</v>
      </c>
      <c r="P60" s="56">
        <f t="shared" si="31"/>
        <v>3.7027453876129778E-5</v>
      </c>
      <c r="Q60" s="56">
        <f t="shared" si="32"/>
        <v>1.8164695792745186E-3</v>
      </c>
      <c r="R60" s="9">
        <f t="shared" si="12"/>
        <v>3.9999999999999996E-5</v>
      </c>
      <c r="S60" s="9">
        <f t="shared" si="13"/>
        <v>4.0630184451826462E-7</v>
      </c>
      <c r="T60" s="9">
        <f t="shared" si="10"/>
        <v>2.941331411573246E-5</v>
      </c>
      <c r="U60" s="9">
        <f t="shared" si="11"/>
        <v>3.9593698155481735E-5</v>
      </c>
      <c r="V60" s="100">
        <f t="shared" si="14"/>
        <v>0.74287867731446544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151</v>
      </c>
      <c r="C61" s="46" t="s">
        <v>152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2.6253876426038136</v>
      </c>
      <c r="K61" s="55">
        <f t="shared" si="26"/>
        <v>0.27788632522547185</v>
      </c>
      <c r="L61" s="55">
        <f t="shared" si="27"/>
        <v>3.2200598820483511E-2</v>
      </c>
      <c r="M61" s="55">
        <f t="shared" si="28"/>
        <v>0.96779940117951646</v>
      </c>
      <c r="N61" s="55">
        <f t="shared" si="29"/>
        <v>2.1645931915208649E-2</v>
      </c>
      <c r="O61" s="56">
        <f t="shared" si="30"/>
        <v>2.7810663647080555E-7</v>
      </c>
      <c r="P61" s="56">
        <f t="shared" si="31"/>
        <v>1.1738132166472252E-4</v>
      </c>
      <c r="Q61" s="56">
        <f t="shared" si="32"/>
        <v>7.8906237459643539E-3</v>
      </c>
      <c r="R61" s="9">
        <f t="shared" si="12"/>
        <v>3.9999999999999996E-5</v>
      </c>
      <c r="S61" s="9">
        <f t="shared" si="13"/>
        <v>1.2880239528193403E-6</v>
      </c>
      <c r="T61" s="9">
        <f t="shared" si="10"/>
        <v>1.1115453009018873E-5</v>
      </c>
      <c r="U61" s="9">
        <f t="shared" si="11"/>
        <v>3.8711976047180656E-5</v>
      </c>
      <c r="V61" s="100">
        <f t="shared" si="14"/>
        <v>0.28713215247580726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153</v>
      </c>
      <c r="C62" s="46" t="s">
        <v>154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3.547875334829623</v>
      </c>
      <c r="K62" s="55">
        <f t="shared" si="26"/>
        <v>5.0408634746497656E-2</v>
      </c>
      <c r="L62" s="55">
        <f t="shared" si="27"/>
        <v>4.8864043272892184E-2</v>
      </c>
      <c r="M62" s="55">
        <f t="shared" si="28"/>
        <v>0.95113595672710782</v>
      </c>
      <c r="N62" s="55">
        <f t="shared" si="29"/>
        <v>3.9256723374129811E-2</v>
      </c>
      <c r="O62" s="56">
        <f t="shared" si="30"/>
        <v>5.0448599250283742E-8</v>
      </c>
      <c r="P62" s="56">
        <f t="shared" si="31"/>
        <v>1.7812482349258851E-4</v>
      </c>
      <c r="Q62" s="56">
        <f t="shared" si="32"/>
        <v>1.4310311741626704E-2</v>
      </c>
      <c r="R62" s="9">
        <f t="shared" si="12"/>
        <v>3.9999999999999996E-5</v>
      </c>
      <c r="S62" s="9">
        <f t="shared" si="13"/>
        <v>1.9545617309156873E-6</v>
      </c>
      <c r="T62" s="9">
        <f t="shared" si="10"/>
        <v>2.016345389859906E-6</v>
      </c>
      <c r="U62" s="9">
        <f t="shared" si="11"/>
        <v>3.8045438269084313E-5</v>
      </c>
      <c r="V62" s="100">
        <f t="shared" si="14"/>
        <v>5.2998348332824609E-2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155</v>
      </c>
      <c r="C63" s="46" t="s">
        <v>156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4.6794078075147496</v>
      </c>
      <c r="K63" s="55">
        <f t="shared" si="26"/>
        <v>4.425452774706129E-3</v>
      </c>
      <c r="L63" s="55">
        <f t="shared" si="27"/>
        <v>5.8073051631277198E-2</v>
      </c>
      <c r="M63" s="55">
        <f t="shared" si="28"/>
        <v>0.94192694836872282</v>
      </c>
      <c r="N63" s="55">
        <f t="shared" si="29"/>
        <v>5.2368100693387092E-2</v>
      </c>
      <c r="O63" s="56">
        <f t="shared" si="30"/>
        <v>4.42896132091174E-9</v>
      </c>
      <c r="P63" s="56">
        <f t="shared" si="31"/>
        <v>2.1169455858835584E-4</v>
      </c>
      <c r="Q63" s="56">
        <f t="shared" si="32"/>
        <v>1.9089821610866385E-2</v>
      </c>
      <c r="R63" s="9">
        <f t="shared" si="12"/>
        <v>3.9999999999999996E-5</v>
      </c>
      <c r="S63" s="9">
        <f t="shared" si="13"/>
        <v>2.3229220652510878E-6</v>
      </c>
      <c r="T63" s="9">
        <f t="shared" si="10"/>
        <v>1.7701811098824515E-7</v>
      </c>
      <c r="U63" s="9">
        <f t="shared" si="11"/>
        <v>3.767707793474891E-5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157</v>
      </c>
      <c r="C64" s="46" t="s">
        <v>158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3.9499760608789174</v>
      </c>
      <c r="K64" s="55">
        <f t="shared" si="26"/>
        <v>2.166159580797708E-2</v>
      </c>
      <c r="L64" s="55">
        <f t="shared" si="27"/>
        <v>5.2999971815189006E-2</v>
      </c>
      <c r="M64" s="55">
        <f t="shared" si="28"/>
        <v>0.94700002818481099</v>
      </c>
      <c r="N64" s="55">
        <f t="shared" si="29"/>
        <v>4.4802222682058988E-2</v>
      </c>
      <c r="O64" s="56">
        <f t="shared" si="30"/>
        <v>2.1678769352391323E-8</v>
      </c>
      <c r="P64" s="56">
        <f t="shared" si="31"/>
        <v>1.932015853041367E-4</v>
      </c>
      <c r="Q64" s="56">
        <f t="shared" si="32"/>
        <v>1.6331820849840726E-2</v>
      </c>
      <c r="R64" s="9">
        <f t="shared" si="12"/>
        <v>3.9999999999999996E-5</v>
      </c>
      <c r="S64" s="9">
        <f t="shared" si="13"/>
        <v>2.11999887260756E-6</v>
      </c>
      <c r="T64" s="9">
        <f t="shared" si="10"/>
        <v>8.664638323190831E-7</v>
      </c>
      <c r="U64" s="9">
        <f t="shared" si="11"/>
        <v>3.7880001127392433E-5</v>
      </c>
      <c r="V64" s="100">
        <f t="shared" si="14"/>
        <v>2.2873912527222998E-2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159</v>
      </c>
      <c r="C65" s="46" t="s">
        <v>160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3.6622096755613032</v>
      </c>
      <c r="K65" s="55">
        <f t="shared" si="26"/>
        <v>3.9782239342662652E-2</v>
      </c>
      <c r="L65" s="55">
        <f t="shared" si="27"/>
        <v>5.0177385817755722E-2</v>
      </c>
      <c r="M65" s="55">
        <f t="shared" si="28"/>
        <v>0.94982261418224423</v>
      </c>
      <c r="N65" s="55">
        <f t="shared" si="29"/>
        <v>4.095418976660628E-2</v>
      </c>
      <c r="O65" s="56">
        <f t="shared" si="30"/>
        <v>3.9813779126725923E-8</v>
      </c>
      <c r="P65" s="56">
        <f t="shared" si="31"/>
        <v>1.8291237059921335E-4</v>
      </c>
      <c r="Q65" s="56">
        <f t="shared" si="32"/>
        <v>1.4929091689605774E-2</v>
      </c>
      <c r="R65" s="9">
        <f t="shared" si="12"/>
        <v>3.9999999999999996E-5</v>
      </c>
      <c r="S65" s="9">
        <f t="shared" si="13"/>
        <v>2.0070954327102288E-6</v>
      </c>
      <c r="T65" s="9">
        <f t="shared" si="10"/>
        <v>1.591289573706506E-6</v>
      </c>
      <c r="U65" s="9">
        <f t="shared" si="11"/>
        <v>3.7992904567289763E-5</v>
      </c>
      <c r="V65" s="100">
        <f t="shared" si="14"/>
        <v>4.1883862048192465E-2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161</v>
      </c>
      <c r="C66" s="46" t="s">
        <v>162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3.9499760608789174</v>
      </c>
      <c r="K66" s="55">
        <f t="shared" si="26"/>
        <v>2.166159580797708E-2</v>
      </c>
      <c r="L66" s="55">
        <f t="shared" si="27"/>
        <v>5.2999971815189006E-2</v>
      </c>
      <c r="M66" s="55">
        <f t="shared" si="28"/>
        <v>0.94700002818481099</v>
      </c>
      <c r="N66" s="55">
        <f t="shared" si="29"/>
        <v>4.4802222682058988E-2</v>
      </c>
      <c r="O66" s="56">
        <f t="shared" si="30"/>
        <v>2.1678769352391323E-8</v>
      </c>
      <c r="P66" s="56">
        <f t="shared" si="31"/>
        <v>1.932015853041367E-4</v>
      </c>
      <c r="Q66" s="56">
        <f t="shared" si="32"/>
        <v>1.6331820849840726E-2</v>
      </c>
      <c r="R66" s="9">
        <f t="shared" si="12"/>
        <v>3.9999999999999996E-5</v>
      </c>
      <c r="S66" s="9">
        <f t="shared" si="13"/>
        <v>2.11999887260756E-6</v>
      </c>
      <c r="T66" s="9">
        <f t="shared" si="10"/>
        <v>8.664638323190831E-7</v>
      </c>
      <c r="U66" s="9">
        <f t="shared" si="11"/>
        <v>3.7880001127392433E-5</v>
      </c>
      <c r="V66" s="100">
        <f t="shared" si="14"/>
        <v>2.2873912527222998E-2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115</v>
      </c>
      <c r="C67" s="46" t="s">
        <v>116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-2.1408506520216638E-2</v>
      </c>
      <c r="K67" s="55">
        <f t="shared" si="26"/>
        <v>0.99964975018526625</v>
      </c>
      <c r="L67" s="55">
        <f t="shared" si="27"/>
        <v>2.6124529953766551E-4</v>
      </c>
      <c r="M67" s="55">
        <f t="shared" si="28"/>
        <v>0.99973875470046236</v>
      </c>
      <c r="N67" s="55">
        <f t="shared" si="29"/>
        <v>8.1646431379902049E-8</v>
      </c>
      <c r="O67" s="56">
        <f t="shared" si="30"/>
        <v>1.0004422831794039E-6</v>
      </c>
      <c r="P67" s="56">
        <f t="shared" si="31"/>
        <v>9.5232137480998055E-7</v>
      </c>
      <c r="Q67" s="56">
        <f t="shared" si="32"/>
        <v>2.9762695029399675E-8</v>
      </c>
      <c r="R67" s="9">
        <f t="shared" si="12"/>
        <v>3.9999999999999996E-5</v>
      </c>
      <c r="S67" s="9">
        <f t="shared" si="13"/>
        <v>1.0449811981506619E-8</v>
      </c>
      <c r="T67" s="9">
        <f t="shared" si="10"/>
        <v>3.998599000741065E-5</v>
      </c>
      <c r="U67" s="9">
        <f t="shared" si="11"/>
        <v>3.9989550188018489E-5</v>
      </c>
      <c r="V67" s="100">
        <f t="shared" si="14"/>
        <v>0.99991097222671654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117</v>
      </c>
      <c r="C68" s="46" t="s">
        <v>118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3.9742395242673396</v>
      </c>
      <c r="K68" s="55">
        <f t="shared" si="26"/>
        <v>1.7878093026256332E-2</v>
      </c>
      <c r="L68" s="55">
        <f t="shared" si="27"/>
        <v>4.625618879112485E-2</v>
      </c>
      <c r="M68" s="55">
        <f t="shared" si="28"/>
        <v>0.95374381120887519</v>
      </c>
      <c r="N68" s="55">
        <f t="shared" si="29"/>
        <v>3.3613390632196205E-2</v>
      </c>
      <c r="O68" s="56">
        <f t="shared" si="30"/>
        <v>1.7892266969272816E-8</v>
      </c>
      <c r="P68" s="56">
        <f t="shared" si="31"/>
        <v>1.686183727745231E-4</v>
      </c>
      <c r="Q68" s="56">
        <f t="shared" si="32"/>
        <v>1.2253139266248428E-2</v>
      </c>
      <c r="R68" s="9">
        <f t="shared" si="12"/>
        <v>3.9999999999999996E-5</v>
      </c>
      <c r="S68" s="9">
        <f t="shared" si="13"/>
        <v>1.8502475516449939E-6</v>
      </c>
      <c r="T68" s="9">
        <f t="shared" si="10"/>
        <v>7.1512372105025321E-7</v>
      </c>
      <c r="U68" s="9">
        <f t="shared" si="11"/>
        <v>3.8149752448355004E-5</v>
      </c>
      <c r="V68" s="100">
        <f t="shared" si="14"/>
        <v>1.8745173301408641E-2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119</v>
      </c>
      <c r="C69" s="46" t="s">
        <v>120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1.2993366457192814</v>
      </c>
      <c r="K69" s="55">
        <f t="shared" si="26"/>
        <v>0.8705284900095881</v>
      </c>
      <c r="L69" s="55">
        <f t="shared" si="27"/>
        <v>4.761335281893082E-3</v>
      </c>
      <c r="M69" s="55">
        <f t="shared" si="28"/>
        <v>0.99523866471810696</v>
      </c>
      <c r="N69" s="55">
        <f t="shared" si="29"/>
        <v>1.8875223438077097E-3</v>
      </c>
      <c r="O69" s="56">
        <f t="shared" si="30"/>
        <v>8.7121865429016895E-7</v>
      </c>
      <c r="P69" s="56">
        <f t="shared" si="31"/>
        <v>1.7356566298449097E-5</v>
      </c>
      <c r="Q69" s="56">
        <f t="shared" si="32"/>
        <v>6.8806132650832744E-4</v>
      </c>
      <c r="R69" s="9">
        <f t="shared" si="12"/>
        <v>3.9999999999999996E-5</v>
      </c>
      <c r="S69" s="9">
        <f t="shared" si="13"/>
        <v>1.9045341127572325E-7</v>
      </c>
      <c r="T69" s="9">
        <f t="shared" si="10"/>
        <v>3.4821139600383524E-5</v>
      </c>
      <c r="U69" s="9">
        <f t="shared" si="11"/>
        <v>3.9809546588724278E-5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113</v>
      </c>
      <c r="C70" s="46" t="s">
        <v>114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2.4832149549104936</v>
      </c>
      <c r="K70" s="55">
        <f t="shared" si="26"/>
        <v>0.34322482665800147</v>
      </c>
      <c r="L70" s="55">
        <f t="shared" si="27"/>
        <v>2.8668355358847337E-2</v>
      </c>
      <c r="M70" s="55">
        <f t="shared" si="28"/>
        <v>0.97133164464115263</v>
      </c>
      <c r="N70" s="55">
        <f t="shared" si="29"/>
        <v>1.863832259165556E-2</v>
      </c>
      <c r="O70" s="56">
        <f t="shared" si="30"/>
        <v>3.4349693896482017E-7</v>
      </c>
      <c r="P70" s="56">
        <f t="shared" si="31"/>
        <v>1.0450518205378209E-4</v>
      </c>
      <c r="Q70" s="56">
        <f t="shared" si="32"/>
        <v>6.7942554472939917E-3</v>
      </c>
      <c r="R70" s="9">
        <f t="shared" si="12"/>
        <v>3.9999999999999996E-5</v>
      </c>
      <c r="S70" s="9">
        <f t="shared" si="13"/>
        <v>1.1467342143538933E-6</v>
      </c>
      <c r="T70" s="9">
        <f t="shared" si="10"/>
        <v>1.3728993066320058E-5</v>
      </c>
      <c r="U70" s="9">
        <f t="shared" si="11"/>
        <v>3.8853265785646098E-5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121</v>
      </c>
      <c r="C71" s="46" t="s">
        <v>122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5.1720950211816961</v>
      </c>
      <c r="K71" s="55">
        <f t="shared" ref="K71:K122" si="35">IF(D71=0,"",1/(1+10^D71*$J$15/$J$14+10^E71*$J$16/$J$14+10^J71*$J$19/$J$14))</f>
        <v>1.1672323074947792E-3</v>
      </c>
      <c r="L71" s="55">
        <f t="shared" ref="L71:L122" si="36">IF(D71=0,"",1/(1+10^I71/10^J71*$J$13/$J$19))</f>
        <v>4.7627901941519162E-2</v>
      </c>
      <c r="M71" s="55">
        <f t="shared" si="19"/>
        <v>0.95237209805848089</v>
      </c>
      <c r="N71" s="55">
        <f t="shared" ref="N71:N122" si="37">IF(D71=0,"",1/(1/10^E71*$J$20/$J$22+10^D71/10^E71*$J$21/$J$22+10^I71/10^E71*$J$13/$J$22+1))</f>
        <v>3.5148470367513597E-2</v>
      </c>
      <c r="O71" s="56">
        <f t="shared" si="21"/>
        <v>1.1681577017294514E-9</v>
      </c>
      <c r="P71" s="56">
        <f t="shared" ref="P71:P122" si="38">IF(D71=0,"",O71*10^J71)</f>
        <v>1.7361869911739053E-4</v>
      </c>
      <c r="Q71" s="56">
        <f t="shared" ref="Q71:Q122" si="39">IF(D71=0,"",F71*N71*$J$7/$J$22)</f>
        <v>1.2812724164643749E-2</v>
      </c>
      <c r="R71" s="9">
        <f t="shared" si="12"/>
        <v>3.9999999999999996E-5</v>
      </c>
      <c r="S71" s="9">
        <f t="shared" si="13"/>
        <v>1.9051160776607663E-6</v>
      </c>
      <c r="T71" s="9">
        <f t="shared" si="10"/>
        <v>4.6689292299791168E-8</v>
      </c>
      <c r="U71" s="9">
        <f t="shared" si="11"/>
        <v>3.8094883922339232E-5</v>
      </c>
      <c r="V71" s="100">
        <f t="shared" si="14"/>
        <v>1.2256053173694561E-3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123</v>
      </c>
      <c r="C72" s="46" t="s">
        <v>124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4.6975737297600579</v>
      </c>
      <c r="K72" s="55">
        <f t="shared" si="35"/>
        <v>3.2654615047885199E-3</v>
      </c>
      <c r="L72" s="55">
        <f t="shared" si="36"/>
        <v>4.468146745439857E-2</v>
      </c>
      <c r="M72" s="55">
        <f t="shared" si="19"/>
        <v>0.9553185325456014</v>
      </c>
      <c r="N72" s="55">
        <f t="shared" si="37"/>
        <v>3.0418913525451906E-2</v>
      </c>
      <c r="O72" s="56">
        <f t="shared" si="21"/>
        <v>3.2680503975313546E-9</v>
      </c>
      <c r="P72" s="56">
        <f t="shared" si="38"/>
        <v>1.6287801767153094E-4</v>
      </c>
      <c r="Q72" s="56">
        <f t="shared" si="39"/>
        <v>1.1088651776721317E-2</v>
      </c>
      <c r="R72" s="9">
        <f t="shared" si="12"/>
        <v>3.9999999999999996E-5</v>
      </c>
      <c r="S72" s="9">
        <f t="shared" si="13"/>
        <v>1.7872586981759426E-6</v>
      </c>
      <c r="T72" s="9">
        <f t="shared" si="10"/>
        <v>1.3061846019154079E-7</v>
      </c>
      <c r="U72" s="9">
        <f t="shared" si="11"/>
        <v>3.8212741301824049E-5</v>
      </c>
      <c r="V72" s="100">
        <f t="shared" si="14"/>
        <v>3.4181913084918047E-3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125</v>
      </c>
      <c r="C73" s="46" t="s">
        <v>126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4.7102525015633843</v>
      </c>
      <c r="K73" s="55">
        <f t="shared" si="35"/>
        <v>3.3090182950229921E-3</v>
      </c>
      <c r="L73" s="55">
        <f t="shared" si="36"/>
        <v>4.6618768810858371E-2</v>
      </c>
      <c r="M73" s="55">
        <f t="shared" si="19"/>
        <v>0.95338123118914164</v>
      </c>
      <c r="N73" s="55">
        <f t="shared" si="37"/>
        <v>3.3588939967712991E-2</v>
      </c>
      <c r="O73" s="56">
        <f t="shared" si="21"/>
        <v>3.3116417200541338E-9</v>
      </c>
      <c r="P73" s="56">
        <f t="shared" si="38"/>
        <v>1.6994009111158918E-4</v>
      </c>
      <c r="Q73" s="56">
        <f t="shared" si="39"/>
        <v>1.2244226229169144E-2</v>
      </c>
      <c r="R73" s="9">
        <f t="shared" si="12"/>
        <v>3.9999999999999996E-5</v>
      </c>
      <c r="S73" s="9">
        <f t="shared" si="13"/>
        <v>1.8647507524343348E-6</v>
      </c>
      <c r="T73" s="9">
        <f t="shared" si="10"/>
        <v>1.3236073180091966E-7</v>
      </c>
      <c r="U73" s="9">
        <f t="shared" si="11"/>
        <v>3.8135249247565661E-5</v>
      </c>
      <c r="V73" s="100">
        <f t="shared" si="14"/>
        <v>3.4708238286752205E-3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127</v>
      </c>
      <c r="C74" s="46" t="s">
        <v>128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1.6372026725125763</v>
      </c>
      <c r="K74" s="55">
        <f t="shared" si="35"/>
        <v>0.75113089885547379</v>
      </c>
      <c r="L74" s="55">
        <f t="shared" si="36"/>
        <v>8.9439101991523745E-3</v>
      </c>
      <c r="M74" s="55">
        <f t="shared" si="19"/>
        <v>0.99105608980084758</v>
      </c>
      <c r="N74" s="55">
        <f t="shared" si="37"/>
        <v>3.6677756043654638E-3</v>
      </c>
      <c r="O74" s="56">
        <f t="shared" si="21"/>
        <v>7.517264034511073E-7</v>
      </c>
      <c r="P74" s="56">
        <f t="shared" si="38"/>
        <v>3.2603368834223837E-5</v>
      </c>
      <c r="Q74" s="56">
        <f t="shared" si="39"/>
        <v>1.3370196946032443E-3</v>
      </c>
      <c r="R74" s="9">
        <f t="shared" si="12"/>
        <v>3.9999999999999996E-5</v>
      </c>
      <c r="S74" s="9">
        <f t="shared" si="13"/>
        <v>3.5775640796609495E-7</v>
      </c>
      <c r="T74" s="9">
        <f t="shared" si="10"/>
        <v>3.004523595421895E-5</v>
      </c>
      <c r="U74" s="9">
        <f t="shared" si="11"/>
        <v>3.9642243592033898E-5</v>
      </c>
      <c r="V74" s="100">
        <f t="shared" si="14"/>
        <v>0.75790957402462789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3.3018286380002788</v>
      </c>
      <c r="K75" s="55">
        <f t="shared" si="35"/>
        <v>8.2834464916387684E-2</v>
      </c>
      <c r="L75" s="55">
        <f t="shared" si="36"/>
        <v>4.5566832358849618E-2</v>
      </c>
      <c r="M75" s="55">
        <f t="shared" si="19"/>
        <v>0.95443316764115038</v>
      </c>
      <c r="N75" s="55">
        <f t="shared" si="37"/>
        <v>3.5238724765928806E-2</v>
      </c>
      <c r="O75" s="56">
        <f t="shared" si="21"/>
        <v>8.2900136964508342E-8</v>
      </c>
      <c r="P75" s="56">
        <f t="shared" si="38"/>
        <v>1.6610545152204414E-4</v>
      </c>
      <c r="Q75" s="56">
        <f t="shared" si="39"/>
        <v>1.2845624734695546E-2</v>
      </c>
      <c r="R75" s="9">
        <f t="shared" si="12"/>
        <v>3.9999999999999996E-5</v>
      </c>
      <c r="S75" s="9">
        <f t="shared" si="13"/>
        <v>1.8226732943539846E-6</v>
      </c>
      <c r="T75" s="9">
        <f t="shared" si="10"/>
        <v>3.3133785966555071E-6</v>
      </c>
      <c r="U75" s="9">
        <f t="shared" si="11"/>
        <v>3.8177326705646014E-5</v>
      </c>
      <c r="V75" s="100">
        <f t="shared" si="14"/>
        <v>8.6789172594567615E-2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129</v>
      </c>
      <c r="C76" s="46" t="s">
        <v>130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3.2768864285866708</v>
      </c>
      <c r="K76" s="55">
        <f t="shared" si="35"/>
        <v>7.9623176849578509E-2</v>
      </c>
      <c r="L76" s="55">
        <f t="shared" si="36"/>
        <v>4.1355669864273963E-2</v>
      </c>
      <c r="M76" s="55">
        <f t="shared" si="19"/>
        <v>0.95864433013572603</v>
      </c>
      <c r="N76" s="55">
        <f t="shared" si="37"/>
        <v>2.8215882048865572E-2</v>
      </c>
      <c r="O76" s="56">
        <f t="shared" si="21"/>
        <v>7.9686302954236322E-8</v>
      </c>
      <c r="P76" s="56">
        <f t="shared" si="38"/>
        <v>1.5075443826561492E-4</v>
      </c>
      <c r="Q76" s="56">
        <f t="shared" si="39"/>
        <v>1.0285577436916831E-2</v>
      </c>
      <c r="R76" s="9">
        <f t="shared" si="12"/>
        <v>3.9999999999999996E-5</v>
      </c>
      <c r="S76" s="9">
        <f t="shared" si="13"/>
        <v>1.6542267945709584E-6</v>
      </c>
      <c r="T76" s="9">
        <f t="shared" si="10"/>
        <v>3.1849270739831402E-6</v>
      </c>
      <c r="U76" s="9">
        <f t="shared" si="11"/>
        <v>3.8345773205429038E-5</v>
      </c>
      <c r="V76" s="100">
        <f t="shared" si="14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131</v>
      </c>
      <c r="C77" s="46" t="s">
        <v>132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1.849020080439971</v>
      </c>
      <c r="K77" s="55">
        <f t="shared" si="35"/>
        <v>0.67203124868205766</v>
      </c>
      <c r="L77" s="55">
        <f t="shared" si="36"/>
        <v>1.3032228259052824E-2</v>
      </c>
      <c r="M77" s="55">
        <f t="shared" si="19"/>
        <v>0.98696777174094719</v>
      </c>
      <c r="N77" s="55">
        <f t="shared" si="37"/>
        <v>7.001604862322105E-3</v>
      </c>
      <c r="O77" s="56">
        <f t="shared" si="21"/>
        <v>6.725640422305714E-7</v>
      </c>
      <c r="P77" s="56">
        <f t="shared" si="38"/>
        <v>4.7506575446381594E-5</v>
      </c>
      <c r="Q77" s="56">
        <f t="shared" si="39"/>
        <v>2.5523054310117809E-3</v>
      </c>
      <c r="R77" s="9">
        <f t="shared" si="12"/>
        <v>3.9999999999999996E-5</v>
      </c>
      <c r="S77" s="9">
        <f t="shared" si="13"/>
        <v>5.2128913036211288E-7</v>
      </c>
      <c r="T77" s="9">
        <f t="shared" si="10"/>
        <v>2.6881249947282305E-5</v>
      </c>
      <c r="U77" s="9">
        <f t="shared" si="11"/>
        <v>3.9478710869637884E-5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2.1538315996948265</v>
      </c>
      <c r="K78" s="55">
        <f t="shared" si="35"/>
        <v>0.52618747387177589</v>
      </c>
      <c r="L78" s="55">
        <f t="shared" si="36"/>
        <v>2.0586439242206586E-2</v>
      </c>
      <c r="M78" s="55">
        <f t="shared" si="19"/>
        <v>0.9794135607577934</v>
      </c>
      <c r="N78" s="55">
        <f t="shared" si="37"/>
        <v>1.3174970005550636E-2</v>
      </c>
      <c r="O78" s="56">
        <f t="shared" si="21"/>
        <v>5.2660464091860211E-7</v>
      </c>
      <c r="P78" s="56">
        <f t="shared" si="38"/>
        <v>7.5044053065359529E-5</v>
      </c>
      <c r="Q78" s="56">
        <f t="shared" si="39"/>
        <v>4.8026914057289222E-3</v>
      </c>
      <c r="R78" s="9">
        <f t="shared" si="12"/>
        <v>3.9999999999999996E-5</v>
      </c>
      <c r="S78" s="9">
        <f t="shared" si="13"/>
        <v>8.2345756968826336E-7</v>
      </c>
      <c r="T78" s="9">
        <f t="shared" si="10"/>
        <v>2.1047498954871035E-5</v>
      </c>
      <c r="U78" s="9">
        <f t="shared" si="11"/>
        <v>3.9176542430311733E-5</v>
      </c>
      <c r="V78" s="100">
        <f t="shared" si="14"/>
        <v>0.53724748661296184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133</v>
      </c>
      <c r="C79" s="46" t="s">
        <v>134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2.1415977618226001</v>
      </c>
      <c r="K79" s="55">
        <f t="shared" si="35"/>
        <v>0.48087642827669191</v>
      </c>
      <c r="L79" s="55">
        <f t="shared" si="36"/>
        <v>1.829112345175828E-2</v>
      </c>
      <c r="M79" s="55">
        <f t="shared" si="19"/>
        <v>0.98170887654824168</v>
      </c>
      <c r="N79" s="55">
        <f t="shared" si="37"/>
        <v>7.5011460100369801E-3</v>
      </c>
      <c r="O79" s="56">
        <f t="shared" si="21"/>
        <v>4.8125767224283273E-7</v>
      </c>
      <c r="P79" s="56">
        <f t="shared" si="38"/>
        <v>6.6676904285836163E-5</v>
      </c>
      <c r="Q79" s="56">
        <f t="shared" si="39"/>
        <v>2.7344039083462596E-3</v>
      </c>
      <c r="R79" s="9">
        <f t="shared" si="12"/>
        <v>3.9999999999999996E-5</v>
      </c>
      <c r="S79" s="9">
        <f t="shared" si="13"/>
        <v>7.3164493807033113E-7</v>
      </c>
      <c r="T79" s="9">
        <f t="shared" si="10"/>
        <v>1.9235057131067677E-5</v>
      </c>
      <c r="U79" s="9">
        <f t="shared" si="11"/>
        <v>3.9268355061929664E-5</v>
      </c>
      <c r="V79" s="100">
        <f t="shared" si="14"/>
        <v>0.48983608049617283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135</v>
      </c>
      <c r="C80" s="46" t="s">
        <v>136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2.2248030285357943</v>
      </c>
      <c r="K80" s="55">
        <f t="shared" si="35"/>
        <v>0.42998293819882066</v>
      </c>
      <c r="L80" s="55">
        <f t="shared" si="36"/>
        <v>1.9809037832508022E-2</v>
      </c>
      <c r="M80" s="55">
        <f t="shared" si="19"/>
        <v>0.98019096216749202</v>
      </c>
      <c r="N80" s="55">
        <f t="shared" si="37"/>
        <v>7.8267480352500265E-3</v>
      </c>
      <c r="O80" s="56">
        <f t="shared" si="21"/>
        <v>4.3032383326269243E-7</v>
      </c>
      <c r="P80" s="56">
        <f t="shared" si="38"/>
        <v>7.2210180147555634E-5</v>
      </c>
      <c r="Q80" s="56">
        <f t="shared" si="39"/>
        <v>2.8530960987284623E-3</v>
      </c>
      <c r="R80" s="9">
        <f t="shared" si="12"/>
        <v>3.9999999999999996E-5</v>
      </c>
      <c r="S80" s="9">
        <f t="shared" si="13"/>
        <v>7.9236151330032079E-7</v>
      </c>
      <c r="T80" s="9">
        <f t="shared" si="10"/>
        <v>1.7199317527952824E-5</v>
      </c>
      <c r="U80" s="9">
        <f t="shared" si="11"/>
        <v>3.9207638486699674E-5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137</v>
      </c>
      <c r="C81" s="46" t="s">
        <v>138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3.7475217398878207</v>
      </c>
      <c r="K81" s="55">
        <f t="shared" si="35"/>
        <v>3.1519448836882048E-2</v>
      </c>
      <c r="L81" s="55">
        <f t="shared" si="36"/>
        <v>4.8384859509371381E-2</v>
      </c>
      <c r="M81" s="55">
        <f t="shared" si="19"/>
        <v>0.95161514049062856</v>
      </c>
      <c r="N81" s="55">
        <f t="shared" si="37"/>
        <v>3.7672613021556098E-2</v>
      </c>
      <c r="O81" s="56">
        <f t="shared" si="21"/>
        <v>3.1544437792419358E-8</v>
      </c>
      <c r="P81" s="56">
        <f t="shared" si="38"/>
        <v>1.7637804779453635E-4</v>
      </c>
      <c r="Q81" s="56">
        <f t="shared" si="39"/>
        <v>1.3732853639420268E-2</v>
      </c>
      <c r="R81" s="9">
        <f t="shared" si="12"/>
        <v>3.9999999999999996E-5</v>
      </c>
      <c r="S81" s="9">
        <f t="shared" si="13"/>
        <v>1.9353943803748549E-6</v>
      </c>
      <c r="T81" s="9">
        <f t="shared" si="10"/>
        <v>1.2607779534752819E-6</v>
      </c>
      <c r="U81" s="9">
        <f t="shared" si="11"/>
        <v>3.8064605619625142E-5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139</v>
      </c>
      <c r="C82" s="46" t="s">
        <v>140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3.4655852041320223</v>
      </c>
      <c r="K82" s="55">
        <f t="shared" si="35"/>
        <v>5.3794083167849283E-2</v>
      </c>
      <c r="L82" s="55">
        <f t="shared" si="36"/>
        <v>4.3144838141731437E-2</v>
      </c>
      <c r="M82" s="55">
        <f t="shared" si="19"/>
        <v>0.95685516185826858</v>
      </c>
      <c r="N82" s="55">
        <f t="shared" si="37"/>
        <v>3.0047243738888382E-2</v>
      </c>
      <c r="O82" s="56">
        <f t="shared" si="21"/>
        <v>5.3836731691286621E-8</v>
      </c>
      <c r="P82" s="56">
        <f t="shared" si="38"/>
        <v>1.572765199902243E-4</v>
      </c>
      <c r="Q82" s="56">
        <f t="shared" si="39"/>
        <v>1.0953166436796769E-2</v>
      </c>
      <c r="R82" s="9">
        <f t="shared" si="12"/>
        <v>3.9999999999999996E-5</v>
      </c>
      <c r="S82" s="9">
        <f t="shared" si="13"/>
        <v>1.7257935256692572E-6</v>
      </c>
      <c r="T82" s="9">
        <f t="shared" si="10"/>
        <v>2.1517633267139713E-6</v>
      </c>
      <c r="U82" s="9">
        <f t="shared" si="11"/>
        <v>3.8274206474330742E-5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1.7919988422958726</v>
      </c>
      <c r="K83" s="55">
        <f t="shared" si="35"/>
        <v>0.70169951483382553</v>
      </c>
      <c r="L83" s="55">
        <f t="shared" si="36"/>
        <v>1.1933261245870875E-2</v>
      </c>
      <c r="M83" s="55">
        <f t="shared" si="19"/>
        <v>0.98806673875412909</v>
      </c>
      <c r="N83" s="55">
        <f t="shared" si="37"/>
        <v>6.4616630287097371E-3</v>
      </c>
      <c r="O83" s="56">
        <f t="shared" si="21"/>
        <v>7.0225582970048068E-7</v>
      </c>
      <c r="P83" s="56">
        <f t="shared" si="38"/>
        <v>4.3500494652903572E-5</v>
      </c>
      <c r="Q83" s="56">
        <f t="shared" si="39"/>
        <v>2.3554796315760989E-3</v>
      </c>
      <c r="R83" s="9">
        <f t="shared" si="12"/>
        <v>3.9999999999999996E-5</v>
      </c>
      <c r="S83" s="9">
        <f t="shared" si="13"/>
        <v>4.7733044983483492E-7</v>
      </c>
      <c r="T83" s="9">
        <f t="shared" si="10"/>
        <v>2.8067980593353019E-5</v>
      </c>
      <c r="U83" s="9">
        <f t="shared" si="11"/>
        <v>3.9522669550165161E-5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141</v>
      </c>
      <c r="C84" s="46" t="s">
        <v>142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3.5094172504294607</v>
      </c>
      <c r="K84" s="55">
        <f t="shared" si="35"/>
        <v>4.339571557871974E-2</v>
      </c>
      <c r="L84" s="55">
        <f t="shared" si="36"/>
        <v>3.8501108569022176E-2</v>
      </c>
      <c r="M84" s="55">
        <f t="shared" si="19"/>
        <v>0.96149889143097778</v>
      </c>
      <c r="N84" s="55">
        <f t="shared" si="37"/>
        <v>2.2012429800441977E-2</v>
      </c>
      <c r="O84" s="56">
        <f t="shared" si="21"/>
        <v>4.3430120165320169E-8</v>
      </c>
      <c r="P84" s="56">
        <f t="shared" si="38"/>
        <v>1.4034866353211927E-4</v>
      </c>
      <c r="Q84" s="56">
        <f t="shared" si="39"/>
        <v>8.0242237650070044E-3</v>
      </c>
      <c r="R84" s="9">
        <f t="shared" si="12"/>
        <v>3.9999999999999996E-5</v>
      </c>
      <c r="S84" s="9">
        <f t="shared" si="13"/>
        <v>1.5400443427608869E-6</v>
      </c>
      <c r="T84" s="9">
        <f t="shared" si="10"/>
        <v>1.7358286231487895E-6</v>
      </c>
      <c r="U84" s="9">
        <f t="shared" si="11"/>
        <v>3.8459955657239106E-5</v>
      </c>
      <c r="V84" s="100">
        <f t="shared" si="14"/>
        <v>4.5133401572761925E-2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1.7105800211348248</v>
      </c>
      <c r="K85" s="55">
        <f t="shared" si="35"/>
        <v>0.73749200705173146</v>
      </c>
      <c r="L85" s="55">
        <f t="shared" si="36"/>
        <v>1.0397919929802801E-2</v>
      </c>
      <c r="M85" s="55">
        <f t="shared" si="19"/>
        <v>0.98960208007019723</v>
      </c>
      <c r="N85" s="55">
        <f t="shared" si="37"/>
        <v>5.4676215636739901E-3</v>
      </c>
      <c r="O85" s="56">
        <f t="shared" si="21"/>
        <v>7.3807669858833515E-7</v>
      </c>
      <c r="P85" s="56">
        <f t="shared" si="38"/>
        <v>3.790369212475051E-5</v>
      </c>
      <c r="Q85" s="56">
        <f t="shared" si="39"/>
        <v>1.9931202183057811E-3</v>
      </c>
      <c r="R85" s="9">
        <f t="shared" si="12"/>
        <v>3.9999999999999996E-5</v>
      </c>
      <c r="S85" s="9">
        <f t="shared" si="13"/>
        <v>4.1591679719211201E-7</v>
      </c>
      <c r="T85" s="9">
        <f t="shared" si="10"/>
        <v>2.9499680282069256E-5</v>
      </c>
      <c r="U85" s="9">
        <f t="shared" si="11"/>
        <v>3.9584083202807883E-5</v>
      </c>
      <c r="V85" s="100">
        <f t="shared" si="14"/>
        <v>0.74524096291250475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143</v>
      </c>
      <c r="C86" s="46" t="s">
        <v>144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2.7189105100885862</v>
      </c>
      <c r="K86" s="55">
        <f t="shared" si="35"/>
        <v>0.18825999790953699</v>
      </c>
      <c r="L86" s="55">
        <f t="shared" si="36"/>
        <v>2.7056878378351804E-2</v>
      </c>
      <c r="M86" s="55">
        <f t="shared" si="19"/>
        <v>0.9729431216216482</v>
      </c>
      <c r="N86" s="55">
        <f t="shared" si="37"/>
        <v>9.4359836433112985E-3</v>
      </c>
      <c r="O86" s="56">
        <f t="shared" si="21"/>
        <v>1.8840925244573022E-7</v>
      </c>
      <c r="P86" s="56">
        <f t="shared" si="38"/>
        <v>9.8630841056045253E-5</v>
      </c>
      <c r="Q86" s="56">
        <f t="shared" si="39"/>
        <v>3.4397131476760294E-3</v>
      </c>
      <c r="R86" s="9">
        <f t="shared" si="12"/>
        <v>3.9999999999999996E-5</v>
      </c>
      <c r="S86" s="9">
        <f t="shared" si="13"/>
        <v>1.0822751351340721E-6</v>
      </c>
      <c r="T86" s="9">
        <f t="shared" si="10"/>
        <v>7.5303999163814791E-6</v>
      </c>
      <c r="U86" s="9">
        <f t="shared" si="11"/>
        <v>3.8917724864865926E-5</v>
      </c>
      <c r="V86" s="100">
        <f t="shared" si="14"/>
        <v>0.19349537884162801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281</v>
      </c>
      <c r="C87" s="46" t="s">
        <v>282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1.4561462187091176</v>
      </c>
      <c r="K87" s="55">
        <f t="shared" si="35"/>
        <v>0.82600053125857575</v>
      </c>
      <c r="L87" s="55">
        <f t="shared" si="36"/>
        <v>6.4823977508775684E-3</v>
      </c>
      <c r="M87" s="55">
        <f t="shared" si="19"/>
        <v>0.99351760224912244</v>
      </c>
      <c r="N87" s="55">
        <f t="shared" si="37"/>
        <v>2.8150984571932085E-3</v>
      </c>
      <c r="O87" s="56">
        <f t="shared" si="21"/>
        <v>8.2665539329808131E-7</v>
      </c>
      <c r="P87" s="56">
        <f t="shared" si="38"/>
        <v>2.3630380906779919E-5</v>
      </c>
      <c r="Q87" s="56">
        <f t="shared" si="39"/>
        <v>1.0261920263155476E-3</v>
      </c>
      <c r="R87" s="9">
        <f t="shared" si="12"/>
        <v>3.9999999999999996E-5</v>
      </c>
      <c r="S87" s="9">
        <f t="shared" si="13"/>
        <v>2.5929591003510273E-7</v>
      </c>
      <c r="T87" s="9">
        <f t="shared" si="10"/>
        <v>3.3040021250343027E-5</v>
      </c>
      <c r="U87" s="9">
        <f t="shared" si="11"/>
        <v>3.9740704089964895E-5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283</v>
      </c>
      <c r="C88" s="46" t="s">
        <v>284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0.70936976264120555</v>
      </c>
      <c r="K88" s="55">
        <f t="shared" si="35"/>
        <v>0.95881149554807554</v>
      </c>
      <c r="L88" s="55">
        <f t="shared" si="36"/>
        <v>1.3480690092409276E-3</v>
      </c>
      <c r="M88" s="55">
        <f t="shared" si="19"/>
        <v>0.99865193099075911</v>
      </c>
      <c r="N88" s="55">
        <f t="shared" si="37"/>
        <v>4.6810401070964913E-5</v>
      </c>
      <c r="O88" s="56">
        <f t="shared" si="21"/>
        <v>9.5957165153795048E-7</v>
      </c>
      <c r="P88" s="56">
        <f t="shared" si="38"/>
        <v>4.9141360035607269E-6</v>
      </c>
      <c r="Q88" s="56">
        <f t="shared" si="39"/>
        <v>1.7063865103869823E-5</v>
      </c>
      <c r="R88" s="9">
        <f t="shared" si="12"/>
        <v>3.9999999999999996E-5</v>
      </c>
      <c r="S88" s="9">
        <f t="shared" si="13"/>
        <v>5.39227603696371E-8</v>
      </c>
      <c r="T88" s="9">
        <f t="shared" si="10"/>
        <v>3.8352459821923018E-5</v>
      </c>
      <c r="U88" s="9">
        <f t="shared" si="11"/>
        <v>3.9946077239630361E-5</v>
      </c>
      <c r="V88" s="100">
        <f t="shared" si="14"/>
        <v>0.96010578440162031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285</v>
      </c>
      <c r="C89" s="46" t="s">
        <v>286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0.30145678662482972</v>
      </c>
      <c r="K89" s="55">
        <f t="shared" si="35"/>
        <v>0.99005015329902935</v>
      </c>
      <c r="L89" s="55">
        <f t="shared" si="36"/>
        <v>5.4415561116419233E-4</v>
      </c>
      <c r="M89" s="55">
        <f t="shared" si="19"/>
        <v>0.99945584438883583</v>
      </c>
      <c r="N89" s="55">
        <f t="shared" si="37"/>
        <v>5.5935781893443206E-5</v>
      </c>
      <c r="O89" s="56">
        <f t="shared" si="21"/>
        <v>9.9083507563027084E-7</v>
      </c>
      <c r="P89" s="56">
        <f t="shared" si="38"/>
        <v>1.9836185403203189E-6</v>
      </c>
      <c r="Q89" s="56">
        <f t="shared" si="39"/>
        <v>2.0390353743438329E-5</v>
      </c>
      <c r="R89" s="9">
        <f t="shared" si="12"/>
        <v>3.9999999999999996E-5</v>
      </c>
      <c r="S89" s="9">
        <f t="shared" si="13"/>
        <v>2.1766224446567691E-8</v>
      </c>
      <c r="T89" s="9">
        <f t="shared" si="10"/>
        <v>3.9602006131961168E-5</v>
      </c>
      <c r="U89" s="9">
        <f t="shared" si="11"/>
        <v>3.9978233775553429E-5</v>
      </c>
      <c r="V89" s="100">
        <f t="shared" si="14"/>
        <v>0.99058918796401851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287</v>
      </c>
      <c r="C90" s="46" t="s">
        <v>288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1.161093781343709E-2</v>
      </c>
      <c r="K90" s="55">
        <f t="shared" si="35"/>
        <v>0.99890332310094165</v>
      </c>
      <c r="L90" s="55">
        <f t="shared" si="36"/>
        <v>2.8167190149220591E-4</v>
      </c>
      <c r="M90" s="55">
        <f t="shared" si="19"/>
        <v>0.9997183280985078</v>
      </c>
      <c r="N90" s="55">
        <f t="shared" si="37"/>
        <v>1.8548498344203597E-6</v>
      </c>
      <c r="O90" s="56">
        <f t="shared" si="21"/>
        <v>9.99695264319718E-7</v>
      </c>
      <c r="P90" s="56">
        <f t="shared" si="38"/>
        <v>1.0267827706340211E-6</v>
      </c>
      <c r="Q90" s="56">
        <f t="shared" si="39"/>
        <v>6.7615116808124092E-7</v>
      </c>
      <c r="R90" s="9">
        <f t="shared" si="12"/>
        <v>3.9999999999999996E-5</v>
      </c>
      <c r="S90" s="9">
        <f t="shared" si="13"/>
        <v>1.1266876059688236E-8</v>
      </c>
      <c r="T90" s="9">
        <f t="shared" si="10"/>
        <v>3.9956132924037664E-5</v>
      </c>
      <c r="U90" s="9">
        <f t="shared" si="11"/>
        <v>3.998873312394031E-5</v>
      </c>
      <c r="V90" s="100">
        <f t="shared" si="14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289</v>
      </c>
      <c r="C91" s="46" t="s">
        <v>290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-4.1568887929674184E-3</v>
      </c>
      <c r="K91" s="55">
        <f t="shared" si="35"/>
        <v>0.99926323302924691</v>
      </c>
      <c r="L91" s="55">
        <f t="shared" si="36"/>
        <v>2.7172659664067883E-4</v>
      </c>
      <c r="M91" s="55">
        <f t="shared" si="19"/>
        <v>0.99972827340335935</v>
      </c>
      <c r="N91" s="55">
        <f t="shared" si="37"/>
        <v>8.4274584211815469E-7</v>
      </c>
      <c r="O91" s="56">
        <f t="shared" si="21"/>
        <v>1.0000554595884569E-6</v>
      </c>
      <c r="P91" s="56">
        <f t="shared" si="38"/>
        <v>9.9052900298395418E-7</v>
      </c>
      <c r="Q91" s="56">
        <f t="shared" si="39"/>
        <v>3.0720739488966182E-7</v>
      </c>
      <c r="R91" s="9">
        <f t="shared" si="12"/>
        <v>3.9999999999999996E-5</v>
      </c>
      <c r="S91" s="9">
        <f t="shared" si="13"/>
        <v>1.0869063865627152E-8</v>
      </c>
      <c r="T91" s="9">
        <f t="shared" si="10"/>
        <v>3.9970529321169875E-5</v>
      </c>
      <c r="U91" s="9">
        <f t="shared" si="11"/>
        <v>3.9989130936134371E-5</v>
      </c>
      <c r="V91" s="100">
        <f t="shared" si="14"/>
        <v>0.99953483322770365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291</v>
      </c>
      <c r="C92" s="46" t="s">
        <v>292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0.36182051032433649</v>
      </c>
      <c r="K92" s="55">
        <f t="shared" si="35"/>
        <v>0.98748444343628528</v>
      </c>
      <c r="L92" s="55">
        <f t="shared" si="36"/>
        <v>6.2367725041299709E-4</v>
      </c>
      <c r="M92" s="55">
        <f t="shared" si="19"/>
        <v>0.99937632274958699</v>
      </c>
      <c r="N92" s="55">
        <f t="shared" si="37"/>
        <v>7.7254136942160847E-5</v>
      </c>
      <c r="O92" s="56">
        <f t="shared" si="21"/>
        <v>9.882673316453562E-7</v>
      </c>
      <c r="P92" s="56">
        <f t="shared" si="38"/>
        <v>2.2734999542657078E-6</v>
      </c>
      <c r="Q92" s="56">
        <f t="shared" si="39"/>
        <v>2.8161565407193067E-5</v>
      </c>
      <c r="R92" s="9">
        <f t="shared" si="12"/>
        <v>3.9999999999999996E-5</v>
      </c>
      <c r="S92" s="9">
        <f t="shared" si="13"/>
        <v>2.4947090016519883E-8</v>
      </c>
      <c r="T92" s="9">
        <f t="shared" ref="T92:T143" si="40">R92*K92</f>
        <v>3.9499377737451408E-5</v>
      </c>
      <c r="U92" s="9">
        <f t="shared" ref="U92:U143" si="41">$R92*M92</f>
        <v>3.9975052909983479E-5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293</v>
      </c>
      <c r="C93" s="46" t="s">
        <v>294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-3.5273748198145854E-3</v>
      </c>
      <c r="K93" s="55">
        <f t="shared" si="35"/>
        <v>0.9992490096359391</v>
      </c>
      <c r="L93" s="55">
        <f t="shared" si="36"/>
        <v>2.721168791844024E-4</v>
      </c>
      <c r="M93" s="55">
        <f t="shared" ref="M93:M127" si="42">IF(D93=0,"",1-L93)</f>
        <v>0.99972788312081562</v>
      </c>
      <c r="N93" s="55">
        <f t="shared" si="37"/>
        <v>8.7824777285415129E-7</v>
      </c>
      <c r="O93" s="56">
        <f t="shared" ref="O93:O127" si="43">IF(D93=0,"",F93*K93*$J$7/$J$14)</f>
        <v>1.0000412249186909E-6</v>
      </c>
      <c r="P93" s="56">
        <f t="shared" si="38"/>
        <v>9.9195170574362465E-7</v>
      </c>
      <c r="Q93" s="56">
        <f t="shared" si="39"/>
        <v>3.2014896648798201E-7</v>
      </c>
      <c r="R93" s="9">
        <f t="shared" ref="R93:R143" si="44">F93*$C$14</f>
        <v>3.9999999999999996E-5</v>
      </c>
      <c r="S93" s="9">
        <f t="shared" ref="S93:S143" si="45">$R93*L93</f>
        <v>1.0884675167376094E-8</v>
      </c>
      <c r="T93" s="9">
        <f t="shared" si="40"/>
        <v>3.9969960385437561E-5</v>
      </c>
      <c r="U93" s="9">
        <f t="shared" si="41"/>
        <v>3.9989115324832623E-5</v>
      </c>
      <c r="V93" s="100">
        <f t="shared" ref="V93:V143" si="46">K93/M93</f>
        <v>0.99952099617009615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295</v>
      </c>
      <c r="C94" s="46" t="s">
        <v>296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-1.9299967589831664E-2</v>
      </c>
      <c r="K94" s="55">
        <f t="shared" si="35"/>
        <v>0.99960269985654426</v>
      </c>
      <c r="L94" s="55">
        <f t="shared" si="36"/>
        <v>2.625043972459179E-4</v>
      </c>
      <c r="M94" s="55">
        <f t="shared" si="42"/>
        <v>0.99973749560275404</v>
      </c>
      <c r="N94" s="55">
        <f t="shared" si="37"/>
        <v>1.4685359498688267E-7</v>
      </c>
      <c r="O94" s="56">
        <f t="shared" si="43"/>
        <v>1.0003951955486787E-6</v>
      </c>
      <c r="P94" s="56">
        <f t="shared" si="38"/>
        <v>9.5691118240715054E-7</v>
      </c>
      <c r="Q94" s="56">
        <f t="shared" si="39"/>
        <v>5.3532759334310166E-8</v>
      </c>
      <c r="R94" s="9">
        <f t="shared" si="44"/>
        <v>3.9999999999999996E-5</v>
      </c>
      <c r="S94" s="9">
        <f t="shared" si="45"/>
        <v>1.0500175889836716E-8</v>
      </c>
      <c r="T94" s="9">
        <f t="shared" si="40"/>
        <v>3.9984107994261769E-5</v>
      </c>
      <c r="U94" s="9">
        <f t="shared" si="41"/>
        <v>3.998949982411016E-5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297</v>
      </c>
      <c r="C95" s="46" t="s">
        <v>298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3.167558402824401</v>
      </c>
      <c r="K95" s="55">
        <f t="shared" si="35"/>
        <v>0.1075979352878214</v>
      </c>
      <c r="L95" s="55">
        <f t="shared" si="36"/>
        <v>4.3448168129462353E-2</v>
      </c>
      <c r="M95" s="55">
        <f t="shared" si="42"/>
        <v>0.95655183187053761</v>
      </c>
      <c r="N95" s="55">
        <f t="shared" si="37"/>
        <v>3.2823361060939207E-2</v>
      </c>
      <c r="O95" s="56">
        <f t="shared" si="43"/>
        <v>1.0768324007962561E-7</v>
      </c>
      <c r="P95" s="56">
        <f t="shared" si="38"/>
        <v>1.5838225330465412E-4</v>
      </c>
      <c r="Q95" s="56">
        <f t="shared" si="39"/>
        <v>1.1965148611958576E-2</v>
      </c>
      <c r="R95" s="9">
        <f t="shared" si="44"/>
        <v>3.9999999999999996E-5</v>
      </c>
      <c r="S95" s="9">
        <f t="shared" si="45"/>
        <v>1.737926725178494E-6</v>
      </c>
      <c r="T95" s="9">
        <f t="shared" si="40"/>
        <v>4.3039174115128557E-6</v>
      </c>
      <c r="U95" s="9">
        <f t="shared" si="41"/>
        <v>3.82620732748215E-5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299</v>
      </c>
      <c r="C96" s="46" t="s">
        <v>212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-2.5488275090784249E-2</v>
      </c>
      <c r="K96" s="55">
        <f t="shared" si="35"/>
        <v>0.99974117296918064</v>
      </c>
      <c r="L96" s="55">
        <f t="shared" si="36"/>
        <v>2.5882631732047375E-4</v>
      </c>
      <c r="M96" s="55">
        <f t="shared" si="42"/>
        <v>0.99974117368267956</v>
      </c>
      <c r="N96" s="55">
        <f t="shared" si="37"/>
        <v>4.6827040196937778E-15</v>
      </c>
      <c r="O96" s="56">
        <f t="shared" si="43"/>
        <v>1.0005337784442774E-6</v>
      </c>
      <c r="P96" s="56">
        <f t="shared" si="38"/>
        <v>9.4350342296627716E-7</v>
      </c>
      <c r="Q96" s="56">
        <f t="shared" si="39"/>
        <v>1.7069930589201102E-15</v>
      </c>
      <c r="R96" s="9">
        <f t="shared" si="44"/>
        <v>3.9999999999999996E-5</v>
      </c>
      <c r="S96" s="9">
        <f t="shared" si="45"/>
        <v>1.0353052692818949E-8</v>
      </c>
      <c r="T96" s="9">
        <f t="shared" si="40"/>
        <v>3.9989646918767219E-5</v>
      </c>
      <c r="U96" s="9">
        <f t="shared" si="41"/>
        <v>3.9989646947307181E-5</v>
      </c>
      <c r="V96" s="100">
        <f t="shared" si="46"/>
        <v>0.99999999928631633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300</v>
      </c>
      <c r="C97" s="46" t="s">
        <v>213</v>
      </c>
      <c r="D97" s="47" t="s">
        <v>301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302</v>
      </c>
      <c r="C98" s="46" t="s">
        <v>214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3.2573026966933165</v>
      </c>
      <c r="K98" s="55">
        <f t="shared" si="35"/>
        <v>5.3122028187935731E-2</v>
      </c>
      <c r="L98" s="55">
        <f t="shared" si="36"/>
        <v>2.6374635994885837E-2</v>
      </c>
      <c r="M98" s="55">
        <f t="shared" si="42"/>
        <v>0.97362536400511412</v>
      </c>
      <c r="N98" s="55">
        <f t="shared" si="37"/>
        <v>2.5934852228267744E-3</v>
      </c>
      <c r="O98" s="56">
        <f t="shared" si="43"/>
        <v>5.3164143899010179E-8</v>
      </c>
      <c r="P98" s="56">
        <f t="shared" si="38"/>
        <v>9.6143852751468062E-5</v>
      </c>
      <c r="Q98" s="56">
        <f t="shared" si="39"/>
        <v>9.4540702447956204E-4</v>
      </c>
      <c r="R98" s="9">
        <f t="shared" si="44"/>
        <v>3.9999999999999996E-5</v>
      </c>
      <c r="S98" s="9">
        <f t="shared" si="45"/>
        <v>1.0549854397954335E-6</v>
      </c>
      <c r="T98" s="9">
        <f t="shared" si="40"/>
        <v>2.1248811275174292E-6</v>
      </c>
      <c r="U98" s="9">
        <f t="shared" si="41"/>
        <v>3.8945014560204565E-5</v>
      </c>
      <c r="V98" s="100">
        <f t="shared" si="46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303</v>
      </c>
      <c r="C99" s="46" t="s">
        <v>215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1.5416815154210541</v>
      </c>
      <c r="K99" s="55">
        <f t="shared" si="35"/>
        <v>0.74505223343818672</v>
      </c>
      <c r="L99" s="55">
        <f t="shared" si="36"/>
        <v>7.1199569251577432E-3</v>
      </c>
      <c r="M99" s="55">
        <f t="shared" si="42"/>
        <v>0.99288004307484223</v>
      </c>
      <c r="N99" s="55">
        <f t="shared" si="37"/>
        <v>4.273619485069677E-4</v>
      </c>
      <c r="O99" s="56">
        <f t="shared" si="43"/>
        <v>7.4564291880298199E-7</v>
      </c>
      <c r="P99" s="56">
        <f t="shared" si="38"/>
        <v>2.5954484844526268E-5</v>
      </c>
      <c r="Q99" s="56">
        <f t="shared" si="39"/>
        <v>1.557868865253783E-4</v>
      </c>
      <c r="R99" s="9">
        <f t="shared" si="44"/>
        <v>3.9999999999999996E-5</v>
      </c>
      <c r="S99" s="9">
        <f t="shared" si="45"/>
        <v>2.8479827700630971E-7</v>
      </c>
      <c r="T99" s="9">
        <f t="shared" si="40"/>
        <v>2.9802089337527465E-5</v>
      </c>
      <c r="U99" s="9">
        <f t="shared" si="41"/>
        <v>3.9715201722993685E-5</v>
      </c>
      <c r="V99" s="100">
        <f t="shared" si="46"/>
        <v>0.75039501361195704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304</v>
      </c>
      <c r="C100" s="46" t="s">
        <v>216</v>
      </c>
      <c r="D100" s="47" t="s">
        <v>301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305</v>
      </c>
      <c r="C101" s="46" t="s">
        <v>217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2.8915128781421329</v>
      </c>
      <c r="K101" s="55">
        <f t="shared" si="35"/>
        <v>0.11171709736365953</v>
      </c>
      <c r="L101" s="55">
        <f t="shared" si="36"/>
        <v>2.389140285144329E-2</v>
      </c>
      <c r="M101" s="55">
        <f t="shared" si="42"/>
        <v>0.97610859714855669</v>
      </c>
      <c r="N101" s="55">
        <f t="shared" si="37"/>
        <v>1.0156142205191314E-3</v>
      </c>
      <c r="O101" s="56">
        <f t="shared" si="43"/>
        <v>1.1180566787113335E-7</v>
      </c>
      <c r="P101" s="56">
        <f t="shared" si="38"/>
        <v>8.7091686050968392E-5</v>
      </c>
      <c r="Q101" s="56">
        <f t="shared" si="39"/>
        <v>3.702233619027849E-4</v>
      </c>
      <c r="R101" s="9">
        <f t="shared" si="44"/>
        <v>3.9999999999999996E-5</v>
      </c>
      <c r="S101" s="9">
        <f t="shared" si="45"/>
        <v>9.556561140577315E-7</v>
      </c>
      <c r="T101" s="9">
        <f t="shared" si="40"/>
        <v>4.4686838945463806E-6</v>
      </c>
      <c r="U101" s="9">
        <f t="shared" si="41"/>
        <v>3.9044343885942265E-5</v>
      </c>
      <c r="V101" s="100">
        <f t="shared" si="46"/>
        <v>0.1144515043613093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306</v>
      </c>
      <c r="C102" s="46" t="s">
        <v>218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2.1152501491474514</v>
      </c>
      <c r="K102" s="55">
        <f t="shared" si="35"/>
        <v>0.4239959615497938</v>
      </c>
      <c r="L102" s="55">
        <f t="shared" si="36"/>
        <v>1.5178225441029185E-2</v>
      </c>
      <c r="M102" s="55">
        <f t="shared" si="42"/>
        <v>0.9848217745589708</v>
      </c>
      <c r="N102" s="55">
        <f t="shared" si="37"/>
        <v>1.3355815509432001E-9</v>
      </c>
      <c r="O102" s="56">
        <f t="shared" si="43"/>
        <v>4.2433211007466169E-7</v>
      </c>
      <c r="P102" s="56">
        <f t="shared" si="38"/>
        <v>5.5329410882252936E-5</v>
      </c>
      <c r="Q102" s="56">
        <f t="shared" si="39"/>
        <v>4.8686152861544431E-10</v>
      </c>
      <c r="R102" s="9">
        <f t="shared" si="44"/>
        <v>3.9999999999999996E-5</v>
      </c>
      <c r="S102" s="9">
        <f t="shared" si="45"/>
        <v>6.071290176411674E-7</v>
      </c>
      <c r="T102" s="9">
        <f t="shared" si="40"/>
        <v>1.695983846199175E-5</v>
      </c>
      <c r="U102" s="9">
        <f t="shared" si="41"/>
        <v>3.9392870982358825E-5</v>
      </c>
      <c r="V102" s="100">
        <f t="shared" si="46"/>
        <v>0.43053065285814823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307</v>
      </c>
      <c r="C103" s="46" t="s">
        <v>219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3.1623797905268387</v>
      </c>
      <c r="K103" s="55">
        <f t="shared" si="35"/>
        <v>6.157589506359027E-2</v>
      </c>
      <c r="L103" s="55">
        <f t="shared" si="36"/>
        <v>2.4569688691937139E-2</v>
      </c>
      <c r="M103" s="55">
        <f t="shared" si="42"/>
        <v>0.9754303113080629</v>
      </c>
      <c r="N103" s="55">
        <f t="shared" si="37"/>
        <v>3.2345913786381481E-9</v>
      </c>
      <c r="O103" s="56">
        <f t="shared" si="43"/>
        <v>6.1624713090576636E-8</v>
      </c>
      <c r="P103" s="56">
        <f t="shared" si="38"/>
        <v>8.9564251510620299E-5</v>
      </c>
      <c r="Q103" s="56">
        <f t="shared" si="39"/>
        <v>1.1791104047057021E-9</v>
      </c>
      <c r="R103" s="9">
        <f t="shared" si="44"/>
        <v>3.9999999999999996E-5</v>
      </c>
      <c r="S103" s="9">
        <f t="shared" si="45"/>
        <v>9.8278754767748551E-7</v>
      </c>
      <c r="T103" s="9">
        <f t="shared" si="40"/>
        <v>2.4630358025436105E-6</v>
      </c>
      <c r="U103" s="9">
        <f t="shared" si="41"/>
        <v>3.9017212452322515E-5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308</v>
      </c>
      <c r="C104" s="46" t="s">
        <v>220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3.8632924747948705</v>
      </c>
      <c r="K104" s="55">
        <f t="shared" si="35"/>
        <v>1.3270290767448654E-2</v>
      </c>
      <c r="L104" s="55">
        <f t="shared" si="36"/>
        <v>2.6593900744543309E-2</v>
      </c>
      <c r="M104" s="55">
        <f t="shared" si="42"/>
        <v>0.97340609925545674</v>
      </c>
      <c r="N104" s="55">
        <f t="shared" si="37"/>
        <v>1.2632507615552848E-3</v>
      </c>
      <c r="O104" s="56">
        <f t="shared" si="43"/>
        <v>1.3280811595641783E-8</v>
      </c>
      <c r="P104" s="56">
        <f t="shared" si="38"/>
        <v>9.6943141803599214E-5</v>
      </c>
      <c r="Q104" s="56">
        <f t="shared" si="39"/>
        <v>4.6049467841262966E-4</v>
      </c>
      <c r="R104" s="9">
        <f t="shared" si="44"/>
        <v>3.9999999999999996E-5</v>
      </c>
      <c r="S104" s="9">
        <f t="shared" si="45"/>
        <v>1.0637560297817324E-6</v>
      </c>
      <c r="T104" s="9">
        <f t="shared" si="40"/>
        <v>5.3081163069794605E-7</v>
      </c>
      <c r="U104" s="9">
        <f t="shared" si="41"/>
        <v>3.8936243970218263E-5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309</v>
      </c>
      <c r="C105" s="46" t="s">
        <v>221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3.5417985599526003</v>
      </c>
      <c r="K105" s="55">
        <f t="shared" si="35"/>
        <v>3.0728962172746697E-2</v>
      </c>
      <c r="L105" s="55">
        <f t="shared" si="36"/>
        <v>2.9373492199168929E-2</v>
      </c>
      <c r="M105" s="55">
        <f t="shared" si="42"/>
        <v>0.97062650780083104</v>
      </c>
      <c r="N105" s="55">
        <f t="shared" si="37"/>
        <v>6.5487290586685922E-3</v>
      </c>
      <c r="O105" s="56">
        <f t="shared" si="43"/>
        <v>3.0753324422017498E-8</v>
      </c>
      <c r="P105" s="56">
        <f t="shared" si="38"/>
        <v>1.0707562786234832E-4</v>
      </c>
      <c r="Q105" s="56">
        <f t="shared" si="39"/>
        <v>2.3872179409337797E-3</v>
      </c>
      <c r="R105" s="9">
        <f t="shared" si="44"/>
        <v>3.9999999999999996E-5</v>
      </c>
      <c r="S105" s="9">
        <f t="shared" si="45"/>
        <v>1.1749396879667571E-6</v>
      </c>
      <c r="T105" s="9">
        <f t="shared" si="40"/>
        <v>1.2291584869098677E-6</v>
      </c>
      <c r="U105" s="9">
        <f t="shared" si="41"/>
        <v>3.8825060312033235E-5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310</v>
      </c>
      <c r="C106" s="46" t="s">
        <v>222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2.6118360433536578</v>
      </c>
      <c r="K106" s="55">
        <f t="shared" si="35"/>
        <v>0.19117533015611676</v>
      </c>
      <c r="L106" s="55">
        <f t="shared" si="36"/>
        <v>2.1472223653296804E-2</v>
      </c>
      <c r="M106" s="55">
        <f t="shared" si="42"/>
        <v>0.97852777634670318</v>
      </c>
      <c r="N106" s="55">
        <f t="shared" si="37"/>
        <v>4.2661977148165156E-4</v>
      </c>
      <c r="O106" s="56">
        <f t="shared" si="43"/>
        <v>1.9132689599883898E-7</v>
      </c>
      <c r="P106" s="56">
        <f t="shared" si="38"/>
        <v>7.827301614966208E-5</v>
      </c>
      <c r="Q106" s="56">
        <f t="shared" si="39"/>
        <v>1.5551633963081126E-4</v>
      </c>
      <c r="R106" s="9">
        <f t="shared" si="44"/>
        <v>3.9999999999999996E-5</v>
      </c>
      <c r="S106" s="9">
        <f t="shared" si="45"/>
        <v>8.588889461318721E-7</v>
      </c>
      <c r="T106" s="9">
        <f t="shared" si="40"/>
        <v>7.6470132062446693E-6</v>
      </c>
      <c r="U106" s="9">
        <f t="shared" si="41"/>
        <v>3.9141111053868125E-5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311</v>
      </c>
      <c r="C107" s="46" t="s">
        <v>223</v>
      </c>
      <c r="D107" s="47" t="s">
        <v>301</v>
      </c>
      <c r="E107" s="47" t="s">
        <v>312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313</v>
      </c>
      <c r="C108" s="46" t="s">
        <v>224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3.3118654061647601</v>
      </c>
      <c r="K108" s="55">
        <f t="shared" si="35"/>
        <v>4.6210261007778704E-2</v>
      </c>
      <c r="L108" s="55">
        <f t="shared" si="36"/>
        <v>2.6014348716224059E-2</v>
      </c>
      <c r="M108" s="55">
        <f t="shared" si="42"/>
        <v>0.9739856512837759</v>
      </c>
      <c r="N108" s="55">
        <f t="shared" si="37"/>
        <v>1.7113843310648923E-3</v>
      </c>
      <c r="O108" s="56">
        <f t="shared" si="43"/>
        <v>4.6246896996043179E-8</v>
      </c>
      <c r="P108" s="56">
        <f t="shared" si="38"/>
        <v>9.4830492177521122E-5</v>
      </c>
      <c r="Q108" s="56">
        <f t="shared" si="39"/>
        <v>6.2385347482701772E-4</v>
      </c>
      <c r="R108" s="9">
        <f t="shared" si="44"/>
        <v>3.9999999999999996E-5</v>
      </c>
      <c r="S108" s="9">
        <f t="shared" si="45"/>
        <v>1.0405739486489623E-6</v>
      </c>
      <c r="T108" s="9">
        <f t="shared" si="40"/>
        <v>1.8484104403111479E-6</v>
      </c>
      <c r="U108" s="9">
        <f t="shared" si="41"/>
        <v>3.895942605135103E-5</v>
      </c>
      <c r="V108" s="100">
        <f t="shared" si="46"/>
        <v>4.7444498742738768E-2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314</v>
      </c>
      <c r="C109" s="46" t="s">
        <v>225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3.5677567932915144</v>
      </c>
      <c r="K109" s="55">
        <f t="shared" si="35"/>
        <v>2.8141928721013339E-2</v>
      </c>
      <c r="L109" s="55">
        <f t="shared" si="36"/>
        <v>2.855747346041276E-2</v>
      </c>
      <c r="M109" s="55">
        <f t="shared" si="42"/>
        <v>0.97144252653958729</v>
      </c>
      <c r="N109" s="55">
        <f t="shared" si="37"/>
        <v>5.1046149558693172E-3</v>
      </c>
      <c r="O109" s="56">
        <f t="shared" si="43"/>
        <v>2.8164239942544621E-8</v>
      </c>
      <c r="P109" s="56">
        <f t="shared" si="38"/>
        <v>1.0410098262073728E-4</v>
      </c>
      <c r="Q109" s="56">
        <f t="shared" si="39"/>
        <v>1.8607928798153092E-3</v>
      </c>
      <c r="R109" s="9">
        <f t="shared" si="44"/>
        <v>3.9999999999999996E-5</v>
      </c>
      <c r="S109" s="9">
        <f t="shared" si="45"/>
        <v>1.1422989384165103E-6</v>
      </c>
      <c r="T109" s="9">
        <f t="shared" si="40"/>
        <v>1.1256771488405334E-6</v>
      </c>
      <c r="U109" s="9">
        <f t="shared" si="41"/>
        <v>3.8857701061583492E-5</v>
      </c>
      <c r="V109" s="100">
        <f t="shared" si="46"/>
        <v>2.8969216348041487E-2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204</v>
      </c>
      <c r="C110" s="46" t="s">
        <v>205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1.86916463208601</v>
      </c>
      <c r="K110" s="55">
        <f t="shared" si="35"/>
        <v>0.56654486674071725</v>
      </c>
      <c r="L110" s="55">
        <f t="shared" si="36"/>
        <v>1.1508217754442012E-2</v>
      </c>
      <c r="M110" s="55">
        <f t="shared" si="42"/>
        <v>0.988491782245558</v>
      </c>
      <c r="N110" s="55">
        <f t="shared" si="37"/>
        <v>3.9070002478671284E-5</v>
      </c>
      <c r="O110" s="56">
        <f t="shared" si="43"/>
        <v>5.6699402955946259E-7</v>
      </c>
      <c r="P110" s="56">
        <f t="shared" si="38"/>
        <v>4.1951077293709294E-5</v>
      </c>
      <c r="Q110" s="56">
        <f t="shared" si="39"/>
        <v>1.4242246095973556E-5</v>
      </c>
      <c r="R110" s="9">
        <f t="shared" si="44"/>
        <v>3.9999999999999996E-5</v>
      </c>
      <c r="S110" s="9">
        <f t="shared" si="45"/>
        <v>4.6032871017768043E-7</v>
      </c>
      <c r="T110" s="9">
        <f t="shared" si="40"/>
        <v>2.2661794669628687E-5</v>
      </c>
      <c r="U110" s="9">
        <f t="shared" si="41"/>
        <v>3.9539671289822315E-5</v>
      </c>
      <c r="V110" s="100">
        <f t="shared" si="46"/>
        <v>0.5731406946587827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206</v>
      </c>
      <c r="C111" s="46" t="s">
        <v>207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1.84259502512759</v>
      </c>
      <c r="K111" s="55">
        <f t="shared" si="35"/>
        <v>0.67212736169150122</v>
      </c>
      <c r="L111" s="55">
        <f t="shared" si="36"/>
        <v>1.2842682042600658E-2</v>
      </c>
      <c r="M111" s="55">
        <f t="shared" si="42"/>
        <v>0.98715731795739936</v>
      </c>
      <c r="N111" s="55">
        <f t="shared" si="37"/>
        <v>6.6957020184989112E-3</v>
      </c>
      <c r="O111" s="56">
        <f t="shared" si="43"/>
        <v>6.7266023143943496E-7</v>
      </c>
      <c r="P111" s="56">
        <f t="shared" si="38"/>
        <v>4.681561980522285E-5</v>
      </c>
      <c r="Q111" s="56">
        <f t="shared" si="39"/>
        <v>2.440794212511949E-3</v>
      </c>
      <c r="R111" s="9">
        <f t="shared" si="44"/>
        <v>3.9999999999999996E-5</v>
      </c>
      <c r="S111" s="9">
        <f t="shared" si="45"/>
        <v>5.1370728170402625E-7</v>
      </c>
      <c r="T111" s="9">
        <f t="shared" si="40"/>
        <v>2.6885094467660048E-5</v>
      </c>
      <c r="U111" s="9">
        <f t="shared" si="41"/>
        <v>3.9486292718295974E-5</v>
      </c>
      <c r="V111" s="100">
        <f t="shared" si="46"/>
        <v>0.68087157889104233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208</v>
      </c>
      <c r="C112" s="46" t="s">
        <v>209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4.8225181897123042</v>
      </c>
      <c r="K112" s="55">
        <f t="shared" si="35"/>
        <v>2.8485580321127371E-3</v>
      </c>
      <c r="L112" s="55">
        <f t="shared" si="36"/>
        <v>5.1969961022400653E-2</v>
      </c>
      <c r="M112" s="55">
        <f t="shared" si="42"/>
        <v>0.9480300389775993</v>
      </c>
      <c r="N112" s="55">
        <f t="shared" si="37"/>
        <v>4.2320540081096758E-2</v>
      </c>
      <c r="O112" s="56">
        <f t="shared" si="43"/>
        <v>2.8508163993316021E-9</v>
      </c>
      <c r="P112" s="56">
        <f t="shared" si="38"/>
        <v>1.8944687164615615E-4</v>
      </c>
      <c r="Q112" s="56">
        <f t="shared" si="39"/>
        <v>1.5427169401346582E-2</v>
      </c>
      <c r="R112" s="9">
        <f t="shared" si="44"/>
        <v>3.9999999999999996E-5</v>
      </c>
      <c r="S112" s="9">
        <f t="shared" si="45"/>
        <v>2.0787984408960259E-6</v>
      </c>
      <c r="T112" s="9">
        <f t="shared" si="40"/>
        <v>1.1394232128450948E-7</v>
      </c>
      <c r="U112" s="9">
        <f t="shared" si="41"/>
        <v>3.7921201559103966E-5</v>
      </c>
      <c r="V112" s="100">
        <f t="shared" si="46"/>
        <v>3.0047128413618176E-3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210</v>
      </c>
      <c r="C113" s="46" t="s">
        <v>211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5.1896332804405967</v>
      </c>
      <c r="K113" s="55">
        <f t="shared" si="35"/>
        <v>1.2830735818158434E-3</v>
      </c>
      <c r="L113" s="55">
        <f t="shared" si="36"/>
        <v>5.4512233104211917E-2</v>
      </c>
      <c r="M113" s="55">
        <f t="shared" si="42"/>
        <v>0.94548776689578806</v>
      </c>
      <c r="N113" s="55">
        <f t="shared" si="37"/>
        <v>4.6411723142973163E-2</v>
      </c>
      <c r="O113" s="56">
        <f t="shared" si="43"/>
        <v>1.2840908162495106E-9</v>
      </c>
      <c r="P113" s="56">
        <f t="shared" si="38"/>
        <v>1.9871425386652975E-4</v>
      </c>
      <c r="Q113" s="56">
        <f t="shared" si="39"/>
        <v>1.6918534445992565E-2</v>
      </c>
      <c r="R113" s="9">
        <f t="shared" si="44"/>
        <v>3.9999999999999996E-5</v>
      </c>
      <c r="S113" s="9">
        <f t="shared" si="45"/>
        <v>2.1804893241684765E-6</v>
      </c>
      <c r="T113" s="9">
        <f t="shared" si="40"/>
        <v>5.1322943272633728E-8</v>
      </c>
      <c r="U113" s="9">
        <f t="shared" si="41"/>
        <v>3.7819510675831522E-5</v>
      </c>
      <c r="V113" s="100">
        <f t="shared" si="46"/>
        <v>1.3570493736036503E-3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5.609396901026626</v>
      </c>
      <c r="K114" s="55">
        <f t="shared" si="35"/>
        <v>5.0877351028463227E-4</v>
      </c>
      <c r="L114" s="55">
        <f t="shared" si="36"/>
        <v>5.6823832594459278E-2</v>
      </c>
      <c r="M114" s="55">
        <f t="shared" si="42"/>
        <v>0.94317616740554078</v>
      </c>
      <c r="N114" s="55">
        <f t="shared" si="37"/>
        <v>5.015920230618786E-2</v>
      </c>
      <c r="O114" s="56">
        <f t="shared" si="43"/>
        <v>5.0917687135521633E-10</v>
      </c>
      <c r="P114" s="56">
        <f t="shared" si="38"/>
        <v>2.0714076185904986E-4</v>
      </c>
      <c r="Q114" s="56">
        <f t="shared" si="39"/>
        <v>1.8284608597412787E-2</v>
      </c>
      <c r="R114" s="9">
        <f t="shared" si="44"/>
        <v>3.9999999999999996E-5</v>
      </c>
      <c r="S114" s="9">
        <f t="shared" si="45"/>
        <v>2.272953303778371E-6</v>
      </c>
      <c r="T114" s="9">
        <f t="shared" si="40"/>
        <v>2.035094041138529E-8</v>
      </c>
      <c r="U114" s="9">
        <f t="shared" si="41"/>
        <v>3.772704669622163E-5</v>
      </c>
      <c r="V114" s="100">
        <f t="shared" si="46"/>
        <v>5.3942574872746247E-4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4.2006252163899038</v>
      </c>
      <c r="K115" s="55">
        <f t="shared" si="35"/>
        <v>1.2626185386402016E-2</v>
      </c>
      <c r="L115" s="55">
        <f t="shared" si="36"/>
        <v>5.501821649287035E-2</v>
      </c>
      <c r="M115" s="55">
        <f t="shared" si="42"/>
        <v>0.94498178350712969</v>
      </c>
      <c r="N115" s="55">
        <f t="shared" si="37"/>
        <v>4.7719877896446668E-2</v>
      </c>
      <c r="O115" s="56">
        <f t="shared" si="43"/>
        <v>1.2636195560972627E-8</v>
      </c>
      <c r="P115" s="56">
        <f t="shared" si="38"/>
        <v>2.0055872263657443E-4</v>
      </c>
      <c r="Q115" s="56">
        <f t="shared" si="39"/>
        <v>1.739539804334601E-2</v>
      </c>
      <c r="R115" s="9">
        <f t="shared" si="44"/>
        <v>3.9999999999999996E-5</v>
      </c>
      <c r="S115" s="9">
        <f t="shared" si="45"/>
        <v>2.2007286597148139E-6</v>
      </c>
      <c r="T115" s="9">
        <f t="shared" si="40"/>
        <v>5.0504741545608063E-7</v>
      </c>
      <c r="U115" s="9">
        <f t="shared" si="41"/>
        <v>3.7799271340285183E-5</v>
      </c>
      <c r="V115" s="100">
        <f t="shared" si="46"/>
        <v>1.3361300298871585E-2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226</v>
      </c>
      <c r="C116" s="46" t="s">
        <v>227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-8.4680322282971229E-3</v>
      </c>
      <c r="K116" s="55">
        <f t="shared" si="35"/>
        <v>0.99936035801612189</v>
      </c>
      <c r="L116" s="55">
        <f t="shared" si="36"/>
        <v>2.6906872187858731E-4</v>
      </c>
      <c r="M116" s="55">
        <f t="shared" si="42"/>
        <v>0.9997309312781214</v>
      </c>
      <c r="N116" s="55">
        <f t="shared" si="37"/>
        <v>6.1206887252808109E-7</v>
      </c>
      <c r="O116" s="56">
        <f t="shared" si="43"/>
        <v>1.0001526615770584E-6</v>
      </c>
      <c r="P116" s="56">
        <f t="shared" si="38"/>
        <v>9.8084021259428145E-7</v>
      </c>
      <c r="Q116" s="56">
        <f t="shared" si="39"/>
        <v>2.2311837617591213E-7</v>
      </c>
      <c r="R116" s="9">
        <f t="shared" si="44"/>
        <v>3.9999999999999996E-5</v>
      </c>
      <c r="S116" s="9">
        <f t="shared" si="45"/>
        <v>1.0762748875143492E-8</v>
      </c>
      <c r="T116" s="9">
        <f t="shared" si="40"/>
        <v>3.9974414320644871E-5</v>
      </c>
      <c r="U116" s="9">
        <f t="shared" si="41"/>
        <v>3.9989237251124853E-5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228</v>
      </c>
      <c r="C117" s="46" t="s">
        <v>229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0.72322796015768975</v>
      </c>
      <c r="K117" s="55">
        <f t="shared" si="35"/>
        <v>0.96326228153842786</v>
      </c>
      <c r="L117" s="55">
        <f t="shared" si="36"/>
        <v>1.3982397519858867E-3</v>
      </c>
      <c r="M117" s="55">
        <f t="shared" si="42"/>
        <v>0.99860176024801406</v>
      </c>
      <c r="N117" s="55">
        <f t="shared" si="37"/>
        <v>3.1746999475292241E-4</v>
      </c>
      <c r="O117" s="56">
        <f t="shared" si="43"/>
        <v>9.6402596615895205E-7</v>
      </c>
      <c r="P117" s="56">
        <f t="shared" si="38"/>
        <v>5.0970241580678984E-6</v>
      </c>
      <c r="Q117" s="56">
        <f t="shared" si="39"/>
        <v>1.1572780922721671E-4</v>
      </c>
      <c r="R117" s="9">
        <f t="shared" si="44"/>
        <v>3.9999999999999996E-5</v>
      </c>
      <c r="S117" s="9">
        <f t="shared" si="45"/>
        <v>5.5929590079435465E-8</v>
      </c>
      <c r="T117" s="9">
        <f t="shared" si="40"/>
        <v>3.8530491261537111E-5</v>
      </c>
      <c r="U117" s="9">
        <f t="shared" si="41"/>
        <v>3.9944070409920559E-5</v>
      </c>
      <c r="V117" s="100">
        <f t="shared" si="46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230</v>
      </c>
      <c r="C118" s="46" t="s">
        <v>231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1.8548729892070779</v>
      </c>
      <c r="K118" s="55">
        <f t="shared" si="35"/>
        <v>0.66628088176199018</v>
      </c>
      <c r="L118" s="55">
        <f t="shared" si="36"/>
        <v>1.3096024258936165E-2</v>
      </c>
      <c r="M118" s="55">
        <f t="shared" si="42"/>
        <v>0.98690397574106381</v>
      </c>
      <c r="N118" s="55">
        <f t="shared" si="37"/>
        <v>6.8622488677098636E-3</v>
      </c>
      <c r="O118" s="56">
        <f t="shared" si="43"/>
        <v>6.6680911635821918E-7</v>
      </c>
      <c r="P118" s="56">
        <f t="shared" si="38"/>
        <v>4.7739131953326593E-5</v>
      </c>
      <c r="Q118" s="56">
        <f t="shared" si="39"/>
        <v>2.5015057830900748E-3</v>
      </c>
      <c r="R118" s="9">
        <f t="shared" si="44"/>
        <v>3.9999999999999996E-5</v>
      </c>
      <c r="S118" s="9">
        <f t="shared" si="45"/>
        <v>5.2384097035744656E-7</v>
      </c>
      <c r="T118" s="9">
        <f t="shared" si="40"/>
        <v>2.6651235270479605E-5</v>
      </c>
      <c r="U118" s="9">
        <f t="shared" si="41"/>
        <v>3.9476159029642549E-5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232</v>
      </c>
      <c r="C119" s="46" t="s">
        <v>233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-2.3219165023637366E-2</v>
      </c>
      <c r="K119" s="55">
        <f t="shared" si="35"/>
        <v>0.99969020430901634</v>
      </c>
      <c r="L119" s="55">
        <f t="shared" si="36"/>
        <v>2.6016891239077753E-4</v>
      </c>
      <c r="M119" s="55">
        <f t="shared" si="42"/>
        <v>0.99973983108760922</v>
      </c>
      <c r="N119" s="55">
        <f t="shared" si="37"/>
        <v>3.5706743327346786E-8</v>
      </c>
      <c r="O119" s="56">
        <f t="shared" si="43"/>
        <v>1.0004827693756151E-6</v>
      </c>
      <c r="P119" s="56">
        <f t="shared" si="38"/>
        <v>9.4839760473883919E-7</v>
      </c>
      <c r="Q119" s="56">
        <f t="shared" si="39"/>
        <v>1.3016232236776898E-8</v>
      </c>
      <c r="R119" s="9">
        <f t="shared" si="44"/>
        <v>3.9999999999999996E-5</v>
      </c>
      <c r="S119" s="9">
        <f t="shared" si="45"/>
        <v>1.04067564956311E-8</v>
      </c>
      <c r="T119" s="9">
        <f t="shared" si="40"/>
        <v>3.9987608172360652E-5</v>
      </c>
      <c r="U119" s="9">
        <f t="shared" si="41"/>
        <v>3.9989593243504362E-5</v>
      </c>
      <c r="V119" s="100">
        <f t="shared" si="46"/>
        <v>0.99995036030670215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234</v>
      </c>
      <c r="C120" s="46" t="s">
        <v>235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-2.5488306009393686E-2</v>
      </c>
      <c r="K120" s="55">
        <f t="shared" si="35"/>
        <v>0.99974117367312565</v>
      </c>
      <c r="L120" s="55">
        <f t="shared" si="36"/>
        <v>2.5882629907616919E-4</v>
      </c>
      <c r="M120" s="55">
        <f t="shared" si="42"/>
        <v>0.99974117370092386</v>
      </c>
      <c r="N120" s="55">
        <f t="shared" si="37"/>
        <v>4.6307006644049412E-17</v>
      </c>
      <c r="O120" s="56">
        <f t="shared" si="43"/>
        <v>1.0005337791487805E-6</v>
      </c>
      <c r="P120" s="56">
        <f t="shared" si="38"/>
        <v>9.4350335646004228E-7</v>
      </c>
      <c r="Q120" s="56">
        <f t="shared" si="39"/>
        <v>1.6880361984938974E-17</v>
      </c>
      <c r="R120" s="9">
        <f t="shared" si="44"/>
        <v>3.9999999999999996E-5</v>
      </c>
      <c r="S120" s="9">
        <f t="shared" si="45"/>
        <v>1.0353051963046767E-8</v>
      </c>
      <c r="T120" s="9">
        <f t="shared" si="40"/>
        <v>3.998964694692502E-5</v>
      </c>
      <c r="U120" s="9">
        <f t="shared" si="41"/>
        <v>3.9989646948036951E-5</v>
      </c>
      <c r="V120" s="100">
        <f t="shared" si="46"/>
        <v>0.99999999997219458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236</v>
      </c>
      <c r="C121" s="46" t="s">
        <v>237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0.13928219055833857</v>
      </c>
      <c r="K121" s="55">
        <f t="shared" si="35"/>
        <v>0.99560046235887956</v>
      </c>
      <c r="L121" s="55">
        <f t="shared" si="36"/>
        <v>3.7668333778788647E-4</v>
      </c>
      <c r="M121" s="55">
        <f t="shared" si="42"/>
        <v>0.99962331666221216</v>
      </c>
      <c r="N121" s="55">
        <f t="shared" si="37"/>
        <v>1.7266067465909799E-5</v>
      </c>
      <c r="O121" s="56">
        <f t="shared" si="43"/>
        <v>9.9638978503439844E-7</v>
      </c>
      <c r="P121" s="56">
        <f t="shared" si="38"/>
        <v>1.3731293720691523E-6</v>
      </c>
      <c r="Q121" s="56">
        <f t="shared" si="39"/>
        <v>6.2940252459265467E-6</v>
      </c>
      <c r="R121" s="9">
        <f t="shared" si="44"/>
        <v>3.9999999999999996E-5</v>
      </c>
      <c r="S121" s="9">
        <f t="shared" si="45"/>
        <v>1.5067333511515457E-8</v>
      </c>
      <c r="T121" s="9">
        <f t="shared" si="40"/>
        <v>3.982401849435518E-5</v>
      </c>
      <c r="U121" s="9">
        <f t="shared" si="41"/>
        <v>3.9984932666488483E-5</v>
      </c>
      <c r="V121" s="100">
        <f t="shared" si="46"/>
        <v>0.99597562978346177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238</v>
      </c>
      <c r="C122" s="46" t="s">
        <v>239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4.8463529002714498</v>
      </c>
      <c r="K122" s="55">
        <f t="shared" si="35"/>
        <v>3.0585801138154258E-3</v>
      </c>
      <c r="L122" s="55">
        <f t="shared" si="36"/>
        <v>5.8949739550567919E-2</v>
      </c>
      <c r="M122" s="55">
        <f t="shared" si="42"/>
        <v>0.94105026044943207</v>
      </c>
      <c r="N122" s="55">
        <f t="shared" si="37"/>
        <v>5.3743874569604611E-2</v>
      </c>
      <c r="O122" s="56">
        <f t="shared" si="43"/>
        <v>3.0610049887828465E-9</v>
      </c>
      <c r="P122" s="56">
        <f t="shared" si="38"/>
        <v>2.1489036209584769E-4</v>
      </c>
      <c r="Q122" s="56">
        <f t="shared" si="39"/>
        <v>1.9591334507575262E-2</v>
      </c>
      <c r="R122" s="9">
        <f t="shared" si="44"/>
        <v>3.9999999999999996E-5</v>
      </c>
      <c r="S122" s="9">
        <f t="shared" si="45"/>
        <v>2.3579895820227164E-6</v>
      </c>
      <c r="T122" s="9">
        <f t="shared" si="40"/>
        <v>1.2234320455261702E-7</v>
      </c>
      <c r="U122" s="9">
        <f t="shared" si="41"/>
        <v>3.7642010417977282E-5</v>
      </c>
      <c r="V122" s="100">
        <f t="shared" si="46"/>
        <v>3.2501772140785465E-3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240</v>
      </c>
      <c r="C123" s="46" t="s">
        <v>241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0.59572758809205939</v>
      </c>
      <c r="K123" s="55">
        <f t="shared" ref="K123:K127" si="49">IF(D123=0,"",1/(1+10^D123*$J$15/$J$14+10^E123*$J$16/$J$14+10^J123*$J$19/$J$14))</f>
        <v>0.97490555621793762</v>
      </c>
      <c r="L123" s="55">
        <f t="shared" ref="L123:L127" si="50">IF(D123=0,"",1/(1+10^I123/10^J123*$J$13/$J$19))</f>
        <v>1.0551137033527602E-3</v>
      </c>
      <c r="M123" s="55">
        <f t="shared" si="42"/>
        <v>0.99894488629664724</v>
      </c>
      <c r="N123" s="55">
        <f t="shared" ref="N123:N127" si="51">IF(D123=0,"",1/(1/10^E123*$J$20/$J$22+10^D123/10^E123*$J$21/$J$22+10^I123/10^E123*$J$13/$J$22+1))</f>
        <v>2.4974722731747537E-4</v>
      </c>
      <c r="O123" s="56">
        <f t="shared" si="43"/>
        <v>9.7567847175093068E-7</v>
      </c>
      <c r="P123" s="56">
        <f t="shared" ref="P123:P127" si="52">IF(D123=0,"",O123*10^J123)</f>
        <v>3.8462216711113713E-6</v>
      </c>
      <c r="Q123" s="56">
        <f t="shared" ref="Q123:Q127" si="53">IF(D123=0,"",F123*N123*$J$7/$J$22)</f>
        <v>9.1040728118313156E-5</v>
      </c>
      <c r="R123" s="9">
        <f t="shared" si="44"/>
        <v>3.9999999999999996E-5</v>
      </c>
      <c r="S123" s="9">
        <f t="shared" si="45"/>
        <v>4.2204548134110404E-8</v>
      </c>
      <c r="T123" s="9">
        <f t="shared" si="40"/>
        <v>3.8996222248717501E-5</v>
      </c>
      <c r="U123" s="9">
        <f t="shared" si="41"/>
        <v>3.9957795451865886E-5</v>
      </c>
      <c r="V123" s="100">
        <f t="shared" si="46"/>
        <v>0.97593527890429499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242</v>
      </c>
      <c r="C124" s="46" t="s">
        <v>243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0.78224006697670034</v>
      </c>
      <c r="K124" s="55">
        <f t="shared" si="49"/>
        <v>0.95193345234553728</v>
      </c>
      <c r="L124" s="55">
        <f t="shared" si="50"/>
        <v>1.5829084069611135E-3</v>
      </c>
      <c r="M124" s="55">
        <f t="shared" si="42"/>
        <v>0.99841709159303893</v>
      </c>
      <c r="N124" s="55">
        <f t="shared" si="51"/>
        <v>1.393836132906737E-4</v>
      </c>
      <c r="O124" s="56">
        <f t="shared" si="43"/>
        <v>9.5268815534933165E-7</v>
      </c>
      <c r="P124" s="56">
        <f t="shared" si="52"/>
        <v>5.7701995518512529E-6</v>
      </c>
      <c r="Q124" s="56">
        <f t="shared" si="53"/>
        <v>5.0809715799621237E-5</v>
      </c>
      <c r="R124" s="9">
        <f t="shared" si="44"/>
        <v>3.9999999999999996E-5</v>
      </c>
      <c r="S124" s="9">
        <f t="shared" si="45"/>
        <v>6.3316336278444529E-8</v>
      </c>
      <c r="T124" s="9">
        <f t="shared" si="40"/>
        <v>3.8077338093821489E-5</v>
      </c>
      <c r="U124" s="9">
        <f t="shared" si="41"/>
        <v>3.9936683663721553E-5</v>
      </c>
      <c r="V124" s="100">
        <f t="shared" si="46"/>
        <v>0.95344266475513351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244</v>
      </c>
      <c r="C125" s="46" t="s">
        <v>245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5.4647098001601571E-2</v>
      </c>
      <c r="K125" s="55">
        <f t="shared" si="49"/>
        <v>0.99782847371965921</v>
      </c>
      <c r="L125" s="55">
        <f t="shared" si="50"/>
        <v>3.1067915876672211E-4</v>
      </c>
      <c r="M125" s="55">
        <f t="shared" si="42"/>
        <v>0.9996893208412333</v>
      </c>
      <c r="N125" s="55">
        <f t="shared" si="51"/>
        <v>3.7428293166022875E-6</v>
      </c>
      <c r="O125" s="56">
        <f t="shared" si="43"/>
        <v>9.9861956278637107E-7</v>
      </c>
      <c r="P125" s="56">
        <f t="shared" si="52"/>
        <v>1.132523356880057E-6</v>
      </c>
      <c r="Q125" s="56">
        <f t="shared" si="53"/>
        <v>1.3643791359208324E-6</v>
      </c>
      <c r="R125" s="9">
        <f t="shared" si="44"/>
        <v>3.9999999999999996E-5</v>
      </c>
      <c r="S125" s="9">
        <f t="shared" si="45"/>
        <v>1.2427166350668883E-8</v>
      </c>
      <c r="T125" s="9">
        <f t="shared" si="40"/>
        <v>3.9913138948786364E-5</v>
      </c>
      <c r="U125" s="9">
        <f t="shared" si="41"/>
        <v>3.9987572833649325E-5</v>
      </c>
      <c r="V125" s="100">
        <f t="shared" si="46"/>
        <v>0.9981385745723399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246</v>
      </c>
      <c r="C126" s="46" t="s">
        <v>247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3.7674151938527967</v>
      </c>
      <c r="K126" s="55">
        <f t="shared" si="49"/>
        <v>3.1911506105474656E-2</v>
      </c>
      <c r="L126" s="55">
        <f t="shared" si="50"/>
        <v>5.1282787743052755E-2</v>
      </c>
      <c r="M126" s="55">
        <f t="shared" si="42"/>
        <v>0.94871721225694727</v>
      </c>
      <c r="N126" s="55">
        <f t="shared" si="51"/>
        <v>4.2428376514294978E-2</v>
      </c>
      <c r="O126" s="56">
        <f t="shared" si="43"/>
        <v>3.1936805888200083E-8</v>
      </c>
      <c r="P126" s="56">
        <f t="shared" si="52"/>
        <v>1.869419086735038E-4</v>
      </c>
      <c r="Q126" s="56">
        <f t="shared" si="53"/>
        <v>1.5466479176680214E-2</v>
      </c>
      <c r="R126" s="9">
        <f t="shared" si="44"/>
        <v>3.9999999999999996E-5</v>
      </c>
      <c r="S126" s="9">
        <f t="shared" si="45"/>
        <v>2.0513115097221099E-6</v>
      </c>
      <c r="T126" s="9">
        <f t="shared" si="40"/>
        <v>1.2764602442189861E-6</v>
      </c>
      <c r="U126" s="9">
        <f t="shared" si="41"/>
        <v>3.7948688490277888E-5</v>
      </c>
      <c r="V126" s="100">
        <f t="shared" si="46"/>
        <v>3.3636478492425473E-2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248</v>
      </c>
      <c r="C127" s="46" t="s">
        <v>249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1.6932611669613751</v>
      </c>
      <c r="K127" s="55">
        <f t="shared" si="49"/>
        <v>0.73887182172103838</v>
      </c>
      <c r="L127" s="55">
        <f t="shared" si="50"/>
        <v>1.0010122703170813E-2</v>
      </c>
      <c r="M127" s="55">
        <f t="shared" si="42"/>
        <v>0.98998987729682919</v>
      </c>
      <c r="N127" s="55">
        <f t="shared" si="51"/>
        <v>4.8919072765995966E-3</v>
      </c>
      <c r="O127" s="56">
        <f t="shared" si="43"/>
        <v>7.3945760718944276E-7</v>
      </c>
      <c r="P127" s="56">
        <f t="shared" si="52"/>
        <v>3.649004912842771E-5</v>
      </c>
      <c r="Q127" s="56">
        <f t="shared" si="53"/>
        <v>1.7832542332202243E-3</v>
      </c>
      <c r="R127" s="9">
        <f t="shared" si="44"/>
        <v>3.9999999999999996E-5</v>
      </c>
      <c r="S127" s="9">
        <f t="shared" si="45"/>
        <v>4.0040490812683247E-7</v>
      </c>
      <c r="T127" s="9">
        <f t="shared" si="40"/>
        <v>2.9554872868841532E-5</v>
      </c>
      <c r="U127" s="9">
        <f t="shared" si="41"/>
        <v>3.9599595091873163E-5</v>
      </c>
      <c r="V127" s="100">
        <f t="shared" si="46"/>
        <v>0.74634280477546944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250</v>
      </c>
      <c r="C128" s="46" t="s">
        <v>251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2.594576847430778</v>
      </c>
      <c r="K128" s="55">
        <f t="shared" ref="K128:K134" si="56">IF(D128=0,"",1/(1+10^D128*$J$15/$J$14+10^E128*$J$16/$J$14+10^J128*$J$19/$J$14))</f>
        <v>0.2634280117785347</v>
      </c>
      <c r="L128" s="55">
        <f t="shared" ref="L128:L134" si="57">IF(D128=0,"",1/(1+10^I128/10^J128*$J$13/$J$19))</f>
        <v>2.8434652908375869E-2</v>
      </c>
      <c r="M128" s="55">
        <f t="shared" ref="M128:M134" si="58">IF(D128=0,"",1-L128)</f>
        <v>0.97156534709162412</v>
      </c>
      <c r="N128" s="55">
        <f t="shared" ref="N128:N134" si="59">IF(D128=0,"",1/(1/10^E128*$J$20/$J$22+10^D128/10^E128*$J$21/$J$22+10^I128/10^E128*$J$13/$J$22+1))</f>
        <v>1.4874558495049645E-2</v>
      </c>
      <c r="O128" s="56">
        <f t="shared" ref="O128:O134" si="60">IF(D128=0,"",F128*K128*$J$7/$J$14)</f>
        <v>2.6363686031861175E-7</v>
      </c>
      <c r="P128" s="56">
        <f t="shared" ref="P128:P134" si="61">IF(D128=0,"",O128*10^J128)</f>
        <v>1.0365326303620235E-4</v>
      </c>
      <c r="Q128" s="56">
        <f t="shared" ref="Q128:Q134" si="62">IF(D128=0,"",F128*N128*$J$7/$J$22)</f>
        <v>5.4222449248909213E-3</v>
      </c>
      <c r="R128" s="9">
        <f t="shared" si="44"/>
        <v>3.9999999999999996E-5</v>
      </c>
      <c r="S128" s="9">
        <f t="shared" si="45"/>
        <v>1.1373861163350347E-6</v>
      </c>
      <c r="T128" s="9">
        <f t="shared" si="40"/>
        <v>1.0537120471141386E-5</v>
      </c>
      <c r="U128" s="9">
        <f t="shared" si="41"/>
        <v>3.8862613883664959E-5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252</v>
      </c>
      <c r="C129" s="46" t="s">
        <v>253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-2.4283347601120907E-2</v>
      </c>
      <c r="K129" s="55">
        <f t="shared" si="56"/>
        <v>0.99971403942569281</v>
      </c>
      <c r="L129" s="55">
        <f t="shared" si="57"/>
        <v>2.5953837037625204E-4</v>
      </c>
      <c r="M129" s="55">
        <f t="shared" si="58"/>
        <v>0.99974046162962371</v>
      </c>
      <c r="N129" s="55">
        <f t="shared" si="59"/>
        <v>1.4613944675180954E-8</v>
      </c>
      <c r="O129" s="56">
        <f t="shared" si="60"/>
        <v>1.0005066233890265E-6</v>
      </c>
      <c r="P129" s="56">
        <f t="shared" si="61"/>
        <v>9.4609908055788362E-7</v>
      </c>
      <c r="Q129" s="56">
        <f t="shared" si="62"/>
        <v>5.3272429816325894E-9</v>
      </c>
      <c r="R129" s="9">
        <f t="shared" si="44"/>
        <v>3.9999999999999996E-5</v>
      </c>
      <c r="S129" s="9">
        <f t="shared" si="45"/>
        <v>1.038153481505008E-8</v>
      </c>
      <c r="T129" s="9">
        <f t="shared" si="40"/>
        <v>3.9988561577027709E-5</v>
      </c>
      <c r="U129" s="9">
        <f t="shared" si="41"/>
        <v>3.9989618465184948E-5</v>
      </c>
      <c r="V129" s="100">
        <f t="shared" si="46"/>
        <v>0.99997357093671313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254</v>
      </c>
      <c r="C130" s="46" t="s">
        <v>255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1.0653878888077168</v>
      </c>
      <c r="K130" s="55">
        <f t="shared" si="56"/>
        <v>0.91977791639771478</v>
      </c>
      <c r="L130" s="55">
        <f t="shared" si="57"/>
        <v>2.9354858869761022E-3</v>
      </c>
      <c r="M130" s="55">
        <f t="shared" si="58"/>
        <v>0.99706451411302388</v>
      </c>
      <c r="N130" s="55">
        <f t="shared" si="59"/>
        <v>9.8866538201860545E-4</v>
      </c>
      <c r="O130" s="56">
        <f t="shared" si="60"/>
        <v>9.2050712614931955E-7</v>
      </c>
      <c r="P130" s="56">
        <f t="shared" si="61"/>
        <v>1.0700770350960233E-5</v>
      </c>
      <c r="Q130" s="56">
        <f t="shared" si="62"/>
        <v>3.6039966173448667E-4</v>
      </c>
      <c r="R130" s="9">
        <f t="shared" si="44"/>
        <v>3.9999999999999996E-5</v>
      </c>
      <c r="S130" s="9">
        <f t="shared" si="45"/>
        <v>1.1741943547904408E-7</v>
      </c>
      <c r="T130" s="9">
        <f t="shared" si="40"/>
        <v>3.6791116655908587E-5</v>
      </c>
      <c r="U130" s="9">
        <f t="shared" si="41"/>
        <v>3.9882580564520953E-5</v>
      </c>
      <c r="V130" s="100">
        <f t="shared" si="46"/>
        <v>0.92248586062250715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256</v>
      </c>
      <c r="C131" s="46" t="s">
        <v>257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4.6780974817077756E-2</v>
      </c>
      <c r="K131" s="55">
        <f t="shared" si="56"/>
        <v>0.99806785491934513</v>
      </c>
      <c r="L131" s="55">
        <f t="shared" si="57"/>
        <v>3.0517585713797012E-4</v>
      </c>
      <c r="M131" s="55">
        <f t="shared" si="58"/>
        <v>0.99969482414286204</v>
      </c>
      <c r="N131" s="55">
        <f t="shared" si="59"/>
        <v>4.8873020521467603E-6</v>
      </c>
      <c r="O131" s="56">
        <f t="shared" si="60"/>
        <v>9.9885913377002766E-7</v>
      </c>
      <c r="P131" s="56">
        <f t="shared" si="61"/>
        <v>1.1124620896252505E-6</v>
      </c>
      <c r="Q131" s="56">
        <f t="shared" si="62"/>
        <v>1.7815754839030139E-6</v>
      </c>
      <c r="R131" s="9">
        <f t="shared" si="44"/>
        <v>3.9999999999999996E-5</v>
      </c>
      <c r="S131" s="9">
        <f t="shared" si="45"/>
        <v>1.2207034285518803E-8</v>
      </c>
      <c r="T131" s="9">
        <f t="shared" si="40"/>
        <v>3.9922714196773799E-5</v>
      </c>
      <c r="U131" s="9">
        <f t="shared" si="41"/>
        <v>3.9987792965714476E-5</v>
      </c>
      <c r="V131" s="100">
        <f t="shared" si="46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258</v>
      </c>
      <c r="C132" s="46" t="s">
        <v>259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0.14761117753551775</v>
      </c>
      <c r="K132" s="55">
        <f t="shared" si="56"/>
        <v>0.99535633179514815</v>
      </c>
      <c r="L132" s="55">
        <f t="shared" si="57"/>
        <v>3.8388300952978648E-4</v>
      </c>
      <c r="M132" s="55">
        <f t="shared" si="58"/>
        <v>0.99961611699047026</v>
      </c>
      <c r="N132" s="55">
        <f t="shared" si="59"/>
        <v>1.86945011665731E-5</v>
      </c>
      <c r="O132" s="56">
        <f t="shared" si="60"/>
        <v>9.9614546092134974E-7</v>
      </c>
      <c r="P132" s="56">
        <f t="shared" si="61"/>
        <v>1.3993744425204134E-6</v>
      </c>
      <c r="Q132" s="56">
        <f t="shared" si="62"/>
        <v>6.8147343067395071E-6</v>
      </c>
      <c r="R132" s="9">
        <f t="shared" si="44"/>
        <v>3.9999999999999996E-5</v>
      </c>
      <c r="S132" s="9">
        <f t="shared" si="45"/>
        <v>1.5355320381191458E-8</v>
      </c>
      <c r="T132" s="9">
        <f t="shared" si="40"/>
        <v>3.9814253271805921E-5</v>
      </c>
      <c r="U132" s="9">
        <f t="shared" si="41"/>
        <v>3.9984644679618807E-5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260</v>
      </c>
      <c r="C133" s="46" t="s">
        <v>261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1.9117422164117917</v>
      </c>
      <c r="K133" s="55">
        <f t="shared" si="56"/>
        <v>0.63858380803005821</v>
      </c>
      <c r="L133" s="55">
        <f t="shared" si="57"/>
        <v>1.4307680998074737E-2</v>
      </c>
      <c r="M133" s="55">
        <f t="shared" si="58"/>
        <v>0.98569231900192522</v>
      </c>
      <c r="N133" s="55">
        <f t="shared" si="59"/>
        <v>7.6700126058531718E-3</v>
      </c>
      <c r="O133" s="56">
        <f t="shared" si="60"/>
        <v>6.3909008409054049E-7</v>
      </c>
      <c r="P133" s="56">
        <f t="shared" si="61"/>
        <v>5.2156002280395816E-5</v>
      </c>
      <c r="Q133" s="56">
        <f t="shared" si="62"/>
        <v>2.7959610996035784E-3</v>
      </c>
      <c r="R133" s="9">
        <f t="shared" si="44"/>
        <v>3.9999999999999996E-5</v>
      </c>
      <c r="S133" s="9">
        <f t="shared" si="45"/>
        <v>5.7230723992298947E-7</v>
      </c>
      <c r="T133" s="9">
        <f t="shared" si="40"/>
        <v>2.5543352321202326E-5</v>
      </c>
      <c r="U133" s="9">
        <f t="shared" si="41"/>
        <v>3.9427692760077006E-5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262</v>
      </c>
      <c r="C134" s="46" t="s">
        <v>263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-2.5108947899438367E-2</v>
      </c>
      <c r="K134" s="55">
        <f t="shared" si="56"/>
        <v>0.99973259815484161</v>
      </c>
      <c r="L134" s="55">
        <f t="shared" si="57"/>
        <v>2.5905026165665791E-4</v>
      </c>
      <c r="M134" s="55">
        <f t="shared" si="58"/>
        <v>0.99974094973834338</v>
      </c>
      <c r="N134" s="55">
        <f t="shared" si="59"/>
        <v>2.8512418888071916E-9</v>
      </c>
      <c r="O134" s="56">
        <f t="shared" si="60"/>
        <v>1.0005251968317342E-6</v>
      </c>
      <c r="P134" s="56">
        <f t="shared" si="61"/>
        <v>9.4431977058475432E-7</v>
      </c>
      <c r="Q134" s="56">
        <f t="shared" si="62"/>
        <v>1.0393674451827554E-9</v>
      </c>
      <c r="R134" s="9">
        <f t="shared" si="44"/>
        <v>3.9999999999999996E-5</v>
      </c>
      <c r="S134" s="9">
        <f t="shared" si="45"/>
        <v>1.0362010466266316E-8</v>
      </c>
      <c r="T134" s="9">
        <f t="shared" si="40"/>
        <v>3.998930392619366E-5</v>
      </c>
      <c r="U134" s="9">
        <f t="shared" si="41"/>
        <v>3.9989637989533734E-5</v>
      </c>
      <c r="V134" s="100">
        <f t="shared" si="46"/>
        <v>0.99999164625245773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264</v>
      </c>
      <c r="C135" s="46" t="s">
        <v>265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0.2366555028982649</v>
      </c>
      <c r="K135" s="55">
        <f t="shared" ref="K135:K143" si="65">IF(D135=0,"",1/(1+10^D135*$J$15/$J$14+10^E135*$J$16/$J$14+10^J135*$J$19/$J$14))</f>
        <v>0.99248267498455656</v>
      </c>
      <c r="L135" s="55">
        <f t="shared" ref="L135:L143" si="66">IF(D135=0,"",1/(1+10^I135/10^J135*$J$13/$J$19))</f>
        <v>4.6988065677280622E-4</v>
      </c>
      <c r="M135" s="55">
        <f t="shared" ref="M135:M143" si="67">IF(D135=0,"",1-L135)</f>
        <v>0.99953011934322722</v>
      </c>
      <c r="N135" s="55">
        <f t="shared" ref="N135:N143" si="68">IF(D135=0,"",1/(1/10^E135*$J$20/$J$22+10^D135/10^E135*$J$21/$J$22+10^I135/10^E135*$J$13/$J$22+1))</f>
        <v>3.7553472054260933E-5</v>
      </c>
      <c r="O135" s="56">
        <f t="shared" ref="O135:O143" si="69">IF(D135=0,"",F135*K135*$J$7/$J$14)</f>
        <v>9.932695258449598E-7</v>
      </c>
      <c r="P135" s="56">
        <f t="shared" ref="P135:P143" si="70">IF(D135=0,"",O135*10^J135)</f>
        <v>1.7128629446976112E-6</v>
      </c>
      <c r="Q135" s="56">
        <f t="shared" ref="Q135:Q143" si="71">IF(D135=0,"",F135*N135*$J$7/$J$22)</f>
        <v>1.3689423005463785E-5</v>
      </c>
      <c r="R135" s="9">
        <f t="shared" si="44"/>
        <v>3.9999999999999996E-5</v>
      </c>
      <c r="S135" s="9">
        <f t="shared" si="45"/>
        <v>1.8795226270912248E-8</v>
      </c>
      <c r="T135" s="9">
        <f t="shared" si="40"/>
        <v>3.9699306999382256E-5</v>
      </c>
      <c r="U135" s="9">
        <f t="shared" si="41"/>
        <v>3.9981204773729083E-5</v>
      </c>
      <c r="V135" s="100">
        <f t="shared" si="46"/>
        <v>0.99294924262682405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266</v>
      </c>
      <c r="C136" s="46" t="s">
        <v>267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-1.0067076570108828E-2</v>
      </c>
      <c r="K136" s="55">
        <f t="shared" si="65"/>
        <v>0.99939626632837386</v>
      </c>
      <c r="L136" s="55">
        <f t="shared" si="66"/>
        <v>2.6808948221050053E-4</v>
      </c>
      <c r="M136" s="55">
        <f t="shared" si="67"/>
        <v>0.99973191051778953</v>
      </c>
      <c r="N136" s="55">
        <f t="shared" si="68"/>
        <v>5.3236064493940289E-7</v>
      </c>
      <c r="O136" s="56">
        <f t="shared" si="69"/>
        <v>1.0001885983578036E-6</v>
      </c>
      <c r="P136" s="56">
        <f t="shared" si="70"/>
        <v>9.7727057567208087E-7</v>
      </c>
      <c r="Q136" s="56">
        <f t="shared" si="71"/>
        <v>1.9406221745640462E-7</v>
      </c>
      <c r="R136" s="9">
        <f t="shared" si="44"/>
        <v>3.9999999999999996E-5</v>
      </c>
      <c r="S136" s="9">
        <f t="shared" si="45"/>
        <v>1.0723579288420021E-8</v>
      </c>
      <c r="T136" s="9">
        <f t="shared" si="40"/>
        <v>3.997585065313495E-5</v>
      </c>
      <c r="U136" s="9">
        <f t="shared" si="41"/>
        <v>3.9989276420711576E-5</v>
      </c>
      <c r="V136" s="100">
        <f t="shared" si="46"/>
        <v>0.99966426580377754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268</v>
      </c>
      <c r="C137" s="46" t="s">
        <v>269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-2.5447397497553339E-2</v>
      </c>
      <c r="K137" s="55">
        <f t="shared" si="65"/>
        <v>0.99974024492732294</v>
      </c>
      <c r="L137" s="55">
        <f t="shared" si="66"/>
        <v>2.5885043998426953E-4</v>
      </c>
      <c r="M137" s="55">
        <f t="shared" si="67"/>
        <v>0.9997411495600157</v>
      </c>
      <c r="N137" s="55">
        <f t="shared" si="68"/>
        <v>1.2123958483152991E-10</v>
      </c>
      <c r="O137" s="56">
        <f t="shared" si="69"/>
        <v>1.000532849666658E-6</v>
      </c>
      <c r="P137" s="56">
        <f t="shared" si="70"/>
        <v>9.43591357671287E-7</v>
      </c>
      <c r="Q137" s="56">
        <f t="shared" si="71"/>
        <v>4.4195646127408052E-11</v>
      </c>
      <c r="R137" s="9">
        <f t="shared" si="44"/>
        <v>3.9999999999999996E-5</v>
      </c>
      <c r="S137" s="9">
        <f t="shared" si="45"/>
        <v>1.0354017599370781E-8</v>
      </c>
      <c r="T137" s="9">
        <f t="shared" si="40"/>
        <v>3.9989609797092913E-5</v>
      </c>
      <c r="U137" s="9">
        <f t="shared" si="41"/>
        <v>3.9989645982400627E-5</v>
      </c>
      <c r="V137" s="100">
        <f t="shared" si="46"/>
        <v>0.99999909513308205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270</v>
      </c>
      <c r="C138" s="46" t="s">
        <v>271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-1.1769730655706941E-2</v>
      </c>
      <c r="K138" s="55">
        <f t="shared" si="65"/>
        <v>0.99943443947907229</v>
      </c>
      <c r="L138" s="55">
        <f t="shared" si="66"/>
        <v>2.6705069337147201E-4</v>
      </c>
      <c r="M138" s="55">
        <f t="shared" si="67"/>
        <v>0.99973294930662848</v>
      </c>
      <c r="N138" s="55">
        <f t="shared" si="68"/>
        <v>4.5124606016920856E-7</v>
      </c>
      <c r="O138" s="56">
        <f t="shared" si="69"/>
        <v>1.0002268017725835E-6</v>
      </c>
      <c r="P138" s="56">
        <f t="shared" si="70"/>
        <v>9.7348386327162217E-7</v>
      </c>
      <c r="Q138" s="56">
        <f t="shared" si="71"/>
        <v>1.6449339726243407E-7</v>
      </c>
      <c r="R138" s="9">
        <f t="shared" si="44"/>
        <v>3.9999999999999996E-5</v>
      </c>
      <c r="S138" s="9">
        <f t="shared" si="45"/>
        <v>1.068202773485888E-8</v>
      </c>
      <c r="T138" s="9">
        <f t="shared" si="40"/>
        <v>3.9977377579162889E-5</v>
      </c>
      <c r="U138" s="9">
        <f t="shared" si="41"/>
        <v>3.9989317972265135E-5</v>
      </c>
      <c r="V138" s="100">
        <f t="shared" si="46"/>
        <v>0.99970141043389316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272</v>
      </c>
      <c r="C139" s="46" t="s">
        <v>273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0.17844969461457041</v>
      </c>
      <c r="K139" s="55">
        <f t="shared" si="65"/>
        <v>0.99423185661184188</v>
      </c>
      <c r="L139" s="55">
        <f t="shared" si="66"/>
        <v>4.1166742123512821E-4</v>
      </c>
      <c r="M139" s="55">
        <f t="shared" si="67"/>
        <v>0.99958833257876489</v>
      </c>
      <c r="N139" s="55">
        <f t="shared" si="68"/>
        <v>1.6479681135658997E-5</v>
      </c>
      <c r="O139" s="56">
        <f t="shared" si="69"/>
        <v>9.9502009424211341E-7</v>
      </c>
      <c r="P139" s="56">
        <f t="shared" si="70"/>
        <v>1.5006573716308862E-6</v>
      </c>
      <c r="Q139" s="56">
        <f t="shared" si="71"/>
        <v>6.007362667697749E-6</v>
      </c>
      <c r="R139" s="9">
        <f t="shared" si="44"/>
        <v>3.9999999999999996E-5</v>
      </c>
      <c r="S139" s="9">
        <f t="shared" si="45"/>
        <v>1.6466696849405126E-8</v>
      </c>
      <c r="T139" s="9">
        <f t="shared" si="40"/>
        <v>3.9769274264473672E-5</v>
      </c>
      <c r="U139" s="9">
        <f t="shared" si="41"/>
        <v>3.9983533303150589E-5</v>
      </c>
      <c r="V139" s="100">
        <f t="shared" si="46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274</v>
      </c>
      <c r="C140" s="46" t="s">
        <v>275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-2.5178902809730442E-2</v>
      </c>
      <c r="K140" s="55">
        <f t="shared" si="65"/>
        <v>0.99973417565011791</v>
      </c>
      <c r="L140" s="55">
        <f t="shared" si="66"/>
        <v>2.5900894663753574E-4</v>
      </c>
      <c r="M140" s="55">
        <f t="shared" si="67"/>
        <v>0.99974099105336245</v>
      </c>
      <c r="N140" s="55">
        <f t="shared" si="68"/>
        <v>2.1364672942075686E-9</v>
      </c>
      <c r="O140" s="56">
        <f t="shared" si="69"/>
        <v>1.0005267755776653E-6</v>
      </c>
      <c r="P140" s="56">
        <f t="shared" si="70"/>
        <v>9.4416916433124288E-7</v>
      </c>
      <c r="Q140" s="56">
        <f t="shared" si="71"/>
        <v>7.788095994289722E-10</v>
      </c>
      <c r="R140" s="9">
        <f t="shared" si="44"/>
        <v>3.9999999999999996E-5</v>
      </c>
      <c r="S140" s="9">
        <f t="shared" si="45"/>
        <v>1.0360357865501428E-8</v>
      </c>
      <c r="T140" s="9">
        <f t="shared" si="40"/>
        <v>3.9989367026004715E-5</v>
      </c>
      <c r="U140" s="9">
        <f t="shared" si="41"/>
        <v>3.9989639642134492E-5</v>
      </c>
      <c r="V140" s="100">
        <f t="shared" si="46"/>
        <v>0.99999318283104766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276</v>
      </c>
      <c r="C141" s="46" t="s">
        <v>277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-2.4715676297558456E-2</v>
      </c>
      <c r="K141" s="55">
        <f t="shared" si="65"/>
        <v>0.99972374684677368</v>
      </c>
      <c r="L141" s="55">
        <f t="shared" si="66"/>
        <v>2.5928265299313613E-4</v>
      </c>
      <c r="M141" s="55">
        <f t="shared" si="67"/>
        <v>0.99974071734700687</v>
      </c>
      <c r="N141" s="55">
        <f t="shared" si="68"/>
        <v>7.7992761411337492E-9</v>
      </c>
      <c r="O141" s="56">
        <f t="shared" si="69"/>
        <v>1.0005163385062546E-6</v>
      </c>
      <c r="P141" s="56">
        <f t="shared" si="70"/>
        <v>9.4516691017899966E-7</v>
      </c>
      <c r="Q141" s="56">
        <f t="shared" si="71"/>
        <v>2.8430817283188329E-9</v>
      </c>
      <c r="R141" s="9">
        <f t="shared" si="44"/>
        <v>3.9999999999999996E-5</v>
      </c>
      <c r="S141" s="9">
        <f t="shared" si="45"/>
        <v>1.0371306119725444E-8</v>
      </c>
      <c r="T141" s="9">
        <f t="shared" si="40"/>
        <v>3.9988949873870942E-5</v>
      </c>
      <c r="U141" s="9">
        <f t="shared" si="41"/>
        <v>3.9989628693880274E-5</v>
      </c>
      <c r="V141" s="100">
        <f t="shared" si="46"/>
        <v>0.99998302509846926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278</v>
      </c>
      <c r="C142" s="46" t="s">
        <v>279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1.2385963152013792</v>
      </c>
      <c r="K142" s="55">
        <f t="shared" si="65"/>
        <v>0.88516308976630242</v>
      </c>
      <c r="L142" s="55">
        <f t="shared" si="66"/>
        <v>4.2094828175806521E-3</v>
      </c>
      <c r="M142" s="55">
        <f t="shared" si="67"/>
        <v>0.9957905171824194</v>
      </c>
      <c r="N142" s="55">
        <f t="shared" si="68"/>
        <v>1.6052216419075536E-3</v>
      </c>
      <c r="O142" s="56">
        <f t="shared" si="69"/>
        <v>8.8586485651380834E-7</v>
      </c>
      <c r="P142" s="56">
        <f t="shared" si="70"/>
        <v>1.5344890304904507E-5</v>
      </c>
      <c r="Q142" s="56">
        <f t="shared" si="71"/>
        <v>5.8515383189726433E-4</v>
      </c>
      <c r="R142" s="9">
        <f t="shared" si="44"/>
        <v>3.9999999999999996E-5</v>
      </c>
      <c r="S142" s="9">
        <f t="shared" si="45"/>
        <v>1.6837931270322607E-7</v>
      </c>
      <c r="T142" s="9">
        <f t="shared" si="40"/>
        <v>3.5406523590652097E-5</v>
      </c>
      <c r="U142" s="9">
        <f t="shared" si="41"/>
        <v>3.9831620687296772E-5</v>
      </c>
      <c r="V142" s="100">
        <f t="shared" si="46"/>
        <v>0.88890491975246333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280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2.1483172591113218</v>
      </c>
      <c r="K143" s="55">
        <f t="shared" si="65"/>
        <v>0.40988509756756442</v>
      </c>
      <c r="L143" s="55">
        <f t="shared" si="66"/>
        <v>1.5833922600176093E-2</v>
      </c>
      <c r="M143" s="55">
        <f t="shared" si="67"/>
        <v>0.98416607739982387</v>
      </c>
      <c r="N143" s="55">
        <f t="shared" si="68"/>
        <v>4.7431978568259235E-4</v>
      </c>
      <c r="O143" s="56">
        <f t="shared" si="69"/>
        <v>4.1021005884882063E-7</v>
      </c>
      <c r="P143" s="56">
        <f t="shared" si="70"/>
        <v>5.7719633485924112E-5</v>
      </c>
      <c r="Q143" s="56">
        <f t="shared" si="71"/>
        <v>1.7290449673169959E-4</v>
      </c>
      <c r="R143" s="9">
        <f t="shared" si="44"/>
        <v>3.9999999999999996E-5</v>
      </c>
      <c r="S143" s="9">
        <f t="shared" si="45"/>
        <v>6.3335690400704371E-7</v>
      </c>
      <c r="T143" s="9">
        <f t="shared" si="40"/>
        <v>1.6395403902702575E-5</v>
      </c>
      <c r="U143" s="9">
        <f t="shared" si="41"/>
        <v>3.9366643095992951E-5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2025-02-02T15:03:11Z</dcterms:modified>
</cp:coreProperties>
</file>