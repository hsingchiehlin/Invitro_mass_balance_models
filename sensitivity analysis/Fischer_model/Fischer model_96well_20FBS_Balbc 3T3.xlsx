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E7CD503B-7BDE-4807-953F-B42213B7DCEE}" xr6:coauthVersionLast="47" xr6:coauthVersionMax="47" xr10:uidLastSave="{00000000-0000-0000-0000-000000000000}"/>
  <bookViews>
    <workbookView xWindow="-98" yWindow="-98" windowWidth="21795" windowHeight="13875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U131" i="4"/>
  <c r="S131" i="4"/>
  <c r="R131" i="4"/>
  <c r="T131" i="4" s="1"/>
  <c r="V130" i="4"/>
  <c r="R130" i="4"/>
  <c r="U130" i="4" s="1"/>
  <c r="V127" i="4"/>
  <c r="U127" i="4"/>
  <c r="T127" i="4"/>
  <c r="S127" i="4"/>
  <c r="R127" i="4"/>
  <c r="V126" i="4"/>
  <c r="R126" i="4"/>
  <c r="U126" i="4" s="1"/>
  <c r="V124" i="4"/>
  <c r="S124" i="4"/>
  <c r="R124" i="4"/>
  <c r="U124" i="4" s="1"/>
  <c r="V121" i="4"/>
  <c r="T121" i="4"/>
  <c r="R121" i="4"/>
  <c r="U121" i="4" s="1"/>
  <c r="V120" i="4"/>
  <c r="R120" i="4"/>
  <c r="U120" i="4" s="1"/>
  <c r="V119" i="4"/>
  <c r="U119" i="4"/>
  <c r="T119" i="4"/>
  <c r="R119" i="4"/>
  <c r="S119" i="4" s="1"/>
  <c r="V116" i="4"/>
  <c r="R116" i="4"/>
  <c r="U116" i="4" s="1"/>
  <c r="V115" i="4"/>
  <c r="T115" i="4"/>
  <c r="S115" i="4"/>
  <c r="R115" i="4"/>
  <c r="U115" i="4" s="1"/>
  <c r="V114" i="4"/>
  <c r="U114" i="4"/>
  <c r="T114" i="4"/>
  <c r="S114" i="4"/>
  <c r="R114" i="4"/>
  <c r="V108" i="4"/>
  <c r="R108" i="4"/>
  <c r="U108" i="4" s="1"/>
  <c r="V107" i="4"/>
  <c r="U107" i="4"/>
  <c r="S107" i="4"/>
  <c r="R107" i="4"/>
  <c r="T107" i="4" s="1"/>
  <c r="V93" i="4"/>
  <c r="R93" i="4"/>
  <c r="U93" i="4" s="1"/>
  <c r="V92" i="4"/>
  <c r="U92" i="4"/>
  <c r="T92" i="4"/>
  <c r="S92" i="4"/>
  <c r="R92" i="4"/>
  <c r="V91" i="4"/>
  <c r="R91" i="4"/>
  <c r="U91" i="4" s="1"/>
  <c r="V90" i="4"/>
  <c r="S90" i="4"/>
  <c r="R90" i="4"/>
  <c r="U90" i="4" s="1"/>
  <c r="V89" i="4"/>
  <c r="T89" i="4"/>
  <c r="R89" i="4"/>
  <c r="U89" i="4" s="1"/>
  <c r="V88" i="4"/>
  <c r="R88" i="4"/>
  <c r="U88" i="4" s="1"/>
  <c r="V86" i="4"/>
  <c r="U86" i="4"/>
  <c r="T86" i="4"/>
  <c r="R86" i="4"/>
  <c r="S86" i="4" s="1"/>
  <c r="V85" i="4"/>
  <c r="R85" i="4"/>
  <c r="U85" i="4" s="1"/>
  <c r="V84" i="4"/>
  <c r="T84" i="4"/>
  <c r="S84" i="4"/>
  <c r="R84" i="4"/>
  <c r="U84" i="4" s="1"/>
  <c r="V83" i="4"/>
  <c r="U83" i="4"/>
  <c r="T83" i="4"/>
  <c r="S83" i="4"/>
  <c r="R83" i="4"/>
  <c r="V82" i="4"/>
  <c r="R82" i="4"/>
  <c r="U82" i="4" s="1"/>
  <c r="V81" i="4"/>
  <c r="U81" i="4"/>
  <c r="S81" i="4"/>
  <c r="R81" i="4"/>
  <c r="T81" i="4" s="1"/>
  <c r="V80" i="4"/>
  <c r="R80" i="4"/>
  <c r="U80" i="4" s="1"/>
  <c r="V79" i="4"/>
  <c r="U79" i="4"/>
  <c r="T79" i="4"/>
  <c r="S79" i="4"/>
  <c r="R79" i="4"/>
  <c r="V78" i="4"/>
  <c r="U78" i="4"/>
  <c r="T78" i="4"/>
  <c r="R78" i="4"/>
  <c r="S78" i="4" s="1"/>
  <c r="V77" i="4"/>
  <c r="S77" i="4"/>
  <c r="R77" i="4"/>
  <c r="U77" i="4" s="1"/>
  <c r="V76" i="4"/>
  <c r="T76" i="4"/>
  <c r="R76" i="4"/>
  <c r="U76" i="4" s="1"/>
  <c r="V75" i="4"/>
  <c r="R75" i="4"/>
  <c r="U75" i="4" s="1"/>
  <c r="V74" i="4"/>
  <c r="U74" i="4"/>
  <c r="T74" i="4"/>
  <c r="R74" i="4"/>
  <c r="S74" i="4" s="1"/>
  <c r="V73" i="4"/>
  <c r="R73" i="4"/>
  <c r="U73" i="4" s="1"/>
  <c r="V72" i="4"/>
  <c r="T72" i="4"/>
  <c r="R72" i="4"/>
  <c r="S72" i="4" s="1"/>
  <c r="V71" i="4"/>
  <c r="U71" i="4"/>
  <c r="T71" i="4"/>
  <c r="S71" i="4"/>
  <c r="R71" i="4"/>
  <c r="V70" i="4"/>
  <c r="R70" i="4"/>
  <c r="S70" i="4" s="1"/>
  <c r="V69" i="4"/>
  <c r="U69" i="4"/>
  <c r="S69" i="4"/>
  <c r="R69" i="4"/>
  <c r="T69" i="4" s="1"/>
  <c r="V68" i="4"/>
  <c r="R68" i="4"/>
  <c r="U68" i="4" s="1"/>
  <c r="V65" i="4"/>
  <c r="U65" i="4"/>
  <c r="T65" i="4"/>
  <c r="S65" i="4"/>
  <c r="R65" i="4"/>
  <c r="V64" i="4"/>
  <c r="U64" i="4"/>
  <c r="T64" i="4"/>
  <c r="R64" i="4"/>
  <c r="S64" i="4" s="1"/>
  <c r="V63" i="4"/>
  <c r="S63" i="4"/>
  <c r="R63" i="4"/>
  <c r="T63" i="4" s="1"/>
  <c r="V62" i="4"/>
  <c r="T62" i="4"/>
  <c r="R62" i="4"/>
  <c r="U62" i="4" s="1"/>
  <c r="V61" i="4"/>
  <c r="R61" i="4"/>
  <c r="S61" i="4" s="1"/>
  <c r="V60" i="4"/>
  <c r="U60" i="4"/>
  <c r="T60" i="4"/>
  <c r="R60" i="4"/>
  <c r="S60" i="4" s="1"/>
  <c r="V58" i="4"/>
  <c r="R58" i="4"/>
  <c r="U58" i="4" s="1"/>
  <c r="V57" i="4"/>
  <c r="T57" i="4"/>
  <c r="S57" i="4"/>
  <c r="R57" i="4"/>
  <c r="U57" i="4" s="1"/>
  <c r="V49" i="4"/>
  <c r="U49" i="4"/>
  <c r="T49" i="4"/>
  <c r="S49" i="4"/>
  <c r="R49" i="4"/>
  <c r="V48" i="4"/>
  <c r="R48" i="4"/>
  <c r="S48" i="4" s="1"/>
  <c r="V47" i="4"/>
  <c r="U47" i="4"/>
  <c r="S47" i="4"/>
  <c r="R47" i="4"/>
  <c r="T47" i="4" s="1"/>
  <c r="V46" i="4"/>
  <c r="R46" i="4"/>
  <c r="U46" i="4" s="1"/>
  <c r="V45" i="4"/>
  <c r="U45" i="4"/>
  <c r="T45" i="4"/>
  <c r="S45" i="4"/>
  <c r="R45" i="4"/>
  <c r="V44" i="4"/>
  <c r="U44" i="4"/>
  <c r="T44" i="4"/>
  <c r="R44" i="4"/>
  <c r="S44" i="4" s="1"/>
  <c r="V43" i="4"/>
  <c r="S43" i="4"/>
  <c r="R43" i="4"/>
  <c r="T43" i="4" s="1"/>
  <c r="V42" i="4"/>
  <c r="T42" i="4"/>
  <c r="R42" i="4"/>
  <c r="U42" i="4" s="1"/>
  <c r="V41" i="4"/>
  <c r="R41" i="4"/>
  <c r="U41" i="4" s="1"/>
  <c r="V40" i="4"/>
  <c r="U40" i="4"/>
  <c r="T40" i="4"/>
  <c r="R40" i="4"/>
  <c r="S40" i="4" s="1"/>
  <c r="V39" i="4"/>
  <c r="R39" i="4"/>
  <c r="U39" i="4" s="1"/>
  <c r="V38" i="4"/>
  <c r="T38" i="4"/>
  <c r="S38" i="4"/>
  <c r="R38" i="4"/>
  <c r="U38" i="4" s="1"/>
  <c r="V37" i="4"/>
  <c r="U37" i="4"/>
  <c r="T37" i="4"/>
  <c r="S37" i="4"/>
  <c r="R37" i="4"/>
  <c r="V36" i="4"/>
  <c r="R36" i="4"/>
  <c r="S36" i="4" s="1"/>
  <c r="V35" i="4"/>
  <c r="U35" i="4"/>
  <c r="S35" i="4"/>
  <c r="R35" i="4"/>
  <c r="T35" i="4" s="1"/>
  <c r="V34" i="4"/>
  <c r="R34" i="4"/>
  <c r="U34" i="4" s="1"/>
  <c r="V33" i="4"/>
  <c r="U33" i="4"/>
  <c r="T33" i="4"/>
  <c r="S33" i="4"/>
  <c r="R33" i="4"/>
  <c r="V32" i="4"/>
  <c r="U32" i="4"/>
  <c r="T32" i="4"/>
  <c r="R32" i="4"/>
  <c r="S32" i="4" s="1"/>
  <c r="V31" i="4"/>
  <c r="S31" i="4"/>
  <c r="R31" i="4"/>
  <c r="T31" i="4" s="1"/>
  <c r="V30" i="4"/>
  <c r="T30" i="4"/>
  <c r="R30" i="4"/>
  <c r="U30" i="4" s="1"/>
  <c r="V29" i="4"/>
  <c r="R29" i="4"/>
  <c r="U29" i="4" s="1"/>
  <c r="V28" i="4"/>
  <c r="U28" i="4"/>
  <c r="T28" i="4"/>
  <c r="R28" i="4"/>
  <c r="S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 s="1"/>
  <c r="O130" i="4" s="1"/>
  <c r="P130" i="4" s="1"/>
  <c r="L130" i="4"/>
  <c r="M130" i="4"/>
  <c r="N130" i="4"/>
  <c r="Q130" i="4" s="1"/>
  <c r="I131" i="4"/>
  <c r="J131" i="4"/>
  <c r="K131" i="4"/>
  <c r="L131" i="4"/>
  <c r="M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T77" i="4" l="1"/>
  <c r="S82" i="4"/>
  <c r="T90" i="4"/>
  <c r="S108" i="4"/>
  <c r="T124" i="4"/>
  <c r="S29" i="4"/>
  <c r="U31" i="4"/>
  <c r="T36" i="4"/>
  <c r="S41" i="4"/>
  <c r="U43" i="4"/>
  <c r="U63" i="4"/>
  <c r="T70" i="4"/>
  <c r="S75" i="4"/>
  <c r="T82" i="4"/>
  <c r="S88" i="4"/>
  <c r="T108" i="4"/>
  <c r="S120" i="4"/>
  <c r="T29" i="4"/>
  <c r="S34" i="4"/>
  <c r="U36" i="4"/>
  <c r="T41" i="4"/>
  <c r="S46" i="4"/>
  <c r="U48" i="4"/>
  <c r="T61" i="4"/>
  <c r="S68" i="4"/>
  <c r="U70" i="4"/>
  <c r="T75" i="4"/>
  <c r="S80" i="4"/>
  <c r="T88" i="4"/>
  <c r="S93" i="4"/>
  <c r="T120" i="4"/>
  <c r="S130" i="4"/>
  <c r="T34" i="4"/>
  <c r="S39" i="4"/>
  <c r="T46" i="4"/>
  <c r="S58" i="4"/>
  <c r="U61" i="4"/>
  <c r="T68" i="4"/>
  <c r="S73" i="4"/>
  <c r="T80" i="4"/>
  <c r="S85" i="4"/>
  <c r="T93" i="4"/>
  <c r="S116" i="4"/>
  <c r="T130" i="4"/>
  <c r="T39" i="4"/>
  <c r="T58" i="4"/>
  <c r="T73" i="4"/>
  <c r="T85" i="4"/>
  <c r="S91" i="4"/>
  <c r="T116" i="4"/>
  <c r="S126" i="4"/>
  <c r="U72" i="4"/>
  <c r="T48" i="4"/>
  <c r="T91" i="4"/>
  <c r="T126" i="4"/>
  <c r="S30" i="4"/>
  <c r="S42" i="4"/>
  <c r="S62" i="4"/>
  <c r="S76" i="4"/>
  <c r="S89" i="4"/>
  <c r="S121" i="4"/>
  <c r="O15" i="1" l="1"/>
  <c r="L15" i="1"/>
  <c r="N15" i="1"/>
  <c r="M87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4" i="4"/>
  <c r="M125" i="4"/>
  <c r="J16" i="4"/>
  <c r="J15" i="4"/>
  <c r="J87" i="4"/>
  <c r="K87" i="4" s="1"/>
  <c r="J122" i="4"/>
  <c r="K122" i="4"/>
  <c r="J117" i="4"/>
  <c r="K117" i="4"/>
  <c r="J120" i="4"/>
  <c r="L120" i="4" s="1"/>
  <c r="M120" i="4" s="1"/>
  <c r="K120" i="4"/>
  <c r="O120" i="4" s="1"/>
  <c r="P120" i="4" s="1"/>
  <c r="J101" i="4"/>
  <c r="K101" i="4"/>
  <c r="J86" i="4"/>
  <c r="K86" i="4" s="1"/>
  <c r="J85" i="4"/>
  <c r="K85" i="4" s="1"/>
  <c r="J88" i="4"/>
  <c r="K88" i="4" s="1"/>
  <c r="J119" i="4"/>
  <c r="K119" i="4"/>
  <c r="O119" i="4" s="1"/>
  <c r="P119" i="4" s="1"/>
  <c r="J72" i="4"/>
  <c r="K72" i="4"/>
  <c r="J103" i="4"/>
  <c r="K103" i="4"/>
  <c r="J118" i="4"/>
  <c r="K118" i="4"/>
  <c r="J104" i="4"/>
  <c r="K104" i="4"/>
  <c r="J90" i="4"/>
  <c r="K90" i="4" s="1"/>
  <c r="J71" i="4"/>
  <c r="K71" i="4" s="1"/>
  <c r="O71" i="4" s="1"/>
  <c r="P71" i="4" s="1"/>
  <c r="J110" i="4"/>
  <c r="K110" i="4"/>
  <c r="J82" i="4"/>
  <c r="K82" i="4" s="1"/>
  <c r="J113" i="4"/>
  <c r="K113" i="4"/>
  <c r="J97" i="4"/>
  <c r="K97" i="4" s="1"/>
  <c r="J81" i="4"/>
  <c r="K81" i="4" s="1"/>
  <c r="J116" i="4"/>
  <c r="K116" i="4" s="1"/>
  <c r="O116" i="4" s="1"/>
  <c r="P116" i="4" s="1"/>
  <c r="J100" i="4"/>
  <c r="K100" i="4"/>
  <c r="O100" i="4"/>
  <c r="J84" i="4"/>
  <c r="K84" i="4" s="1"/>
  <c r="J114" i="4"/>
  <c r="K114" i="4"/>
  <c r="O114" i="4" s="1"/>
  <c r="P114" i="4" s="1"/>
  <c r="J78" i="4"/>
  <c r="K78" i="4"/>
  <c r="J115" i="4"/>
  <c r="L115" i="4" s="1"/>
  <c r="M115" i="4" s="1"/>
  <c r="K115" i="4"/>
  <c r="O115" i="4" s="1"/>
  <c r="P115" i="4" s="1"/>
  <c r="J99" i="4"/>
  <c r="K99" i="4"/>
  <c r="J83" i="4"/>
  <c r="K83" i="4" s="1"/>
  <c r="J102" i="4"/>
  <c r="K102" i="4"/>
  <c r="J74" i="4"/>
  <c r="K74" i="4"/>
  <c r="J125" i="4"/>
  <c r="K125" i="4"/>
  <c r="J109" i="4"/>
  <c r="K109" i="4"/>
  <c r="J93" i="4"/>
  <c r="K93" i="4"/>
  <c r="J77" i="4"/>
  <c r="K77" i="4" s="1"/>
  <c r="J112" i="4"/>
  <c r="K112" i="4"/>
  <c r="J96" i="4"/>
  <c r="K96" i="4" s="1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K79" i="4" s="1"/>
  <c r="J126" i="4"/>
  <c r="K126" i="4"/>
  <c r="J94" i="4"/>
  <c r="K94" i="4"/>
  <c r="J121" i="4"/>
  <c r="L121" i="4" s="1"/>
  <c r="M121" i="4" s="1"/>
  <c r="K121" i="4"/>
  <c r="O121" i="4" s="1"/>
  <c r="P121" i="4" s="1"/>
  <c r="J105" i="4"/>
  <c r="K105" i="4"/>
  <c r="J89" i="4"/>
  <c r="K89" i="4" s="1"/>
  <c r="J73" i="4"/>
  <c r="K73" i="4" s="1"/>
  <c r="J124" i="4"/>
  <c r="K124" i="4" s="1"/>
  <c r="O124" i="4" s="1"/>
  <c r="P124" i="4" s="1"/>
  <c r="J108" i="4"/>
  <c r="K108" i="4"/>
  <c r="J92" i="4"/>
  <c r="K92" i="4"/>
  <c r="J76" i="4"/>
  <c r="L76" i="4" s="1"/>
  <c r="K76" i="4"/>
  <c r="J98" i="4"/>
  <c r="K98" i="4"/>
  <c r="J123" i="4"/>
  <c r="K123" i="4"/>
  <c r="J107" i="4"/>
  <c r="L107" i="4" s="1"/>
  <c r="M107" i="4" s="1"/>
  <c r="J91" i="4"/>
  <c r="K91" i="4"/>
  <c r="J75" i="4"/>
  <c r="K75" i="4"/>
  <c r="P100" i="4"/>
  <c r="O112" i="4"/>
  <c r="P112" i="4"/>
  <c r="O98" i="4"/>
  <c r="P98" i="4"/>
  <c r="O108" i="4"/>
  <c r="P108" i="4"/>
  <c r="O105" i="4"/>
  <c r="P105" i="4"/>
  <c r="O126" i="4"/>
  <c r="P126" i="4" s="1"/>
  <c r="O111" i="4"/>
  <c r="P111" i="4"/>
  <c r="O104" i="4"/>
  <c r="P104" i="4"/>
  <c r="O91" i="4"/>
  <c r="P91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I77" i="4"/>
  <c r="I81" i="4"/>
  <c r="L81" i="4" s="1"/>
  <c r="I89" i="4"/>
  <c r="N89" i="4" s="1"/>
  <c r="Q89" i="4" s="1"/>
  <c r="I90" i="4"/>
  <c r="L90" i="4" s="1"/>
  <c r="I96" i="4"/>
  <c r="L96" i="4" s="1"/>
  <c r="I99" i="4"/>
  <c r="I102" i="4"/>
  <c r="I104" i="4"/>
  <c r="I108" i="4"/>
  <c r="I111" i="4"/>
  <c r="I113" i="4"/>
  <c r="I115" i="4"/>
  <c r="I119" i="4"/>
  <c r="N119" i="4" s="1"/>
  <c r="Q119" i="4" s="1"/>
  <c r="I120" i="4"/>
  <c r="N120" i="4" s="1"/>
  <c r="Q120" i="4" s="1"/>
  <c r="I123" i="4"/>
  <c r="I125" i="4"/>
  <c r="I79" i="4"/>
  <c r="N79" i="4" s="1"/>
  <c r="Q79" i="4" s="1"/>
  <c r="I92" i="4"/>
  <c r="L92" i="4" s="1"/>
  <c r="I100" i="4"/>
  <c r="I103" i="4"/>
  <c r="I107" i="4"/>
  <c r="I109" i="4"/>
  <c r="I110" i="4"/>
  <c r="I117" i="4"/>
  <c r="I124" i="4"/>
  <c r="I72" i="4"/>
  <c r="N72" i="4" s="1"/>
  <c r="Q72" i="4" s="1"/>
  <c r="I106" i="4"/>
  <c r="I71" i="4"/>
  <c r="I75" i="4"/>
  <c r="N75" i="4" s="1"/>
  <c r="Q75" i="4" s="1"/>
  <c r="I80" i="4"/>
  <c r="L80" i="4" s="1"/>
  <c r="I83" i="4"/>
  <c r="L83" i="4" s="1"/>
  <c r="I86" i="4"/>
  <c r="L86" i="4" s="1"/>
  <c r="I88" i="4"/>
  <c r="I94" i="4"/>
  <c r="I95" i="4"/>
  <c r="I98" i="4"/>
  <c r="I101" i="4"/>
  <c r="I118" i="4"/>
  <c r="I127" i="4"/>
  <c r="L127" i="4" s="1"/>
  <c r="M127" i="4" s="1"/>
  <c r="I73" i="4"/>
  <c r="N73" i="4" s="1"/>
  <c r="Q73" i="4" s="1"/>
  <c r="I74" i="4"/>
  <c r="N74" i="4" s="1"/>
  <c r="Q74" i="4" s="1"/>
  <c r="I78" i="4"/>
  <c r="N78" i="4" s="1"/>
  <c r="Q78" i="4" s="1"/>
  <c r="I82" i="4"/>
  <c r="L82" i="4" s="1"/>
  <c r="I85" i="4"/>
  <c r="I93" i="4"/>
  <c r="I112" i="4"/>
  <c r="I114" i="4"/>
  <c r="N114" i="4" s="1"/>
  <c r="Q114" i="4" s="1"/>
  <c r="I121" i="4"/>
  <c r="I122" i="4"/>
  <c r="I84" i="4"/>
  <c r="L84" i="4" s="1"/>
  <c r="I87" i="4"/>
  <c r="I91" i="4"/>
  <c r="L91" i="4" s="1"/>
  <c r="M91" i="4" s="1"/>
  <c r="I97" i="4"/>
  <c r="I105" i="4"/>
  <c r="I116" i="4"/>
  <c r="L116" i="4" s="1"/>
  <c r="M116" i="4" s="1"/>
  <c r="I126" i="4"/>
  <c r="L105" i="4"/>
  <c r="N105" i="4"/>
  <c r="Q105" i="4"/>
  <c r="N121" i="4"/>
  <c r="Q121" i="4"/>
  <c r="N85" i="4"/>
  <c r="Q85" i="4"/>
  <c r="L85" i="4"/>
  <c r="L73" i="4"/>
  <c r="N101" i="4"/>
  <c r="Q101" i="4"/>
  <c r="L101" i="4"/>
  <c r="N88" i="4"/>
  <c r="Q88" i="4"/>
  <c r="L106" i="4"/>
  <c r="N106" i="4"/>
  <c r="Q106" i="4"/>
  <c r="L124" i="4"/>
  <c r="N124" i="4"/>
  <c r="Q124" i="4"/>
  <c r="N107" i="4"/>
  <c r="Q107" i="4" s="1"/>
  <c r="N108" i="4"/>
  <c r="Q108" i="4"/>
  <c r="L108" i="4"/>
  <c r="M108" i="4" s="1"/>
  <c r="N77" i="4"/>
  <c r="Q77" i="4"/>
  <c r="L77" i="4"/>
  <c r="N97" i="4"/>
  <c r="Q97" i="4"/>
  <c r="L114" i="4"/>
  <c r="M114" i="4" s="1"/>
  <c r="N98" i="4"/>
  <c r="Q98" i="4"/>
  <c r="L98" i="4"/>
  <c r="N86" i="4"/>
  <c r="Q86" i="4" s="1"/>
  <c r="N71" i="4"/>
  <c r="Q71" i="4"/>
  <c r="L71" i="4"/>
  <c r="M71" i="4" s="1"/>
  <c r="L72" i="4"/>
  <c r="N117" i="4"/>
  <c r="Q117" i="4"/>
  <c r="L117" i="4"/>
  <c r="N103" i="4"/>
  <c r="Q103" i="4"/>
  <c r="L103" i="4"/>
  <c r="L125" i="4"/>
  <c r="N125" i="4"/>
  <c r="Q125" i="4"/>
  <c r="N115" i="4"/>
  <c r="Q115" i="4" s="1"/>
  <c r="L104" i="4"/>
  <c r="N104" i="4"/>
  <c r="Q104" i="4"/>
  <c r="N76" i="4"/>
  <c r="Q76" i="4" s="1"/>
  <c r="N126" i="4"/>
  <c r="Q126" i="4"/>
  <c r="L126" i="4"/>
  <c r="M126" i="4" s="1"/>
  <c r="N91" i="4"/>
  <c r="Q91" i="4" s="1"/>
  <c r="L112" i="4"/>
  <c r="N112" i="4"/>
  <c r="Q112" i="4"/>
  <c r="N127" i="4"/>
  <c r="Q127" i="4"/>
  <c r="N95" i="4"/>
  <c r="Q95" i="4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7" i="4"/>
  <c r="Q87" i="4" s="1"/>
  <c r="L87" i="4"/>
  <c r="N122" i="4"/>
  <c r="Q122" i="4"/>
  <c r="L122" i="4"/>
  <c r="N93" i="4"/>
  <c r="Q93" i="4" s="1"/>
  <c r="L93" i="4"/>
  <c r="N118" i="4"/>
  <c r="Q118" i="4"/>
  <c r="L118" i="4"/>
  <c r="L94" i="4"/>
  <c r="N94" i="4"/>
  <c r="Q94" i="4"/>
  <c r="N80" i="4"/>
  <c r="Q80" i="4"/>
  <c r="N109" i="4"/>
  <c r="Q109" i="4"/>
  <c r="L109" i="4"/>
  <c r="N111" i="4"/>
  <c r="Q111" i="4"/>
  <c r="L111" i="4"/>
  <c r="N99" i="4"/>
  <c r="Q99" i="4"/>
  <c r="L99" i="4"/>
  <c r="N81" i="4"/>
  <c r="Q81" i="4" s="1"/>
  <c r="M92" i="4" l="1"/>
  <c r="O77" i="4"/>
  <c r="P77" i="4" s="1"/>
  <c r="M80" i="4"/>
  <c r="O83" i="4"/>
  <c r="P83" i="4" s="1"/>
  <c r="M81" i="4"/>
  <c r="M76" i="4"/>
  <c r="M82" i="4"/>
  <c r="O97" i="4"/>
  <c r="P97" i="4" s="1"/>
  <c r="O75" i="4"/>
  <c r="P75" i="4" s="1"/>
  <c r="O94" i="4"/>
  <c r="P94" i="4" s="1"/>
  <c r="O82" i="4"/>
  <c r="P82" i="4" s="1"/>
  <c r="M84" i="4"/>
  <c r="N116" i="4"/>
  <c r="Q116" i="4" s="1"/>
  <c r="L78" i="4"/>
  <c r="O84" i="4"/>
  <c r="P84" i="4" s="1"/>
  <c r="O81" i="4"/>
  <c r="P81" i="4" s="1"/>
  <c r="O76" i="4"/>
  <c r="P76" i="4" s="1"/>
  <c r="O78" i="4"/>
  <c r="P78" i="4" s="1"/>
  <c r="N90" i="4"/>
  <c r="Q90" i="4" s="1"/>
  <c r="N92" i="4"/>
  <c r="Q92" i="4" s="1"/>
  <c r="L89" i="4"/>
  <c r="L119" i="4"/>
  <c r="M119" i="4" s="1"/>
  <c r="L88" i="4"/>
  <c r="K107" i="4"/>
  <c r="O107" i="4" s="1"/>
  <c r="P107" i="4" s="1"/>
  <c r="O79" i="4"/>
  <c r="P79" i="4" s="1"/>
  <c r="O87" i="4"/>
  <c r="P87" i="4" s="1"/>
  <c r="M77" i="4"/>
  <c r="M73" i="4"/>
  <c r="M90" i="4"/>
  <c r="O92" i="4"/>
  <c r="P92" i="4" s="1"/>
  <c r="O72" i="4"/>
  <c r="P72" i="4" s="1"/>
  <c r="O95" i="4"/>
  <c r="P95" i="4" s="1"/>
  <c r="O88" i="4"/>
  <c r="P88" i="4" s="1"/>
  <c r="O73" i="4"/>
  <c r="P73" i="4" s="1"/>
  <c r="O93" i="4"/>
  <c r="P93" i="4" s="1"/>
  <c r="O90" i="4"/>
  <c r="P90" i="4" s="1"/>
  <c r="O85" i="4"/>
  <c r="P85" i="4" s="1"/>
  <c r="M72" i="4"/>
  <c r="O80" i="4"/>
  <c r="P80" i="4" s="1"/>
  <c r="M94" i="4"/>
  <c r="M93" i="4"/>
  <c r="O89" i="4"/>
  <c r="P89" i="4" s="1"/>
  <c r="O86" i="4"/>
  <c r="P86" i="4" s="1"/>
  <c r="M95" i="4"/>
  <c r="M83" i="4"/>
  <c r="M85" i="4"/>
  <c r="M96" i="4"/>
  <c r="O96" i="4"/>
  <c r="P96" i="4" s="1"/>
  <c r="O74" i="4"/>
  <c r="P74" i="4" s="1"/>
  <c r="M86" i="4"/>
  <c r="L97" i="4"/>
  <c r="N83" i="4"/>
  <c r="Q83" i="4" s="1"/>
  <c r="L74" i="4"/>
  <c r="L79" i="4"/>
  <c r="L75" i="4"/>
  <c r="N82" i="4"/>
  <c r="Q82" i="4" s="1"/>
  <c r="N96" i="4"/>
  <c r="Q96" i="4" s="1"/>
  <c r="N84" i="4"/>
  <c r="Q84" i="4" s="1"/>
  <c r="J14" i="4"/>
  <c r="J13" i="4" s="1"/>
  <c r="K16" i="4" s="1"/>
  <c r="M78" i="4" l="1"/>
  <c r="M97" i="4"/>
  <c r="M79" i="4"/>
  <c r="M74" i="4"/>
  <c r="M88" i="4"/>
  <c r="M75" i="4"/>
  <c r="M89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8" i="4" l="1"/>
  <c r="P58" i="4" s="1"/>
  <c r="O57" i="4"/>
  <c r="P57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4" i="4" l="1"/>
  <c r="O64" i="4"/>
  <c r="P64" i="4" s="1"/>
  <c r="O69" i="4"/>
  <c r="P69" i="4" s="1"/>
  <c r="O66" i="4"/>
  <c r="P66" i="4" s="1"/>
  <c r="M69" i="4"/>
  <c r="M58" i="4"/>
  <c r="M57" i="4"/>
  <c r="O65" i="4"/>
  <c r="P65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J39" i="4" s="1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J30" i="4"/>
  <c r="L30" i="4" s="1"/>
  <c r="J43" i="4"/>
  <c r="J31" i="4"/>
  <c r="K31" i="4" s="1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L45" i="4"/>
  <c r="K45" i="4"/>
  <c r="L47" i="4"/>
  <c r="K52" i="4"/>
  <c r="O52" i="4" s="1"/>
  <c r="P52" i="4" s="1"/>
  <c r="L52" i="4"/>
  <c r="M52" i="4" s="1"/>
  <c r="L43" i="4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K30" i="4"/>
  <c r="L31" i="4" l="1"/>
  <c r="O49" i="4"/>
  <c r="P49" i="4" s="1"/>
  <c r="O48" i="4"/>
  <c r="P48" i="4" s="1"/>
  <c r="M48" i="4"/>
  <c r="M49" i="4"/>
  <c r="L35" i="4"/>
  <c r="O30" i="4"/>
  <c r="P30" i="4" s="1"/>
  <c r="O35" i="4"/>
  <c r="P35" i="4" s="1"/>
  <c r="O43" i="4"/>
  <c r="P43" i="4" s="1"/>
  <c r="O39" i="4"/>
  <c r="P39" i="4" s="1"/>
  <c r="M44" i="4"/>
  <c r="M47" i="4"/>
  <c r="O45" i="4"/>
  <c r="P45" i="4" s="1"/>
  <c r="M45" i="4"/>
  <c r="O47" i="4"/>
  <c r="P47" i="4" s="1"/>
  <c r="O31" i="4"/>
  <c r="P31" i="4" s="1"/>
  <c r="O33" i="4"/>
  <c r="P33" i="4" s="1"/>
  <c r="O28" i="4"/>
  <c r="P28" i="4" s="1"/>
  <c r="O46" i="4"/>
  <c r="P46" i="4" s="1"/>
  <c r="M43" i="4"/>
  <c r="M39" i="4"/>
  <c r="K36" i="4"/>
  <c r="O41" i="4"/>
  <c r="P41" i="4" s="1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M35" i="4" l="1"/>
  <c r="M31" i="4"/>
  <c r="O36" i="4"/>
  <c r="P36" i="4" s="1"/>
  <c r="O38" i="4"/>
  <c r="P38" i="4" s="1"/>
  <c r="M33" i="4"/>
  <c r="O34" i="4"/>
  <c r="P34" i="4" s="1"/>
  <c r="O42" i="4"/>
  <c r="P42" i="4" s="1"/>
  <c r="M41" i="4"/>
  <c r="M46" i="4"/>
  <c r="O29" i="4"/>
  <c r="P29" i="4" s="1"/>
  <c r="O32" i="4"/>
  <c r="P32" i="4" s="1"/>
  <c r="O40" i="4"/>
  <c r="P40" i="4" s="1"/>
  <c r="O37" i="4"/>
  <c r="P37" i="4" s="1"/>
  <c r="O44" i="4"/>
  <c r="P44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<sst xmlns="http://schemas.openxmlformats.org/spreadsheetml/2006/main" count="318" uniqueCount="295">
  <si>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</si>
  <si>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</si>
  <si>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</si>
  <si>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</si>
  <si>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</si>
  <si>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</si>
  <si>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</si>
  <si>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</si>
  <si>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</si>
  <si>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</si>
  <si>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</si>
  <si>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</si>
  <si>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</si>
  <si>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</si>
  <si>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</si>
  <si>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</si>
  <si>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</si>
  <si>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</si>
  <si>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</si>
  <si>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</si>
  <si>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</si>
  <si>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</si>
  <si>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</si>
  <si>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</si>
  <si>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</si>
  <si>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</si>
  <si>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</si>
  <si>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</si>
  <si>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</si>
  <si>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</si>
  <si>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</si>
  <si>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</si>
  <si>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</si>
  <si>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</si>
  <si>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</si>
  <si>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</si>
  <si>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</si>
  <si>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</si>
  <si>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</si>
  <si>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</si>
  <si>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</si>
  <si>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</si>
  <si>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</si>
  <si>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</si>
  <si>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</si>
  <si>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</si>
  <si>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</si>
  <si>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</si>
  <si>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</si>
  <si>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</si>
  <si>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</si>
  <si>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</si>
  <si>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</si>
  <si>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</si>
  <si>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</si>
  <si>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</si>
  <si>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</si>
  <si>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</si>
  <si>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</si>
  <si>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</si>
  <si>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</si>
  <si>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</si>
  <si>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</si>
  <si>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</si>
  <si>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</si>
  <si>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</si>
  <si>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</si>
  <si>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</si>
  <si>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</si>
  <si>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</si>
  <si>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</si>
  <si>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</si>
  <si>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</si>
  <si>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</si>
  <si>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</si>
  <si>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</si>
  <si>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</si>
  <si>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</si>
  <si>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</si>
  <si>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</si>
  <si>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</si>
  <si>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</si>
  <si>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</si>
  <si>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</si>
  <si>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</si>
  <si>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</si>
  <si>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</si>
  <si>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</si>
  <si>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</si>
  <si>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</si>
  <si>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</si>
  <si>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</si>
  <si>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</si>
  <si>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</si>
  <si>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</si>
  <si>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</si>
  <si>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</si>
  <si>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</si>
  <si>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</si>
  <si>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</si>
  <si>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</si>
  <si>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</si>
  <si>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</si>
  <si>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</si>
  <si>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</si>
  <si>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</si>
  <si>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</si>
  <si>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</si>
  <si>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</si>
  <si>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</si>
  <si>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</si>
  <si>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</si>
  <si>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Balb/c 3T3</t>
    <phoneticPr fontId="22" type="noConversion"/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</si>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</sst>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3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  <font>
      <sz val="9"/>
      <name val="新細明體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112</v>
      </c>
      <c r="K17" s="31" t="s">
        <v>80</v>
      </c>
      <c r="L17" s="81">
        <v>1.4831999999999998E-3</v>
      </c>
      <c r="M17" s="81">
        <v>5.7599999999999991E-4</v>
      </c>
      <c r="N17" s="81">
        <v>3.4079999999999994E-4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5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0"/>
      <c r="H1" s="14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0"/>
      <c r="H2" s="140"/>
      <c r="I2" s="153" t="s">
        <v>19</v>
      </c>
      <c r="J2" s="154"/>
      <c r="K2" s="154"/>
      <c r="L2" s="154"/>
      <c r="M2" s="154"/>
      <c r="N2" s="154"/>
      <c r="O2" s="154"/>
      <c r="P2" s="154"/>
      <c r="Q2" s="15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0"/>
      <c r="H3" s="140"/>
      <c r="I3" s="156"/>
      <c r="J3" s="157"/>
      <c r="K3" s="157"/>
      <c r="L3" s="157"/>
      <c r="M3" s="157"/>
      <c r="N3" s="157"/>
      <c r="O3" s="157"/>
      <c r="P3" s="157"/>
      <c r="Q3" s="15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0"/>
      <c r="H4" s="140"/>
      <c r="I4" s="159"/>
      <c r="J4" s="160"/>
      <c r="K4" s="160"/>
      <c r="L4" s="160"/>
      <c r="M4" s="160"/>
      <c r="N4" s="160"/>
      <c r="O4" s="160"/>
      <c r="P4" s="160"/>
      <c r="Q4" s="16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0"/>
      <c r="H5" s="140"/>
      <c r="I5" s="162" t="s">
        <v>38</v>
      </c>
      <c r="J5" s="163"/>
      <c r="K5" s="163"/>
      <c r="L5" s="163"/>
      <c r="M5" s="163"/>
      <c r="N5" s="163"/>
      <c r="O5" s="163"/>
      <c r="P5" s="163"/>
      <c r="Q5" s="16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0"/>
      <c r="H6" s="140"/>
      <c r="I6" s="49" t="s">
        <v>49</v>
      </c>
      <c r="J6" s="49" t="s">
        <v>50</v>
      </c>
      <c r="K6" s="49" t="s">
        <v>46</v>
      </c>
      <c r="L6" s="132" t="s">
        <v>39</v>
      </c>
      <c r="M6" s="133"/>
      <c r="N6" s="133"/>
      <c r="O6" s="133"/>
      <c r="P6" s="133"/>
      <c r="Q6" s="134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0"/>
      <c r="H7" s="140"/>
      <c r="I7" s="50" t="s">
        <v>20</v>
      </c>
      <c r="J7" s="37">
        <f>SUM(J13,J19)</f>
        <v>150.048</v>
      </c>
      <c r="K7" s="38">
        <f>J7/J7</f>
        <v>1</v>
      </c>
      <c r="L7" s="115" t="s">
        <v>68</v>
      </c>
      <c r="M7" s="116"/>
      <c r="N7" s="116"/>
      <c r="O7" s="116"/>
      <c r="P7" s="116"/>
      <c r="Q7" s="11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8" t="s">
        <v>3</v>
      </c>
      <c r="C8" s="179"/>
      <c r="D8" s="179"/>
      <c r="E8" s="179"/>
      <c r="F8" s="180"/>
      <c r="G8" s="140"/>
      <c r="H8" s="140"/>
      <c r="I8" s="51" t="s">
        <v>6</v>
      </c>
      <c r="J8" s="37">
        <f>SUM(J14,J20)</f>
        <v>149.25266400000001</v>
      </c>
      <c r="K8" s="39">
        <f>J8/J7</f>
        <v>0.99469945617402433</v>
      </c>
      <c r="L8" s="115" t="s">
        <v>69</v>
      </c>
      <c r="M8" s="116"/>
      <c r="N8" s="116"/>
      <c r="O8" s="116"/>
      <c r="P8" s="116"/>
      <c r="Q8" s="11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1"/>
      <c r="C9" s="182"/>
      <c r="D9" s="182"/>
      <c r="E9" s="182"/>
      <c r="F9" s="183"/>
      <c r="G9" s="140"/>
      <c r="H9" s="140"/>
      <c r="I9" s="50" t="s">
        <v>8</v>
      </c>
      <c r="J9" s="40">
        <f t="shared" ref="J9:J10" si="0">SUM(J15,J21)</f>
        <v>0.73152000000000006</v>
      </c>
      <c r="K9" s="39">
        <f>J9/J7</f>
        <v>4.8752399232245688E-3</v>
      </c>
      <c r="L9" s="115" t="s">
        <v>69</v>
      </c>
      <c r="M9" s="116"/>
      <c r="N9" s="116"/>
      <c r="O9" s="116"/>
      <c r="P9" s="116"/>
      <c r="Q9" s="11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4"/>
      <c r="C10" s="185"/>
      <c r="D10" s="185"/>
      <c r="E10" s="185"/>
      <c r="F10" s="186"/>
      <c r="G10" s="140"/>
      <c r="H10" s="140"/>
      <c r="I10" s="51" t="s">
        <v>9</v>
      </c>
      <c r="J10" s="40">
        <f t="shared" si="0"/>
        <v>6.3815999999999998E-2</v>
      </c>
      <c r="K10" s="39">
        <f>J10/J7</f>
        <v>4.253039027511196E-4</v>
      </c>
      <c r="L10" s="115" t="s">
        <v>69</v>
      </c>
      <c r="M10" s="116"/>
      <c r="N10" s="116"/>
      <c r="O10" s="116"/>
      <c r="P10" s="116"/>
      <c r="Q10" s="11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3" t="s">
        <v>36</v>
      </c>
      <c r="C11" s="144"/>
      <c r="D11" s="144"/>
      <c r="E11" s="144"/>
      <c r="F11" s="145"/>
      <c r="G11" s="140"/>
      <c r="H11" s="140"/>
      <c r="I11" s="131"/>
      <c r="J11" s="131"/>
      <c r="K11" s="131"/>
      <c r="L11" s="131"/>
      <c r="M11" s="131"/>
      <c r="N11" s="131"/>
      <c r="O11" s="131"/>
      <c r="P11" s="131"/>
      <c r="Q11" s="131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6"/>
      <c r="C12" s="147"/>
      <c r="D12" s="147"/>
      <c r="E12" s="147"/>
      <c r="F12" s="148"/>
      <c r="G12" s="140"/>
      <c r="H12" s="140"/>
      <c r="I12" s="49" t="s">
        <v>51</v>
      </c>
      <c r="J12" s="49" t="s">
        <v>50</v>
      </c>
      <c r="K12" s="49" t="s">
        <v>46</v>
      </c>
      <c r="L12" s="132" t="s">
        <v>39</v>
      </c>
      <c r="M12" s="133"/>
      <c r="N12" s="133"/>
      <c r="O12" s="133"/>
      <c r="P12" s="133"/>
      <c r="Q12" s="134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5" t="s">
        <v>4</v>
      </c>
      <c r="C13" s="136"/>
      <c r="D13" s="168" t="s">
        <v>39</v>
      </c>
      <c r="E13" s="168"/>
      <c r="F13" s="168"/>
      <c r="G13" s="140"/>
      <c r="H13" s="140"/>
      <c r="I13" s="50" t="s">
        <v>5</v>
      </c>
      <c r="J13" s="41">
        <f>SUM(J14:J16)</f>
        <v>150</v>
      </c>
      <c r="K13" s="38">
        <f>J13/J13</f>
        <v>1</v>
      </c>
      <c r="L13" s="115" t="s">
        <v>71</v>
      </c>
      <c r="M13" s="116"/>
      <c r="N13" s="116"/>
      <c r="O13" s="116"/>
      <c r="P13" s="116"/>
      <c r="Q13" s="11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69" t="s">
        <v>17</v>
      </c>
      <c r="E14" s="169"/>
      <c r="F14" s="169"/>
      <c r="G14" s="140"/>
      <c r="H14" s="140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37" t="s">
        <v>70</v>
      </c>
      <c r="M14" s="138"/>
      <c r="N14" s="138"/>
      <c r="O14" s="138"/>
      <c r="P14" s="138"/>
      <c r="Q14" s="13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70" t="s">
        <v>60</v>
      </c>
      <c r="E15" s="170"/>
      <c r="F15" s="170"/>
      <c r="G15" s="140"/>
      <c r="H15" s="14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15" t="s">
        <v>69</v>
      </c>
      <c r="M15" s="116"/>
      <c r="N15" s="116"/>
      <c r="O15" s="116"/>
      <c r="P15" s="116"/>
      <c r="Q15" s="11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71" t="s">
        <v>40</v>
      </c>
      <c r="E16" s="172"/>
      <c r="F16" s="173"/>
      <c r="G16" s="140"/>
      <c r="H16" s="14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15" t="s">
        <v>69</v>
      </c>
      <c r="M16" s="116"/>
      <c r="N16" s="116"/>
      <c r="O16" s="116"/>
      <c r="P16" s="116"/>
      <c r="Q16" s="11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4" t="s">
        <v>61</v>
      </c>
      <c r="E17" s="175"/>
      <c r="F17" s="176"/>
      <c r="G17" s="140"/>
      <c r="H17" s="140"/>
      <c r="I17" s="137"/>
      <c r="J17" s="138"/>
      <c r="K17" s="138"/>
      <c r="L17" s="138"/>
      <c r="M17" s="138"/>
      <c r="N17" s="138"/>
      <c r="O17" s="138"/>
      <c r="P17" s="138"/>
      <c r="Q17" s="13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71" t="s">
        <v>41</v>
      </c>
      <c r="E18" s="172"/>
      <c r="F18" s="173"/>
      <c r="G18" s="140"/>
      <c r="H18" s="140"/>
      <c r="I18" s="49" t="s">
        <v>29</v>
      </c>
      <c r="J18" s="49" t="s">
        <v>50</v>
      </c>
      <c r="K18" s="49" t="s">
        <v>46</v>
      </c>
      <c r="L18" s="132" t="s">
        <v>39</v>
      </c>
      <c r="M18" s="133"/>
      <c r="N18" s="133"/>
      <c r="O18" s="133"/>
      <c r="P18" s="133"/>
      <c r="Q18" s="134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0"/>
      <c r="C19" s="170"/>
      <c r="D19" s="170"/>
      <c r="E19" s="170"/>
      <c r="F19" s="170"/>
      <c r="G19" s="140"/>
      <c r="H19" s="140"/>
      <c r="I19" s="50" t="s">
        <v>5</v>
      </c>
      <c r="J19" s="41">
        <f>SUM(J20:J22)</f>
        <v>4.8000000000000001E-2</v>
      </c>
      <c r="K19" s="38">
        <f>J19/J19</f>
        <v>1</v>
      </c>
      <c r="L19" s="115" t="s">
        <v>55</v>
      </c>
      <c r="M19" s="116"/>
      <c r="N19" s="116"/>
      <c r="O19" s="116"/>
      <c r="P19" s="116"/>
      <c r="Q19" s="11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5" t="s">
        <v>7</v>
      </c>
      <c r="C20" s="136"/>
      <c r="D20" s="168" t="s">
        <v>39</v>
      </c>
      <c r="E20" s="168"/>
      <c r="F20" s="168"/>
      <c r="G20" s="140"/>
      <c r="H20" s="14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2.9663999999999996E-2</v>
      </c>
      <c r="K20" s="39">
        <f>J20/J19</f>
        <v>0.61799999999999988</v>
      </c>
      <c r="L20" s="115" t="s">
        <v>69</v>
      </c>
      <c r="M20" s="116"/>
      <c r="N20" s="116"/>
      <c r="O20" s="116"/>
      <c r="P20" s="116"/>
      <c r="Q20" s="11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4" t="s">
        <v>61</v>
      </c>
      <c r="E21" s="175"/>
      <c r="F21" s="176"/>
      <c r="G21" s="140"/>
      <c r="H21" s="14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1.1519999999999999E-2</v>
      </c>
      <c r="K21" s="39">
        <f>J21/J19</f>
        <v>0.23999999999999996</v>
      </c>
      <c r="L21" s="115" t="s">
        <v>69</v>
      </c>
      <c r="M21" s="116"/>
      <c r="N21" s="116"/>
      <c r="O21" s="116"/>
      <c r="P21" s="116"/>
      <c r="Q21" s="11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77" t="s">
        <v>67</v>
      </c>
      <c r="E22" s="177"/>
      <c r="F22" s="177"/>
      <c r="G22" s="140"/>
      <c r="H22" s="14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6.8159999999999991E-3</v>
      </c>
      <c r="K22" s="39">
        <f>J22/J19</f>
        <v>0.14199999999999999</v>
      </c>
      <c r="L22" s="115" t="s">
        <v>69</v>
      </c>
      <c r="M22" s="116"/>
      <c r="N22" s="116"/>
      <c r="O22" s="116"/>
      <c r="P22" s="116"/>
      <c r="Q22" s="11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5"/>
      <c r="C23" s="166"/>
      <c r="D23" s="166"/>
      <c r="E23" s="166"/>
      <c r="F23" s="167"/>
      <c r="G23" s="140"/>
      <c r="H23" s="140"/>
      <c r="I23" s="126"/>
      <c r="J23" s="127"/>
      <c r="K23" s="127"/>
      <c r="L23" s="127"/>
      <c r="M23" s="127"/>
      <c r="N23" s="127"/>
      <c r="O23" s="127"/>
      <c r="P23" s="127"/>
      <c r="Q23" s="128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3" t="s">
        <v>37</v>
      </c>
      <c r="C24" s="144"/>
      <c r="D24" s="144"/>
      <c r="E24" s="144"/>
      <c r="F24" s="145"/>
      <c r="G24" s="140"/>
      <c r="H24" s="140"/>
      <c r="I24" s="120" t="s">
        <v>42</v>
      </c>
      <c r="J24" s="121"/>
      <c r="K24" s="121"/>
      <c r="L24" s="121"/>
      <c r="M24" s="121"/>
      <c r="N24" s="121"/>
      <c r="O24" s="121"/>
      <c r="P24" s="121"/>
      <c r="Q24" s="12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6"/>
      <c r="C25" s="147"/>
      <c r="D25" s="147"/>
      <c r="E25" s="147"/>
      <c r="F25" s="148"/>
      <c r="G25" s="140"/>
      <c r="H25" s="140"/>
      <c r="I25" s="123"/>
      <c r="J25" s="124"/>
      <c r="K25" s="124"/>
      <c r="L25" s="124"/>
      <c r="M25" s="124"/>
      <c r="N25" s="124"/>
      <c r="O25" s="124"/>
      <c r="P25" s="124"/>
      <c r="Q25" s="125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1" t="s">
        <v>11</v>
      </c>
      <c r="C26" s="141" t="s">
        <v>12</v>
      </c>
      <c r="D26" s="149" t="s">
        <v>47</v>
      </c>
      <c r="E26" s="149" t="s">
        <v>48</v>
      </c>
      <c r="F26" s="151" t="s">
        <v>66</v>
      </c>
      <c r="G26" s="140"/>
      <c r="H26" s="140"/>
      <c r="I26" s="129" t="s">
        <v>53</v>
      </c>
      <c r="J26" s="129" t="s">
        <v>54</v>
      </c>
      <c r="K26" s="118" t="s">
        <v>73</v>
      </c>
      <c r="L26" s="118" t="s">
        <v>52</v>
      </c>
      <c r="M26" s="118" t="s">
        <v>59</v>
      </c>
      <c r="N26" s="118" t="s">
        <v>62</v>
      </c>
      <c r="O26" s="118" t="s">
        <v>72</v>
      </c>
      <c r="P26" s="118" t="s">
        <v>64</v>
      </c>
      <c r="Q26" s="118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2"/>
      <c r="C27" s="142"/>
      <c r="D27" s="150"/>
      <c r="E27" s="150"/>
      <c r="F27" s="152"/>
      <c r="G27" s="140"/>
      <c r="H27" s="140"/>
      <c r="I27" s="130"/>
      <c r="J27" s="130"/>
      <c r="K27" s="119"/>
      <c r="L27" s="119"/>
      <c r="M27" s="119"/>
      <c r="N27" s="119"/>
      <c r="O27" s="119"/>
      <c r="P27" s="119"/>
      <c r="Q27" s="119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115</v>
      </c>
      <c r="C28" s="46" t="s">
        <v>116</v>
      </c>
      <c r="D28" s="47">
        <v>1.6437199999999998</v>
      </c>
      <c r="E28" s="47">
        <v>1.9024449999999995</v>
      </c>
      <c r="F28" s="98">
        <v>9.9999999999999995E-7</v>
      </c>
      <c r="G28" s="140"/>
      <c r="H28" s="140"/>
      <c r="I28" s="94">
        <f t="shared" ref="I28:I47" si="1">IF(D28=0,"",LOG($K$15*10^D28+$K$16*10^E28+$K$14))</f>
        <v>9.2195850977354138E-2</v>
      </c>
      <c r="J28" s="94">
        <f t="shared" ref="J28:J47" si="2">IF(D28=0,"",LOG($K$21*10^D28+$K$22*10^E28+$K$20))</f>
        <v>1.352715763119182</v>
      </c>
      <c r="K28" s="95">
        <f t="shared" ref="K28:K47" si="3">IF(D28=0,"",1/(1+10^D28*$J$15/$J$14+10^E28*$J$16/$J$14+10^J28*$J$19/$J$14))</f>
        <v>0.79987857510836857</v>
      </c>
      <c r="L28" s="95">
        <f t="shared" ref="L28:L47" si="4">IF(D28=0,"",1/(1+10^I28/10^J28*$J$13/$J$19))</f>
        <v>5.7962258300767143E-3</v>
      </c>
      <c r="M28" s="95">
        <f t="shared" ref="M28:M47" si="5">IF(D28=0,"",1-L28)</f>
        <v>0.99420377416992334</v>
      </c>
      <c r="N28" s="95">
        <f t="shared" ref="N28:N47" si="6">IF(D28=0,"",1/(1/10^E28*$J$20/$J$22+10^D28/10^E28*$J$21/$J$22+10^I28/10^E28*$J$13/$J$22+1))</f>
        <v>2.9185213803462088E-3</v>
      </c>
      <c r="O28" s="40">
        <f t="shared" ref="O28:O47" si="7">IF(D28=0,"",F28*K28*$J$7/$J$14)</f>
        <v>8.0430081447136479E-7</v>
      </c>
      <c r="P28" s="40">
        <f t="shared" ref="P28:P47" si="8">IF(D28=0,"",O28*10^J28)</f>
        <v>1.8119001944819804E-5</v>
      </c>
      <c r="Q28" s="40">
        <f t="shared" ref="Q28:Q47" si="9">IF(D28=0,"",F28*N28*$J$7/$J$22)</f>
        <v>6.4248576302551049E-5</v>
      </c>
      <c r="R28" s="9">
        <f>F28*$C$14</f>
        <v>1.4999999999999999E-4</v>
      </c>
      <c r="S28" s="9">
        <f>$R28*L28</f>
        <v>8.6943387451150704E-7</v>
      </c>
      <c r="T28" s="9">
        <f t="shared" ref="T28:T49" si="10">R28*K28</f>
        <v>1.1998178626625527E-4</v>
      </c>
      <c r="U28" s="9">
        <f t="shared" ref="U28:U49" si="11">$R28*M28</f>
        <v>1.4913056612548848E-4</v>
      </c>
      <c r="V28" s="102">
        <f>K28/M28</f>
        <v>0.80454188154354978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117</v>
      </c>
      <c r="C29" s="46" t="s">
        <v>118</v>
      </c>
      <c r="D29" s="47">
        <v>4.7386560000000006</v>
      </c>
      <c r="E29" s="47">
        <v>5.8355820000000005</v>
      </c>
      <c r="F29" s="98">
        <v>9.9999999999999995E-7</v>
      </c>
      <c r="G29" s="140"/>
      <c r="H29" s="140"/>
      <c r="I29" s="94">
        <f t="shared" si="1"/>
        <v>2.7194923137791687</v>
      </c>
      <c r="J29" s="94">
        <f t="shared" si="2"/>
        <v>5.0429475645742867</v>
      </c>
      <c r="K29" s="95">
        <f t="shared" si="3"/>
        <v>1.7779864515540559E-3</v>
      </c>
      <c r="L29" s="95">
        <f t="shared" si="4"/>
        <v>6.3136642390246342E-2</v>
      </c>
      <c r="M29" s="95">
        <f t="shared" si="5"/>
        <v>0.9368633576097537</v>
      </c>
      <c r="N29" s="95">
        <f t="shared" si="6"/>
        <v>5.5616577779592932E-2</v>
      </c>
      <c r="O29" s="40">
        <f t="shared" si="7"/>
        <v>1.7878162956299159E-9</v>
      </c>
      <c r="P29" s="40">
        <f t="shared" si="8"/>
        <v>1.973651441119102E-4</v>
      </c>
      <c r="Q29" s="40">
        <f t="shared" si="9"/>
        <v>1.2243480432324472E-3</v>
      </c>
      <c r="R29" s="9">
        <f>F29*$C$14</f>
        <v>1.4999999999999999E-4</v>
      </c>
      <c r="S29" s="9">
        <f t="shared" ref="S29:S49" si="12">$R29*L29</f>
        <v>9.4704963585369502E-6</v>
      </c>
      <c r="T29" s="9">
        <f t="shared" si="10"/>
        <v>2.6669796773310835E-7</v>
      </c>
      <c r="U29" s="9">
        <f t="shared" si="11"/>
        <v>1.4052950364146303E-4</v>
      </c>
      <c r="V29" s="102">
        <f t="shared" ref="V29:V49" si="13">K29/M29</f>
        <v>1.8978076547793304E-3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119</v>
      </c>
      <c r="C30" s="46" t="s">
        <v>120</v>
      </c>
      <c r="D30" s="91">
        <v>7.1429999999999998</v>
      </c>
      <c r="E30" s="91">
        <v>9.299925</v>
      </c>
      <c r="F30" s="98">
        <v>9.9999999999999995E-7</v>
      </c>
      <c r="G30" s="140"/>
      <c r="H30" s="140"/>
      <c r="I30" s="94">
        <f t="shared" si="1"/>
        <v>5.9163420575972845</v>
      </c>
      <c r="J30" s="94">
        <f t="shared" si="2"/>
        <v>8.4572977199279009</v>
      </c>
      <c r="K30" s="95">
        <f t="shared" si="3"/>
        <v>1.08545077253651E-6</v>
      </c>
      <c r="L30" s="95">
        <f t="shared" si="4"/>
        <v>0.10007217120704662</v>
      </c>
      <c r="M30" s="95">
        <f t="shared" si="5"/>
        <v>0.89992782879295341</v>
      </c>
      <c r="N30" s="95">
        <f t="shared" si="6"/>
        <v>9.8907436747048022E-2</v>
      </c>
      <c r="O30" s="40">
        <f t="shared" si="7"/>
        <v>1.0914518373009403E-12</v>
      </c>
      <c r="P30" s="40">
        <f t="shared" si="8"/>
        <v>3.128256071932285E-4</v>
      </c>
      <c r="Q30" s="40">
        <f t="shared" si="9"/>
        <v>2.1773566709244519E-3</v>
      </c>
      <c r="R30" s="9">
        <f t="shared" ref="R30:R49" si="14">F30*$C$14</f>
        <v>1.4999999999999999E-4</v>
      </c>
      <c r="S30" s="9">
        <f t="shared" si="12"/>
        <v>1.5010825681056991E-5</v>
      </c>
      <c r="T30" s="9">
        <f t="shared" si="10"/>
        <v>1.6281761588047649E-10</v>
      </c>
      <c r="U30" s="9">
        <f t="shared" si="11"/>
        <v>1.3498917431894301E-4</v>
      </c>
      <c r="V30" s="102">
        <f t="shared" si="13"/>
        <v>1.2061531356268791E-6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113</v>
      </c>
      <c r="C31" s="46" t="s">
        <v>114</v>
      </c>
      <c r="D31" s="47">
        <v>3.3511520000000004</v>
      </c>
      <c r="E31" s="47">
        <v>4.2962190000000007</v>
      </c>
      <c r="F31" s="98">
        <v>9.9999999999999995E-7</v>
      </c>
      <c r="G31" s="140"/>
      <c r="H31" s="140"/>
      <c r="I31" s="94">
        <f t="shared" si="1"/>
        <v>1.2852308448323728</v>
      </c>
      <c r="J31" s="94">
        <f t="shared" si="2"/>
        <v>3.5247920710512646</v>
      </c>
      <c r="K31" s="95">
        <f t="shared" si="3"/>
        <v>4.8868996881379946E-2</v>
      </c>
      <c r="L31" s="95">
        <f t="shared" si="4"/>
        <v>5.2629708677272541E-2</v>
      </c>
      <c r="M31" s="95">
        <f t="shared" si="5"/>
        <v>0.94737029132272743</v>
      </c>
      <c r="N31" s="95">
        <f t="shared" si="6"/>
        <v>4.41515789449562E-2</v>
      </c>
      <c r="O31" s="40">
        <f t="shared" si="7"/>
        <v>4.9139175891499947E-8</v>
      </c>
      <c r="P31" s="40">
        <f t="shared" si="8"/>
        <v>1.6452046932515405E-4</v>
      </c>
      <c r="Q31" s="40">
        <f t="shared" si="9"/>
        <v>9.7195659001361333E-4</v>
      </c>
      <c r="R31" s="9">
        <f t="shared" si="14"/>
        <v>1.4999999999999999E-4</v>
      </c>
      <c r="S31" s="9">
        <f t="shared" si="12"/>
        <v>7.8944563015908802E-6</v>
      </c>
      <c r="T31" s="9">
        <f t="shared" si="10"/>
        <v>7.3303495322069916E-6</v>
      </c>
      <c r="U31" s="9">
        <f t="shared" si="11"/>
        <v>1.4210554369840911E-4</v>
      </c>
      <c r="V31" s="102">
        <f t="shared" si="13"/>
        <v>5.1583839317093837E-2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121</v>
      </c>
      <c r="C32" s="46" t="s">
        <v>122</v>
      </c>
      <c r="D32" s="47">
        <v>5.9183200000000005</v>
      </c>
      <c r="E32" s="47">
        <v>7.0401399999999992</v>
      </c>
      <c r="F32" s="98">
        <v>9.9999999999999995E-7</v>
      </c>
      <c r="G32" s="140"/>
      <c r="H32" s="140"/>
      <c r="I32" s="94">
        <f t="shared" si="1"/>
        <v>3.9109447814528924</v>
      </c>
      <c r="J32" s="94">
        <f t="shared" si="2"/>
        <v>6.2446121134706578</v>
      </c>
      <c r="K32" s="95">
        <f t="shared" si="3"/>
        <v>1.1424154618837859E-4</v>
      </c>
      <c r="L32" s="95">
        <f t="shared" si="4"/>
        <v>6.4541886661132877E-2</v>
      </c>
      <c r="M32" s="95">
        <f t="shared" si="5"/>
        <v>0.93545811333886708</v>
      </c>
      <c r="N32" s="95">
        <f t="shared" si="6"/>
        <v>5.7234499222287141E-2</v>
      </c>
      <c r="O32" s="40">
        <f t="shared" si="7"/>
        <v>1.1487314638141459E-10</v>
      </c>
      <c r="P32" s="40">
        <f t="shared" si="8"/>
        <v>2.0175793770270138E-4</v>
      </c>
      <c r="Q32" s="40">
        <f t="shared" si="9"/>
        <v>1.2599651025976732E-3</v>
      </c>
      <c r="R32" s="9">
        <f t="shared" si="14"/>
        <v>1.4999999999999999E-4</v>
      </c>
      <c r="S32" s="9">
        <f t="shared" si="12"/>
        <v>9.6812829991699316E-6</v>
      </c>
      <c r="T32" s="9">
        <f t="shared" si="10"/>
        <v>1.7136231928256786E-8</v>
      </c>
      <c r="U32" s="9">
        <f t="shared" si="11"/>
        <v>1.4031871700083005E-4</v>
      </c>
      <c r="V32" s="102">
        <f t="shared" si="13"/>
        <v>1.2212363606599552E-4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123</v>
      </c>
      <c r="C33" s="96" t="s">
        <v>124</v>
      </c>
      <c r="D33" s="97">
        <v>5.5295200000000007</v>
      </c>
      <c r="E33" s="97">
        <v>6.5305900000000001</v>
      </c>
      <c r="F33" s="98">
        <v>9.9999999999999995E-7</v>
      </c>
      <c r="G33" s="140"/>
      <c r="H33" s="140"/>
      <c r="I33" s="94">
        <f t="shared" si="1"/>
        <v>3.4646398062685488</v>
      </c>
      <c r="J33" s="94">
        <f t="shared" si="2"/>
        <v>5.7505440288504071</v>
      </c>
      <c r="K33" s="95">
        <f t="shared" si="3"/>
        <v>3.2140908971869773E-4</v>
      </c>
      <c r="L33" s="95">
        <f t="shared" si="4"/>
        <v>5.8211347708317866E-2</v>
      </c>
      <c r="M33" s="95">
        <f t="shared" si="5"/>
        <v>0.94178865229168218</v>
      </c>
      <c r="N33" s="95">
        <f t="shared" si="6"/>
        <v>4.9812916465405914E-2</v>
      </c>
      <c r="O33" s="40">
        <f t="shared" si="7"/>
        <v>3.2318604433707368E-10</v>
      </c>
      <c r="P33" s="40">
        <f t="shared" si="8"/>
        <v>1.8196867293620171E-4</v>
      </c>
      <c r="Q33" s="40">
        <f t="shared" si="9"/>
        <v>1.0965857526116824E-3</v>
      </c>
      <c r="R33" s="9">
        <f t="shared" si="14"/>
        <v>1.4999999999999999E-4</v>
      </c>
      <c r="S33" s="9">
        <f t="shared" si="12"/>
        <v>8.7317021562476787E-6</v>
      </c>
      <c r="T33" s="9">
        <f t="shared" si="10"/>
        <v>4.8211363457804659E-8</v>
      </c>
      <c r="U33" s="9">
        <f t="shared" si="11"/>
        <v>1.4126829784375232E-4</v>
      </c>
      <c r="V33" s="102">
        <f t="shared" si="13"/>
        <v>3.4127517775522513E-4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125</v>
      </c>
      <c r="C34" s="46" t="s">
        <v>126</v>
      </c>
      <c r="D34" s="91">
        <v>5.4845040000000003</v>
      </c>
      <c r="E34" s="91">
        <v>6.5678879999999999</v>
      </c>
      <c r="F34" s="98">
        <v>9.9999999999999995E-7</v>
      </c>
      <c r="G34" s="140"/>
      <c r="H34" s="140"/>
      <c r="I34" s="94">
        <f t="shared" si="1"/>
        <v>3.4579829545014036</v>
      </c>
      <c r="J34" s="94">
        <f t="shared" si="2"/>
        <v>5.7768867999222078</v>
      </c>
      <c r="K34" s="95">
        <f t="shared" si="3"/>
        <v>3.248805865753529E-4</v>
      </c>
      <c r="L34" s="95">
        <f t="shared" si="4"/>
        <v>6.251957701053551E-2</v>
      </c>
      <c r="M34" s="95">
        <f t="shared" si="5"/>
        <v>0.93748042298946443</v>
      </c>
      <c r="N34" s="95">
        <f t="shared" si="6"/>
        <v>5.4866287580336716E-2</v>
      </c>
      <c r="O34" s="40">
        <f t="shared" si="7"/>
        <v>3.2667673384437087E-10</v>
      </c>
      <c r="P34" s="40">
        <f t="shared" si="8"/>
        <v>1.954361977349342E-4</v>
      </c>
      <c r="Q34" s="40">
        <f t="shared" si="9"/>
        <v>1.2078310913812157E-3</v>
      </c>
      <c r="R34" s="9">
        <f t="shared" si="14"/>
        <v>1.4999999999999999E-4</v>
      </c>
      <c r="S34" s="9">
        <f t="shared" si="12"/>
        <v>9.3779365515803257E-6</v>
      </c>
      <c r="T34" s="9">
        <f t="shared" si="10"/>
        <v>4.8732087986302932E-8</v>
      </c>
      <c r="U34" s="9">
        <f t="shared" si="11"/>
        <v>1.4062206344841966E-4</v>
      </c>
      <c r="V34" s="102">
        <f t="shared" si="13"/>
        <v>3.4654652898176197E-4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127</v>
      </c>
      <c r="C35" s="46" t="s">
        <v>128</v>
      </c>
      <c r="D35" s="91">
        <v>2.7195840000000011</v>
      </c>
      <c r="E35" s="91">
        <v>3.2500779999999994</v>
      </c>
      <c r="F35" s="98">
        <v>9.9999999999999995E-7</v>
      </c>
      <c r="G35" s="140"/>
      <c r="H35" s="140"/>
      <c r="I35" s="94">
        <f t="shared" si="1"/>
        <v>0.62193942428688143</v>
      </c>
      <c r="J35" s="94">
        <f t="shared" si="2"/>
        <v>2.5786532271571372</v>
      </c>
      <c r="K35" s="95">
        <f t="shared" si="3"/>
        <v>0.23088980418888413</v>
      </c>
      <c r="L35" s="95">
        <f t="shared" si="4"/>
        <v>2.8149031244770722E-2</v>
      </c>
      <c r="M35" s="95">
        <f t="shared" si="5"/>
        <v>0.97185096875522925</v>
      </c>
      <c r="N35" s="95">
        <f t="shared" si="6"/>
        <v>1.8757569762079689E-2</v>
      </c>
      <c r="O35" s="40">
        <f t="shared" si="7"/>
        <v>2.3216631041416994E-7</v>
      </c>
      <c r="P35" s="40">
        <f t="shared" si="8"/>
        <v>8.799387167115329E-5</v>
      </c>
      <c r="Q35" s="40">
        <f t="shared" si="9"/>
        <v>4.1293072588916279E-4</v>
      </c>
      <c r="R35" s="9">
        <f t="shared" si="14"/>
        <v>1.4999999999999999E-4</v>
      </c>
      <c r="S35" s="9">
        <f t="shared" si="12"/>
        <v>4.2223546867156079E-6</v>
      </c>
      <c r="T35" s="9">
        <f t="shared" si="10"/>
        <v>3.4633470628332616E-5</v>
      </c>
      <c r="U35" s="9">
        <f t="shared" si="11"/>
        <v>1.4577764531328437E-4</v>
      </c>
      <c r="V35" s="102">
        <f t="shared" si="13"/>
        <v>0.23757737720281691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81</v>
      </c>
      <c r="C36" s="46" t="s">
        <v>82</v>
      </c>
      <c r="D36" s="47">
        <v>7.5547280000000008</v>
      </c>
      <c r="E36" s="47">
        <v>9.7459910000000001</v>
      </c>
      <c r="F36" s="98">
        <v>9.9999999999999995E-7</v>
      </c>
      <c r="G36" s="140"/>
      <c r="H36" s="140"/>
      <c r="I36" s="94">
        <f t="shared" si="1"/>
        <v>6.3597288158186656</v>
      </c>
      <c r="J36" s="94">
        <f t="shared" si="2"/>
        <v>8.902979282626525</v>
      </c>
      <c r="K36" s="95">
        <f t="shared" si="3"/>
        <v>3.9083475912779749E-7</v>
      </c>
      <c r="L36" s="95">
        <f t="shared" si="4"/>
        <v>0.10054904131083969</v>
      </c>
      <c r="M36" s="95">
        <f t="shared" si="5"/>
        <v>0.89945095868916036</v>
      </c>
      <c r="N36" s="95">
        <f t="shared" si="6"/>
        <v>9.9466765568629781E-2</v>
      </c>
      <c r="O36" s="40">
        <f t="shared" si="7"/>
        <v>3.9299554316430947E-13</v>
      </c>
      <c r="P36" s="40">
        <f t="shared" si="8"/>
        <v>3.1431630313768534E-4</v>
      </c>
      <c r="Q36" s="40">
        <f t="shared" si="9"/>
        <v>2.1896697828699767E-3</v>
      </c>
      <c r="R36" s="9">
        <f t="shared" si="14"/>
        <v>1.4999999999999999E-4</v>
      </c>
      <c r="S36" s="9">
        <f t="shared" si="12"/>
        <v>1.5082356196625952E-5</v>
      </c>
      <c r="T36" s="9">
        <f t="shared" si="10"/>
        <v>5.8625213869169623E-11</v>
      </c>
      <c r="U36" s="9">
        <f t="shared" si="11"/>
        <v>1.3491764380337405E-4</v>
      </c>
      <c r="V36" s="102">
        <f t="shared" si="13"/>
        <v>4.3452592423425877E-7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129</v>
      </c>
      <c r="C37" s="96" t="s">
        <v>130</v>
      </c>
      <c r="D37" s="97">
        <v>4.10616</v>
      </c>
      <c r="E37" s="97">
        <v>5.1108449999999994</v>
      </c>
      <c r="F37" s="98">
        <v>9.9999999999999995E-7</v>
      </c>
      <c r="G37" s="140"/>
      <c r="H37" s="140"/>
      <c r="I37" s="94">
        <f t="shared" si="1"/>
        <v>2.0466328175843658</v>
      </c>
      <c r="J37" s="94">
        <f t="shared" si="2"/>
        <v>4.3302914014280267</v>
      </c>
      <c r="K37" s="95">
        <f t="shared" si="3"/>
        <v>8.4177407723229208E-3</v>
      </c>
      <c r="L37" s="95">
        <f t="shared" si="4"/>
        <v>5.7928518175656474E-2</v>
      </c>
      <c r="M37" s="95">
        <f t="shared" si="5"/>
        <v>0.94207148182434353</v>
      </c>
      <c r="N37" s="95">
        <f t="shared" si="6"/>
        <v>4.9628867187748657E-2</v>
      </c>
      <c r="O37" s="40">
        <f t="shared" si="7"/>
        <v>8.4642794167488228E-9</v>
      </c>
      <c r="P37" s="40">
        <f t="shared" si="8"/>
        <v>1.8108454781710237E-4</v>
      </c>
      <c r="Q37" s="40">
        <f t="shared" si="9"/>
        <v>1.0925340762598754E-3</v>
      </c>
      <c r="R37" s="9">
        <f t="shared" si="14"/>
        <v>1.4999999999999999E-4</v>
      </c>
      <c r="S37" s="9">
        <f t="shared" si="12"/>
        <v>8.6892777263484709E-6</v>
      </c>
      <c r="T37" s="9">
        <f t="shared" si="10"/>
        <v>1.262661115848438E-6</v>
      </c>
      <c r="U37" s="9">
        <f t="shared" si="11"/>
        <v>1.4131072227365152E-4</v>
      </c>
      <c r="V37" s="102">
        <f t="shared" si="13"/>
        <v>8.9353525021495916E-3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131</v>
      </c>
      <c r="C38" s="46" t="s">
        <v>132</v>
      </c>
      <c r="D38" s="91">
        <v>2.8295519999999996</v>
      </c>
      <c r="E38" s="91">
        <v>3.5791989999999991</v>
      </c>
      <c r="F38" s="98">
        <v>9.9999999999999995E-7</v>
      </c>
      <c r="G38" s="140"/>
      <c r="H38" s="140"/>
      <c r="I38" s="94">
        <f t="shared" si="1"/>
        <v>0.75425121724867172</v>
      </c>
      <c r="J38" s="94">
        <f t="shared" si="2"/>
        <v>2.8460801477665378</v>
      </c>
      <c r="K38" s="95">
        <f t="shared" si="3"/>
        <v>0.16852109881599417</v>
      </c>
      <c r="L38" s="95">
        <f t="shared" si="4"/>
        <v>3.8031188752446599E-2</v>
      </c>
      <c r="M38" s="95">
        <f t="shared" si="5"/>
        <v>0.9619688112475534</v>
      </c>
      <c r="N38" s="95">
        <f t="shared" si="6"/>
        <v>2.9211045225476063E-2</v>
      </c>
      <c r="O38" s="40">
        <f t="shared" si="7"/>
        <v>1.6945279102512542E-7</v>
      </c>
      <c r="P38" s="40">
        <f t="shared" si="8"/>
        <v>1.1888549604014806E-4</v>
      </c>
      <c r="Q38" s="40">
        <f t="shared" si="9"/>
        <v>6.4305441813266326E-4</v>
      </c>
      <c r="R38" s="9">
        <f t="shared" si="14"/>
        <v>1.4999999999999999E-4</v>
      </c>
      <c r="S38" s="9">
        <f t="shared" si="12"/>
        <v>5.7046783128669889E-6</v>
      </c>
      <c r="T38" s="9">
        <f t="shared" si="10"/>
        <v>2.5278164822399125E-5</v>
      </c>
      <c r="U38" s="9">
        <f t="shared" si="11"/>
        <v>1.44295321687133E-4</v>
      </c>
      <c r="V38" s="102">
        <f t="shared" si="13"/>
        <v>0.17518353697709113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83</v>
      </c>
      <c r="C39" s="46" t="s">
        <v>84</v>
      </c>
      <c r="D39" s="91">
        <v>-2.3039999999996397E-3</v>
      </c>
      <c r="E39" s="91">
        <v>-1.314813</v>
      </c>
      <c r="F39" s="98">
        <v>9.9999999999999995E-7</v>
      </c>
      <c r="G39" s="140"/>
      <c r="H39" s="140"/>
      <c r="I39" s="94">
        <f t="shared" si="1"/>
        <v>-1.6810051832329899E-4</v>
      </c>
      <c r="J39" s="94">
        <f t="shared" si="2"/>
        <v>-6.3683170976411435E-2</v>
      </c>
      <c r="K39" s="95">
        <f t="shared" si="3"/>
        <v>0.99493007526061683</v>
      </c>
      <c r="L39" s="95">
        <f t="shared" si="4"/>
        <v>2.7638524782941631E-4</v>
      </c>
      <c r="M39" s="95">
        <f t="shared" si="5"/>
        <v>0.99972361475217053</v>
      </c>
      <c r="N39" s="95">
        <f t="shared" si="6"/>
        <v>2.2012703000391129E-6</v>
      </c>
      <c r="O39" s="40">
        <f t="shared" si="7"/>
        <v>1.0004306838269235E-6</v>
      </c>
      <c r="P39" s="40">
        <f t="shared" si="8"/>
        <v>8.6398028471475526E-7</v>
      </c>
      <c r="Q39" s="40">
        <f t="shared" si="9"/>
        <v>4.8458950407903289E-8</v>
      </c>
      <c r="R39" s="9">
        <f t="shared" si="14"/>
        <v>1.4999999999999999E-4</v>
      </c>
      <c r="S39" s="9">
        <f t="shared" si="12"/>
        <v>4.1457787174412443E-8</v>
      </c>
      <c r="T39" s="9">
        <f t="shared" si="10"/>
        <v>1.4923951128909251E-4</v>
      </c>
      <c r="U39" s="9">
        <f t="shared" si="11"/>
        <v>1.4995854221282556E-4</v>
      </c>
      <c r="V39" s="102">
        <f t="shared" si="13"/>
        <v>0.99520513527857191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133</v>
      </c>
      <c r="C40" s="46" t="s">
        <v>134</v>
      </c>
      <c r="D40" s="47">
        <v>3.2352399999999997</v>
      </c>
      <c r="E40" s="47">
        <v>3.7544849999999994</v>
      </c>
      <c r="F40" s="98">
        <v>9.9999999999999995E-7</v>
      </c>
      <c r="G40" s="140"/>
      <c r="H40" s="140"/>
      <c r="I40" s="94">
        <f t="shared" si="1"/>
        <v>1.0570731161685156</v>
      </c>
      <c r="J40" s="94">
        <f t="shared" si="2"/>
        <v>3.0863447971892604</v>
      </c>
      <c r="K40" s="95">
        <f t="shared" si="3"/>
        <v>8.434391811356784E-2</v>
      </c>
      <c r="L40" s="95">
        <f t="shared" si="4"/>
        <v>3.3098174367456622E-2</v>
      </c>
      <c r="M40" s="95">
        <f t="shared" si="5"/>
        <v>0.96690182563254334</v>
      </c>
      <c r="N40" s="95">
        <f t="shared" si="6"/>
        <v>2.188933595298705E-2</v>
      </c>
      <c r="O40" s="40">
        <f t="shared" si="7"/>
        <v>8.4810225133555985E-8</v>
      </c>
      <c r="P40" s="40">
        <f t="shared" si="8"/>
        <v>1.0346489307266944E-4</v>
      </c>
      <c r="Q40" s="40">
        <f t="shared" si="9"/>
        <v>4.8187369147209525E-4</v>
      </c>
      <c r="R40" s="9">
        <f t="shared" si="14"/>
        <v>1.4999999999999999E-4</v>
      </c>
      <c r="S40" s="9">
        <f t="shared" si="12"/>
        <v>4.9647261551184925E-6</v>
      </c>
      <c r="T40" s="9">
        <f t="shared" si="10"/>
        <v>1.2651587717035174E-5</v>
      </c>
      <c r="U40" s="9">
        <f t="shared" si="11"/>
        <v>1.4503527384488149E-4</v>
      </c>
      <c r="V40" s="102">
        <f t="shared" si="13"/>
        <v>8.7231108554780501E-2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135</v>
      </c>
      <c r="C41" s="96" t="s">
        <v>136</v>
      </c>
      <c r="D41" s="97">
        <v>3.3303280000000011</v>
      </c>
      <c r="E41" s="97">
        <v>3.8215209999999997</v>
      </c>
      <c r="F41" s="98">
        <v>9.9999999999999995E-7</v>
      </c>
      <c r="G41" s="140"/>
      <c r="H41" s="140"/>
      <c r="I41" s="94">
        <f t="shared" si="1"/>
        <v>1.1393826628828596</v>
      </c>
      <c r="J41" s="94">
        <f t="shared" si="2"/>
        <v>3.1630398899948347</v>
      </c>
      <c r="K41" s="95">
        <f t="shared" si="3"/>
        <v>6.9811809764919741E-2</v>
      </c>
      <c r="L41" s="95">
        <f t="shared" si="4"/>
        <v>3.2686939340955005E-2</v>
      </c>
      <c r="M41" s="95">
        <f t="shared" si="5"/>
        <v>0.96731306065904499</v>
      </c>
      <c r="N41" s="95">
        <f t="shared" si="6"/>
        <v>2.1141885257890947E-2</v>
      </c>
      <c r="O41" s="40">
        <f t="shared" si="7"/>
        <v>7.0197774013434093E-8</v>
      </c>
      <c r="P41" s="40">
        <f t="shared" si="8"/>
        <v>1.0217937237982541E-4</v>
      </c>
      <c r="Q41" s="40">
        <f t="shared" si="9"/>
        <v>4.654192487054022E-4</v>
      </c>
      <c r="R41" s="9">
        <f t="shared" si="14"/>
        <v>1.4999999999999999E-4</v>
      </c>
      <c r="S41" s="9">
        <f t="shared" si="12"/>
        <v>4.9030409011432506E-6</v>
      </c>
      <c r="T41" s="9">
        <f t="shared" si="10"/>
        <v>1.047177146473796E-5</v>
      </c>
      <c r="U41" s="9">
        <f t="shared" si="11"/>
        <v>1.4509695909885673E-4</v>
      </c>
      <c r="V41" s="102">
        <f t="shared" si="13"/>
        <v>7.2170854094904813E-2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137</v>
      </c>
      <c r="C42" s="46" t="s">
        <v>138</v>
      </c>
      <c r="D42" s="91">
        <v>4.4202640000000004</v>
      </c>
      <c r="E42" s="91">
        <v>5.6388380000000007</v>
      </c>
      <c r="F42" s="98">
        <v>9.9999999999999995E-7</v>
      </c>
      <c r="G42" s="140"/>
      <c r="H42" s="140"/>
      <c r="I42" s="94">
        <f t="shared" si="1"/>
        <v>2.466507651261447</v>
      </c>
      <c r="J42" s="94">
        <f t="shared" si="2"/>
        <v>4.8333812334786872</v>
      </c>
      <c r="K42" s="95">
        <f t="shared" si="3"/>
        <v>3.1625662863575361E-3</v>
      </c>
      <c r="L42" s="95">
        <f t="shared" si="4"/>
        <v>6.9314858490989562E-2</v>
      </c>
      <c r="M42" s="95">
        <f t="shared" si="5"/>
        <v>0.93068514150901049</v>
      </c>
      <c r="N42" s="95">
        <f t="shared" si="6"/>
        <v>6.2888531231261299E-2</v>
      </c>
      <c r="O42" s="40">
        <f t="shared" si="7"/>
        <v>3.1800509716020685E-9</v>
      </c>
      <c r="P42" s="40">
        <f t="shared" si="8"/>
        <v>2.1667824764283347E-4</v>
      </c>
      <c r="Q42" s="40">
        <f t="shared" si="9"/>
        <v>1.3844334410487524E-3</v>
      </c>
      <c r="R42" s="9">
        <f t="shared" si="14"/>
        <v>1.4999999999999999E-4</v>
      </c>
      <c r="S42" s="9">
        <f t="shared" si="12"/>
        <v>1.0397228773648433E-5</v>
      </c>
      <c r="T42" s="9">
        <f t="shared" si="10"/>
        <v>4.7438494295363037E-7</v>
      </c>
      <c r="U42" s="9">
        <f t="shared" si="11"/>
        <v>1.3960277122635156E-4</v>
      </c>
      <c r="V42" s="102">
        <f t="shared" si="13"/>
        <v>3.3981054873507052E-3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139</v>
      </c>
      <c r="C43" s="46" t="s">
        <v>140</v>
      </c>
      <c r="D43" s="91">
        <v>4.2752879999999998</v>
      </c>
      <c r="E43" s="91">
        <v>5.3084609999999994</v>
      </c>
      <c r="F43" s="98">
        <v>9.9999999999999995E-7</v>
      </c>
      <c r="G43" s="140"/>
      <c r="H43" s="140"/>
      <c r="I43" s="94">
        <f t="shared" si="1"/>
        <v>2.2273249528367836</v>
      </c>
      <c r="J43" s="94">
        <f t="shared" si="2"/>
        <v>4.5239348971579787</v>
      </c>
      <c r="K43" s="95">
        <f t="shared" si="3"/>
        <v>5.542969985959407E-3</v>
      </c>
      <c r="L43" s="95">
        <f t="shared" si="4"/>
        <v>5.957758496087117E-2</v>
      </c>
      <c r="M43" s="95">
        <f t="shared" si="5"/>
        <v>0.94042241503912882</v>
      </c>
      <c r="N43" s="95">
        <f t="shared" si="6"/>
        <v>5.151068697187227E-2</v>
      </c>
      <c r="O43" s="40">
        <f t="shared" si="7"/>
        <v>5.5736150623780305E-9</v>
      </c>
      <c r="P43" s="40">
        <f t="shared" si="8"/>
        <v>1.8623953058768345E-4</v>
      </c>
      <c r="Q43" s="40">
        <f t="shared" si="9"/>
        <v>1.1339606160145968E-3</v>
      </c>
      <c r="R43" s="9">
        <f t="shared" si="14"/>
        <v>1.4999999999999999E-4</v>
      </c>
      <c r="S43" s="9">
        <f t="shared" si="12"/>
        <v>8.936637744130675E-6</v>
      </c>
      <c r="T43" s="9">
        <f t="shared" si="10"/>
        <v>8.31445497893911E-7</v>
      </c>
      <c r="U43" s="9">
        <f t="shared" si="11"/>
        <v>1.4106336225586932E-4</v>
      </c>
      <c r="V43" s="102">
        <f t="shared" si="13"/>
        <v>5.894127891165564E-3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85</v>
      </c>
      <c r="C44" s="46" t="s">
        <v>86</v>
      </c>
      <c r="D44" s="91">
        <v>2.7665919999999997</v>
      </c>
      <c r="E44" s="91">
        <v>3.5255839999999989</v>
      </c>
      <c r="F44" s="98">
        <v>9.9999999999999995E-7</v>
      </c>
      <c r="G44" s="140"/>
      <c r="H44" s="140"/>
      <c r="I44" s="94">
        <f t="shared" si="1"/>
        <v>0.70532975413914467</v>
      </c>
      <c r="J44" s="94">
        <f t="shared" si="2"/>
        <v>2.7903744043145644</v>
      </c>
      <c r="K44" s="95">
        <f t="shared" si="3"/>
        <v>0.1887260412829313</v>
      </c>
      <c r="L44" s="95">
        <f t="shared" si="4"/>
        <v>3.7463789542018781E-2</v>
      </c>
      <c r="M44" s="95">
        <f t="shared" si="5"/>
        <v>0.96253621045798121</v>
      </c>
      <c r="N44" s="95">
        <f t="shared" si="6"/>
        <v>2.8914097765456087E-2</v>
      </c>
      <c r="O44" s="40">
        <f t="shared" si="7"/>
        <v>1.8976943931177683E-7</v>
      </c>
      <c r="P44" s="40">
        <f t="shared" si="8"/>
        <v>1.1711180610835068E-4</v>
      </c>
      <c r="Q44" s="40">
        <f t="shared" si="9"/>
        <v>6.3651739165363191E-4</v>
      </c>
      <c r="R44" s="9">
        <f t="shared" si="14"/>
        <v>1.4999999999999999E-4</v>
      </c>
      <c r="S44" s="9">
        <f t="shared" si="12"/>
        <v>5.6195684313028167E-6</v>
      </c>
      <c r="T44" s="9">
        <f t="shared" si="10"/>
        <v>2.8308906192439691E-5</v>
      </c>
      <c r="U44" s="9">
        <f t="shared" si="11"/>
        <v>1.4438043156869717E-4</v>
      </c>
      <c r="V44" s="102">
        <f t="shared" si="13"/>
        <v>0.19607162746961404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141</v>
      </c>
      <c r="C45" s="46" t="s">
        <v>142</v>
      </c>
      <c r="D45" s="91">
        <v>4.4687359999999998</v>
      </c>
      <c r="E45" s="91">
        <v>5.2666120000000003</v>
      </c>
      <c r="F45" s="98">
        <v>9.9999999999999995E-7</v>
      </c>
      <c r="G45" s="140"/>
      <c r="H45" s="140"/>
      <c r="I45" s="94">
        <f t="shared" si="1"/>
        <v>2.3272580136650043</v>
      </c>
      <c r="J45" s="94">
        <f t="shared" si="2"/>
        <v>4.522432495717549</v>
      </c>
      <c r="K45" s="95">
        <f t="shared" si="3"/>
        <v>4.4589499879426394E-3</v>
      </c>
      <c r="L45" s="95">
        <f t="shared" si="4"/>
        <v>4.7760687260334375E-2</v>
      </c>
      <c r="M45" s="95">
        <f t="shared" si="5"/>
        <v>0.95223931273966567</v>
      </c>
      <c r="N45" s="95">
        <f t="shared" si="6"/>
        <v>3.7630363731082334E-2</v>
      </c>
      <c r="O45" s="40">
        <f t="shared" si="7"/>
        <v>4.4836019098317086E-9</v>
      </c>
      <c r="P45" s="40">
        <f t="shared" si="8"/>
        <v>1.4929990837580522E-4</v>
      </c>
      <c r="Q45" s="40">
        <f t="shared" si="9"/>
        <v>8.2839800720678426E-4</v>
      </c>
      <c r="R45" s="9">
        <f t="shared" si="14"/>
        <v>1.4999999999999999E-4</v>
      </c>
      <c r="S45" s="9">
        <f t="shared" si="12"/>
        <v>7.1641030890501556E-6</v>
      </c>
      <c r="T45" s="9">
        <f t="shared" si="10"/>
        <v>6.6884249819139584E-7</v>
      </c>
      <c r="U45" s="9">
        <f t="shared" si="11"/>
        <v>1.4283589691094984E-4</v>
      </c>
      <c r="V45" s="102">
        <f t="shared" si="13"/>
        <v>4.6825938903046309E-3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87</v>
      </c>
      <c r="C46" s="46" t="s">
        <v>88</v>
      </c>
      <c r="D46" s="93">
        <v>2.6972559999999999</v>
      </c>
      <c r="E46" s="93">
        <v>3.431432</v>
      </c>
      <c r="F46" s="98">
        <v>9.9999999999999995E-7</v>
      </c>
      <c r="G46" s="140"/>
      <c r="H46" s="140"/>
      <c r="I46" s="94">
        <f t="shared" si="1"/>
        <v>0.64458903464573347</v>
      </c>
      <c r="J46" s="94">
        <f t="shared" si="2"/>
        <v>2.7020905339390611</v>
      </c>
      <c r="K46" s="95">
        <f t="shared" si="3"/>
        <v>0.21755723632927393</v>
      </c>
      <c r="L46" s="95">
        <f t="shared" si="4"/>
        <v>3.5242729594801778E-2</v>
      </c>
      <c r="M46" s="95">
        <f t="shared" si="5"/>
        <v>0.96475727040519821</v>
      </c>
      <c r="N46" s="95">
        <f t="shared" si="6"/>
        <v>2.6834860882359354E-2</v>
      </c>
      <c r="O46" s="40">
        <f t="shared" si="7"/>
        <v>2.1876003160863197E-7</v>
      </c>
      <c r="P46" s="40">
        <f t="shared" si="8"/>
        <v>1.1016877271335037E-4</v>
      </c>
      <c r="Q46" s="40">
        <f t="shared" si="9"/>
        <v>5.9074489519898138E-4</v>
      </c>
      <c r="R46" s="9">
        <f t="shared" si="14"/>
        <v>1.4999999999999999E-4</v>
      </c>
      <c r="S46" s="9">
        <f t="shared" si="12"/>
        <v>5.2864094392202658E-6</v>
      </c>
      <c r="T46" s="9">
        <f t="shared" si="10"/>
        <v>3.2633585449391085E-5</v>
      </c>
      <c r="U46" s="9">
        <f t="shared" si="11"/>
        <v>1.4471359056077973E-4</v>
      </c>
      <c r="V46" s="102">
        <f t="shared" si="13"/>
        <v>0.22550463521036732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143</v>
      </c>
      <c r="C47" s="46" t="s">
        <v>144</v>
      </c>
      <c r="D47" s="91">
        <v>3.859360000000001</v>
      </c>
      <c r="E47" s="91">
        <v>4.2614199999999993</v>
      </c>
      <c r="F47" s="98">
        <v>9.9999999999999995E-7</v>
      </c>
      <c r="G47" s="140"/>
      <c r="H47" s="140"/>
      <c r="I47" s="94">
        <f t="shared" si="1"/>
        <v>1.6299602750984028</v>
      </c>
      <c r="J47" s="94">
        <f t="shared" si="2"/>
        <v>3.6364018134902829</v>
      </c>
      <c r="K47" s="95">
        <f t="shared" si="3"/>
        <v>2.2589330303768067E-2</v>
      </c>
      <c r="L47" s="95">
        <f t="shared" si="4"/>
        <v>3.1456517417758824E-2</v>
      </c>
      <c r="M47" s="95">
        <f t="shared" si="5"/>
        <v>0.96854348258224121</v>
      </c>
      <c r="N47" s="95">
        <f t="shared" si="6"/>
        <v>1.8837235646558152E-2</v>
      </c>
      <c r="O47" s="40">
        <f t="shared" si="7"/>
        <v>2.2714218541510295E-8</v>
      </c>
      <c r="P47" s="40">
        <f t="shared" si="8"/>
        <v>9.8333073447914141E-5</v>
      </c>
      <c r="Q47" s="40">
        <f t="shared" si="9"/>
        <v>4.1468449740239988E-4</v>
      </c>
      <c r="R47" s="9">
        <f t="shared" si="14"/>
        <v>1.4999999999999999E-4</v>
      </c>
      <c r="S47" s="9">
        <f t="shared" si="12"/>
        <v>4.7184776126638234E-6</v>
      </c>
      <c r="T47" s="9">
        <f t="shared" si="10"/>
        <v>3.3883995455652098E-6</v>
      </c>
      <c r="U47" s="9">
        <f t="shared" si="11"/>
        <v>1.4528152238733617E-4</v>
      </c>
      <c r="V47" s="102">
        <f t="shared" si="13"/>
        <v>2.3322990356140213E-2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145</v>
      </c>
      <c r="C48" s="46" t="s">
        <v>146</v>
      </c>
      <c r="D48" s="91">
        <v>2.0184960000000003</v>
      </c>
      <c r="E48" s="91">
        <v>2.3512620000000002</v>
      </c>
      <c r="F48" s="98">
        <v>9.9999999999999995E-7</v>
      </c>
      <c r="G48" s="140"/>
      <c r="H48" s="140"/>
      <c r="I48" s="94">
        <f t="shared" ref="I48:I50" si="15">IF(D48=0,"",LOG($K$15*10^D48+$K$16*10^E48+$K$14))</f>
        <v>0.19893820408979257</v>
      </c>
      <c r="J48" s="94">
        <f t="shared" ref="J48:J50" si="16">IF(D48=0,"",LOG($K$21*10^D48+$K$22*10^E48+$K$20))</f>
        <v>1.7600042430072071</v>
      </c>
      <c r="K48" s="95">
        <f t="shared" ref="K48:K50" si="17">IF(D48=0,"",1/(1+10^D48*$J$15/$J$14+10^E48*$J$16/$J$14+10^J48*$J$19/$J$14))</f>
        <v>0.62198123647493886</v>
      </c>
      <c r="L48" s="95">
        <f t="shared" ref="L48:L50" si="18">IF(D48=0,"",1/(1+10^I48/10^J48*$J$13/$J$19))</f>
        <v>1.1512960029801837E-2</v>
      </c>
      <c r="M48" s="95">
        <f t="shared" ref="M48:M92" si="19">IF(D48=0,"",1-L48)</f>
        <v>0.98848703997019816</v>
      </c>
      <c r="N48" s="95">
        <f t="shared" ref="N48:N50" si="20">IF(D48=0,"",1/(1/10^E48*$J$20/$J$22+10^D48/10^E48*$J$21/$J$22+10^I48/10^E48*$J$13/$J$22+1))</f>
        <v>6.3787135298081681E-3</v>
      </c>
      <c r="O48" s="40">
        <f t="shared" ref="O48:O92" si="21">IF(D48=0,"",F48*K48*$J$7/$J$14)</f>
        <v>6.2541994578980201E-7</v>
      </c>
      <c r="P48" s="40">
        <f t="shared" ref="P48:P50" si="22">IF(D48=0,"",O48*10^J48)</f>
        <v>3.5989513053160534E-5</v>
      </c>
      <c r="Q48" s="40">
        <f t="shared" ref="Q48:Q50" si="23">IF(D48=0,"",F48*N48*$J$7/$J$22)</f>
        <v>1.4042153869141084E-4</v>
      </c>
      <c r="R48" s="9">
        <f t="shared" si="14"/>
        <v>1.4999999999999999E-4</v>
      </c>
      <c r="S48" s="9">
        <f t="shared" si="12"/>
        <v>1.7269440044702753E-6</v>
      </c>
      <c r="T48" s="9">
        <f t="shared" si="10"/>
        <v>9.3297185471240821E-5</v>
      </c>
      <c r="U48" s="9">
        <f t="shared" si="11"/>
        <v>1.482730559955297E-4</v>
      </c>
      <c r="V48" s="102">
        <f t="shared" si="13"/>
        <v>0.62922548432571346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147</v>
      </c>
      <c r="C49" s="46" t="s">
        <v>148</v>
      </c>
      <c r="D49" s="91">
        <v>1.4665360000000003</v>
      </c>
      <c r="E49" s="91">
        <v>1.8522119999999997</v>
      </c>
      <c r="F49" s="98">
        <v>9.9999999999999995E-7</v>
      </c>
      <c r="G49" s="140"/>
      <c r="H49" s="140"/>
      <c r="I49" s="94">
        <f t="shared" si="15"/>
        <v>6.5352597387686409E-2</v>
      </c>
      <c r="J49" s="94">
        <f t="shared" si="16"/>
        <v>1.2491688866071173</v>
      </c>
      <c r="K49" s="95">
        <f t="shared" si="17"/>
        <v>0.85167726160576551</v>
      </c>
      <c r="L49" s="95">
        <f t="shared" si="18"/>
        <v>4.8623857455447053E-3</v>
      </c>
      <c r="M49" s="95">
        <f t="shared" si="19"/>
        <v>0.99513761425445535</v>
      </c>
      <c r="N49" s="95">
        <f t="shared" si="20"/>
        <v>2.7680942127064367E-3</v>
      </c>
      <c r="O49" s="40">
        <f t="shared" si="21"/>
        <v>8.5638587717323664E-7</v>
      </c>
      <c r="P49" s="40">
        <f t="shared" si="22"/>
        <v>1.5199817840572748E-5</v>
      </c>
      <c r="Q49" s="40">
        <f t="shared" si="23"/>
        <v>6.0937059921974097E-5</v>
      </c>
      <c r="R49" s="9">
        <f t="shared" si="14"/>
        <v>1.4999999999999999E-4</v>
      </c>
      <c r="S49" s="9">
        <f t="shared" si="12"/>
        <v>7.2935786183170576E-7</v>
      </c>
      <c r="T49" s="9">
        <f t="shared" si="10"/>
        <v>1.2775158924086482E-4</v>
      </c>
      <c r="U49" s="9">
        <f t="shared" si="11"/>
        <v>1.4927064213816828E-4</v>
      </c>
      <c r="V49" s="102">
        <f t="shared" si="13"/>
        <v>0.85583867940097058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149</v>
      </c>
      <c r="C50" s="46" t="s">
        <v>150</v>
      </c>
      <c r="D50" s="91"/>
      <c r="E50" s="91"/>
      <c r="F50" s="92"/>
      <c r="G50" s="140"/>
      <c r="H50" s="14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151</v>
      </c>
      <c r="C51" s="46" t="s">
        <v>152</v>
      </c>
      <c r="D51" s="91"/>
      <c r="E51" s="91"/>
      <c r="F51" s="92"/>
      <c r="G51" s="140"/>
      <c r="H51" s="14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153</v>
      </c>
      <c r="C52" s="46" t="s">
        <v>154</v>
      </c>
      <c r="D52" s="47"/>
      <c r="E52" s="47"/>
      <c r="F52" s="92"/>
      <c r="G52" s="140"/>
      <c r="H52" s="14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155</v>
      </c>
      <c r="C53" s="46" t="s">
        <v>156</v>
      </c>
      <c r="D53" s="47"/>
      <c r="E53" s="47"/>
      <c r="F53" s="92"/>
      <c r="G53" s="140"/>
      <c r="H53" s="14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157</v>
      </c>
      <c r="C54" s="46" t="s">
        <v>158</v>
      </c>
      <c r="D54" s="47"/>
      <c r="E54" s="47"/>
      <c r="F54" s="92"/>
      <c r="G54" s="140"/>
      <c r="H54" s="14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159</v>
      </c>
      <c r="C55" s="46" t="s">
        <v>160</v>
      </c>
      <c r="D55" s="47"/>
      <c r="E55" s="47"/>
      <c r="F55" s="57"/>
      <c r="G55" s="140"/>
      <c r="H55" s="14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161</v>
      </c>
      <c r="C56" s="46" t="s">
        <v>162</v>
      </c>
      <c r="D56" s="47"/>
      <c r="E56" s="47"/>
      <c r="F56" s="57"/>
      <c r="G56" s="140"/>
      <c r="H56" s="14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89</v>
      </c>
      <c r="C57" s="88" t="s">
        <v>90</v>
      </c>
      <c r="D57" s="91">
        <v>6.5247999999999973E-2</v>
      </c>
      <c r="E57" s="91">
        <v>8.2216000000000289E-2</v>
      </c>
      <c r="F57" s="98">
        <v>9.9999999999999995E-7</v>
      </c>
      <c r="G57" s="140"/>
      <c r="H57" s="140"/>
      <c r="I57" s="54">
        <f t="shared" si="24"/>
        <v>3.7217650281818146E-4</v>
      </c>
      <c r="J57" s="54">
        <f t="shared" si="25"/>
        <v>2.8775248633271713E-2</v>
      </c>
      <c r="K57" s="55">
        <f t="shared" si="26"/>
        <v>0.99362838525887609</v>
      </c>
      <c r="L57" s="55">
        <f t="shared" si="27"/>
        <v>3.4151100942992273E-4</v>
      </c>
      <c r="M57" s="55">
        <f t="shared" si="28"/>
        <v>0.99965848899057008</v>
      </c>
      <c r="N57" s="55">
        <f t="shared" si="29"/>
        <v>5.4844591304823273E-5</v>
      </c>
      <c r="O57" s="56">
        <f t="shared" si="30"/>
        <v>9.9912179725192377E-7</v>
      </c>
      <c r="P57" s="56">
        <f t="shared" si="31"/>
        <v>1.0675634154779382E-6</v>
      </c>
      <c r="Q57" s="56">
        <f t="shared" si="32"/>
        <v>1.2073534677385743E-6</v>
      </c>
      <c r="R57" s="9">
        <f t="shared" ref="R57:R58" si="33">F57*$C$14</f>
        <v>1.4999999999999999E-4</v>
      </c>
      <c r="S57" s="9">
        <f t="shared" ref="S57:S58" si="34">$R57*L57</f>
        <v>5.1226651414488403E-8</v>
      </c>
      <c r="T57" s="9">
        <f t="shared" ref="T57:T58" si="35">R57*K57</f>
        <v>1.4904425778883141E-4</v>
      </c>
      <c r="U57" s="9">
        <f t="shared" ref="U57:U58" si="36">$R57*M57</f>
        <v>1.4994877334858551E-4</v>
      </c>
      <c r="V57" s="102">
        <f t="shared" ref="V57:V58" si="37">K57/M57</f>
        <v>0.99396783621796381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163</v>
      </c>
      <c r="C58" s="46" t="s">
        <v>164</v>
      </c>
      <c r="D58" s="47">
        <v>2.1823520000000003</v>
      </c>
      <c r="E58" s="47">
        <v>2.5882690000000008</v>
      </c>
      <c r="F58" s="98">
        <v>9.9999999999999995E-7</v>
      </c>
      <c r="G58" s="140"/>
      <c r="H58" s="140"/>
      <c r="I58" s="54">
        <f t="shared" si="24"/>
        <v>0.27242732253974722</v>
      </c>
      <c r="J58" s="54">
        <f t="shared" si="25"/>
        <v>1.9645678547977998</v>
      </c>
      <c r="K58" s="55">
        <f t="shared" si="26"/>
        <v>0.52303433564587654</v>
      </c>
      <c r="L58" s="55">
        <f t="shared" si="27"/>
        <v>1.5506133733892657E-2</v>
      </c>
      <c r="M58" s="55">
        <f t="shared" si="28"/>
        <v>0.98449386626610735</v>
      </c>
      <c r="N58" s="55">
        <f t="shared" si="29"/>
        <v>9.2574849533667205E-3</v>
      </c>
      <c r="O58" s="56">
        <f t="shared" si="30"/>
        <v>5.2592600333053534E-7</v>
      </c>
      <c r="P58" s="56">
        <f t="shared" si="31"/>
        <v>4.8472174052148446E-5</v>
      </c>
      <c r="Q58" s="56">
        <f t="shared" si="32"/>
        <v>2.0379505608608713E-4</v>
      </c>
      <c r="R58" s="9">
        <f t="shared" si="33"/>
        <v>1.4999999999999999E-4</v>
      </c>
      <c r="S58" s="9">
        <f t="shared" si="34"/>
        <v>2.3259200600838982E-6</v>
      </c>
      <c r="T58" s="9">
        <f t="shared" si="35"/>
        <v>7.8455150346881477E-5</v>
      </c>
      <c r="U58" s="9">
        <f t="shared" si="36"/>
        <v>1.4767407993991608E-4</v>
      </c>
      <c r="V58" s="102">
        <f t="shared" si="37"/>
        <v>0.53127231521471063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165</v>
      </c>
      <c r="C59" s="46" t="s">
        <v>166</v>
      </c>
      <c r="D59" s="47"/>
      <c r="E59" s="47"/>
      <c r="F59" s="57"/>
      <c r="G59" s="140"/>
      <c r="H59" s="14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91</v>
      </c>
      <c r="C60" s="46" t="s">
        <v>92</v>
      </c>
      <c r="D60" s="47">
        <v>2.3628240000000003</v>
      </c>
      <c r="E60" s="47">
        <v>2.5674030000000005</v>
      </c>
      <c r="F60" s="98">
        <v>9.9999999999999995E-7</v>
      </c>
      <c r="G60" s="140"/>
      <c r="H60" s="140"/>
      <c r="I60" s="54">
        <f t="shared" si="24"/>
        <v>0.35062624883359406</v>
      </c>
      <c r="J60" s="54">
        <f t="shared" si="25"/>
        <v>2.0350331374712782</v>
      </c>
      <c r="K60" s="55">
        <f t="shared" si="26"/>
        <v>0.43696851665668424</v>
      </c>
      <c r="L60" s="55">
        <f t="shared" si="27"/>
        <v>1.5236624174587633E-2</v>
      </c>
      <c r="M60" s="55">
        <f t="shared" si="28"/>
        <v>0.9847633758254124</v>
      </c>
      <c r="N60" s="55">
        <f t="shared" si="29"/>
        <v>7.3713488091135268E-3</v>
      </c>
      <c r="O60" s="56">
        <f t="shared" si="30"/>
        <v>4.3938435755414477E-7</v>
      </c>
      <c r="P60" s="56">
        <f t="shared" si="31"/>
        <v>4.7629687169760934E-5</v>
      </c>
      <c r="Q60" s="56">
        <f t="shared" si="32"/>
        <v>1.6227349561471048E-4</v>
      </c>
      <c r="R60" s="9">
        <f t="shared" ref="R60:R65" si="38">F60*$C$14</f>
        <v>1.4999999999999999E-4</v>
      </c>
      <c r="S60" s="9">
        <f t="shared" ref="S60:S93" si="39">$R60*L60</f>
        <v>2.2854936261881446E-6</v>
      </c>
      <c r="T60" s="9">
        <f t="shared" ref="T60:T93" si="40">R60*K60</f>
        <v>6.5545277498502635E-5</v>
      </c>
      <c r="U60" s="9">
        <f t="shared" ref="U60:U93" si="41">$R60*M60</f>
        <v>1.4771450637381185E-4</v>
      </c>
      <c r="V60" s="102">
        <f t="shared" ref="V60:V93" si="42">K60/M60</f>
        <v>0.44372945560696186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93</v>
      </c>
      <c r="C61" s="46" t="s">
        <v>94</v>
      </c>
      <c r="D61" s="47">
        <v>3.2672240000000001</v>
      </c>
      <c r="E61" s="47">
        <v>3.6253630000000006</v>
      </c>
      <c r="F61" s="98">
        <v>9.9999999999999995E-7</v>
      </c>
      <c r="G61" s="140"/>
      <c r="H61" s="140"/>
      <c r="I61" s="54">
        <f t="shared" si="24"/>
        <v>1.0599296125914559</v>
      </c>
      <c r="J61" s="54">
        <f t="shared" si="25"/>
        <v>3.0186926757394756</v>
      </c>
      <c r="K61" s="55">
        <f t="shared" si="26"/>
        <v>8.4208658725280064E-2</v>
      </c>
      <c r="L61" s="55">
        <f t="shared" si="27"/>
        <v>2.8278404096565835E-2</v>
      </c>
      <c r="M61" s="55">
        <f t="shared" si="28"/>
        <v>0.97172159590343421</v>
      </c>
      <c r="N61" s="55">
        <f t="shared" si="29"/>
        <v>1.6233552312897997E-2</v>
      </c>
      <c r="O61" s="56">
        <f t="shared" si="30"/>
        <v>8.4674217945027394E-8</v>
      </c>
      <c r="P61" s="56">
        <f t="shared" si="31"/>
        <v>8.8398291205864831E-5</v>
      </c>
      <c r="Q61" s="56">
        <f t="shared" si="32"/>
        <v>3.5736679246562775E-4</v>
      </c>
      <c r="R61" s="9">
        <f t="shared" si="38"/>
        <v>1.4999999999999999E-4</v>
      </c>
      <c r="S61" s="9">
        <f t="shared" si="39"/>
        <v>4.241760614484875E-6</v>
      </c>
      <c r="T61" s="9">
        <f t="shared" si="40"/>
        <v>1.2631298808792008E-5</v>
      </c>
      <c r="U61" s="9">
        <f t="shared" si="41"/>
        <v>1.4575823938551511E-4</v>
      </c>
      <c r="V61" s="102">
        <f t="shared" si="42"/>
        <v>8.6659243841327963E-2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167</v>
      </c>
      <c r="C62" s="46" t="s">
        <v>111</v>
      </c>
      <c r="D62" s="47">
        <v>2.9091840000000002</v>
      </c>
      <c r="E62" s="47">
        <v>3.4102429999999995</v>
      </c>
      <c r="F62" s="98">
        <v>9.9999999999999995E-7</v>
      </c>
      <c r="G62" s="140"/>
      <c r="H62" s="140"/>
      <c r="I62" s="54">
        <f t="shared" si="24"/>
        <v>0.76837016932652724</v>
      </c>
      <c r="J62" s="54">
        <f t="shared" si="25"/>
        <v>2.7486001130708546</v>
      </c>
      <c r="K62" s="55">
        <f t="shared" si="26"/>
        <v>0.16454865479754879</v>
      </c>
      <c r="L62" s="55">
        <f t="shared" si="27"/>
        <v>2.9668795823428858E-2</v>
      </c>
      <c r="M62" s="55">
        <f t="shared" si="28"/>
        <v>0.97033120417657115</v>
      </c>
      <c r="N62" s="55">
        <f t="shared" si="29"/>
        <v>1.9329968715295499E-2</v>
      </c>
      <c r="O62" s="56">
        <f t="shared" si="30"/>
        <v>1.6545838480034983E-7</v>
      </c>
      <c r="P62" s="56">
        <f t="shared" si="31"/>
        <v>9.2744655744038664E-5</v>
      </c>
      <c r="Q62" s="56">
        <f t="shared" si="32"/>
        <v>4.2553156481699817E-4</v>
      </c>
      <c r="R62" s="9">
        <f t="shared" si="38"/>
        <v>1.4999999999999999E-4</v>
      </c>
      <c r="S62" s="9">
        <f t="shared" si="39"/>
        <v>4.450319373514328E-6</v>
      </c>
      <c r="T62" s="9">
        <f t="shared" si="40"/>
        <v>2.4682298219632316E-5</v>
      </c>
      <c r="U62" s="9">
        <f t="shared" si="41"/>
        <v>1.4554968062648567E-4</v>
      </c>
      <c r="V62" s="102">
        <f t="shared" si="42"/>
        <v>0.16957988580526559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95</v>
      </c>
      <c r="C63" s="46" t="s">
        <v>96</v>
      </c>
      <c r="D63" s="47">
        <v>2.857424</v>
      </c>
      <c r="E63" s="47">
        <v>3.3289280000000003</v>
      </c>
      <c r="F63" s="98">
        <v>9.9999999999999995E-7</v>
      </c>
      <c r="G63" s="140"/>
      <c r="H63" s="140"/>
      <c r="I63" s="54">
        <f t="shared" si="24"/>
        <v>0.7211484450377651</v>
      </c>
      <c r="J63" s="54">
        <f t="shared" si="25"/>
        <v>2.677877461623039</v>
      </c>
      <c r="K63" s="55">
        <f t="shared" si="26"/>
        <v>0.18373644380969378</v>
      </c>
      <c r="L63" s="55">
        <f t="shared" si="27"/>
        <v>2.8149989588419865E-2</v>
      </c>
      <c r="M63" s="55">
        <f t="shared" si="28"/>
        <v>0.97185001041158015</v>
      </c>
      <c r="N63" s="55">
        <f t="shared" si="29"/>
        <v>1.7898519998789851E-2</v>
      </c>
      <c r="O63" s="56">
        <f t="shared" si="30"/>
        <v>1.8475225615861448E-7</v>
      </c>
      <c r="P63" s="56">
        <f t="shared" si="31"/>
        <v>8.7996867453400522E-5</v>
      </c>
      <c r="Q63" s="56">
        <f t="shared" si="32"/>
        <v>3.9401953180434563E-4</v>
      </c>
      <c r="R63" s="9">
        <f t="shared" si="38"/>
        <v>1.4999999999999999E-4</v>
      </c>
      <c r="S63" s="9">
        <f t="shared" si="39"/>
        <v>4.2224984382629794E-6</v>
      </c>
      <c r="T63" s="9">
        <f t="shared" si="40"/>
        <v>2.7560466571454066E-5</v>
      </c>
      <c r="U63" s="9">
        <f t="shared" si="41"/>
        <v>1.45777501561737E-4</v>
      </c>
      <c r="V63" s="102">
        <f t="shared" si="42"/>
        <v>0.18905843683829471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97</v>
      </c>
      <c r="C64" s="46" t="s">
        <v>98</v>
      </c>
      <c r="D64" s="47">
        <v>2.0783680000000002</v>
      </c>
      <c r="E64" s="47">
        <v>2.5770209999999998</v>
      </c>
      <c r="F64" s="98">
        <v>9.9999999999999995E-7</v>
      </c>
      <c r="G64" s="140"/>
      <c r="H64" s="140"/>
      <c r="I64" s="54">
        <f t="shared" si="24"/>
        <v>0.2338148544799136</v>
      </c>
      <c r="J64" s="54">
        <f t="shared" si="25"/>
        <v>1.9189837104465801</v>
      </c>
      <c r="K64" s="55">
        <f t="shared" si="26"/>
        <v>0.57180759812712056</v>
      </c>
      <c r="L64" s="55">
        <f t="shared" si="27"/>
        <v>1.5262971837741106E-2</v>
      </c>
      <c r="M64" s="55">
        <f t="shared" si="28"/>
        <v>0.98473702816225894</v>
      </c>
      <c r="N64" s="55">
        <f t="shared" si="29"/>
        <v>9.861994064811341E-3</v>
      </c>
      <c r="O64" s="56">
        <f t="shared" si="30"/>
        <v>5.7496891554102366E-7</v>
      </c>
      <c r="P64" s="56">
        <f t="shared" si="31"/>
        <v>4.7712049964778706E-5</v>
      </c>
      <c r="Q64" s="56">
        <f t="shared" si="32"/>
        <v>2.1710277075070601E-4</v>
      </c>
      <c r="R64" s="9">
        <f t="shared" si="38"/>
        <v>1.4999999999999999E-4</v>
      </c>
      <c r="S64" s="9">
        <f t="shared" si="39"/>
        <v>2.2894457756611657E-6</v>
      </c>
      <c r="T64" s="9">
        <f t="shared" si="40"/>
        <v>8.5771139719068078E-5</v>
      </c>
      <c r="U64" s="9">
        <f t="shared" si="41"/>
        <v>1.4771055422433882E-4</v>
      </c>
      <c r="V64" s="102">
        <f t="shared" si="42"/>
        <v>0.58067035337773609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168</v>
      </c>
      <c r="C65" s="46" t="s">
        <v>169</v>
      </c>
      <c r="D65" s="47">
        <v>3.4409280000000009</v>
      </c>
      <c r="E65" s="47">
        <v>4.1160660000000009</v>
      </c>
      <c r="F65" s="98">
        <v>9.9999999999999995E-7</v>
      </c>
      <c r="G65" s="140"/>
      <c r="H65" s="140"/>
      <c r="I65" s="54">
        <f t="shared" si="24"/>
        <v>1.2834731216469764</v>
      </c>
      <c r="J65" s="54">
        <f t="shared" si="25"/>
        <v>3.4010714909731083</v>
      </c>
      <c r="K65" s="55">
        <f t="shared" si="26"/>
        <v>4.9707720486345419E-2</v>
      </c>
      <c r="L65" s="55">
        <f t="shared" si="27"/>
        <v>4.0262506603900877E-2</v>
      </c>
      <c r="M65" s="55">
        <f t="shared" si="28"/>
        <v>0.95973749339609915</v>
      </c>
      <c r="N65" s="55">
        <f t="shared" si="29"/>
        <v>2.9660854773347914E-2</v>
      </c>
      <c r="O65" s="56">
        <f t="shared" si="30"/>
        <v>4.9982536495950062E-8</v>
      </c>
      <c r="P65" s="56">
        <f t="shared" si="31"/>
        <v>1.2586059564379421E-4</v>
      </c>
      <c r="Q65" s="56">
        <f t="shared" si="32"/>
        <v>6.5295656353158869E-4</v>
      </c>
      <c r="R65" s="9">
        <f t="shared" si="38"/>
        <v>1.4999999999999999E-4</v>
      </c>
      <c r="S65" s="9">
        <f t="shared" si="39"/>
        <v>6.0393759905851309E-6</v>
      </c>
      <c r="T65" s="9">
        <f t="shared" si="40"/>
        <v>7.456158072951812E-6</v>
      </c>
      <c r="U65" s="9">
        <f t="shared" si="41"/>
        <v>1.4396062400941486E-4</v>
      </c>
      <c r="V65" s="102">
        <f t="shared" si="42"/>
        <v>5.179303802173147E-2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170</v>
      </c>
      <c r="C66" s="46" t="s">
        <v>171</v>
      </c>
      <c r="D66" s="47"/>
      <c r="E66" s="47"/>
      <c r="F66" s="57"/>
      <c r="G66" s="140"/>
      <c r="H66" s="14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172</v>
      </c>
      <c r="C67" s="46" t="s">
        <v>173</v>
      </c>
      <c r="D67" s="47"/>
      <c r="E67" s="47"/>
      <c r="F67" s="57"/>
      <c r="G67" s="140"/>
      <c r="H67" s="14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99</v>
      </c>
      <c r="C68" s="46" t="s">
        <v>100</v>
      </c>
      <c r="D68" s="47">
        <v>2.3414159999999997</v>
      </c>
      <c r="E68" s="47">
        <v>2.4767320000000002</v>
      </c>
      <c r="F68" s="98">
        <v>9.9999999999999995E-7</v>
      </c>
      <c r="G68" s="140"/>
      <c r="H68" s="140"/>
      <c r="I68" s="54">
        <f t="shared" si="24"/>
        <v>0.33491051106253611</v>
      </c>
      <c r="J68" s="54">
        <f t="shared" si="25"/>
        <v>1.9816264972737885</v>
      </c>
      <c r="K68" s="55">
        <f t="shared" si="26"/>
        <v>0.45364518070123516</v>
      </c>
      <c r="L68" s="55">
        <f t="shared" si="27"/>
        <v>1.3987763129468339E-2</v>
      </c>
      <c r="M68" s="55">
        <f t="shared" si="28"/>
        <v>0.98601223687053163</v>
      </c>
      <c r="N68" s="55">
        <f t="shared" si="29"/>
        <v>6.2107223763557557E-3</v>
      </c>
      <c r="O68" s="56">
        <f t="shared" si="30"/>
        <v>4.5615322084302637E-7</v>
      </c>
      <c r="P68" s="56">
        <f t="shared" si="31"/>
        <v>4.3725747542718027E-5</v>
      </c>
      <c r="Q68" s="56">
        <f t="shared" si="32"/>
        <v>1.3672336724287389E-4</v>
      </c>
      <c r="R68" s="9">
        <f>F68*$C$14</f>
        <v>1.4999999999999999E-4</v>
      </c>
      <c r="S68" s="9">
        <f t="shared" si="39"/>
        <v>2.0981644694202506E-6</v>
      </c>
      <c r="T68" s="9">
        <f t="shared" si="40"/>
        <v>6.8046777105185274E-5</v>
      </c>
      <c r="U68" s="9">
        <f t="shared" si="41"/>
        <v>1.4790183553057973E-4</v>
      </c>
      <c r="V68" s="102">
        <f t="shared" si="42"/>
        <v>0.46008068027740012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174</v>
      </c>
      <c r="C69" s="46" t="s">
        <v>175</v>
      </c>
      <c r="D69" s="47">
        <v>4.3302640000000006</v>
      </c>
      <c r="E69" s="47">
        <v>5.074033</v>
      </c>
      <c r="F69" s="98">
        <v>9.9999999999999995E-7</v>
      </c>
      <c r="G69" s="140"/>
      <c r="H69" s="140"/>
      <c r="I69" s="54">
        <f t="shared" si="24"/>
        <v>2.1724337273682748</v>
      </c>
      <c r="J69" s="54">
        <f t="shared" si="25"/>
        <v>4.3419099657043558</v>
      </c>
      <c r="K69" s="55">
        <f t="shared" si="26"/>
        <v>6.3863142389617164E-3</v>
      </c>
      <c r="L69" s="55">
        <f t="shared" si="27"/>
        <v>4.5140432978892947E-2</v>
      </c>
      <c r="M69" s="55">
        <f t="shared" si="28"/>
        <v>0.95485956702110708</v>
      </c>
      <c r="N69" s="55">
        <f t="shared" si="29"/>
        <v>3.4592113649577337E-2</v>
      </c>
      <c r="O69" s="56">
        <f t="shared" si="30"/>
        <v>6.4216218607569038E-9</v>
      </c>
      <c r="P69" s="56">
        <f t="shared" si="31"/>
        <v>1.4110899349201945E-4</v>
      </c>
      <c r="Q69" s="56">
        <f t="shared" si="32"/>
        <v>7.6151371315900539E-4</v>
      </c>
      <c r="R69" s="9">
        <f>F69*$C$14</f>
        <v>1.4999999999999999E-4</v>
      </c>
      <c r="S69" s="9">
        <f t="shared" si="39"/>
        <v>6.7710649468339412E-6</v>
      </c>
      <c r="T69" s="9">
        <f t="shared" si="40"/>
        <v>9.5794713584425739E-7</v>
      </c>
      <c r="U69" s="9">
        <f t="shared" si="41"/>
        <v>1.4322893505316604E-4</v>
      </c>
      <c r="V69" s="102">
        <f t="shared" si="42"/>
        <v>6.6882235456730233E-3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176</v>
      </c>
      <c r="C70" s="46" t="s">
        <v>177</v>
      </c>
      <c r="D70" s="47">
        <v>1.4854320000000003</v>
      </c>
      <c r="E70" s="47">
        <v>1.5057189999999996</v>
      </c>
      <c r="F70" s="98">
        <v>9.9999999999999995E-7</v>
      </c>
      <c r="G70" s="140"/>
      <c r="H70" s="140"/>
      <c r="I70" s="54">
        <f t="shared" si="24"/>
        <v>6.2122287627494992E-2</v>
      </c>
      <c r="J70" s="54">
        <f t="shared" si="25"/>
        <v>1.0971554041516225</v>
      </c>
      <c r="K70" s="55">
        <f t="shared" si="26"/>
        <v>0.85924761042670394</v>
      </c>
      <c r="L70" s="55">
        <f t="shared" si="27"/>
        <v>3.4568394351567936E-3</v>
      </c>
      <c r="M70" s="55">
        <f t="shared" si="28"/>
        <v>0.99654316056484316</v>
      </c>
      <c r="N70" s="55">
        <f t="shared" si="29"/>
        <v>1.2575670448128479E-3</v>
      </c>
      <c r="O70" s="56">
        <f t="shared" si="30"/>
        <v>8.6399807971496391E-7</v>
      </c>
      <c r="P70" s="56">
        <f t="shared" si="31"/>
        <v>1.0806080074300134E-5</v>
      </c>
      <c r="Q70" s="56">
        <f t="shared" si="32"/>
        <v>2.768418719778143E-5</v>
      </c>
      <c r="R70" s="9">
        <f t="shared" ref="R70:R86" si="43">F70*$C$14</f>
        <v>1.4999999999999999E-4</v>
      </c>
      <c r="S70" s="9">
        <f t="shared" si="39"/>
        <v>5.1852591527351899E-7</v>
      </c>
      <c r="T70" s="9">
        <f t="shared" si="40"/>
        <v>1.2888714156400558E-4</v>
      </c>
      <c r="U70" s="9">
        <f t="shared" si="41"/>
        <v>1.4948147408472647E-4</v>
      </c>
      <c r="V70" s="102">
        <f t="shared" si="42"/>
        <v>0.86222819485277513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178</v>
      </c>
      <c r="C71" s="46" t="s">
        <v>179</v>
      </c>
      <c r="D71" s="47">
        <v>2.0758240000000003</v>
      </c>
      <c r="E71" s="47">
        <v>2.477398</v>
      </c>
      <c r="F71" s="98">
        <v>9.9999999999999995E-7</v>
      </c>
      <c r="G71" s="140"/>
      <c r="H71" s="140"/>
      <c r="I71" s="54">
        <f t="shared" ref="I71:I122" si="44">IF(D71=0,"",LOG($K$15*10^D71+$K$16*10^E71+$K$14))</f>
        <v>0.22542744412672311</v>
      </c>
      <c r="J71" s="54">
        <f t="shared" ref="J71:J122" si="45">IF(D71=0,"",LOG($K$21*10^D71+$K$22*10^E71+$K$20))</f>
        <v>1.8562658331213004</v>
      </c>
      <c r="K71" s="55">
        <f t="shared" ref="K71:K122" si="46">IF(D71=0,"",1/(1+10^D71*$J$15/$J$14+10^E71*$J$16/$J$14+10^J71*$J$19/$J$14))</f>
        <v>0.58400626290180313</v>
      </c>
      <c r="L71" s="55">
        <f t="shared" ref="L71:L122" si="47">IF(D71=0,"",1/(1+10^I71/10^J71*$J$13/$J$19))</f>
        <v>1.3492387579974993E-2</v>
      </c>
      <c r="M71" s="55">
        <f t="shared" si="19"/>
        <v>0.98650761242002505</v>
      </c>
      <c r="N71" s="55">
        <f t="shared" ref="N71:N122" si="48">IF(D71=0,"",1/(1/10^E71*$J$20/$J$22+10^D71/10^E71*$J$21/$J$22+10^I71/10^E71*$J$13/$J$22+1))</f>
        <v>8.0077281192253956E-3</v>
      </c>
      <c r="O71" s="56">
        <f t="shared" si="21"/>
        <v>5.8723502232155737E-7</v>
      </c>
      <c r="P71" s="56">
        <f t="shared" ref="P71:P122" si="49">IF(D71=0,"",O71*10^J71)</f>
        <v>4.2177203575001833E-5</v>
      </c>
      <c r="Q71" s="56">
        <f t="shared" ref="Q71:Q122" si="50">IF(D71=0,"",F71*N71*$J$7/$J$22)</f>
        <v>1.7628280352604639E-4</v>
      </c>
      <c r="R71" s="9">
        <f t="shared" si="43"/>
        <v>1.4999999999999999E-4</v>
      </c>
      <c r="S71" s="9">
        <f t="shared" si="39"/>
        <v>2.0238581369962488E-6</v>
      </c>
      <c r="T71" s="9">
        <f t="shared" si="40"/>
        <v>8.7600939435270462E-5</v>
      </c>
      <c r="U71" s="9">
        <f t="shared" si="41"/>
        <v>1.4797614186300373E-4</v>
      </c>
      <c r="V71" s="102">
        <f t="shared" si="42"/>
        <v>0.59199367095522315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180</v>
      </c>
      <c r="C72" s="46" t="s">
        <v>181</v>
      </c>
      <c r="D72" s="47">
        <v>2.3078000000000003</v>
      </c>
      <c r="E72" s="47">
        <v>2.5099249999999995</v>
      </c>
      <c r="F72" s="98">
        <v>9.9999999999999995E-7</v>
      </c>
      <c r="G72" s="140"/>
      <c r="H72" s="140"/>
      <c r="I72" s="54">
        <f t="shared" si="44"/>
        <v>0.32073739190116707</v>
      </c>
      <c r="J72" s="54">
        <f t="shared" si="45"/>
        <v>1.9791588629447154</v>
      </c>
      <c r="K72" s="55">
        <f t="shared" si="46"/>
        <v>0.46851499188856577</v>
      </c>
      <c r="L72" s="55">
        <f t="shared" si="47"/>
        <v>1.4364411097662047E-2</v>
      </c>
      <c r="M72" s="55">
        <f t="shared" si="19"/>
        <v>0.98563558890233793</v>
      </c>
      <c r="N72" s="55">
        <f t="shared" si="48"/>
        <v>6.9237648116931795E-3</v>
      </c>
      <c r="O72" s="56">
        <f t="shared" si="21"/>
        <v>4.7110524183869453E-7</v>
      </c>
      <c r="P72" s="56">
        <f t="shared" si="49"/>
        <v>4.4903149091291572E-5</v>
      </c>
      <c r="Q72" s="56">
        <f t="shared" si="50"/>
        <v>1.5242034367149917E-4</v>
      </c>
      <c r="R72" s="9">
        <f t="shared" si="43"/>
        <v>1.4999999999999999E-4</v>
      </c>
      <c r="S72" s="9">
        <f t="shared" si="39"/>
        <v>2.1546616646493068E-6</v>
      </c>
      <c r="T72" s="9">
        <f t="shared" si="40"/>
        <v>7.0277248783284858E-5</v>
      </c>
      <c r="U72" s="9">
        <f t="shared" si="41"/>
        <v>1.4784533833535067E-4</v>
      </c>
      <c r="V72" s="102">
        <f t="shared" si="42"/>
        <v>0.47534301435922355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182</v>
      </c>
      <c r="C73" s="46" t="s">
        <v>183</v>
      </c>
      <c r="D73" s="47">
        <v>5.676184000000001</v>
      </c>
      <c r="E73" s="47">
        <v>7.0708080000000004</v>
      </c>
      <c r="F73" s="98">
        <v>9.9999999999999995E-7</v>
      </c>
      <c r="G73" s="140"/>
      <c r="H73" s="140"/>
      <c r="I73" s="54">
        <f t="shared" si="44"/>
        <v>3.8293839195374848</v>
      </c>
      <c r="J73" s="54">
        <f t="shared" si="45"/>
        <v>6.2517180889118604</v>
      </c>
      <c r="K73" s="55">
        <f t="shared" si="46"/>
        <v>1.3585702862730281E-4</v>
      </c>
      <c r="L73" s="55">
        <f t="shared" si="47"/>
        <v>7.8019950636067717E-2</v>
      </c>
      <c r="M73" s="55">
        <f t="shared" si="19"/>
        <v>0.9219800493639323</v>
      </c>
      <c r="N73" s="55">
        <f t="shared" si="48"/>
        <v>7.3043895531254691E-2</v>
      </c>
      <c r="O73" s="56">
        <f t="shared" si="21"/>
        <v>1.3660813300543166E-10</v>
      </c>
      <c r="P73" s="56">
        <f t="shared" si="49"/>
        <v>2.4389036568834774E-4</v>
      </c>
      <c r="Q73" s="56">
        <f t="shared" si="50"/>
        <v>1.607994488948607E-3</v>
      </c>
      <c r="R73" s="9">
        <f t="shared" si="43"/>
        <v>1.4999999999999999E-4</v>
      </c>
      <c r="S73" s="9">
        <f t="shared" si="39"/>
        <v>1.1702992595410156E-5</v>
      </c>
      <c r="T73" s="9">
        <f t="shared" si="40"/>
        <v>2.0378554294095421E-8</v>
      </c>
      <c r="U73" s="9">
        <f t="shared" si="41"/>
        <v>1.3829700740458983E-4</v>
      </c>
      <c r="V73" s="102">
        <f t="shared" si="42"/>
        <v>1.4735354492868868E-4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184</v>
      </c>
      <c r="C74" s="46" t="s">
        <v>185</v>
      </c>
      <c r="D74" s="47">
        <v>1.2599279999999999</v>
      </c>
      <c r="E74" s="47">
        <v>1.3925860000000003</v>
      </c>
      <c r="F74" s="98">
        <v>9.9999999999999995E-7</v>
      </c>
      <c r="G74" s="140"/>
      <c r="H74" s="140"/>
      <c r="I74" s="54">
        <f t="shared" si="44"/>
        <v>3.8037572032670899E-2</v>
      </c>
      <c r="J74" s="54">
        <f t="shared" si="45"/>
        <v>0.92896201878272155</v>
      </c>
      <c r="K74" s="55">
        <f t="shared" si="46"/>
        <v>0.90913252824486945</v>
      </c>
      <c r="L74" s="55">
        <f t="shared" si="47"/>
        <v>2.4831027228932848E-3</v>
      </c>
      <c r="M74" s="55">
        <f t="shared" si="19"/>
        <v>0.99751689727710668</v>
      </c>
      <c r="N74" s="55">
        <f t="shared" si="48"/>
        <v>1.0254323439885878E-3</v>
      </c>
      <c r="O74" s="56">
        <f t="shared" si="21"/>
        <v>9.1415879320269762E-7</v>
      </c>
      <c r="P74" s="56">
        <f t="shared" si="49"/>
        <v>7.7621791117644075E-6</v>
      </c>
      <c r="Q74" s="56">
        <f t="shared" si="50"/>
        <v>2.2573954276819192E-5</v>
      </c>
      <c r="R74" s="9">
        <f t="shared" si="43"/>
        <v>1.4999999999999999E-4</v>
      </c>
      <c r="S74" s="9">
        <f t="shared" si="39"/>
        <v>3.724654084339927E-7</v>
      </c>
      <c r="T74" s="9">
        <f t="shared" si="40"/>
        <v>1.3636987923673041E-4</v>
      </c>
      <c r="U74" s="9">
        <f t="shared" si="41"/>
        <v>1.49627534591566E-4</v>
      </c>
      <c r="V74" s="102">
        <f t="shared" si="42"/>
        <v>0.9113956171835309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186</v>
      </c>
      <c r="C75" s="46" t="s">
        <v>187</v>
      </c>
      <c r="D75" s="47">
        <v>1.2889359999999999</v>
      </c>
      <c r="E75" s="47">
        <v>1.371977</v>
      </c>
      <c r="F75" s="98">
        <v>9.9999999999999995E-7</v>
      </c>
      <c r="G75" s="140"/>
      <c r="H75" s="140"/>
      <c r="I75" s="54">
        <f t="shared" si="44"/>
        <v>4.0258976380178252E-2</v>
      </c>
      <c r="J75" s="54">
        <f t="shared" si="45"/>
        <v>0.93601930537447953</v>
      </c>
      <c r="K75" s="55">
        <f t="shared" si="46"/>
        <v>0.90446906507197411</v>
      </c>
      <c r="L75" s="55">
        <f t="shared" si="47"/>
        <v>2.5108368475244155E-3</v>
      </c>
      <c r="M75" s="55">
        <f t="shared" si="19"/>
        <v>0.9974891631524756</v>
      </c>
      <c r="N75" s="55">
        <f t="shared" si="48"/>
        <v>9.7289177650540287E-4</v>
      </c>
      <c r="O75" s="56">
        <f t="shared" si="21"/>
        <v>9.0946954742847649E-7</v>
      </c>
      <c r="P75" s="56">
        <f t="shared" si="49"/>
        <v>7.8488759853613222E-6</v>
      </c>
      <c r="Q75" s="56">
        <f t="shared" si="50"/>
        <v>2.1417321784196404E-5</v>
      </c>
      <c r="R75" s="9">
        <f t="shared" si="43"/>
        <v>1.4999999999999999E-4</v>
      </c>
      <c r="S75" s="9">
        <f t="shared" si="39"/>
        <v>3.7662552712866227E-7</v>
      </c>
      <c r="T75" s="9">
        <f t="shared" si="40"/>
        <v>1.3567035976079611E-4</v>
      </c>
      <c r="U75" s="9">
        <f t="shared" si="41"/>
        <v>1.4962337447287132E-4</v>
      </c>
      <c r="V75" s="102">
        <f t="shared" si="42"/>
        <v>0.90674575572678928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188</v>
      </c>
      <c r="C76" s="46" t="s">
        <v>189</v>
      </c>
      <c r="D76" s="47">
        <v>3.3144320000000005</v>
      </c>
      <c r="E76" s="47">
        <v>3.8699789999999998</v>
      </c>
      <c r="F76" s="98">
        <v>9.9999999999999995E-7</v>
      </c>
      <c r="G76" s="140"/>
      <c r="H76" s="140"/>
      <c r="I76" s="54">
        <f t="shared" si="44"/>
        <v>1.137117589232139</v>
      </c>
      <c r="J76" s="54">
        <f t="shared" si="45"/>
        <v>3.1898469808277863</v>
      </c>
      <c r="K76" s="55">
        <f t="shared" si="46"/>
        <v>7.0018414499210507E-2</v>
      </c>
      <c r="L76" s="55">
        <f t="shared" si="47"/>
        <v>3.4871025840551018E-2</v>
      </c>
      <c r="M76" s="55">
        <f t="shared" si="19"/>
        <v>0.96512897415944898</v>
      </c>
      <c r="N76" s="55">
        <f t="shared" si="48"/>
        <v>2.3707463317714467E-2</v>
      </c>
      <c r="O76" s="56">
        <f t="shared" si="21"/>
        <v>7.0405520990581455E-8</v>
      </c>
      <c r="P76" s="56">
        <f t="shared" si="49"/>
        <v>1.0900682677756253E-4</v>
      </c>
      <c r="Q76" s="56">
        <f t="shared" si="50"/>
        <v>5.2189810092377067E-4</v>
      </c>
      <c r="R76" s="9">
        <f t="shared" si="43"/>
        <v>1.4999999999999999E-4</v>
      </c>
      <c r="S76" s="9">
        <f t="shared" si="39"/>
        <v>5.2306538760826523E-6</v>
      </c>
      <c r="T76" s="9">
        <f t="shared" si="40"/>
        <v>1.0502762174881575E-5</v>
      </c>
      <c r="U76" s="9">
        <f t="shared" si="41"/>
        <v>1.4476934612391734E-4</v>
      </c>
      <c r="V76" s="102">
        <f t="shared" si="42"/>
        <v>7.2548246269563105E-2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101</v>
      </c>
      <c r="C77" s="46" t="s">
        <v>102</v>
      </c>
      <c r="D77" s="47">
        <v>0.29376000000000013</v>
      </c>
      <c r="E77" s="47">
        <v>0.18140000000000034</v>
      </c>
      <c r="F77" s="98">
        <v>9.9999999999999995E-7</v>
      </c>
      <c r="G77" s="140"/>
      <c r="H77" s="140"/>
      <c r="I77" s="54">
        <f t="shared" si="44"/>
        <v>2.0958974367173925E-3</v>
      </c>
      <c r="J77" s="54">
        <f t="shared" si="45"/>
        <v>0.11582725100744901</v>
      </c>
      <c r="K77" s="55">
        <f t="shared" si="46"/>
        <v>0.98961910187571756</v>
      </c>
      <c r="L77" s="55">
        <f t="shared" si="47"/>
        <v>4.1562416590799694E-4</v>
      </c>
      <c r="M77" s="55">
        <f t="shared" si="19"/>
        <v>0.99958437583409199</v>
      </c>
      <c r="N77" s="55">
        <f t="shared" si="48"/>
        <v>6.8637567602563827E-5</v>
      </c>
      <c r="O77" s="56">
        <f t="shared" si="21"/>
        <v>9.9509034799091064E-7</v>
      </c>
      <c r="P77" s="56">
        <f t="shared" si="49"/>
        <v>1.2992411426283982E-6</v>
      </c>
      <c r="Q77" s="56">
        <f t="shared" si="50"/>
        <v>1.5109932135606658E-6</v>
      </c>
      <c r="R77" s="9">
        <f t="shared" si="43"/>
        <v>1.4999999999999999E-4</v>
      </c>
      <c r="S77" s="9">
        <f t="shared" si="39"/>
        <v>6.2343624886199531E-8</v>
      </c>
      <c r="T77" s="9">
        <f t="shared" si="40"/>
        <v>1.4844286528135762E-4</v>
      </c>
      <c r="U77" s="9">
        <f t="shared" si="41"/>
        <v>1.4993765637511379E-4</v>
      </c>
      <c r="V77" s="102">
        <f t="shared" si="42"/>
        <v>0.99003058251079701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190</v>
      </c>
      <c r="C78" s="46" t="s">
        <v>191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8.7763082204907472E-2</v>
      </c>
      <c r="J78" s="54">
        <f t="shared" si="45"/>
        <v>1.3393017792075548</v>
      </c>
      <c r="K78" s="55">
        <f t="shared" si="46"/>
        <v>0.80818048368266548</v>
      </c>
      <c r="L78" s="55">
        <f t="shared" si="47"/>
        <v>5.678264366939521E-3</v>
      </c>
      <c r="M78" s="55">
        <f t="shared" si="19"/>
        <v>0.99432173563306048</v>
      </c>
      <c r="N78" s="55">
        <f t="shared" si="48"/>
        <v>2.9316031089546622E-3</v>
      </c>
      <c r="O78" s="56">
        <f t="shared" si="21"/>
        <v>8.1264862129575589E-7</v>
      </c>
      <c r="P78" s="56">
        <f t="shared" si="49"/>
        <v>1.7750254411052946E-5</v>
      </c>
      <c r="Q78" s="56">
        <f t="shared" si="50"/>
        <v>6.4536558581635746E-5</v>
      </c>
      <c r="R78" s="9">
        <f t="shared" si="43"/>
        <v>1.4999999999999999E-4</v>
      </c>
      <c r="S78" s="9">
        <f t="shared" si="39"/>
        <v>8.517396550409281E-7</v>
      </c>
      <c r="T78" s="9">
        <f t="shared" si="40"/>
        <v>1.2122707255239981E-4</v>
      </c>
      <c r="U78" s="9">
        <f t="shared" si="41"/>
        <v>1.4914826034495907E-4</v>
      </c>
      <c r="V78" s="102">
        <f t="shared" si="42"/>
        <v>0.81279575284363725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192</v>
      </c>
      <c r="C79" s="46" t="s">
        <v>193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0.50667591684415281</v>
      </c>
      <c r="J79" s="54">
        <f t="shared" si="45"/>
        <v>2.3514817080656072</v>
      </c>
      <c r="K79" s="55">
        <f t="shared" si="46"/>
        <v>0.30300803914967861</v>
      </c>
      <c r="L79" s="55">
        <f t="shared" si="47"/>
        <v>2.1894817500069157E-2</v>
      </c>
      <c r="M79" s="55">
        <f t="shared" si="19"/>
        <v>0.97810518249993084</v>
      </c>
      <c r="N79" s="55">
        <f t="shared" si="48"/>
        <v>1.2737317247399559E-2</v>
      </c>
      <c r="O79" s="56">
        <f t="shared" si="21"/>
        <v>3.046832610142603E-7</v>
      </c>
      <c r="P79" s="56">
        <f t="shared" si="49"/>
        <v>6.8443199505216175E-5</v>
      </c>
      <c r="Q79" s="56">
        <f t="shared" si="50"/>
        <v>2.8040037827726079E-4</v>
      </c>
      <c r="R79" s="9">
        <f t="shared" si="43"/>
        <v>1.4999999999999999E-4</v>
      </c>
      <c r="S79" s="9">
        <f t="shared" si="39"/>
        <v>3.2842226250103732E-6</v>
      </c>
      <c r="T79" s="9">
        <f t="shared" si="40"/>
        <v>4.5451205872451786E-5</v>
      </c>
      <c r="U79" s="9">
        <f t="shared" si="41"/>
        <v>1.4671577737498961E-4</v>
      </c>
      <c r="V79" s="102">
        <f t="shared" si="42"/>
        <v>0.30979085334689965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194</v>
      </c>
      <c r="C80" s="46" t="s">
        <v>195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2.9778200964006376</v>
      </c>
      <c r="J80" s="54">
        <f t="shared" si="45"/>
        <v>5.2573793638422401</v>
      </c>
      <c r="K80" s="55">
        <f t="shared" si="46"/>
        <v>9.8683531539045912E-4</v>
      </c>
      <c r="L80" s="55">
        <f t="shared" si="47"/>
        <v>5.7415548403848202E-2</v>
      </c>
      <c r="M80" s="55">
        <f t="shared" si="19"/>
        <v>0.94258445159615178</v>
      </c>
      <c r="N80" s="55">
        <f t="shared" si="48"/>
        <v>4.8891627907555732E-2</v>
      </c>
      <c r="O80" s="56">
        <f t="shared" si="21"/>
        <v>9.9229117095694099E-10</v>
      </c>
      <c r="P80" s="56">
        <f t="shared" si="49"/>
        <v>1.7948100431042943E-4</v>
      </c>
      <c r="Q80" s="56">
        <f t="shared" si="50"/>
        <v>1.0763044284437973E-3</v>
      </c>
      <c r="R80" s="9">
        <f t="shared" si="43"/>
        <v>1.4999999999999999E-4</v>
      </c>
      <c r="S80" s="9">
        <f t="shared" si="39"/>
        <v>8.6123322605772295E-6</v>
      </c>
      <c r="T80" s="9">
        <f t="shared" si="40"/>
        <v>1.4802529730856886E-7</v>
      </c>
      <c r="U80" s="9">
        <f t="shared" si="41"/>
        <v>1.4138766773942276E-4</v>
      </c>
      <c r="V80" s="102">
        <f t="shared" si="42"/>
        <v>1.0469463120459646E-3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196</v>
      </c>
      <c r="C81" s="46" t="s">
        <v>197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0.64393554165863076</v>
      </c>
      <c r="J81" s="54">
        <f t="shared" si="45"/>
        <v>2.638206330325866</v>
      </c>
      <c r="K81" s="55">
        <f t="shared" si="46"/>
        <v>0.21893025758731258</v>
      </c>
      <c r="L81" s="55">
        <f t="shared" si="47"/>
        <v>3.06138245490544E-2</v>
      </c>
      <c r="M81" s="55">
        <f t="shared" si="19"/>
        <v>0.96938617545094563</v>
      </c>
      <c r="N81" s="55">
        <f t="shared" si="48"/>
        <v>2.1430465416501367E-2</v>
      </c>
      <c r="O81" s="56">
        <f t="shared" si="21"/>
        <v>2.2014064380464857E-7</v>
      </c>
      <c r="P81" s="56">
        <f t="shared" si="49"/>
        <v>9.5698815540344083E-5</v>
      </c>
      <c r="Q81" s="56">
        <f t="shared" si="50"/>
        <v>4.7177207670410761E-4</v>
      </c>
      <c r="R81" s="9">
        <f t="shared" si="43"/>
        <v>1.4999999999999999E-4</v>
      </c>
      <c r="S81" s="9">
        <f t="shared" si="39"/>
        <v>4.5920736823581599E-6</v>
      </c>
      <c r="T81" s="9">
        <f t="shared" si="40"/>
        <v>3.2839538638096882E-5</v>
      </c>
      <c r="U81" s="9">
        <f t="shared" si="41"/>
        <v>1.4540792631764183E-4</v>
      </c>
      <c r="V81" s="102">
        <f t="shared" si="42"/>
        <v>0.2258442126900243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198</v>
      </c>
      <c r="C82" s="46" t="s">
        <v>199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1.3135143326183101</v>
      </c>
      <c r="J82" s="54">
        <f t="shared" si="45"/>
        <v>3.4821247233434276</v>
      </c>
      <c r="K82" s="55">
        <f t="shared" si="46"/>
        <v>4.6153934195221034E-2</v>
      </c>
      <c r="L82" s="55">
        <f t="shared" si="47"/>
        <v>4.5054577389972844E-2</v>
      </c>
      <c r="M82" s="55">
        <f t="shared" si="19"/>
        <v>0.95494542261002713</v>
      </c>
      <c r="N82" s="55">
        <f t="shared" si="48"/>
        <v>3.5216852747152763E-2</v>
      </c>
      <c r="O82" s="56">
        <f t="shared" si="21"/>
        <v>4.6409102605660826E-8</v>
      </c>
      <c r="P82" s="56">
        <f t="shared" si="49"/>
        <v>1.4084060892105511E-4</v>
      </c>
      <c r="Q82" s="56">
        <f t="shared" si="50"/>
        <v>7.7526677244788423E-4</v>
      </c>
      <c r="R82" s="9">
        <f t="shared" si="43"/>
        <v>1.4999999999999999E-4</v>
      </c>
      <c r="S82" s="9">
        <f t="shared" si="39"/>
        <v>6.7581866084959264E-6</v>
      </c>
      <c r="T82" s="9">
        <f t="shared" si="40"/>
        <v>6.9230901292831546E-6</v>
      </c>
      <c r="U82" s="9">
        <f t="shared" si="41"/>
        <v>1.4324181339150406E-4</v>
      </c>
      <c r="V82" s="102">
        <f t="shared" si="42"/>
        <v>4.8331489007062349E-2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200</v>
      </c>
      <c r="C83" s="46" t="s">
        <v>201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0.78379345695532832</v>
      </c>
      <c r="J83" s="54">
        <f t="shared" si="45"/>
        <v>2.8279013612794559</v>
      </c>
      <c r="K83" s="55">
        <f t="shared" si="46"/>
        <v>0.15806444193393632</v>
      </c>
      <c r="L83" s="55">
        <f t="shared" si="47"/>
        <v>3.4209050025673156E-2</v>
      </c>
      <c r="M83" s="55">
        <f t="shared" si="19"/>
        <v>0.9657909499743268</v>
      </c>
      <c r="N83" s="55">
        <f t="shared" si="48"/>
        <v>2.4537143186190373E-2</v>
      </c>
      <c r="O83" s="56">
        <f t="shared" si="21"/>
        <v>1.5893832306885184E-7</v>
      </c>
      <c r="P83" s="56">
        <f t="shared" si="49"/>
        <v>1.0693749038025433E-4</v>
      </c>
      <c r="Q83" s="56">
        <f t="shared" si="50"/>
        <v>5.4016274366219092E-4</v>
      </c>
      <c r="R83" s="9">
        <f t="shared" si="43"/>
        <v>1.4999999999999999E-4</v>
      </c>
      <c r="S83" s="9">
        <f t="shared" si="39"/>
        <v>5.1313575038509727E-6</v>
      </c>
      <c r="T83" s="9">
        <f t="shared" si="40"/>
        <v>2.3709666290090446E-5</v>
      </c>
      <c r="U83" s="9">
        <f t="shared" si="41"/>
        <v>1.4486864249614901E-4</v>
      </c>
      <c r="V83" s="102">
        <f t="shared" si="42"/>
        <v>0.16366320469055759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103</v>
      </c>
      <c r="C84" s="46" t="s">
        <v>104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5.6400487609719711E-2</v>
      </c>
      <c r="J84" s="54">
        <f t="shared" si="45"/>
        <v>1.1194464580046877</v>
      </c>
      <c r="K84" s="55">
        <f t="shared" si="46"/>
        <v>0.870442559549224</v>
      </c>
      <c r="L84" s="55">
        <f t="shared" si="47"/>
        <v>3.6863116252051869E-3</v>
      </c>
      <c r="M84" s="55">
        <f t="shared" si="19"/>
        <v>0.99631368837479484</v>
      </c>
      <c r="N84" s="55">
        <f t="shared" si="48"/>
        <v>1.7309436594310575E-3</v>
      </c>
      <c r="O84" s="56">
        <f t="shared" si="21"/>
        <v>8.7525492166249143E-7</v>
      </c>
      <c r="P84" s="56">
        <f t="shared" si="49"/>
        <v>1.1523410140391413E-5</v>
      </c>
      <c r="Q84" s="56">
        <f t="shared" si="50"/>
        <v>3.8105139995644263E-5</v>
      </c>
      <c r="R84" s="9">
        <f t="shared" si="43"/>
        <v>1.4999999999999999E-4</v>
      </c>
      <c r="S84" s="9">
        <f t="shared" si="39"/>
        <v>5.5294674378077801E-7</v>
      </c>
      <c r="T84" s="9">
        <f t="shared" si="40"/>
        <v>1.3056638393238359E-4</v>
      </c>
      <c r="U84" s="9">
        <f t="shared" si="41"/>
        <v>1.4944705325621921E-4</v>
      </c>
      <c r="V84" s="102">
        <f t="shared" si="42"/>
        <v>0.8736631541910318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202</v>
      </c>
      <c r="C85" s="46" t="s">
        <v>203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0.61860589125383414</v>
      </c>
      <c r="J85" s="54">
        <f t="shared" si="45"/>
        <v>2.6217835296151417</v>
      </c>
      <c r="K85" s="55">
        <f t="shared" si="46"/>
        <v>0.23193166073534471</v>
      </c>
      <c r="L85" s="55">
        <f t="shared" si="47"/>
        <v>3.1228349977570419E-2</v>
      </c>
      <c r="M85" s="55">
        <f t="shared" si="19"/>
        <v>0.9687716500224296</v>
      </c>
      <c r="N85" s="55">
        <f t="shared" si="48"/>
        <v>2.2388440986614088E-2</v>
      </c>
      <c r="O85" s="56">
        <f t="shared" si="21"/>
        <v>2.3321392700868496E-7</v>
      </c>
      <c r="P85" s="56">
        <f t="shared" si="49"/>
        <v>9.7619822029885149E-5</v>
      </c>
      <c r="Q85" s="56">
        <f t="shared" si="50"/>
        <v>4.9286103186025102E-4</v>
      </c>
      <c r="R85" s="9">
        <f t="shared" si="43"/>
        <v>1.4999999999999999E-4</v>
      </c>
      <c r="S85" s="9">
        <f t="shared" si="39"/>
        <v>4.6842524966355625E-6</v>
      </c>
      <c r="T85" s="9">
        <f t="shared" si="40"/>
        <v>3.4789749110301705E-5</v>
      </c>
      <c r="U85" s="9">
        <f t="shared" si="41"/>
        <v>1.4531574750336444E-4</v>
      </c>
      <c r="V85" s="102">
        <f t="shared" si="42"/>
        <v>0.23940797682299528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105</v>
      </c>
      <c r="C86" s="46" t="s">
        <v>106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0.26171036693668792</v>
      </c>
      <c r="J86" s="54">
        <f t="shared" si="45"/>
        <v>1.9657934893493081</v>
      </c>
      <c r="K86" s="55">
        <f t="shared" si="46"/>
        <v>0.53586999846240302</v>
      </c>
      <c r="L86" s="55">
        <f t="shared" si="47"/>
        <v>1.5931563647184063E-2</v>
      </c>
      <c r="M86" s="55">
        <f t="shared" si="19"/>
        <v>0.98406843635281593</v>
      </c>
      <c r="N86" s="55">
        <f t="shared" si="48"/>
        <v>9.9906388026331505E-3</v>
      </c>
      <c r="O86" s="56">
        <f t="shared" si="21"/>
        <v>5.3883262988471376E-7</v>
      </c>
      <c r="P86" s="56">
        <f t="shared" si="49"/>
        <v>4.9802067961097384E-5</v>
      </c>
      <c r="Q86" s="56">
        <f t="shared" si="50"/>
        <v>2.1993476688050162E-4</v>
      </c>
      <c r="R86" s="9">
        <f t="shared" si="43"/>
        <v>1.4999999999999999E-4</v>
      </c>
      <c r="S86" s="9">
        <f t="shared" si="39"/>
        <v>2.3897345470776092E-6</v>
      </c>
      <c r="T86" s="9">
        <f t="shared" si="40"/>
        <v>8.0380499769360444E-5</v>
      </c>
      <c r="U86" s="9">
        <f t="shared" si="41"/>
        <v>1.4761026545292237E-4</v>
      </c>
      <c r="V86" s="102">
        <f t="shared" si="42"/>
        <v>0.54454545910288576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204</v>
      </c>
      <c r="C87" s="46" t="s">
        <v>205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206</v>
      </c>
      <c r="C88" s="46" t="s">
        <v>207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2.1363569008891736</v>
      </c>
      <c r="J88" s="54">
        <f t="shared" si="45"/>
        <v>4.4541110421332437</v>
      </c>
      <c r="K88" s="55">
        <f t="shared" si="46"/>
        <v>6.8143055641105617E-3</v>
      </c>
      <c r="L88" s="55">
        <f t="shared" si="47"/>
        <v>6.2364596495159075E-2</v>
      </c>
      <c r="M88" s="55">
        <f t="shared" si="19"/>
        <v>0.93763540350484087</v>
      </c>
      <c r="N88" s="55">
        <f t="shared" si="48"/>
        <v>5.4802884655347134E-2</v>
      </c>
      <c r="O88" s="56">
        <f t="shared" si="21"/>
        <v>6.8519793951579957E-9</v>
      </c>
      <c r="P88" s="56">
        <f t="shared" si="49"/>
        <v>1.9495172864386731E-4</v>
      </c>
      <c r="Q88" s="56">
        <f t="shared" si="50"/>
        <v>1.2064353340325009E-3</v>
      </c>
      <c r="R88" s="9">
        <f>F88*$C$14</f>
        <v>1.4999999999999999E-4</v>
      </c>
      <c r="S88" s="9">
        <f t="shared" si="39"/>
        <v>9.3546894742738611E-6</v>
      </c>
      <c r="T88" s="9">
        <f t="shared" si="40"/>
        <v>1.0221458346165842E-6</v>
      </c>
      <c r="U88" s="9">
        <f t="shared" si="41"/>
        <v>1.4064531052572612E-4</v>
      </c>
      <c r="V88" s="102">
        <f t="shared" si="42"/>
        <v>7.2675429475454745E-3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208</v>
      </c>
      <c r="C89" s="46" t="s">
        <v>209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3.5207953657582807</v>
      </c>
      <c r="J89" s="54">
        <f t="shared" si="45"/>
        <v>5.9198274752242268</v>
      </c>
      <c r="K89" s="55">
        <f t="shared" si="46"/>
        <v>2.7761593832171519E-4</v>
      </c>
      <c r="L89" s="55">
        <f t="shared" si="47"/>
        <v>7.4246731817984024E-2</v>
      </c>
      <c r="M89" s="55">
        <f t="shared" si="19"/>
        <v>0.92575326818201598</v>
      </c>
      <c r="N89" s="55">
        <f t="shared" si="48"/>
        <v>6.8620710566454995E-2</v>
      </c>
      <c r="O89" s="56">
        <f t="shared" si="21"/>
        <v>2.7915077644395781E-10</v>
      </c>
      <c r="P89" s="56">
        <f t="shared" si="49"/>
        <v>2.3209528366301824E-4</v>
      </c>
      <c r="Q89" s="56">
        <f t="shared" si="50"/>
        <v>1.5106221213432277E-3</v>
      </c>
      <c r="R89" s="9">
        <f>F89*$C$14</f>
        <v>1.4999999999999999E-4</v>
      </c>
      <c r="S89" s="9">
        <f t="shared" si="39"/>
        <v>1.1137009772697603E-5</v>
      </c>
      <c r="T89" s="9">
        <f t="shared" si="40"/>
        <v>4.1642390748257274E-8</v>
      </c>
      <c r="U89" s="9">
        <f t="shared" si="41"/>
        <v>1.3886299022730238E-4</v>
      </c>
      <c r="V89" s="102">
        <f t="shared" si="42"/>
        <v>2.9988113233118182E-4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210</v>
      </c>
      <c r="C90" s="46" t="s">
        <v>211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3.8666483056990257</v>
      </c>
      <c r="J90" s="54">
        <f t="shared" si="45"/>
        <v>6.2984912087723171</v>
      </c>
      <c r="K90" s="55">
        <f t="shared" si="46"/>
        <v>1.24471040647583E-4</v>
      </c>
      <c r="L90" s="55">
        <f t="shared" si="47"/>
        <v>7.9609518977061797E-2</v>
      </c>
      <c r="M90" s="55">
        <f t="shared" si="19"/>
        <v>0.92039048102293819</v>
      </c>
      <c r="N90" s="55">
        <f t="shared" si="48"/>
        <v>7.4908161028266723E-2</v>
      </c>
      <c r="O90" s="56">
        <f t="shared" si="21"/>
        <v>1.2515919601595284E-10</v>
      </c>
      <c r="P90" s="56">
        <f t="shared" si="49"/>
        <v>2.4885935632229533E-4</v>
      </c>
      <c r="Q90" s="56">
        <f t="shared" si="50"/>
        <v>1.6490345871433929E-3</v>
      </c>
      <c r="R90" s="9">
        <f>F90*$C$14</f>
        <v>1.4999999999999999E-4</v>
      </c>
      <c r="S90" s="9">
        <f t="shared" si="39"/>
        <v>1.1941427846559269E-5</v>
      </c>
      <c r="T90" s="9">
        <f t="shared" si="40"/>
        <v>1.8670656097137449E-8</v>
      </c>
      <c r="U90" s="9">
        <f t="shared" si="41"/>
        <v>1.3805857215344071E-4</v>
      </c>
      <c r="V90" s="102">
        <f t="shared" si="42"/>
        <v>1.352372098734047E-4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107</v>
      </c>
      <c r="C91" s="46" t="s">
        <v>108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4.2676323009395754</v>
      </c>
      <c r="J91" s="54">
        <f t="shared" si="45"/>
        <v>6.7277753052884339</v>
      </c>
      <c r="K91" s="55">
        <f t="shared" si="46"/>
        <v>4.9177059749137272E-5</v>
      </c>
      <c r="L91" s="55">
        <f t="shared" si="47"/>
        <v>8.4516856360970158E-2</v>
      </c>
      <c r="M91" s="55">
        <f t="shared" si="19"/>
        <v>0.91548314363902983</v>
      </c>
      <c r="N91" s="55">
        <f t="shared" si="48"/>
        <v>8.0662814983842299E-2</v>
      </c>
      <c r="O91" s="56">
        <f t="shared" si="21"/>
        <v>4.9448941927441136E-11</v>
      </c>
      <c r="P91" s="56">
        <f t="shared" si="49"/>
        <v>2.6419969298439281E-4</v>
      </c>
      <c r="Q91" s="56">
        <f t="shared" si="50"/>
        <v>1.7757180256302186E-3</v>
      </c>
      <c r="R91" s="9">
        <f t="shared" ref="R91:R92" si="51">F91*$C$14</f>
        <v>1.4999999999999999E-4</v>
      </c>
      <c r="S91" s="9">
        <f t="shared" si="39"/>
        <v>1.2677528454145522E-5</v>
      </c>
      <c r="T91" s="9">
        <f t="shared" si="40"/>
        <v>7.37655896237059E-9</v>
      </c>
      <c r="U91" s="9">
        <f t="shared" si="41"/>
        <v>1.3732247154585447E-4</v>
      </c>
      <c r="V91" s="102">
        <f t="shared" si="42"/>
        <v>5.3717056497249418E-5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109</v>
      </c>
      <c r="C92" s="46" t="s">
        <v>110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5.487995486122375</v>
      </c>
      <c r="J92" s="54">
        <f t="shared" si="45"/>
        <v>7.9903404987982469</v>
      </c>
      <c r="K92" s="55">
        <f t="shared" si="46"/>
        <v>2.9354156380072041E-6</v>
      </c>
      <c r="L92" s="55">
        <f t="shared" si="47"/>
        <v>9.2345465076124303E-2</v>
      </c>
      <c r="M92" s="55">
        <f t="shared" si="19"/>
        <v>0.90765453492387571</v>
      </c>
      <c r="N92" s="55">
        <f t="shared" si="48"/>
        <v>8.9844483933866459E-2</v>
      </c>
      <c r="O92" s="56">
        <f t="shared" si="21"/>
        <v>2.951644489466804E-12</v>
      </c>
      <c r="P92" s="56">
        <f t="shared" si="49"/>
        <v>2.8867192382796492E-4</v>
      </c>
      <c r="Q92" s="56">
        <f t="shared" si="50"/>
        <v>1.9778440618117362E-3</v>
      </c>
      <c r="R92" s="9">
        <f t="shared" si="51"/>
        <v>1.4999999999999999E-4</v>
      </c>
      <c r="S92" s="9">
        <f t="shared" si="39"/>
        <v>1.3851819761418644E-5</v>
      </c>
      <c r="T92" s="9">
        <f t="shared" si="40"/>
        <v>4.4031234570108055E-10</v>
      </c>
      <c r="U92" s="9">
        <f t="shared" si="41"/>
        <v>1.3614818023858136E-4</v>
      </c>
      <c r="V92" s="102">
        <f t="shared" si="42"/>
        <v>3.2340670652335748E-6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212</v>
      </c>
      <c r="C93" s="46" t="s">
        <v>213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0.24855356797573289</v>
      </c>
      <c r="J93" s="54">
        <f t="shared" si="45"/>
        <v>1.7879431652958269</v>
      </c>
      <c r="K93" s="55">
        <f t="shared" si="46"/>
        <v>0.55514370825342019</v>
      </c>
      <c r="L93" s="55">
        <f t="shared" si="47"/>
        <v>1.0958574334505878E-2</v>
      </c>
      <c r="M93" s="55">
        <f t="shared" ref="M93:M127" si="52">IF(D93=0,"",1-L93)</f>
        <v>0.98904142566549413</v>
      </c>
      <c r="N93" s="55">
        <f t="shared" si="48"/>
        <v>4.5091972864866941E-3</v>
      </c>
      <c r="O93" s="56">
        <f t="shared" ref="O93:O127" si="53">IF(D93=0,"",F93*K93*$J$7/$J$14)</f>
        <v>5.5821289704676341E-7</v>
      </c>
      <c r="P93" s="56">
        <f t="shared" si="49"/>
        <v>3.425650336966538E-5</v>
      </c>
      <c r="Q93" s="56">
        <f t="shared" si="50"/>
        <v>9.9265850123643714E-5</v>
      </c>
      <c r="R93" s="9">
        <f>F93*$C$14</f>
        <v>1.4999999999999999E-4</v>
      </c>
      <c r="S93" s="9">
        <f t="shared" si="39"/>
        <v>1.6437861501758815E-6</v>
      </c>
      <c r="T93" s="9">
        <f t="shared" si="40"/>
        <v>8.3271556238013016E-5</v>
      </c>
      <c r="U93" s="9">
        <f t="shared" si="41"/>
        <v>1.4835621384982412E-4</v>
      </c>
      <c r="V93" s="102">
        <f t="shared" si="42"/>
        <v>0.5612946979241864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214</v>
      </c>
      <c r="C94" s="46" t="s">
        <v>215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216</v>
      </c>
      <c r="C95" s="46" t="s">
        <v>217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218</v>
      </c>
      <c r="C96" s="46" t="s">
        <v>219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220</v>
      </c>
      <c r="C97" s="46" t="s">
        <v>221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222</v>
      </c>
      <c r="C98" s="46" t="s">
        <v>223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224</v>
      </c>
      <c r="C99" s="46" t="s">
        <v>225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226</v>
      </c>
      <c r="C100" s="46" t="s">
        <v>227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228</v>
      </c>
      <c r="C101" s="46" t="s">
        <v>229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230</v>
      </c>
      <c r="C102" s="46" t="s">
        <v>231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232</v>
      </c>
      <c r="C103" s="46" t="s">
        <v>233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234</v>
      </c>
      <c r="C104" s="46" t="s">
        <v>235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236</v>
      </c>
      <c r="C105" s="46" t="s">
        <v>237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238</v>
      </c>
      <c r="C106" s="46" t="s">
        <v>239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240</v>
      </c>
      <c r="C107" s="46" t="s">
        <v>241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1.9065682325616583E-2</v>
      </c>
      <c r="J107" s="54">
        <f t="shared" si="45"/>
        <v>0.65878493193924714</v>
      </c>
      <c r="K107" s="55">
        <f t="shared" si="46"/>
        <v>0.95076458368766814</v>
      </c>
      <c r="L107" s="55">
        <f t="shared" si="47"/>
        <v>1.3940020043029812E-3</v>
      </c>
      <c r="M107" s="55">
        <f t="shared" si="52"/>
        <v>0.99860599799569705</v>
      </c>
      <c r="N107" s="55">
        <f t="shared" si="48"/>
        <v>5.0743312065671601E-4</v>
      </c>
      <c r="O107" s="56">
        <f t="shared" si="53"/>
        <v>9.5602101722366661E-7</v>
      </c>
      <c r="P107" s="56">
        <f t="shared" si="49"/>
        <v>4.357650265451118E-6</v>
      </c>
      <c r="Q107" s="56">
        <f t="shared" si="50"/>
        <v>1.1170675599809115E-5</v>
      </c>
      <c r="R107" s="9">
        <f>F107*$C$14</f>
        <v>1.4999999999999999E-4</v>
      </c>
      <c r="S107" s="9">
        <f t="shared" ref="S107:S108" si="54">$R107*L107</f>
        <v>2.0910030064544717E-7</v>
      </c>
      <c r="T107" s="9">
        <f t="shared" ref="T107:T108" si="55">R107*K107</f>
        <v>1.4261468755315021E-4</v>
      </c>
      <c r="U107" s="9">
        <f t="shared" ref="U107:U108" si="56">$R107*M107</f>
        <v>1.4979089969935456E-4</v>
      </c>
      <c r="V107" s="102">
        <f t="shared" ref="V107:V108" si="57">K107/M107</f>
        <v>0.95209180156733342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242</v>
      </c>
      <c r="C108" s="46" t="s">
        <v>243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0.13401854480859055</v>
      </c>
      <c r="J108" s="54">
        <f t="shared" si="45"/>
        <v>1.5278597886488654</v>
      </c>
      <c r="K108" s="55">
        <f t="shared" si="46"/>
        <v>0.72493289823135276</v>
      </c>
      <c r="L108" s="55">
        <f t="shared" si="47"/>
        <v>7.8625436248077867E-3</v>
      </c>
      <c r="M108" s="55">
        <f t="shared" si="52"/>
        <v>0.99213745637519224</v>
      </c>
      <c r="N108" s="55">
        <f t="shared" si="48"/>
        <v>3.9750319511520915E-3</v>
      </c>
      <c r="O108" s="56">
        <f t="shared" si="53"/>
        <v>7.2894079005125213E-7</v>
      </c>
      <c r="P108" s="56">
        <f t="shared" si="49"/>
        <v>2.4578311371149144E-5</v>
      </c>
      <c r="Q108" s="56">
        <f t="shared" si="50"/>
        <v>8.7506689290855214E-5</v>
      </c>
      <c r="R108" s="9">
        <f>F108*$C$14</f>
        <v>1.4999999999999999E-4</v>
      </c>
      <c r="S108" s="9">
        <f t="shared" si="54"/>
        <v>1.1793815437211678E-6</v>
      </c>
      <c r="T108" s="9">
        <f t="shared" si="55"/>
        <v>1.0873993473470291E-4</v>
      </c>
      <c r="U108" s="9">
        <f t="shared" si="56"/>
        <v>1.4882061845627881E-4</v>
      </c>
      <c r="V108" s="102">
        <f t="shared" si="57"/>
        <v>0.73067788497767194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244</v>
      </c>
      <c r="C109" s="46" t="s">
        <v>245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246</v>
      </c>
      <c r="C110" s="46" t="s">
        <v>247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248</v>
      </c>
      <c r="C111" s="46" t="s">
        <v>249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250</v>
      </c>
      <c r="C112" s="46" t="s">
        <v>251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252</v>
      </c>
      <c r="C113" s="46" t="s">
        <v>253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254</v>
      </c>
      <c r="C114" s="46" t="s">
        <v>255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9.3867444440884892E-2</v>
      </c>
      <c r="J114" s="54">
        <f t="shared" si="45"/>
        <v>1.3877069023096393</v>
      </c>
      <c r="K114" s="55">
        <f t="shared" si="46"/>
        <v>0.79643766046918896</v>
      </c>
      <c r="L114" s="55">
        <f t="shared" si="47"/>
        <v>6.2555307141103069E-3</v>
      </c>
      <c r="M114" s="55">
        <f t="shared" si="52"/>
        <v>0.99374446928588966</v>
      </c>
      <c r="N114" s="55">
        <f t="shared" si="48"/>
        <v>3.3944905412839868E-3</v>
      </c>
      <c r="O114" s="56">
        <f t="shared" si="53"/>
        <v>8.0084087625956358E-7</v>
      </c>
      <c r="P114" s="56">
        <f t="shared" si="49"/>
        <v>1.955478901230882E-5</v>
      </c>
      <c r="Q114" s="56">
        <f t="shared" si="50"/>
        <v>7.4726601634181292E-5</v>
      </c>
      <c r="R114" s="9">
        <f>F114*$C$14</f>
        <v>1.4999999999999999E-4</v>
      </c>
      <c r="S114" s="9">
        <f t="shared" ref="S114:S116" si="58">$R114*L114</f>
        <v>9.3832960711654593E-7</v>
      </c>
      <c r="T114" s="9">
        <f t="shared" ref="T114:T116" si="59">R114*K114</f>
        <v>1.1946564907037833E-4</v>
      </c>
      <c r="U114" s="9">
        <f t="shared" ref="U114:U116" si="60">$R114*M114</f>
        <v>1.4906167039288343E-4</v>
      </c>
      <c r="V114" s="102">
        <f t="shared" ref="V114:V116" si="61">K114/M114</f>
        <v>0.80145116283415752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256</v>
      </c>
      <c r="C115" s="46" t="s">
        <v>257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0.17110445915344094</v>
      </c>
      <c r="J115" s="54">
        <f t="shared" si="45"/>
        <v>1.4994216752369602</v>
      </c>
      <c r="K115" s="55">
        <f t="shared" si="46"/>
        <v>0.66633152743569346</v>
      </c>
      <c r="L115" s="55">
        <f t="shared" si="47"/>
        <v>6.7688908044167021E-3</v>
      </c>
      <c r="M115" s="55">
        <f t="shared" si="52"/>
        <v>0.99323110919558333</v>
      </c>
      <c r="N115" s="55">
        <f t="shared" si="48"/>
        <v>1.6232304361260184E-3</v>
      </c>
      <c r="O115" s="56">
        <f t="shared" si="53"/>
        <v>6.7001543346984655E-7</v>
      </c>
      <c r="P115" s="56">
        <f t="shared" si="49"/>
        <v>2.1159552654606606E-5</v>
      </c>
      <c r="Q115" s="56">
        <f t="shared" si="50"/>
        <v>3.5733931995281221E-5</v>
      </c>
      <c r="R115" s="9">
        <f>F115*$C$14</f>
        <v>1.4999999999999999E-4</v>
      </c>
      <c r="S115" s="9">
        <f t="shared" si="58"/>
        <v>1.0153336206625052E-6</v>
      </c>
      <c r="T115" s="9">
        <f t="shared" si="59"/>
        <v>9.9949729115354004E-5</v>
      </c>
      <c r="U115" s="9">
        <f t="shared" si="60"/>
        <v>1.4898466637933749E-4</v>
      </c>
      <c r="V115" s="102">
        <f t="shared" si="61"/>
        <v>0.67087259074613015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258</v>
      </c>
      <c r="C116" s="46" t="s">
        <v>259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5.8063156695311677E-3</v>
      </c>
      <c r="J116" s="54">
        <f t="shared" si="45"/>
        <v>0.23502720558428331</v>
      </c>
      <c r="K116" s="55">
        <f t="shared" si="46"/>
        <v>0.98107603431854262</v>
      </c>
      <c r="L116" s="55">
        <f t="shared" si="47"/>
        <v>5.4216982523941739E-4</v>
      </c>
      <c r="M116" s="55">
        <f t="shared" si="52"/>
        <v>0.99945783017476053</v>
      </c>
      <c r="N116" s="55">
        <f t="shared" si="48"/>
        <v>6.1225378946898855E-5</v>
      </c>
      <c r="O116" s="56">
        <f t="shared" si="53"/>
        <v>9.8650004890284116E-7</v>
      </c>
      <c r="P116" s="56">
        <f t="shared" si="49"/>
        <v>1.6948228736984184E-6</v>
      </c>
      <c r="Q116" s="56">
        <f t="shared" si="50"/>
        <v>1.347820666112717E-6</v>
      </c>
      <c r="R116" s="9">
        <f>F116*$C$14</f>
        <v>1.4999999999999999E-4</v>
      </c>
      <c r="S116" s="9">
        <f t="shared" si="58"/>
        <v>8.1325473785912602E-8</v>
      </c>
      <c r="T116" s="9">
        <f t="shared" si="59"/>
        <v>1.4716140514778138E-4</v>
      </c>
      <c r="U116" s="9">
        <f t="shared" si="60"/>
        <v>1.4991867452621407E-4</v>
      </c>
      <c r="V116" s="102">
        <f t="shared" si="61"/>
        <v>0.98160823268250974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260</v>
      </c>
      <c r="C117" s="46" t="s">
        <v>261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262</v>
      </c>
      <c r="C118" s="46" t="s">
        <v>263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264</v>
      </c>
      <c r="C119" s="46" t="s">
        <v>265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1.4450204174697026</v>
      </c>
      <c r="J119" s="54">
        <f t="shared" si="45"/>
        <v>3.5881322653047101</v>
      </c>
      <c r="K119" s="55">
        <f t="shared" si="46"/>
        <v>3.418375983865813E-2</v>
      </c>
      <c r="L119" s="55">
        <f t="shared" si="47"/>
        <v>4.2594896221515507E-2</v>
      </c>
      <c r="M119" s="55">
        <f t="shared" si="52"/>
        <v>0.95740510377848453</v>
      </c>
      <c r="N119" s="55">
        <f t="shared" si="48"/>
        <v>3.2113426227681374E-2</v>
      </c>
      <c r="O119" s="56">
        <f t="shared" si="53"/>
        <v>3.4372749484134316E-8</v>
      </c>
      <c r="P119" s="56">
        <f t="shared" si="49"/>
        <v>1.3315164558845753E-4</v>
      </c>
      <c r="Q119" s="56">
        <f t="shared" si="50"/>
        <v>7.0694767878684496E-4</v>
      </c>
      <c r="R119" s="9">
        <f>F119*$C$14</f>
        <v>1.4999999999999999E-4</v>
      </c>
      <c r="S119" s="9">
        <f t="shared" ref="S119:S121" si="62">$R119*L119</f>
        <v>6.3892344332273255E-6</v>
      </c>
      <c r="T119" s="9">
        <f t="shared" ref="T119:T121" si="63">R119*K119</f>
        <v>5.1275639757987192E-6</v>
      </c>
      <c r="U119" s="9">
        <f t="shared" ref="U119:U121" si="64">$R119*M119</f>
        <v>1.4361076556677267E-4</v>
      </c>
      <c r="V119" s="102">
        <f t="shared" ref="V119:V121" si="65">K119/M119</f>
        <v>3.5704593284231381E-2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266</v>
      </c>
      <c r="C120" s="46" t="s">
        <v>267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0.19210968761462099</v>
      </c>
      <c r="J120" s="54">
        <f t="shared" si="45"/>
        <v>1.6895489434747182</v>
      </c>
      <c r="K120" s="55">
        <f t="shared" si="46"/>
        <v>0.63283098419806749</v>
      </c>
      <c r="L120" s="55">
        <f t="shared" si="47"/>
        <v>9.9596057808265578E-3</v>
      </c>
      <c r="M120" s="55">
        <f t="shared" si="52"/>
        <v>0.99004039421917345</v>
      </c>
      <c r="N120" s="55">
        <f t="shared" si="48"/>
        <v>4.754639012749977E-3</v>
      </c>
      <c r="O120" s="56">
        <f t="shared" si="53"/>
        <v>6.3632967784424401E-7</v>
      </c>
      <c r="P120" s="56">
        <f t="shared" si="49"/>
        <v>3.113372767086382E-5</v>
      </c>
      <c r="Q120" s="56">
        <f t="shared" si="50"/>
        <v>1.0466902502715796E-4</v>
      </c>
      <c r="R120" s="9">
        <f>F120*$C$14</f>
        <v>1.4999999999999999E-4</v>
      </c>
      <c r="S120" s="9">
        <f t="shared" si="62"/>
        <v>1.4939408671239835E-6</v>
      </c>
      <c r="T120" s="9">
        <f t="shared" si="63"/>
        <v>9.4924647629710115E-5</v>
      </c>
      <c r="U120" s="9">
        <f t="shared" si="64"/>
        <v>1.48506059132876E-4</v>
      </c>
      <c r="V120" s="102">
        <f t="shared" si="65"/>
        <v>0.63919713568573089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268</v>
      </c>
      <c r="C121" s="46" t="s">
        <v>269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1.9943504269299017</v>
      </c>
      <c r="J121" s="54">
        <f t="shared" si="45"/>
        <v>4.0463375290265402</v>
      </c>
      <c r="K121" s="55">
        <f t="shared" si="46"/>
        <v>9.7275908984326923E-3</v>
      </c>
      <c r="L121" s="55">
        <f t="shared" si="47"/>
        <v>3.4813548872056781E-2</v>
      </c>
      <c r="M121" s="55">
        <f t="shared" si="52"/>
        <v>0.96518645112794321</v>
      </c>
      <c r="N121" s="55">
        <f t="shared" si="48"/>
        <v>2.2540218029069935E-2</v>
      </c>
      <c r="O121" s="56">
        <f t="shared" si="53"/>
        <v>9.7813712304941498E-9</v>
      </c>
      <c r="P121" s="56">
        <f t="shared" si="49"/>
        <v>1.0882715377404953E-4</v>
      </c>
      <c r="Q121" s="56">
        <f t="shared" si="50"/>
        <v>4.9620226449910302E-4</v>
      </c>
      <c r="R121" s="9">
        <f>F121*$C$14</f>
        <v>1.4999999999999999E-4</v>
      </c>
      <c r="S121" s="9">
        <f t="shared" si="62"/>
        <v>5.222032330808517E-6</v>
      </c>
      <c r="T121" s="9">
        <f t="shared" si="63"/>
        <v>1.4591386347649037E-6</v>
      </c>
      <c r="U121" s="9">
        <f t="shared" si="64"/>
        <v>1.4477796766919148E-4</v>
      </c>
      <c r="V121" s="102">
        <f t="shared" si="65"/>
        <v>1.0078457780944567E-2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270</v>
      </c>
      <c r="C122" s="46" t="s">
        <v>271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272</v>
      </c>
      <c r="C123" s="46" t="s">
        <v>273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274</v>
      </c>
      <c r="C124" s="46" t="s">
        <v>275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0.68104843309954888</v>
      </c>
      <c r="J124" s="54">
        <f t="shared" si="67"/>
        <v>2.7319270672547926</v>
      </c>
      <c r="K124" s="55">
        <f t="shared" si="68"/>
        <v>0.20014550171554563</v>
      </c>
      <c r="L124" s="55">
        <f t="shared" si="69"/>
        <v>3.4727887945811158E-2</v>
      </c>
      <c r="M124" s="55">
        <f t="shared" si="52"/>
        <v>0.96527211205418884</v>
      </c>
      <c r="N124" s="55">
        <f t="shared" si="70"/>
        <v>2.5913355235917496E-2</v>
      </c>
      <c r="O124" s="56">
        <f t="shared" si="53"/>
        <v>2.012520338112368E-7</v>
      </c>
      <c r="P124" s="56">
        <f t="shared" si="71"/>
        <v>1.085593777186057E-4</v>
      </c>
      <c r="Q124" s="56">
        <f t="shared" si="72"/>
        <v>5.7045879202449366E-4</v>
      </c>
      <c r="R124" s="9">
        <f>F124*$C$14</f>
        <v>1.4999999999999999E-4</v>
      </c>
      <c r="S124" s="9">
        <f t="shared" ref="S124:S127" si="73">$R124*L124</f>
        <v>5.2091831918716729E-6</v>
      </c>
      <c r="T124" s="9">
        <f t="shared" ref="T124:T127" si="74">R124*K124</f>
        <v>3.0021825257331841E-5</v>
      </c>
      <c r="U124" s="9">
        <f t="shared" ref="U124:U127" si="75">$R124*M124</f>
        <v>1.4479081680812832E-4</v>
      </c>
      <c r="V124" s="102">
        <f t="shared" ref="V124:V127" si="76">K124/M124</f>
        <v>0.2073461972185412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276</v>
      </c>
      <c r="C125" s="46" t="s">
        <v>277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278</v>
      </c>
      <c r="C126" s="46" t="s">
        <v>279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0.34290559098075568</v>
      </c>
      <c r="J126" s="54">
        <f t="shared" si="67"/>
        <v>2.0586187754155518</v>
      </c>
      <c r="K126" s="55">
        <f t="shared" si="68"/>
        <v>0.444300161737954</v>
      </c>
      <c r="L126" s="55">
        <f t="shared" si="69"/>
        <v>1.6356889405208672E-2</v>
      </c>
      <c r="M126" s="55">
        <f t="shared" si="52"/>
        <v>0.98364311059479137</v>
      </c>
      <c r="N126" s="55">
        <f t="shared" si="70"/>
        <v>8.8191003884632042E-3</v>
      </c>
      <c r="O126" s="56">
        <f t="shared" si="53"/>
        <v>4.4675653664955473E-7</v>
      </c>
      <c r="P126" s="56">
        <f t="shared" si="71"/>
        <v>5.1131636280682306E-5</v>
      </c>
      <c r="Q126" s="56">
        <f t="shared" si="72"/>
        <v>1.941444212277182E-4</v>
      </c>
      <c r="R126" s="9">
        <f>F126*$C$14</f>
        <v>1.4999999999999999E-4</v>
      </c>
      <c r="S126" s="9">
        <f t="shared" si="73"/>
        <v>2.4535334107813004E-6</v>
      </c>
      <c r="T126" s="9">
        <f t="shared" si="74"/>
        <v>6.6645024260693101E-5</v>
      </c>
      <c r="U126" s="9">
        <f t="shared" si="75"/>
        <v>1.475464665892187E-4</v>
      </c>
      <c r="V126" s="102">
        <f t="shared" si="76"/>
        <v>0.45168837859220468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280</v>
      </c>
      <c r="C127" s="46" t="s">
        <v>281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5.456801422185465E-4</v>
      </c>
      <c r="J127" s="54">
        <f t="shared" si="67"/>
        <v>3.5843904257090255E-2</v>
      </c>
      <c r="K127" s="55">
        <f t="shared" si="68"/>
        <v>0.99322607484495717</v>
      </c>
      <c r="L127" s="55">
        <f t="shared" si="69"/>
        <v>3.4697444295131539E-4</v>
      </c>
      <c r="M127" s="55">
        <f t="shared" si="52"/>
        <v>0.99965302555704871</v>
      </c>
      <c r="N127" s="55">
        <f t="shared" si="70"/>
        <v>5.3913922166413621E-5</v>
      </c>
      <c r="O127" s="56">
        <f t="shared" si="53"/>
        <v>9.9871726260922316E-7</v>
      </c>
      <c r="P127" s="56">
        <f t="shared" si="71"/>
        <v>1.084642108665812E-6</v>
      </c>
      <c r="Q127" s="56">
        <f t="shared" si="72"/>
        <v>1.186865638677528E-6</v>
      </c>
      <c r="R127" s="9">
        <f>F127*$C$14</f>
        <v>1.4999999999999999E-4</v>
      </c>
      <c r="S127" s="9">
        <f t="shared" si="73"/>
        <v>5.2046166442697305E-8</v>
      </c>
      <c r="T127" s="9">
        <f t="shared" si="74"/>
        <v>1.4898391122674358E-4</v>
      </c>
      <c r="U127" s="9">
        <f t="shared" si="75"/>
        <v>1.499479538335573E-4</v>
      </c>
      <c r="V127" s="102">
        <f t="shared" si="76"/>
        <v>0.99357081852624796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282</v>
      </c>
      <c r="C128" s="46" t="s">
        <v>283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284</v>
      </c>
      <c r="C129" s="46" t="s">
        <v>285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286</v>
      </c>
      <c r="C130" s="46" t="s">
        <v>287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2.0637855846763784E-2</v>
      </c>
      <c r="J130" s="54">
        <f t="shared" si="78"/>
        <v>0.60777493199684651</v>
      </c>
      <c r="K130" s="55">
        <f t="shared" si="79"/>
        <v>0.94747959071836707</v>
      </c>
      <c r="L130" s="55">
        <f t="shared" si="80"/>
        <v>1.2352369270406901E-3</v>
      </c>
      <c r="M130" s="55">
        <f t="shared" si="81"/>
        <v>0.99876476307295936</v>
      </c>
      <c r="N130" s="55">
        <f t="shared" si="82"/>
        <v>2.6128572223580495E-4</v>
      </c>
      <c r="O130" s="56">
        <f t="shared" si="83"/>
        <v>9.5271786271626715E-7</v>
      </c>
      <c r="P130" s="56">
        <f t="shared" si="84"/>
        <v>3.8613506339291976E-6</v>
      </c>
      <c r="Q130" s="56">
        <f t="shared" si="85"/>
        <v>5.7519659697825795E-6</v>
      </c>
      <c r="R130" s="9">
        <f>F130*$C$14</f>
        <v>1.4999999999999999E-4</v>
      </c>
      <c r="S130" s="9">
        <f t="shared" ref="S130:S131" si="86">$R130*L130</f>
        <v>1.852855390561035E-7</v>
      </c>
      <c r="T130" s="9">
        <f t="shared" ref="T130:T131" si="87">R130*K130</f>
        <v>1.4212193860775504E-4</v>
      </c>
      <c r="U130" s="9">
        <f t="shared" ref="U130:U131" si="88">$R130*M130</f>
        <v>1.498147144609439E-4</v>
      </c>
      <c r="V130" s="102">
        <f t="shared" ref="V130:V131" si="89">K130/M130</f>
        <v>0.94865139995848458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288</v>
      </c>
      <c r="C131" s="46" t="s">
        <v>289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-5.8338548275705044E-4</v>
      </c>
      <c r="J131" s="54">
        <f t="shared" si="78"/>
        <v>-5.5484612143741785E-2</v>
      </c>
      <c r="K131" s="55">
        <f t="shared" si="79"/>
        <v>0.99587639748485124</v>
      </c>
      <c r="L131" s="55">
        <f t="shared" si="80"/>
        <v>2.8192026696013684E-4</v>
      </c>
      <c r="M131" s="55">
        <f t="shared" si="81"/>
        <v>0.99971807973303983</v>
      </c>
      <c r="N131" s="55">
        <f t="shared" si="82"/>
        <v>2.5956387825058631E-5</v>
      </c>
      <c r="O131" s="56">
        <f t="shared" si="83"/>
        <v>1.0013822379244953E-6</v>
      </c>
      <c r="P131" s="56">
        <f t="shared" si="84"/>
        <v>8.8128275451738779E-7</v>
      </c>
      <c r="Q131" s="56">
        <f t="shared" si="85"/>
        <v>5.7140611507840348E-7</v>
      </c>
      <c r="R131" s="9">
        <f>F131*$C$14</f>
        <v>1.4999999999999999E-4</v>
      </c>
      <c r="S131" s="9">
        <f t="shared" si="86"/>
        <v>4.2288040044020521E-8</v>
      </c>
      <c r="T131" s="9">
        <f t="shared" si="87"/>
        <v>1.4938145962272768E-4</v>
      </c>
      <c r="U131" s="9">
        <f t="shared" si="88"/>
        <v>1.4995771195995596E-4</v>
      </c>
      <c r="V131" s="102">
        <f t="shared" si="89"/>
        <v>0.99615723439830706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290</v>
      </c>
      <c r="C132" s="46" t="s">
        <v>291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292</v>
      </c>
      <c r="C133" s="46" t="s">
        <v>293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97</v>
      </c>
      <c r="C134" s="46" t="s">
        <v>294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2024-10-28T22:41:06Z</dcterms:modified>
</cp:coreProperties>
</file>